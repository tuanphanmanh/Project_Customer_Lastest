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mms\docs\design\master\common\"/>
    </mc:Choice>
  </mc:AlternateContent>
  <xr:revisionPtr revIDLastSave="0" documentId="13_ncr:1_{41F1DF84-CE27-4299-80A1-246024E41C27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5" l="1"/>
  <c r="B16" i="5"/>
  <c r="D16" i="5" s="1"/>
  <c r="B17" i="5"/>
  <c r="D17" i="5" s="1"/>
  <c r="C17" i="5"/>
  <c r="B18" i="5"/>
  <c r="D18" i="5" s="1"/>
  <c r="C18" i="5"/>
  <c r="C15" i="5"/>
  <c r="B15" i="5"/>
  <c r="D15" i="5" s="1"/>
  <c r="B7" i="5" l="1"/>
  <c r="B6" i="5"/>
  <c r="B2" i="5"/>
  <c r="B8" i="5" l="1"/>
  <c r="B3" i="5"/>
  <c r="B6" i="1" l="1"/>
  <c r="L12" i="1" l="1"/>
  <c r="G12" i="1"/>
  <c r="F18" i="5" s="1"/>
  <c r="E12" i="1"/>
  <c r="H12" i="1" s="1"/>
  <c r="E18" i="5" s="1"/>
  <c r="G18" i="5" s="1"/>
  <c r="D12" i="1"/>
  <c r="V12" i="1" s="1"/>
  <c r="G11" i="1"/>
  <c r="F17" i="5" s="1"/>
  <c r="E11" i="1"/>
  <c r="H11" i="1" s="1"/>
  <c r="E17" i="5" s="1"/>
  <c r="G17" i="5" s="1"/>
  <c r="D11" i="1"/>
  <c r="T11" i="1" s="1"/>
  <c r="K18" i="5" l="1"/>
  <c r="U18" i="5"/>
  <c r="I18" i="5"/>
  <c r="T18" i="5"/>
  <c r="S18" i="5"/>
  <c r="V18" i="5"/>
  <c r="H18" i="5"/>
  <c r="T17" i="5"/>
  <c r="K17" i="5"/>
  <c r="S17" i="5"/>
  <c r="U17" i="5"/>
  <c r="I17" i="5"/>
  <c r="V17" i="5"/>
  <c r="H17" i="5"/>
  <c r="L18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K15" i="5" l="1"/>
  <c r="I15" i="5"/>
  <c r="T15" i="5"/>
  <c r="H15" i="5"/>
  <c r="G15" i="5"/>
  <c r="U15" i="5" s="1"/>
  <c r="V15" i="5"/>
  <c r="L15" i="5"/>
  <c r="W9" i="1"/>
  <c r="P9" i="1"/>
  <c r="T9" i="1"/>
  <c r="I9" i="1"/>
  <c r="N9" i="1"/>
  <c r="M9" i="1"/>
  <c r="J9" i="1"/>
  <c r="O9" i="1"/>
  <c r="S15" i="5" l="1"/>
  <c r="Q3" i="1"/>
  <c r="B4" i="5" s="1"/>
  <c r="B5" i="5" s="1"/>
  <c r="G10" i="1" l="1"/>
  <c r="F16" i="5" s="1"/>
  <c r="E10" i="1"/>
  <c r="H10" i="1" s="1"/>
  <c r="E16" i="5" s="1"/>
  <c r="G16" i="5" s="1"/>
  <c r="D10" i="1"/>
  <c r="T10" i="1" s="1"/>
  <c r="H16" i="5" l="1"/>
  <c r="S16" i="5"/>
  <c r="U16" i="5"/>
  <c r="T16" i="5"/>
  <c r="V16" i="5"/>
  <c r="K16" i="5"/>
  <c r="I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V14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14" i="1"/>
  <c r="T7" i="1" l="1"/>
  <c r="W14" i="1"/>
  <c r="G6" i="1" l="1"/>
  <c r="S13" i="5"/>
  <c r="L13" i="5"/>
  <c r="K13" i="5"/>
  <c r="H13" i="5"/>
  <c r="I13" i="5"/>
  <c r="U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B7" i="1"/>
  <c r="L9" i="1" l="1"/>
  <c r="L10" i="1"/>
  <c r="C7" i="1"/>
  <c r="O14" i="1"/>
  <c r="J14" i="1"/>
  <c r="P14" i="1"/>
  <c r="N14" i="1"/>
  <c r="I14" i="1"/>
  <c r="Q7" i="1" l="1"/>
  <c r="M69" i="3" s="1"/>
  <c r="L7" i="1"/>
  <c r="G69" i="3" s="1"/>
  <c r="K69" i="3"/>
  <c r="J69" i="3"/>
  <c r="K14" i="1"/>
  <c r="M14" i="1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8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<sst xmlns="http://schemas.openxmlformats.org/spreadsheetml/2006/main" count="451" uniqueCount="369">
  <si>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</si>
  <si>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</si>
  <si>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</si>
  <si>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</si>
  <si>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</si>
  <si>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</si>
  <si>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</si>
  <si>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</si>
  <si>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</si>
  <si>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</si>
  <si>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</si>
  <si>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</si>
  <si>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</si>
  <si>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</si>
  <si>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</si>
  <si>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</si>
  <si>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</si>
  <si>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</si>
  <si>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</si>
  <si>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</si>
  <si>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</si>
  <si>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</si>
  <si>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</si>
  <si>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</si>
  <si>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</si>
  <si>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</si>
  <si>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</si>
  <si>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</si>
  <si>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</si>
  <si>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</si>
  <si>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</si>
  <si>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</si>
  <si>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</si>
  <si>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</si>
  <si>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</si>
  <si>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</si>
  <si>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</si>
  <si>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</si>
  <si>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</si>
  <si>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</si>
  <si>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</si>
  <si>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</si>
  <si>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</si>
  <si>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</si>
  <si>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</si>
  <si>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</si>
  <si>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</si>
  <si>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</si>
  <si>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</si>
  <si>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</si>
  <si>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</si>
  <si>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</si>
  <si>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</si>
  <si>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</si>
  <si>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</si>
  <si>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</si>
  <si>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</si>
  <si>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</si>
  <si>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</si>
  <si>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</si>
  <si>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</si>
  <si>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</si>
  <si>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</si>
  <si>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</si>
  <si>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</si>
  <si>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</si>
  <si>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</si>
  <si>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</si>
  <si>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</si>
  <si>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</si>
  <si>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</si>
  <si>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</si>
  <si>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</si>
  <si>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</si>
  <si>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</si>
  <si>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</si>
  <si>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</si>
  <si>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</si>
  <si>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</si>
  <si>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</si>
  <si>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</si>
  <si>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</si>
  <si>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</si>
  <si>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</si>
  <si>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</si>
  <si>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</si>
  <si>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</si>
  <si>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</si>
  <si>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</si>
  <si>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</si>
  <si>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</si>
  <si>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</si>
  <si>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</si>
  <si>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</si>
  <si>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</si>
  <si>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</si>
  <si>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</si>
  <si>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</si>
  <si>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</si>
  <si>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</si>
  <si>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</si>
  <si>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</si>
  <si>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</si>
  <si>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</si>
  <si>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</si>
  <si>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</si>
  <si>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</si>
  <si>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</si>
  <si>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</si>
  <si>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</si>
  <si>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</si>
  <si>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</si>
  <si>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</si>
  <si>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</si>
  <si>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</si>
  <si>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</si>
  <si>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</si>
  <si>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</si>
  <si>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</si>
  <si>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</si>
  <si>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</si>
  <si>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</si>
  <si>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</si>
  <si>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</si>
  <si>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</si>
  <si>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</si>
  <si>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</si>
  <si>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</si>
  <si>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</si>
  <si>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</si>
  <si>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</si>
  <si>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</si>
  <si>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</si>
  <si>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</si>
  <si>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</si>
  <si>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</si>
  <si>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</si>
  <si>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</si>
  <si>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</si>
  <si>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</si>
  <si>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</si>
  <si>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</si>
  <si>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</si>
  <si>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</si>
  <si>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</si>
  <si>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</si>
  <si>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</si>
  <si>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</si>
  <si>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</si>
  <si>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</si>
  <si>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</si>
  <si>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</si>
  <si>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</si>
  <si>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</si>
  <si>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</si>
  <si>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</si>
  <si>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</si>
  <si>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</si>
  <si>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</si>
  <si>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</si>
  <si>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</si>
  <si>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</si>
  <si>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</si>
  <si>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</si>
  <si>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</si>
  <si>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</si>
  <si>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</si>
  <si>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</si>
  <si>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</si>
  <si>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</si>
  <si>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</si>
  <si>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</si>
  <si>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</si>
  <si>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</si>
  <si>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</si>
  <si>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</si>
  <si>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</si>
  <si>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</si>
  <si>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</si>
  <si>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</si>
  <si>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</si>
  <si>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</si>
  <si>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</si>
  <si>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</si>
  <si>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</si>
  <si>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</si>
  <si>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</si>
  <si>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</si>
  <si>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</si>
  <si>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</si>
  <si>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</si>
  <si>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</si>
  <si>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</si>
  <si>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</si>
  <si>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</si>
  <si>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</si>
  <si>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</si>
  <si>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</si>
  <si>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</si>
  <si>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</si>
  <si>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</si>
  <si>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</si>
  <si>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</si>
  <si>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</si>
  <si>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</si>
  <si>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</si>
  <si>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</si>
  <si>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</si>
  <si>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</si>
  <si>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</si>
  <si>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</si>
  <si>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</si>
  <si>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</si>
  <si>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</si>
  <si>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</si>
  <si>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</si>
  <si>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</si>
  <si>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</si>
  <si>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</si>
  <si>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</si>
  <si>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</si>
  <si>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</si>
  <si>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</si>
  <si>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</si>
  <si>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</si>
  <si>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</si>
  <si>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</si>
  <si>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</si>
  <si>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</si>
  <si>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</si>
  <si>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</si>
  <si>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</si>
  <si>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</si>
  <si>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</si>
  <si>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</si>
  <si>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</si>
  <si>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</si>
  <si>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</si>
  <si>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</si>
  <si>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</si>
  <si>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</si>
  <si>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</si>
  <si>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</si>
  <si>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</si>
  <si>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</si>
  <si>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</si>
  <si>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</si>
  <si>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</si>
  <si>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</si>
  <si>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</si>
  <si>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</si>
  <si>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</si>
  <si>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</si>
  <si>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</si>
  <si>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</si>
  <si>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</si>
  <si>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</si>
  <si>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</si>
  <si>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</si>
  <si>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</si>
  <si>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</si>
  <si>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</si>
  <si>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</si>
  <si>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</si>
  <si>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</si>
  <si>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</si>
  <si>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</si>
  <si>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</si>
  <si>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</si>
  <si>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</si>
  <si>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</si>
  <si>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</si>
  <si>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</si>
  <si>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</si>
  <si>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</si>
  <si>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</si>
  <si>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</si>
  <si>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</si>
  <si>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</si>
  <si>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</si>
  <si>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</si>
  <si>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</si>
  <si>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</si>
  <si>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</si>
  <si>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</si>
  <si>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</si>
  <si>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</si>
  <si>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</si>
  <si>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</si>
  <si>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</si>
  <si>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</si>
  <si>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</si>
  <si>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</si>
  <si>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</si>
  <si>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</si>
  <si>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</si>
  <si>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</si>
  <si>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</si>
  <si>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</si>
  <si>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</si>
  <si>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</si>
  <si>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</si>
  <si>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</si>
  <si>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</si>
  <si>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</si>
  <si>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</si>
  <si>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</si>
  <si>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</si>
  <si>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</si>
  <si>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</si>
  <si>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</si>
  <si>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</si>
  <si>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</si>
  <si>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</si>
  <si>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</si>
  <si>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</si>
  <si>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</si>
  <si>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</si>
  <si>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</si>
  <si>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</si>
  <si>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</si>
  <si>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</si>
  <si>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</si>
  <si>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</si>
  <si>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</si>
  <si>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</si>
  <si>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</si>
  <si>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</si>
  <si>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</si>
  <si>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</si>
  <si>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</si>
  <si>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</si>
  <si>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</si>
  <si>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</si>
  <si>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</si>
  <si>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</si>
  <si>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</si>
  <si>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</si>
  <si>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</si>
  <si>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</si>
  <si>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</si>
  <si>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</si>
  <si>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</si>
  <si>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</si>
  <si>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</si>
  <si>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</si>
  <si>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</si>
  <si>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</si>
  <si>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</si>
  <si>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</si>
  <si>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</si>
  <si>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CPS</t>
  </si>
  <si>
    <t>Cps</t>
  </si>
  <si>
    <t>InvCps</t>
  </si>
  <si>
    <t>IHP</t>
  </si>
  <si>
    <t>Ihp</t>
  </si>
  <si>
    <t>InvIhp</t>
  </si>
  <si>
    <t>Inhouse Part</t>
  </si>
  <si>
    <t>Master.Cmm</t>
  </si>
  <si>
    <t>nvarchar(50)</t>
  </si>
  <si>
    <t>nvarchar(5000)</t>
  </si>
  <si>
    <t>VEHICLE_TYPE</t>
  </si>
  <si>
    <t>MODEL</t>
  </si>
  <si>
    <t>MARKETING_CODE</t>
  </si>
  <si>
    <t>PRODUCTION_CODE</t>
  </si>
  <si>
    <t>nvarchar(10)</t>
  </si>
  <si>
    <t>MstCmmVehicleCBU</t>
  </si>
  <si>
    <t>VehicleCBU</t>
  </si>
  <si>
    <t>Vehicle CBU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</si>
</sst>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8"/>
  <sheetViews>
    <sheetView tabSelected="1" topLeftCell="A61" zoomScaleNormal="100" workbookViewId="0">
      <selection activeCell="F69" sqref="F6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341</v>
      </c>
      <c r="F18" s="1" t="s">
        <v>343</v>
      </c>
      <c r="G18" t="s">
        <v>342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329</v>
      </c>
      <c r="G42" t="s">
        <v>329</v>
      </c>
    </row>
    <row r="43" spans="1:8" x14ac:dyDescent="0.25">
      <c r="A43" s="1"/>
      <c r="D43" t="s">
        <v>319</v>
      </c>
      <c r="F43" s="1" t="s">
        <v>324</v>
      </c>
      <c r="G43" t="s">
        <v>330</v>
      </c>
    </row>
    <row r="44" spans="1:8" x14ac:dyDescent="0.25">
      <c r="A44" s="1"/>
      <c r="D44" t="s">
        <v>321</v>
      </c>
      <c r="F44" s="1" t="s">
        <v>325</v>
      </c>
      <c r="G44" t="s">
        <v>331</v>
      </c>
    </row>
    <row r="45" spans="1:8" x14ac:dyDescent="0.25">
      <c r="A45" s="1"/>
      <c r="D45" t="s">
        <v>320</v>
      </c>
      <c r="F45" s="1" t="s">
        <v>326</v>
      </c>
      <c r="G45" t="s">
        <v>332</v>
      </c>
    </row>
    <row r="46" spans="1:8" x14ac:dyDescent="0.25">
      <c r="A46" s="1"/>
      <c r="D46" t="s">
        <v>354</v>
      </c>
      <c r="F46" s="1" t="s">
        <v>355</v>
      </c>
      <c r="G46" t="s">
        <v>356</v>
      </c>
      <c r="H46" t="s">
        <v>357</v>
      </c>
    </row>
    <row r="47" spans="1:8" x14ac:dyDescent="0.25">
      <c r="A47" s="1"/>
      <c r="D47" t="s">
        <v>338</v>
      </c>
      <c r="F47" s="1" t="s">
        <v>339</v>
      </c>
      <c r="G47" t="s">
        <v>340</v>
      </c>
    </row>
    <row r="48" spans="1:8" x14ac:dyDescent="0.25">
      <c r="A48" s="1"/>
      <c r="D48" t="s">
        <v>323</v>
      </c>
      <c r="F48" s="1" t="s">
        <v>327</v>
      </c>
      <c r="G48" t="s">
        <v>333</v>
      </c>
    </row>
    <row r="49" spans="1:7" x14ac:dyDescent="0.25">
      <c r="A49" s="1"/>
      <c r="D49" t="s">
        <v>322</v>
      </c>
      <c r="F49" s="1" t="s">
        <v>328</v>
      </c>
      <c r="G49" t="s">
        <v>334</v>
      </c>
    </row>
    <row r="50" spans="1:7" x14ac:dyDescent="0.25">
      <c r="A50" s="1"/>
      <c r="D50" t="s">
        <v>335</v>
      </c>
      <c r="F50" s="1" t="s">
        <v>336</v>
      </c>
      <c r="G50" t="s">
        <v>337</v>
      </c>
    </row>
    <row r="51" spans="1:7" x14ac:dyDescent="0.25">
      <c r="A51" s="1"/>
      <c r="D51" t="s">
        <v>351</v>
      </c>
      <c r="F51" s="1" t="s">
        <v>352</v>
      </c>
      <c r="G51" t="s">
        <v>353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[Table("MstCmmVehicleCBU")]
	public class MstCmmVehicleCBU: FullAuditedEntity&lt;long&gt;, IEntity&lt;long&gt;	
	{
		public const int MaxVehicleTypeLength = 10;
		public const int MaxModelLength = 5000;
		public const int MaxMarketingCodeLength = 50;
		public const int MaxProductionCodeLength = 50;
		[StringLength(MaxVehicleTypeLength)]
		public virtual string VehicleType { get; set; }
		[StringLength(MaxModelLength)]
		public virtual string Model { get; set; }
		[StringLength(MaxMarketingCodeLength)]
		public virtual string MarketingCode { get; set; }
		[StringLength(MaxProductionCodeLength)]
		public virtual string ProductionCode { get; set; }
	}
}
</v>
      </c>
      <c r="D69" s="48" t="str">
        <f>A.Backend!O7</f>
        <v xml:space="preserve">		public const string Pages_Master_Cmm_VehicleCBU = "Pages.Master.Cmm.VehicleCBU";
		public const string Pages_Master_Cmm_VehicleCBU_CreateEdit = "Pages.Master.Cmm.VehicleCBU.CreateEdit";
		public const string Pages_Master_Cmm_VehicleCBU_Delete = "Pages.Master.Cmm.VehicleCBU.Delete";
</v>
      </c>
      <c r="E69" s="48" t="str">
        <f>A.Backend!N7</f>
        <v xml:space="preserve">		var perMstCmmVehicleCBU = PARENTS.CreateChildPermission(AppPermissions.Pages_Master_Cmm_VehicleCBU, L( "MasterCmmVehicleCBU"), multiTenancySides: MultiTenancySides.Tenant);
		perMstCmmVehicleCBU.CreateChildPermission(AppPermissions.Pages_Master_Cmm_VehicleCBU_CreateEdit, L( "MasterCmmVehicleCBUCreateEdit"), multiTenancySides: MultiTenancySides.Tenant);
		perMstCmmVehicleCBU.CreateChildPermission(AppPermissions.Pages_Master_Cmm_VehicleCBU_Delete, L( "MasterCmmVehicleCBUDelete"), multiTenancySides: MultiTenancySides.Tenant);</v>
      </c>
      <c r="F69" s="48" t="str">
        <f>A.Backend!K7</f>
        <v>public virtual DbSet&lt;MstCmmVehicleCBU&gt; MstCmmVehicleCBUs { get; set; }</v>
      </c>
      <c r="G69" s="48" t="str">
        <f ca="1">A.Backend!L7</f>
        <v xml:space="preserve">namespace prod.Master.Cmm
{
	public class MstCmmVehicleCBUConsts	
	{
		public const int MaxVehicleTypeLength = 10;
		public const int MaxModelLength = 5000;
		public const int MaxMarketingCodeLength = 50;
		public const int MaxProductionCodeLength = 50;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prod.Master.Cmm.Dto
{
	public class MstCmmVehicleCBUDto : EntityDto&lt;long?&gt;	
	{
		public virtual string VehicleType { get; set; }
		public virtual string Model { get; set; }
		public virtual string MarketingCode { get; set; }
		public virtual string ProductionCode { get; set; }
	}
	public class CreateOrEditMstCmmVehicleCBUDto : EntityDto&lt;long?&gt;	
	{
		[StringLength(MstCmmVehicleCBUConsts.MaxVehicleTypeLength)]
		public virtual string VehicleType { get; set; }
		[StringLength(MstCmmVehicleCBUConsts.MaxModelLength)]
		public virtual string Model { get; set; }
		[StringLength(MstCmmVehicleCBUConsts.MaxMarketingCodeLength)]
		public virtual string MarketingCode { get; set; }
		[StringLength(MstCmmVehicleCBUConsts.MaxProductionCodeLength)]
		public virtual string ProductionCode { get; set; }
	}
	public class GetMstCmmVehicleCBUInput : PagedAndSortedResultRequestDto	
	{
		public virtual string VehicleType { get; set; }
		public virtual string Model { get; set; }
		public virtual string MarketingCode { get; set; }
		public virtual string ProductionCode { get; set; }
	}
}
</v>
      </c>
      <c r="I69" s="48" t="str">
        <f ca="1">A.Backend!R7</f>
        <v xml:space="preserve">using Abp.Application.Services.Dto;
using System;
using System.ComponentModel.DataAnnotations;
namespace prod.Master.Cmm.Dto
{
	public class MstCmmVehicleCBUExportInput{
		public virtual string VehicleType { get; set; }
		public virtual string Model { get; set; }
		public virtual string MarketingCode { get; set; }
		public virtual string ProductionCode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vovina.Master.Cmm.Dto;
namespace prod.Master.Cmm
{
	public interface IMstCmmVehicleCBUAppService : IApplicationService
	{
		Task&lt;PagedResultDto&lt;MstCmmVehicleCBUDto&gt;&gt; GetAll(GetMstCmmVehicleCBUInput input);
		Task CreateOrEdit(CreateOrEditMstCmmVehicleCBUDto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vovina.Master.Cmm.Dto;
namespace prod.Master.Cmm.Exporting
{
	public interface IMstCmmVehicleCBUExcelExporter : IApplicationService
	{
		FileDto ExportToFile(List&lt;MstCmmVehicleCBUDto&gt; mstcmmvehiclecbu);
	}
}
</v>
      </c>
      <c r="L69" s="48" t="str">
        <f ca="1">A.Backend!T7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MstCmmVehicleCBUExcelExporter : NpoiExcelExporterBase, IMstCmmVehicleCBUExcelExporter
    {
        public MstCmmVehicleCBUExcelExporter(ITempFileCacheManager tempFileCacheManager) : base(tempFileCacheManager) { }
        public FileDto ExportToFile(List&lt;MstCmmVehicleCBUDto&gt; vehiclecbu)
        {
            return CreateExcelPackage(
				"MasterCmmVehicleCBU.xlsx",
				excelPackage =&gt;
				 {
					var sheet = excelPackage.CreateSheet("VehicleCBU");
					AddHeader(
								sheet,
								("VehicleType"),
								("Model"),
								("MarketingCode"),
								("ProductionCode"),
							   );
					AddObjects(
						 sheet, 1, vehiclecbu,                                       
								_ =&gt; _.VehicleType,
								_ =&gt; _.Model,
								_ =&gt; _.MarketingCode,
								_ =&gt; _.ProductionCode,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[AbpAuthorize(AppPermissions.Pages_Master_Cmm_VehicleCBU)]
    public class MstCmmVehicleCBUAppService : vovinaAppServiceBase, IMstCmmVehicleCBUAppService
    {
        private readonly IDapperRepository&lt;MstCmmVehicleCBU, long&gt; _dapperRepo;
        private readonly IRepository&lt;MstCmmVehicleCBU, long&gt; _repo;
        private readonly IMstCmmVehicleCBUExcelExporter _calendarListExcelExporter;
        public MstCmmVehicleCBUAppService(IRepository&lt;MstCmmVehicleCBU,long&gt; repo, 
                                         IDapperRepository&lt;MstCmmVehicleCBU,long&gt; dapperRepo,
                                        IMstCmmVehicleCBUExcelExporter calendarListExcelExporter
            )
        {
            _repo = repo;
            _dapperRepo = dapperRepo;
            _calendarListExcelExporter = calendarListExcelExporter;
        }
        [AbpAuthorize(AppPermissions.Pages_Master_Cmm_VehicleCBU_CreateEdit)]
        public async Task CreateOrEdit(CreateOrEditMstCmmVehicleCBUDto input)
        {
            if (input.Id == null) await Create(input);
            else await Update(input);
        }
        //CREATE
        private async Task Create(CreateOrEditMstCmmVehicleCBUDto input)
        {          
            var mainObj = ObjectMapper.Map&lt;MstCmmVehicleCBU&gt;(input);
            await CurrentUnitOfWork.GetDbContext&lt;vovinaDbContext&gt;().AddAsync(mainObj);
        }
        // EDIT
        private async Task Update(CreateOrEditMstCmmVehicleCBUDto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[AbpAuthorize(AppPermissions.Pages_Master_Cmm_VehicleCBU_Delete)]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Task&lt;PagedResultDto&lt;MstCmmVehicleCBUDto&gt;&gt; GetAll(GetMstCmmVehicleCBUInput input)
        {
            var filtered = _repo.GetAll()
				.WhereIf(!string.IsNullOrWhiteSpace(input.VehicleType), e =&gt; e.VehicleType.Contains(input.VehicleType))
				.WhereIf(!string.IsNullOrWhiteSpace(input.Model), e =&gt; e.Model.Contains(input.Model))
				.WhereIf(!string.IsNullOrWhiteSpace(input.MarketingCode), e =&gt; e.MarketingCode.Contains(input.MarketingCode))
				.WhereIf(!string.IsNullOrWhiteSpace(input.ProductionCode), e =&gt; e.ProductionCode.Contains(input.ProductionCode))                   
				;
            var pageAndFiltered = filtered.OrderBy(s =&gt; s.Id);
            var system = from o in pageAndFiltered
                         select new MstCmmVehicleCBUDto
                        {
							Id = o.Id,
							VehicleType = o.VehicleType,
							Model = o.Model,
							MarketingCode = o.MarketingCode,
							ProductionCode = o.ProductionCode,
                        };
            var totalCount = await filtered.CountAsync();
			var paged = system.PageBy(input);
            return new PagedResultDto&lt;MstCmmVehicleCBUDto&gt;(
                totalCount,
                 await paged.ToListAsync()
            );
        }
        public async Task&lt;FileDto&gt; GetVehicleCBUToExcel(MstCmmVehicleCBUExportInput input)
        {
            var query = from o in _repo.GetAll()
                        select new MstCmmVehicleCBUDto
                        {
							Id = o.Id,
							VehicleType = o.VehicleType,
							Model = o.Model,
							MarketingCode = o.MarketingCode,
							ProductionCode = o.ProductionCode,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_dapperRepo.ExecuteAsync(MstCmmVehicleCBUConsts.SP_MST_WPT_CALENDAR_GENERATE);
       // }
    }
}</v>
      </c>
      <c r="N69" s="58" t="str">
        <f>A.Backend!U7</f>
        <v xml:space="preserve">  configuration.CreateMap&lt;MstCmmVehicleCBUDto, MstCmmVehicleCBU&gt;();
  configuration.CreateMap&lt;MstCmmVehicleCBU, MstCmmVehicleCBUDto&gt;();
  configuration.CreateMap&lt;CreateOrEditMstCmmVehicleCBUDto, MstCmmVehicleCBU&gt;();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vehiclecbu</v>
      </c>
      <c r="C74" s="66" t="str">
        <f>"create folder " &amp;B74</f>
        <v>create folder vehiclecbu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vehiclecbu.component.ts</v>
      </c>
      <c r="D75" s="28" t="str">
        <f>B.Frontend!I14</f>
        <v>vehiclecbu.component.html</v>
      </c>
      <c r="E75" s="28" t="str">
        <f>B.Frontend!J14</f>
        <v>vehiclecbu.component.less</v>
      </c>
      <c r="F75" s="28" t="str">
        <f>B.Frontend!K14</f>
        <v>create-or-edit-vehiclecbu-modal.component.html</v>
      </c>
      <c r="G75" s="28" t="str">
        <f>B.Frontend!L14</f>
        <v>create-or-edit-vehiclecbu-modal.component.ts</v>
      </c>
      <c r="H75" s="28" t="str">
        <f>B.Frontend!M14</f>
        <v>create-or-edit-vehiclecbu-modal.component.less</v>
      </c>
      <c r="I75" s="28" t="str">
        <f>B.Frontend!N14</f>
        <v>vehiclecbu.module.ts</v>
      </c>
      <c r="J75" s="28" t="str">
        <f>B.Frontend!O14</f>
        <v>vehiclecbu-routing.module.ts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MstCmmVehicleCBUDto, MstCmmVehicleCBUServiceProxy } from '@shared/service-proxies/service-proxies';
import { finalize } from 'rxjs/internal/operators/finalize';
import { CreateOrEditVehicleCBUModalComponent } from './create-or-edit-vehiclecbu-modal.component';
import { DatePipe } from '@angular/common';
import { FileDownloadService } from '@shared/utils/file-download.service';
import ceil from 'lodash-es/ceil';
import { Paginator } from 'primeng/paginator';
@Component({
    templateUrl: './vehiclecbu.component.html',
    styleUrls: ['./vehiclecbu.component.less'],
})
export class VehicleCBUComponent extends AppComponentBase implements OnInit {
    @ViewChild('createOrEditModalVehicleCBU', { static: true }) createOrEditModalVehicleCBU:| CreateOrEditVehicleCBUModalComponent|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MstCmmVehicleCBUDto = new MstCmmVehicleCBUDto();
    saveSelectedRow: MstCmmVehicleCBUDto = new MstCmmVehicleCBUDto();
    datas: MstCmmVehicleCBUDto = new MstCmmVehicleCBUDto();
    isLoading: boolean = false;
    dataParams: GridParams | undefined;
    rowData: any[] = [];
    gridApi!: GridApi;
    rowSelection = 'multiple';
    filter: string = '';
	pipe = new DatePipe('en-US');
	frameworkComponents: FrameworkComponent;
    	vehicleType : string = '' ; 
	model : string = '' ; 
	marketingCode : string = '' ; 
	productionCode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MstCmmVehicleCBUServiceProxy,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this.l('Vehicle Type'),headerTooltip: this.l('Vehicle Type'),field: 'vehicleType',flex: 1},
			{headerName: this.l('Model'),headerTooltip: this.l('Model'),field: 'model',flex: 1},
			{headerName: this.l('Marketing Code'),headerTooltip: this.l('Marketing Code'),field: 'marketingCode',flex: 1},
			{headerName: this.l('Production Code'),headerTooltip: this.l('Production Code'),field: 'productionCode',flex: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this.vehicleType,
			this.model,
			this.marketingCode,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vehicleType : string = '' ; 
	model : string = '' ; 
	marketingCode : string = '' ; 
	productionCode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this.vehicleType,
			this.model,
			this.marketingCode,
			'',
            this.paginationParams.skipCount,
            this.paginationParams.pageSize
        );
    }
    onChangeRowSelection(params: { api: { getSelectedRows: () =&gt; MstCmmVehicleCBUDto[] } }) {
        this.saveSelectedRow = params.api.getSelectedRows()[0] ?? new MstCmmVehicleCBUDto();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MstCmmVehicleCBUDto):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this._service.getVehicleCBUToExcel(
			this.,
			this.vehicleType,
			this.model,
			this.marketingCode,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Vehicle CBU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[(ngModel)]='vehicleType' name='vehicleType'
									class='form-control' [placeholder]="l('Vehicle Type')"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[(ngModel)]='marketingCode' name='marketingCode'
									class='form-control' [placeholder]="l('Marketing Code')"
									type='text' (keyup.enter)='searchDatas()'&gt;
								&lt;/div&gt;
								&lt;div class='input-search'&gt;
									&lt;input [(ngModel)]='productionCode' name='productionCode'
									class='form-control' [placeholder]="l('Production Code')"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(click)="createOrEditModalVehicleCBU.show()"&gt;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(click)="createOrEditModalVehicleCBU.show(selectedRow)"&gt;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&lt;create-or-edit-vehiclecbu-modal
    #createOrEditModalVehicleCBU
    (modalSave)="callBackDataGrid(dataParams)"
    (modalClose)="onChangeRowSelection(dataParams)"
&gt;
&lt;/create-or-edit-vehiclecbu-modal&gt;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#createOrEditModalVehicleCBU="bs-modal"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VehicleCBU')}}&lt;/h3&gt;
                    &lt;h3 *ngIf="!rowdata.id"&gt;{{('Create New VehicleCBU')}}&lt;/h3&gt;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title'&gt;Vehicle Type&lt;/label&gt;
						&lt;input type='text' class='col-md-10 form-control input-text' name='VehicleType' [(ngModel)]='rowdata.vehicleType'&gt;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title'&gt;Marketing Code&lt;/label&gt;
						&lt;input type='text' class='col-md-10 form-control input-text' name='MarketingCode' [(ngModel)]='rowdata.marketingCode'&gt;
					&lt;/div&gt;
					&lt;div class='col-md-12 form-group row'&gt;
						&lt;label class='col-md-2 form-control title'&gt;Production Code&lt;/label&gt;
						&lt;input type='text' class='col-md-10 form-control input-text' name='ProductionCode' [(ngModel)]='rowdata.productionCode'&gt;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CreateOrEditMstCmmVehicleCBUDto, MstCmmVehicleCBUServiceProxy } from '@shared/service-proxies/service-proxies';
import { BsDatepickerDirective } from 'ngx-bootstrap/datepicker';
@Component({
    selector: 'create-or-edit-vehiclecbu-modal',
    templateUrl: './create-or-edit-vehiclecbu-modal.component.html',
    styleUrls: ['./create-or-edit-vehiclecbu-modal.component.less']
    })
export class CreateOrEditVehicleCBUModalComponent extends AppComponentBase {
    @ViewChild('createOrEditModalVehicleCBU',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CreateOrEditMstCmmVehicleCBUDto = new CreateOrEditMstCmmVehicleCBUDto();
    active: boolean = false;
    saving: boolean = false;
    _: boolean;
    constructor(
        injector: Injector,
        private _mstwptVehicleCBUService: MstCmmVehicleCBUServiceProxy,
    ) 
    {
        super(injector);
    }
    show(rowdata?: CreateOrEditMstCmmVehicleCBUDto): void {
        if (!rowdata) this.rowdata = new CreateOrEditMstCmmVehicleCBUDto();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this._mstwptVehicleCBUService.createOrEdit(this.rowdata)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VehicleCBURoutingModule } from './vehiclecbu-routing.module';
import { VehicleCBUComponent } from './vehiclecbu.component';
import { CreateOrEditVehicleCBUModalComponent } from './create-or-edit-vehiclecbu-modal.component';
@NgModule({
    declarations: [
       VehicleCBUComponent, 
        CreateOrEditVehicleCBUModalComponent
    ],
    imports: [
        AppSharedModule, VehicleCBURoutingModule]
})
export class VehicleCBUModule {}</v>
      </c>
      <c r="J76" s="46" t="str">
        <f>B.Frontend!O10</f>
        <v>import {NgModule} from '@angular/core';
import {RouterModule, Routes} from '@angular/router';
import { VehicleCBUComponent } from './vehiclecbu.component';
const routes: Routes = [{
    path: '',
    component: VehicleCBUComponent,
    pathMatch: 'full'
}];
@NgModule({
    imports: [RouterModule.forChild(routes)],
    exports: [RouterModule],
})
export class VehicleCBURoutingModule {}</v>
      </c>
      <c r="K76" s="46" t="str">
        <f>B.Frontend!P10</f>
        <v xml:space="preserve"> new AppMenuItem("VehicleCBU", "Pages.Master.Cmm.VehicleCBU", "flaticon-book",   "/app/main/master/cmm/vehiclecbu"),</v>
      </c>
      <c r="L76" s="47" t="str">
        <f>B.Frontend!Q10</f>
        <v>{
    path: 'master/cmm/vehiclecbu',
    loadChildren: () =&gt; import('./master/cmm/vehiclecbu/vehiclecbu.module').then(m =&gt; m.VehicleCBUModule),
    data: { permission: 'Pages.Master.Cmm.VehicleCBU' }
},</v>
      </c>
      <c r="M76" s="45" t="str">
        <f>B.Frontend!R10</f>
        <v>ApiServiceProxies.MstCmmVehicleCBUServiceProxy,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4"/>
  <sheetViews>
    <sheetView workbookViewId="0">
      <pane xSplit="1" topLeftCell="B1" activePane="topRight" state="frozen"/>
      <selection pane="topRight" activeCell="B3" sqref="B3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vovina.Master.Cmm.Dto;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358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366</v>
      </c>
      <c r="C3" s="9" t="s">
        <v>40</v>
      </c>
      <c r="D3" s="9" t="s">
        <v>41</v>
      </c>
      <c r="E3" s="9" t="s">
        <v>36</v>
      </c>
      <c r="F3" s="10" t="str">
        <f>"J"&amp;COUNTA($A:$A)</f>
        <v>J12</v>
      </c>
      <c r="G3" s="4" t="s">
        <v>53</v>
      </c>
      <c r="H3" s="9" t="str">
        <f>"I"&amp;COUNTA($A:$A)</f>
        <v>I12</v>
      </c>
      <c r="I3" s="9" t="str">
        <f>REPT(CHAR(9),2)&amp;"[Required]"&amp;"
"</f>
        <v xml:space="preserve">		[Required]
</v>
      </c>
      <c r="J3" s="10" t="str">
        <f>"L"&amp;COUNTA($A:$A)</f>
        <v>L12</v>
      </c>
      <c r="K3" s="5" t="s">
        <v>52</v>
      </c>
      <c r="L3" s="10" t="str">
        <f>"M"&amp;COUNTA($A:$A)</f>
        <v>M12</v>
      </c>
      <c r="M3" s="10" t="str">
        <f>"N"&amp;COUNTA($A:$A)</f>
        <v>N12</v>
      </c>
      <c r="N3" s="10" t="str">
        <f>"O"&amp;COUNTA($A:$A)</f>
        <v>O12</v>
      </c>
      <c r="O3" s="10" t="str">
        <f>"P"&amp;COUNTA($A:$A)</f>
        <v>P12</v>
      </c>
      <c r="Q3" s="10" t="str">
        <f>RIGHT(B2,(LEN(B2)-FIND(".",B2,1)))</f>
        <v>Cmm</v>
      </c>
      <c r="R3" s="29" t="str">
        <f>REPT(CHAR(9),1)&amp;"public class "&amp;B3&amp;"ExportInput"&amp;C3</f>
        <v xml:space="preserve">	public class MstCmmVehicleCBUExportInput{
</v>
      </c>
      <c r="S3" s="10" t="str">
        <f>"namespace "&amp;$B$6&amp;".Exporting
"&amp;$C$3</f>
        <v xml:space="preserve">namespace prod.Master.Cmm.Exporting
{
</v>
      </c>
      <c r="T3" s="10" t="str">
        <f>"T"&amp;COUNTA($A:$A)</f>
        <v>T12</v>
      </c>
      <c r="V3" s="10" t="str">
        <f>"V"&amp;COUNTA($A:$A)</f>
        <v>V12</v>
      </c>
      <c r="W3" s="9" t="str">
        <f>"W"&amp;COUNTA($A:$A)</f>
        <v>W12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367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prod.Master.Cmm</v>
      </c>
      <c r="C6" s="10" t="str">
        <f>"namespace "&amp;$B$6&amp;"
"&amp;$C$3</f>
        <v xml:space="preserve">namespace prod.Master.Cmm
{
</v>
      </c>
      <c r="D6" s="10" t="str">
        <f>REPT(CHAR(9),1)&amp;"public class "&amp;B3&amp;G3&amp;REPT(CHAR(9),1)&amp;"
"&amp;REPT(CHAR(9),1)&amp;C3</f>
        <v xml:space="preserve">	public class MstCmmVehicleCBU: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MstCmmVehicleCBUConsts	
	{
</v>
      </c>
      <c r="F6" s="10" t="str">
        <f>REPT(CHAR(9),1)&amp;"public class "&amp;B3&amp;"Dto"&amp;K3&amp;REPT(CHAR(9),1)&amp;"
"&amp;REPT(CHAR(9),1)&amp;C3</f>
        <v xml:space="preserve">	public class MstCmmVehicleCBUDto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CreateOrEditMstCmmVehicleCBUDto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GetMstCmmVehicleCBUInput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MstCmmVehicleCBU</v>
      </c>
      <c r="C7" s="10" t="str">
        <f>REPT(CHAR(9),1)&amp;"[Table("""&amp;B7&amp;""")]"&amp;"
"</f>
        <v xml:space="preserve">	[Table("MstCmmVehicleCBU")]
</v>
      </c>
      <c r="D7" s="10"/>
      <c r="E7" s="10"/>
      <c r="F7" s="10"/>
      <c r="G7" s="10"/>
      <c r="H7" s="10"/>
      <c r="I7" s="10"/>
      <c r="J7" t="str">
        <f ca="1">SUBSTITUTE(SUBSTITUTE((B1&amp;C6&amp;C7&amp;K14&amp;D6&amp;I14&amp;E3&amp;J14&amp;""&amp;REPT(CHAR(9),1)&amp;D3&amp;D3),"WorkingPattern",$Q$3),"Master",$B$4)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[Table("MstCmmVehicleCBU")]
	public class MstCmmVehicleCBU: FullAuditedEntity&lt;long&gt;, IEntity&lt;long&gt;	
	{
		public const int MaxVehicleTypeLength = 10;
		public const int MaxModelLength = 5000;
		public const int MaxMarketingCodeLength = 50;
		public const int MaxProductionCodeLength = 50;
		[StringLength(MaxVehicleTypeLength)]
		public virtual string VehicleType { get; set; }
		[StringLength(MaxModelLength)]
		public virtual string Model { get; set; }
		[StringLength(MaxMarketingCodeLength)]
		public virtual string MarketingCode { get; set; }
		[StringLength(MaxProductionCodeLength)]
		public virtual string ProductionCode { get; set; }
	}
}
</v>
      </c>
      <c r="K7" t="str">
        <f>SUBSTITUTE(SUBSTITUTE(("public virtual DbSet&lt;"&amp;B3&amp;"&gt; "&amp;B3&amp;"s { get; set; }"),"WorkingPattern",$Q$3),"Master",$B$4)</f>
        <v>public virtual DbSet&lt;MstCmmVehicleCBU&gt; MstCmmVehicleCBUs { get; set; }</v>
      </c>
      <c r="L7" t="str">
        <f ca="1">SUBSTITUTE(SUBSTITUTE((C6&amp;E6&amp;I14&amp;"
"&amp;REPT(CHAR(9),2)&amp;"// Define Store Name: Format SP_ + &lt;Store Name&gt; = &lt;Store Name&gt;
"&amp;E3&amp;REPT(CHAR(9),1)&amp;D3&amp;D3),"WorkingPattern",$Q$3),"Master",$B$4)</f>
        <v xml:space="preserve">namespace prod.Master.Cmm
{
	public class MstCmmVehicleCBUConsts	
	{
		public const int MaxVehicleTypeLength = 10;
		public const int MaxModelLength = 5000;
		public const int MaxMarketingCodeLength = 50;
		public const int MaxProductionCodeLength = 50;
		// Define Store Name: Format SP_ + &lt;Store Name&gt; = &lt;Store Name&gt;
	}
}
</v>
      </c>
      <c r="M7" t="str">
        <f ca="1">SUBSTITUTE(SUBSTITUTE((C1&amp;"namespace "&amp;B6&amp;".Dto"&amp;E3&amp;C3&amp;F6&amp;M14&amp;E3&amp;REPT(CHAR(9),1)&amp;D3&amp;G6&amp;N14&amp;REPT(CHAR(9),1)&amp;D3&amp;H6&amp;O14&amp;"
"&amp;REPT(CHAR(9),1)&amp;D3&amp;D3),"WorkingPattern",$Q$3),"Master",$B$4)</f>
        <v xml:space="preserve">using Abp.Application.Services.Dto;
using System;
using System.ComponentModel.DataAnnotations;
namespace prod.Master.Cmm.Dto
{
	public class MstCmmVehicleCBUDto : EntityDto&lt;long?&gt;	
	{
		public virtual string VehicleType { get; set; }
		public virtual string Model { get; set; }
		public virtual string MarketingCode { get; set; }
		public virtual string ProductionCode { get; set; }
	}
	public class CreateOrEditMstCmmVehicleCBUDto : EntityDto&lt;long?&gt;	
	{
		[StringLength(MstCmmVehicleCBUConsts.MaxVehicleTypeLength)]
		public virtual string VehicleType { get; set; }
		[StringLength(MstCmmVehicleCBUConsts.MaxModelLength)]
		public virtual string Model { get; set; }
		[StringLength(MstCmmVehicleCBUConsts.MaxMarketingCodeLength)]
		public virtual string MarketingCode { get; set; }
		[StringLength(MstCmmVehicleCBUConsts.MaxProductionCodeLength)]
		public virtual string ProductionCode { get; set; }
	}
	public class GetMstCmmVehicleCBUInput : PagedAndSortedResultRequestDto	
	{
		public virtual string VehicleType { get; set; }
		public virtual string Model { get; set; }
		public virtual string MarketingCode { get; set; }
		public virtual string ProductionCode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perMstCmmVehicleCBU = PARENTS.CreateChildPermission(AppPermissions.Pages_Master_Cmm_VehicleCBU, L( "MasterCmmVehicleCBU"), multiTenancySides: MultiTenancySides.Tenant);
		perMstCmmVehicleCBU.CreateChildPermission(AppPermissions.Pages_Master_Cmm_VehicleCBU_CreateEdit, L( "MasterCmmVehicleCBUCreateEdit"), multiTenancySides: MultiTenancySides.Tenant);
		perMstCmmVehicleCBU.CreateChildPermission(AppPermissions.Pages_Master_Cmm_VehicleCBU_Delete, L( "MasterCmmVehicleCBUDelete"),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Pages_Master_Cmm_VehicleCBU = "Pages.Master.Cmm.VehicleCBU";
		public const string Pages_Master_Cmm_VehicleCBU_CreateEdit = "Pages.Master.Cmm.VehicleCBU.CreateEdit";
		public const string Pages_Master_Cmm_VehicleCBU_Delete = "Pages.Master.Cmm.VehicleCBU.Delete";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
{
	public interface IMstCmmVehicleCBUAppService : IApplicationService
	{
		Task&lt;PagedResultDto&lt;MstCmmVehicleCBUDto&gt;&gt; GetAll(GetMstCmmVehicleCBUInput input);
		Task CreateOrEdit(CreateOrEditMstCmmVehicleCBUDto input);
		Task Delete(EntityDto input);
	}
}
</v>
      </c>
      <c r="Q7" t="str">
        <f ca="1">SUBSTITUTE(SUBSTITUTE(SUBSTITUTE(SUBSTITUTE(SUBSTITUTE(SUBSTITUTE(E1,"MstWptCalendar",$B$3),"&lt;PROPERTIES&gt;",P14),"Calendar",$B$5),"WorkingPattern",$Q$3),"Master",$B$4),"&lt;PARAMS_SEARCH&gt;",$W$14)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[AbpAuthorize(AppPermissions.Pages_Master_Cmm_VehicleCBU)]
    public class MstCmmVehicleCBUAppService : vovinaAppServiceBase, IMstCmmVehicleCBUAppService
    {
        private readonly IDapperRepository&lt;MstCmmVehicleCBU, long&gt; _dapperRepo;
        private readonly IRepository&lt;MstCmmVehicleCBU, long&gt; _repo;
        private readonly IMstCmmVehicleCBUExcelExporter _calendarListExcelExporter;
        public MstCmmVehicleCBUAppService(IRepository&lt;MstCmmVehicleCBU,long&gt; repo, 
                                         IDapperRepository&lt;MstCmmVehicleCBU,long&gt; dapperRepo,
                                        IMstCmmVehicleCBUExcelExporter calendarListExcelExporter
            )
        {
            _repo = repo;
            _dapperRepo = dapperRepo;
            _calendarListExcelExporter = calendarListExcelExporter;
        }
        [AbpAuthorize(AppPermissions.Pages_Master_Cmm_VehicleCBU_CreateEdit)]
        public async Task CreateOrEdit(CreateOrEditMstCmmVehicleCBUDto input)
        {
            if (input.Id == null) await Create(input);
            else await Update(input);
        }
        //CREATE
        private async Task Create(CreateOrEditMstCmmVehicleCBUDto input)
        {          
            var mainObj = ObjectMapper.Map&lt;MstCmmVehicleCBU&gt;(input);
            await CurrentUnitOfWork.GetDbContext&lt;vovinaDbContext&gt;().AddAsync(mainObj);
        }
        // EDIT
        private async Task Update(CreateOrEditMstCmmVehicleCBUDto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[AbpAuthorize(AppPermissions.Pages_Master_Cmm_VehicleCBU_Delete)]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Task&lt;PagedResultDto&lt;MstCmmVehicleCBUDto&gt;&gt; GetAll(GetMstCmmVehicleCBUInput input)
        {
            var filtered = _repo.GetAll()
				.WhereIf(!string.IsNullOrWhiteSpace(input.VehicleType), e =&gt; e.VehicleType.Contains(input.VehicleType))
				.WhereIf(!string.IsNullOrWhiteSpace(input.Model), e =&gt; e.Model.Contains(input.Model))
				.WhereIf(!string.IsNullOrWhiteSpace(input.MarketingCode), e =&gt; e.MarketingCode.Contains(input.MarketingCode))
				.WhereIf(!string.IsNullOrWhiteSpace(input.ProductionCode), e =&gt; e.ProductionCode.Contains(input.ProductionCode))                   
				;
            var pageAndFiltered = filtered.OrderBy(s =&gt; s.Id);
            var system = from o in pageAndFiltered
                         select new MstCmmVehicleCBUDto
                        {
							Id = o.Id,
							VehicleType = o.VehicleType,
							Model = o.Model,
							MarketingCode = o.MarketingCode,
							ProductionCode = o.ProductionCode,
                        };
            var totalCount = await filtered.CountAsync();
			var paged = system.PageBy(input);
            return new PagedResultDto&lt;MstCmmVehicleCBUDto&gt;(
                totalCount,
                 await paged.ToListAsync()
            );
        }
        public async Task&lt;FileDto&gt; GetVehicleCBUToExcel(MstCmmVehicleCBUExportInput input)
        {
            var query = from o in _repo.GetAll()
                        select new MstCmmVehicleCBUDto
                        {
							Id = o.Id,
							VehicleType = o.VehicleType,
							Model = o.Model,
							MarketingCode = o.MarketingCode,
							ProductionCode = o.ProductionCode,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_dapperRepo.ExecuteAsync(MstCmmVehicleCBUConsts.SP_MST_WPT_CALENDAR_GENERATE);
       // }
    }
}</v>
      </c>
      <c r="R7" t="str">
        <f ca="1">SUBSTITUTE(SUBSTITUTE((C1&amp;"namespace "&amp;B6&amp;".Dto"&amp;E3&amp;C3&amp;R3&amp;M14&amp;E3&amp;REPT(CHAR(9),1)&amp;D3&amp;D3),"WorkingPattern",$Q$3),"Master",$B$4)</f>
        <v xml:space="preserve">using Abp.Application.Services.Dto;
using System;
using System.ComponentModel.DataAnnotations;
namespace prod.Master.Cmm.Dto
{
	public class MstCmmVehicleCBUExportInput{
		public virtual string VehicleType { get; set; }
		public virtual string Model { get; set; }
		public virtual string MarketingCode { get; set; }
		public virtual string ProductionCode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prod.Master.Cmm.Exporting
{
	public interface IMstCmmVehicleCBUExcelExporter : IApplicationService
	{
		FileDto ExportToFile(List&lt;MstCmmVehicleCBUDto&gt; mstcmmvehiclecbu);
	}
}
</v>
      </c>
      <c r="T7" s="26" t="str">
        <f ca="1">SUBSTITUTE(SUBSTITUTE(SUBSTITUTE(SUBSTITUTE(SUBSTITUTE(SUBSTITUTE(SUBSTITUTE(T1,"MstWptCalendar",$B$3),"&lt;PROPERTIES1&gt;",V14),"&lt;PROPERTIES&gt;",T14),"Calendar",$B$5),"calendar",LOWER(B5)),"WorkingPattern",$Q$3),"Master",$B$4)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MstCmmVehicleCBUExcelExporter : NpoiExcelExporterBase, IMstCmmVehicleCBUExcelExporter
    {
        public MstCmmVehicleCBUExcelExporter(ITempFileCacheManager tempFileCacheManager) : base(tempFileCacheManager) { }
        public FileDto ExportToFile(List&lt;MstCmmVehicleCBUDto&gt; vehiclecbu)
        {
            return CreateExcelPackage(
				"MasterCmmVehicleCBU.xlsx",
				excelPackage =&gt;
				 {
					var sheet = excelPackage.CreateSheet("VehicleCBU");
					AddHeader(
								sheet,
								("VehicleType"),
								("Model"),
								("MarketingCode"),
								("ProductionCode"),
							   );
					AddObjects(
						 sheet, 1, vehiclecbu,                                       
								_ =&gt; _.VehicleType,
								_ =&gt; _.Model,
								_ =&gt; _.MarketingCode,
								_ =&gt; _.ProductionCode,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configuration.CreateMap&lt;MstCmmVehicleCBUDto, MstCmmVehicleCBU&gt;();
  configuration.CreateMap&lt;MstCmmVehicleCBU, MstCmmVehicleCBUDto&gt;();
  configuration.CreateMap&lt;CreateOrEditMstCmmVehicleCBUDto, MstCmmVehicleCBU&gt;();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361</v>
      </c>
      <c r="B9" s="28" t="s">
        <v>365</v>
      </c>
      <c r="C9" t="s">
        <v>1</v>
      </c>
      <c r="D9" t="str">
        <f t="shared" ref="D9" si="0">SUBSTITUTE(PROPER(A9),"_","")</f>
        <v>VehicleType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10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MaxVehicleTypeLength = 10;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[StringLength(MaxVehicleTypeLength)]
		public virtual string VehicleType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VehicleType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[StringLength(MstCmmVehicleCBUConsts.MaxVehicleTypeLength)]
		public virtual string VehicleType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VehicleType { get; set; }
</v>
      </c>
      <c r="P9" t="str">
        <f t="shared" ref="P9" si="9">REPT(CHAR(9),7)&amp;D9&amp;" = o." &amp;D9 &amp;","</f>
        <v xml:space="preserve">							VehicleType = o.VehicleType,</v>
      </c>
      <c r="T9" s="63" t="str">
        <f t="shared" ref="T9" si="10">REPT(CHAR(9),8)&amp;"("""&amp;D9&amp;"""),"</f>
        <v xml:space="preserve">								("VehicleType"),</v>
      </c>
      <c r="V9" s="64" t="str">
        <f t="shared" ref="V9" si="11">REPT(CHAR(9),8)&amp;"_ =&gt; _."&amp;D9&amp;","</f>
        <v xml:space="preserve">								_ =&gt; _.VehicleType,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.WhereIf(!string.IsNullOrWhiteSpace(input.VehicleType), e =&gt; e.VehicleType.Contains(input.VehicleType))</v>
      </c>
    </row>
    <row r="10" spans="1:23" customFormat="1" ht="18.75" customHeight="1" x14ac:dyDescent="0.25">
      <c r="A10" s="28" t="s">
        <v>362</v>
      </c>
      <c r="B10" s="28" t="s">
        <v>360</v>
      </c>
      <c r="C10" t="s">
        <v>1</v>
      </c>
      <c r="D10" t="str">
        <f t="shared" ref="D10:D11" si="13">SUBSTITUTE(PROPER(A10),"_","")</f>
        <v>Model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5000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MaxModelLength = 5000;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[StringLength(MaxModelLength)]
		public virtual string Model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Model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[StringLength(MstCmmVehicleCBUConsts.MaxModelLength)]
		public virtual string Model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Model { get; set; }
</v>
      </c>
      <c r="P10" t="str">
        <f t="shared" ref="P10:P11" si="22">REPT(CHAR(9),7)&amp;D10&amp;" = o." &amp;D10 &amp;","</f>
        <v xml:space="preserve">							Model = o.Model,</v>
      </c>
      <c r="T10" s="63" t="str">
        <f t="shared" ref="T10:T11" si="23">REPT(CHAR(9),8)&amp;"("""&amp;D10&amp;"""),"</f>
        <v xml:space="preserve">								("Model"),</v>
      </c>
      <c r="V10" s="64" t="str">
        <f t="shared" ref="V10:V11" si="24">REPT(CHAR(9),8)&amp;"_ =&gt; _."&amp;D10&amp;","</f>
        <v xml:space="preserve">								_ =&gt; _.Model,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.WhereIf(!string.IsNullOrWhiteSpace(input.Model), e =&gt; e.Model.Contains(input.Model))</v>
      </c>
    </row>
    <row r="11" spans="1:23" customFormat="1" ht="18.75" customHeight="1" x14ac:dyDescent="0.25">
      <c r="A11" s="28" t="s">
        <v>363</v>
      </c>
      <c r="B11" s="28" t="s">
        <v>359</v>
      </c>
      <c r="C11" t="s">
        <v>1</v>
      </c>
      <c r="D11" t="str">
        <f t="shared" si="13"/>
        <v>MarketingCode</v>
      </c>
      <c r="E11" t="str">
        <f t="shared" si="14"/>
        <v>nvarchar</v>
      </c>
      <c r="F11" s="6"/>
      <c r="G11" t="str">
        <f t="shared" si="15"/>
        <v>50</v>
      </c>
      <c r="H11" t="str">
        <f>+VLOOKUP(E11,'Data Type Mapping'!A:B,2,)</f>
        <v>string</v>
      </c>
      <c r="I11" t="str">
        <f t="shared" si="16"/>
        <v xml:space="preserve">		public const int MaxMarketingCodeLength = 50;
</v>
      </c>
      <c r="J11" t="str">
        <f t="shared" si="17"/>
        <v xml:space="preserve">		[StringLength(MaxMarketingCodeLength)]
		public virtual string MarketingCode { get; set; }
</v>
      </c>
      <c r="K11" s="6"/>
      <c r="L11" t="str">
        <f t="shared" si="18"/>
        <v/>
      </c>
      <c r="M11" t="str">
        <f t="shared" si="19"/>
        <v xml:space="preserve">		public virtual string MarketingCode { get; set; }
</v>
      </c>
      <c r="N11" t="str">
        <f t="shared" si="20"/>
        <v xml:space="preserve">		[StringLength(MstCmmVehicleCBUConsts.MaxMarketingCodeLength)]
		public virtual string MarketingCode { get; set; }
</v>
      </c>
      <c r="O11" t="str">
        <f t="shared" si="21"/>
        <v xml:space="preserve">		public virtual string MarketingCode { get; set; }
</v>
      </c>
      <c r="P11" t="str">
        <f t="shared" si="22"/>
        <v xml:space="preserve">							MarketingCode = o.MarketingCode,</v>
      </c>
      <c r="T11" s="63" t="str">
        <f t="shared" si="23"/>
        <v xml:space="preserve">								("MarketingCode"),</v>
      </c>
      <c r="V11" s="64" t="str">
        <f t="shared" si="24"/>
        <v xml:space="preserve">								_ =&gt; _.MarketingCode,</v>
      </c>
      <c r="W11" s="63" t="str">
        <f t="shared" si="25"/>
        <v xml:space="preserve">				.WhereIf(!string.IsNullOrWhiteSpace(input.MarketingCode), e =&gt; e.MarketingCode.Contains(input.MarketingCode))</v>
      </c>
    </row>
    <row r="12" spans="1:23" customFormat="1" ht="18.75" customHeight="1" x14ac:dyDescent="0.25">
      <c r="A12" s="28" t="s">
        <v>364</v>
      </c>
      <c r="B12" s="28" t="s">
        <v>359</v>
      </c>
      <c r="C12" t="s">
        <v>1</v>
      </c>
      <c r="D12" t="str">
        <f t="shared" ref="D12" si="26">SUBSTITUTE(PROPER(A12),"_","")</f>
        <v>ProductionCode</v>
      </c>
      <c r="E12" t="str">
        <f t="shared" ref="E12" si="27">IFERROR(LEFT(B12, FIND("(",B12)-1),B12)</f>
        <v>nvarchar</v>
      </c>
      <c r="F12" s="6"/>
      <c r="G12" t="str">
        <f t="shared" ref="G12" si="28">IFERROR(MID(B12,FIND("(",B12) +1, FIND(")",B12) - FIND("(",B12) - 1),"")</f>
        <v>50</v>
      </c>
      <c r="H12" t="str">
        <f>+VLOOKUP(E12,'Data Type Mapping'!A:B,2,)</f>
        <v>string</v>
      </c>
      <c r="I12" t="str">
        <f t="shared" ref="I12" si="29">IF(H12="string",REPT(CHAR(9),2)&amp;"public const int Max"&amp;D12&amp;"Length = "&amp;G12&amp;";"&amp;$E$3,"" )</f>
        <v xml:space="preserve">		public const int MaxProductionCodeLength = 50;
</v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[StringLength(MaxProductionCodeLength)]
		public virtual string ProductionCode { get; set; }
</v>
      </c>
      <c r="K12" s="6"/>
      <c r="L12" t="str">
        <f t="shared" ref="L12" si="31">IF(K12="","",REPT(CHAR(9),1)&amp;"[Index(nameof("&amp;IF(D12="","",""&amp;D12)&amp;")"&amp;", Name="&amp;"""IX_"&amp;$B$7&amp;"_"&amp;D12&amp;""")]")</f>
        <v/>
      </c>
      <c r="M12" t="str">
        <f t="shared" ref="M12" si="32">REPT(CHAR(9),2)&amp;"public virtual "&amp;IF(OR(H12="DateTime",H12="TimeSpan"),H12&amp;"?",H12)&amp;IF(C12="?","? "," ")&amp;D12&amp;" { get; set; }" &amp; "
"</f>
        <v xml:space="preserve">		public virtual string ProductionCode { get; set; }
</v>
      </c>
      <c r="N12" t="str">
        <f t="shared" ref="N12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[StringLength(MstCmmVehicleCBUConsts.MaxProductionCodeLength)]
		public virtual string ProductionCode { get; set; }
</v>
      </c>
      <c r="O12" t="str">
        <f t="shared" ref="O12" si="34">IF(OR(H12="string",H12="DateTime",H12="int"),REPT(CHAR(9),2)&amp;"public virtual "&amp;IF(OR(H12="DateTime",H12="TimeSpan"),H12&amp;"?",H12)&amp;IF(C12="?","? "," ")&amp;D12&amp;" { get; set; }"&amp;$E$3,"")</f>
        <v xml:space="preserve">		public virtual string ProductionCode { get; set; }
</v>
      </c>
      <c r="P12" t="str">
        <f t="shared" ref="P12" si="35">REPT(CHAR(9),7)&amp;D12&amp;" = o." &amp;D12 &amp;","</f>
        <v xml:space="preserve">							ProductionCode = o.ProductionCode,</v>
      </c>
      <c r="T12" s="63" t="str">
        <f t="shared" ref="T12" si="36">REPT(CHAR(9),8)&amp;"("""&amp;D12&amp;"""),"</f>
        <v xml:space="preserve">								("ProductionCode"),</v>
      </c>
      <c r="V12" s="64" t="str">
        <f t="shared" ref="V12" si="37">REPT(CHAR(9),8)&amp;"_ =&gt; _."&amp;D12&amp;","</f>
        <v xml:space="preserve">								_ =&gt; _.ProductionCode,</v>
      </c>
      <c r="W12" s="63" t="str">
        <f t="shared" ref="W12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.WhereIf(!string.IsNullOrWhiteSpace(input.ProductionCode), e =&gt; e.ProductionCode.Contains(input.ProductionCode))</v>
      </c>
    </row>
    <row r="14" spans="1:23" ht="45.75" customHeight="1" x14ac:dyDescent="0.25">
      <c r="H14" s="11"/>
      <c r="I14" s="31" t="str">
        <f ca="1">TEXTJOIN2("
", TRUE,INDIRECT( $H$1):INDIRECT( $H$3))</f>
        <v xml:space="preserve">		public const int MaxVehicleTypeLength = 10;
		public const int MaxModelLength = 5000;
		public const int MaxMarketingCodeLength = 50;
		public const int MaxProductionCodeLength = 50;
</v>
      </c>
      <c r="J14" s="30" t="str">
        <f ca="1">TEXTJOIN2("
", TRUE,INDIRECT( $F$1):INDIRECT( $F$3))</f>
        <v xml:space="preserve">		[StringLength(MaxVehicleTypeLength)]
		public virtual string VehicleType { get; set; }
		[StringLength(MaxModelLength)]
		public virtual string Model { get; set; }
		[StringLength(MaxMarketingCodeLength)]
		public virtual string MarketingCode { get; set; }
		[StringLength(MaxProductionCodeLength)]
		public virtual string ProductionCode { get; set; }
</v>
      </c>
      <c r="K14" s="32" t="str">
        <f ca="1">TEXTJOIN2("
", TRUE,INDIRECT( $J$1):INDIRECT( $J$3))</f>
        <v/>
      </c>
      <c r="L14" s="12" t="s">
        <v>56</v>
      </c>
      <c r="M14" s="33" t="str">
        <f ca="1">TEXTJOIN2("
",TRUE,INDIRECT( $L$1):INDIRECT($L$3))</f>
        <v xml:space="preserve">		public virtual string VehicleType { get; set; }
		public virtual string Model { get; set; }
		public virtual string MarketingCode { get; set; }
		public virtual string ProductionCode { get; set; }
</v>
      </c>
      <c r="N14" s="30" t="str">
        <f ca="1">TEXTJOIN2("
",TRUE,INDIRECT( $M$1):INDIRECT($M$3))</f>
        <v xml:space="preserve">		[StringLength(MstCmmVehicleCBUConsts.MaxVehicleTypeLength)]
		public virtual string VehicleType { get; set; }
		[StringLength(MstCmmVehicleCBUConsts.MaxModelLength)]
		public virtual string Model { get; set; }
		[StringLength(MstCmmVehicleCBUConsts.MaxMarketingCodeLength)]
		public virtual string MarketingCode { get; set; }
		[StringLength(MstCmmVehicleCBUConsts.MaxProductionCodeLength)]
		public virtual string ProductionCode { get; set; }
</v>
      </c>
      <c r="O14" s="30" t="str">
        <f ca="1">TEXTJOIN2("
",TRUE,INDIRECT( $N$1):INDIRECT($N$3))</f>
        <v xml:space="preserve">		public virtual string VehicleType { get; set; }
		public virtual string Model { get; set; }
		public virtual string MarketingCode { get; set; }
		public virtual string ProductionCode { get; set; }
</v>
      </c>
      <c r="P14" s="8" t="str">
        <f ca="1">TEXTJOIN2("
",TRUE,INDIRECT( $O$1):INDIRECT($O$3))</f>
        <v xml:space="preserve">							VehicleType = o.VehicleType,
							Model = o.Model,
							MarketingCode = o.MarketingCode,
							ProductionCode = o.ProductionCode,</v>
      </c>
      <c r="T14" s="8" t="str">
        <f ca="1">TEXTJOIN2("
",TRUE,INDIRECT( $T$2):INDIRECT($T$3))</f>
        <v xml:space="preserve">								("VehicleType"),
								("Model"),
								("MarketingCode"),
								("ProductionCode"),</v>
      </c>
      <c r="V14" s="8" t="str">
        <f ca="1">TEXTJOIN2("
",TRUE,INDIRECT( $V$2):INDIRECT($V$3))</f>
        <v xml:space="preserve">								_ =&gt; _.VehicleType,
								_ =&gt; _.Model,
								_ =&gt; _.MarketingCode,
								_ =&gt; _.ProductionCode,</v>
      </c>
      <c r="W14" s="8" t="str">
        <f ca="1">TEXTJOIN2("
",TRUE,INDIRECT( $W$2):INDIRECT($W$3))</f>
        <v xml:space="preserve">				.WhereIf(!string.IsNullOrWhiteSpace(input.VehicleType), e =&gt; e.VehicleType.Contains(input.VehicleType))
				.WhereIf(!string.IsNullOrWhiteSpace(input.Model), e =&gt; e.Model.Contains(input.Model))
				.WhereIf(!string.IsNullOrWhiteSpace(input.MarketingCode), e =&gt; e.MarketingCode.Contains(input.MarketingCode))
				.WhereIf(!string.IsNullOrWhiteSpace(input.ProductionCode), e =&gt; e.ProductionCode.Contains(input.ProductionCode))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0"/>
  <sheetViews>
    <sheetView workbookViewId="0">
      <selection activeCell="B5" sqref="B5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368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Cmm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cmm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MstCmmVehicleCBU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VehicleCBU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vehiclecbu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MstCmmVehicleCBUDto, MstCmmVehicleCBUServiceProxy } from '@shared/service-proxies/service-proxies';
import { finalize } from 'rxjs/internal/operators/finalize';
import { CreateOrEditVehicleCBUModalComponent } from './create-or-edit-vehiclecbu-modal.component';
import { DatePipe } from '@angular/common';
import { FileDownloadService } from '@shared/utils/file-download.service';
import ceil from 'lodash-es/ceil';
import { Paginator } from 'primeng/paginator';
@Component({
    templateUrl: './vehiclecbu.component.html',
    styleUrls: ['./vehiclecbu.component.less'],
})
export class VehicleCBUComponent extends AppComponentBase implements OnInit {
    @ViewChild('createOrEditModalVehicleCBU', { static: true }) createOrEditModalVehicleCBU:| CreateOrEditVehicleCBUModalComponent|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MstCmmVehicleCBUDto = new MstCmmVehicleCBUDto();
    saveSelectedRow: MstCmmVehicleCBUDto = new MstCmmVehicleCBUDto();
    datas: MstCmmVehicleCBUDto = new MstCmmVehicleCBUDto();
    isLoading: boolean = false;
    dataParams: GridParams | undefined;
    rowData: any[] = [];
    gridApi!: GridApi;
    rowSelection = 'multiple';
    filter: string = '';
	pipe = new DatePipe('en-US');
	frameworkComponents: FrameworkComponent;
    	vehicleType : string = '' ; 
	model : string = '' ; 
	marketingCode : string = '' ; 
	productionCode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MstCmmVehicleCBUServiceProxy,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this.l('Vehicle Type'),headerTooltip: this.l('Vehicle Type'),field: 'vehicleType',flex: 1},
			{headerName: this.l('Model'),headerTooltip: this.l('Model'),field: 'model',flex: 1},
			{headerName: this.l('Marketing Code'),headerTooltip: this.l('Marketing Code'),field: 'marketingCode',flex: 1},
			{headerName: this.l('Production Code'),headerTooltip: this.l('Production Code'),field: 'productionCode',flex: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this.vehicleType,
			this.model,
			this.marketingCode,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vehicleType : string = '' ; 
	model : string = '' ; 
	marketingCode : string = '' ; 
	productionCode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this.vehicleType,
			this.model,
			this.marketingCode,
			'',
            this.paginationParams.skipCount,
            this.paginationParams.pageSize
        );
    }
    onChangeRowSelection(params: { api: { getSelectedRows: () =&gt; MstCmmVehicleCBUDto[] } }) {
        this.saveSelectedRow = params.api.getSelectedRows()[0] ?? new MstCmmVehicleCBUDto();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MstCmmVehicleCBUDto):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this._service.getVehicleCBUToExcel(
			this.,
			this.vehicleType,
			this.model,
			this.marketingCode,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Vehicle CBU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[(ngModel)]='vehicleType' name='vehicleType'
									class='form-control' [placeholder]="l('Vehicle Type')"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[(ngModel)]='marketingCode' name='marketingCode'
									class='form-control' [placeholder]="l('Marketing Code')"
									type='text' (keyup.enter)='searchDatas()'&gt;
								&lt;/div&gt;
								&lt;div class='input-search'&gt;
									&lt;input [(ngModel)]='productionCode' name='productionCode'
									class='form-control' [placeholder]="l('Production Code')"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(click)="createOrEditModalVehicleCBU.show()"&gt;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(click)="createOrEditModalVehicleCBU.show(selectedRow)"&gt;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&lt;create-or-edit-vehiclecbu-modal
    #createOrEditModalVehicleCBU
    (modalSave)="callBackDataGrid(dataParams)"
    (modalClose)="onChangeRowSelection(dataParams)"
&gt;
&lt;/create-or-edit-vehiclecbu-modal&gt;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#createOrEditModalVehicleCBU="bs-modal"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VehicleCBU')}}&lt;/h3&gt;
                    &lt;h3 *ngIf="!rowdata.id"&gt;{{('Create New VehicleCBU')}}&lt;/h3&gt;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title'&gt;Vehicle Type&lt;/label&gt;
						&lt;input type='text' class='col-md-10 form-control input-text' name='VehicleType' [(ngModel)]='rowdata.vehicleType'&gt;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title'&gt;Marketing Code&lt;/label&gt;
						&lt;input type='text' class='col-md-10 form-control input-text' name='MarketingCode' [(ngModel)]='rowdata.marketingCode'&gt;
					&lt;/div&gt;
					&lt;div class='col-md-12 form-group row'&gt;
						&lt;label class='col-md-2 form-control title'&gt;Production Code&lt;/label&gt;
						&lt;input type='text' class='col-md-10 form-control input-text' name='ProductionCode' [(ngModel)]='rowdata.productionCode'&gt;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CreateOrEditMstCmmVehicleCBUDto, MstCmmVehicleCBUServiceProxy } from '@shared/service-proxies/service-proxies';
import { BsDatepickerDirective } from 'ngx-bootstrap/datepicker';
@Component({
    selector: 'create-or-edit-vehiclecbu-modal',
    templateUrl: './create-or-edit-vehiclecbu-modal.component.html',
    styleUrls: ['./create-or-edit-vehiclecbu-modal.component.less']
    })
export class CreateOrEditVehicleCBUModalComponent extends AppComponentBase {
    @ViewChild('createOrEditModalVehicleCBU',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CreateOrEditMstCmmVehicleCBUDto = new CreateOrEditMstCmmVehicleCBUDto();
    active: boolean = false;
    saving: boolean = false;
    _: boolean;
    constructor(
        injector: Injector,
        private _mstwptVehicleCBUService: MstCmmVehicleCBUServiceProxy,
    ) 
    {
        super(injector);
    }
    show(rowdata?: CreateOrEditMstCmmVehicleCBUDto): void {
        if (!rowdata) this.rowdata = new CreateOrEditMstCmmVehicleCBUDto();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this._mstwptVehicleCBUService.createOrEdit(this.rowdata)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VehicleCBURoutingModule } from './vehiclecbu-routing.module';
import { VehicleCBUComponent } from './vehiclecbu.component';
import { CreateOrEditVehicleCBUModalComponent } from './create-or-edit-vehiclecbu-modal.component';
@NgModule({
    declarations: [
       VehicleCBUComponent, 
        CreateOrEditVehicleCBUModalComponent
    ],
    imports: [
        AppSharedModule, VehicleCBURoutingModule]
})
export class VehicleCBUModule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VehicleCBUComponent } from './vehiclecbu.component';
const routes: Routes = [{
    path: '',
    component: VehicleCBUComponent,
    pathMatch: 'full'
}];
@NgModule({
    imports: [RouterModule.forChild(routes)],
    exports: [RouterModule],
})
export class VehicleCBURoutingModule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AppMenuItem("VehicleCBU", "Pages.Master.Cmm.VehicleCBU", "flaticon-book",   "/app/main/master/cmm/vehiclecbu"),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'master/cmm/vehiclecbu',
    loadChildren: () =&gt; import('./master/cmm/vehiclecbu/vehiclecbu.module').then(m =&gt; m.VehicleCBUModule),
    data: { permission: 'Pages.Master.Cmm.VehicleCBU' }
},</v>
      </c>
      <c r="R10" s="47" t="str">
        <f>SUBSTITUTE(R9,"MstWptCalendar",$B$6)</f>
        <v>ApiServiceProxies.MstCmmVehicleCBUServiceProxy,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H18</v>
      </c>
      <c r="I12" s="28" t="str">
        <f>"I"&amp;COUNTA($A:$A)</f>
        <v>I18</v>
      </c>
      <c r="J12" s="28"/>
      <c r="K12" s="28" t="str">
        <f>"K"&amp;COUNTA($A:$A)</f>
        <v>K18</v>
      </c>
      <c r="L12" s="28" t="str">
        <f>"L"&amp;COUNTA($A:$A)</f>
        <v>L18</v>
      </c>
      <c r="M12" s="28"/>
      <c r="N12" s="28"/>
      <c r="O12" s="28"/>
      <c r="P12" s="28"/>
      <c r="Q12" s="28"/>
      <c r="R12" s="28"/>
      <c r="S12" s="28" t="str">
        <f>"S"&amp;COUNTA($A:$A)</f>
        <v>S18</v>
      </c>
      <c r="T12" s="28" t="str">
        <f>"T"&amp;COUNTA($A:$A)</f>
        <v>T18</v>
      </c>
      <c r="U12" s="28" t="str">
        <f>"U"&amp;COUNTA($A:$A)</f>
        <v>U18</v>
      </c>
      <c r="V12" s="28" t="str">
        <f>"V"&amp;COUNTA($A:$A)</f>
        <v>V18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this.l('Vehicle Type'),headerTooltip: this.l('Vehicle Type'),field: 'vehicleType',flex: 1},
			{headerName: this.l('Model'),headerTooltip: this.l('Model'),field: 'model',flex: 1},
			{headerName: this.l('Marketing Code'),headerTooltip: this.l('Marketing Code'),field: 'marketingCode',flex: 1},
			{headerName: this.l('Production Code'),headerTooltip: this.l('Production Code'),field: 'productionCode',flex: 1},</v>
      </c>
      <c r="I13" s="35" t="str">
        <f ca="1">TEXTJOIN2("
",TRUE,INDIRECT(I11):INDIRECT(I12))</f>
        <v xml:space="preserve">								&lt;div class='input-search'&gt;
									&lt;input [(ngModel)]='vehicleType' name='vehicleType'
									class='form-control' [placeholder]="l('Vehicle Type')"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[(ngModel)]='marketingCode' name='marketingCode'
									class='form-control' [placeholder]="l('Marketing Code')"
									type='text' (keyup.enter)='searchDatas()'&gt;
								&lt;/div&gt;
								&lt;div class='input-search'&gt;
									&lt;input [(ngModel)]='productionCode' name='productionCode'
									class='form-control' [placeholder]="l('Production Code')"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title'&gt;Vehicle Type&lt;/label&gt;
						&lt;input type='text' class='col-md-10 form-control input-text' name='VehicleType' [(ngModel)]='rowdata.vehicleType'&gt;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title'&gt;Marketing Code&lt;/label&gt;
						&lt;input type='text' class='col-md-10 form-control input-text' name='MarketingCode' [(ngModel)]='rowdata.marketingCode'&gt;
					&lt;/div&gt;
					&lt;div class='col-md-12 form-group row'&gt;
						&lt;label class='col-md-2 form-control title'&gt;Production Code&lt;/label&gt;
						&lt;input type='text' class='col-md-10 form-control input-text' name='ProductionCode' [(ngModel)]='rowdata.productionCode'&gt;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vehicleType : string = '' ; 
	model : string = '' ; 
	marketingCode : string = '' ; 
	productionCode : string = '' ; </v>
      </c>
      <c r="T13" s="62" t="str">
        <f ca="1">TEXTJOIN2("
",TRUE,INDIRECT(T11):INDIRECT(T12))</f>
        <v xml:space="preserve">			this.,
			this.vehicleType,
			this.model,
			this.marketingCode,</v>
      </c>
      <c r="U13" s="62" t="str">
        <f ca="1">TEXTJOIN2("
",TRUE,INDIRECT(U11):INDIRECT(U12))</f>
        <v xml:space="preserve">	vehicleType : string = '' ; 
	model : string = '' ; 
	marketingCode : string = '' ; 
	productionCode : string = '' ; </v>
      </c>
      <c r="V13" s="28" t="str">
        <f ca="1">TEXTJOIN2("
",TRUE,INDIRECT(V11):INDIRECT(V12))</f>
        <v/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vehiclecbu.component.ts</v>
      </c>
      <c r="I14" s="37" t="str">
        <f>B8&amp;".component.html"</f>
        <v>vehiclecbu.component.html</v>
      </c>
      <c r="J14" s="36" t="str">
        <f>B8&amp;".component.less"</f>
        <v>vehiclecbu.component.less</v>
      </c>
      <c r="K14" s="37" t="str">
        <f>"create-or-edit-"&amp;B8&amp;"-modal.component.html"</f>
        <v>create-or-edit-vehiclecbu-modal.component.html</v>
      </c>
      <c r="L14" s="37" t="str">
        <f>"create-or-edit-"&amp;B8&amp;"-modal.component.ts"</f>
        <v>create-or-edit-vehiclecbu-modal.component.ts</v>
      </c>
      <c r="M14" s="37" t="str">
        <f>"create-or-edit-"&amp;B8&amp;"-modal.component.less"</f>
        <v>create-or-edit-vehiclecbu-modal.component.less</v>
      </c>
      <c r="N14" s="37" t="str">
        <f>B8&amp;".module.ts"</f>
        <v>vehiclecbu.module.ts</v>
      </c>
      <c r="O14" s="37" t="str">
        <f>B8&amp;"-routing.module.ts"</f>
        <v>vehiclecbu-routing.module.ts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361</v>
      </c>
      <c r="B15" s="28" t="str">
        <f>SUBSTITUTE(PROPER(A15),"_","")</f>
        <v>VehicleType</v>
      </c>
      <c r="C15" s="28" t="str">
        <f>SUBSTITUTE(PROPER(A15),"_"," ")</f>
        <v>Vehicle Type</v>
      </c>
      <c r="D15" s="28" t="str">
        <f>LOWER(LEFT(B15,1))&amp;RIGHT(B15,LEN(B15) - 1)</f>
        <v>vehicleType</v>
      </c>
      <c r="E15" s="28" t="str">
        <f>A.Backend!H9</f>
        <v>string</v>
      </c>
      <c r="F15" s="28" t="str">
        <f>A.Backend!G9</f>
        <v>10</v>
      </c>
      <c r="G15" s="28" t="str">
        <f t="shared" ref="G15" si="0">IF(E15="string"," : string = '' ; ",IF(OR(E15="DateTime",E15="TimeSpan")," : any ;",IF(E15="int"," : number = 0 ;","")))</f>
        <v xml:space="preserve"> : string = '' ; </v>
      </c>
      <c r="H15" s="35" t="str">
        <f t="shared" ref="H15" si="1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this.l('Vehicle Type'),headerTooltip: this.l('Vehicle Type'),field: 'vehicleType',flex: 1},</v>
      </c>
      <c r="I15" s="35" t="str">
        <f t="shared" ref="I15:I18" si="2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[(ngModel)]='vehicleType' name='vehicleType'
									class='form-control' [placeholder]="l('Vehicle Type')"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title'&gt;Vehicle Type&lt;/label&gt;
						&lt;input type='text' class='col-md-10 form-control input-text' name='VehicleType' [(ngModel)]='rowdata.vehicleType'&gt;
					&lt;/div&gt;</v>
      </c>
      <c r="L15" s="56" t="str">
        <f t="shared" ref="L15" si="3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vehicleType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vehicleType : string = '' ; </v>
      </c>
      <c r="V15" s="28" t="str">
        <f t="shared" ref="V15" si="4">IF(AND(E15="string",F15="1"),D15,"")</f>
        <v/>
      </c>
    </row>
    <row r="16" spans="1:22" ht="18" customHeight="1" x14ac:dyDescent="0.25">
      <c r="A16" s="28" t="s">
        <v>362</v>
      </c>
      <c r="B16" s="28" t="str">
        <f>SUBSTITUTE(PROPER(A16),"_","")</f>
        <v>Model</v>
      </c>
      <c r="C16" s="28" t="str">
        <f>SUBSTITUTE(PROPER(A16),"_"," ")</f>
        <v>Model</v>
      </c>
      <c r="D16" s="28" t="str">
        <f t="shared" ref="D16:D18" si="5">LOWER(LEFT(B16,1))&amp;RIGHT(B16,LEN(B16) - 1)</f>
        <v>model</v>
      </c>
      <c r="E16" s="28" t="str">
        <f>A.Backend!H10</f>
        <v>string</v>
      </c>
      <c r="F16" s="28" t="str">
        <f>A.Backend!G10</f>
        <v>5000</v>
      </c>
      <c r="G16" s="28" t="str">
        <f t="shared" ref="G16:G18" si="6">IF(E16="string"," : string = '' ; ",IF(OR(E16="DateTime",E16="TimeSpan")," : any ;",IF(E16="int"," : number = 0 ;","")))</f>
        <v xml:space="preserve"> : string = '' ; </v>
      </c>
      <c r="H16" s="35" t="str">
        <f t="shared" ref="H16:H18" si="7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this.l('Model'),headerTooltip: this.l('Model'),field: 'model',flex: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6" s="28"/>
      <c r="K16" s="35" t="str">
        <f t="shared" ref="K16:K18" si="8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16" s="56" t="str">
        <f t="shared" ref="L16" si="9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8" si="10">IF(AND(E16="string",F16 &lt;&gt;"1"),(REPT(CHAR(9),1)&amp;D16&amp;G16),"")</f>
        <v xml:space="preserve">	model : string = '' ; </v>
      </c>
      <c r="T16" s="28" t="str">
        <f>IF(AND(E16="string",F16 &lt;&gt;"1"),(REPT(CHAR(9),3)&amp;"this."&amp;D15&amp;","),"")</f>
        <v xml:space="preserve">			this.vehicleType,</v>
      </c>
      <c r="U16" s="28" t="str">
        <f t="shared" ref="U16:U18" si="11">IF(AND(E16="string",F16 &lt;&gt;"1"),(REPT(CHAR(9),1)&amp;D16&amp;G16),"")</f>
        <v xml:space="preserve">	model : string = '' ; </v>
      </c>
      <c r="V16" s="28" t="str">
        <f t="shared" ref="V16:V18" si="12">IF(AND(E16="string",F16="1"),D16,"")</f>
        <v/>
      </c>
    </row>
    <row r="17" spans="1:22" ht="18" customHeight="1" x14ac:dyDescent="0.25">
      <c r="A17" s="28" t="s">
        <v>363</v>
      </c>
      <c r="B17" s="28" t="str">
        <f t="shared" ref="B17:B18" si="13">SUBSTITUTE(PROPER(A17),"_","")</f>
        <v>MarketingCode</v>
      </c>
      <c r="C17" s="28" t="str">
        <f t="shared" ref="C17:C18" si="14">SUBSTITUTE(PROPER(A17),"_"," ")</f>
        <v>Marketing Code</v>
      </c>
      <c r="D17" s="28" t="str">
        <f t="shared" si="5"/>
        <v>marketingCode</v>
      </c>
      <c r="E17" s="28" t="str">
        <f>A.Backend!H11</f>
        <v>string</v>
      </c>
      <c r="F17" s="28" t="str">
        <f>A.Backend!G11</f>
        <v>50</v>
      </c>
      <c r="G17" s="28" t="str">
        <f t="shared" si="6"/>
        <v xml:space="preserve"> : string = '' ; </v>
      </c>
      <c r="H17" s="35" t="str">
        <f t="shared" si="7"/>
        <v xml:space="preserve">			{headerName: this.l('Marketing Code'),headerTooltip: this.l('Marketing Code'),field: 'marketingCode',flex: 1},</v>
      </c>
      <c r="I17" s="35" t="str">
        <f t="shared" si="2"/>
        <v xml:space="preserve">								&lt;div class='input-search'&gt;
									&lt;input [(ngModel)]='marketingCode' name='marketingCode'
									class='form-control' [placeholder]="l('Marketing Code')"
									type='text' (keyup.enter)='searchDatas()'&gt;
								&lt;/div&gt;</v>
      </c>
      <c r="J17" s="28"/>
      <c r="K17" s="35" t="str">
        <f t="shared" si="8"/>
        <v xml:space="preserve">					&lt;div class='col-md-12 form-group row'&gt;
						&lt;label class='col-md-2 form-control title'&gt;Marketing Code&lt;/label&gt;
						&lt;input type='text' class='col-md-10 form-control input-text' name='MarketingCode' [(ngModel)]='rowdata.marketingCode'&gt;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0"/>
        <v xml:space="preserve">	marketingCode : string = '' ; </v>
      </c>
      <c r="T17" s="28" t="str">
        <f t="shared" ref="T17:T18" si="15">IF(AND(E17="string",F17 &lt;&gt;"1"),(REPT(CHAR(9),3)&amp;"this."&amp;D16&amp;","),"")</f>
        <v xml:space="preserve">			this.model,</v>
      </c>
      <c r="U17" s="28" t="str">
        <f t="shared" si="11"/>
        <v xml:space="preserve">	marketingCode : string = '' ; </v>
      </c>
      <c r="V17" s="28" t="str">
        <f t="shared" si="12"/>
        <v/>
      </c>
    </row>
    <row r="18" spans="1:22" ht="15" customHeight="1" x14ac:dyDescent="0.25">
      <c r="A18" s="28" t="s">
        <v>364</v>
      </c>
      <c r="B18" s="28" t="str">
        <f t="shared" si="13"/>
        <v>ProductionCode</v>
      </c>
      <c r="C18" s="28" t="str">
        <f t="shared" si="14"/>
        <v>Production Code</v>
      </c>
      <c r="D18" s="28" t="str">
        <f t="shared" si="5"/>
        <v>productionCode</v>
      </c>
      <c r="E18" s="28" t="str">
        <f>A.Backend!H12</f>
        <v>string</v>
      </c>
      <c r="F18" s="28" t="str">
        <f>A.Backend!G12</f>
        <v>50</v>
      </c>
      <c r="G18" s="28" t="str">
        <f t="shared" si="6"/>
        <v xml:space="preserve"> : string = '' ; </v>
      </c>
      <c r="H18" s="35" t="str">
        <f t="shared" si="7"/>
        <v xml:space="preserve">			{headerName: this.l('Production Code'),headerTooltip: this.l('Production Code'),field: 'productionCode',flex: 1},</v>
      </c>
      <c r="I18" s="35" t="str">
        <f t="shared" si="2"/>
        <v xml:space="preserve">								&lt;div class='input-search'&gt;
									&lt;input [(ngModel)]='productionCode' name='productionCode'
									class='form-control' [placeholder]="l('Production Code')"
									type='text' (keyup.enter)='searchDatas()'&gt;
								&lt;/div&gt;</v>
      </c>
      <c r="J18" s="28"/>
      <c r="K18" s="35" t="str">
        <f t="shared" si="8"/>
        <v xml:space="preserve">					&lt;div class='col-md-12 form-group row'&gt;
						&lt;label class='col-md-2 form-control title'&gt;Production Code&lt;/label&gt;
						&lt;input type='text' class='col-md-10 form-control input-text' name='ProductionCode' [(ngModel)]='rowdata.productionCode'&gt;
					&lt;/div&gt;</v>
      </c>
      <c r="L18" s="56" t="str">
        <f t="shared" ref="L18" si="16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0"/>
        <v xml:space="preserve">	productionCode : string = '' ; </v>
      </c>
      <c r="T18" s="28" t="str">
        <f t="shared" si="15"/>
        <v xml:space="preserve">			this.marketingCode,</v>
      </c>
      <c r="U18" s="28" t="str">
        <f t="shared" si="11"/>
        <v xml:space="preserve">	productionCode : string = '' ; </v>
      </c>
      <c r="V18" s="28" t="str">
        <f t="shared" si="12"/>
        <v/>
      </c>
    </row>
    <row r="2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350</v>
      </c>
    </row>
    <row r="6" spans="1:2" x14ac:dyDescent="0.25">
      <c r="A6" t="s">
        <v>23</v>
      </c>
      <c r="B6" t="s">
        <v>349</v>
      </c>
    </row>
    <row r="7" spans="1:2" x14ac:dyDescent="0.25">
      <c r="A7" t="s">
        <v>24</v>
      </c>
      <c r="B7" t="s">
        <v>344</v>
      </c>
    </row>
    <row r="8" spans="1:2" x14ac:dyDescent="0.25">
      <c r="A8" t="s">
        <v>4</v>
      </c>
      <c r="B8" t="s">
        <v>344</v>
      </c>
    </row>
    <row r="9" spans="1:2" x14ac:dyDescent="0.25">
      <c r="A9" t="s">
        <v>0</v>
      </c>
      <c r="B9" t="s">
        <v>345</v>
      </c>
    </row>
    <row r="10" spans="1:2" x14ac:dyDescent="0.25">
      <c r="A10" t="s">
        <v>25</v>
      </c>
      <c r="B10" t="s">
        <v>348</v>
      </c>
    </row>
    <row r="11" spans="1:2" x14ac:dyDescent="0.25">
      <c r="A11" t="s">
        <v>26</v>
      </c>
      <c r="B11" t="s">
        <v>348</v>
      </c>
    </row>
    <row r="12" spans="1:2" x14ac:dyDescent="0.25">
      <c r="A12" t="s">
        <v>27</v>
      </c>
      <c r="B12" t="s">
        <v>348</v>
      </c>
    </row>
    <row r="13" spans="1:2" x14ac:dyDescent="0.25">
      <c r="A13" t="s">
        <v>28</v>
      </c>
      <c r="B13" t="s">
        <v>348</v>
      </c>
    </row>
    <row r="14" spans="1:2" x14ac:dyDescent="0.25">
      <c r="A14" t="s">
        <v>29</v>
      </c>
      <c r="B14" t="s">
        <v>348</v>
      </c>
    </row>
    <row r="15" spans="1:2" x14ac:dyDescent="0.25">
      <c r="A15" t="s">
        <v>30</v>
      </c>
      <c r="B15" t="s">
        <v>348</v>
      </c>
    </row>
    <row r="16" spans="1:2" x14ac:dyDescent="0.25">
      <c r="A16" t="s">
        <v>31</v>
      </c>
      <c r="B16" t="s">
        <v>346</v>
      </c>
    </row>
    <row r="17" spans="1:2" x14ac:dyDescent="0.25">
      <c r="A17" t="s">
        <v>3</v>
      </c>
      <c r="B17" t="s">
        <v>346</v>
      </c>
    </row>
    <row r="18" spans="1:2" x14ac:dyDescent="0.25">
      <c r="A18" t="s">
        <v>33</v>
      </c>
      <c r="B18" t="s">
        <v>346</v>
      </c>
    </row>
    <row r="19" spans="1:2" x14ac:dyDescent="0.25">
      <c r="A19" t="s">
        <v>2</v>
      </c>
      <c r="B19" t="s">
        <v>346</v>
      </c>
    </row>
    <row r="20" spans="1:2" x14ac:dyDescent="0.25">
      <c r="A20" t="s">
        <v>262</v>
      </c>
      <c r="B20" t="s">
        <v>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admin</cp:lastModifiedBy>
  <dcterms:created xsi:type="dcterms:W3CDTF">2022-04-01T07:31:40Z</dcterms:created>
  <dcterms:modified xsi:type="dcterms:W3CDTF">2023-08-15T12:24:54Z</dcterms:modified>
</cp:coreProperties>
</file>
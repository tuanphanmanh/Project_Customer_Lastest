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5" l="1"/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E11" i="1"/>
  <c r="H11" i="1" s="1"/>
  <c r="E17" i="5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1"/>
  <c r="T13" i="5"/>
  <c r="T7" i="1" l="1"/>
  <c r="W13" i="1"/>
  <c r="G6" i="1" l="1"/>
  <c r="H13" i="5"/>
  <c r="I13" i="5"/>
  <c r="V13" i="5"/>
  <c r="S13" i="5"/>
  <c r="U13" i="5"/>
  <c r="K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O13" i="1"/>
  <c r="I13" i="1"/>
  <c r="P13" i="1"/>
  <c r="J13" i="1"/>
  <c r="N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<sst xmlns="http://schemas.openxmlformats.org/spreadsheetml/2006/main" count="458" uniqueCount="375">
  <si>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</si>
  <si>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</si>
  <si>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</si>
  <si>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</si>
  <si>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</si>
  <si>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</si>
  <si>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</si>
  <si>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</si>
  <si>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</si>
  <si>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</si>
  <si>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</si>
  <si>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</si>
  <si>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</si>
  <si>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</si>
  <si>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</si>
  <si>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</si>
  <si>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</si>
  <si>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</si>
  <si>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</si>
  <si>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</si>
  <si>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</si>
  <si>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</si>
  <si>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</si>
  <si>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</si>
  <si>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</si>
  <si>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</si>
  <si>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</si>
  <si>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</si>
  <si>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</si>
  <si>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</si>
  <si>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</si>
  <si>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</si>
  <si>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</si>
  <si>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</si>
  <si>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</si>
  <si>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</si>
  <si>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</si>
  <si>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</si>
  <si>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</si>
  <si>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</si>
  <si>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</si>
  <si>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</si>
  <si>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</si>
  <si>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</si>
  <si>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</si>
  <si>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</si>
  <si>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</si>
  <si>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</si>
  <si>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</si>
  <si>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</si>
  <si>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</si>
  <si>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</si>
  <si>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</si>
  <si>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</si>
  <si>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</si>
  <si>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</si>
  <si>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</si>
  <si>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</si>
  <si>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</si>
  <si>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</si>
  <si>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</si>
  <si>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</si>
  <si>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</si>
  <si>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</si>
  <si>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</si>
  <si>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</si>
  <si>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</si>
  <si>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</si>
  <si>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</si>
  <si>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</si>
  <si>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</si>
  <si>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</si>
  <si>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</si>
  <si>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</si>
  <si>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</si>
  <si>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</si>
  <si>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</si>
  <si>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</si>
  <si>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</si>
  <si>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</si>
  <si>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</si>
  <si>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</si>
  <si>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</si>
  <si>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</si>
  <si>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</si>
  <si>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</si>
  <si>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</si>
  <si>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</si>
  <si>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</si>
  <si>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</si>
  <si>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</si>
  <si>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</si>
  <si>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</si>
  <si>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</si>
  <si>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</si>
  <si>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</si>
  <si>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</si>
  <si>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</si>
  <si>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</si>
  <si>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</si>
  <si>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</si>
  <si>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</si>
  <si>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</si>
  <si>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</si>
  <si>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</si>
  <si>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</si>
  <si>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</si>
  <si>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</si>
  <si>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</si>
  <si>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</si>
  <si>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</si>
  <si>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</si>
  <si>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</si>
  <si>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</si>
  <si>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</si>
  <si>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</si>
  <si>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</si>
  <si>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</si>
  <si>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</si>
  <si>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</si>
  <si>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</si>
  <si>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</si>
  <si>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</si>
  <si>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</si>
  <si>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</si>
  <si>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</si>
  <si>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</si>
  <si>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</si>
  <si>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</si>
  <si>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</si>
  <si>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</si>
  <si>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</si>
  <si>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</si>
  <si>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</si>
  <si>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</si>
  <si>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</si>
  <si>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</si>
  <si>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</si>
  <si>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</si>
  <si>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</si>
  <si>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</si>
  <si>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</si>
  <si>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</si>
  <si>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</si>
  <si>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</si>
  <si>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</si>
  <si>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</si>
  <si>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</si>
  <si>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</si>
  <si>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</si>
  <si>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</si>
  <si>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</si>
  <si>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</si>
  <si>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</si>
  <si>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</si>
  <si>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</si>
  <si>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</si>
  <si>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</si>
  <si>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</si>
  <si>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</si>
  <si>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</si>
  <si>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</si>
  <si>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</si>
  <si>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</si>
  <si>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</si>
  <si>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</si>
  <si>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</si>
  <si>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</si>
  <si>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</si>
  <si>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</si>
  <si>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</si>
  <si>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</si>
  <si>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</si>
  <si>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</si>
  <si>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</si>
  <si>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</si>
  <si>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</si>
  <si>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</si>
  <si>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</si>
  <si>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</si>
  <si>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</si>
  <si>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</si>
  <si>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</si>
  <si>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</si>
  <si>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</si>
  <si>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</si>
  <si>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</si>
  <si>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</si>
  <si>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</si>
  <si>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</si>
  <si>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</si>
  <si>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</si>
  <si>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</si>
  <si>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</si>
  <si>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</si>
  <si>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</si>
  <si>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</si>
  <si>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</si>
  <si>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</si>
  <si>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</si>
  <si>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</si>
  <si>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</si>
  <si>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</si>
  <si>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</si>
  <si>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</si>
  <si>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</si>
  <si>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</si>
  <si>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</si>
  <si>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</si>
  <si>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</si>
  <si>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</si>
  <si>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</si>
  <si>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</si>
  <si>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</si>
  <si>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</si>
  <si>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</si>
  <si>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</si>
  <si>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</si>
  <si>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</si>
  <si>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</si>
  <si>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</si>
  <si>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</si>
  <si>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</si>
  <si>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</si>
  <si>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</si>
  <si>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</si>
  <si>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</si>
  <si>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</si>
  <si>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</si>
  <si>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</si>
  <si>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</si>
  <si>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</si>
  <si>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</si>
  <si>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</si>
  <si>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</si>
  <si>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</si>
  <si>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</si>
  <si>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</si>
  <si>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</si>
  <si>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</si>
  <si>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</si>
  <si>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</si>
  <si>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</si>
  <si>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</si>
  <si>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</si>
  <si>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</si>
  <si>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</si>
  <si>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</si>
  <si>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</si>
  <si>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</si>
  <si>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</si>
  <si>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</si>
  <si>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</si>
  <si>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</si>
  <si>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</si>
  <si>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</si>
  <si>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</si>
  <si>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</si>
  <si>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</si>
  <si>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</si>
  <si>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</si>
  <si>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</si>
  <si>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</si>
  <si>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</si>
  <si>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</si>
  <si>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</si>
  <si>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</si>
  <si>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</si>
  <si>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</si>
  <si>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</si>
  <si>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</si>
  <si>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</si>
  <si>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</si>
  <si>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</si>
  <si>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</si>
  <si>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</si>
  <si>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</si>
  <si>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</si>
  <si>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</si>
  <si>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</si>
  <si>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</si>
  <si>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</si>
  <si>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</si>
  <si>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</si>
  <si>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</si>
  <si>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</si>
  <si>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</si>
  <si>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</si>
  <si>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</si>
  <si>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</si>
  <si>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</si>
  <si>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</si>
  <si>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</si>
  <si>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</si>
  <si>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</si>
  <si>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</si>
  <si>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</si>
  <si>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</si>
  <si>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</si>
  <si>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</si>
  <si>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</si>
  <si>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</si>
  <si>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</si>
  <si>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</si>
  <si>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</si>
  <si>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</si>
  <si>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</si>
  <si>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</si>
  <si>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</si>
  <si>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</si>
  <si>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</si>
  <si>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</si>
  <si>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</si>
  <si>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</si>
  <si>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</si>
  <si>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</si>
  <si>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</si>
  <si>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</si>
  <si>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</si>
  <si>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</si>
  <si>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</si>
  <si>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</si>
  <si>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</si>
  <si>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</si>
  <si>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</si>
  <si>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</si>
  <si>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</si>
  <si>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</si>
  <si>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</si>
  <si>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</si>
  <si>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</si>
  <si>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</si>
  <si>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</si>
  <si>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</si>
  <si>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</si>
  <si>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</si>
  <si>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</si>
  <si>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</si>
  <si>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</si>
  <si>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</si>
  <si>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</si>
  <si>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</si>
  <si>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</si>
  <si>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</si>
  <si>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</si>
  <si>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</si>
  <si>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</si>
  <si>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</si>
  <si>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</si>
  <si>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</si>
  <si>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</si>
  <si>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</si>
  <si>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</si>
  <si>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</si>
  <si>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</si>
  <si>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MstCmmBrand</t>
  </si>
  <si>
    <t>Brand</t>
  </si>
  <si>
    <t>nvarchar(2)</t>
  </si>
  <si>
    <t>nvarchar(20)</t>
  </si>
  <si>
    <t>- TY : Toyota</t>
  </si>
  <si>
    <t>- LX : Lexus</t>
  </si>
  <si>
    <t>- DH : Daihatsu</t>
  </si>
  <si>
    <t>- SZ : Suzuki</t>
  </si>
  <si>
    <t>TY</t>
  </si>
  <si>
    <t>LX</t>
  </si>
  <si>
    <t>DH</t>
  </si>
  <si>
    <t>SZ</t>
  </si>
  <si>
    <t>Toyota</t>
  </si>
  <si>
    <t>Lexus</t>
  </si>
  <si>
    <t>Daihatsu</t>
  </si>
  <si>
    <t>Suzuki</t>
  </si>
  <si>
    <t>IHP</t>
  </si>
  <si>
    <t>Ihp</t>
  </si>
  <si>
    <t>InvIhp</t>
  </si>
  <si>
    <t>Inhouse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</si>
</sst>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sz val="10"/>
      <name val="Segoe UI"/>
      <family val="2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0" borderId="5" xfId="0" applyFont="1" applyBorder="1" applyAlignment="1">
      <alignment horizontal="center" vertical="center" readingOrder="1"/>
    </xf>
    <xf numFmtId="0" fontId="20" fillId="0" borderId="6" xfId="0" applyFont="1" applyBorder="1" applyAlignment="1">
      <alignment horizontal="center" vertical="center" readingOrder="1"/>
    </xf>
    <xf numFmtId="0" fontId="20" fillId="0" borderId="7" xfId="0" applyFont="1" applyBorder="1" applyAlignment="1">
      <alignment horizontal="center" vertical="center" readingOrder="1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19" fillId="14" borderId="5" xfId="0" applyFont="1" applyFill="1" applyBorder="1" applyAlignment="1">
      <alignment horizontal="center" vertical="top"/>
    </xf>
    <xf numFmtId="0" fontId="19" fillId="14" borderId="6" xfId="0" applyFont="1" applyFill="1" applyBorder="1" applyAlignment="1">
      <alignment horizontal="center" vertical="top"/>
    </xf>
    <xf numFmtId="0" fontId="22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zoomScaleNormal="100" workbookViewId="0">
      <selection activeCell="G33" sqref="G33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371</v>
      </c>
      <c r="F46" s="1" t="s">
        <v>372</v>
      </c>
      <c r="G46" t="s">
        <v>373</v>
      </c>
      <c r="H46" t="s">
        <v>374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[Table("MstCmmBrand")]
	[Index(nameof(Code), Name="IX_MstCmmBrand_Code")]
	[Index(nameof(IsActive), Name="IX_MstCmmBrand_IsActive")]	public class MstCmmBrand: FullAuditedEntity&lt;long&gt;, IEntity&lt;long&gt;	
	{
		public const int MaxCodeLength = 2;
		public const int MaxNameLength = 20;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68" s="48" t="str">
        <f>A.Backend!O7</f>
        <v xml:space="preserve">		public const string Pages_Master_Common_Brand = "Pages.Master.Common.Brand";
		public const string Pages_Master_Common_Brand_CreateEdit = "Pages.Master.Common.Brand.CreateEdit";
		public const string Pages_Master_Common_Brand_Delete = "Pages.Master.Common.Brand.Delete";
</v>
      </c>
      <c r="E68" s="48" t="str">
        <f>A.Backend!N7</f>
        <v xml:space="preserve">		var perMstCmmBrand = PARENTS.CreateChildPermission(AppPermissions.Pages_Master_Common_Brand, L( "MasterCommonBrand"), multiTenancySides: MultiTenancySides.Tenant);
		perMstCmmBrand.CreateChildPermission(AppPermissions.Pages_Master_Common_Brand_CreateEdit, L( "MasterCommonBrandCreateEdit"), multiTenancySides: MultiTenancySides.Tenant);
		perMstCmmBrand.CreateChildPermission(AppPermissions.Pages_Master_Common_Brand_Delete, L( "MasterCommonBrandDelete"), multiTenancySides: MultiTenancySides.Tenant);</v>
      </c>
      <c r="F68" s="48" t="str">
        <f>A.Backend!K7</f>
        <v>public virtual DbSet&lt;MstCmmBrand&gt; MstCmmBrands { get; set; }</v>
      </c>
      <c r="G68" s="48" t="str">
        <f ca="1">A.Backend!L7</f>
        <v xml:space="preserve">namespace prod.Master.Common
{
	public class MstCmmBrandConsts	
	{
		public const int MaxCodeLength = 2;
		public const int MaxNameLength = 20;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MstCmmBrandDto : EntityDto&lt;long?&gt;	
	{
		public virtual string Code { get; set; }
		public virtual string Name { get; set; }
		public virtual string IsActive { get; set; }
	}
	public class CreateOrEditMstCmmBrandDto : EntityDto&lt;long?&gt;	
	{
		[StringLength(MstCmmBrandConsts.MaxCodeLength)]
		public virtual string Code { get; set; }
		[StringLength(MstCmmBrandConsts.MaxNameLength)]
		public virtual string Name { get; set; }
		[StringLength(MstCmmBrandConsts.MaxIsActiveLength)]
		public virtual string IsActive { get; set; }
	}
	public class GetMstCmmBrandInput : PagedAndSortedResultRequestDto	
	{
		public virtual string Code { get; set; }
		public virtual string 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MstCmmBrandExportInput{
		public virtual string Code { get; set; }
		public virtual string 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IMstCmmBrandAppService : IApplicationService
	{
		Task&lt;PagedResultDto&lt;MstCmmBrandDto&gt;&gt; GetAll(GetMstCmmBrandInput input);
		Task CreateOrEdit(CreateOrEditMstCmmBrandDto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IMstCmmBrandExcelExporter : IApplicationService
	{
		FileDto ExportToFile(List&lt;MstCmmBrandDto&gt; mstcmmbrand);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MstCmmBrandExcelExporter : NpoiExcelExporterBase, IMstCmmBrandExcelExporter
    {
        public MstCmmBrandExcelExporter(ITempFileCacheManager tempFileCacheManager) : base(tempFileCacheManager) { }
        public FileDto ExportToFile(List&lt;MstCmmBrandDto&gt; brand)
        {
            return CreateExcelPackage(
				"MasterCommonBrand.xlsx",
				excelPackage =&gt;
				 {
					var sheet = excelPackage.CreateSheet("Brand");
					AddHeader(
								sheet,
								("Code"),
								("Name"),
								("IsActive"),
							   );
					AddObjects(
						 sheet, 1, brand,                                       
								_ =&gt; _.Code,
								_ =&gt; _.Name,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[AbpAuthorize(AppPermissions.Pages_Master_Common_Brand)]
    public class MstCmmBrandAppService : vovinaAppServiceBase, IMstCmmBrandAppService
    {
        private readonly IDapperRepository&lt;MstCmmBrand, long&gt; _dapperRepo;
        private readonly IRepository&lt;MstCmmBrand, long&gt; _repo;
        private readonly IMstCmmBrandExcelExporter _calendarListExcelExporter;
        public MstCmmBrandAppService(IRepository&lt;MstCmmBrand,long&gt; repo, 
                                         IDapperRepository&lt;MstCmmBrand,long&gt; dapperRepo,
                                        IMstCmmBrandExcelExporter calendarListExcelExporter
            )
        {
            _repo = repo;
            _dapperRepo = dapperRepo;
            _calendarListExcelExporter = calendarListExcelExporter;
        }
        [AbpAuthorize(AppPermissions.Pages_Master_Common_Brand_CreateEdit)]
        public async Task CreateOrEdit(CreateOrEditMstCmmBrandDto input)
        {
            if (input.Id == null) await Create(input);
            else await Update(input);
        }
        //CREATE
        private async Task Create(CreateOrEditMstCmmBrandDto input)
        {          
            var mainObj = ObjectMapper.Map&lt;MstCmmBrand&gt;(input);
            await CurrentUnitOfWork.GetDbContext&lt;vovinaDbContext&gt;().AddAsync(mainObj);
        }
        // EDIT
        private async Task Update(CreateOrEditMstCmmBrandDto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[AbpAuthorize(AppPermissions.Pages_Master_Common_Brand_Delete)]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Task&lt;PagedResultDto&lt;MstCmmBrandDto&gt;&gt; GetAll(GetMstCmmBrandInput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MstCmmBrandDto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PagedResultDto&lt;MstCmmBrandDto&gt;(
                totalCount,
                 await paged.ToListAsync()
            );
        }
        public async Task&lt;FileDto&gt; GetBrandToExcel(MstCmmBrandExportInput input)
        {
            var query = from o in _repo.GetAll()
                        select new MstCmmBrandDto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_dapperRepo.ExecuteAsync(MstCmmBrandConsts.SP_MST_WPT_CALENDAR_GENERATE);
       // }
    }
}</v>
      </c>
      <c r="N68" s="58" t="str">
        <f>A.Backend!U7</f>
        <v xml:space="preserve">  configuration.CreateMap&lt;MstCmmBrandDto, MstCmmBrand&gt;();
  configuration.CreateMap&lt;MstCmmBrand, MstCmmBrandDto&gt;();
  configuration.CreateMap&lt;CreateOrEditMstCmmBrandDto, MstCmmBrand&gt;();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brand</v>
      </c>
      <c r="C73" s="66" t="str">
        <f>"create folder " &amp;B73</f>
        <v>create folder brand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brand.component.ts</v>
      </c>
      <c r="D74" s="28" t="str">
        <f>B.Frontend!I14</f>
        <v>brand.component.html</v>
      </c>
      <c r="E74" s="28" t="str">
        <f>B.Frontend!J14</f>
        <v>brand.component.less</v>
      </c>
      <c r="F74" s="28" t="str">
        <f>B.Frontend!K14</f>
        <v>create-or-edit-brand-modal.component.html</v>
      </c>
      <c r="G74" s="28" t="str">
        <f>B.Frontend!L14</f>
        <v>create-or-edit-brand-modal.component.ts</v>
      </c>
      <c r="H74" s="28" t="str">
        <f>B.Frontend!M14</f>
        <v>create-or-edit-brand-modal.component.less</v>
      </c>
      <c r="I74" s="28" t="str">
        <f>B.Frontend!N14</f>
        <v>brand.module.ts</v>
      </c>
      <c r="J74" s="28" t="str">
        <f>B.Frontend!O14</f>
        <v>brand-routing.module.ts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MstCmmBrandDto, MstCmmBrandServiceProxy } from '@shared/service-proxies/service-proxies';
import { finalize } from 'rxjs/internal/operators/finalize';
import { CreateOrEditBrandModalComponent } from './create-or-edit-brand-modal.component';
import { DatePipe } from '@angular/common';
import { FileDownloadService } from '@shared/utils/file-download.service';
import ceil from 'lodash-es/ceil';
import { Paginator } from 'primeng/paginator';
@Component({
    templateUrl: './brand.component.html',
    styleUrls: ['./brand.component.less'],
})
export class BrandComponent extends AppComponentBase implements OnInit {
    @ViewChild('createOrEditModalBrand', { static: true }) createOrEditModalBrand:| CreateOrEditBrandModalComponent|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MstCmmBrandDto = new MstCmmBrandDto();
    saveSelectedRow: MstCmmBrandDto = new MstCmmBrandDto();
    datas: MstCmmBrandDto = new MstCmmBrandDto();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MstCmmBrandServiceProxy,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MstCmmBrandDto[] } }) {
        this.saveSelectedRow = params.api.getSelectedRows()[0] ?? new MstCmmBrandDto();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MstCmmBrandDto):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this._service.getBrandToExcel(
			this.code,
			this.name,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Brand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(click)="createOrEditModalBrand.show()"&gt;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(click)="createOrEditModalBrand.show(selectedRow)"&gt;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&lt;create-or-edit-brand-modal
    #createOrEditModalBrand
    (modalSave)="callBackDataGrid(dataParams)"
    (modalClose)="onChangeRowSelection(dataParams)"
&gt;
&lt;/create-or-edit-brand-modal&gt;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#createOrEditModalBrand="bs-modal"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Brand')}}&lt;/h3&gt;
                    &lt;h3 *ngIf="!rowdata.id"&gt;{{('Create New Brand')}}&lt;/h3&gt;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CreateOrEditMstCmmBrandDto, MstCmmBrandServiceProxy } from '@shared/service-proxies/service-proxies';
import { BsDatepickerDirective } from 'ngx-bootstrap/datepicker';
@Component({
    selector: 'create-or-edit-brand-modal',
    templateUrl: './create-or-edit-brand-modal.component.html',
    styleUrls: ['./create-or-edit-brand-modal.component.less']
    })
export class CreateOrEditBrandModalComponent extends AppComponentBase {
    @ViewChild('createOrEditModalBrand',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CreateOrEditMstCmmBrandDto = new CreateOrEditMstCmmBrandDto();
    active: boolean = false;
    saving: boolean = false;
    _isActive: boolean;
    constructor(
        injector: Injector,
        private _mstwptBrandService: MstCmmBrandServiceProxy,
    ) 
    {
        super(injector);
    }
    show(rowdata?: CreateOrEditMstCmmBrandDto): void {
        if (!rowdata) this.rowdata = new CreateOrEditMstCmmBrandDto();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this._mstwptBrandService.createOrEdit(this.rowdata)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BrandRoutingModule } from './brand-routing.module';
import { BrandComponent } from './brand.component';
import { CreateOrEditBrandModalComponent } from './create-or-edit-brand-modal.component';
@NgModule({
    declarations: [
       BrandComponent, 
        CreateOrEditBrandModalComponent
    ],
    imports: [
        AppSharedModule, BrandRoutingModule]
})
export class BrandModule {}</v>
      </c>
      <c r="J75" s="46" t="str">
        <f>B.Frontend!O10</f>
        <v>import {NgModule} from '@angular/core';
import {RouterModule, Routes} from '@angular/router';
import { BrandComponent } from './brand.component';
const routes: Routes = [{
    path: '',
    component: BrandComponent,
    pathMatch: 'full'
}];
@NgModule({
    imports: [RouterModule.forChild(routes)],
    exports: [RouterModule],
})
export class BrandRoutingModule {}</v>
      </c>
      <c r="K75" s="46" t="str">
        <f>B.Frontend!P10</f>
        <v xml:space="preserve"> new AppMenuItem("Brand", "Pages.Master.Common.Brand", "flaticon-book",   "/app/main/master/common/brand"),</v>
      </c>
      <c r="L75" s="47" t="str">
        <f>B.Frontend!Q10</f>
        <v>{
    path: 'master/common/brand',
    loadChildren: () =&gt; import('./master/common/brand/brand.module').then(m =&gt; m.BrandModule),
    data: { permission: 'Pages.Master.Common.Brand' }
},</v>
      </c>
      <c r="M75" s="45" t="str">
        <f>B.Frontend!R10</f>
        <v>ApiServiceProxies.MstCmmBrandServiceProxy,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C13" sqref="C13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355</v>
      </c>
      <c r="C3" s="9" t="s">
        <v>43</v>
      </c>
      <c r="D3" s="9" t="s">
        <v>44</v>
      </c>
      <c r="E3" s="9" t="s">
        <v>39</v>
      </c>
      <c r="F3" s="10" t="str">
        <f>"J"&amp;COUNTA($A:$A)</f>
        <v>J11</v>
      </c>
      <c r="G3" s="4" t="s">
        <v>57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56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MstCmmBrandExportInput{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356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MstCmmBrand: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MstCmmBrandConsts	
	{
</v>
      </c>
      <c r="F6" s="10" t="str">
        <f>REPT(CHAR(9),1)&amp;"public class "&amp;B3&amp;"Dto"&amp;K3&amp;REPT(CHAR(9),1)&amp;"
"&amp;REPT(CHAR(9),1)&amp;C3</f>
        <v xml:space="preserve">	public class MstCmmBrandDto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CreateOrEditMstCmmBrandDto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GetMstCmmBrandInput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MstCmmBrand</v>
      </c>
      <c r="C7" s="10" t="str">
        <f>REPT(CHAR(9),1)&amp;"[Table("""&amp;B7&amp;""")]"&amp;"
"</f>
        <v xml:space="preserve">	[Table("MstCmmBrand")]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[Table("MstCmmBrand")]
	[Index(nameof(Code), Name="IX_MstCmmBrand_Code")]
	[Index(nameof(IsActive), Name="IX_MstCmmBrand_IsActive")]	public class MstCmmBrand: FullAuditedEntity&lt;long&gt;, IEntity&lt;long&gt;	
	{
		public const int MaxCodeLength = 2;
		public const int MaxNameLength = 20;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DbSet&lt;MstCmmBrand&gt; MstCmmBrands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prod.Master.Common
{
	public class MstCmmBrandConsts	
	{
		public const int MaxCodeLength = 2;
		public const int MaxNameLength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prod.Master.Common.Dto
{
	public class MstCmmBrandDto : EntityDto&lt;long?&gt;	
	{
		public virtual string Code { get; set; }
		public virtual string Name { get; set; }
		public virtual string IsActive { get; set; }
	}
	public class CreateOrEditMstCmmBrandDto : EntityDto&lt;long?&gt;	
	{
		[StringLength(MstCmmBrandConsts.MaxCodeLength)]
		public virtual string Code { get; set; }
		[StringLength(MstCmmBrandConsts.MaxNameLength)]
		public virtual string Name { get; set; }
		[StringLength(MstCmmBrandConsts.MaxIsActiveLength)]
		public virtual string IsActive { get; set; }
	}
	public class GetMstCmmBrandInput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perMstCmmBrand = PARENTS.CreateChildPermission(AppPermissions.Pages_Master_Common_Brand, L( "MasterCommonBrand"), multiTenancySides: MultiTenancySides.Tenant);
		perMstCmmBrand.CreateChildPermission(AppPermissions.Pages_Master_Common_Brand_CreateEdit, L( "MasterCommonBrandCreateEdit"), multiTenancySides: MultiTenancySides.Tenant);
		perMstCmmBrand.CreateChildPermission(AppPermissions.Pages_Master_Common_Brand_Delete, L( "MasterCommonBrandDelete"),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Pages_Master_Common_Brand = "Pages.Master.Common.Brand";
		public const string Pages_Master_Common_Brand_CreateEdit = "Pages.Master.Common.Brand.CreateEdit";
		public const string Pages_Master_Common_Brand_Delete = "Pages.Master.Common.Brand.Delete";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IMstCmmBrandAppService : IApplicationService
	{
		Task&lt;PagedResultDto&lt;MstCmmBrandDto&gt;&gt; GetAll(GetMstCmmBrandInput input);
		Task CreateOrEdit(CreateOrEditMstCmmBrandDto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[AbpAuthorize(AppPermissions.Pages_Master_Common_Brand)]
    public class MstCmmBrandAppService : vovinaAppServiceBase, IMstCmmBrandAppService
    {
        private readonly IDapperRepository&lt;MstCmmBrand, long&gt; _dapperRepo;
        private readonly IRepository&lt;MstCmmBrand, long&gt; _repo;
        private readonly IMstCmmBrandExcelExporter _calendarListExcelExporter;
        public MstCmmBrandAppService(IRepository&lt;MstCmmBrand,long&gt; repo, 
                                         IDapperRepository&lt;MstCmmBrand,long&gt; dapperRepo,
                                        IMstCmmBrandExcelExporter calendarListExcelExporter
            )
        {
            _repo = repo;
            _dapperRepo = dapperRepo;
            _calendarListExcelExporter = calendarListExcelExporter;
        }
        [AbpAuthorize(AppPermissions.Pages_Master_Common_Brand_CreateEdit)]
        public async Task CreateOrEdit(CreateOrEditMstCmmBrandDto input)
        {
            if (input.Id == null) await Create(input);
            else await Update(input);
        }
        //CREATE
        private async Task Create(CreateOrEditMstCmmBrandDto input)
        {          
            var mainObj = ObjectMapper.Map&lt;MstCmmBrand&gt;(input);
            await CurrentUnitOfWork.GetDbContext&lt;vovinaDbContext&gt;().AddAsync(mainObj);
        }
        // EDIT
        private async Task Update(CreateOrEditMstCmmBrandDto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[AbpAuthorize(AppPermissions.Pages_Master_Common_Brand_Delete)]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Task&lt;PagedResultDto&lt;MstCmmBrandDto&gt;&gt; GetAll(GetMstCmmBrandInput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MstCmmBrandDto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PagedResultDto&lt;MstCmmBrandDto&gt;(
                totalCount,
                 await paged.ToListAsync()
            );
        }
        public async Task&lt;FileDto&gt; GetBrandToExcel(MstCmmBrandExportInput input)
        {
            var query = from o in _repo.GetAll()
                        select new MstCmmBrandDto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_dapperRepo.ExecuteAsync(MstCmmBrandConsts.SP_MST_WPT_CALENDAR_GENERATE);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prod.Master.Common.Dto
{
	public class MstCmmBrandExportInput{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IMstCmmBrandExcelExporter : IApplicationService
	{
		FileDto ExportToFile(List&lt;MstCmmBrandDto&gt; mstcmmbrand);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MstCmmBrandExcelExporter : NpoiExcelExporterBase, IMstCmmBrandExcelExporter
    {
        public MstCmmBrandExcelExporter(ITempFileCacheManager tempFileCacheManager) : base(tempFileCacheManager) { }
        public FileDto ExportToFile(List&lt;MstCmmBrandDto&gt; brand)
        {
            return CreateExcelPackage(
				"MasterCommonBrand.xlsx",
				excelPackage =&gt;
				 {
					var sheet = excelPackage.CreateSheet("Brand");
					AddHeader(
								sheet,
								("Code"),
								("Name"),
								("IsActive"),
							   );
					AddObjects(
						 sheet, 1, brand,                                       
								_ =&gt; _.Code,
								_ =&gt; _.Name,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configuration.CreateMap&lt;MstCmmBrandDto, MstCmmBrand&gt;();
  configuration.CreateMap&lt;MstCmmBrand, MstCmmBrandDto&gt;();
  configuration.CreateMap&lt;CreateOrEditMstCmmBrandDto, MstCmmBrand&gt;();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357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Name="IX_MstCmmBrand_Code")]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[StringLength(MstCmmBrandConsts.MaxCodeLength)]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358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20;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[StringLength(MstCmmBrandConsts.MaxNameLength)]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352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Name="IX_MstCmmBrand_IsActive")]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[StringLength(MstCmmBrandConsts.MaxIsActiveLength)]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4" t="str">
        <f t="shared" ref="T11" si="34">REPT(CHAR(9),8)&amp;"("""&amp;D11&amp;"""),"</f>
        <v xml:space="preserve">								("IsActive"),</v>
      </c>
      <c r="V11" s="65" t="str">
        <f t="shared" ref="V11" si="35">REPT(CHAR(9),8)&amp;"_ =&gt; _."&amp;D11&amp;","</f>
        <v xml:space="preserve">								_ =&gt; _.IsActive,</v>
      </c>
      <c r="W11" s="64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MaxCodeLength = 2;
		public const int MaxNameLength = 20;
		public const int MaxIsActiveLength = 1;
</v>
      </c>
      <c r="J13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2" t="str">
        <f ca="1">TEXTJOIN2("
", TRUE,INDIRECT( $J$1):INDIRECT( $J$3))</f>
        <v xml:space="preserve">	[Index(nameof(Code), Name="IX_MstCmmBrand_Code")]
	[Index(nameof(IsActive), Name="IX_MstCmmBrand_IsActive")]</v>
      </c>
      <c r="L13" s="12" t="s">
        <v>60</v>
      </c>
      <c r="M13" s="33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0" t="str">
        <f ca="1">TEXTJOIN2("
",TRUE,INDIRECT( $M$1):INDIRECT($M$3))</f>
        <v xml:space="preserve">		[StringLength(MstCmmBrandConsts.MaxCodeLength)]
		public virtual string Code { get; set; }
		[StringLength(MstCmmBrandConsts.MaxNameLength)]
		public virtual string Name { get; set; }
		[StringLength(MstCmmBrandConsts.MaxIsActiveLength)]
		public virtual string IsActive { get; set; }
</v>
      </c>
      <c r="O13" s="30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8" t="str">
        <f ca="1">TEXTJOIN2("
",TRUE,INDIRECT( $O$1):INDIRECT($O$3))</f>
        <v xml:space="preserve">							Code = o.Code,
							Name = o.Name,
							IsActive = o.IsActive,</v>
      </c>
      <c r="T13" s="8" t="str">
        <f ca="1">TEXTJOIN2("
",TRUE,INDIRECT( $T$2):INDIRECT($T$3))</f>
        <v xml:space="preserve">								("Code"),
								("Name"),
								("IsActive"),</v>
      </c>
      <c r="V13" s="8" t="str">
        <f ca="1">TEXTJOIN2("
",TRUE,INDIRECT( $V$2):INDIRECT($V$3))</f>
        <v xml:space="preserve">								_ =&gt; _.Code,
								_ =&gt; _.Name,
								_ =&gt; _.IsActive,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2" sqref="B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356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MstCmmBrand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Brand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brand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MstCmmBrandDto, MstCmmBrandServiceProxy } from '@shared/service-proxies/service-proxies';
import { finalize } from 'rxjs/internal/operators/finalize';
import { CreateOrEditBrandModalComponent } from './create-or-edit-brand-modal.component';
import { DatePipe } from '@angular/common';
import { FileDownloadService } from '@shared/utils/file-download.service';
import ceil from 'lodash-es/ceil';
import { Paginator } from 'primeng/paginator';
@Component({
    templateUrl: './brand.component.html',
    styleUrls: ['./brand.component.less'],
})
export class BrandComponent extends AppComponentBase implements OnInit {
    @ViewChild('createOrEditModalBrand', { static: true }) createOrEditModalBrand:| CreateOrEditBrandModalComponent|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MstCmmBrandDto = new MstCmmBrandDto();
    saveSelectedRow: MstCmmBrandDto = new MstCmmBrandDto();
    datas: MstCmmBrandDto = new MstCmmBrandDto();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MstCmmBrandServiceProxy,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MstCmmBrandDto[] } }) {
        this.saveSelectedRow = params.api.getSelectedRows()[0] ?? new MstCmmBrandDto();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MstCmmBrandDto):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this._service.getBrandToExcel(
			this.code,
			this.name,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Brand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(click)="createOrEditModalBrand.show()"&gt;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(click)="createOrEditModalBrand.show(selectedRow)"&gt;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&lt;create-or-edit-brand-modal
    #createOrEditModalBrand
    (modalSave)="callBackDataGrid(dataParams)"
    (modalClose)="onChangeRowSelection(dataParams)"
&gt;
&lt;/create-or-edit-brand-modal&gt;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#createOrEditModalBrand="bs-modal"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Brand')}}&lt;/h3&gt;
                    &lt;h3 *ngIf="!rowdata.id"&gt;{{('Create New Brand')}}&lt;/h3&gt;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CreateOrEditMstCmmBrandDto, MstCmmBrandServiceProxy } from '@shared/service-proxies/service-proxies';
import { BsDatepickerDirective } from 'ngx-bootstrap/datepicker';
@Component({
    selector: 'create-or-edit-brand-modal',
    templateUrl: './create-or-edit-brand-modal.component.html',
    styleUrls: ['./create-or-edit-brand-modal.component.less']
    })
export class CreateOrEditBrandModalComponent extends AppComponentBase {
    @ViewChild('createOrEditModalBrand',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CreateOrEditMstCmmBrandDto = new CreateOrEditMstCmmBrandDto();
    active: boolean = false;
    saving: boolean = false;
    _isActive: boolean;
    constructor(
        injector: Injector,
        private _mstwptBrandService: MstCmmBrandServiceProxy,
    ) 
    {
        super(injector);
    }
    show(rowdata?: CreateOrEditMstCmmBrandDto): void {
        if (!rowdata) this.rowdata = new CreateOrEditMstCmmBrandDto();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this._mstwptBrandService.createOrEdit(this.rowdata)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BrandRoutingModule } from './brand-routing.module';
import { BrandComponent } from './brand.component';
import { CreateOrEditBrandModalComponent } from './create-or-edit-brand-modal.component';
@NgModule({
    declarations: [
       BrandComponent, 
        CreateOrEditBrandModalComponent
    ],
    imports: [
        AppSharedModule, BrandRoutingModule]
})
export class BrandModule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BrandComponent } from './brand.component';
const routes: Routes = [{
    path: '',
    component: BrandComponent,
    pathMatch: 'full'
}];
@NgModule({
    imports: [RouterModule.forChild(routes)],
    exports: [RouterModule],
})
export class BrandRoutingModule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AppMenuItem("Brand", "Pages.Master.Common.Brand", "flaticon-book",   "/app/main/master/common/brand"),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'master/common/brand',
    loadChildren: () =&gt; import('./master/common/brand/brand.module').then(m =&gt; m.BrandModule),
    data: { permission: 'Pages.Master.Common.Brand' }
},</v>
      </c>
      <c r="R10" s="47" t="str">
        <f>SUBSTITUTE(R9,"MstWptCalendar",$B$6)</f>
        <v>ApiServiceProxies.MstCmmBrandServiceProxy,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isActive : string = '' ; </v>
      </c>
      <c r="T13" s="63" t="str">
        <f ca="1">TEXTJOIN2("
",TRUE,INDIRECT(T11):INDIRECT(T12))</f>
        <v xml:space="preserve">			this.code,
			this.name,
			this.isActive,</v>
      </c>
      <c r="U13" s="63" t="str">
        <f ca="1">TEXTJOIN2("
",TRUE,INDIRECT(U11):INDIRECT(U12))</f>
        <v xml:space="preserve">		this.code = '',
		this.name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brand.component.ts</v>
      </c>
      <c r="I14" s="37" t="str">
        <f>B8&amp;".component.html"</f>
        <v>brand.component.html</v>
      </c>
      <c r="J14" s="36" t="str">
        <f>B8&amp;".component.less"</f>
        <v>brand.component.less</v>
      </c>
      <c r="K14" s="37" t="str">
        <f>"create-or-edit-"&amp;B8&amp;"-modal.component.html"</f>
        <v>create-or-edit-brand-modal.component.html</v>
      </c>
      <c r="L14" s="37" t="str">
        <f>"create-or-edit-"&amp;B8&amp;"-modal.component.ts"</f>
        <v>create-or-edit-brand-modal.component.ts</v>
      </c>
      <c r="M14" s="37" t="str">
        <f>"create-or-edit-"&amp;B8&amp;"-modal.component.less"</f>
        <v>create-or-edit-brand-modal.component.less</v>
      </c>
      <c r="N14" s="37" t="str">
        <f>B8&amp;".module.ts"</f>
        <v>brand.module.ts</v>
      </c>
      <c r="O14" s="37" t="str">
        <f>B8&amp;"-routing.module.ts"</f>
        <v>brand-routing.module.ts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2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354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20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324</v>
      </c>
      <c r="B17" s="28" t="str">
        <f t="shared" ref="B17" si="12">SUBSTITUTE(PROPER(A17),"_","")</f>
        <v>IsActive</v>
      </c>
      <c r="C17" s="28" t="str">
        <f t="shared" ref="C17" si="13">SUBSTITUTE(PROPER(A17),"_"," ")</f>
        <v>Is Active</v>
      </c>
      <c r="D17" s="28" t="str">
        <f t="shared" ref="D17" si="14">LOWER(LEFT(B17,1))&amp;RIGHT(B17,LEN(B17) - 1)</f>
        <v>isActive</v>
      </c>
      <c r="E17" s="28" t="str">
        <f>A.Backend!H11</f>
        <v>string</v>
      </c>
      <c r="F17" s="28" t="str">
        <f>A.Backend!G11</f>
        <v>1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isActive : string = '' ; </v>
      </c>
      <c r="T17" s="28" t="str">
        <f t="shared" ref="T17" si="21">REPT(CHAR(9),3)&amp;"this."&amp;D17&amp;","</f>
        <v xml:space="preserve">			this.isActive,</v>
      </c>
      <c r="U17" s="28" t="str">
        <f t="shared" ref="U17" si="22">IF(E17="int",REPT(CHAR(9),2)&amp;"this."&amp;D17&amp;" = 0,",REPT(CHAR(9),2)&amp;"this."&amp;D17&amp;" = '',")</f>
        <v xml:space="preserve">		this.isActive = '',</v>
      </c>
      <c r="V17" s="28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"/>
  <sheetViews>
    <sheetView workbookViewId="0">
      <selection activeCell="D6" sqref="D6:O6"/>
    </sheetView>
  </sheetViews>
  <sheetFormatPr defaultRowHeight="15" x14ac:dyDescent="0.25"/>
  <cols>
    <col min="1" max="15" width="3.5703125" customWidth="1"/>
  </cols>
  <sheetData>
    <row r="1" spans="1:18" x14ac:dyDescent="0.25">
      <c r="A1" s="73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</row>
    <row r="2" spans="1:18" x14ac:dyDescent="0.25">
      <c r="A2" s="68" t="s">
        <v>363</v>
      </c>
      <c r="B2" s="69"/>
      <c r="C2" s="70"/>
      <c r="D2" s="71" t="s">
        <v>367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</row>
    <row r="3" spans="1:18" x14ac:dyDescent="0.25">
      <c r="A3" s="68" t="s">
        <v>364</v>
      </c>
      <c r="B3" s="69"/>
      <c r="C3" s="70"/>
      <c r="D3" s="71" t="s">
        <v>368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</row>
    <row r="4" spans="1:18" x14ac:dyDescent="0.25">
      <c r="A4" s="68" t="s">
        <v>365</v>
      </c>
      <c r="B4" s="69"/>
      <c r="C4" s="70"/>
      <c r="D4" s="71" t="s">
        <v>369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</row>
    <row r="5" spans="1:18" x14ac:dyDescent="0.25">
      <c r="A5" s="68" t="s">
        <v>366</v>
      </c>
      <c r="B5" s="69"/>
      <c r="C5" s="70"/>
      <c r="D5" s="71" t="s">
        <v>370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</row>
    <row r="6" spans="1:18" x14ac:dyDescent="0.25">
      <c r="A6" s="68"/>
      <c r="B6" s="69"/>
      <c r="C6" s="70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</row>
    <row r="7" spans="1:18" x14ac:dyDescent="0.25">
      <c r="A7" s="68"/>
      <c r="B7" s="69"/>
      <c r="C7" s="70"/>
      <c r="D7" s="71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</row>
    <row r="15" spans="1:18" x14ac:dyDescent="0.25">
      <c r="R15" s="75" t="s">
        <v>359</v>
      </c>
    </row>
    <row r="16" spans="1:18" x14ac:dyDescent="0.25">
      <c r="R16" s="75" t="s">
        <v>360</v>
      </c>
    </row>
    <row r="17" spans="18:18" x14ac:dyDescent="0.25">
      <c r="R17" s="75" t="s">
        <v>361</v>
      </c>
    </row>
    <row r="18" spans="18:18" x14ac:dyDescent="0.25">
      <c r="R18" s="75" t="s">
        <v>362</v>
      </c>
    </row>
  </sheetData>
  <mergeCells count="13">
    <mergeCell ref="A4:C4"/>
    <mergeCell ref="D4:O4"/>
    <mergeCell ref="A1:O1"/>
    <mergeCell ref="A2:C2"/>
    <mergeCell ref="D2:O2"/>
    <mergeCell ref="A3:C3"/>
    <mergeCell ref="D3:O3"/>
    <mergeCell ref="A5:C5"/>
    <mergeCell ref="D5:O5"/>
    <mergeCell ref="A6:C6"/>
    <mergeCell ref="D6:O6"/>
    <mergeCell ref="A7:C7"/>
    <mergeCell ref="D7:O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2023-05-20T10:43:41Z</dcterms:modified>
</cp:coreProperties>
</file>
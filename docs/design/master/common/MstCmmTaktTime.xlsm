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g\TTT\docs\design\master\common\"/>
    </mc:Choice>
  </mc:AlternateContent>
  <xr:revisionPtr revIDLastSave="0" documentId="13_ncr:1_{521E9376-9C11-46E2-B5EF-B6B021231E9D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5" l="1"/>
  <c r="G13" i="1"/>
  <c r="F19" i="5" s="1"/>
  <c r="E13" i="1"/>
  <c r="H13" i="1" s="1"/>
  <c r="E19" i="5" s="1"/>
  <c r="D13" i="1"/>
  <c r="T13" i="1" s="1"/>
  <c r="B19" i="5" l="1"/>
  <c r="D19" i="5" s="1"/>
  <c r="I19" i="5" s="1"/>
  <c r="G19" i="5"/>
  <c r="L19" i="5"/>
  <c r="M13" i="1"/>
  <c r="I13" i="1"/>
  <c r="N13" i="1"/>
  <c r="V13" i="1"/>
  <c r="J13" i="1"/>
  <c r="O13" i="1"/>
  <c r="W13" i="1"/>
  <c r="P13" i="1"/>
  <c r="U19" i="5" l="1"/>
  <c r="H19" i="5"/>
  <c r="V19" i="5"/>
  <c r="K19" i="5"/>
  <c r="S19" i="5"/>
  <c r="T19" i="5"/>
  <c r="W3" i="1"/>
  <c r="V3" i="1"/>
  <c r="B2" i="5" l="1"/>
  <c r="B3" i="5" s="1"/>
  <c r="B18" i="5"/>
  <c r="D18" i="5" s="1"/>
  <c r="G12" i="1"/>
  <c r="F18" i="5" s="1"/>
  <c r="E12" i="1"/>
  <c r="H12" i="1" s="1"/>
  <c r="E18" i="5" s="1"/>
  <c r="D12" i="1"/>
  <c r="V12" i="1" l="1"/>
  <c r="T12" i="1"/>
  <c r="N12" i="1"/>
  <c r="M12" i="1"/>
  <c r="O12" i="1"/>
  <c r="W12" i="1"/>
  <c r="T18" i="5"/>
  <c r="C18" i="5"/>
  <c r="J12" i="1"/>
  <c r="I12" i="1"/>
  <c r="P12" i="1"/>
  <c r="B6" i="5"/>
  <c r="L18" i="5" l="1"/>
  <c r="K18" i="5"/>
  <c r="I18" i="5"/>
  <c r="H18" i="5"/>
  <c r="G18" i="5"/>
  <c r="S18" i="5" s="1"/>
  <c r="U18" i="5"/>
  <c r="V18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5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F16" i="5" s="1"/>
  <c r="G11" i="1"/>
  <c r="F17" i="5" s="1"/>
  <c r="E9" i="1"/>
  <c r="H9" i="1" s="1"/>
  <c r="E10" i="1"/>
  <c r="H10" i="1" s="1"/>
  <c r="E16" i="5" s="1"/>
  <c r="E11" i="1"/>
  <c r="H11" i="1" s="1"/>
  <c r="E17" i="5" s="1"/>
  <c r="P9" i="1"/>
  <c r="P10" i="1"/>
  <c r="P11" i="1"/>
  <c r="T15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5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I13" i="5"/>
  <c r="S13" i="5"/>
  <c r="H13" i="5"/>
  <c r="V13" i="5"/>
  <c r="K13" i="5"/>
  <c r="U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s="1"/>
  <c r="L12" i="1" l="1"/>
  <c r="L13" i="1"/>
  <c r="L9" i="1"/>
  <c r="L10" i="1"/>
  <c r="J11" i="1"/>
  <c r="J9" i="1"/>
  <c r="J10" i="1"/>
  <c r="C7" i="1"/>
  <c r="O15" i="1"/>
  <c r="P15" i="1"/>
  <c r="I15" i="1"/>
  <c r="J15" i="1"/>
  <c r="N15" i="1"/>
  <c r="Q7" i="1" l="1"/>
  <c r="M47" i="3" s="1"/>
  <c r="L7" i="1"/>
  <c r="G47" i="3" s="1"/>
  <c r="K47" i="3"/>
  <c r="J47" i="3"/>
  <c r="M15" i="1"/>
  <c r="K15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4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<sst xmlns="http://schemas.openxmlformats.org/spreadsheetml/2006/main" count="387" uniqueCount="312">
  <si>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</si>
  <si>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</si>
  <si>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</si>
  <si>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</si>
  <si>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</si>
  <si>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</si>
  <si>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</si>
  <si>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</si>
  <si>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</si>
  <si>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</si>
  <si>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</si>
  <si>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</si>
  <si>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</si>
  <si>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</si>
  <si>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</si>
  <si>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</si>
  <si>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</si>
  <si>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</si>
  <si>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</si>
  <si>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</si>
  <si>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</si>
  <si>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</si>
  <si>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</si>
  <si>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</si>
  <si>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</si>
  <si>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</si>
  <si>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</si>
  <si>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</si>
  <si>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</si>
  <si>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</si>
  <si>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</si>
  <si>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</si>
  <si>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</si>
  <si>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</si>
  <si>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</si>
  <si>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</si>
  <si>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</si>
  <si>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</si>
  <si>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</si>
  <si>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</si>
  <si>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</si>
  <si>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</si>
  <si>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</si>
  <si>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</si>
  <si>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</si>
  <si>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</si>
  <si>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</si>
  <si>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</si>
  <si>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</si>
  <si>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</si>
  <si>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</si>
  <si>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</si>
  <si>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</si>
  <si>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</si>
  <si>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</si>
  <si>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</si>
  <si>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</si>
  <si>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</si>
  <si>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</si>
  <si>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</si>
  <si>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</si>
  <si>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</si>
  <si>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</si>
  <si>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</si>
  <si>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</si>
  <si>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</si>
  <si>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</si>
  <si>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</si>
  <si>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</si>
  <si>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</si>
  <si>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</si>
  <si>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</si>
  <si>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</si>
  <si>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</si>
  <si>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</si>
  <si>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</si>
  <si>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</si>
  <si>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</si>
  <si>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</si>
  <si>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</si>
  <si>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</si>
  <si>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</si>
  <si>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</si>
  <si>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</si>
  <si>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</si>
  <si>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</si>
  <si>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</si>
  <si>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</si>
  <si>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</si>
  <si>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</si>
  <si>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</si>
  <si>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</si>
  <si>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</si>
  <si>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</si>
  <si>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</si>
  <si>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</si>
  <si>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</si>
  <si>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</si>
  <si>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</si>
  <si>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</si>
  <si>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</si>
  <si>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</si>
  <si>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</si>
  <si>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</si>
  <si>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</si>
  <si>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</si>
  <si>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</si>
  <si>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</si>
  <si>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</si>
  <si>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</si>
  <si>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</si>
  <si>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</si>
  <si>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</si>
  <si>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</si>
  <si>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</si>
  <si>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</si>
  <si>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</si>
  <si>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</si>
  <si>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</si>
  <si>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</si>
  <si>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</si>
  <si>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</si>
  <si>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</si>
  <si>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</si>
  <si>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</si>
  <si>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</si>
  <si>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</si>
  <si>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</si>
  <si>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</si>
  <si>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</si>
  <si>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</si>
  <si>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</si>
  <si>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</si>
  <si>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</si>
  <si>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</si>
  <si>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</si>
  <si>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</si>
  <si>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</si>
  <si>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</si>
  <si>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</si>
  <si>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</si>
  <si>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</si>
  <si>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</si>
  <si>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</si>
  <si>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</si>
  <si>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</si>
  <si>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</si>
  <si>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</si>
  <si>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</si>
  <si>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</si>
  <si>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</si>
  <si>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</si>
  <si>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</si>
  <si>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</si>
  <si>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</si>
  <si>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</si>
  <si>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</si>
  <si>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</si>
  <si>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</si>
  <si>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</si>
  <si>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</si>
  <si>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</si>
  <si>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</si>
  <si>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</si>
  <si>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</si>
  <si>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</si>
  <si>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</si>
  <si>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</si>
  <si>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</si>
  <si>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</si>
  <si>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</si>
  <si>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</si>
  <si>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</si>
  <si>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</si>
  <si>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</si>
  <si>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</si>
  <si>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</si>
  <si>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</si>
  <si>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</si>
  <si>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</si>
  <si>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</si>
  <si>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</si>
  <si>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</si>
  <si>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</si>
  <si>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</si>
  <si>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</si>
  <si>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</si>
  <si>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</si>
  <si>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</si>
  <si>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</si>
  <si>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</si>
  <si>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</si>
  <si>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</si>
  <si>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</si>
  <si>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</si>
  <si>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</si>
  <si>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</si>
  <si>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</si>
  <si>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</si>
  <si>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</si>
  <si>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</si>
  <si>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</si>
  <si>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</si>
  <si>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</si>
  <si>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</si>
  <si>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</si>
  <si>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</si>
  <si>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</si>
  <si>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</si>
  <si>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</si>
  <si>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</si>
  <si>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</si>
  <si>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</si>
  <si>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</si>
  <si>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</si>
  <si>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</si>
  <si>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</si>
  <si>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</si>
  <si>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</si>
  <si>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</si>
  <si>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</si>
  <si>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</si>
  <si>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</si>
  <si>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</si>
  <si>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</si>
  <si>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</si>
  <si>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</si>
  <si>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</si>
  <si>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</si>
  <si>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</si>
  <si>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</si>
  <si>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</si>
  <si>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</si>
  <si>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</si>
  <si>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</si>
  <si>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</si>
  <si>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</si>
  <si>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</si>
  <si>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</si>
  <si>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</si>
  <si>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</si>
  <si>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</si>
  <si>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</si>
  <si>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</si>
  <si>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</si>
  <si>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</si>
  <si>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</si>
  <si>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</si>
  <si>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</si>
  <si>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</si>
  <si>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</si>
  <si>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</si>
  <si>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</si>
  <si>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</si>
  <si>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</si>
  <si>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</si>
  <si>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</si>
  <si>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</si>
  <si>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</si>
  <si>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</si>
  <si>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</si>
  <si>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</si>
  <si>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</si>
  <si>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</si>
  <si>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</si>
  <si>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</si>
  <si>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</si>
  <si>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</si>
  <si>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</si>
  <si>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</si>
  <si>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</si>
  <si>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</si>
  <si>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</si>
  <si>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</si>
  <si>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</si>
  <si>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</si>
  <si>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</si>
  <si>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</si>
  <si>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</si>
  <si>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</si>
  <si>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</si>
  <si>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</si>
  <si>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</si>
  <si>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</si>
  <si>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</si>
  <si>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</si>
  <si>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</si>
  <si>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</si>
  <si>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</si>
  <si>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</si>
  <si>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</si>
  <si>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</si>
  <si>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</si>
  <si>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</si>
  <si>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</si>
  <si>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</si>
  <si>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</si>
  <si>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</si>
  <si>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</si>
  <si>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</si>
  <si>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</si>
  <si>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</si>
  <si>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</si>
  <si>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PROD_LINE</t>
  </si>
  <si>
    <t>varchar(50)</t>
  </si>
  <si>
    <t>GROUP_CD</t>
  </si>
  <si>
    <t>TAKT_TIME_SECOND</t>
  </si>
  <si>
    <t>TAKT_TIME</t>
  </si>
  <si>
    <t>TaktTime</t>
  </si>
  <si>
    <t>Master.Cmm</t>
  </si>
  <si>
    <t>MstCmmTaktTime</t>
  </si>
  <si>
    <t>Master Common TaktTime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</si>
</sst>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6"/>
  <sheetViews>
    <sheetView tabSelected="1" topLeftCell="I37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[Table("MstCmmTaktTime")]
	[Index(nameof(ProdLine), Name="IX_MstCmmTaktTime_ProdLine")]
	[Index(nameof(GroupCd), Name="IX_MstCmmTaktTime_GroupCd")]
	[Index(nameof(IsActive), Name="IX_MstCmmTaktTime_IsActive")]	public class MstCmmTaktTime: FullAuditedEntity&lt;long&gt;, IEntity&lt;long&gt;	
	{
		public const int MaxProdLineLength = 50;
		public const int MaxGroupCdLength = 50;
		public const int MaxTaktTimeLength = 50;
		public const int MaxIsActiveLength = 1;
		[StringLength(MaxProdLineLength)]
		public virtual string ProdLine { get; set; }
		[StringLength(MaxGroupCdLength)]
		public virtual string GroupCd { get; set; }
		public virtual int TaktTimeSecond { get; set; }
		[StringLength(MaxTaktTimeLength)]
		public virtual string TaktTime { get; set; }
		[StringLength(MaxIsActiveLength)]
		public virtual string IsActive { get; set; }
	}
}
</v>
      </c>
      <c r="D47" s="51" t="str">
        <f>A.Backend!O7</f>
        <v xml:space="preserve">		public const string Pages_Master_Cmm_TaktTime = "Pages.Master.Cmm.TaktTime";
		public const string Pages_Master_Cmm_TaktTime_CreateEdit = "Pages.Master.Cmm.TaktTime.CreateEdit";
		public const string Pages_Master_Cmm_TaktTime_Delete = "Pages.Master.Cmm.TaktTime.Delete";
</v>
      </c>
      <c r="E47" s="51" t="str">
        <f>A.Backend!N7</f>
        <v xml:space="preserve">		var perMstCmmTaktTime = PARENTS.CreateChildPermission(AppPermissions.Pages_Master_Cmm_TaktTime, L( "MasterCmmTaktTime"));
		perMstCmmTaktTime.CreateChildPermission(AppPermissions.Pages_Master_Cmm_TaktTime_CreateEdit, L( "MasterCmmTaktTimeCreateEdit"));
		perMstCmmTaktTime.CreateChildPermission(AppPermissions.Pages_Master_Cmm_TaktTime_Delete, L( "MasterCmmTaktTimeDelete"));</v>
      </c>
      <c r="F47" s="51" t="str">
        <f>A.Backend!K7</f>
        <v>public virtual DbSet&lt;MstCmmTaktTime&gt; MstCmmTaktTimes { get; set; }</v>
      </c>
      <c r="G47" s="51" t="str">
        <f ca="1">A.Backend!L7</f>
        <v xml:space="preserve">namespace vovina.Master.Cmm
{
	public class MstCmmTaktTimeConsts	
	{
		public const int MaxProdLineLength = 50;
		public const int MaxGroupCdLength = 50;
		public const int MaxTaktTimeLength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vovina.Master.Cmm.Dto
{
	public class MstCmmTaktTimeDto : EntityDto&lt;long?&gt;	
	{
		public virtual string ProdLine { get; set; }
		public virtual string GroupCd { get; set; }
		public virtual int TaktTimeSecond { get; set; }
		public virtual string TaktTime { get; set; }
		public virtual string IsActive { get; set; }
	}
	public class CreateOrEditMstCmmTaktTimeDto : EntityDto&lt;long?&gt;	
	{
		[StringLength(MstCmmTaktTimeConsts.MaxProdLineLength)]
		public virtual string ProdLine { get; set; }
		[StringLength(MstCmmTaktTimeConsts.MaxGroupCdLength)]
		public virtual string GroupCd { get; set; }
		public virtual int TaktTimeSecond { get; set; }
		[StringLength(MstCmmTaktTimeConsts.MaxTaktTimeLength)]
		public virtual string TaktTime { get; set; }
		[StringLength(MstCmmTaktTimeConsts.MaxIsActiveLength)]
		public virtual string IsActive { get; set; }
	}
	public class GetMstCmmTaktTimeInput : PagedAndSortedResultRequestDto	
	{
		public virtual string ProdLine { get; set; }
		public virtual string GroupCd { get; set; }
		public virtual int TaktTimeSecond { get; set; }
		public virtual string TaktTime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vovina.Master.Cmm.Dto
{
	public class MstCmmTaktTimeExportInput{
		public virtual string ProdLine { get; set; }
		public virtual string GroupCd { get; set; }
		public virtual int TaktTimeSecond { get; set; }
		public virtual string TaktTime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vovina.Master.Cmm.Dto;
namespace vovina.Master.Cmm
{
	public interface IMstCmmTaktTimeAppService : IApplicationService
	{
		Task&lt;PagedResultDto&lt;MstCmmTaktTimeDto&gt;&gt; GetAll(GetMstCmmTaktTimeInput input);
		Task CreateOrEdit(CreateOrEditMstCmmTaktTimeDto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IMstCmmTaktTimeExcelExporter : IApplicationService
	{
		FileDto ExportToFile(List&lt;MstCmmTaktTimeDto&gt; mstcmmtakttime);
	}
}
</v>
      </c>
      <c r="L47" s="51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MstCmmTaktTimeExcelExporter : NpoiExcelExporterBase, IMstCmmTaktTimeExcelExporter
    {
        public MstCmmTaktTimeExcelExporter(ITempFileCacheManager tempFileCacheManager) : base(tempFileCacheManager) { }
        public FileDto ExportToFile(List&lt;MstCmmTaktTimeDto&gt; takttime)
        {
            return CreateExcelPackage(
				"MasterCmmTaktTime.xlsx",
				excelPackage =&gt;
				 {
					var sheet = excelPackage.CreateSheet("TaktTime");
					AddHeader(
								sheet,
								("ProdLine"),
								("GroupCd"),
								("TaktTimeSecond"),
								("TaktTime"),
								("IsActive"),
							   );
					AddObjects(
						 sheet, 1, takttime,                                       
								_ =&gt; _.ProdLine,
								_ =&gt; _.GroupCd,
								_ =&gt; _.TaktTimeSecond,
								_ =&gt; _.TaktTime,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[AbpAuthorize(AppPermissions.Pages_Master_Cmm_TaktTime)]
    public class MstCmmTaktTimeAppService : vovinaAppServiceBase, IMstCmmTaktTimeAppService
    {
        private readonly IDapperRepository&lt;MstCmmTaktTime, long&gt; _dapperRepo;
        private readonly IRepository&lt;MstCmmTaktTime, long&gt; _repo;
        private readonly IMstCmmTaktTimeExcelExporter _calendarListExcelExporter;
        public MstCmmTaktTimeAppService(IRepository&lt;MstCmmTaktTime,long&gt; repo, 
                                         IDapperRepository&lt;MstCmmTaktTime,long&gt; dapperRepo,
                                        IMstCmmTaktTimeExcelExporter calendarListExcelExporter
            )
        {
            _repo = repo;
            _dapperRepo = dapperRepo;
            _calendarListExcelExporter = calendarListExcelExporter;
        }
        [AbpAuthorize(AppPermissions.Pages_Master_Cmm_TaktTime_CreateEdit)]
        public async Task CreateOrEdit(CreateOrEditMstCmmTaktTimeDto input)
        {
            if (input.Id == null) await Create(input);
            else await Update(input);
        }
        //CREATE
        private async Task Create(CreateOrEditMstCmmTaktTimeDto input)
        {          
            var mainObj = ObjectMapper.Map&lt;MstCmmTaktTime&gt;(input);
            await CurrentUnitOfWork.GetDbContext&lt;vovinaDbContext&gt;().AddAsync(mainObj);
        }
        // EDIT
        private async Task Update(CreateOrEditMstCmmTaktTimeDto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[AbpAuthorize(AppPermissions.Pages_Master_Cmm_TaktTime_Delete)]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Task&lt;PagedResultDto&lt;MstCmmTaktTimeDto&gt;&gt; GetAll(GetMstCmmTaktTimeInput input)
        {
            var filtered = _repo.GetAll()
				.WhereIf(!string.IsNullOrWhiteSpace(input.ProdLine), e =&gt; e.ProdLine.Contains(input.ProdLine))
				.WhereIf(!string.IsNullOrWhiteSpace(input.GroupCd), e =&gt; e.GroupCd.Contains(input.GroupCd))
				.WhereIf(!string.IsNullOrWhiteSpace(input.TaktTime), e =&gt; e.TaktTime.Contains(input.TaktTime))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MstCmmTaktTimeDto
                        {
							Id = o.Id,
							ProdLine = o.ProdLine,
							GroupCd = o.GroupCd,
							TaktTimeSecond = o.TaktTimeSecond,
							TaktTime = o.TaktTime,
							IsActive = o.IsActive,
                        };
            var totalCount = await filtered.CountAsync();
			var paged = system.PageBy(input);
            return new PagedResultDto&lt;MstCmmTaktTimeDto&gt;(
                totalCount,
                 await paged.ToListAsync()
            );
        }
        public async Task&lt;FileDto&gt; GetTaktTimeToExcel(MstCmmTaktTimeExportInput input)
        {
            var query = from o in _repo.GetAll()
                        select new MstCmmTaktTimeDto
                        {
							Id = o.Id,
							ProdLine = o.ProdLine,
							GroupCd = o.GroupCd,
							TaktTimeSecond = o.TaktTimeSecond,
							TaktTime = o.TaktTime,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_dapperRepo.ExecuteAsync(MstCmmTaktTimeConsts.SP_MST_WPT_CALENDAR_GENERATE);
       // }
    }
}</v>
      </c>
      <c r="N47" s="62" t="str">
        <f>A.Backend!U7</f>
        <v xml:space="preserve">  configuration.CreateMap&lt;MstCmmTaktTimeDto, MstCmmTaktTime&gt;();
  configuration.CreateMap&lt;MstCmmTaktTime, MstCmmTaktTimeDto&gt;();
  configuration.CreateMap&lt;CreateOrEditMstCmmTaktTimeDto, MstCmmTaktTime&gt;();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takttime</v>
      </c>
      <c r="C52" s="72" t="str">
        <f>"create folder " &amp;B52</f>
        <v>create folder takttime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takttime.component.ts</v>
      </c>
      <c r="D53" s="31" t="str">
        <f>B.Frontend!I14</f>
        <v>takttime.component.html</v>
      </c>
      <c r="E53" s="31" t="str">
        <f>B.Frontend!J14</f>
        <v>takttime.component.less</v>
      </c>
      <c r="F53" s="31" t="str">
        <f>B.Frontend!K14</f>
        <v>create-or-edit-takttime-modal.component.html</v>
      </c>
      <c r="G53" s="31" t="str">
        <f>B.Frontend!L14</f>
        <v>create-or-edit-takttime-modal.component.ts</v>
      </c>
      <c r="H53" s="31" t="str">
        <f>B.Frontend!M14</f>
        <v>create-or-edit-takttime-modal.component.less</v>
      </c>
      <c r="I53" s="31" t="str">
        <f>B.Frontend!N14</f>
        <v>takttime.module.ts</v>
      </c>
      <c r="J53" s="31" t="str">
        <f>B.Frontend!O14</f>
        <v>takttime-routing.module.ts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MstCmmTaktTimeDto, MstCmmTaktTimeServiceProxy } from '@shared/service-proxies/service-proxies';
import { finalize } from 'rxjs/internal/operators/finalize';
import { CreateOrEditTaktTimeModalComponent } from './create-or-edit-takttime-modal.component';
import { DatePipe } from '@angular/common';
import { FileDownloadService } from '@shared/utils/file-download.service';
import ceil from 'lodash-es/ceil';
import { Paginator } from 'primeng/paginator';
@Component({
    templateUrl: './takttime.component.html',
    styleUrls: ['./takttime.component.less'],
})
export class TaktTimeComponent extends AppComponentBase implements OnInit {
    @ViewChild('createOrEditModalTaktTime', { static: true }) createOrEditModalTaktTime:| CreateOrEditTaktTimeModalComponent|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MstCmmTaktTimeDto = new MstCmmTaktTimeDto();
    saveSelectedRow: MstCmmTaktTimeDto = new MstCmmTaktTimeDto();
    datas: MstCmmTaktTimeDto = new MstCmmTaktTimeDto();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groupCd : string = '' ; 
	taktTimeSecond : number = 0 ;
	taktTime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MstCmmTaktTimeServiceProxy,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this.l('Group Cd'),headerTooltip: this.l('Group Cd'),field: 'groupCd',flex: 1},
			{headerName: this.l('Takt Time Second'),headerTooltip: this.l('Takt Time Second'),field: 'taktTimeSecond',flex: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this.groupCd,
			this.taktTimeSecond,
			this.taktTime,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this.groupCd = '',
		this.taktTimeSecond = 0,
		this.taktTime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this.groupCd,
			this.taktTimeSecond,
			this.taktTime,
			this.isActive,
			'',
            this.paginationParams.skipCount,
            this.paginationParams.pageSize
        );
    }
    onChangeRowSelection(params: { api: { getSelectedRows: () =&gt; MstCmmTaktTimeDto[] } }) {
        this.saveSelectedRow = params.api.getSelectedRows()[0] ?? new MstCmmTaktTimeDto();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MstCmmTaktTimeDto):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this._service.getTaktTimeToExcel(
			this.prodLine,
			this.groupCd,
			this.taktTimeSecond,
			this.taktTime,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TaktTime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[(ngModel)]='groupCd' name='groupCd'
									class='form-control' [placeholder]="l('Group Cd')"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(click)="createOrEditModalTaktTime.show()"&gt;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(click)="createOrEditModalTaktTime.show(selectedRow)"&gt;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&lt;create-or-edit-takttime-modal
    #createOrEditModalTaktTime
    (modalSave)="callBackDataGrid(dataParams)"
    (modalClose)="onChangeRowSelection(dataParams)"
&gt;
&lt;/create-or-edit-takttime-modal&gt;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#createOrEditModalTaktTime="bs-modal"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TaktTime')}}&lt;/h3&gt;
                    &lt;h3 *ngIf="!rowdata.id"&gt;{{('Create New TaktTime')}}&lt;/h3&gt;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title'&gt;Group Cd&lt;/label&gt;
						&lt;input type='text' class='col-md-10 form-control input-text' name='GroupCd' [(ngModel)]='rowdata.groupCd'&gt;
					&lt;/div&gt;
					&lt;div class='col-md-12 form-group row'&gt;
						&lt;label class='col-md-2 form-control title'&gt;Takt Time Second&lt;/label&gt;
						&lt;input type='number' class='col-md-10 form-control input-text' name='TaktTimeSecond' [(ngModel)]='rowdata.taktTimeSecond'&gt;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CreateOrEditMstCmmTaktTimeDto, MstCmmTaktTimeServiceProxy } from '@shared/service-proxies/service-proxies';
import { BsDatepickerDirective } from 'ngx-bootstrap/datepicker';
@Component({
    selector: 'create-or-edit-takttime-modal',
    templateUrl: './create-or-edit-takttime-modal.component.html',
    styleUrls: ['./create-or-edit-takttime-modal.component.less']
    })
export class CreateOrEditTaktTimeModalComponent extends AppComponentBase {
    @ViewChild('createOrEditModalTaktTime',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CreateOrEditMstCmmTaktTimeDto = new CreateOrEditMstCmmTaktTimeDto();
    active: boolean = false;
    saving: boolean = false;
    _isActive: boolean;
    constructor(
        injector: Injector,
        private _mstwptTaktTimeService: MstCmmTaktTimeServiceProxy,
    ) 
    {
        super(injector);
    }
    show(rowdata?: CreateOrEditMstCmmTaktTimeDto): void {
        if (!rowdata) this.rowdata = new CreateOrEditMstCmmTaktTimeDto();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this._mstwptTaktTimeService.createOrEdit(this.rowdata)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TaktTimeRoutingModule } from './takttime-routing.module';
import { TaktTimeComponent } from './takttime.component';
import { CreateOrEditTaktTimeModalComponent } from './create-or-edit-takttime-modal.component';
@NgModule({
    declarations: [
       TaktTimeComponent, 
        CreateOrEditTaktTimeModalComponent
    ],
    imports: [
        AppSharedModule, TaktTimeRoutingModule]
})
export class TaktTimeModule {}</v>
      </c>
      <c r="J54" s="49" t="str">
        <f>B.Frontend!O10</f>
        <v>import {NgModule} from '@angular/core';
import {RouterModule, Routes} from '@angular/router';
import { TaktTimeComponent } from './takttime.component';
const routes: Routes = [{
    path: '',
    component: TaktTimeComponent,
    pathMatch: 'full'
}];
@NgModule({
    imports: [RouterModule.forChild(routes)],
    exports: [RouterModule],
})
export class TaktTimeRoutingModule {}</v>
      </c>
      <c r="K54" s="49" t="str">
        <f>B.Frontend!P10</f>
        <v xml:space="preserve"> new AppMenuItem("TaktTime", "Pages.Master.Cmm.TaktTime", "flaticon-book",   "/app/main/master/cmm/takttime"),</v>
      </c>
      <c r="L54" s="50" t="str">
        <f>B.Frontend!Q10</f>
        <v>{
    path: 'master/cmm/takttime',
    loadChildren: () =&gt; import('./master/cmm/takttime/takttime.module').then(m =&gt; m.TaktTimeModule),
    data: { permission: 'Pages.Master.Cmm.TaktTime' }
},</v>
      </c>
      <c r="M54" s="48" t="str">
        <f>B.Frontend!R10</f>
        <v>ApiServiceProxies.MstCmmTaktTimeServiceProxy,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5"/>
  <sheetViews>
    <sheetView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310</v>
      </c>
      <c r="C3" s="10" t="s">
        <v>43</v>
      </c>
      <c r="D3" s="10" t="s">
        <v>44</v>
      </c>
      <c r="E3" s="10" t="s">
        <v>39</v>
      </c>
      <c r="F3" s="11" t="str">
        <f>"J"&amp;COUNTA($A:$A)</f>
        <v>J13</v>
      </c>
      <c r="G3" s="4" t="s">
        <v>57</v>
      </c>
      <c r="H3" s="10" t="str">
        <f>"I"&amp;COUNTA($A:$A)</f>
        <v>I13</v>
      </c>
      <c r="I3" s="10" t="str">
        <f>REPT(CHAR(9),2)&amp;"[Required]"&amp;"
"</f>
        <v xml:space="preserve">		[Required]
</v>
      </c>
      <c r="J3" s="11" t="str">
        <f>"L"&amp;COUNTA($A:$A)</f>
        <v>L13</v>
      </c>
      <c r="K3" s="5" t="s">
        <v>56</v>
      </c>
      <c r="L3" s="11" t="str">
        <f>"M"&amp;COUNTA($A:$A)</f>
        <v>M13</v>
      </c>
      <c r="M3" s="11" t="str">
        <f>"N"&amp;COUNTA($A:$A)</f>
        <v>N13</v>
      </c>
      <c r="N3" s="11" t="str">
        <f>"O"&amp;COUNTA($A:$A)</f>
        <v>O13</v>
      </c>
      <c r="O3" s="11" t="str">
        <f>"P"&amp;COUNTA($A:$A)</f>
        <v>P13</v>
      </c>
      <c r="Q3" s="11" t="str">
        <f>RIGHT(B2,(LEN(B2)-FIND(".",B2,1)))</f>
        <v>Cmm</v>
      </c>
      <c r="R3" s="32" t="str">
        <f>REPT(CHAR(9),1)&amp;"public class "&amp;B3&amp;"ExportInput"&amp;C3</f>
        <v xml:space="preserve">	public class MstCmmTaktTimeExportInput{
</v>
      </c>
      <c r="S3" s="11" t="str">
        <f>"namespace "&amp;$B$6&amp;".Exporting
"&amp;$C$3</f>
        <v xml:space="preserve">namespace vovina.Master.Cmm.Exporting
{
</v>
      </c>
      <c r="T3" s="11" t="str">
        <f>"T"&amp;COUNTA($A:$A)</f>
        <v>T13</v>
      </c>
      <c r="V3" s="11" t="str">
        <f>"V"&amp;COUNTA($A:$A)</f>
        <v>V13</v>
      </c>
      <c r="W3" s="10" t="str">
        <f>"W"&amp;COUNTA($A:$A)</f>
        <v>W13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vovina.Master.Cmm</v>
      </c>
      <c r="C6" s="11" t="str">
        <f>"namespace "&amp;$B$6&amp;"
"&amp;$C$3</f>
        <v xml:space="preserve">namespace vovina.Master.Cmm
{
</v>
      </c>
      <c r="D6" s="11" t="str">
        <f>REPT(CHAR(9),1)&amp;"public class "&amp;B3&amp;G3&amp;REPT(CHAR(9),1)&amp;"
"&amp;REPT(CHAR(9),1)&amp;C3</f>
        <v xml:space="preserve">	public class MstCmmTaktTime: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MstCmmTaktTimeConsts	
	{
</v>
      </c>
      <c r="F6" s="11" t="str">
        <f>REPT(CHAR(9),1)&amp;"public class "&amp;B3&amp;"Dto"&amp;K3&amp;REPT(CHAR(9),1)&amp;"
"&amp;REPT(CHAR(9),1)&amp;C3</f>
        <v xml:space="preserve">	public class MstCmmTaktTimeDto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CreateOrEditMstCmmTaktTimeDto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GetMstCmmTaktTimeInput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MstCmmTaktTime</v>
      </c>
      <c r="C7" s="11" t="str">
        <f>REPT(CHAR(9),1)&amp;"[Table("""&amp;B7&amp;""")]"&amp;"
"</f>
        <v xml:space="preserve">	[Table("MstCmmTaktTime")]
</v>
      </c>
      <c r="D7" s="11"/>
      <c r="E7" s="11"/>
      <c r="F7" s="11"/>
      <c r="G7" s="11"/>
      <c r="H7" s="11"/>
      <c r="I7" s="11"/>
      <c r="J7" s="6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[Table("MstCmmTaktTime")]
	[Index(nameof(ProdLine), Name="IX_MstCmmTaktTime_ProdLine")]
	[Index(nameof(GroupCd), Name="IX_MstCmmTaktTime_GroupCd")]
	[Index(nameof(IsActive), Name="IX_MstCmmTaktTime_IsActive")]	public class MstCmmTaktTime: FullAuditedEntity&lt;long&gt;, IEntity&lt;long&gt;	
	{
		public const int MaxProdLineLength = 50;
		public const int MaxGroupCdLength = 50;
		public const int MaxTaktTimeLength = 50;
		public const int MaxIsActiveLength = 1;
		[StringLength(MaxProdLineLength)]
		public virtual string ProdLine { get; set; }
		[StringLength(MaxGroupCdLength)]
		public virtual string GroupCd { get; set; }
		public virtual int TaktTimeSecond { get; set; }
		[StringLength(MaxTaktTimeLength)]
		public virtual string TaktTime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DbSet&lt;MstCmmTaktTime&gt; MstCmmTaktTimes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vovina.Master.Cmm
{
	public class MstCmmTaktTimeConsts	
	{
		public const int MaxProdLineLength = 50;
		public const int MaxGroupCdLength = 50;
		public const int MaxTaktTimeLength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vovina.Master.Cmm.Dto
{
	public class MstCmmTaktTimeDto : EntityDto&lt;long?&gt;	
	{
		public virtual string ProdLine { get; set; }
		public virtual string GroupCd { get; set; }
		public virtual int TaktTimeSecond { get; set; }
		public virtual string TaktTime { get; set; }
		public virtual string IsActive { get; set; }
	}
	public class CreateOrEditMstCmmTaktTimeDto : EntityDto&lt;long?&gt;	
	{
		[StringLength(MstCmmTaktTimeConsts.MaxProdLineLength)]
		public virtual string ProdLine { get; set; }
		[StringLength(MstCmmTaktTimeConsts.MaxGroupCdLength)]
		public virtual string GroupCd { get; set; }
		public virtual int TaktTimeSecond { get; set; }
		[StringLength(MstCmmTaktTimeConsts.MaxTaktTimeLength)]
		public virtual string TaktTime { get; set; }
		[StringLength(MstCmmTaktTimeConsts.MaxIsActiveLength)]
		public virtual string IsActive { get; set; }
	}
	public class GetMstCmmTaktTimeInput : PagedAndSortedResultRequestDto	
	{
		public virtual string ProdLine { get; set; }
		public virtual string GroupCd { get; set; }
		public virtual int TaktTimeSecond { get; set; }
		public virtual string TaktTime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perMstCmmTaktTime = PARENTS.CreateChildPermission(AppPermissions.Pages_Master_Cmm_TaktTime, L( "MasterCmmTaktTime"));
		perMstCmmTaktTime.CreateChildPermission(AppPermissions.Pages_Master_Cmm_TaktTime_CreateEdit, L( "MasterCmmTaktTimeCreateEdit"));
		perMstCmmTaktTime.CreateChildPermission(AppPermissions.Pages_Master_Cmm_TaktTime_Delete, L( "MasterCmmTaktTimeDelete"));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Pages_Master_Cmm_TaktTime = "Pages.Master.Cmm.TaktTime";
		public const string Pages_Master_Cmm_TaktTime_CreateEdit = "Pages.Master.Cmm.TaktTime.CreateEdit";
		public const string Pages_Master_Cmm_TaktTime_Delete = "Pages.Master.Cmm.TaktTime.Delete";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
{
	public interface IMstCmmTaktTimeAppService : IApplicationService
	{
		Task&lt;PagedResultDto&lt;MstCmmTaktTimeDto&gt;&gt; GetAll(GetMstCmmTaktTimeInput input);
		Task CreateOrEdit(CreateOrEditMstCmmTaktTimeDto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[AbpAuthorize(AppPermissions.Pages_Master_Cmm_TaktTime)]
    public class MstCmmTaktTimeAppService : vovinaAppServiceBase, IMstCmmTaktTimeAppService
    {
        private readonly IDapperRepository&lt;MstCmmTaktTime, long&gt; _dapperRepo;
        private readonly IRepository&lt;MstCmmTaktTime, long&gt; _repo;
        private readonly IMstCmmTaktTimeExcelExporter _calendarListExcelExporter;
        public MstCmmTaktTimeAppService(IRepository&lt;MstCmmTaktTime,long&gt; repo, 
                                         IDapperRepository&lt;MstCmmTaktTime,long&gt; dapperRepo,
                                        IMstCmmTaktTimeExcelExporter calendarListExcelExporter
            )
        {
            _repo = repo;
            _dapperRepo = dapperRepo;
            _calendarListExcelExporter = calendarListExcelExporter;
        }
        [AbpAuthorize(AppPermissions.Pages_Master_Cmm_TaktTime_CreateEdit)]
        public async Task CreateOrEdit(CreateOrEditMstCmmTaktTimeDto input)
        {
            if (input.Id == null) await Create(input);
            else await Update(input);
        }
        //CREATE
        private async Task Create(CreateOrEditMstCmmTaktTimeDto input)
        {          
            var mainObj = ObjectMapper.Map&lt;MstCmmTaktTime&gt;(input);
            await CurrentUnitOfWork.GetDbContext&lt;vovinaDbContext&gt;().AddAsync(mainObj);
        }
        // EDIT
        private async Task Update(CreateOrEditMstCmmTaktTimeDto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[AbpAuthorize(AppPermissions.Pages_Master_Cmm_TaktTime_Delete)]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Task&lt;PagedResultDto&lt;MstCmmTaktTimeDto&gt;&gt; GetAll(GetMstCmmTaktTimeInput input)
        {
            var filtered = _repo.GetAll()
				.WhereIf(!string.IsNullOrWhiteSpace(input.ProdLine), e =&gt; e.ProdLine.Contains(input.ProdLine))
				.WhereIf(!string.IsNullOrWhiteSpace(input.GroupCd), e =&gt; e.GroupCd.Contains(input.GroupCd))
				.WhereIf(!string.IsNullOrWhiteSpace(input.TaktTime), e =&gt; e.TaktTime.Contains(input.TaktTime))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MstCmmTaktTimeDto
                        {
							Id = o.Id,
							ProdLine = o.ProdLine,
							GroupCd = o.GroupCd,
							TaktTimeSecond = o.TaktTimeSecond,
							TaktTime = o.TaktTime,
							IsActive = o.IsActive,
                        };
            var totalCount = await filtered.CountAsync();
			var paged = system.PageBy(input);
            return new PagedResultDto&lt;MstCmmTaktTimeDto&gt;(
                totalCount,
                 await paged.ToListAsync()
            );
        }
        public async Task&lt;FileDto&gt; GetTaktTimeToExcel(MstCmmTaktTimeExportInput input)
        {
            var query = from o in _repo.GetAll()
                        select new MstCmmTaktTimeDto
                        {
							Id = o.Id,
							ProdLine = o.ProdLine,
							GroupCd = o.GroupCd,
							TaktTimeSecond = o.TaktTimeSecond,
							TaktTime = o.TaktTime,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_dapperRepo.ExecuteAsync(MstCmmTaktTimeConsts.SP_MST_WPT_CALENDAR_GENERATE);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vovina.Master.Cmm.Dto
{
	public class MstCmmTaktTimeExportInput{
		public virtual string ProdLine { get; set; }
		public virtual string GroupCd { get; set; }
		public virtual int TaktTimeSecond { get; set; }
		public virtual string TaktTime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IMstCmmTaktTimeExcelExporter : IApplicationService
	{
		FileDto ExportToFile(List&lt;MstCmmTaktTimeDto&gt; mstcmmtakttime);
	}
}
</v>
      </c>
      <c r="T7" s="28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MstCmmTaktTimeExcelExporter : NpoiExcelExporterBase, IMstCmmTaktTimeExcelExporter
    {
        public MstCmmTaktTimeExcelExporter(ITempFileCacheManager tempFileCacheManager) : base(tempFileCacheManager) { }
        public FileDto ExportToFile(List&lt;MstCmmTaktTimeDto&gt; takttime)
        {
            return CreateExcelPackage(
				"MasterCmmTaktTime.xlsx",
				excelPackage =&gt;
				 {
					var sheet = excelPackage.CreateSheet("TaktTime");
					AddHeader(
								sheet,
								("ProdLine"),
								("GroupCd"),
								("TaktTimeSecond"),
								("TaktTime"),
								("IsActive"),
							   );
					AddObjects(
						 sheet, 1, takttime,                                       
								_ =&gt; _.ProdLine,
								_ =&gt; _.GroupCd,
								_ =&gt; _.TaktTimeSecond,
								_ =&gt; _.TaktTime,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configuration.CreateMap&lt;MstCmmTaktTimeDto, MstCmmTaktTime&gt;();
  configuration.CreateMap&lt;MstCmmTaktTime, MstCmmTaktTimeDto&gt;();
  configuration.CreateMap&lt;CreateOrEditMstCmmTaktTimeDto, MstCmmTaktTime&gt;();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303</v>
      </c>
      <c r="B9" t="s">
        <v>304</v>
      </c>
      <c r="C9" t="s">
        <v>1</v>
      </c>
      <c r="D9" t="str">
        <f>SUBSTITUTE(PROPER(A9),"_","")</f>
        <v>ProdLine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MaxProdLineLength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[Index(nameof(ProdLine), Name="IX_MstCmmTaktTime_ProdLine")]</v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[StringLength(MstCmmTaktTimeConsts.MaxProdLineLength)]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1" si="4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1" customHeight="1" x14ac:dyDescent="0.25">
      <c r="A10" t="s">
        <v>305</v>
      </c>
      <c r="B10" t="s">
        <v>304</v>
      </c>
      <c r="C10" t="s">
        <v>1</v>
      </c>
      <c r="D10" t="str">
        <f t="shared" ref="D10:D11" si="5">SUBSTITUTE(PROPER(A10),"_","")</f>
        <v>GroupCd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MaxGroupCdLength = 50;
</v>
      </c>
      <c r="J10" t="str">
        <f t="shared" si="3"/>
        <v xml:space="preserve">		[StringLength(MaxGroupCdLength)]
		public virtual string GroupCd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[Index(nameof(GroupCd), Name="IX_MstCmmTaktTime_GroupCd")]</v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GroupCd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[StringLength(MstCmmTaktTimeConsts.MaxGroupCdLength)]
		public virtual string GroupCd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GroupCd { get; set; }
</v>
      </c>
      <c r="P10" t="str">
        <f t="shared" si="4"/>
        <v xml:space="preserve">							GroupCd = o.GroupCd,</v>
      </c>
      <c r="T10" s="69" t="str">
        <f t="shared" ref="T10:T12" si="10">REPT(CHAR(9),8)&amp;"("""&amp;D10&amp;"""),"</f>
        <v xml:space="preserve">								("GroupCd"),</v>
      </c>
      <c r="V10" s="70" t="str">
        <f t="shared" ref="V10:V12" si="11">REPT(CHAR(9),8)&amp;"_ =&gt; _."&amp;D10&amp;","</f>
        <v xml:space="preserve">								_ =&gt; _.GroupCd,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.WhereIf(!string.IsNullOrWhiteSpace(input.GroupCd), e =&gt; e.GroupCd.Contains(input.GroupCd))</v>
      </c>
    </row>
    <row r="11" spans="1:23" customFormat="1" ht="18.75" customHeight="1" x14ac:dyDescent="0.25">
      <c r="A11" t="s">
        <v>306</v>
      </c>
      <c r="B11" t="s">
        <v>4</v>
      </c>
      <c r="C11" t="s">
        <v>1</v>
      </c>
      <c r="D11" t="str">
        <f t="shared" si="5"/>
        <v>TaktTimeSecond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TaktTimeSecond { get; set; }
</v>
      </c>
      <c r="K11" s="7"/>
      <c r="L11" t="str">
        <f t="shared" si="6"/>
        <v/>
      </c>
      <c r="M11" t="str">
        <f t="shared" si="7"/>
        <v xml:space="preserve">		public virtual int TaktTimeSecond { get; set; }
</v>
      </c>
      <c r="N11" t="str">
        <f t="shared" si="8"/>
        <v xml:space="preserve">		public virtual int TaktTimeSecond { get; set; }
</v>
      </c>
      <c r="O11" t="str">
        <f t="shared" si="9"/>
        <v xml:space="preserve">		public virtual int TaktTimeSecond { get; set; }
</v>
      </c>
      <c r="P11" t="str">
        <f t="shared" si="4"/>
        <v xml:space="preserve">							TaktTimeSecond = o.TaktTimeSecond,</v>
      </c>
      <c r="T11" s="69" t="str">
        <f t="shared" si="10"/>
        <v xml:space="preserve">								("TaktTimeSecond"),</v>
      </c>
      <c r="V11" s="70" t="str">
        <f t="shared" si="11"/>
        <v xml:space="preserve">								_ =&gt; _.TaktTimeSecond,</v>
      </c>
      <c r="W11" s="69" t="str">
        <f t="shared" si="12"/>
        <v/>
      </c>
    </row>
    <row r="12" spans="1:23" customFormat="1" ht="22.5" customHeight="1" x14ac:dyDescent="0.25">
      <c r="A12" t="s">
        <v>307</v>
      </c>
      <c r="B12" t="s">
        <v>304</v>
      </c>
      <c r="C12" t="s">
        <v>1</v>
      </c>
      <c r="D12" t="str">
        <f>SUBSTITUTE(PROPER(A12),"_","")</f>
        <v>TaktTime</v>
      </c>
      <c r="E12" t="str">
        <f t="shared" ref="E12" si="13">IFERROR(LEFT(B12, FIND("(",B12)-1),B12)</f>
        <v>varchar</v>
      </c>
      <c r="F12" s="7"/>
      <c r="G12" t="str">
        <f t="shared" ref="G12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5">IF(H12="string",REPT(CHAR(9),2)&amp;"public const int Max"&amp;D12&amp;"Length = "&amp;G12&amp;";"&amp;$E$3,"" )</f>
        <v xml:space="preserve">		public const int MaxTaktTimeLength = 50;
</v>
      </c>
      <c r="J12" t="str">
        <f t="shared" ref="J12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[StringLength(MaxTaktTimeLength)]
		public virtual string TaktTime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TaktTime { get; set; }
</v>
      </c>
      <c r="N12" t="str">
        <f t="shared" si="8"/>
        <v xml:space="preserve">		[StringLength(MstCmmTaktTimeConsts.MaxTaktTimeLength)]
		public virtual string TaktTime { get; set; }
</v>
      </c>
      <c r="O12" t="str">
        <f t="shared" si="9"/>
        <v xml:space="preserve">		public virtual string TaktTime { get; set; }
</v>
      </c>
      <c r="P12" t="str">
        <f t="shared" ref="P12" si="17">REPT(CHAR(9),7)&amp;D12&amp;" = o." &amp;D12 &amp;","</f>
        <v xml:space="preserve">							TaktTime = o.TaktTime,</v>
      </c>
      <c r="T12" s="69" t="str">
        <f t="shared" si="10"/>
        <v xml:space="preserve">								("TaktTime"),</v>
      </c>
      <c r="V12" s="70" t="str">
        <f t="shared" si="11"/>
        <v xml:space="preserve">								_ =&gt; _.TaktTime,</v>
      </c>
      <c r="W12" s="69" t="str">
        <f t="shared" si="12"/>
        <v xml:space="preserve">				.WhereIf(!string.IsNullOrWhiteSpace(input.TaktTime), e =&gt; e.TaktTime.Contains(input.TaktTime))</v>
      </c>
    </row>
    <row r="13" spans="1:23" customFormat="1" ht="22.5" customHeight="1" x14ac:dyDescent="0.25">
      <c r="A13" t="s">
        <v>301</v>
      </c>
      <c r="B13" t="s">
        <v>302</v>
      </c>
      <c r="C13" t="s">
        <v>1</v>
      </c>
      <c r="D13" t="str">
        <f>SUBSTITUTE(PROPER(A13),"_","")</f>
        <v>IsActive</v>
      </c>
      <c r="E13" t="str">
        <f t="shared" ref="E13" si="18">IFERROR(LEFT(B13, FIND("(",B13)-1),B13)</f>
        <v>varchar</v>
      </c>
      <c r="F13" s="7"/>
      <c r="G13" t="str">
        <f t="shared" ref="G13" si="19">IFERROR(MID(B13,FIND("(",B13) +1, FIND(")",B13) - FIND("(",B13) - 1),"")</f>
        <v>1</v>
      </c>
      <c r="H13" t="str">
        <f>+VLOOKUP(E13,'Data Type Mapping'!A:B,2,)</f>
        <v>string</v>
      </c>
      <c r="I13" t="str">
        <f t="shared" ref="I13" si="20">IF(H13="string",REPT(CHAR(9),2)&amp;"public const int Max"&amp;D13&amp;"Length = "&amp;G13&amp;";"&amp;$E$3,"" )</f>
        <v xml:space="preserve">		public const int MaxIsActiveLength = 1;
</v>
      </c>
      <c r="J13" t="str">
        <f t="shared" ref="J13" si="21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[Index(nameof(IsActive), Name="IX_MstCmmTaktTime_IsActive")]</v>
      </c>
      <c r="M13" t="str">
        <f t="shared" ref="M13" si="22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2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[StringLength(MstCmmTaktTimeConsts.MaxIsActiveLength)]
		public virtual string IsActive { get; set; }
</v>
      </c>
      <c r="O13" t="str">
        <f t="shared" ref="O13" si="24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25">REPT(CHAR(9),7)&amp;D13&amp;" = o." &amp;D13 &amp;","</f>
        <v xml:space="preserve">							IsActive = o.IsActive,</v>
      </c>
      <c r="T13" s="69" t="str">
        <f t="shared" ref="T13" si="26">REPT(CHAR(9),8)&amp;"("""&amp;D13&amp;"""),"</f>
        <v xml:space="preserve">								("IsActive"),</v>
      </c>
      <c r="V13" s="70" t="str">
        <f t="shared" ref="V13" si="27">REPT(CHAR(9),8)&amp;"_ =&gt; _."&amp;D13&amp;","</f>
        <v xml:space="preserve">								_ =&gt; _.IsActive,</v>
      </c>
      <c r="W13" s="69" t="str">
        <f t="shared" ref="W13" si="2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</row>
    <row r="15" spans="1:23" ht="45.75" customHeight="1" x14ac:dyDescent="0.25">
      <c r="H15" s="12"/>
      <c r="I15" s="34" t="str">
        <f ca="1">TEXTJOIN2("
", TRUE,INDIRECT( $H$1):INDIRECT( $H$3))</f>
        <v xml:space="preserve">		public const int MaxProdLineLength = 50;
		public const int MaxGroupCdLength = 50;
		public const int MaxTaktTimeLength = 50;
		public const int MaxIsActiveLength = 1;
</v>
      </c>
      <c r="J15" s="33" t="str">
        <f ca="1">TEXTJOIN2("
", TRUE,INDIRECT( $F$1):INDIRECT( $F$3))</f>
        <v xml:space="preserve">		[StringLength(MaxProdLineLength)]
		public virtual string ProdLine { get; set; }
		[StringLength(MaxGroupCdLength)]
		public virtual string GroupCd { get; set; }
		public virtual int TaktTimeSecond { get; set; }
		[StringLength(MaxTaktTimeLength)]
		public virtual string TaktTime { get; set; }
		[StringLength(MaxIsActiveLength)]
		public virtual string IsActive { get; set; }
</v>
      </c>
      <c r="K15" s="35" t="str">
        <f ca="1">TEXTJOIN2("
", TRUE,INDIRECT( $J$1):INDIRECT( $J$3))</f>
        <v xml:space="preserve">	[Index(nameof(ProdLine), Name="IX_MstCmmTaktTime_ProdLine")]
	[Index(nameof(GroupCd), Name="IX_MstCmmTaktTime_GroupCd")]
	[Index(nameof(IsActive), Name="IX_MstCmmTaktTime_IsActive")]</v>
      </c>
      <c r="L15" s="13" t="s">
        <v>60</v>
      </c>
      <c r="M15" s="36" t="str">
        <f ca="1">TEXTJOIN2("
",TRUE,INDIRECT( $L$1):INDIRECT($L$3))</f>
        <v xml:space="preserve">		public virtual string ProdLine { get; set; }
		public virtual string GroupCd { get; set; }
		public virtual int TaktTimeSecond { get; set; }
		public virtual string TaktTime { get; set; }
		public virtual string IsActive { get; set; }
</v>
      </c>
      <c r="N15" s="33" t="str">
        <f ca="1">TEXTJOIN2("
",TRUE,INDIRECT( $M$1):INDIRECT($M$3))</f>
        <v xml:space="preserve">		[StringLength(MstCmmTaktTimeConsts.MaxProdLineLength)]
		public virtual string ProdLine { get; set; }
		[StringLength(MstCmmTaktTimeConsts.MaxGroupCdLength)]
		public virtual string GroupCd { get; set; }
		public virtual int TaktTimeSecond { get; set; }
		[StringLength(MstCmmTaktTimeConsts.MaxTaktTimeLength)]
		public virtual string TaktTime { get; set; }
		[StringLength(MstCmmTaktTimeConsts.MaxIsActiveLength)]
		public virtual string IsActive { get; set; }
</v>
      </c>
      <c r="O15" s="33" t="str">
        <f ca="1">TEXTJOIN2("
",TRUE,INDIRECT( $N$1):INDIRECT($N$3))</f>
        <v xml:space="preserve">		public virtual string ProdLine { get; set; }
		public virtual string GroupCd { get; set; }
		public virtual int TaktTimeSecond { get; set; }
		public virtual string TaktTime { get; set; }
		public virtual string IsActive { get; set; }
</v>
      </c>
      <c r="P15" s="9" t="str">
        <f ca="1">TEXTJOIN2("
",TRUE,INDIRECT( $O$1):INDIRECT($O$3))</f>
        <v xml:space="preserve">							ProdLine = o.ProdLine,
							GroupCd = o.GroupCd,
							TaktTimeSecond = o.TaktTimeSecond,
							TaktTime = o.TaktTime,
							IsActive = o.IsActive,</v>
      </c>
      <c r="T15" s="9" t="str">
        <f ca="1">TEXTJOIN2("
",TRUE,INDIRECT( $T$2):INDIRECT($T$3))</f>
        <v xml:space="preserve">								("ProdLine"),
								("GroupCd"),
								("TaktTimeSecond"),
								("TaktTime"),
								("IsActive"),</v>
      </c>
      <c r="V15" s="9" t="str">
        <f ca="1">TEXTJOIN2("
",TRUE,INDIRECT( $V$2):INDIRECT($V$3))</f>
        <v xml:space="preserve">								_ =&gt; _.ProdLine,
								_ =&gt; _.GroupCd,
								_ =&gt; _.TaktTimeSecond,
								_ =&gt; _.TaktTime,
								_ =&gt; _.IsActive,</v>
      </c>
      <c r="W15" s="9" t="str">
        <f ca="1">TEXTJOIN2("
",TRUE,INDIRECT( $W$2):INDIRECT($W$3))</f>
        <v xml:space="preserve">				.WhereIf(!string.IsNullOrWhiteSpace(input.ProdLine), e =&gt; e.ProdLine.Contains(input.ProdLine))
				.WhereIf(!string.IsNullOrWhiteSpace(input.GroupCd), e =&gt; e.GroupCd.Contains(input.GroupCd))
				.WhereIf(!string.IsNullOrWhiteSpace(input.TaktTime), e =&gt; e.TaktTime.Contains(input.TaktTime))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2"/>
  <sheetViews>
    <sheetView workbookViewId="0">
      <selection activeCell="A16" sqref="A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Cmm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cmm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MstCmmTaktTime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TaktTime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takttime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MstCmmTaktTimeDto, MstCmmTaktTimeServiceProxy } from '@shared/service-proxies/service-proxies';
import { finalize } from 'rxjs/internal/operators/finalize';
import { CreateOrEditTaktTimeModalComponent } from './create-or-edit-takttime-modal.component';
import { DatePipe } from '@angular/common';
import { FileDownloadService } from '@shared/utils/file-download.service';
import ceil from 'lodash-es/ceil';
import { Paginator } from 'primeng/paginator';
@Component({
    templateUrl: './takttime.component.html',
    styleUrls: ['./takttime.component.less'],
})
export class TaktTimeComponent extends AppComponentBase implements OnInit {
    @ViewChild('createOrEditModalTaktTime', { static: true }) createOrEditModalTaktTime:| CreateOrEditTaktTimeModalComponent|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MstCmmTaktTimeDto = new MstCmmTaktTimeDto();
    saveSelectedRow: MstCmmTaktTimeDto = new MstCmmTaktTimeDto();
    datas: MstCmmTaktTimeDto = new MstCmmTaktTimeDto();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groupCd : string = '' ; 
	taktTimeSecond : number = 0 ;
	taktTime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MstCmmTaktTimeServiceProxy,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this.l('Group Cd'),headerTooltip: this.l('Group Cd'),field: 'groupCd',flex: 1},
			{headerName: this.l('Takt Time Second'),headerTooltip: this.l('Takt Time Second'),field: 'taktTimeSecond',flex: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this.groupCd,
			this.taktTimeSecond,
			this.taktTime,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this.groupCd = '',
		this.taktTimeSecond = 0,
		this.taktTime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this.groupCd,
			this.taktTimeSecond,
			this.taktTime,
			this.isActive,
			'',
            this.paginationParams.skipCount,
            this.paginationParams.pageSize
        );
    }
    onChangeRowSelection(params: { api: { getSelectedRows: () =&gt; MstCmmTaktTimeDto[] } }) {
        this.saveSelectedRow = params.api.getSelectedRows()[0] ?? new MstCmmTaktTimeDto();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MstCmmTaktTimeDto):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this._service.getTaktTimeToExcel(
			this.prodLine,
			this.groupCd,
			this.taktTimeSecond,
			this.taktTime,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TaktTime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[(ngModel)]='groupCd' name='groupCd'
									class='form-control' [placeholder]="l('Group Cd')"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(click)="createOrEditModalTaktTime.show()"&gt;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(click)="createOrEditModalTaktTime.show(selectedRow)"&gt;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&lt;create-or-edit-takttime-modal
    #createOrEditModalTaktTime
    (modalSave)="callBackDataGrid(dataParams)"
    (modalClose)="onChangeRowSelection(dataParams)"
&gt;
&lt;/create-or-edit-takttime-modal&gt;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#createOrEditModalTaktTime="bs-modal"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TaktTime')}}&lt;/h3&gt;
                    &lt;h3 *ngIf="!rowdata.id"&gt;{{('Create New TaktTime')}}&lt;/h3&gt;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title'&gt;Group Cd&lt;/label&gt;
						&lt;input type='text' class='col-md-10 form-control input-text' name='GroupCd' [(ngModel)]='rowdata.groupCd'&gt;
					&lt;/div&gt;
					&lt;div class='col-md-12 form-group row'&gt;
						&lt;label class='col-md-2 form-control title'&gt;Takt Time Second&lt;/label&gt;
						&lt;input type='number' class='col-md-10 form-control input-text' name='TaktTimeSecond' [(ngModel)]='rowdata.taktTimeSecond'&gt;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CreateOrEditMstCmmTaktTimeDto, MstCmmTaktTimeServiceProxy } from '@shared/service-proxies/service-proxies';
import { BsDatepickerDirective } from 'ngx-bootstrap/datepicker';
@Component({
    selector: 'create-or-edit-takttime-modal',
    templateUrl: './create-or-edit-takttime-modal.component.html',
    styleUrls: ['./create-or-edit-takttime-modal.component.less']
    })
export class CreateOrEditTaktTimeModalComponent extends AppComponentBase {
    @ViewChild('createOrEditModalTaktTime',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CreateOrEditMstCmmTaktTimeDto = new CreateOrEditMstCmmTaktTimeDto();
    active: boolean = false;
    saving: boolean = false;
    _isActive: boolean;
    constructor(
        injector: Injector,
        private _mstwptTaktTimeService: MstCmmTaktTimeServiceProxy,
    ) 
    {
        super(injector);
    }
    show(rowdata?: CreateOrEditMstCmmTaktTimeDto): void {
        if (!rowdata) this.rowdata = new CreateOrEditMstCmmTaktTimeDto();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this._mstwptTaktTimeService.createOrEdit(this.rowdata)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TaktTimeRoutingModule } from './takttime-routing.module';
import { TaktTimeComponent } from './takttime.component';
import { CreateOrEditTaktTimeModalComponent } from './create-or-edit-takttime-modal.component';
@NgModule({
    declarations: [
       TaktTimeComponent, 
        CreateOrEditTaktTimeModalComponent
    ],
    imports: [
        AppSharedModule, TaktTimeRoutingModule]
})
export class TaktTimeModule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TaktTimeComponent } from './takttime.component';
const routes: Routes = [{
    path: '',
    component: TaktTimeComponent,
    pathMatch: 'full'
}];
@NgModule({
    imports: [RouterModule.forChild(routes)],
    exports: [RouterModule],
})
export class TaktTimeRoutingModule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AppMenuItem("TaktTime", "Pages.Master.Cmm.TaktTime", "flaticon-book",   "/app/main/master/cmm/takttime"),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'master/cmm/takttime',
    loadChildren: () =&gt; import('./master/cmm/takttime/takttime.module').then(m =&gt; m.TaktTimeModule),
    data: { permission: 'Pages.Master.Cmm.TaktTime' }
},</v>
      </c>
      <c r="R10" s="50" t="str">
        <f>SUBSTITUTE(R9,"MstWptCalendar",$B$6)</f>
        <v>ApiServiceProxies.MstCmmTaktTimeServiceProxy,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H19</v>
      </c>
      <c r="I12" s="31" t="str">
        <f>"I"&amp;COUNTA($A:$A)</f>
        <v>I19</v>
      </c>
      <c r="J12" s="31"/>
      <c r="K12" s="31" t="str">
        <f>"K"&amp;COUNTA($A:$A)</f>
        <v>K19</v>
      </c>
      <c r="L12" s="31" t="str">
        <f>"L"&amp;COUNTA($A:$A)</f>
        <v>L19</v>
      </c>
      <c r="M12" s="31"/>
      <c r="N12" s="31"/>
      <c r="O12" s="31"/>
      <c r="P12" s="31"/>
      <c r="Q12" s="31"/>
      <c r="R12" s="31"/>
      <c r="S12" s="31" t="str">
        <f>"S"&amp;COUNTA($A:$A)</f>
        <v>S19</v>
      </c>
      <c r="T12" s="31" t="str">
        <f>"T"&amp;COUNTA($A:$A)</f>
        <v>T19</v>
      </c>
      <c r="U12" s="31" t="str">
        <f>"U"&amp;COUNTA($A:$A)</f>
        <v>U19</v>
      </c>
      <c r="V12" s="31" t="str">
        <f>"V"&amp;COUNTA($A:$A)</f>
        <v>V19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this.l('Group Cd'),headerTooltip: this.l('Group Cd'),field: 'groupCd',flex: 1},
			{headerName: this.l('Takt Time Second'),headerTooltip: this.l('Takt Time Second'),field: 'taktTimeSecond',flex: 1},
			{headerName: this.l('Takt Time'),headerTooltip: this.l('Takt Time'),field: 'taktTime',flex: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[(ngModel)]='groupCd' name='groupCd'
									class='form-control' [placeholder]="l('Group Cd')"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title'&gt;Group Cd&lt;/label&gt;
						&lt;input type='text' class='col-md-10 form-control input-text' name='GroupCd' [(ngModel)]='rowdata.groupCd'&gt;
					&lt;/div&gt;
					&lt;div class='col-md-12 form-group row'&gt;
						&lt;label class='col-md-2 form-control title'&gt;Takt Time Second&lt;/label&gt;
						&lt;input type='number' class='col-md-10 form-control input-text' name='TaktTimeSecond' [(ngModel)]='rowdata.taktTimeSecond'&gt;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groupCd : string = '' ; 
	taktTimeSecond : number = 0 ;
	taktTime : string = '' ; 
	isActive : string = '' ; </v>
      </c>
      <c r="T13" s="68" t="str">
        <f ca="1">TEXTJOIN2("
",TRUE,INDIRECT(T11):INDIRECT(T12))</f>
        <v xml:space="preserve">			this.prodLine,
			this.groupCd,
			this.taktTimeSecond,
			this.taktTime,
			this.isActive,</v>
      </c>
      <c r="U13" s="68" t="str">
        <f ca="1">TEXTJOIN2("
",TRUE,INDIRECT(U11):INDIRECT(U12))</f>
        <v>this.prodLine = '',
		this.groupCd = '',
		this.taktTimeSecond = 0,
		this.taktTime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takttime.component.ts</v>
      </c>
      <c r="I14" s="40" t="str">
        <f>B8&amp;".component.html"</f>
        <v>takttime.component.html</v>
      </c>
      <c r="J14" s="39" t="str">
        <f>B8&amp;".component.less"</f>
        <v>takttime.component.less</v>
      </c>
      <c r="K14" s="40" t="str">
        <f>"create-or-edit-"&amp;B8&amp;"-modal.component.html"</f>
        <v>create-or-edit-takttime-modal.component.html</v>
      </c>
      <c r="L14" s="40" t="str">
        <f>"create-or-edit-"&amp;B8&amp;"-modal.component.ts"</f>
        <v>create-or-edit-takttime-modal.component.ts</v>
      </c>
      <c r="M14" s="40" t="str">
        <f>"create-or-edit-"&amp;B8&amp;"-modal.component.less"</f>
        <v>create-or-edit-takttime-modal.component.less</v>
      </c>
      <c r="N14" s="40" t="str">
        <f>B8&amp;".module.ts"</f>
        <v>takttime.module.ts</v>
      </c>
      <c r="O14" s="40" t="str">
        <f>B8&amp;"-routing.module.ts"</f>
        <v>takttime-routing.module.ts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303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44" t="s">
        <v>305</v>
      </c>
      <c r="B16" s="31" t="str">
        <f t="shared" ref="B16:B17" si="0">SUBSTITUTE(PROPER(A16),"_","")</f>
        <v>GroupCd</v>
      </c>
      <c r="C16" s="31" t="str">
        <f t="shared" ref="C16:C17" si="1">SUBSTITUTE(PROPER(A16),"_"," ")</f>
        <v>Group Cd</v>
      </c>
      <c r="D16" s="31" t="str">
        <f t="shared" ref="D16:D17" si="2">LOWER(LEFT(B16,1))&amp;RIGHT(B16,LEN(B16) - 1)</f>
        <v>groupCd</v>
      </c>
      <c r="E16" s="31" t="str">
        <f>A.Backend!H10</f>
        <v>string</v>
      </c>
      <c r="F16" s="31" t="str">
        <f>A.Backend!G10</f>
        <v>50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this.l('Group Cd'),headerTooltip: this.l('Group Cd'),field: 'groupCd',flex: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[(ngModel)]='groupCd' name='groupCd'
									class='form-control' [placeholder]="l('Group Cd')"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title'&gt;Group Cd&lt;/label&gt;
						&lt;input type='text' class='col-md-10 form-control input-text' name='GroupCd' [(ngModel)]='rowdata.groupCd'&gt;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groupCd : string = '' ; </v>
      </c>
      <c r="T16" s="31" t="str">
        <f>REPT(CHAR(9),3)&amp;"this."&amp;D16&amp;","</f>
        <v xml:space="preserve">			this.groupCd,</v>
      </c>
      <c r="U16" s="31" t="str">
        <f>IF(E16="int",REPT(CHAR(9),2)&amp;"this."&amp;D16&amp;" = 0,",REPT(CHAR(9),2)&amp;"this."&amp;D16&amp;" = '',")</f>
        <v xml:space="preserve">		this.groupCd = '',</v>
      </c>
      <c r="V16" s="31" t="str">
        <f t="shared" ref="V16:V18" si="8">IF(AND(E16="string",F16="1"),D16,"")</f>
        <v/>
      </c>
    </row>
    <row r="17" spans="1:22" ht="18" customHeight="1" x14ac:dyDescent="0.25">
      <c r="A17" s="44" t="s">
        <v>306</v>
      </c>
      <c r="B17" s="31" t="str">
        <f t="shared" si="0"/>
        <v>TaktTimeSecond</v>
      </c>
      <c r="C17" s="31" t="str">
        <f t="shared" si="1"/>
        <v>Takt Time Second</v>
      </c>
      <c r="D17" s="31" t="str">
        <f t="shared" si="2"/>
        <v>taktTimeSecond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this.l('Takt Time Second'),headerTooltip: this.l('Takt Time Second'),field: 'taktTimeSecond',flex: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title'&gt;Takt Time Second&lt;/label&gt;
						&lt;input type='number' class='col-md-10 form-control input-text' name='TaktTimeSecond' [(ngModel)]='rowdata.taktTimeSecond'&gt;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taktTimeSecond : number = 0 ;</v>
      </c>
      <c r="T17" s="31" t="str">
        <f t="shared" ref="T17:T18" si="10">REPT(CHAR(9),3)&amp;"this."&amp;D17&amp;","</f>
        <v xml:space="preserve">			this.taktTimeSecond,</v>
      </c>
      <c r="U17" s="31" t="str">
        <f t="shared" ref="U17:U18" si="11">IF(E17="int",REPT(CHAR(9),2)&amp;"this."&amp;D17&amp;" = 0,",REPT(CHAR(9),2)&amp;"this."&amp;D17&amp;" = '',")</f>
        <v xml:space="preserve">		this.taktTimeSecond = 0,</v>
      </c>
      <c r="V17" s="31" t="str">
        <f t="shared" si="8"/>
        <v/>
      </c>
    </row>
    <row r="18" spans="1:22" ht="18" customHeight="1" x14ac:dyDescent="0.25">
      <c r="A18" s="44" t="s">
        <v>307</v>
      </c>
      <c r="B18" s="31" t="str">
        <f>SUBSTITUTE(PROPER(A18),"_","")</f>
        <v>TaktTime</v>
      </c>
      <c r="C18" s="31" t="str">
        <f>SUBSTITUTE(PROPER(A18),"_"," ")</f>
        <v>Takt Time</v>
      </c>
      <c r="D18" s="31" t="str">
        <f>LOWER(LEFT(B18,1))&amp;RIGHT(B18,LEN(B18) - 1)</f>
        <v>taktTime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this.l('Takt Time'),headerTooltip: this.l('Takt Time'),field: 'taktTime',flex: 1},</v>
      </c>
      <c r="I18" s="38" t="str">
        <f t="shared" si="5"/>
        <v xml:space="preserve">								&lt;div class='input-search'&gt;
									&lt;input [(ngModel)]='taktTime' name='taktTime'
									class='form-control' [placeholder]="l('Takt Time')"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title'&gt;Takt Time&lt;/label&gt;
						&lt;input type='text' class='col-md-10 form-control input-text' name='TaktTime' [(ngModel)]='rowdata.taktTime'&gt;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taktTime : string = '' ; </v>
      </c>
      <c r="T18" s="31" t="str">
        <f t="shared" si="10"/>
        <v xml:space="preserve">			this.taktTime,</v>
      </c>
      <c r="U18" s="31" t="str">
        <f t="shared" si="11"/>
        <v xml:space="preserve">		this.taktTime = '',</v>
      </c>
      <c r="V18" s="31" t="str">
        <f t="shared" si="8"/>
        <v/>
      </c>
    </row>
    <row r="19" spans="1:22" ht="15" customHeight="1" x14ac:dyDescent="0.25">
      <c r="A19" s="44" t="s">
        <v>301</v>
      </c>
      <c r="B19" s="31" t="str">
        <f t="shared" ref="B19" si="12">SUBSTITUTE(PROPER(A19),"_","")</f>
        <v>IsActive</v>
      </c>
      <c r="C19" s="31" t="str">
        <f t="shared" ref="C19" si="13">SUBSTITUTE(PROPER(A19),"_"," ")</f>
        <v>Is Active</v>
      </c>
      <c r="D19" s="31" t="str">
        <f t="shared" ref="D19" si="14">LOWER(LEFT(B19,1))&amp;RIGHT(B19,LEN(B19) - 1)</f>
        <v>isActive</v>
      </c>
      <c r="E19" s="31" t="str">
        <f>A.Backend!H13</f>
        <v>string</v>
      </c>
      <c r="F19" s="31" t="str">
        <f>A.Backend!G13</f>
        <v>1</v>
      </c>
      <c r="G19" s="31" t="str">
        <f t="shared" ref="G19" si="15">IF(E19="string"," : string = '' ; ",IF(OR(E19="DateTime",E19="TimeSpan")," : any ;",IF(E19="int"," : number = 0 ;","")))</f>
        <v xml:space="preserve"> : string = '' ; </v>
      </c>
      <c r="H19" s="38" t="str">
        <f t="shared" ref="H19" si="16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8" t="str">
        <f t="shared" ref="I19" si="17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9" s="31"/>
      <c r="K19" s="38" t="str">
        <f t="shared" ref="K19" si="18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60" t="str">
        <f t="shared" ref="L19" si="19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20">REPT(CHAR(9),1)&amp;D19&amp;G19</f>
        <v xml:space="preserve">	isActive : string = '' ; </v>
      </c>
      <c r="T19" s="31" t="str">
        <f t="shared" ref="T19" si="21">REPT(CHAR(9),3)&amp;"this."&amp;D19&amp;","</f>
        <v xml:space="preserve">			this.isActive,</v>
      </c>
      <c r="U19" s="31" t="str">
        <f t="shared" ref="U19" si="22">IF(E19="int",REPT(CHAR(9),2)&amp;"this."&amp;D19&amp;" = 0,",REPT(CHAR(9),2)&amp;"this."&amp;D19&amp;" = '',")</f>
        <v xml:space="preserve">		this.isActive = '',</v>
      </c>
      <c r="V19" s="31" t="str">
        <f t="shared" ref="V19" si="23">IF(AND(E19="string",F19="1"),D19,"")</f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Sang</cp:lastModifiedBy>
  <dcterms:created xsi:type="dcterms:W3CDTF">2022-04-01T07:31:40Z</dcterms:created>
  <dcterms:modified xsi:type="dcterms:W3CDTF">2022-07-18T02:34:10Z</dcterms:modified>
</cp:coreProperties>
</file>
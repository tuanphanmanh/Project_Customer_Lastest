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V17" i="5"/>
  <c r="C17" i="5"/>
  <c r="B17" i="5"/>
  <c r="D17" i="5" s="1"/>
  <c r="T17" i="5" s="1"/>
  <c r="K16" i="5"/>
  <c r="I16" i="5"/>
  <c r="C16" i="5"/>
  <c r="B16" i="5"/>
  <c r="D16" i="5" s="1"/>
  <c r="G12" i="1"/>
  <c r="E12" i="1"/>
  <c r="H12" i="1" s="1"/>
  <c r="D12" i="1"/>
  <c r="V12" i="1" s="1"/>
  <c r="G11" i="1"/>
  <c r="E11" i="1"/>
  <c r="H11" i="1" s="1"/>
  <c r="M11" i="1" s="1"/>
  <c r="D11" i="1"/>
  <c r="T11" i="1" s="1"/>
  <c r="H17" i="5" l="1"/>
  <c r="T16" i="5"/>
  <c r="U16" i="5"/>
  <c r="S16" i="5"/>
  <c r="G16" i="5"/>
  <c r="L16" i="5"/>
  <c r="V16" i="5"/>
  <c r="I17" i="5"/>
  <c r="H16" i="5"/>
  <c r="K17" i="5"/>
  <c r="U17" i="5"/>
  <c r="G17" i="5"/>
  <c r="S17" i="5" s="1"/>
  <c r="L17" i="5"/>
  <c r="W12" i="1"/>
  <c r="O12" i="1"/>
  <c r="J12" i="1"/>
  <c r="N12" i="1"/>
  <c r="I12" i="1"/>
  <c r="M12" i="1"/>
  <c r="P12" i="1"/>
  <c r="T12" i="1"/>
  <c r="P11" i="1"/>
  <c r="I11" i="1"/>
  <c r="N11" i="1"/>
  <c r="V11" i="1"/>
  <c r="J11" i="1"/>
  <c r="O11" i="1"/>
  <c r="W11" i="1"/>
  <c r="B6" i="1" l="1"/>
  <c r="C18" i="5" l="1"/>
  <c r="B18" i="5"/>
  <c r="D18" i="5" s="1"/>
  <c r="C15" i="5"/>
  <c r="B15" i="5"/>
  <c r="D15" i="5" s="1"/>
  <c r="T15" i="5" s="1"/>
  <c r="T18" i="5" l="1"/>
  <c r="C19" i="5" l="1"/>
  <c r="B19" i="5"/>
  <c r="D19" i="5" s="1"/>
  <c r="G13" i="1"/>
  <c r="E13" i="1"/>
  <c r="H13" i="1" s="1"/>
  <c r="D13" i="1"/>
  <c r="V13" i="1" s="1"/>
  <c r="V19" i="5" l="1"/>
  <c r="H19" i="5"/>
  <c r="T19" i="5"/>
  <c r="K19" i="5"/>
  <c r="W13" i="1"/>
  <c r="J13" i="1"/>
  <c r="I13" i="1"/>
  <c r="O13" i="1"/>
  <c r="N13" i="1"/>
  <c r="M13" i="1"/>
  <c r="P13" i="1"/>
  <c r="T13" i="1"/>
  <c r="G9" i="1"/>
  <c r="F15" i="5" s="1"/>
  <c r="E9" i="1"/>
  <c r="H9" i="1" s="1"/>
  <c r="E15" i="5" s="1"/>
  <c r="D9" i="1"/>
  <c r="V9" i="1" s="1"/>
  <c r="I19" i="5" l="1"/>
  <c r="G19" i="5"/>
  <c r="S19" i="5" s="1"/>
  <c r="U19" i="5"/>
  <c r="L19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8" i="5" l="1"/>
  <c r="I18" i="5"/>
  <c r="G18" i="5"/>
  <c r="S18" i="5" s="1"/>
  <c r="V18" i="5"/>
  <c r="K18" i="5"/>
  <c r="U18" i="5"/>
  <c r="L18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5" i="1"/>
  <c r="T13" i="5"/>
  <c r="T7" i="1" l="1"/>
  <c r="W15" i="1"/>
  <c r="G6" i="1" l="1"/>
  <c r="K13" i="5"/>
  <c r="U13" i="5"/>
  <c r="I13" i="5"/>
  <c r="S13" i="5"/>
  <c r="L13" i="5"/>
  <c r="H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3" i="1" l="1"/>
  <c r="L12" i="1"/>
  <c r="L11" i="1"/>
  <c r="L9" i="1"/>
  <c r="L10" i="1"/>
  <c r="C7" i="1"/>
  <c r="P15" i="1"/>
  <c r="O15" i="1"/>
  <c r="I15" i="1"/>
  <c r="J15" i="1"/>
  <c r="N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<sst xmlns="http://schemas.openxmlformats.org/spreadsheetml/2006/main" count="476" uniqueCount="385">
  <si>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</si>
  <si>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</si>
  <si>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</si>
  <si>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</si>
  <si>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</si>
  <si>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</si>
  <si>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</si>
  <si>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</si>
  <si>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</si>
  <si>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</si>
  <si>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</si>
  <si>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</si>
  <si>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</si>
  <si>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</si>
  <si>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</si>
  <si>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</si>
  <si>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</si>
  <si>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</si>
  <si>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</si>
  <si>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</si>
  <si>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</si>
  <si>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</si>
  <si>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</si>
  <si>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</si>
  <si>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</si>
  <si>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</si>
  <si>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</si>
  <si>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</si>
  <si>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</si>
  <si>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</si>
  <si>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</si>
  <si>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</si>
  <si>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</si>
  <si>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</si>
  <si>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</si>
  <si>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</si>
  <si>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</si>
  <si>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</si>
  <si>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</si>
  <si>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</si>
  <si>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</si>
  <si>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</si>
  <si>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</si>
  <si>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</si>
  <si>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</si>
  <si>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</si>
  <si>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</si>
  <si>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</si>
  <si>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</si>
  <si>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</si>
  <si>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</si>
  <si>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</si>
  <si>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</si>
  <si>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</si>
  <si>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</si>
  <si>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</si>
  <si>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</si>
  <si>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</si>
  <si>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</si>
  <si>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</si>
  <si>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</si>
  <si>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</si>
  <si>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</si>
  <si>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</si>
  <si>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</si>
  <si>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</si>
  <si>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</si>
  <si>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</si>
  <si>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</si>
  <si>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</si>
  <si>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</si>
  <si>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</si>
  <si>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</si>
  <si>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</si>
  <si>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</si>
  <si>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</si>
  <si>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</si>
  <si>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</si>
  <si>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</si>
  <si>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</si>
  <si>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</si>
  <si>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</si>
  <si>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</si>
  <si>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</si>
  <si>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</si>
  <si>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</si>
  <si>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</si>
  <si>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</si>
  <si>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</si>
  <si>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</si>
  <si>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</si>
  <si>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</si>
  <si>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</si>
  <si>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</si>
  <si>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</si>
  <si>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</si>
  <si>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</si>
  <si>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</si>
  <si>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</si>
  <si>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</si>
  <si>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</si>
  <si>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</si>
  <si>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</si>
  <si>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</si>
  <si>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</si>
  <si>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</si>
  <si>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</si>
  <si>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</si>
  <si>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</si>
  <si>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</si>
  <si>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</si>
  <si>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</si>
  <si>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</si>
  <si>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</si>
  <si>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</si>
  <si>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</si>
  <si>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</si>
  <si>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</si>
  <si>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</si>
  <si>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</si>
  <si>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</si>
  <si>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</si>
  <si>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</si>
  <si>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</si>
  <si>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</si>
  <si>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</si>
  <si>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</si>
  <si>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</si>
  <si>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</si>
  <si>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</si>
  <si>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</si>
  <si>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</si>
  <si>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</si>
  <si>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</si>
  <si>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</si>
  <si>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</si>
  <si>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</si>
  <si>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</si>
  <si>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</si>
  <si>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</si>
  <si>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</si>
  <si>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</si>
  <si>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</si>
  <si>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</si>
  <si>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</si>
  <si>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</si>
  <si>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</si>
  <si>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</si>
  <si>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</si>
  <si>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</si>
  <si>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</si>
  <si>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</si>
  <si>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</si>
  <si>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</si>
  <si>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</si>
  <si>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</si>
  <si>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</si>
  <si>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</si>
  <si>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</si>
  <si>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</si>
  <si>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</si>
  <si>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</si>
  <si>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</si>
  <si>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</si>
  <si>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</si>
  <si>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</si>
  <si>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</si>
  <si>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</si>
  <si>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</si>
  <si>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</si>
  <si>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</si>
  <si>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</si>
  <si>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</si>
  <si>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</si>
  <si>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</si>
  <si>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</si>
  <si>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</si>
  <si>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</si>
  <si>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</si>
  <si>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</si>
  <si>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</si>
  <si>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</si>
  <si>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</si>
  <si>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</si>
  <si>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</si>
  <si>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</si>
  <si>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</si>
  <si>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</si>
  <si>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</si>
  <si>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</si>
  <si>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</si>
  <si>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</si>
  <si>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</si>
  <si>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</si>
  <si>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</si>
  <si>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</si>
  <si>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</si>
  <si>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</si>
  <si>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</si>
  <si>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</si>
  <si>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</si>
  <si>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</si>
  <si>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</si>
  <si>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</si>
  <si>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</si>
  <si>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</si>
  <si>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</si>
  <si>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</si>
  <si>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</si>
  <si>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</si>
  <si>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</si>
  <si>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</si>
  <si>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</si>
  <si>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</si>
  <si>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</si>
  <si>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</si>
  <si>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</si>
  <si>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</si>
  <si>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</si>
  <si>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</si>
  <si>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</si>
  <si>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</si>
  <si>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</si>
  <si>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</si>
  <si>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</si>
  <si>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</si>
  <si>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</si>
  <si>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</si>
  <si>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</si>
  <si>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</si>
  <si>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</si>
  <si>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</si>
  <si>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</si>
  <si>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</si>
  <si>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</si>
  <si>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</si>
  <si>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</si>
  <si>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</si>
  <si>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</si>
  <si>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</si>
  <si>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</si>
  <si>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</si>
  <si>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</si>
  <si>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</si>
  <si>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</si>
  <si>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</si>
  <si>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</si>
  <si>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</si>
  <si>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</si>
  <si>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</si>
  <si>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</si>
  <si>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</si>
  <si>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</si>
  <si>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</si>
  <si>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</si>
  <si>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</si>
  <si>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</si>
  <si>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</si>
  <si>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</si>
  <si>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</si>
  <si>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</si>
  <si>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</si>
  <si>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</si>
  <si>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</si>
  <si>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</si>
  <si>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</si>
  <si>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</si>
  <si>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</si>
  <si>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</si>
  <si>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</si>
  <si>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</si>
  <si>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</si>
  <si>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</si>
  <si>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</si>
  <si>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</si>
  <si>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</si>
  <si>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</si>
  <si>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</si>
  <si>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</si>
  <si>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</si>
  <si>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</si>
  <si>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</si>
  <si>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</si>
  <si>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</si>
  <si>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</si>
  <si>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</si>
  <si>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</si>
  <si>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</si>
  <si>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</si>
  <si>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</si>
  <si>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</si>
  <si>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</si>
  <si>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</si>
  <si>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</si>
  <si>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</si>
  <si>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</si>
  <si>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</si>
  <si>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</si>
  <si>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</si>
  <si>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</si>
  <si>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</si>
  <si>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</si>
  <si>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</si>
  <si>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</si>
  <si>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</si>
  <si>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</si>
  <si>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</si>
  <si>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</si>
  <si>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</si>
  <si>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</si>
  <si>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</si>
  <si>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</si>
  <si>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</si>
  <si>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</si>
  <si>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</si>
  <si>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</si>
  <si>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</si>
  <si>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</si>
  <si>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</si>
  <si>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</si>
  <si>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</si>
  <si>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</si>
  <si>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</si>
  <si>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</si>
  <si>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</si>
  <si>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</si>
  <si>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</si>
  <si>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</si>
  <si>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</si>
  <si>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</si>
  <si>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</si>
  <si>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</si>
  <si>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</si>
  <si>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</si>
  <si>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</si>
  <si>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</si>
  <si>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</si>
  <si>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</si>
  <si>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</si>
  <si>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</si>
  <si>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</si>
  <si>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</si>
  <si>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</si>
  <si>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</si>
  <si>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</si>
  <si>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</si>
  <si>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</si>
  <si>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</si>
  <si>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</si>
  <si>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</si>
  <si>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</si>
  <si>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</si>
  <si>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</si>
  <si>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</si>
  <si>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</si>
  <si>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IHP</t>
  </si>
  <si>
    <t>Ihp</t>
  </si>
  <si>
    <t>InvIhp</t>
  </si>
  <si>
    <t>Inhouse Part</t>
  </si>
  <si>
    <t>nvarchar(4)</t>
  </si>
  <si>
    <t>nvarchar(25)</t>
  </si>
  <si>
    <t>Description(25)</t>
  </si>
  <si>
    <t>MstCmmValuationClass</t>
  </si>
  <si>
    <t>ValuationClass</t>
  </si>
  <si>
    <t>BS_ACCOUNT</t>
  </si>
  <si>
    <t>BS_ACCOUNT_DESCRIPTION</t>
  </si>
  <si>
    <t>nvarchar(200)</t>
  </si>
  <si>
    <t>Valuation Class</t>
  </si>
  <si>
    <t>Valuation Class(4)</t>
  </si>
  <si>
    <t>Ref. B/S account</t>
  </si>
  <si>
    <t>B/S account description</t>
  </si>
  <si>
    <t>FG &amp; Mer.-CKD</t>
  </si>
  <si>
    <t>Finished Goods &amp; Merchandise(Auto)ーVehicles</t>
  </si>
  <si>
    <t>FG &amp; Mer.-CBU</t>
  </si>
  <si>
    <t>FG &amp; Mer.-GOSHI</t>
  </si>
  <si>
    <t>Finished Goods &amp; Merchandise(Auto)ーVehicles (Manual upload, not from interface)</t>
  </si>
  <si>
    <t>Semi-FG</t>
  </si>
  <si>
    <t>Semi-Finished Goods</t>
  </si>
  <si>
    <t>RM-Local Part</t>
  </si>
  <si>
    <t>Raw Materials Purchase Parts</t>
  </si>
  <si>
    <t>RM-Import Part</t>
  </si>
  <si>
    <t>3002**</t>
  </si>
  <si>
    <t>RM-Steel</t>
  </si>
  <si>
    <t>-</t>
  </si>
  <si>
    <t>For MARU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</si>
</sst>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rgb="FFFFFFFF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9" fillId="14" borderId="6" xfId="0" applyFont="1" applyFill="1" applyBorder="1" applyAlignment="1">
      <alignment horizontal="center" vertical="center" wrapText="1"/>
    </xf>
    <xf numFmtId="0" fontId="19" fillId="14" borderId="5" xfId="0" applyFont="1" applyFill="1" applyBorder="1" applyAlignment="1">
      <alignment horizontal="center" vertical="center" wrapText="1"/>
    </xf>
    <xf numFmtId="0" fontId="19" fillId="14" borderId="7" xfId="0" applyFont="1" applyFill="1" applyBorder="1" applyAlignment="1">
      <alignment horizontal="center" vertical="center" wrapText="1"/>
    </xf>
    <xf numFmtId="0" fontId="19" fillId="14" borderId="8" xfId="0" applyFont="1" applyFill="1" applyBorder="1" applyAlignment="1">
      <alignment horizontal="center" vertical="center" wrapText="1"/>
    </xf>
    <xf numFmtId="0" fontId="19" fillId="14" borderId="9" xfId="0" applyFont="1" applyFill="1" applyBorder="1" applyAlignment="1">
      <alignment horizontal="center" vertical="center" wrapText="1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9" fillId="14" borderId="10" xfId="0" applyFont="1" applyFill="1" applyBorder="1" applyAlignment="1">
      <alignment vertical="center" wrapText="1"/>
    </xf>
    <xf numFmtId="0" fontId="19" fillId="14" borderId="11" xfId="0" applyFont="1" applyFill="1" applyBorder="1" applyAlignment="1">
      <alignment vertical="center" wrapText="1"/>
    </xf>
    <xf numFmtId="0" fontId="20" fillId="15" borderId="6" xfId="0" applyFont="1" applyFill="1" applyBorder="1" applyAlignment="1">
      <alignment horizontal="center" vertical="center"/>
    </xf>
    <xf numFmtId="0" fontId="20" fillId="15" borderId="5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21" fillId="15" borderId="10" xfId="0" applyFont="1" applyFill="1" applyBorder="1" applyAlignment="1">
      <alignment horizontal="left" vertical="center"/>
    </xf>
    <xf numFmtId="0" fontId="21" fillId="15" borderId="11" xfId="0" applyFont="1" applyFill="1" applyBorder="1" applyAlignment="1">
      <alignment horizontal="left" vertical="center"/>
    </xf>
    <xf numFmtId="0" fontId="21" fillId="15" borderId="15" xfId="0" applyFont="1" applyFill="1" applyBorder="1" applyAlignment="1">
      <alignment horizontal="left" vertical="center"/>
    </xf>
    <xf numFmtId="0" fontId="20" fillId="16" borderId="12" xfId="0" applyFont="1" applyFill="1" applyBorder="1" applyAlignment="1">
      <alignment horizontal="center" vertical="center"/>
    </xf>
    <xf numFmtId="0" fontId="20" fillId="16" borderId="5" xfId="0" applyFont="1" applyFill="1" applyBorder="1" applyAlignment="1">
      <alignment horizontal="center" vertical="center"/>
    </xf>
    <xf numFmtId="0" fontId="20" fillId="16" borderId="14" xfId="0" applyFont="1" applyFill="1" applyBorder="1" applyAlignment="1">
      <alignment horizontal="center" vertical="center"/>
    </xf>
    <xf numFmtId="0" fontId="20" fillId="16" borderId="10" xfId="0" applyFont="1" applyFill="1" applyBorder="1" applyAlignment="1">
      <alignment vertical="center" wrapText="1"/>
    </xf>
    <xf numFmtId="0" fontId="20" fillId="16" borderId="11" xfId="0" applyFont="1" applyFill="1" applyBorder="1" applyAlignment="1">
      <alignment vertical="center" wrapText="1"/>
    </xf>
    <xf numFmtId="0" fontId="20" fillId="15" borderId="12" xfId="0" applyFont="1" applyFill="1" applyBorder="1" applyAlignment="1">
      <alignment horizontal="center" vertical="center"/>
    </xf>
    <xf numFmtId="0" fontId="20" fillId="15" borderId="10" xfId="0" applyFont="1" applyFill="1" applyBorder="1" applyAlignment="1">
      <alignment vertical="center" wrapText="1"/>
    </xf>
    <xf numFmtId="0" fontId="20" fillId="15" borderId="1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1</xdr:col>
      <xdr:colOff>95250</xdr:colOff>
      <xdr:row>8</xdr:row>
      <xdr:rowOff>95250</xdr:rowOff>
    </xdr:to>
    <xdr:sp macro="" textlink="">
      <xdr:nvSpPr>
        <xdr:cNvPr id="4097" name="AutoShape 1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4953000" y="26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95250</xdr:colOff>
      <xdr:row>1</xdr:row>
      <xdr:rowOff>95250</xdr:rowOff>
    </xdr:to>
    <xdr:sp macro="" textlink="">
      <xdr:nvSpPr>
        <xdr:cNvPr id="4098" name="AutoShape 2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6172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21" zoomScaleNormal="100" workbookViewId="0">
      <selection activeCell="F49" sqref="F4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355</v>
      </c>
      <c r="F46" s="1" t="s">
        <v>356</v>
      </c>
      <c r="G46" t="s">
        <v>357</v>
      </c>
      <c r="H46" t="s">
        <v>358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[Table("MstCmmValuationClass")]
	[Index(nameof(Code), Name="IX_MstCmmValuationClass_Code")]
	[Index(nameof(BsAccount), Name="IX_MstCmmValuationClass_BsAccount")]
	[Index(nameof(BsAccountDescription), Name="IX_MstCmmValuationClass_BsAccountDescription")]
	[Index(nameof(IsActive), Name="IX_MstCmmValuationClass_IsActive")]	public class MstCmmValuationClass: FullAuditedEntity&lt;long&gt;, IEntity&lt;long&gt;	
	{
		public const int MaxCodeLength = 4;
		public const int MaxNameLength = 25;
		public const int MaxBsAccountLength = 25;
		public const int MaxBsAccountDescriptionLength = 200;
		public const int MaxIsActiveLength = 1;
		[StringLength(MaxCodeLength)]
		public virtual string Code { get; set; }
		[StringLength(MaxNameLength)]
		public virtual string Name { get; set; }
		[StringLength(MaxBsAccountLength)]
		public virtual string BsAccount { get; set; }
		[StringLength(MaxBsAccountDescriptionLength)]
		public virtual string BsAccountDescription { get; set; }
		[StringLength(MaxIsActiveLength)]
		public virtual string IsActive { get; set; }
	}
}
</v>
      </c>
      <c r="D68" s="48" t="str">
        <f>A.Backend!O7</f>
        <v xml:space="preserve">		public const string Pages_Master_Common_ValuationClass = "Pages.Master.Common.ValuationClass";
		public const string Pages_Master_Common_ValuationClass_CreateEdit = "Pages.Master.Common.ValuationClass.CreateEdit";
		public const string Pages_Master_Common_ValuationClass_Delete = "Pages.Master.Common.ValuationClass.Delete";
</v>
      </c>
      <c r="E68" s="48" t="str">
        <f>A.Backend!N7</f>
        <v xml:space="preserve">		var perMstCmmValuationClass = PARENTS.CreateChildPermission(AppPermissions.Pages_Master_Common_ValuationClass, L( "MasterCommonValuationClass"), multiTenancySides: MultiTenancySides.Tenant);
		perMstCmmValuationClass.CreateChildPermission(AppPermissions.Pages_Master_Common_ValuationClass_CreateEdit, L( "MasterCommonValuationClassCreateEdit"), multiTenancySides: MultiTenancySides.Tenant);
		perMstCmmValuationClass.CreateChildPermission(AppPermissions.Pages_Master_Common_ValuationClass_Delete, L( "MasterCommonValuationClassDelete"), multiTenancySides: MultiTenancySides.Tenant);</v>
      </c>
      <c r="F68" s="48" t="str">
        <f>A.Backend!K7</f>
        <v>public virtual DbSet&lt;MstCmmValuationClass&gt; MstCmmValuationClasss { get; set; }</v>
      </c>
      <c r="G68" s="48" t="str">
        <f ca="1">A.Backend!L7</f>
        <v xml:space="preserve">namespace prod.Master.Common
{
	public class MstCmmValuationClassConsts	
	{
		public const int MaxCodeLength = 4;
		public const int MaxNameLength = 25;
		public const int MaxBsAccountLength = 25;
		public const int MaxBsAccountDescriptionLength = 200;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MstCmmValuationClassDto : EntityDto&lt;long?&gt;	
	{
		public virtual string Code { get; set; }
		public virtual string Name { get; set; }
		public virtual string BsAccount { get; set; }
		public virtual string BsAccountDescription { get; set; }
		public virtual string IsActive { get; set; }
	}
	public class CreateOrEditMstCmmValuationClassDto : EntityDto&lt;long?&gt;	
	{
		[StringLength(MstCmmValuationClassConsts.MaxCodeLength)]
		public virtual string Code { get; set; }
		[StringLength(MstCmmValuationClassConsts.MaxNameLength)]
		public virtual string Name { get; set; }
		[StringLength(MstCmmValuationClassConsts.MaxBsAccountLength)]
		public virtual string BsAccount { get; set; }
		[StringLength(MstCmmValuationClassConsts.MaxBsAccountDescriptionLength)]
		public virtual string BsAccountDescription { get; set; }
		[StringLength(MstCmmValuationClassConsts.MaxIsActiveLength)]
		public virtual string IsActive { get; set; }
	}
	public class GetMstCmmValuationClassInput : PagedAndSortedResultRequestDto	
	{
		public virtual string Code { get; set; }
		public virtual string Name { get; set; }
		public virtual string BsAccount { get; set; }
		public virtual string BsAccountDescription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MstCmmValuationClassExportInput{
		public virtual string Code { get; set; }
		public virtual string Name { get; set; }
		public virtual string BsAccount { get; set; }
		public virtual string BsAccountDescription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IMstCmmValuationClassAppService : IApplicationService
	{
		Task&lt;PagedResultDto&lt;MstCmmValuationClassDto&gt;&gt; GetAll(GetMstCmmValuationClassInput input);
		Task CreateOrEdit(CreateOrEditMstCmmValuationClassDto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IMstCmmValuationClassExcelExporter : IApplicationService
	{
		FileDto ExportToFile(List&lt;MstCmmValuationClassDto&gt; mstcmmvaluationclass);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MstCmmValuationClassExcelExporter : NpoiExcelExporterBase, IMstCmmValuationClassExcelExporter
    {
        public MstCmmValuationClassExcelExporter(ITempFileCacheManager tempFileCacheManager) : base(tempFileCacheManager) { }
        public FileDto ExportToFile(List&lt;MstCmmValuationClassDto&gt; valuationclass)
        {
            return CreateExcelPackage(
				"MasterCommonValuationClass.xlsx",
				excelPackage =&gt;
				 {
					var sheet = excelPackage.CreateSheet("ValuationClass");
					AddHeader(
								sheet,
								("Code"),
								("Name"),
								("BsAccount"),
								("BsAccountDescription"),
								("IsActive"),
							   );
					AddObjects(
						 sheet, 1, valuationclass,                                       
								_ =&gt; _.Code,
								_ =&gt; _.Name,
								_ =&gt; _.BsAccount,
								_ =&gt; _.BsAccountDescription,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[AbpAuthorize(AppPermissions.Pages_Master_Common_ValuationClass)]
    public class MstCmmValuationClassAppService : vovinaAppServiceBase, IMstCmmValuationClassAppService
    {
        private readonly IDapperRepository&lt;MstCmmValuationClass, long&gt; _dapperRepo;
        private readonly IRepository&lt;MstCmmValuationClass, long&gt; _repo;
        private readonly IMstCmmValuationClassExcelExporter _calendarListExcelExporter;
        public MstCmmValuationClassAppService(IRepository&lt;MstCmmValuationClass,long&gt; repo, 
                                         IDapperRepository&lt;MstCmmValuationClass,long&gt; dapperRepo,
                                        IMstCmmValuationClassExcelExporter calendarListExcelExporter
            )
        {
            _repo = repo;
            _dapperRepo = dapperRepo;
            _calendarListExcelExporter = calendarListExcelExporter;
        }
        [AbpAuthorize(AppPermissions.Pages_Master_Common_ValuationClass_CreateEdit)]
        public async Task CreateOrEdit(CreateOrEditMstCmmValuationClassDto input)
        {
            if (input.Id == null) await Create(input);
            else await Update(input);
        }
        //CREATE
        private async Task Create(CreateOrEditMstCmmValuationClassDto input)
        {          
            var mainObj = ObjectMapper.Map&lt;MstCmmValuationClass&gt;(input);
            await CurrentUnitOfWork.GetDbContext&lt;vovinaDbContext&gt;().AddAsync(mainObj);
        }
        // EDIT
        private async Task Update(CreateOrEditMstCmmValuationClassDto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[AbpAuthorize(AppPermissions.Pages_Master_Common_ValuationClass_Delete)]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Task&lt;PagedResultDto&lt;MstCmmValuationClassDto&gt;&gt; GetAll(GetMstCmmValuationClassInput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.WhereIf(!string.IsNullOrWhiteSpace(input.BsAccount), e =&gt; e.BsAccount.Contains(input.BsAccount))
				.WhereIf(!string.IsNullOrWhiteSpace(input.BsAccountDescription), e =&gt; e.BsAccountDescription.Contains(input.BsAccountDescription))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MstCmmValuationClassDto
                        {
							Id = o.Id,
							Code = o.Code,
							Name = o.Name,
							BsAccount = o.BsAccount,
							BsAccountDescription = o.BsAccountDescription,
							IsActive = o.IsActive,
                        };
            var totalCount = await filtered.CountAsync();
			var paged = system.PageBy(input);
            return new PagedResultDto&lt;MstCmmValuationClassDto&gt;(
                totalCount,
                 await paged.ToListAsync()
            );
        }
        public async Task&lt;FileDto&gt; GetValuationClassToExcel(MstCmmValuationClassExportInput input)
        {
            var query = from o in _repo.GetAll()
                        select new MstCmmValuationClassDto
                        {
							Id = o.Id,
							Code = o.Code,
							Name = o.Name,
							BsAccount = o.BsAccount,
							BsAccountDescription = o.BsAccountDescription,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_dapperRepo.ExecuteAsync(MstCmmValuationClassConsts.SP_MST_WPT_CALENDAR_GENERATE);
       // }
    }
}</v>
      </c>
      <c r="N68" s="58" t="str">
        <f>A.Backend!U7</f>
        <v xml:space="preserve">  configuration.CreateMap&lt;MstCmmValuationClassDto, MstCmmValuationClass&gt;();
  configuration.CreateMap&lt;MstCmmValuationClass, MstCmmValuationClassDto&gt;();
  configuration.CreateMap&lt;CreateOrEditMstCmmValuationClassDto, MstCmmValuationClass&gt;();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valuationclass</v>
      </c>
      <c r="C73" s="66" t="str">
        <f>"create folder " &amp;B73</f>
        <v>create folder valuationclass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valuationclass.component.ts</v>
      </c>
      <c r="D74" s="28" t="str">
        <f>B.Frontend!I14</f>
        <v>valuationclass.component.html</v>
      </c>
      <c r="E74" s="28" t="str">
        <f>B.Frontend!J14</f>
        <v>valuationclass.component.less</v>
      </c>
      <c r="F74" s="28" t="str">
        <f>B.Frontend!K14</f>
        <v>create-or-edit-valuationclass-modal.component.html</v>
      </c>
      <c r="G74" s="28" t="str">
        <f>B.Frontend!L14</f>
        <v>create-or-edit-valuationclass-modal.component.ts</v>
      </c>
      <c r="H74" s="28" t="str">
        <f>B.Frontend!M14</f>
        <v>create-or-edit-valuationclass-modal.component.less</v>
      </c>
      <c r="I74" s="28" t="str">
        <f>B.Frontend!N14</f>
        <v>valuationclass.module.ts</v>
      </c>
      <c r="J74" s="28" t="str">
        <f>B.Frontend!O14</f>
        <v>valuationclass-routing.module.ts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MstCmmValuationClassDto, MstCmmValuationClassServiceProxy } from '@shared/service-proxies/service-proxies';
import { finalize } from 'rxjs/internal/operators/finalize';
import { CreateOrEditValuationClassModalComponent } from './create-or-edit-valuationclass-modal.component';
import { DatePipe } from '@angular/common';
import { FileDownloadService } from '@shared/utils/file-download.service';
import ceil from 'lodash-es/ceil';
import { Paginator } from 'primeng/paginator';
@Component({
    templateUrl: './valuationclass.component.html',
    styleUrls: ['./valuationclass.component.less'],
})
export class ValuationClassComponent extends AppComponentBase implements OnInit {
    @ViewChild('createOrEditModalValuationClass', { static: true }) createOrEditModalValuationClass:| CreateOrEditValuationClassModalComponent|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MstCmmValuationClassDto = new MstCmmValuationClassDto();
    saveSelectedRow: MstCmmValuationClassDto = new MstCmmValuationClassDto();
    datas: MstCmmValuationClassDto = new MstCmmValuationClassDto();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bsAccount : string = '' ; 
	bsAccountDescription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MstCmmValuationClassServiceProxy,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this.l('Bs Account'),headerTooltip: this.l('Bs Account'),field: 'bsAccount',flex: 1},
			{headerName: this.l('Bs Account Description'),headerTooltip: this.l('Bs Account Description'),field: 'bsAccountDescription',flex: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this.bsAccount,
			this.bsAccountDescription,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this.bsAccount = '',
		this.bsAccountDescription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this.bsAccount,
			this.bsAccountDescription,
			this.isActive,
			'',
            this.paginationParams.skipCount,
            this.paginationParams.pageSize
        );
    }
    onChangeRowSelection(params: { api: { getSelectedRows: () =&gt; MstCmmValuationClassDto[] } }) {
        this.saveSelectedRow = params.api.getSelectedRows()[0] ?? new MstCmmValuationClassDto();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MstCmmValuationClassDto):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this._service.getValuationClassToExcel(
			this.code,
			this.name,
			this.bsAccount,
			this.bsAccountDescription,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Valuation Class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[(ngModel)]='bsAccount' name='bsAccount'
									class='form-control' [placeholder]="l('Bs Account')"
									type='text' (keyup.enter)='searchDatas()'&gt;
								&lt;/div&gt;
								&lt;div class='input-search'&gt;
									&lt;input [(ngModel)]='bsAccountDescription' name='bsAccountDescription'
									class='form-control' [placeholder]="l('Bs Account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(click)="createOrEditModalValuationClass.show()"&gt;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(click)="createOrEditModalValuationClass.show(selectedRow)"&gt;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&lt;create-or-edit-valuationclass-modal
    #createOrEditModalValuationClass
    (modalSave)="callBackDataGrid(dataParams)"
    (modalClose)="onChangeRowSelection(dataParams)"
&gt;
&lt;/create-or-edit-valuationclass-modal&gt;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#createOrEditModalValuationClass="bs-modal"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ValuationClass')}}&lt;/h3&gt;
                    &lt;h3 *ngIf="!rowdata.id"&gt;{{('Create New ValuationClass')}}&lt;/h3&gt;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title'&gt;Bs Account&lt;/label&gt;
						&lt;input type='text' class='col-md-10 form-control input-text' name='BsAccount' [(ngModel)]='rowdata.bsAccount'&gt;
					&lt;/div&gt;
					&lt;div class='col-md-12 form-group row'&gt;
						&lt;label class='col-md-2 form-control title'&gt;Bs Account Description&lt;/label&gt;
						&lt;input type='text' class='col-md-10 form-control input-text' name='BsAccountDescription' [(ngModel)]='rowdata.bsAccountDescription'&gt;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CreateOrEditMstCmmValuationClassDto, MstCmmValuationClassServiceProxy } from '@shared/service-proxies/service-proxies';
import { BsDatepickerDirective } from 'ngx-bootstrap/datepicker';
@Component({
    selector: 'create-or-edit-valuationclass-modal',
    templateUrl: './create-or-edit-valuationclass-modal.component.html',
    styleUrls: ['./create-or-edit-valuationclass-modal.component.less']
    })
export class CreateOrEditValuationClassModalComponent extends AppComponentBase {
    @ViewChild('createOrEditModalValuationClass',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CreateOrEditMstCmmValuationClassDto = new CreateOrEditMstCmmValuationClassDto();
    active: boolean = false;
    saving: boolean = false;
    _isActive: boolean;
    constructor(
        injector: Injector,
        private _mstwptValuationClassService: MstCmmValuationClassServiceProxy,
    ) 
    {
        super(injector);
    }
    show(rowdata?: CreateOrEditMstCmmValuationClassDto): void {
        if (!rowdata) this.rowdata = new CreateOrEditMstCmmValuationClassDto();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this._mstwptValuationClassService.createOrEdit(this.rowdata)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ValuationClassRoutingModule } from './valuationclass-routing.module';
import { ValuationClassComponent } from './valuationclass.component';
import { CreateOrEditValuationClassModalComponent } from './create-or-edit-valuationclass-modal.component';
@NgModule({
    declarations: [
       ValuationClassComponent, 
        CreateOrEditValuationClassModalComponent
    ],
    imports: [
        AppSharedModule, ValuationClassRoutingModule]
})
export class ValuationClassModule {}</v>
      </c>
      <c r="J75" s="46" t="str">
        <f>B.Frontend!O10</f>
        <v>import {NgModule} from '@angular/core';
import {RouterModule, Routes} from '@angular/router';
import { ValuationClassComponent } from './valuationclass.component';
const routes: Routes = [{
    path: '',
    component: ValuationClassComponent,
    pathMatch: 'full'
}];
@NgModule({
    imports: [RouterModule.forChild(routes)],
    exports: [RouterModule],
})
export class ValuationClassRoutingModule {}</v>
      </c>
      <c r="K75" s="46" t="str">
        <f>B.Frontend!P10</f>
        <v xml:space="preserve"> new AppMenuItem("ValuationClass", "Pages.Master.Common.ValuationClass", "flaticon-book",   "/app/main/master/common/valuationclass"),</v>
      </c>
      <c r="L75" s="47" t="str">
        <f>B.Frontend!Q10</f>
        <v>{
    path: 'master/common/valuationclass',
    loadChildren: () =&gt; import('./master/common/valuationclass/valuationclass.module').then(m =&gt; m.ValuationClassModule),
    data: { permission: 'Pages.Master.Common.ValuationClass' }
},</v>
      </c>
      <c r="M75" s="45" t="str">
        <f>B.Frontend!R10</f>
        <v>ApiServiceProxies.MstCmmValuationClassServiceProxy,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tabSelected="1" workbookViewId="0">
      <pane xSplit="1" topLeftCell="B1" activePane="topRight" state="frozen"/>
      <selection pane="topRight" activeCell="B12" sqref="B12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43</v>
      </c>
      <c r="D3" s="9" t="s">
        <v>44</v>
      </c>
      <c r="E3" s="9" t="s">
        <v>39</v>
      </c>
      <c r="F3" s="10" t="str">
        <f>"J"&amp;COUNTA($A:$A)</f>
        <v>J13</v>
      </c>
      <c r="G3" s="4" t="s">
        <v>57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56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MstCmmValuationClassExportInput{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MstCmmValuationClass: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MstCmmValuationClassConsts	
	{
</v>
      </c>
      <c r="F6" s="10" t="str">
        <f>REPT(CHAR(9),1)&amp;"public class "&amp;B3&amp;"Dto"&amp;K3&amp;REPT(CHAR(9),1)&amp;"
"&amp;REPT(CHAR(9),1)&amp;C3</f>
        <v xml:space="preserve">	public class MstCmmValuationClassDto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CreateOrEditMstCmmValuationClassDto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GetMstCmmValuationClassInput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MstCmmValuationClass</v>
      </c>
      <c r="C7" s="10" t="str">
        <f>REPT(CHAR(9),1)&amp;"[Table("""&amp;B7&amp;""")]"&amp;"
"</f>
        <v xml:space="preserve">	[Table("MstCmmValuationClass")]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[Table("MstCmmValuationClass")]
	[Index(nameof(Code), Name="IX_MstCmmValuationClass_Code")]
	[Index(nameof(BsAccount), Name="IX_MstCmmValuationClass_BsAccount")]
	[Index(nameof(BsAccountDescription), Name="IX_MstCmmValuationClass_BsAccountDescription")]
	[Index(nameof(IsActive), Name="IX_MstCmmValuationClass_IsActive")]	public class MstCmmValuationClass: FullAuditedEntity&lt;long&gt;, IEntity&lt;long&gt;	
	{
		public const int MaxCodeLength = 4;
		public const int MaxNameLength = 25;
		public const int MaxBsAccountLength = 25;
		public const int MaxBsAccountDescriptionLength = 200;
		public const int MaxIsActiveLength = 1;
		[StringLength(MaxCodeLength)]
		public virtual string Code { get; set; }
		[StringLength(MaxNameLength)]
		public virtual string Name { get; set; }
		[StringLength(MaxBsAccountLength)]
		public virtual string BsAccount { get; set; }
		[StringLength(MaxBsAccountDescriptionLength)]
		public virtual string BsAccountDescription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DbSet&lt;MstCmmValuationClass&gt; MstCmmValuationClasss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prod.Master.Common
{
	public class MstCmmValuationClassConsts	
	{
		public const int MaxCodeLength = 4;
		public const int MaxNameLength = 25;
		public const int MaxBsAccountLength = 25;
		public const int MaxBsAccountDescriptionLength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prod.Master.Common.Dto
{
	public class MstCmmValuationClassDto : EntityDto&lt;long?&gt;	
	{
		public virtual string Code { get; set; }
		public virtual string Name { get; set; }
		public virtual string BsAccount { get; set; }
		public virtual string BsAccountDescription { get; set; }
		public virtual string IsActive { get; set; }
	}
	public class CreateOrEditMstCmmValuationClassDto : EntityDto&lt;long?&gt;	
	{
		[StringLength(MstCmmValuationClassConsts.MaxCodeLength)]
		public virtual string Code { get; set; }
		[StringLength(MstCmmValuationClassConsts.MaxNameLength)]
		public virtual string Name { get; set; }
		[StringLength(MstCmmValuationClassConsts.MaxBsAccountLength)]
		public virtual string BsAccount { get; set; }
		[StringLength(MstCmmValuationClassConsts.MaxBsAccountDescriptionLength)]
		public virtual string BsAccountDescription { get; set; }
		[StringLength(MstCmmValuationClassConsts.MaxIsActiveLength)]
		public virtual string IsActive { get; set; }
	}
	public class GetMstCmmValuationClassInput : PagedAndSortedResultRequestDto	
	{
		public virtual string Code { get; set; }
		public virtual string Name { get; set; }
		public virtual string BsAccount { get; set; }
		public virtual string BsAccountDescription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perMstCmmValuationClass = PARENTS.CreateChildPermission(AppPermissions.Pages_Master_Common_ValuationClass, L( "MasterCommonValuationClass"), multiTenancySides: MultiTenancySides.Tenant);
		perMstCmmValuationClass.CreateChildPermission(AppPermissions.Pages_Master_Common_ValuationClass_CreateEdit, L( "MasterCommonValuationClassCreateEdit"), multiTenancySides: MultiTenancySides.Tenant);
		perMstCmmValuationClass.CreateChildPermission(AppPermissions.Pages_Master_Common_ValuationClass_Delete, L( "MasterCommonValuationClassDelete"),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Pages_Master_Common_ValuationClass = "Pages.Master.Common.ValuationClass";
		public const string Pages_Master_Common_ValuationClass_CreateEdit = "Pages.Master.Common.ValuationClass.CreateEdit";
		public const string Pages_Master_Common_ValuationClass_Delete = "Pages.Master.Common.ValuationClass.Delete";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IMstCmmValuationClassAppService : IApplicationService
	{
		Task&lt;PagedResultDto&lt;MstCmmValuationClassDto&gt;&gt; GetAll(GetMstCmmValuationClassInput input);
		Task CreateOrEdit(CreateOrEditMstCmmValuationClassDto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[AbpAuthorize(AppPermissions.Pages_Master_Common_ValuationClass)]
    public class MstCmmValuationClassAppService : vovinaAppServiceBase, IMstCmmValuationClassAppService
    {
        private readonly IDapperRepository&lt;MstCmmValuationClass, long&gt; _dapperRepo;
        private readonly IRepository&lt;MstCmmValuationClass, long&gt; _repo;
        private readonly IMstCmmValuationClassExcelExporter _calendarListExcelExporter;
        public MstCmmValuationClassAppService(IRepository&lt;MstCmmValuationClass,long&gt; repo, 
                                         IDapperRepository&lt;MstCmmValuationClass,long&gt; dapperRepo,
                                        IMstCmmValuationClassExcelExporter calendarListExcelExporter
            )
        {
            _repo = repo;
            _dapperRepo = dapperRepo;
            _calendarListExcelExporter = calendarListExcelExporter;
        }
        [AbpAuthorize(AppPermissions.Pages_Master_Common_ValuationClass_CreateEdit)]
        public async Task CreateOrEdit(CreateOrEditMstCmmValuationClassDto input)
        {
            if (input.Id == null) await Create(input);
            else await Update(input);
        }
        //CREATE
        private async Task Create(CreateOrEditMstCmmValuationClassDto input)
        {          
            var mainObj = ObjectMapper.Map&lt;MstCmmValuationClass&gt;(input);
            await CurrentUnitOfWork.GetDbContext&lt;vovinaDbContext&gt;().AddAsync(mainObj);
        }
        // EDIT
        private async Task Update(CreateOrEditMstCmmValuationClassDto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[AbpAuthorize(AppPermissions.Pages_Master_Common_ValuationClass_Delete)]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Task&lt;PagedResultDto&lt;MstCmmValuationClassDto&gt;&gt; GetAll(GetMstCmmValuationClassInput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.WhereIf(!string.IsNullOrWhiteSpace(input.BsAccount), e =&gt; e.BsAccount.Contains(input.BsAccount))
				.WhereIf(!string.IsNullOrWhiteSpace(input.BsAccountDescription), e =&gt; e.BsAccountDescription.Contains(input.BsAccountDescription))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MstCmmValuationClassDto
                        {
							Id = o.Id,
							Code = o.Code,
							Name = o.Name,
							BsAccount = o.BsAccount,
							BsAccountDescription = o.BsAccountDescription,
							IsActive = o.IsActive,
                        };
            var totalCount = await filtered.CountAsync();
			var paged = system.PageBy(input);
            return new PagedResultDto&lt;MstCmmValuationClassDto&gt;(
                totalCount,
                 await paged.ToListAsync()
            );
        }
        public async Task&lt;FileDto&gt; GetValuationClassToExcel(MstCmmValuationClassExportInput input)
        {
            var query = from o in _repo.GetAll()
                        select new MstCmmValuationClassDto
                        {
							Id = o.Id,
							Code = o.Code,
							Name = o.Name,
							BsAccount = o.BsAccount,
							BsAccountDescription = o.BsAccountDescription,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_dapperRepo.ExecuteAsync(MstCmmValuationClassConsts.SP_MST_WPT_CALENDAR_GENERATE);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prod.Master.Common.Dto
{
	public class MstCmmValuationClassExportInput{
		public virtual string Code { get; set; }
		public virtual string Name { get; set; }
		public virtual string BsAccount { get; set; }
		public virtual string BsAccountDescription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IMstCmmValuationClassExcelExporter : IApplicationService
	{
		FileDto ExportToFile(List&lt;MstCmmValuationClassDto&gt; mstcmmvaluationclass);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MstCmmValuationClassExcelExporter : NpoiExcelExporterBase, IMstCmmValuationClassExcelExporter
    {
        public MstCmmValuationClassExcelExporter(ITempFileCacheManager tempFileCacheManager) : base(tempFileCacheManager) { }
        public FileDto ExportToFile(List&lt;MstCmmValuationClassDto&gt; valuationclass)
        {
            return CreateExcelPackage(
				"MasterCommonValuationClass.xlsx",
				excelPackage =&gt;
				 {
					var sheet = excelPackage.CreateSheet("ValuationClass");
					AddHeader(
								sheet,
								("Code"),
								("Name"),
								("BsAccount"),
								("BsAccountDescription"),
								("IsActive"),
							   );
					AddObjects(
						 sheet, 1, valuationclass,                                       
								_ =&gt; _.Code,
								_ =&gt; _.Name,
								_ =&gt; _.BsAccount,
								_ =&gt; _.BsAccountDescription,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configuration.CreateMap&lt;MstCmmValuationClassDto, MstCmmValuationClass&gt;();
  configuration.CreateMap&lt;MstCmmValuationClass, MstCmmValuationClassDto&gt;();
  configuration.CreateMap&lt;CreateOrEditMstCmmValuationClassDto, MstCmmValuationClass&gt;();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5" customHeight="1" x14ac:dyDescent="0.25">
      <c r="A9" t="s">
        <v>353</v>
      </c>
      <c r="B9" t="s">
        <v>359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Name="IX_MstCmmValuationClass_Code")]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[StringLength(MstCmmValuationClassConsts.MaxCodeLength)]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360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25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25;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[StringLength(MstCmmValuationClassConsts.MaxNameLength)]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4" t="str">
        <f t="shared" ref="T10:T11" si="23">REPT(CHAR(9),8)&amp;"("""&amp;D10&amp;"""),"</f>
        <v xml:space="preserve">								("Name"),</v>
      </c>
      <c r="V10" s="65" t="str">
        <f t="shared" ref="V10:V11" si="24">REPT(CHAR(9),8)&amp;"_ =&gt; _."&amp;D10&amp;","</f>
        <v xml:space="preserve">								_ =&gt; _.Name,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5" customHeight="1" x14ac:dyDescent="0.25">
      <c r="A11" t="s">
        <v>364</v>
      </c>
      <c r="B11" t="s">
        <v>360</v>
      </c>
      <c r="C11" t="s">
        <v>1</v>
      </c>
      <c r="D11" t="str">
        <f t="shared" si="13"/>
        <v>BsAccount</v>
      </c>
      <c r="E11" t="str">
        <f t="shared" si="14"/>
        <v>nvarchar</v>
      </c>
      <c r="F11" s="6"/>
      <c r="G11" t="str">
        <f t="shared" si="15"/>
        <v>25</v>
      </c>
      <c r="H11" t="str">
        <f>+VLOOKUP(E11,'Data Type Mapping'!A:B,2,)</f>
        <v>string</v>
      </c>
      <c r="I11" t="str">
        <f t="shared" si="16"/>
        <v xml:space="preserve">		public const int MaxBsAccountLength = 25;
</v>
      </c>
      <c r="J11" t="str">
        <f t="shared" si="17"/>
        <v xml:space="preserve">		[StringLength(MaxBsAccountLength)]
		public virtual string BsAccount { get; set; }
</v>
      </c>
      <c r="K11" s="6" t="s">
        <v>206</v>
      </c>
      <c r="L11" t="str">
        <f t="shared" si="18"/>
        <v xml:space="preserve">	[Index(nameof(BsAccount), Name="IX_MstCmmValuationClass_BsAccount")]</v>
      </c>
      <c r="M11" t="str">
        <f t="shared" si="19"/>
        <v xml:space="preserve">		public virtual string BsAccount { get; set; }
</v>
      </c>
      <c r="N11" t="str">
        <f t="shared" si="20"/>
        <v xml:space="preserve">		[StringLength(MstCmmValuationClassConsts.MaxBsAccountLength)]
		public virtual string BsAccount { get; set; }
</v>
      </c>
      <c r="O11" t="str">
        <f t="shared" si="21"/>
        <v xml:space="preserve">		public virtual string BsAccount { get; set; }
</v>
      </c>
      <c r="P11" t="str">
        <f t="shared" si="22"/>
        <v xml:space="preserve">							BsAccount = o.BsAccount,</v>
      </c>
      <c r="T11" s="64" t="str">
        <f t="shared" si="23"/>
        <v xml:space="preserve">								("BsAccount"),</v>
      </c>
      <c r="V11" s="65" t="str">
        <f t="shared" si="24"/>
        <v xml:space="preserve">								_ =&gt; _.BsAccount,</v>
      </c>
      <c r="W11" s="64" t="str">
        <f t="shared" si="25"/>
        <v xml:space="preserve">				.WhereIf(!string.IsNullOrWhiteSpace(input.BsAccount), e =&gt; e.BsAccount.Contains(input.BsAccount))</v>
      </c>
    </row>
    <row r="12" spans="1:23" customFormat="1" ht="15" customHeight="1" x14ac:dyDescent="0.25">
      <c r="A12" t="s">
        <v>365</v>
      </c>
      <c r="B12" t="s">
        <v>366</v>
      </c>
      <c r="C12" t="s">
        <v>1</v>
      </c>
      <c r="D12" t="str">
        <f t="shared" ref="D12" si="26">SUBSTITUTE(PROPER(A12),"_","")</f>
        <v>BsAccountDescription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200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MaxBsAccountDescriptionLength = 200;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[StringLength(MaxBsAccountDescriptionLength)]
		public virtual string BsAccountDescription { get; set; }
</v>
      </c>
      <c r="K12" s="6" t="s">
        <v>206</v>
      </c>
      <c r="L12" t="str">
        <f t="shared" ref="L12" si="31">IF(K12="","",REPT(CHAR(9),1)&amp;"[Index(nameof("&amp;IF(D12="","",""&amp;D12)&amp;")"&amp;", Name="&amp;"""IX_"&amp;$B$7&amp;"_"&amp;D12&amp;""")]")</f>
        <v xml:space="preserve">	[Index(nameof(BsAccountDescription), Name="IX_MstCmmValuationClass_BsAccountDescription")]</v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BsAccountDescription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[StringLength(MstCmmValuationClassConsts.MaxBsAccountDescriptionLength)]
		public virtual string BsAccountDescription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BsAccountDescription { get; set; }
</v>
      </c>
      <c r="P12" t="str">
        <f t="shared" ref="P12" si="35">REPT(CHAR(9),7)&amp;D12&amp;" = o." &amp;D12 &amp;","</f>
        <v xml:space="preserve">							BsAccountDescription = o.BsAccountDescription,</v>
      </c>
      <c r="T12" s="64" t="str">
        <f t="shared" ref="T12" si="36">REPT(CHAR(9),8)&amp;"("""&amp;D12&amp;"""),"</f>
        <v xml:space="preserve">								("BsAccountDescription"),</v>
      </c>
      <c r="V12" s="65" t="str">
        <f t="shared" ref="V12" si="37">REPT(CHAR(9),8)&amp;"_ =&gt; _."&amp;D12&amp;","</f>
        <v xml:space="preserve">								_ =&gt; _.BsAccountDescription,</v>
      </c>
      <c r="W12" s="64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.WhereIf(!string.IsNullOrWhiteSpace(input.BsAccountDescription), e =&gt; e.BsAccountDescription.Contains(input.BsAccountDescription))</v>
      </c>
    </row>
    <row r="13" spans="1:23" customFormat="1" ht="22.5" customHeight="1" x14ac:dyDescent="0.25">
      <c r="A13" t="s">
        <v>324</v>
      </c>
      <c r="B13" t="s">
        <v>352</v>
      </c>
      <c r="C13" t="s">
        <v>1</v>
      </c>
      <c r="D13" t="str">
        <f>SUBSTITUTE(PROPER(A13),"_","")</f>
        <v>IsActive</v>
      </c>
      <c r="E13" t="str">
        <f t="shared" ref="E13" si="39">IFERROR(LEFT(B13, FIND("(",B13)-1),B13)</f>
        <v>nvarchar</v>
      </c>
      <c r="F13" s="6"/>
      <c r="G13" t="str">
        <f t="shared" ref="G13" si="40">IFERROR(MID(B13,FIND("(",B13) +1, FIND(")",B13) - FIND("(",B13) - 1),"")</f>
        <v>1</v>
      </c>
      <c r="H13" t="str">
        <f>+VLOOKUP(E13,'[1]Data Type Mapping'!A:B,2,)</f>
        <v>string</v>
      </c>
      <c r="I13" t="str">
        <f t="shared" ref="I13" si="41">IF(H13="string",REPT(CHAR(9),2)&amp;"public const int Max"&amp;D13&amp;"Length = "&amp;G13&amp;";"&amp;$E$3,"" )</f>
        <v xml:space="preserve">		public const int MaxIsActiveLength = 1;
</v>
      </c>
      <c r="J13" t="str">
        <f t="shared" ref="J13" si="4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6" t="s">
        <v>206</v>
      </c>
      <c r="L13" t="str">
        <f>IF(K13="","",REPT(CHAR(9),1)&amp;"[Index(nameof("&amp;IF(D13="","",""&amp;D13)&amp;")"&amp;", Name="&amp;"""IX_"&amp;$B$7&amp;"_"&amp;D13&amp;""")]")</f>
        <v xml:space="preserve">	[Index(nameof(IsActive), Name="IX_MstCmmValuationClass_IsActive")]</v>
      </c>
      <c r="M13" t="str">
        <f t="shared" ref="M13" si="43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44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[StringLength(MstCmmValuationClassConsts.MaxIsActiveLength)]
		public virtual string IsActive { get; set; }
</v>
      </c>
      <c r="O13" t="str">
        <f t="shared" ref="O13" si="45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46">REPT(CHAR(9),7)&amp;D13&amp;" = o." &amp;D13 &amp;","</f>
        <v xml:space="preserve">							IsActive = o.IsActive,</v>
      </c>
      <c r="T13" s="64" t="str">
        <f t="shared" ref="T13" si="47">REPT(CHAR(9),8)&amp;"("""&amp;D13&amp;"""),"</f>
        <v xml:space="preserve">								("IsActive"),</v>
      </c>
      <c r="V13" s="65" t="str">
        <f t="shared" ref="V13" si="48">REPT(CHAR(9),8)&amp;"_ =&gt; _."&amp;D13&amp;","</f>
        <v xml:space="preserve">								_ =&gt; _.IsActive,</v>
      </c>
      <c r="W13" s="64" t="str">
        <f t="shared" ref="W13" si="49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MaxCodeLength = 4;
		public const int MaxNameLength = 25;
		public const int MaxBsAccountLength = 25;
		public const int MaxBsAccountDescriptionLength = 200;
		public const int MaxIsActiveLength = 1;
</v>
      </c>
      <c r="J15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[StringLength(MaxBsAccountLength)]
		public virtual string BsAccount { get; set; }
		[StringLength(MaxBsAccountDescriptionLength)]
		public virtual string BsAccountDescription { get; set; }
		[StringLength(MaxIsActiveLength)]
		public virtual string IsActive { get; set; }
</v>
      </c>
      <c r="K15" s="32" t="str">
        <f ca="1">TEXTJOIN2("
", TRUE,INDIRECT( $J$1):INDIRECT( $J$3))</f>
        <v xml:space="preserve">	[Index(nameof(Code), Name="IX_MstCmmValuationClass_Code")]
	[Index(nameof(BsAccount), Name="IX_MstCmmValuationClass_BsAccount")]
	[Index(nameof(BsAccountDescription), Name="IX_MstCmmValuationClass_BsAccountDescription")]
	[Index(nameof(IsActive), Name="IX_MstCmmValuationClass_IsActive")]</v>
      </c>
      <c r="L15" s="12" t="s">
        <v>60</v>
      </c>
      <c r="M15" s="33" t="str">
        <f ca="1">TEXTJOIN2("
",TRUE,INDIRECT( $L$1):INDIRECT($L$3))</f>
        <v xml:space="preserve">		public virtual string Code { get; set; }
		public virtual string Name { get; set; }
		public virtual string BsAccount { get; set; }
		public virtual string BsAccountDescription { get; set; }
		public virtual string IsActive { get; set; }
</v>
      </c>
      <c r="N15" s="30" t="str">
        <f ca="1">TEXTJOIN2("
",TRUE,INDIRECT( $M$1):INDIRECT($M$3))</f>
        <v xml:space="preserve">		[StringLength(MstCmmValuationClassConsts.MaxCodeLength)]
		public virtual string Code { get; set; }
		[StringLength(MstCmmValuationClassConsts.MaxNameLength)]
		public virtual string Name { get; set; }
		[StringLength(MstCmmValuationClassConsts.MaxBsAccountLength)]
		public virtual string BsAccount { get; set; }
		[StringLength(MstCmmValuationClassConsts.MaxBsAccountDescriptionLength)]
		public virtual string BsAccountDescription { get; set; }
		[StringLength(MstCmmValuationClassConsts.MaxIsActiveLength)]
		public virtual string IsActive { get; set; }
</v>
      </c>
      <c r="O15" s="30" t="str">
        <f ca="1">TEXTJOIN2("
",TRUE,INDIRECT( $N$1):INDIRECT($N$3))</f>
        <v xml:space="preserve">		public virtual string Code { get; set; }
		public virtual string Name { get; set; }
		public virtual string BsAccount { get; set; }
		public virtual string BsAccountDescription { get; set; }
		public virtual string IsActive { get; set; }
</v>
      </c>
      <c r="P15" s="8" t="str">
        <f ca="1">TEXTJOIN2("
",TRUE,INDIRECT( $O$1):INDIRECT($O$3))</f>
        <v xml:space="preserve">							Code = o.Code,
							Name = o.Name,
							BsAccount = o.BsAccount,
							BsAccountDescription = o.BsAccountDescription,
							IsActive = o.IsActive,</v>
      </c>
      <c r="T15" s="8" t="str">
        <f ca="1">TEXTJOIN2("
",TRUE,INDIRECT( $T$2):INDIRECT($T$3))</f>
        <v xml:space="preserve">								("Code"),
								("Name"),
								("BsAccount"),
								("BsAccountDescription"),
								("IsActive"),</v>
      </c>
      <c r="V15" s="8" t="str">
        <f ca="1">TEXTJOIN2("
",TRUE,INDIRECT( $V$2):INDIRECT($V$3))</f>
        <v xml:space="preserve">								_ =&gt; _.Code,
								_ =&gt; _.Name,
								_ =&gt; _.BsAccount,
								_ =&gt; _.BsAccountDescription,
								_ =&gt; _.IsActive,</v>
      </c>
      <c r="W15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.WhereIf(!string.IsNullOrWhiteSpace(input.BsAccount), e =&gt; e.BsAccount.Contains(input.BsAccount))
				.WhereIf(!string.IsNullOrWhiteSpace(input.BsAccountDescription), e =&gt; e.BsAccountDescription.Contains(input.BsAccountDescription))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MstCmmValuationClass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ValuationClass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valuationclass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MstCmmValuationClassDto, MstCmmValuationClassServiceProxy } from '@shared/service-proxies/service-proxies';
import { finalize } from 'rxjs/internal/operators/finalize';
import { CreateOrEditValuationClassModalComponent } from './create-or-edit-valuationclass-modal.component';
import { DatePipe } from '@angular/common';
import { FileDownloadService } from '@shared/utils/file-download.service';
import ceil from 'lodash-es/ceil';
import { Paginator } from 'primeng/paginator';
@Component({
    templateUrl: './valuationclass.component.html',
    styleUrls: ['./valuationclass.component.less'],
})
export class ValuationClassComponent extends AppComponentBase implements OnInit {
    @ViewChild('createOrEditModalValuationClass', { static: true }) createOrEditModalValuationClass:| CreateOrEditValuationClassModalComponent|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MstCmmValuationClassDto = new MstCmmValuationClassDto();
    saveSelectedRow: MstCmmValuationClassDto = new MstCmmValuationClassDto();
    datas: MstCmmValuationClassDto = new MstCmmValuationClassDto();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bsAccount : string = '' ; 
	bsAccountDescription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MstCmmValuationClassServiceProxy,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this.l('Bs Account'),headerTooltip: this.l('Bs Account'),field: 'bsAccount',flex: 1},
			{headerName: this.l('Bs Account Description'),headerTooltip: this.l('Bs Account Description'),field: 'bsAccountDescription',flex: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this.bsAccount,
			this.bsAccountDescription,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this.bsAccount = '',
		this.bsAccountDescription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this.bsAccount,
			this.bsAccountDescription,
			this.isActive,
			'',
            this.paginationParams.skipCount,
            this.paginationParams.pageSize
        );
    }
    onChangeRowSelection(params: { api: { getSelectedRows: () =&gt; MstCmmValuationClassDto[] } }) {
        this.saveSelectedRow = params.api.getSelectedRows()[0] ?? new MstCmmValuationClassDto();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MstCmmValuationClassDto):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this._service.getValuationClassToExcel(
			this.code,
			this.name,
			this.bsAccount,
			this.bsAccountDescription,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Valuation Class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[(ngModel)]='bsAccount' name='bsAccount'
									class='form-control' [placeholder]="l('Bs Account')"
									type='text' (keyup.enter)='searchDatas()'&gt;
								&lt;/div&gt;
								&lt;div class='input-search'&gt;
									&lt;input [(ngModel)]='bsAccountDescription' name='bsAccountDescription'
									class='form-control' [placeholder]="l('Bs Account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(click)="createOrEditModalValuationClass.show()"&gt;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(click)="createOrEditModalValuationClass.show(selectedRow)"&gt;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&lt;create-or-edit-valuationclass-modal
    #createOrEditModalValuationClass
    (modalSave)="callBackDataGrid(dataParams)"
    (modalClose)="onChangeRowSelection(dataParams)"
&gt;
&lt;/create-or-edit-valuationclass-modal&gt;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#createOrEditModalValuationClass="bs-modal"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ValuationClass')}}&lt;/h3&gt;
                    &lt;h3 *ngIf="!rowdata.id"&gt;{{('Create New ValuationClass')}}&lt;/h3&gt;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title'&gt;Bs Account&lt;/label&gt;
						&lt;input type='text' class='col-md-10 form-control input-text' name='BsAccount' [(ngModel)]='rowdata.bsAccount'&gt;
					&lt;/div&gt;
					&lt;div class='col-md-12 form-group row'&gt;
						&lt;label class='col-md-2 form-control title'&gt;Bs Account Description&lt;/label&gt;
						&lt;input type='text' class='col-md-10 form-control input-text' name='BsAccountDescription' [(ngModel)]='rowdata.bsAccountDescription'&gt;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CreateOrEditMstCmmValuationClassDto, MstCmmValuationClassServiceProxy } from '@shared/service-proxies/service-proxies';
import { BsDatepickerDirective } from 'ngx-bootstrap/datepicker';
@Component({
    selector: 'create-or-edit-valuationclass-modal',
    templateUrl: './create-or-edit-valuationclass-modal.component.html',
    styleUrls: ['./create-or-edit-valuationclass-modal.component.less']
    })
export class CreateOrEditValuationClassModalComponent extends AppComponentBase {
    @ViewChild('createOrEditModalValuationClass',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CreateOrEditMstCmmValuationClassDto = new CreateOrEditMstCmmValuationClassDto();
    active: boolean = false;
    saving: boolean = false;
    _isActive: boolean;
    constructor(
        injector: Injector,
        private _mstwptValuationClassService: MstCmmValuationClassServiceProxy,
    ) 
    {
        super(injector);
    }
    show(rowdata?: CreateOrEditMstCmmValuationClassDto): void {
        if (!rowdata) this.rowdata = new CreateOrEditMstCmmValuationClassDto();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this._mstwptValuationClassService.createOrEdit(this.rowdata)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ValuationClassRoutingModule } from './valuationclass-routing.module';
import { ValuationClassComponent } from './valuationclass.component';
import { CreateOrEditValuationClassModalComponent } from './create-or-edit-valuationclass-modal.component';
@NgModule({
    declarations: [
       ValuationClassComponent, 
        CreateOrEditValuationClassModalComponent
    ],
    imports: [
        AppSharedModule, ValuationClassRoutingModule]
})
export class ValuationClassModule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ValuationClassComponent } from './valuationclass.component';
const routes: Routes = [{
    path: '',
    component: ValuationClassComponent,
    pathMatch: 'full'
}];
@NgModule({
    imports: [RouterModule.forChild(routes)],
    exports: [RouterModule],
})
export class ValuationClassRoutingModule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AppMenuItem("ValuationClass", "Pages.Master.Common.ValuationClass", "flaticon-book",   "/app/main/master/common/valuationclass"),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'master/common/valuationclass',
    loadChildren: () =&gt; import('./master/common/valuationclass/valuationclass.module').then(m =&gt; m.ValuationClassModule),
    data: { permission: 'Pages.Master.Common.ValuationClass' }
},</v>
      </c>
      <c r="R10" s="47" t="str">
        <f>SUBSTITUTE(R9,"MstWptCalendar",$B$6)</f>
        <v>ApiServiceProxies.MstCmmValuationClassServiceProxy,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this.l('Bs Account'),headerTooltip: this.l('Bs Account'),field: 'bsAccount',flex: 1},
			{headerName: this.l('Bs Account Description'),headerTooltip: this.l('Bs Account Description'),field: 'bsAccountDescription',flex: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[(ngModel)]='bsAccount' name='bsAccount'
									class='form-control' [placeholder]="l('Bs Account')"
									type='text' (keyup.enter)='searchDatas()'&gt;
								&lt;/div&gt;
								&lt;div class='input-search'&gt;
									&lt;input [(ngModel)]='bsAccountDescription' name='bsAccountDescription'
									class='form-control' [placeholder]="l('Bs Account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title'&gt;Bs Account&lt;/label&gt;
						&lt;input type='text' class='col-md-10 form-control input-text' name='BsAccount' [(ngModel)]='rowdata.bsAccount'&gt;
					&lt;/div&gt;
					&lt;div class='col-md-12 form-group row'&gt;
						&lt;label class='col-md-2 form-control title'&gt;Bs Account Description&lt;/label&gt;
						&lt;input type='text' class='col-md-10 form-control input-text' name='BsAccountDescription' [(ngModel)]='rowdata.bsAccountDescription'&gt;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bsAccount : string = '' ; 
	bsAccountDescription : string = '' ; 
	isActive : string = '' ; </v>
      </c>
      <c r="T13" s="63" t="str">
        <f ca="1">TEXTJOIN2("
",TRUE,INDIRECT(T11):INDIRECT(T12))</f>
        <v xml:space="preserve">			this.code,
			this.name,
			this.bsAccount,
			this.bsAccountDescription,
			this.isActive,</v>
      </c>
      <c r="U13" s="63" t="str">
        <f ca="1">TEXTJOIN2("
",TRUE,INDIRECT(U11):INDIRECT(U12))</f>
        <v xml:space="preserve">		this.code = '',
		this.name = '',
		this.bsAccount = '',
		this.bsAccountDescription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valuationclass.component.ts</v>
      </c>
      <c r="I14" s="37" t="str">
        <f>B8&amp;".component.html"</f>
        <v>valuationclass.component.html</v>
      </c>
      <c r="J14" s="36" t="str">
        <f>B8&amp;".component.less"</f>
        <v>valuationclass.component.less</v>
      </c>
      <c r="K14" s="37" t="str">
        <f>"create-or-edit-"&amp;B8&amp;"-modal.component.html"</f>
        <v>create-or-edit-valuationclass-modal.component.html</v>
      </c>
      <c r="L14" s="37" t="str">
        <f>"create-or-edit-"&amp;B8&amp;"-modal.component.ts"</f>
        <v>create-or-edit-valuationclass-modal.component.ts</v>
      </c>
      <c r="M14" s="37" t="str">
        <f>"create-or-edit-"&amp;B8&amp;"-modal.component.less"</f>
        <v>create-or-edit-valuationclass-modal.component.less</v>
      </c>
      <c r="N14" s="37" t="str">
        <f>B8&amp;".module.ts"</f>
        <v>valuationclass.module.ts</v>
      </c>
      <c r="O14" s="37" t="str">
        <f>B8&amp;"-routing.module.ts"</f>
        <v>valuationclass-routing.module.ts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8" si="0">SUBSTITUTE(PROPER(A15),"_","")</f>
        <v>Code</v>
      </c>
      <c r="C15" s="28" t="str">
        <f t="shared" ref="C15:C18" si="1">SUBSTITUTE(PROPER(A15),"_"," ")</f>
        <v>Code</v>
      </c>
      <c r="D15" s="28" t="str">
        <f t="shared" ref="D15:D18" si="2">LOWER(LEFT(B15,1))&amp;RIGHT(B15,LEN(B15) - 1)</f>
        <v>code</v>
      </c>
      <c r="E15" s="28" t="str">
        <f>A.Backend!H9</f>
        <v>string</v>
      </c>
      <c r="F15" s="28" t="str">
        <f>A.Backend!G9</f>
        <v>4</v>
      </c>
      <c r="G15" s="28" t="str">
        <f t="shared" ref="G15:G18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8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8" si="8">IF(AND(E15="string",F15="1"),D15,"")</f>
        <v/>
      </c>
    </row>
    <row r="16" spans="1:22" ht="18" customHeight="1" x14ac:dyDescent="0.25">
      <c r="A16" s="28" t="s">
        <v>354</v>
      </c>
      <c r="B16" s="28" t="str">
        <f t="shared" ref="B16:B17" si="9">SUBSTITUTE(PROPER(A16),"_","")</f>
        <v>Name</v>
      </c>
      <c r="C16" s="28" t="str">
        <f t="shared" ref="C16:C17" si="10">SUBSTITUTE(PROPER(A16),"_"," ")</f>
        <v>Name</v>
      </c>
      <c r="D16" s="28" t="str">
        <f t="shared" ref="D16:D17" si="11">LOWER(LEFT(B16,1))&amp;RIGHT(B16,LEN(B16) - 1)</f>
        <v>name</v>
      </c>
      <c r="E16" s="28" t="str">
        <f>A.Backend!H10</f>
        <v>string</v>
      </c>
      <c r="F16" s="28" t="str">
        <f>A.Backend!G10</f>
        <v>25</v>
      </c>
      <c r="G16" s="28" t="str">
        <f t="shared" ref="G16:G17" si="12">IF(E16="string"," : string = '' ; ",IF(OR(E16="DateTime",E16="TimeSpan")," : any ;",IF(E16="int"," : number = 0 ;","")))</f>
        <v xml:space="preserve"> : string = '' ; </v>
      </c>
      <c r="H16" s="35" t="str">
        <f t="shared" ref="H16:H17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 t="shared" ref="I16:I17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:K17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:L17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7">REPT(CHAR(9),1)&amp;D16&amp;G16</f>
        <v xml:space="preserve">	name : string = '' ; </v>
      </c>
      <c r="T16" s="28" t="str">
        <f t="shared" ref="T16:T17" si="18">REPT(CHAR(9),3)&amp;"this."&amp;D16&amp;","</f>
        <v xml:space="preserve">			this.name,</v>
      </c>
      <c r="U16" s="28" t="str">
        <f t="shared" ref="U16:U17" si="19">IF(E16="int",REPT(CHAR(9),2)&amp;"this."&amp;D16&amp;" = 0,",REPT(CHAR(9),2)&amp;"this."&amp;D16&amp;" = '',")</f>
        <v xml:space="preserve">		this.name = '',</v>
      </c>
      <c r="V16" s="28" t="str">
        <f t="shared" ref="V16:V17" si="20">IF(AND(E16="string",F16="1"),D16,"")</f>
        <v/>
      </c>
    </row>
    <row r="17" spans="1:22" ht="18" customHeight="1" x14ac:dyDescent="0.25">
      <c r="A17" s="28" t="s">
        <v>364</v>
      </c>
      <c r="B17" s="28" t="str">
        <f t="shared" si="9"/>
        <v>BsAccount</v>
      </c>
      <c r="C17" s="28" t="str">
        <f t="shared" si="10"/>
        <v>Bs Account</v>
      </c>
      <c r="D17" s="28" t="str">
        <f t="shared" si="11"/>
        <v>bsAccount</v>
      </c>
      <c r="E17" s="28" t="str">
        <f>A.Backend!H11</f>
        <v>string</v>
      </c>
      <c r="F17" s="28" t="str">
        <f>A.Backend!G11</f>
        <v>25</v>
      </c>
      <c r="G17" s="28" t="str">
        <f t="shared" si="12"/>
        <v xml:space="preserve"> : string = '' ; </v>
      </c>
      <c r="H17" s="35" t="str">
        <f t="shared" si="13"/>
        <v xml:space="preserve">			{headerName: this.l('Bs Account'),headerTooltip: this.l('Bs Account'),field: 'bsAccount',flex: 1},</v>
      </c>
      <c r="I17" s="35" t="str">
        <f t="shared" si="14"/>
        <v xml:space="preserve">								&lt;div class='input-search'&gt;
									&lt;input [(ngModel)]='bsAccount' name='bsAccount'
									class='form-control' [placeholder]="l('Bs Account')"
									type='text' (keyup.enter)='searchDatas()'&gt;
								&lt;/div&gt;</v>
      </c>
      <c r="J17" s="28"/>
      <c r="K17" s="35" t="str">
        <f t="shared" si="15"/>
        <v xml:space="preserve">					&lt;div class='col-md-12 form-group row'&gt;
						&lt;label class='col-md-2 form-control title'&gt;Bs Account&lt;/label&gt;
						&lt;input type='text' class='col-md-10 form-control input-text' name='BsAccount' [(ngModel)]='rowdata.bsAccount'&gt;
					&lt;/div&gt;</v>
      </c>
      <c r="L17" s="56" t="str">
        <f t="shared" si="16"/>
        <v/>
      </c>
      <c r="M17" s="28"/>
      <c r="N17" s="28"/>
      <c r="O17" s="28"/>
      <c r="P17" s="28"/>
      <c r="Q17" s="28"/>
      <c r="R17" s="28"/>
      <c r="S17" s="28" t="str">
        <f t="shared" si="17"/>
        <v xml:space="preserve">	bsAccount : string = '' ; </v>
      </c>
      <c r="T17" s="28" t="str">
        <f t="shared" si="18"/>
        <v xml:space="preserve">			this.bsAccount,</v>
      </c>
      <c r="U17" s="28" t="str">
        <f t="shared" si="19"/>
        <v xml:space="preserve">		this.bsAccount = '',</v>
      </c>
      <c r="V17" s="28" t="str">
        <f t="shared" si="20"/>
        <v/>
      </c>
    </row>
    <row r="18" spans="1:22" ht="18" customHeight="1" x14ac:dyDescent="0.25">
      <c r="A18" s="28" t="s">
        <v>365</v>
      </c>
      <c r="B18" s="28" t="str">
        <f t="shared" si="0"/>
        <v>BsAccountDescription</v>
      </c>
      <c r="C18" s="28" t="str">
        <f t="shared" si="1"/>
        <v>Bs Account Description</v>
      </c>
      <c r="D18" s="28" t="str">
        <f t="shared" si="2"/>
        <v>bsAccountDescription</v>
      </c>
      <c r="E18" s="28" t="str">
        <f>A.Backend!H12</f>
        <v>string</v>
      </c>
      <c r="F18" s="28" t="str">
        <f>A.Backend!G12</f>
        <v>200</v>
      </c>
      <c r="G18" s="28" t="str">
        <f t="shared" si="3"/>
        <v xml:space="preserve"> : string = '' ; </v>
      </c>
      <c r="H18" s="35" t="str">
        <f t="shared" si="4"/>
        <v xml:space="preserve">			{headerName: this.l('Bs Account Description'),headerTooltip: this.l('Bs Account Description'),field: 'bsAccountDescription',flex: 1},</v>
      </c>
      <c r="I18" s="35" t="str">
        <f t="shared" si="5"/>
        <v xml:space="preserve">								&lt;div class='input-search'&gt;
									&lt;input [(ngModel)]='bsAccountDescription' name='bsAccountDescription'
									class='form-control' [placeholder]="l('Bs Account Description')"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title'&gt;Bs Account Description&lt;/label&gt;
						&lt;input type='text' class='col-md-10 form-control input-text' name='BsAccountDescription' [(ngModel)]='rowdata.bsAccountDescription'&gt;
					&lt;/div&gt;</v>
      </c>
      <c r="L18" s="56" t="str">
        <f t="shared" si="7"/>
        <v/>
      </c>
      <c r="M18" s="28"/>
      <c r="N18" s="28"/>
      <c r="O18" s="28"/>
      <c r="P18" s="28"/>
      <c r="Q18" s="28"/>
      <c r="R18" s="28"/>
      <c r="S18" s="28" t="str">
        <f t="shared" ref="S18" si="21">REPT(CHAR(9),1)&amp;D18&amp;G18</f>
        <v xml:space="preserve">	bsAccountDescription : string = '' ; </v>
      </c>
      <c r="T18" s="28" t="str">
        <f t="shared" ref="T18" si="22">REPT(CHAR(9),3)&amp;"this."&amp;D18&amp;","</f>
        <v xml:space="preserve">			this.bsAccountDescription,</v>
      </c>
      <c r="U18" s="28" t="str">
        <f t="shared" ref="U18" si="23">IF(E18="int",REPT(CHAR(9),2)&amp;"this."&amp;D18&amp;" = 0,",REPT(CHAR(9),2)&amp;"this."&amp;D18&amp;" = '',")</f>
        <v xml:space="preserve">		this.bsAccountDescription = '',</v>
      </c>
      <c r="V18" s="28" t="str">
        <f t="shared" si="8"/>
        <v/>
      </c>
    </row>
    <row r="19" spans="1:22" ht="18" customHeight="1" x14ac:dyDescent="0.25">
      <c r="A19" s="28" t="s">
        <v>324</v>
      </c>
      <c r="B19" s="28" t="str">
        <f t="shared" ref="B19" si="24">SUBSTITUTE(PROPER(A19),"_","")</f>
        <v>IsActive</v>
      </c>
      <c r="C19" s="28" t="str">
        <f t="shared" ref="C19" si="25">SUBSTITUTE(PROPER(A19),"_"," ")</f>
        <v>Is Active</v>
      </c>
      <c r="D19" s="28" t="str">
        <f t="shared" ref="D19" si="26">LOWER(LEFT(B19,1))&amp;RIGHT(B19,LEN(B19) - 1)</f>
        <v>isActive</v>
      </c>
      <c r="E19" s="28" t="str">
        <f>A.Backend!H13</f>
        <v>string</v>
      </c>
      <c r="F19" s="28" t="str">
        <f>A.Backend!G13</f>
        <v>1</v>
      </c>
      <c r="G19" s="28" t="str">
        <f t="shared" ref="G19" si="27">IF(E19="string"," : string = '' ; ",IF(OR(E19="DateTime",E19="TimeSpan")," : any ;",IF(E19="int"," : number = 0 ;","")))</f>
        <v xml:space="preserve"> : string = '' ; </v>
      </c>
      <c r="H19" s="35" t="str">
        <f t="shared" ref="H19" si="28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5" t="str">
        <f t="shared" ref="I19" si="29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9" s="28"/>
      <c r="K19" s="35" t="str">
        <f t="shared" ref="K19" si="30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56" t="str">
        <f t="shared" ref="L19" si="31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ref="S19" si="32">REPT(CHAR(9),1)&amp;D19&amp;G19</f>
        <v xml:space="preserve">	isActive : string = '' ; </v>
      </c>
      <c r="T19" s="28" t="str">
        <f t="shared" ref="T19" si="33">REPT(CHAR(9),3)&amp;"this."&amp;D19&amp;","</f>
        <v xml:space="preserve">			this.isActive,</v>
      </c>
      <c r="U19" s="28" t="str">
        <f t="shared" ref="U19" si="34">IF(E19="int",REPT(CHAR(9),2)&amp;"this."&amp;D19&amp;" = 0,",REPT(CHAR(9),2)&amp;"this."&amp;D19&amp;" = '',")</f>
        <v xml:space="preserve">		this.isActive = '',</v>
      </c>
      <c r="V19" s="28" t="str">
        <f t="shared" ref="V19" si="35">IF(AND(E19="string",F19="1"),D19,"")</f>
        <v>isActive</v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B28" sqref="B2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8"/>
  <sheetViews>
    <sheetView workbookViewId="0">
      <selection activeCell="A2" sqref="A2:F2"/>
    </sheetView>
  </sheetViews>
  <sheetFormatPr defaultRowHeight="15" x14ac:dyDescent="0.25"/>
  <cols>
    <col min="1" max="41" width="3.140625" customWidth="1"/>
  </cols>
  <sheetData>
    <row r="1" spans="1:41" ht="16.5" customHeight="1" x14ac:dyDescent="0.25">
      <c r="A1" s="68" t="s">
        <v>368</v>
      </c>
      <c r="B1" s="69"/>
      <c r="C1" s="69"/>
      <c r="D1" s="69"/>
      <c r="E1" s="69"/>
      <c r="F1" s="70"/>
      <c r="G1" s="71" t="s">
        <v>361</v>
      </c>
      <c r="H1" s="72"/>
      <c r="I1" s="72"/>
      <c r="J1" s="72"/>
      <c r="K1" s="72"/>
      <c r="L1" s="72"/>
      <c r="M1" s="72"/>
      <c r="N1" s="72"/>
      <c r="O1" s="72"/>
      <c r="P1" s="73"/>
      <c r="Q1" s="68" t="s">
        <v>369</v>
      </c>
      <c r="R1" s="69"/>
      <c r="S1" s="69"/>
      <c r="T1" s="69"/>
      <c r="U1" s="69"/>
      <c r="V1" s="74"/>
      <c r="W1" s="75" t="s">
        <v>370</v>
      </c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</row>
    <row r="2" spans="1:41" ht="16.5" customHeight="1" x14ac:dyDescent="0.25">
      <c r="A2" s="77">
        <v>1000</v>
      </c>
      <c r="B2" s="78"/>
      <c r="C2" s="78"/>
      <c r="D2" s="78"/>
      <c r="E2" s="78"/>
      <c r="F2" s="79"/>
      <c r="G2" s="80" t="s">
        <v>371</v>
      </c>
      <c r="H2" s="81"/>
      <c r="I2" s="81"/>
      <c r="J2" s="81"/>
      <c r="K2" s="81"/>
      <c r="L2" s="81"/>
      <c r="M2" s="81"/>
      <c r="N2" s="81"/>
      <c r="O2" s="81"/>
      <c r="P2" s="82"/>
      <c r="Q2" s="83">
        <v>1130100001</v>
      </c>
      <c r="R2" s="84"/>
      <c r="S2" s="84"/>
      <c r="T2" s="84"/>
      <c r="U2" s="84"/>
      <c r="V2" s="85"/>
      <c r="W2" s="86" t="s">
        <v>372</v>
      </c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</row>
    <row r="3" spans="1:41" ht="16.5" customHeight="1" x14ac:dyDescent="0.25">
      <c r="A3" s="77">
        <v>1001</v>
      </c>
      <c r="B3" s="78"/>
      <c r="C3" s="78"/>
      <c r="D3" s="78"/>
      <c r="E3" s="78"/>
      <c r="F3" s="79"/>
      <c r="G3" s="80" t="s">
        <v>373</v>
      </c>
      <c r="H3" s="81"/>
      <c r="I3" s="81"/>
      <c r="J3" s="81"/>
      <c r="K3" s="81"/>
      <c r="L3" s="81"/>
      <c r="M3" s="81"/>
      <c r="N3" s="81"/>
      <c r="O3" s="81"/>
      <c r="P3" s="82"/>
      <c r="Q3" s="83">
        <v>1130100001</v>
      </c>
      <c r="R3" s="84"/>
      <c r="S3" s="84"/>
      <c r="T3" s="84"/>
      <c r="U3" s="84"/>
      <c r="V3" s="85"/>
      <c r="W3" s="86" t="s">
        <v>372</v>
      </c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</row>
    <row r="4" spans="1:41" ht="16.5" customHeight="1" x14ac:dyDescent="0.25">
      <c r="A4" s="77">
        <v>1003</v>
      </c>
      <c r="B4" s="78"/>
      <c r="C4" s="78"/>
      <c r="D4" s="78"/>
      <c r="E4" s="78"/>
      <c r="F4" s="79"/>
      <c r="G4" s="80" t="s">
        <v>374</v>
      </c>
      <c r="H4" s="81"/>
      <c r="I4" s="81"/>
      <c r="J4" s="81"/>
      <c r="K4" s="81"/>
      <c r="L4" s="81"/>
      <c r="M4" s="81"/>
      <c r="N4" s="81"/>
      <c r="O4" s="81"/>
      <c r="P4" s="82"/>
      <c r="Q4" s="88">
        <v>1130100001</v>
      </c>
      <c r="R4" s="78"/>
      <c r="S4" s="78"/>
      <c r="T4" s="78"/>
      <c r="U4" s="78"/>
      <c r="V4" s="79"/>
      <c r="W4" s="89" t="s">
        <v>375</v>
      </c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</row>
    <row r="5" spans="1:41" ht="16.5" customHeight="1" x14ac:dyDescent="0.25">
      <c r="A5" s="77">
        <v>2000</v>
      </c>
      <c r="B5" s="78"/>
      <c r="C5" s="78"/>
      <c r="D5" s="78"/>
      <c r="E5" s="78"/>
      <c r="F5" s="79"/>
      <c r="G5" s="80" t="s">
        <v>376</v>
      </c>
      <c r="H5" s="81"/>
      <c r="I5" s="81"/>
      <c r="J5" s="81"/>
      <c r="K5" s="81"/>
      <c r="L5" s="81"/>
      <c r="M5" s="81"/>
      <c r="N5" s="81"/>
      <c r="O5" s="81"/>
      <c r="P5" s="82"/>
      <c r="Q5" s="88">
        <v>1130940001</v>
      </c>
      <c r="R5" s="78"/>
      <c r="S5" s="78"/>
      <c r="T5" s="78"/>
      <c r="U5" s="78"/>
      <c r="V5" s="79"/>
      <c r="W5" s="89" t="s">
        <v>377</v>
      </c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</row>
    <row r="6" spans="1:41" ht="16.5" customHeight="1" x14ac:dyDescent="0.25">
      <c r="A6" s="77">
        <v>3000</v>
      </c>
      <c r="B6" s="78"/>
      <c r="C6" s="78"/>
      <c r="D6" s="78"/>
      <c r="E6" s="78"/>
      <c r="F6" s="79"/>
      <c r="G6" s="80" t="s">
        <v>378</v>
      </c>
      <c r="H6" s="81"/>
      <c r="I6" s="81"/>
      <c r="J6" s="81"/>
      <c r="K6" s="81"/>
      <c r="L6" s="81"/>
      <c r="M6" s="81"/>
      <c r="N6" s="81"/>
      <c r="O6" s="81"/>
      <c r="P6" s="82"/>
      <c r="Q6" s="83">
        <v>1131040001</v>
      </c>
      <c r="R6" s="84"/>
      <c r="S6" s="84"/>
      <c r="T6" s="84"/>
      <c r="U6" s="84"/>
      <c r="V6" s="85"/>
      <c r="W6" s="86" t="s">
        <v>379</v>
      </c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</row>
    <row r="7" spans="1:41" ht="16.5" customHeight="1" x14ac:dyDescent="0.25">
      <c r="A7" s="77">
        <v>3001</v>
      </c>
      <c r="B7" s="78"/>
      <c r="C7" s="78"/>
      <c r="D7" s="78"/>
      <c r="E7" s="78"/>
      <c r="F7" s="79"/>
      <c r="G7" s="80" t="s">
        <v>380</v>
      </c>
      <c r="H7" s="81"/>
      <c r="I7" s="81"/>
      <c r="J7" s="81"/>
      <c r="K7" s="81"/>
      <c r="L7" s="81"/>
      <c r="M7" s="81"/>
      <c r="N7" s="81"/>
      <c r="O7" s="81"/>
      <c r="P7" s="82"/>
      <c r="Q7" s="83">
        <v>1131040001</v>
      </c>
      <c r="R7" s="84"/>
      <c r="S7" s="84"/>
      <c r="T7" s="84"/>
      <c r="U7" s="84"/>
      <c r="V7" s="85"/>
      <c r="W7" s="86" t="s">
        <v>379</v>
      </c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</row>
    <row r="8" spans="1:41" ht="16.5" customHeight="1" x14ac:dyDescent="0.25">
      <c r="A8" s="77" t="s">
        <v>381</v>
      </c>
      <c r="B8" s="78"/>
      <c r="C8" s="78"/>
      <c r="D8" s="78"/>
      <c r="E8" s="78"/>
      <c r="F8" s="79"/>
      <c r="G8" s="80" t="s">
        <v>382</v>
      </c>
      <c r="H8" s="81"/>
      <c r="I8" s="81"/>
      <c r="J8" s="81"/>
      <c r="K8" s="81"/>
      <c r="L8" s="81"/>
      <c r="M8" s="81"/>
      <c r="N8" s="81"/>
      <c r="O8" s="81"/>
      <c r="P8" s="82"/>
      <c r="Q8" s="83" t="s">
        <v>383</v>
      </c>
      <c r="R8" s="84"/>
      <c r="S8" s="84"/>
      <c r="T8" s="84"/>
      <c r="U8" s="84"/>
      <c r="V8" s="85"/>
      <c r="W8" s="86" t="s">
        <v>384</v>
      </c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</row>
  </sheetData>
  <mergeCells count="32">
    <mergeCell ref="A7:F7"/>
    <mergeCell ref="G7:P7"/>
    <mergeCell ref="Q7:V7"/>
    <mergeCell ref="W7:AO7"/>
    <mergeCell ref="A8:F8"/>
    <mergeCell ref="G8:P8"/>
    <mergeCell ref="Q8:V8"/>
    <mergeCell ref="W8:AO8"/>
    <mergeCell ref="A5:F5"/>
    <mergeCell ref="G5:P5"/>
    <mergeCell ref="Q5:V5"/>
    <mergeCell ref="W5:AO5"/>
    <mergeCell ref="A6:F6"/>
    <mergeCell ref="G6:P6"/>
    <mergeCell ref="Q6:V6"/>
    <mergeCell ref="W6:AO6"/>
    <mergeCell ref="A4:F4"/>
    <mergeCell ref="G4:P4"/>
    <mergeCell ref="Q4:V4"/>
    <mergeCell ref="W4:AO4"/>
    <mergeCell ref="W2:AO2"/>
    <mergeCell ref="A3:F3"/>
    <mergeCell ref="G3:P3"/>
    <mergeCell ref="Q3:V3"/>
    <mergeCell ref="W3:AO3"/>
    <mergeCell ref="A1:F1"/>
    <mergeCell ref="G1:P1"/>
    <mergeCell ref="Q1:V1"/>
    <mergeCell ref="A2:F2"/>
    <mergeCell ref="G2:P2"/>
    <mergeCell ref="Q2:V2"/>
    <mergeCell ref="W1:AO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2023-06-10T05:32:17Z</dcterms:modified>
</cp:coreProperties>
</file>
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-120" yWindow="-120" windowWidth="30960" windowHeight="158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G19" i="5"/>
  <c r="V19" i="5"/>
  <c r="C19" i="5"/>
  <c r="B19" i="5"/>
  <c r="D19" i="5" s="1"/>
  <c r="C18" i="5"/>
  <c r="B18" i="5"/>
  <c r="D18" i="5" s="1"/>
  <c r="L17" i="5"/>
  <c r="C17" i="5"/>
  <c r="B17" i="5"/>
  <c r="D17" i="5" s="1"/>
  <c r="L13" i="1"/>
  <c r="G13" i="1"/>
  <c r="E13" i="1"/>
  <c r="H13" i="1" s="1"/>
  <c r="D13" i="1"/>
  <c r="V13" i="1" s="1"/>
  <c r="L12" i="1"/>
  <c r="H12" i="1"/>
  <c r="M12" i="1" s="1"/>
  <c r="G12" i="1"/>
  <c r="E12" i="1"/>
  <c r="D12" i="1"/>
  <c r="T12" i="1" s="1"/>
  <c r="L11" i="1"/>
  <c r="G11" i="1"/>
  <c r="E11" i="1"/>
  <c r="H11" i="1" s="1"/>
  <c r="D11" i="1"/>
  <c r="V11" i="1" s="1"/>
  <c r="V18" i="5" l="1"/>
  <c r="I19" i="5"/>
  <c r="I17" i="5"/>
  <c r="G17" i="5"/>
  <c r="S17" i="5" s="1"/>
  <c r="L19" i="5"/>
  <c r="U19" i="5"/>
  <c r="T19" i="5"/>
  <c r="S19" i="5"/>
  <c r="H18" i="5"/>
  <c r="K19" i="5"/>
  <c r="I18" i="5"/>
  <c r="T18" i="5"/>
  <c r="K18" i="5"/>
  <c r="U18" i="5"/>
  <c r="H19" i="5"/>
  <c r="H17" i="5"/>
  <c r="G18" i="5"/>
  <c r="S18" i="5" s="1"/>
  <c r="L18" i="5"/>
  <c r="K17" i="5"/>
  <c r="T17" i="5"/>
  <c r="U17" i="5"/>
  <c r="V17" i="5"/>
  <c r="W13" i="1"/>
  <c r="O13" i="1"/>
  <c r="J13" i="1"/>
  <c r="N13" i="1"/>
  <c r="I13" i="1"/>
  <c r="M13" i="1"/>
  <c r="N12" i="1"/>
  <c r="V12" i="1"/>
  <c r="P13" i="1"/>
  <c r="J12" i="1"/>
  <c r="O12" i="1"/>
  <c r="W12" i="1"/>
  <c r="T13" i="1"/>
  <c r="I12" i="1"/>
  <c r="P12" i="1"/>
  <c r="W11" i="1"/>
  <c r="O11" i="1"/>
  <c r="J11" i="1"/>
  <c r="N11" i="1"/>
  <c r="M11" i="1"/>
  <c r="I11" i="1"/>
  <c r="P11" i="1"/>
  <c r="T11" i="1"/>
  <c r="B6" i="1"/>
  <c r="C16" i="5" l="1"/>
  <c r="B16" i="5"/>
  <c r="D16" i="5" s="1"/>
  <c r="C15" i="5"/>
  <c r="B15" i="5"/>
  <c r="D15" i="5" s="1"/>
  <c r="T15" i="5" s="1"/>
  <c r="T16" i="5" l="1"/>
  <c r="C20" i="5" l="1"/>
  <c r="B20" i="5"/>
  <c r="D20" i="5" s="1"/>
  <c r="G14" i="1"/>
  <c r="E14" i="1"/>
  <c r="H14" i="1" s="1"/>
  <c r="D14" i="1"/>
  <c r="V14" i="1" s="1"/>
  <c r="V20" i="5" l="1"/>
  <c r="H20" i="5"/>
  <c r="T20" i="5"/>
  <c r="K20" i="5"/>
  <c r="W14" i="1"/>
  <c r="J14" i="1"/>
  <c r="I14" i="1"/>
  <c r="O14" i="1"/>
  <c r="N14" i="1"/>
  <c r="M14" i="1"/>
  <c r="P14" i="1"/>
  <c r="T14" i="1"/>
  <c r="G9" i="1"/>
  <c r="F15" i="5" s="1"/>
  <c r="E9" i="1"/>
  <c r="H9" i="1" s="1"/>
  <c r="E15" i="5" s="1"/>
  <c r="D9" i="1"/>
  <c r="V9" i="1" s="1"/>
  <c r="I20" i="5" l="1"/>
  <c r="G20" i="5"/>
  <c r="S20" i="5" s="1"/>
  <c r="U20" i="5"/>
  <c r="L20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H13" i="5"/>
  <c r="S13" i="5"/>
  <c r="V13" i="5"/>
  <c r="I13" i="5"/>
  <c r="K13" i="5"/>
  <c r="U13" i="5"/>
  <c r="L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s="1"/>
  <c r="L9" i="1" l="1"/>
  <c r="L10" i="1"/>
  <c r="C7" i="1"/>
  <c r="P16" i="1"/>
  <c r="N16" i="1"/>
  <c r="I16" i="1"/>
  <c r="J16" i="1"/>
  <c r="O16" i="1"/>
  <c r="Q7" i="1" l="1"/>
  <c r="M68" i="3" s="1"/>
  <c r="L7" i="1"/>
  <c r="G68" i="3" s="1"/>
  <c r="K68" i="3"/>
  <c r="J68" i="3"/>
  <c r="K16" i="1"/>
  <c r="M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<sst xmlns="http://schemas.openxmlformats.org/spreadsheetml/2006/main" count="457" uniqueCount="367">
  <si>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</si>
  <si>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</si>
  <si>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</si>
  <si>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</si>
  <si>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</si>
  <si>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</si>
  <si>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</si>
  <si>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</si>
  <si>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</si>
  <si>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</si>
  <si>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</si>
  <si>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</si>
  <si>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</si>
  <si>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</si>
  <si>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</si>
  <si>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</si>
  <si>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</si>
  <si>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</si>
  <si>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</si>
  <si>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</si>
  <si>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</si>
  <si>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</si>
  <si>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</si>
  <si>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</si>
  <si>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</si>
  <si>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</si>
  <si>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</si>
  <si>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</si>
  <si>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</si>
  <si>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</si>
  <si>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</si>
  <si>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</si>
  <si>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</si>
  <si>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</si>
  <si>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</si>
  <si>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</si>
  <si>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</si>
  <si>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</si>
  <si>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</si>
  <si>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</si>
  <si>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</si>
  <si>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</si>
  <si>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</si>
  <si>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</si>
  <si>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</si>
  <si>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</si>
  <si>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</si>
  <si>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</si>
  <si>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</si>
  <si>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</si>
  <si>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</si>
  <si>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</si>
  <si>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</si>
  <si>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</si>
  <si>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</si>
  <si>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</si>
  <si>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</si>
  <si>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</si>
  <si>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</si>
  <si>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</si>
  <si>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</si>
  <si>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</si>
  <si>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</si>
  <si>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</si>
  <si>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</si>
  <si>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</si>
  <si>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</si>
  <si>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</si>
  <si>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</si>
  <si>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</si>
  <si>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</si>
  <si>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</si>
  <si>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</si>
  <si>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</si>
  <si>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</si>
  <si>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</si>
  <si>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</si>
  <si>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</si>
  <si>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</si>
  <si>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</si>
  <si>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</si>
  <si>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</si>
  <si>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</si>
  <si>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</si>
  <si>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</si>
  <si>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</si>
  <si>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</si>
  <si>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</si>
  <si>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</si>
  <si>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</si>
  <si>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</si>
  <si>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</si>
  <si>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</si>
  <si>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</si>
  <si>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</si>
  <si>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</si>
  <si>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</si>
  <si>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</si>
  <si>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</si>
  <si>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</si>
  <si>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</si>
  <si>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</si>
  <si>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</si>
  <si>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</si>
  <si>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</si>
  <si>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</si>
  <si>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</si>
  <si>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</si>
  <si>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</si>
  <si>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</si>
  <si>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</si>
  <si>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</si>
  <si>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</si>
  <si>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</si>
  <si>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</si>
  <si>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</si>
  <si>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</si>
  <si>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</si>
  <si>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</si>
  <si>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</si>
  <si>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</si>
  <si>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</si>
  <si>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</si>
  <si>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</si>
  <si>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</si>
  <si>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</si>
  <si>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</si>
  <si>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</si>
  <si>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</si>
  <si>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</si>
  <si>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</si>
  <si>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</si>
  <si>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</si>
  <si>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</si>
  <si>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</si>
  <si>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</si>
  <si>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</si>
  <si>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</si>
  <si>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</si>
  <si>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</si>
  <si>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</si>
  <si>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</si>
  <si>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</si>
  <si>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</si>
  <si>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</si>
  <si>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</si>
  <si>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</si>
  <si>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</si>
  <si>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</si>
  <si>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</si>
  <si>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</si>
  <si>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</si>
  <si>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</si>
  <si>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</si>
  <si>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</si>
  <si>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</si>
  <si>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</si>
  <si>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</si>
  <si>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</si>
  <si>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</si>
  <si>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</si>
  <si>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</si>
  <si>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</si>
  <si>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</si>
  <si>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</si>
  <si>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</si>
  <si>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</si>
  <si>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</si>
  <si>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</si>
  <si>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</si>
  <si>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</si>
  <si>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</si>
  <si>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</si>
  <si>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</si>
  <si>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</si>
  <si>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</si>
  <si>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</si>
  <si>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</si>
  <si>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</si>
  <si>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</si>
  <si>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</si>
  <si>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</si>
  <si>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</si>
  <si>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</si>
  <si>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</si>
  <si>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</si>
  <si>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</si>
  <si>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</si>
  <si>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</si>
  <si>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</si>
  <si>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</si>
  <si>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</si>
  <si>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</si>
  <si>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</si>
  <si>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</si>
  <si>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</si>
  <si>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</si>
  <si>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</si>
  <si>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</si>
  <si>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</si>
  <si>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</si>
  <si>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</si>
  <si>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</si>
  <si>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</si>
  <si>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</si>
  <si>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</si>
  <si>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</si>
  <si>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</si>
  <si>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</si>
  <si>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</si>
  <si>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</si>
  <si>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</si>
  <si>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</si>
  <si>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</si>
  <si>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</si>
  <si>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</si>
  <si>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</si>
  <si>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</si>
  <si>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</si>
  <si>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</si>
  <si>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</si>
  <si>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</si>
  <si>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</si>
  <si>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</si>
  <si>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</si>
  <si>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</si>
  <si>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</si>
  <si>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</si>
  <si>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</si>
  <si>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</si>
  <si>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</si>
  <si>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</si>
  <si>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</si>
  <si>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</si>
  <si>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</si>
  <si>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</si>
  <si>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</si>
  <si>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</si>
  <si>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</si>
  <si>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</si>
  <si>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</si>
  <si>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</si>
  <si>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</si>
  <si>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</si>
  <si>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</si>
  <si>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</si>
  <si>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</si>
  <si>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</si>
  <si>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</si>
  <si>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</si>
  <si>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</si>
  <si>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</si>
  <si>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</si>
  <si>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</si>
  <si>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</si>
  <si>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</si>
  <si>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</si>
  <si>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</si>
  <si>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</si>
  <si>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</si>
  <si>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</si>
  <si>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</si>
  <si>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</si>
  <si>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</si>
  <si>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</si>
  <si>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</si>
  <si>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</si>
  <si>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</si>
  <si>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</si>
  <si>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</si>
  <si>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</si>
  <si>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</si>
  <si>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</si>
  <si>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</si>
  <si>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</si>
  <si>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</si>
  <si>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</si>
  <si>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</si>
  <si>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</si>
  <si>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</si>
  <si>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</si>
  <si>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</si>
  <si>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</si>
  <si>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</si>
  <si>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</si>
  <si>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</si>
  <si>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</si>
  <si>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</si>
  <si>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</si>
  <si>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</si>
  <si>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</si>
  <si>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</si>
  <si>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</si>
  <si>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</si>
  <si>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</si>
  <si>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</si>
  <si>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</si>
  <si>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</si>
  <si>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</si>
  <si>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</si>
  <si>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</si>
  <si>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</si>
  <si>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</si>
  <si>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</si>
  <si>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</si>
  <si>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</si>
  <si>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</si>
  <si>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</si>
  <si>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</si>
  <si>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</si>
  <si>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</si>
  <si>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</si>
  <si>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</si>
  <si>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</si>
  <si>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</si>
  <si>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</si>
  <si>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</si>
  <si>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</si>
  <si>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</si>
  <si>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</si>
  <si>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</si>
  <si>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</si>
  <si>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</si>
  <si>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</si>
  <si>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</si>
  <si>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</si>
  <si>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</si>
  <si>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</si>
  <si>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</si>
  <si>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</si>
  <si>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</si>
  <si>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</si>
  <si>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</si>
  <si>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</si>
  <si>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</si>
  <si>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</si>
  <si>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</si>
  <si>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</si>
  <si>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</si>
  <si>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</si>
  <si>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</si>
  <si>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</si>
  <si>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</si>
  <si>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</si>
  <si>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</si>
  <si>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</si>
  <si>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</si>
  <si>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</si>
  <si>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</si>
  <si>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</si>
  <si>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</si>
  <si>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</si>
  <si>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</si>
  <si>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</si>
  <si>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</si>
  <si>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nvarchar(1)</t>
  </si>
  <si>
    <t>Organization Plant</t>
  </si>
  <si>
    <t>PLANT_CODE</t>
  </si>
  <si>
    <t>PLANT_NAME</t>
  </si>
  <si>
    <t>nvarchar(4)</t>
  </si>
  <si>
    <t>nvarchar(30)</t>
  </si>
  <si>
    <t>BRANCH_NO</t>
  </si>
  <si>
    <t>ADDRESS_LANGUAGE_VN</t>
  </si>
  <si>
    <t>ADDRESS_LANGUAGE_EN</t>
  </si>
  <si>
    <t>nvarchar(200)</t>
  </si>
  <si>
    <t>Plant</t>
  </si>
  <si>
    <t>MstCmmPlant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</si>
</sst>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E48" sqref="E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74</v>
      </c>
    </row>
    <row r="2" spans="1:7" ht="15.75" x14ac:dyDescent="0.25">
      <c r="A2" s="1"/>
      <c r="B2" s="25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t="s">
        <v>76</v>
      </c>
    </row>
    <row r="5" spans="1:7" x14ac:dyDescent="0.25">
      <c r="A5" s="1"/>
      <c r="B5" t="s">
        <v>79</v>
      </c>
    </row>
    <row r="6" spans="1:7" x14ac:dyDescent="0.25">
      <c r="A6" s="1"/>
      <c r="B6" t="s">
        <v>87</v>
      </c>
    </row>
    <row r="7" spans="1:7" x14ac:dyDescent="0.25">
      <c r="A7" s="1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C8" t="s">
        <v>89</v>
      </c>
      <c r="F8" s="1" t="s">
        <v>234</v>
      </c>
      <c r="G8" t="s">
        <v>234</v>
      </c>
    </row>
    <row r="9" spans="1:7" x14ac:dyDescent="0.25">
      <c r="A9" s="1"/>
      <c r="C9" t="s">
        <v>88</v>
      </c>
      <c r="F9" s="1" t="s">
        <v>98</v>
      </c>
      <c r="G9" t="s">
        <v>98</v>
      </c>
    </row>
    <row r="10" spans="1:7" x14ac:dyDescent="0.25">
      <c r="A10" s="1"/>
      <c r="D10" t="s">
        <v>89</v>
      </c>
      <c r="F10" s="1" t="s">
        <v>234</v>
      </c>
      <c r="G10" t="s">
        <v>286</v>
      </c>
    </row>
    <row r="11" spans="1:7" x14ac:dyDescent="0.25">
      <c r="A11" s="1"/>
      <c r="D11" t="s">
        <v>90</v>
      </c>
      <c r="F11" s="1" t="s">
        <v>99</v>
      </c>
      <c r="G11" t="s">
        <v>287</v>
      </c>
    </row>
    <row r="12" spans="1:7" x14ac:dyDescent="0.25">
      <c r="A12" s="1"/>
      <c r="D12" t="s">
        <v>91</v>
      </c>
      <c r="F12" s="1" t="s">
        <v>100</v>
      </c>
      <c r="G12" t="s">
        <v>288</v>
      </c>
    </row>
    <row r="13" spans="1:7" x14ac:dyDescent="0.25">
      <c r="A13" s="1"/>
      <c r="D13" t="s">
        <v>92</v>
      </c>
      <c r="F13" s="1" t="s">
        <v>101</v>
      </c>
      <c r="G13" t="s">
        <v>289</v>
      </c>
    </row>
    <row r="14" spans="1:7" x14ac:dyDescent="0.25">
      <c r="A14" s="1"/>
      <c r="D14" t="s">
        <v>93</v>
      </c>
      <c r="F14" s="1" t="s">
        <v>102</v>
      </c>
      <c r="G14" t="s">
        <v>290</v>
      </c>
    </row>
    <row r="15" spans="1:7" x14ac:dyDescent="0.25">
      <c r="A15" s="1"/>
      <c r="D15" t="s">
        <v>94</v>
      </c>
      <c r="F15" s="1" t="s">
        <v>103</v>
      </c>
      <c r="G15" t="s">
        <v>291</v>
      </c>
    </row>
    <row r="16" spans="1:7" ht="12" customHeight="1" x14ac:dyDescent="0.25">
      <c r="A16" s="1"/>
      <c r="D16" t="s">
        <v>271</v>
      </c>
      <c r="F16" s="1" t="s">
        <v>272</v>
      </c>
      <c r="G16" t="s">
        <v>292</v>
      </c>
    </row>
    <row r="17" spans="1:7" ht="12" customHeight="1" x14ac:dyDescent="0.25">
      <c r="A17" s="1"/>
      <c r="D17" t="s">
        <v>306</v>
      </c>
      <c r="F17" s="1" t="s">
        <v>307</v>
      </c>
      <c r="G17" t="s">
        <v>308</v>
      </c>
    </row>
    <row r="18" spans="1:7" x14ac:dyDescent="0.25">
      <c r="A18" s="1"/>
      <c r="D18" t="s">
        <v>351</v>
      </c>
      <c r="F18" s="1" t="s">
        <v>353</v>
      </c>
      <c r="G18" t="s">
        <v>352</v>
      </c>
    </row>
    <row r="19" spans="1:7" x14ac:dyDescent="0.25">
      <c r="A19" s="1"/>
      <c r="C19" t="s">
        <v>91</v>
      </c>
      <c r="F19" s="1" t="s">
        <v>100</v>
      </c>
      <c r="G19" t="s">
        <v>100</v>
      </c>
    </row>
    <row r="20" spans="1:7" x14ac:dyDescent="0.25">
      <c r="A20" s="1"/>
      <c r="D20" t="s">
        <v>95</v>
      </c>
      <c r="F20" s="1" t="s">
        <v>114</v>
      </c>
      <c r="G20" t="s">
        <v>293</v>
      </c>
    </row>
    <row r="21" spans="1:7" x14ac:dyDescent="0.25">
      <c r="A21" s="1"/>
      <c r="D21" t="s">
        <v>96</v>
      </c>
      <c r="F21" s="1" t="s">
        <v>104</v>
      </c>
      <c r="G21" t="s">
        <v>294</v>
      </c>
    </row>
    <row r="22" spans="1:7" x14ac:dyDescent="0.25">
      <c r="A22" s="1"/>
      <c r="C22" t="s">
        <v>92</v>
      </c>
      <c r="F22" s="1" t="s">
        <v>101</v>
      </c>
      <c r="G22" t="s">
        <v>101</v>
      </c>
    </row>
    <row r="23" spans="1:7" x14ac:dyDescent="0.25">
      <c r="A23" s="1"/>
      <c r="D23" t="s">
        <v>95</v>
      </c>
      <c r="F23" s="1" t="s">
        <v>114</v>
      </c>
      <c r="G23" t="s">
        <v>303</v>
      </c>
    </row>
    <row r="24" spans="1:7" x14ac:dyDescent="0.25">
      <c r="A24" s="1"/>
      <c r="C24" t="s">
        <v>90</v>
      </c>
      <c r="F24" s="1" t="s">
        <v>99</v>
      </c>
      <c r="G24" t="s">
        <v>99</v>
      </c>
    </row>
    <row r="25" spans="1:7" x14ac:dyDescent="0.25">
      <c r="A25" s="1"/>
      <c r="D25" t="s">
        <v>95</v>
      </c>
      <c r="F25" s="1" t="s">
        <v>114</v>
      </c>
      <c r="G25" t="s">
        <v>302</v>
      </c>
    </row>
    <row r="26" spans="1:7" x14ac:dyDescent="0.25">
      <c r="A26" s="1"/>
      <c r="C26" t="s">
        <v>93</v>
      </c>
      <c r="F26" s="1" t="s">
        <v>102</v>
      </c>
      <c r="G26" t="s">
        <v>102</v>
      </c>
    </row>
    <row r="27" spans="1:7" x14ac:dyDescent="0.25">
      <c r="A27" s="1"/>
      <c r="C27" t="s">
        <v>271</v>
      </c>
      <c r="F27" s="1" t="s">
        <v>272</v>
      </c>
      <c r="G27" t="s">
        <v>272</v>
      </c>
    </row>
    <row r="28" spans="1:7" x14ac:dyDescent="0.25">
      <c r="A28" s="1"/>
      <c r="D28" t="s">
        <v>273</v>
      </c>
      <c r="F28" s="1" t="s">
        <v>275</v>
      </c>
      <c r="G28" t="s">
        <v>295</v>
      </c>
    </row>
    <row r="29" spans="1:7" x14ac:dyDescent="0.25">
      <c r="A29" s="1"/>
      <c r="D29" t="s">
        <v>276</v>
      </c>
      <c r="F29" s="1" t="s">
        <v>274</v>
      </c>
      <c r="G29" t="s">
        <v>296</v>
      </c>
    </row>
    <row r="30" spans="1:7" x14ac:dyDescent="0.25">
      <c r="A30" s="1"/>
      <c r="D30" t="s">
        <v>277</v>
      </c>
      <c r="F30" s="1" t="s">
        <v>280</v>
      </c>
      <c r="G30" t="s">
        <v>297</v>
      </c>
    </row>
    <row r="31" spans="1:7" x14ac:dyDescent="0.25">
      <c r="A31" s="1"/>
      <c r="D31" t="s">
        <v>278</v>
      </c>
      <c r="F31" s="1" t="s">
        <v>281</v>
      </c>
      <c r="G31" t="s">
        <v>298</v>
      </c>
    </row>
    <row r="32" spans="1:7" x14ac:dyDescent="0.25">
      <c r="A32" s="1"/>
      <c r="D32" t="s">
        <v>279</v>
      </c>
      <c r="F32" s="1" t="s">
        <v>282</v>
      </c>
      <c r="G32" t="s">
        <v>299</v>
      </c>
    </row>
    <row r="33" spans="1:8" x14ac:dyDescent="0.25">
      <c r="A33" s="1"/>
      <c r="D33" t="s">
        <v>284</v>
      </c>
      <c r="F33" s="1" t="s">
        <v>283</v>
      </c>
      <c r="G33" t="s">
        <v>300</v>
      </c>
    </row>
    <row r="34" spans="1:8" x14ac:dyDescent="0.25">
      <c r="A34" s="1"/>
      <c r="C34" t="s">
        <v>306</v>
      </c>
      <c r="F34" s="1" t="s">
        <v>307</v>
      </c>
      <c r="G34" t="s">
        <v>307</v>
      </c>
    </row>
    <row r="35" spans="1:8" x14ac:dyDescent="0.25">
      <c r="A35" s="1"/>
      <c r="D35" t="s">
        <v>309</v>
      </c>
      <c r="F35" s="1" t="s">
        <v>310</v>
      </c>
      <c r="G35" t="s">
        <v>311</v>
      </c>
    </row>
    <row r="36" spans="1:8" x14ac:dyDescent="0.25">
      <c r="A36" s="1"/>
      <c r="D36" t="s">
        <v>96</v>
      </c>
      <c r="F36" s="1" t="s">
        <v>104</v>
      </c>
      <c r="G36" t="s">
        <v>312</v>
      </c>
    </row>
    <row r="37" spans="1:8" x14ac:dyDescent="0.25">
      <c r="A37" s="1"/>
      <c r="D37" t="s">
        <v>313</v>
      </c>
      <c r="F37" s="1" t="s">
        <v>314</v>
      </c>
      <c r="G37" t="s">
        <v>315</v>
      </c>
    </row>
    <row r="38" spans="1:8" x14ac:dyDescent="0.25">
      <c r="A38" s="1"/>
      <c r="D38" t="s">
        <v>316</v>
      </c>
      <c r="F38" s="1" t="s">
        <v>317</v>
      </c>
      <c r="G38" t="s">
        <v>318</v>
      </c>
    </row>
    <row r="39" spans="1:8" x14ac:dyDescent="0.25">
      <c r="A39" s="1"/>
      <c r="D39" t="s">
        <v>320</v>
      </c>
      <c r="F39" s="1" t="s">
        <v>321</v>
      </c>
      <c r="G39" t="s">
        <v>322</v>
      </c>
    </row>
    <row r="40" spans="1:8" x14ac:dyDescent="0.25">
      <c r="A40" s="1"/>
      <c r="C40" t="s">
        <v>319</v>
      </c>
      <c r="F40" s="1" t="s">
        <v>301</v>
      </c>
      <c r="G40" t="s">
        <v>301</v>
      </c>
    </row>
    <row r="41" spans="1:8" x14ac:dyDescent="0.25">
      <c r="A41" s="1"/>
      <c r="D41" t="s">
        <v>304</v>
      </c>
      <c r="F41" s="1" t="s">
        <v>304</v>
      </c>
      <c r="G41" t="s">
        <v>305</v>
      </c>
      <c r="H41" t="s">
        <v>323</v>
      </c>
    </row>
    <row r="42" spans="1:8" x14ac:dyDescent="0.25">
      <c r="A42" s="1"/>
      <c r="C42" t="s">
        <v>325</v>
      </c>
      <c r="F42" s="1" t="s">
        <v>338</v>
      </c>
      <c r="G42" t="s">
        <v>338</v>
      </c>
    </row>
    <row r="43" spans="1:8" x14ac:dyDescent="0.25">
      <c r="A43" s="1"/>
      <c r="D43" t="s">
        <v>326</v>
      </c>
      <c r="F43" s="1" t="s">
        <v>332</v>
      </c>
      <c r="G43" t="s">
        <v>339</v>
      </c>
    </row>
    <row r="44" spans="1:8" x14ac:dyDescent="0.25">
      <c r="A44" s="1"/>
      <c r="D44" t="s">
        <v>328</v>
      </c>
      <c r="F44" s="1" t="s">
        <v>333</v>
      </c>
      <c r="G44" t="s">
        <v>340</v>
      </c>
    </row>
    <row r="45" spans="1:8" x14ac:dyDescent="0.25">
      <c r="A45" s="1"/>
      <c r="D45" t="s">
        <v>327</v>
      </c>
      <c r="F45" s="1" t="s">
        <v>334</v>
      </c>
      <c r="G45" t="s">
        <v>341</v>
      </c>
    </row>
    <row r="46" spans="1:8" x14ac:dyDescent="0.25">
      <c r="A46" s="1"/>
      <c r="D46" t="s">
        <v>330</v>
      </c>
      <c r="F46" s="1" t="s">
        <v>335</v>
      </c>
      <c r="G46" t="s">
        <v>342</v>
      </c>
    </row>
    <row r="47" spans="1:8" x14ac:dyDescent="0.25">
      <c r="A47" s="1"/>
      <c r="D47" t="s">
        <v>348</v>
      </c>
      <c r="F47" s="1" t="s">
        <v>349</v>
      </c>
      <c r="G47" t="s">
        <v>350</v>
      </c>
    </row>
    <row r="48" spans="1:8" x14ac:dyDescent="0.25">
      <c r="A48" s="1"/>
      <c r="D48" t="s">
        <v>331</v>
      </c>
      <c r="F48" s="1" t="s">
        <v>336</v>
      </c>
      <c r="G48" t="s">
        <v>343</v>
      </c>
    </row>
    <row r="49" spans="1:7" x14ac:dyDescent="0.25">
      <c r="A49" s="1"/>
      <c r="D49" t="s">
        <v>329</v>
      </c>
      <c r="F49" s="1" t="s">
        <v>337</v>
      </c>
      <c r="G49" t="s">
        <v>344</v>
      </c>
    </row>
    <row r="50" spans="1:7" x14ac:dyDescent="0.25">
      <c r="A50" s="1"/>
      <c r="D50" t="s">
        <v>345</v>
      </c>
      <c r="F50" s="1" t="s">
        <v>346</v>
      </c>
      <c r="G50" t="s">
        <v>347</v>
      </c>
    </row>
    <row r="51" spans="1:7" x14ac:dyDescent="0.25">
      <c r="A51" s="1"/>
    </row>
    <row r="52" spans="1:7" x14ac:dyDescent="0.25">
      <c r="A52" s="1"/>
      <c r="B52" t="s">
        <v>86</v>
      </c>
    </row>
    <row r="53" spans="1:7" x14ac:dyDescent="0.25">
      <c r="A53" s="1"/>
      <c r="B53" t="s">
        <v>83</v>
      </c>
    </row>
    <row r="54" spans="1:7" x14ac:dyDescent="0.25">
      <c r="A54" s="1"/>
      <c r="C54" s="17" t="s">
        <v>80</v>
      </c>
    </row>
    <row r="55" spans="1:7" x14ac:dyDescent="0.25">
      <c r="A55" s="1"/>
      <c r="C55" s="16" t="s">
        <v>81</v>
      </c>
    </row>
    <row r="56" spans="1:7" x14ac:dyDescent="0.25">
      <c r="A56" s="1"/>
      <c r="C56" s="16" t="s">
        <v>82</v>
      </c>
    </row>
    <row r="57" spans="1:7" x14ac:dyDescent="0.25">
      <c r="A57" s="1"/>
      <c r="B57" t="s">
        <v>106</v>
      </c>
      <c r="C57" s="16"/>
    </row>
    <row r="58" spans="1:7" x14ac:dyDescent="0.25">
      <c r="A58" s="1"/>
      <c r="C58" s="16" t="s">
        <v>107</v>
      </c>
    </row>
    <row r="59" spans="1:7" x14ac:dyDescent="0.25">
      <c r="A59" s="1"/>
      <c r="C59" s="16" t="s">
        <v>108</v>
      </c>
    </row>
    <row r="60" spans="1:7" x14ac:dyDescent="0.25">
      <c r="A60" s="1"/>
      <c r="C60" s="16" t="s">
        <v>109</v>
      </c>
    </row>
    <row r="61" spans="1:7" x14ac:dyDescent="0.25">
      <c r="A61" s="1"/>
      <c r="C61" s="16" t="s">
        <v>111</v>
      </c>
    </row>
    <row r="62" spans="1:7" x14ac:dyDescent="0.25">
      <c r="A62" s="1"/>
      <c r="C62" s="16" t="s">
        <v>113</v>
      </c>
    </row>
    <row r="63" spans="1:7" x14ac:dyDescent="0.25">
      <c r="A63" s="1"/>
      <c r="C63" s="16" t="s">
        <v>112</v>
      </c>
    </row>
    <row r="64" spans="1:7" x14ac:dyDescent="0.25">
      <c r="A64" s="1"/>
      <c r="C64" s="16" t="s">
        <v>110</v>
      </c>
    </row>
    <row r="65" spans="2:14" ht="21" customHeight="1" x14ac:dyDescent="0.25">
      <c r="B65" s="19" t="s">
        <v>78</v>
      </c>
    </row>
    <row r="66" spans="2:14" ht="21" customHeight="1" x14ac:dyDescent="0.25">
      <c r="B66" s="59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5" customFormat="1" ht="21.75" customHeight="1" thickBot="1" x14ac:dyDescent="0.3">
      <c r="B68" s="49" t="s">
        <v>226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[Table("MstCmmPlant")]
	[Index(nameof(PlantCode), Name="IX_MstCmmPlant_PlantCode")]
	[Index(nameof(IsActive), Name="IX_MstCmmPlant_IsActive")]	public class MstCmmPlant: FullAuditedEntity&lt;long&gt;, IEntity&lt;long&gt;	
	{
		public const int MaxPlantCodeLength = 4;
		public const int MaxPlantNameLength = 30;
		public const int MaxBranchNoLength = 4;
		public const int MaxAddressLanguageEnLength = 200;
		public const int MaxAddressLanguageVnLength = 200;
		public const int MaxIsActiveLength = 1;
		[StringLength(MaxPlantCodeLength)]
		public virtual string PlantCode { get; set; }
		[StringLength(MaxPlantNameLength)]
		public virtual string PlantName { get; set; }
		[StringLength(MaxBranchNoLength)]
		public virtual string BranchNo { get; set; }
		[StringLength(MaxAddressLanguageEnLength)]
		public virtual string AddressLanguageEn { get; set; }
		[StringLength(MaxAddressLanguageVnLength)]
		public virtual string AddressLanguageVn { get; set; }
		[StringLength(MaxIsActiveLength)]
		public virtual string IsActive { get; set; }
	}
}
</v>
      </c>
      <c r="D68" s="48" t="str">
        <f>A.Backend!O7</f>
        <v xml:space="preserve">		public const string Pages_Master_Common_Plant = "Pages.Master.Common.Plant";
		public const string Pages_Master_Common_Plant_CreateEdit = "Pages.Master.Common.Plant.CreateEdit";
		public const string Pages_Master_Common_Plant_Delete = "Pages.Master.Common.Plant.Delete";
</v>
      </c>
      <c r="E68" s="48" t="str">
        <f>A.Backend!N7</f>
        <v xml:space="preserve">		var perMstCmmPlant = PARENTS.CreateChildPermission(AppPermissions.Pages_Master_Common_Plant, L( "MasterCommonPlant"), multiTenancySides: MultiTenancySides.Tenant);
		perMstCmmPlant.CreateChildPermission(AppPermissions.Pages_Master_Common_Plant_CreateEdit, L( "MasterCommonPlantCreateEdit"), multiTenancySides: MultiTenancySides.Tenant);
		perMstCmmPlant.CreateChildPermission(AppPermissions.Pages_Master_Common_Plant_Delete, L( "MasterCommonPlantDelete"), multiTenancySides: MultiTenancySides.Tenant);</v>
      </c>
      <c r="F68" s="48" t="str">
        <f>A.Backend!K7</f>
        <v>public virtual DbSet&lt;MstCmmPlant&gt; MstCmmPlants { get; set; }</v>
      </c>
      <c r="G68" s="48" t="str">
        <f ca="1">A.Backend!L7</f>
        <v xml:space="preserve">namespace prod.Master.Common
{
	public class MstCmmPlantConsts	
	{
		public const int MaxPlantCodeLength = 4;
		public const int MaxPlantNameLength = 30;
		public const int MaxBranchNoLength = 4;
		public const int MaxAddressLanguageEnLength = 200;
		public const int MaxAddressLanguageVnLength = 200;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prod.Master.Common.Dto
{
	public class MstCmmPlantDto : EntityDto&lt;long?&gt;	
	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	public class CreateOrEditMstCmmPlantDto : EntityDto&lt;long?&gt;	
	{
		[StringLength(MstCmmPlantConsts.MaxPlantCodeLength)]
		public virtual string PlantCode { get; set; }
		[StringLength(MstCmmPlantConsts.MaxPlantNameLength)]
		public virtual string PlantName { get; set; }
		[StringLength(MstCmmPlantConsts.MaxBranchNoLength)]
		public virtual string BranchNo { get; set; }
		[StringLength(MstCmmPlantConsts.MaxAddressLanguageEnLength)]
		public virtual string AddressLanguageEn { get; set; }
		[StringLength(MstCmmPlantConsts.MaxAddressLanguageVnLength)]
		public virtual string AddressLanguageVn { get; set; }
		[StringLength(MstCmmPlantConsts.MaxIsActiveLength)]
		public virtual string IsActive { get; set; }
	}
	public class GetMstCmmPlantInput : PagedAndSortedResultRequestDto	
	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prod.Master.Common.Dto
{
	public class MstCmmPlantExportInput{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IMstCmmPlantAppService : IApplicationService
	{
		Task&lt;PagedResultDto&lt;MstCmmPlantDto&gt;&gt; GetAll(GetMstCmmPlantInput input);
		Task CreateOrEdit(CreateOrEditMstCmmPlantDto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IMstCmmPlantExcelExporter : IApplicationService
	{
		FileDto ExportToFile(List&lt;MstCmmPlantDto&gt; mstcmmplant);
	}
}
</v>
      </c>
      <c r="L68" s="48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MstCmmPlantExcelExporter : NpoiExcelExporterBase, IMstCmmPlantExcelExporter
    {
        public MstCmmPlantExcelExporter(ITempFileCacheManager tempFileCacheManager) : base(tempFileCacheManager) { }
        public FileDto ExportToFile(List&lt;MstCmmPlantDto&gt; plant)
        {
            return CreateExcelPackage(
				"MasterCommonPlant.xlsx",
				excelPackage =&gt;
				 {
					var sheet = excelPackage.CreateSheet("Plant");
					AddHeader(
								sheet,
								("PlantCode"),
								("PlantName"),
								("BranchNo"),
								("AddressLanguageEn"),
								("AddressLanguageVn"),
								("IsActive"),
							   );
					AddObjects(
						 sheet, 1, plant,                                       
								_ =&gt; _.PlantCode,
								_ =&gt; _.PlantName,
								_ =&gt; _.BranchNo,
								_ =&gt; _.AddressLanguageEn,
								_ =&gt; _.AddressLanguageVn,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[AbpAuthorize(AppPermissions.Pages_Master_Common_Plant)]
    public class MstCmmPlantAppService : vovinaAppServiceBase, IMstCmmPlantAppService
    {
        private readonly IDapperRepository&lt;MstCmmPlant, long&gt; _dapperRepo;
        private readonly IRepository&lt;MstCmmPlant, long&gt; _repo;
        private readonly IMstCmmPlantExcelExporter _calendarListExcelExporter;
        public MstCmmPlantAppService(IRepository&lt;MstCmmPlant,long&gt; repo, 
                                         IDapperRepository&lt;MstCmmPlant,long&gt; dapperRepo,
                                        IMstCmmPlantExcelExporter calendarListExcelExporter
            )
        {
            _repo = repo;
            _dapperRepo = dapperRepo;
            _calendarListExcelExporter = calendarListExcelExporter;
        }
        [AbpAuthorize(AppPermissions.Pages_Master_Common_Plant_CreateEdit)]
        public async Task CreateOrEdit(CreateOrEditMstCmmPlantDto input)
        {
            if (input.Id == null) await Create(input);
            else await Update(input);
        }
        //CREATE
        private async Task Create(CreateOrEditMstCmmPlantDto input)
        {          
            var mainObj = ObjectMapper.Map&lt;MstCmmPlant&gt;(input);
            await CurrentUnitOfWork.GetDbContext&lt;vovinaDbContext&gt;().AddAsync(mainObj);
        }
        // EDIT
        private async Task Update(CreateOrEditMstCmmPlantDto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[AbpAuthorize(AppPermissions.Pages_Master_Common_Plant_Delete)]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Task&lt;PagedResultDto&lt;MstCmmPlantDto&gt;&gt; GetAll(GetMstCmmPlantInput input)
        {
            var filtered = _repo.GetAll()
				.WhereIf(!string.IsNullOrWhiteSpace(input.PlantCode), e =&gt; e.PlantCode.Contains(input.PlantCode))
				.WhereIf(!string.IsNullOrWhiteSpace(input.PlantName), e =&gt; e.PlantName.Contains(input.PlantName))
				.WhereIf(!string.IsNullOrWhiteSpace(input.BranchNo), e =&gt; e.BranchNo.Contains(input.BranchNo))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MstCmmPlantDto
                        {
							Id = o.Id,
							PlantCode = o.PlantCode,
							PlantName = o.PlantName,
							BranchNo = o.BranchNo,
							AddressLanguageEn = o.AddressLanguageEn,
							AddressLanguageVn = o.AddressLanguageVn,
							IsActive = o.IsActive,
                        };
            var totalCount = await filtered.CountAsync();
			var paged = system.PageBy(input);
            return new PagedResultDto&lt;MstCmmPlantDto&gt;(
                totalCount,
                 await paged.ToListAsync()
            );
        }
        public async Task&lt;FileDto&gt; GetPlantToExcel(MstCmmPlantExportInput input)
        {
            var query = from o in _repo.GetAll()
                        select new MstCmmPlantDto
                        {
							Id = o.Id,
							PlantCode = o.PlantCode,
							PlantName = o.PlantName,
							BranchNo = o.BranchNo,
							AddressLanguageEn = o.AddressLanguageEn,
							AddressLanguageVn = o.AddressLanguageVn,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_dapperRepo.ExecuteAsync(MstCmmPlantConsts.SP_MST_WPT_CALENDAR_GENERATE);
       // }
    }
}</v>
      </c>
      <c r="N68" s="58" t="str">
        <f>A.Backend!U7</f>
        <v xml:space="preserve">  configuration.CreateMap&lt;MstCmmPlantDto, MstCmmPlant&gt;();
  configuration.CreateMap&lt;MstCmmPlant, MstCmmPlantDto&gt;();
  configuration.CreateMap&lt;CreateOrEditMstCmmPlantDto, MstCmmPlant&gt;();</v>
      </c>
    </row>
    <row r="69" spans="2:14" s="15" customFormat="1" ht="21.75" customHeight="1" x14ac:dyDescent="0.25">
      <c r="C69" s="61"/>
      <c r="H69" s="62"/>
      <c r="I69" s="62"/>
      <c r="M69" s="62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73</v>
      </c>
    </row>
    <row r="73" spans="2:14" ht="21" x14ac:dyDescent="0.35">
      <c r="B73" t="str">
        <f>B.Frontend!B8</f>
        <v>plant</v>
      </c>
      <c r="C73" s="66" t="str">
        <f>"create folder " &amp;B73</f>
        <v>create folder plant</v>
      </c>
      <c r="D73" s="66"/>
      <c r="E73" s="66"/>
      <c r="F73" s="66"/>
      <c r="G73" s="66"/>
      <c r="H73" s="66"/>
      <c r="I73" s="66"/>
      <c r="J73" s="66"/>
      <c r="K73" s="67" t="s">
        <v>228</v>
      </c>
      <c r="L73" s="67"/>
      <c r="M73" s="28"/>
    </row>
    <row r="74" spans="2:14" s="26" customFormat="1" ht="18" customHeight="1" x14ac:dyDescent="0.25">
      <c r="B74" s="56" t="s">
        <v>229</v>
      </c>
      <c r="C74" s="28" t="str">
        <f>B.Frontend!H14</f>
        <v>plant.component.ts</v>
      </c>
      <c r="D74" s="28" t="str">
        <f>B.Frontend!I14</f>
        <v>plant.component.html</v>
      </c>
      <c r="E74" s="28" t="str">
        <f>B.Frontend!J14</f>
        <v>plant.component.less</v>
      </c>
      <c r="F74" s="28" t="str">
        <f>B.Frontend!K14</f>
        <v>create-or-edit-plant-modal.component.html</v>
      </c>
      <c r="G74" s="28" t="str">
        <f>B.Frontend!L14</f>
        <v>create-or-edit-plant-modal.component.ts</v>
      </c>
      <c r="H74" s="28" t="str">
        <f>B.Frontend!M14</f>
        <v>create-or-edit-plant-modal.component.less</v>
      </c>
      <c r="I74" s="28" t="str">
        <f>B.Frontend!N14</f>
        <v>plant.module.ts</v>
      </c>
      <c r="J74" s="28" t="str">
        <f>B.Frontend!O14</f>
        <v>plant-routing.module.ts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232</v>
      </c>
    </row>
    <row r="75" spans="2:14" ht="21.75" customHeight="1" x14ac:dyDescent="0.25">
      <c r="B75" s="57" t="s">
        <v>226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MstCmmPlantDto, MstCmmPlantServiceProxy } from '@shared/service-proxies/service-proxies';
import { finalize } from 'rxjs/internal/operators/finalize';
import { CreateOrEditPlantModalComponent } from './create-or-edit-plant-modal.component';
import { DatePipe } from '@angular/common';
import { FileDownloadService } from '@shared/utils/file-download.service';
import ceil from 'lodash-es/ceil';
import { Paginator } from 'primeng/paginator';
@Component({
    templateUrl: './plant.component.html',
    styleUrls: ['./plant.component.less'],
})
export class PlantComponent extends AppComponentBase implements OnInit {
    @ViewChild('createOrEditModalPlant', { static: true }) createOrEditModalPlant:| CreateOrEditPlantModalComponent|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MstCmmPlantDto = new MstCmmPlantDto();
    saveSelectedRow: MstCmmPlantDto = new MstCmmPlantDto();
    datas: MstCmmPlantDto = new MstCmmPlantDto();
    isLoading: boolean = false;
    dataParams: GridParams | undefined;
    rowData: any[] = [];
    gridApi!: GridApi;
    rowSelection = 'multiple';
    filter: string = '';
	pipe = new DatePipe('en-US');
	frameworkComponents: FrameworkComponent;
    	plantCode : string = '' ; 
	plantName : string = '' ; 
	branchNo : string = '' ; 
	addressLanguageEn : string = '' ; 
	addressLanguageVn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MstCmmPlantServiceProxy,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this.l('Plant Code'),headerTooltip: this.l('Plant Code'),field: 'plantCode',flex: 1},
			{headerName: this.l('Plant Name'),headerTooltip: this.l('Plant Name'),field: 'plantName',flex: 1},
			{headerName: this.l('Branch No'),headerTooltip: this.l('Branch No'),field: 'branchNo',flex: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this.plantCode,
			this.plantName,
			this.branchNo,
			this.addressLanguageEn,
			this.addressLanguageVn,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this.plantCode = '',
		this.plantName = '',
		this.branchNo = '',
		this.addressLanguageEn = '',
		this.addressLanguageVn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this.plantCode,
			this.plantName,
			this.branchNo,
			this.addressLanguageEn,
			this.addressLanguageVn,
			this.isActive,
			'',
            this.paginationParams.skipCount,
            this.paginationParams.pageSize
        );
    }
    onChangeRowSelection(params: { api: { getSelectedRows: () =&gt; MstCmmPlantDto[] } }) {
        this.saveSelectedRow = params.api.getSelectedRows()[0] ?? new MstCmmPlantDto();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MstCmmPlantDto):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this._service.getPlantToExcel(
			this.plantCode,
			this.plantName,
			this.branchNo,
			this.addressLanguageEn,
			this.addressLanguageVn,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Organization Plant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[(ngModel)]='branchNo' name='branchNo'
									class='form-control' [placeholder]="l('Branch No')"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(click)="createOrEditModalPlant.show()"&gt;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(click)="createOrEditModalPlant.show(selectedRow)"&gt;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&lt;create-or-edit-plant-modal
    #createOrEditModalPlant
    (modalSave)="callBackDataGrid(dataParams)"
    (modalClose)="onChangeRowSelection(dataParams)"
&gt;
&lt;/create-or-edit-plant-modal&gt;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#createOrEditModalPlant="bs-modal"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Plant')}}&lt;/h3&gt;
                    &lt;h3 *ngIf="!rowdata.id"&gt;{{('Create New Plant')}}&lt;/h3&gt;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title'&gt;Branch No&lt;/label&gt;
						&lt;input type='text' class='col-md-10 form-control input-text' name='BranchNo' [(ngModel)]='rowdata.branchNo'&gt;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CreateOrEditMstCmmPlantDto, MstCmmPlantServiceProxy } from '@shared/service-proxies/service-proxies';
import { BsDatepickerDirective } from 'ngx-bootstrap/datepicker';
@Component({
    selector: 'create-or-edit-plant-modal',
    templateUrl: './create-or-edit-plant-modal.component.html',
    styleUrls: ['./create-or-edit-plant-modal.component.less']
    })
export class CreateOrEditPlantModalComponent extends AppComponentBase {
    @ViewChild('createOrEditModalPlant',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CreateOrEditMstCmmPlantDto = new CreateOrEditMstCmmPlantDto();
    active: boolean = false;
    saving: boolean = false;
    _isActive: boolean;
    constructor(
        injector: Injector,
        private _mstwptPlantService: MstCmmPlantServiceProxy,
    ) 
    {
        super(injector);
    }
    show(rowdata?: CreateOrEditMstCmmPlantDto): void {
        if (!rowdata) this.rowdata = new CreateOrEditMstCmmPlantDto();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this._mstwptPlantService.createOrEdit(this.rowdata)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PlantRoutingModule } from './plant-routing.module';
import { PlantComponent } from './plant.component';
import { CreateOrEditPlantModalComponent } from './create-or-edit-plant-modal.component';
@NgModule({
    declarations: [
       PlantComponent, 
        CreateOrEditPlantModalComponent
    ],
    imports: [
        AppSharedModule, PlantRoutingModule]
})
export class PlantModule {}</v>
      </c>
      <c r="J75" s="46" t="str">
        <f>B.Frontend!O10</f>
        <v>import {NgModule} from '@angular/core';
import {RouterModule, Routes} from '@angular/router';
import { PlantComponent } from './plant.component';
const routes: Routes = [{
    path: '',
    component: PlantComponent,
    pathMatch: 'full'
}];
@NgModule({
    imports: [RouterModule.forChild(routes)],
    exports: [RouterModule],
})
export class PlantRoutingModule {}</v>
      </c>
      <c r="K75" s="46" t="str">
        <f>B.Frontend!P10</f>
        <v xml:space="preserve"> new AppMenuItem("Plant", "Pages.Master.Common.Plant", "flaticon-book",   "/app/main/master/common/plant"),</v>
      </c>
      <c r="L75" s="47" t="str">
        <f>B.Frontend!Q10</f>
        <v>{
    path: 'master/common/plant',
    loadChildren: () =&gt; import('./master/common/plant/plant.module').then(m =&gt; m.PlantModule),
    data: { permission: 'Pages.Master.Common.Plant' }
},</v>
      </c>
      <c r="M75" s="45" t="str">
        <f>B.Frontend!R10</f>
        <v>ApiServiceProxies.MstCmmPlantServiceProxy,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tabSelected="1" workbookViewId="0">
      <pane xSplit="1" topLeftCell="B1" activePane="topRight" state="frozen"/>
      <selection pane="topRight" activeCell="A17" sqref="A17"/>
    </sheetView>
  </sheetViews>
  <sheetFormatPr defaultColWidth="9.140625" defaultRowHeight="15" x14ac:dyDescent="0.25"/>
  <cols>
    <col min="1" max="1" width="32.570312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71</v>
      </c>
      <c r="C1" s="9" t="s">
        <v>54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9" t="s">
        <v>266</v>
      </c>
      <c r="F1" s="10" t="s">
        <v>239</v>
      </c>
      <c r="H1" s="10" t="s">
        <v>240</v>
      </c>
      <c r="J1" s="10" t="s">
        <v>241</v>
      </c>
      <c r="L1" s="10" t="s">
        <v>242</v>
      </c>
      <c r="M1" s="10" t="s">
        <v>243</v>
      </c>
      <c r="N1" s="10" t="s">
        <v>244</v>
      </c>
      <c r="O1" s="10" t="s">
        <v>245</v>
      </c>
      <c r="T1" s="9" t="s">
        <v>258</v>
      </c>
      <c r="U1" s="9" t="s">
        <v>230</v>
      </c>
      <c r="W1" s="9"/>
    </row>
    <row r="2" spans="1:23" s="10" customFormat="1" x14ac:dyDescent="0.25">
      <c r="A2" s="1" t="s">
        <v>12</v>
      </c>
      <c r="B2" s="27" t="s">
        <v>354</v>
      </c>
      <c r="C2" s="13" t="s">
        <v>40</v>
      </c>
      <c r="D2" s="13" t="s">
        <v>41</v>
      </c>
      <c r="E2" s="13" t="s">
        <v>42</v>
      </c>
      <c r="F2" s="13" t="s">
        <v>51</v>
      </c>
      <c r="G2" s="13" t="s">
        <v>49</v>
      </c>
      <c r="H2" s="13" t="s">
        <v>52</v>
      </c>
      <c r="I2" s="13" t="s">
        <v>45</v>
      </c>
      <c r="J2" s="13" t="s">
        <v>53</v>
      </c>
      <c r="K2" s="13" t="s">
        <v>55</v>
      </c>
      <c r="L2" s="13" t="s">
        <v>62</v>
      </c>
      <c r="M2" s="13" t="s">
        <v>61</v>
      </c>
      <c r="N2" s="13" t="s">
        <v>65</v>
      </c>
      <c r="O2" s="13" t="s">
        <v>85</v>
      </c>
      <c r="T2" s="10" t="s">
        <v>246</v>
      </c>
      <c r="V2" s="10" t="s">
        <v>247</v>
      </c>
      <c r="W2" s="9" t="s">
        <v>257</v>
      </c>
    </row>
    <row r="3" spans="1:23" s="10" customFormat="1" ht="33" customHeight="1" x14ac:dyDescent="0.25">
      <c r="A3" s="1" t="s">
        <v>5</v>
      </c>
      <c r="B3" s="27" t="s">
        <v>366</v>
      </c>
      <c r="C3" s="9" t="s">
        <v>43</v>
      </c>
      <c r="D3" s="9" t="s">
        <v>44</v>
      </c>
      <c r="E3" s="9" t="s">
        <v>39</v>
      </c>
      <c r="F3" s="10" t="str">
        <f>"J"&amp;COUNTA($A:$A)</f>
        <v>J14</v>
      </c>
      <c r="G3" s="4" t="s">
        <v>57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56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Common</v>
      </c>
      <c r="R3" s="29" t="str">
        <f>REPT(CHAR(9),1)&amp;"public class "&amp;B3&amp;"ExportInput"&amp;C3</f>
        <v xml:space="preserve">	public class MstCmmPlantExportInput{
</v>
      </c>
      <c r="S3" s="10" t="str">
        <f>"namespace "&amp;$B$6&amp;".Exporting
"&amp;$C$3</f>
        <v xml:space="preserve">namespace prod.Master.Common.Exporting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237</v>
      </c>
      <c r="B4" s="60" t="s">
        <v>88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238</v>
      </c>
      <c r="B5" s="60" t="s">
        <v>365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prod.Master.Common</v>
      </c>
      <c r="C6" s="10" t="str">
        <f>"namespace "&amp;$B$6&amp;"
"&amp;$C$3</f>
        <v xml:space="preserve">namespace prod.Master.Common
{
</v>
      </c>
      <c r="D6" s="10" t="str">
        <f>REPT(CHAR(9),1)&amp;"public class "&amp;B3&amp;G3&amp;REPT(CHAR(9),1)&amp;"
"&amp;REPT(CHAR(9),1)&amp;C3</f>
        <v xml:space="preserve">	public class MstCmmPlant: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MstCmmPlantConsts	
	{
</v>
      </c>
      <c r="F6" s="10" t="str">
        <f>REPT(CHAR(9),1)&amp;"public class "&amp;B3&amp;"Dto"&amp;K3&amp;REPT(CHAR(9),1)&amp;"
"&amp;REPT(CHAR(9),1)&amp;C3</f>
        <v xml:space="preserve">	public class MstCmmPlantDto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CreateOrEditMstCmmPlantDto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GetMstCmmPlantInput : PagedAndSortedResultRequestDto	
	{
</v>
      </c>
      <c r="I6" s="10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6"/>
    </row>
    <row r="7" spans="1:23" customFormat="1" ht="24.95" customHeight="1" x14ac:dyDescent="0.25">
      <c r="A7" s="1" t="s">
        <v>13</v>
      </c>
      <c r="B7" s="9" t="str">
        <f>B3</f>
        <v>MstCmmPlant</v>
      </c>
      <c r="C7" s="10" t="str">
        <f>REPT(CHAR(9),1)&amp;"[Table("""&amp;B7&amp;""")]"&amp;"
"</f>
        <v xml:space="preserve">	[Table("MstCmmPlant")]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[Table("MstCmmPlant")]
	[Index(nameof(PlantCode), Name="IX_MstCmmPlant_PlantCode")]
	[Index(nameof(IsActive), Name="IX_MstCmmPlant_IsActive")]	public class MstCmmPlant: FullAuditedEntity&lt;long&gt;, IEntity&lt;long&gt;	
	{
		public const int MaxPlantCodeLength = 4;
		public const int MaxPlantNameLength = 30;
		public const int MaxBranchNoLength = 4;
		public const int MaxAddressLanguageEnLength = 200;
		public const int MaxAddressLanguageVnLength = 200;
		public const int MaxIsActiveLength = 1;
		[StringLength(MaxPlantCodeLength)]
		public virtual string PlantCode { get; set; }
		[StringLength(MaxPlantNameLength)]
		public virtual string PlantName { get; set; }
		[StringLength(MaxBranchNoLength)]
		public virtual string BranchNo { get; set; }
		[StringLength(MaxAddressLanguageEnLength)]
		public virtual string AddressLanguageEn { get; set; }
		[StringLength(MaxAddressLanguageVnLength)]
		public virtual string AddressLanguageVn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DbSet&lt;MstCmmPlant&gt; MstCmmPlants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prod.Master.Common
{
	public class MstCmmPlantConsts	
	{
		public const int MaxPlantCodeLength = 4;
		public const int MaxPlantNameLength = 30;
		public const int MaxBranchNoLength = 4;
		public const int MaxAddressLanguageEnLength = 200;
		public const int MaxAddressLanguageVnLength = 200;
		public const int MaxIsActiveLength = 1;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prod.Master.Common.Dto
{
	public class MstCmmPlantDto : EntityDto&lt;long?&gt;	
	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	public class CreateOrEditMstCmmPlantDto : EntityDto&lt;long?&gt;	
	{
		[StringLength(MstCmmPlantConsts.MaxPlantCodeLength)]
		public virtual string PlantCode { get; set; }
		[StringLength(MstCmmPlantConsts.MaxPlantNameLength)]
		public virtual string PlantName { get; set; }
		[StringLength(MstCmmPlantConsts.MaxBranchNoLength)]
		public virtual string BranchNo { get; set; }
		[StringLength(MstCmmPlantConsts.MaxAddressLanguageEnLength)]
		public virtual string AddressLanguageEn { get; set; }
		[StringLength(MstCmmPlantConsts.MaxAddressLanguageVnLength)]
		public virtual string AddressLanguageVn { get; set; }
		[StringLength(MstCmmPlantConsts.MaxIsActiveLength)]
		public virtual string IsActive { get; set; }
	}
	public class GetMstCmmPlantInput : PagedAndSortedResultRequestDto	
	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perMstCmmPlant = PARENTS.CreateChildPermission(AppPermissions.Pages_Master_Common_Plant, L( "MasterCommonPlant"), multiTenancySides: MultiTenancySides.Tenant);
		perMstCmmPlant.CreateChildPermission(AppPermissions.Pages_Master_Common_Plant_CreateEdit, L( "MasterCommonPlantCreateEdit"), multiTenancySides: MultiTenancySides.Tenant);
		perMstCmmPlant.CreateChildPermission(AppPermissions.Pages_Master_Common_Plant_Delete, L( "MasterCommonPlantDelete"),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Pages_Master_Common_Plant = "Pages.Master.Common.Plant";
		public const string Pages_Master_Common_Plant_CreateEdit = "Pages.Master.Common.Plant.CreateEdit";
		public const string Pages_Master_Common_Plant_Delete = "Pages.Master.Common.Plant.Delete";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IMstCmmPlantAppService : IApplicationService
	{
		Task&lt;PagedResultDto&lt;MstCmmPlantDto&gt;&gt; GetAll(GetMstCmmPlantInput input);
		Task CreateOrEdit(CreateOrEditMstCmmPlantDto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[AbpAuthorize(AppPermissions.Pages_Master_Common_Plant)]
    public class MstCmmPlantAppService : vovinaAppServiceBase, IMstCmmPlantAppService
    {
        private readonly IDapperRepository&lt;MstCmmPlant, long&gt; _dapperRepo;
        private readonly IRepository&lt;MstCmmPlant, long&gt; _repo;
        private readonly IMstCmmPlantExcelExporter _calendarListExcelExporter;
        public MstCmmPlantAppService(IRepository&lt;MstCmmPlant,long&gt; repo, 
                                         IDapperRepository&lt;MstCmmPlant,long&gt; dapperRepo,
                                        IMstCmmPlantExcelExporter calendarListExcelExporter
            )
        {
            _repo = repo;
            _dapperRepo = dapperRepo;
            _calendarListExcelExporter = calendarListExcelExporter;
        }
        [AbpAuthorize(AppPermissions.Pages_Master_Common_Plant_CreateEdit)]
        public async Task CreateOrEdit(CreateOrEditMstCmmPlantDto input)
        {
            if (input.Id == null) await Create(input);
            else await Update(input);
        }
        //CREATE
        private async Task Create(CreateOrEditMstCmmPlantDto input)
        {          
            var mainObj = ObjectMapper.Map&lt;MstCmmPlant&gt;(input);
            await CurrentUnitOfWork.GetDbContext&lt;vovinaDbContext&gt;().AddAsync(mainObj);
        }
        // EDIT
        private async Task Update(CreateOrEditMstCmmPlantDto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[AbpAuthorize(AppPermissions.Pages_Master_Common_Plant_Delete)]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Task&lt;PagedResultDto&lt;MstCmmPlantDto&gt;&gt; GetAll(GetMstCmmPlantInput input)
        {
            var filtered = _repo.GetAll()
				.WhereIf(!string.IsNullOrWhiteSpace(input.PlantCode), e =&gt; e.PlantCode.Contains(input.PlantCode))
				.WhereIf(!string.IsNullOrWhiteSpace(input.PlantName), e =&gt; e.PlantName.Contains(input.PlantName))
				.WhereIf(!string.IsNullOrWhiteSpace(input.BranchNo), e =&gt; e.BranchNo.Contains(input.BranchNo))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MstCmmPlantDto
                        {
							Id = o.Id,
							PlantCode = o.PlantCode,
							PlantName = o.PlantName,
							BranchNo = o.BranchNo,
							AddressLanguageEn = o.AddressLanguageEn,
							AddressLanguageVn = o.AddressLanguageVn,
							IsActive = o.IsActive,
                        };
            var totalCount = await filtered.CountAsync();
			var paged = system.PageBy(input);
            return new PagedResultDto&lt;MstCmmPlantDto&gt;(
                totalCount,
                 await paged.ToListAsync()
            );
        }
        public async Task&lt;FileDto&gt; GetPlantToExcel(MstCmmPlantExportInput input)
        {
            var query = from o in _repo.GetAll()
                        select new MstCmmPlantDto
                        {
							Id = o.Id,
							PlantCode = o.PlantCode,
							PlantName = o.PlantName,
							BranchNo = o.BranchNo,
							AddressLanguageEn = o.AddressLanguageEn,
							AddressLanguageVn = o.AddressLanguageVn,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_dapperRepo.ExecuteAsync(MstCmmPlantConsts.SP_MST_WPT_CALENDAR_GENERATE);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prod.Master.Common.Dto
{
	public class MstCmmPlantExportInput{
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IMstCmmPlantExcelExporter : IApplicationService
	{
		FileDto ExportToFile(List&lt;MstCmmPlantDto&gt; mstcmmplant);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MstCmmPlantExcelExporter : NpoiExcelExporterBase, IMstCmmPlantExcelExporter
    {
        public MstCmmPlantExcelExporter(ITempFileCacheManager tempFileCacheManager) : base(tempFileCacheManager) { }
        public FileDto ExportToFile(List&lt;MstCmmPlantDto&gt; plant)
        {
            return CreateExcelPackage(
				"MasterCommonPlant.xlsx",
				excelPackage =&gt;
				 {
					var sheet = excelPackage.CreateSheet("Plant");
					AddHeader(
								sheet,
								("PlantCode"),
								("PlantName"),
								("BranchNo"),
								("AddressLanguageEn"),
								("AddressLanguageVn"),
								("IsActive"),
							   );
					AddObjects(
						 sheet, 1, plant,                                       
								_ =&gt; _.PlantCode,
								_ =&gt; _.PlantName,
								_ =&gt; _.BranchNo,
								_ =&gt; _.AddressLanguageEn,
								_ =&gt; _.AddressLanguageVn,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configuration.CreateMap&lt;MstCmmPlantDto, MstCmmPlant&gt;();
  configuration.CreateMap&lt;MstCmmPlant, MstCmmPlantDto&gt;();
  configuration.CreateMap&lt;CreateOrEditMstCmmPlantDto, MstCmmPlant&gt;();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18" t="s">
        <v>84</v>
      </c>
      <c r="W8" s="3"/>
    </row>
    <row r="9" spans="1:23" customFormat="1" ht="18.75" customHeight="1" x14ac:dyDescent="0.25">
      <c r="A9" t="s">
        <v>357</v>
      </c>
      <c r="B9" t="s">
        <v>359</v>
      </c>
      <c r="C9" t="s">
        <v>1</v>
      </c>
      <c r="D9" t="str">
        <f t="shared" ref="D9" si="0">SUBSTITUTE(PROPER(A9),"_","")</f>
        <v>PlantCode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MaxPlantCodeLength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[StringLength(MaxPlantCodeLength)]
		public virtual string PlantCode { get; set; }
</v>
      </c>
      <c r="K9" s="6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[Index(nameof(PlantCode), Name="IX_MstCmmPlant_PlantCode")]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PlantCode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[StringLength(MstCmmPlantConsts.MaxPlantCodeLength)]
		public virtual string PlantCode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PlantCode { get; set; }
</v>
      </c>
      <c r="P9" t="str">
        <f t="shared" ref="P9" si="9">REPT(CHAR(9),7)&amp;D9&amp;" = o." &amp;D9 &amp;","</f>
        <v xml:space="preserve">							PlantCode = o.PlantCode,</v>
      </c>
      <c r="T9" s="64" t="str">
        <f t="shared" ref="T9" si="10">REPT(CHAR(9),8)&amp;"("""&amp;D9&amp;"""),"</f>
        <v xml:space="preserve">								("PlantCode"),</v>
      </c>
      <c r="V9" s="65" t="str">
        <f t="shared" ref="V9" si="11">REPT(CHAR(9),8)&amp;"_ =&gt; _."&amp;D9&amp;","</f>
        <v xml:space="preserve">								_ =&gt; _.PlantCode,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.WhereIf(!string.IsNullOrWhiteSpace(input.PlantCode), e =&gt; e.PlantCode.Contains(input.PlantCode))</v>
      </c>
    </row>
    <row r="10" spans="1:23" customFormat="1" ht="18.75" customHeight="1" x14ac:dyDescent="0.25">
      <c r="A10" t="s">
        <v>358</v>
      </c>
      <c r="B10" t="s">
        <v>360</v>
      </c>
      <c r="C10" t="s">
        <v>1</v>
      </c>
      <c r="D10" t="str">
        <f t="shared" ref="D10" si="13">SUBSTITUTE(PROPER(A10),"_","")</f>
        <v>PlantName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30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MaxPlantNameLength = 30;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[StringLength(MaxPlantNameLength)]
		public virtual string PlantName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PlantName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[StringLength(MstCmmPlantConsts.MaxPlantNameLength)]
		public virtual string PlantName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PlantName { get; set; }
</v>
      </c>
      <c r="P10" t="str">
        <f t="shared" ref="P10" si="22">REPT(CHAR(9),7)&amp;D10&amp;" = o." &amp;D10 &amp;","</f>
        <v xml:space="preserve">							PlantName = o.PlantName,</v>
      </c>
      <c r="T10" s="64" t="str">
        <f t="shared" ref="T10" si="23">REPT(CHAR(9),8)&amp;"("""&amp;D10&amp;"""),"</f>
        <v xml:space="preserve">								("PlantName"),</v>
      </c>
      <c r="V10" s="65" t="str">
        <f t="shared" ref="V10" si="24">REPT(CHAR(9),8)&amp;"_ =&gt; _."&amp;D10&amp;","</f>
        <v xml:space="preserve">								_ =&gt; _.PlantName,</v>
      </c>
      <c r="W10" s="64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.WhereIf(!string.IsNullOrWhiteSpace(input.PlantName), e =&gt; e.PlantName.Contains(input.PlantName))</v>
      </c>
    </row>
    <row r="11" spans="1:23" customFormat="1" ht="18.75" customHeight="1" x14ac:dyDescent="0.25">
      <c r="A11" t="s">
        <v>361</v>
      </c>
      <c r="B11" t="s">
        <v>359</v>
      </c>
      <c r="C11" t="s">
        <v>1</v>
      </c>
      <c r="D11" t="str">
        <f t="shared" ref="D11:D12" si="26">SUBSTITUTE(PROPER(A11),"_","")</f>
        <v>BranchNo</v>
      </c>
      <c r="E11" t="str">
        <f t="shared" ref="E11:E12" si="27">IFERROR(LEFT(B11, FIND("(",B11)-1),B11)</f>
        <v>nvarchar</v>
      </c>
      <c r="F11" s="6"/>
      <c r="G11" t="str">
        <f t="shared" ref="G11:G12" si="28">IFERROR(MID(B11,FIND("(",B11) +1, FIND(")",B11) - FIND("(",B11) - 1),"")</f>
        <v>4</v>
      </c>
      <c r="H11" t="str">
        <f>+VLOOKUP(E11,'Data Type Mapping'!A:B,2,)</f>
        <v>string</v>
      </c>
      <c r="I11" t="str">
        <f t="shared" ref="I11:I12" si="29">IF(H11="string",REPT(CHAR(9),2)&amp;"public const int Max"&amp;D11&amp;"Length = "&amp;G11&amp;";"&amp;$E$3,"" )</f>
        <v xml:space="preserve">		public const int MaxBranchNoLength = 4;
</v>
      </c>
      <c r="J11" t="str">
        <f t="shared" ref="J11:J12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[StringLength(MaxBranchNoLength)]
		public virtual string BranchNo { get; set; }
</v>
      </c>
      <c r="K11" s="6"/>
      <c r="L11" t="str">
        <f t="shared" ref="L11:L12" si="31">IF(K11="","",REPT(CHAR(9),1)&amp;"[Index(nameof("&amp;IF(D11="","",""&amp;D11)&amp;")"&amp;", Name="&amp;"""IX_"&amp;$B$7&amp;"_"&amp;D11&amp;""")]")</f>
        <v/>
      </c>
      <c r="M11" t="str">
        <f t="shared" ref="M11:M12" si="32">REPT(CHAR(9),2)&amp;"public virtual "&amp;IF(OR(H11="DateTime",H11="TimeSpan"),H11&amp;"?",H11)&amp;IF(C11="?","? "," ")&amp;D11&amp;" { get; set; }" &amp; "
"</f>
        <v xml:space="preserve">		public virtual string BranchNo { get; set; }
</v>
      </c>
      <c r="N11" t="str">
        <f t="shared" ref="N11:N12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[StringLength(MstCmmPlantConsts.MaxBranchNoLength)]
		public virtual string BranchNo { get; set; }
</v>
      </c>
      <c r="O11" t="str">
        <f t="shared" ref="O11:O12" si="34">IF(OR(H11="string",H11="DateTime",H11="int"),REPT(CHAR(9),2)&amp;"public virtual "&amp;IF(OR(H11="DateTime",H11="TimeSpan"),H11&amp;"?",H11)&amp;IF(C11="?","? "," ")&amp;D11&amp;" { get; set; }"&amp;$E$3,"")</f>
        <v xml:space="preserve">		public virtual string BranchNo { get; set; }
</v>
      </c>
      <c r="P11" t="str">
        <f t="shared" ref="P11:P12" si="35">REPT(CHAR(9),7)&amp;D11&amp;" = o." &amp;D11 &amp;","</f>
        <v xml:space="preserve">							BranchNo = o.BranchNo,</v>
      </c>
      <c r="T11" s="64" t="str">
        <f t="shared" ref="T11:T12" si="36">REPT(CHAR(9),8)&amp;"("""&amp;D11&amp;"""),"</f>
        <v xml:space="preserve">								("BranchNo"),</v>
      </c>
      <c r="V11" s="65" t="str">
        <f t="shared" ref="V11:V12" si="37">REPT(CHAR(9),8)&amp;"_ =&gt; _."&amp;D11&amp;","</f>
        <v xml:space="preserve">								_ =&gt; _.BranchNo,</v>
      </c>
      <c r="W11" s="64" t="str">
        <f t="shared" ref="W11:W12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.WhereIf(!string.IsNullOrWhiteSpace(input.BranchNo), e =&gt; e.BranchNo.Contains(input.BranchNo))</v>
      </c>
    </row>
    <row r="12" spans="1:23" customFormat="1" ht="18.75" customHeight="1" x14ac:dyDescent="0.25">
      <c r="A12" t="s">
        <v>363</v>
      </c>
      <c r="B12" t="s">
        <v>364</v>
      </c>
      <c r="C12" t="s">
        <v>1</v>
      </c>
      <c r="D12" t="str">
        <f t="shared" si="26"/>
        <v>AddressLanguageEn</v>
      </c>
      <c r="E12" t="str">
        <f t="shared" si="27"/>
        <v>nvarchar</v>
      </c>
      <c r="F12" s="6"/>
      <c r="G12" t="str">
        <f t="shared" si="28"/>
        <v>200</v>
      </c>
      <c r="H12" t="str">
        <f>+VLOOKUP(E12,'Data Type Mapping'!A:B,2,)</f>
        <v>string</v>
      </c>
      <c r="I12" t="str">
        <f t="shared" si="29"/>
        <v xml:space="preserve">		public const int MaxAddressLanguageEnLength = 200;
</v>
      </c>
      <c r="J12" t="str">
        <f t="shared" si="30"/>
        <v xml:space="preserve">		[StringLength(MaxAddressLanguageEnLength)]
		public virtual string AddressLanguageEn { get; set; }
</v>
      </c>
      <c r="K12" s="6"/>
      <c r="L12" t="str">
        <f t="shared" si="31"/>
        <v/>
      </c>
      <c r="M12" t="str">
        <f t="shared" si="32"/>
        <v xml:space="preserve">		public virtual string AddressLanguageEn { get; set; }
</v>
      </c>
      <c r="N12" t="str">
        <f t="shared" si="33"/>
        <v xml:space="preserve">		[StringLength(MstCmmPlantConsts.MaxAddressLanguageEnLength)]
		public virtual string AddressLanguageEn { get; set; }
</v>
      </c>
      <c r="O12" t="str">
        <f t="shared" si="34"/>
        <v xml:space="preserve">		public virtual string AddressLanguageEn { get; set; }
</v>
      </c>
      <c r="P12" t="str">
        <f t="shared" si="35"/>
        <v xml:space="preserve">							AddressLanguageEn = o.AddressLanguageEn,</v>
      </c>
      <c r="T12" s="64" t="str">
        <f t="shared" si="36"/>
        <v xml:space="preserve">								("AddressLanguageEn"),</v>
      </c>
      <c r="V12" s="65" t="str">
        <f t="shared" si="37"/>
        <v xml:space="preserve">								_ =&gt; _.AddressLanguageEn,</v>
      </c>
      <c r="W12" s="64" t="str">
        <f t="shared" si="38"/>
        <v xml:space="preserve">				.WhereIf(!string.IsNullOrWhiteSpace(input.AddressLanguageEn), e =&gt; e.AddressLanguageEn.Contains(input.AddressLanguageEn))</v>
      </c>
    </row>
    <row r="13" spans="1:23" customFormat="1" ht="18.75" customHeight="1" x14ac:dyDescent="0.25">
      <c r="A13" t="s">
        <v>362</v>
      </c>
      <c r="B13" t="s">
        <v>364</v>
      </c>
      <c r="C13" t="s">
        <v>1</v>
      </c>
      <c r="D13" t="str">
        <f t="shared" ref="D13" si="39">SUBSTITUTE(PROPER(A13),"_","")</f>
        <v>AddressLanguageVn</v>
      </c>
      <c r="E13" t="str">
        <f t="shared" ref="E13" si="40">IFERROR(LEFT(B13, FIND("(",B13)-1),B13)</f>
        <v>nvarchar</v>
      </c>
      <c r="F13" s="6"/>
      <c r="G13" t="str">
        <f t="shared" ref="G13" si="41">IFERROR(MID(B13,FIND("(",B13) +1, FIND(")",B13) - FIND("(",B13) - 1),"")</f>
        <v>200</v>
      </c>
      <c r="H13" t="str">
        <f>+VLOOKUP(E13,'Data Type Mapping'!A:B,2,)</f>
        <v>string</v>
      </c>
      <c r="I13" t="str">
        <f t="shared" ref="I13" si="42">IF(H13="string",REPT(CHAR(9),2)&amp;"public const int Max"&amp;D13&amp;"Length = "&amp;G13&amp;";"&amp;$E$3,"" )</f>
        <v xml:space="preserve">		public const int MaxAddressLanguageVnLength = 200;
</v>
      </c>
      <c r="J13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[StringLength(MaxAddressLanguageVnLength)]
		public virtual string AddressLanguageVn { get; set; }
</v>
      </c>
      <c r="K13" s="6"/>
      <c r="L13" t="str">
        <f t="shared" ref="L13" si="44">IF(K13="","",REPT(CHAR(9),1)&amp;"[Index(nameof("&amp;IF(D13="","",""&amp;D13)&amp;")"&amp;", Name="&amp;"""IX_"&amp;$B$7&amp;"_"&amp;D13&amp;""")]")</f>
        <v/>
      </c>
      <c r="M13" t="str">
        <f t="shared" ref="M13" si="45">REPT(CHAR(9),2)&amp;"public virtual "&amp;IF(OR(H13="DateTime",H13="TimeSpan"),H13&amp;"?",H13)&amp;IF(C13="?","? "," ")&amp;D13&amp;" { get; set; }" &amp; "
"</f>
        <v xml:space="preserve">		public virtual string AddressLanguageVn { get; set; }
</v>
      </c>
      <c r="N13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[StringLength(MstCmmPlantConsts.MaxAddressLanguageVnLength)]
		public virtual string AddressLanguageVn { get; set; }
</v>
      </c>
      <c r="O13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AddressLanguageVn { get; set; }
</v>
      </c>
      <c r="P13" t="str">
        <f t="shared" ref="P13" si="48">REPT(CHAR(9),7)&amp;D13&amp;" = o." &amp;D13 &amp;","</f>
        <v xml:space="preserve">							AddressLanguageVn = o.AddressLanguageVn,</v>
      </c>
      <c r="T13" s="64" t="str">
        <f t="shared" ref="T13" si="49">REPT(CHAR(9),8)&amp;"("""&amp;D13&amp;"""),"</f>
        <v xml:space="preserve">								("AddressLanguageVn"),</v>
      </c>
      <c r="V13" s="65" t="str">
        <f t="shared" ref="V13" si="50">REPT(CHAR(9),8)&amp;"_ =&gt; _."&amp;D13&amp;","</f>
        <v xml:space="preserve">								_ =&gt; _.AddressLanguageVn,</v>
      </c>
      <c r="W13" s="64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.WhereIf(!string.IsNullOrWhiteSpace(input.AddressLanguageVn), e =&gt; e.AddressLanguageVn.Contains(input.AddressLanguageVn))</v>
      </c>
    </row>
    <row r="14" spans="1:23" customFormat="1" ht="22.5" customHeight="1" x14ac:dyDescent="0.25">
      <c r="A14" t="s">
        <v>324</v>
      </c>
      <c r="B14" t="s">
        <v>355</v>
      </c>
      <c r="C14" t="s">
        <v>1</v>
      </c>
      <c r="D14" t="str">
        <f>SUBSTITUTE(PROPER(A14),"_","")</f>
        <v>IsActive</v>
      </c>
      <c r="E14" t="str">
        <f t="shared" ref="E14" si="52">IFERROR(LEFT(B14, FIND("(",B14)-1),B14)</f>
        <v>nvarchar</v>
      </c>
      <c r="F14" s="6"/>
      <c r="G14" t="str">
        <f t="shared" ref="G14" si="53">IFERROR(MID(B14,FIND("(",B14) +1, FIND(")",B14) - FIND("(",B14) - 1),"")</f>
        <v>1</v>
      </c>
      <c r="H14" t="str">
        <f>+VLOOKUP(E14,'[1]Data Type Mapping'!A:B,2,)</f>
        <v>string</v>
      </c>
      <c r="I14" t="str">
        <f t="shared" ref="I14" si="54">IF(H14="string",REPT(CHAR(9),2)&amp;"public const int Max"&amp;D14&amp;"Length = "&amp;G14&amp;";"&amp;$E$3,"" )</f>
        <v xml:space="preserve">		public const int MaxIsActiveLength = 1;
</v>
      </c>
      <c r="J14" t="str">
        <f t="shared" ref="J14" si="55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[StringLength(MaxIsActiveLength)]
		public virtual string IsActive { get; set; }
</v>
      </c>
      <c r="K14" s="6" t="s">
        <v>206</v>
      </c>
      <c r="L14" t="str">
        <f>IF(K14="","",REPT(CHAR(9),1)&amp;"[Index(nameof("&amp;IF(D14="","",""&amp;D14)&amp;")"&amp;", Name="&amp;"""IX_"&amp;$B$7&amp;"_"&amp;D14&amp;""")]")</f>
        <v xml:space="preserve">	[Index(nameof(IsActive), Name="IX_MstCmmPlant_IsActive")]</v>
      </c>
      <c r="M14" t="str">
        <f t="shared" ref="M14" si="56">REPT(CHAR(9),2)&amp;"public virtual "&amp;IF(OR(H14="DateTime",H14="TimeSpan"),H14&amp;"?",H14)&amp;IF(C14="?","? "," ")&amp;D14&amp;" { get; set; }" &amp; "
"</f>
        <v xml:space="preserve">		public virtual string IsActive { get; set; }
</v>
      </c>
      <c r="N14" t="str">
        <f t="shared" ref="N14" si="57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[StringLength(MstCmmPlantConsts.MaxIsActiveLength)]
		public virtual string IsActive { get; set; }
</v>
      </c>
      <c r="O14" t="str">
        <f t="shared" ref="O14" si="58">IF(OR(H14="string",H14="DateTime",H14="int"),REPT(CHAR(9),2)&amp;"public virtual "&amp;IF(OR(H14="DateTime",H14="TimeSpan"),H14&amp;"?",H14)&amp;IF(C14="?","? "," ")&amp;D14&amp;" { get; set; }"&amp;$E$3,"")</f>
        <v xml:space="preserve">		public virtual string IsActive { get; set; }
</v>
      </c>
      <c r="P14" t="str">
        <f t="shared" ref="P14" si="59">REPT(CHAR(9),7)&amp;D14&amp;" = o." &amp;D14 &amp;","</f>
        <v xml:space="preserve">							IsActive = o.IsActive,</v>
      </c>
      <c r="T14" s="64" t="str">
        <f t="shared" ref="T14" si="60">REPT(CHAR(9),8)&amp;"("""&amp;D14&amp;"""),"</f>
        <v xml:space="preserve">								("IsActive"),</v>
      </c>
      <c r="V14" s="65" t="str">
        <f t="shared" ref="V14" si="61">REPT(CHAR(9),8)&amp;"_ =&gt; _."&amp;D14&amp;","</f>
        <v xml:space="preserve">								_ =&gt; _.IsActive,</v>
      </c>
      <c r="W14" s="64" t="str">
        <f t="shared" ref="W14" si="62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.WhereIf(!string.IsNullOrWhiteSpace(input.IsActive), e =&gt; e.IsActive.Contains(input.IsActive))</v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MaxPlantCodeLength = 4;
		public const int MaxPlantNameLength = 30;
		public const int MaxBranchNoLength = 4;
		public const int MaxAddressLanguageEnLength = 200;
		public const int MaxAddressLanguageVnLength = 200;
		public const int MaxIsActiveLength = 1;
</v>
      </c>
      <c r="J16" s="30" t="str">
        <f ca="1">TEXTJOIN2("
", TRUE,INDIRECT( $F$1):INDIRECT( $F$3))</f>
        <v xml:space="preserve">		[StringLength(MaxPlantCodeLength)]
		public virtual string PlantCode { get; set; }
		[StringLength(MaxPlantNameLength)]
		public virtual string PlantName { get; set; }
		[StringLength(MaxBranchNoLength)]
		public virtual string BranchNo { get; set; }
		[StringLength(MaxAddressLanguageEnLength)]
		public virtual string AddressLanguageEn { get; set; }
		[StringLength(MaxAddressLanguageVnLength)]
		public virtual string AddressLanguageVn { get; set; }
		[StringLength(MaxIsActiveLength)]
		public virtual string IsActive { get; set; }
</v>
      </c>
      <c r="K16" s="32" t="str">
        <f ca="1">TEXTJOIN2("
", TRUE,INDIRECT( $J$1):INDIRECT( $J$3))</f>
        <v xml:space="preserve">	[Index(nameof(PlantCode), Name="IX_MstCmmPlant_PlantCode")]
	[Index(nameof(IsActive), Name="IX_MstCmmPlant_IsActive")]</v>
      </c>
      <c r="L16" s="12" t="s">
        <v>60</v>
      </c>
      <c r="M16" s="33" t="str">
        <f ca="1">TEXTJOIN2("
",TRUE,INDIRECT( $L$1):INDIRECT($L$3))</f>
        <v xml:space="preserve">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</v>
      </c>
      <c r="N16" s="30" t="str">
        <f ca="1">TEXTJOIN2("
",TRUE,INDIRECT( $M$1):INDIRECT($M$3))</f>
        <v xml:space="preserve">		[StringLength(MstCmmPlantConsts.MaxPlantCodeLength)]
		public virtual string PlantCode { get; set; }
		[StringLength(MstCmmPlantConsts.MaxPlantNameLength)]
		public virtual string PlantName { get; set; }
		[StringLength(MstCmmPlantConsts.MaxBranchNoLength)]
		public virtual string BranchNo { get; set; }
		[StringLength(MstCmmPlantConsts.MaxAddressLanguageEnLength)]
		public virtual string AddressLanguageEn { get; set; }
		[StringLength(MstCmmPlantConsts.MaxAddressLanguageVnLength)]
		public virtual string AddressLanguageVn { get; set; }
		[StringLength(MstCmmPlantConsts.MaxIsActiveLength)]
		public virtual string IsActive { get; set; }
</v>
      </c>
      <c r="O16" s="30" t="str">
        <f ca="1">TEXTJOIN2("
",TRUE,INDIRECT( $N$1):INDIRECT($N$3))</f>
        <v xml:space="preserve">		public virtual string PlantCode { get; set; }
		public virtual string PlantName { get; set; }
		public virtual string BranchNo { get; set; }
		public virtual string AddressLanguageEn { get; set; }
		public virtual string AddressLanguageVn { get; set; }
		public virtual string IsActive { get; set; }
</v>
      </c>
      <c r="P16" s="8" t="str">
        <f ca="1">TEXTJOIN2("
",TRUE,INDIRECT( $O$1):INDIRECT($O$3))</f>
        <v xml:space="preserve">							PlantCode = o.PlantCode,
							PlantName = o.PlantName,
							BranchNo = o.BranchNo,
							AddressLanguageEn = o.AddressLanguageEn,
							AddressLanguageVn = o.AddressLanguageVn,
							IsActive = o.IsActive,</v>
      </c>
      <c r="T16" s="8" t="str">
        <f ca="1">TEXTJOIN2("
",TRUE,INDIRECT( $T$2):INDIRECT($T$3))</f>
        <v xml:space="preserve">								("PlantCode"),
								("PlantName"),
								("BranchNo"),
								("AddressLanguageEn"),
								("AddressLanguageVn"),
								("IsActive"),</v>
      </c>
      <c r="V16" s="8" t="str">
        <f ca="1">TEXTJOIN2("
",TRUE,INDIRECT( $V$2):INDIRECT($V$3))</f>
        <v xml:space="preserve">								_ =&gt; _.PlantCode,
								_ =&gt; _.PlantName,
								_ =&gt; _.BranchNo,
								_ =&gt; _.AddressLanguageEn,
								_ =&gt; _.AddressLanguageVn,
								_ =&gt; _.IsActive,</v>
      </c>
      <c r="W16" s="8" t="str">
        <f ca="1">TEXTJOIN2("
",TRUE,INDIRECT( $W$2):INDIRECT($W$3))</f>
        <v xml:space="preserve">				.WhereIf(!string.IsNullOrWhiteSpace(input.PlantCode), e =&gt; e.PlantCode.Contains(input.PlantCode))
				.WhereIf(!string.IsNullOrWhiteSpace(input.PlantName), e =&gt; e.PlantName.Contains(input.PlantName))
				.WhereIf(!string.IsNullOrWhiteSpace(input.BranchNo), e =&gt; e.BranchNo.Contains(input.BranchNo))
				.WhereIf(!string.IsNullOrWhiteSpace(input.AddressLanguageEn), e =&gt; e.AddressLanguageEn.Contains(input.AddressLanguageEn))
				.WhereIf(!string.IsNullOrWhiteSpace(input.AddressLanguageVn), e =&gt; e.AddressLanguageVn.Contains(input.AddressLanguageVn))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workbookViewId="0">
      <selection activeCell="A20" sqref="A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212</v>
      </c>
      <c r="B1" s="39" t="s">
        <v>356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237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237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214</v>
      </c>
      <c r="B4" s="40" t="str">
        <f>A.Backend!Q3</f>
        <v>Common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214</v>
      </c>
      <c r="B5" s="40" t="str">
        <f>LOWER(B4)</f>
        <v>common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224</v>
      </c>
      <c r="B6" s="41" t="str">
        <f>A.Backend!B3</f>
        <v>MstCmmPlant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215</v>
      </c>
      <c r="B7" s="40" t="str">
        <f>A.Backend!B5</f>
        <v>Plant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213</v>
      </c>
      <c r="B8" s="40" t="str">
        <f>LOWER(B7)</f>
        <v>plant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216</v>
      </c>
      <c r="B9" s="51"/>
      <c r="C9" s="50"/>
      <c r="D9" s="50"/>
      <c r="E9" s="50"/>
      <c r="F9" s="50"/>
      <c r="G9" s="50"/>
      <c r="H9" s="42" t="s">
        <v>269</v>
      </c>
      <c r="I9" s="43" t="s">
        <v>270</v>
      </c>
      <c r="J9" s="42" t="s">
        <v>219</v>
      </c>
      <c r="K9" s="44" t="s">
        <v>256</v>
      </c>
      <c r="L9" s="43" t="s">
        <v>260</v>
      </c>
      <c r="M9" s="42" t="s">
        <v>249</v>
      </c>
      <c r="N9" s="42" t="s">
        <v>220</v>
      </c>
      <c r="O9" s="42" t="s">
        <v>221</v>
      </c>
      <c r="P9" s="43" t="s">
        <v>223</v>
      </c>
      <c r="Q9" s="42" t="s">
        <v>250</v>
      </c>
      <c r="R9" s="42" t="s">
        <v>233</v>
      </c>
      <c r="S9" s="28"/>
      <c r="T9" s="28"/>
      <c r="U9" s="28"/>
      <c r="V9" s="28"/>
    </row>
    <row r="10" spans="1:22" ht="18.75" customHeight="1" x14ac:dyDescent="0.25">
      <c r="A10" s="52" t="s">
        <v>217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MstCmmPlantDto, MstCmmPlantServiceProxy } from '@shared/service-proxies/service-proxies';
import { finalize } from 'rxjs/internal/operators/finalize';
import { CreateOrEditPlantModalComponent } from './create-or-edit-plant-modal.component';
import { DatePipe } from '@angular/common';
import { FileDownloadService } from '@shared/utils/file-download.service';
import ceil from 'lodash-es/ceil';
import { Paginator } from 'primeng/paginator';
@Component({
    templateUrl: './plant.component.html',
    styleUrls: ['./plant.component.less'],
})
export class PlantComponent extends AppComponentBase implements OnInit {
    @ViewChild('createOrEditModalPlant', { static: true }) createOrEditModalPlant:| CreateOrEditPlantModalComponent|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MstCmmPlantDto = new MstCmmPlantDto();
    saveSelectedRow: MstCmmPlantDto = new MstCmmPlantDto();
    datas: MstCmmPlantDto = new MstCmmPlantDto();
    isLoading: boolean = false;
    dataParams: GridParams | undefined;
    rowData: any[] = [];
    gridApi!: GridApi;
    rowSelection = 'multiple';
    filter: string = '';
	pipe = new DatePipe('en-US');
	frameworkComponents: FrameworkComponent;
    	plantCode : string = '' ; 
	plantName : string = '' ; 
	branchNo : string = '' ; 
	addressLanguageEn : string = '' ; 
	addressLanguageVn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MstCmmPlantServiceProxy,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this.l('Plant Code'),headerTooltip: this.l('Plant Code'),field: 'plantCode',flex: 1},
			{headerName: this.l('Plant Name'),headerTooltip: this.l('Plant Name'),field: 'plantName',flex: 1},
			{headerName: this.l('Branch No'),headerTooltip: this.l('Branch No'),field: 'branchNo',flex: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this.plantCode,
			this.plantName,
			this.branchNo,
			this.addressLanguageEn,
			this.addressLanguageVn,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this.plantCode = '',
		this.plantName = '',
		this.branchNo = '',
		this.addressLanguageEn = '',
		this.addressLanguageVn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this.plantCode,
			this.plantName,
			this.branchNo,
			this.addressLanguageEn,
			this.addressLanguageVn,
			this.isActive,
			'',
            this.paginationParams.skipCount,
            this.paginationParams.pageSize
        );
    }
    onChangeRowSelection(params: { api: { getSelectedRows: () =&gt; MstCmmPlantDto[] } }) {
        this.saveSelectedRow = params.api.getSelectedRows()[0] ?? new MstCmmPlantDto();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MstCmmPlantDto):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this._service.getPlantToExcel(
			this.plantCode,
			this.plantName,
			this.branchNo,
			this.addressLanguageEn,
			this.addressLanguageVn,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Organization Plant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[(ngModel)]='branchNo' name='branchNo'
									class='form-control' [placeholder]="l('Branch No')"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(click)="createOrEditModalPlant.show()"&gt;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(click)="createOrEditModalPlant.show(selectedRow)"&gt;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&lt;create-or-edit-plant-modal
    #createOrEditModalPlant
    (modalSave)="callBackDataGrid(dataParams)"
    (modalClose)="onChangeRowSelection(dataParams)"
&gt;
&lt;/create-or-edit-plant-modal&gt;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#createOrEditModalPlant="bs-modal"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Plant')}}&lt;/h3&gt;
                    &lt;h3 *ngIf="!rowdata.id"&gt;{{('Create New Plant')}}&lt;/h3&gt;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title'&gt;Branch No&lt;/label&gt;
						&lt;input type='text' class='col-md-10 form-control input-text' name='BranchNo' [(ngModel)]='rowdata.branchNo'&gt;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CreateOrEditMstCmmPlantDto, MstCmmPlantServiceProxy } from '@shared/service-proxies/service-proxies';
import { BsDatepickerDirective } from 'ngx-bootstrap/datepicker';
@Component({
    selector: 'create-or-edit-plant-modal',
    templateUrl: './create-or-edit-plant-modal.component.html',
    styleUrls: ['./create-or-edit-plant-modal.component.less']
    })
export class CreateOrEditPlantModalComponent extends AppComponentBase {
    @ViewChild('createOrEditModalPlant',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CreateOrEditMstCmmPlantDto = new CreateOrEditMstCmmPlantDto();
    active: boolean = false;
    saving: boolean = false;
    _isActive: boolean;
    constructor(
        injector: Injector,
        private _mstwptPlantService: MstCmmPlantServiceProxy,
    ) 
    {
        super(injector);
    }
    show(rowdata?: CreateOrEditMstCmmPlantDto): void {
        if (!rowdata) this.rowdata = new CreateOrEditMstCmmPlantDto();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this._mstwptPlantService.createOrEdit(this.rowdata)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PlantRoutingModule } from './plant-routing.module';
import { PlantComponent } from './plant.component';
import { CreateOrEditPlantModalComponent } from './create-or-edit-plant-modal.component';
@NgModule({
    declarations: [
       PlantComponent, 
        CreateOrEditPlantModalComponent
    ],
    imports: [
        AppSharedModule, PlantRoutingModule]
})
export class PlantModule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PlantComponent } from './plant.component';
const routes: Routes = [{
    path: '',
    component: PlantComponent,
    pathMatch: 'full'
}];
@NgModule({
    imports: [RouterModule.forChild(routes)],
    exports: [RouterModule],
})
export class PlantRoutingModule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AppMenuItem("Plant", "Pages.Master.Common.Plant", "flaticon-book",   "/app/main/master/common/plant"),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'master/common/plant',
    loadChildren: () =&gt; import('./master/common/plant/plant.module').then(m =&gt; m.PlantModule),
    data: { permission: 'Pages.Master.Common.Plant' }
},</v>
      </c>
      <c r="R10" s="47" t="str">
        <f>SUBSTITUTE(R9,"MstWptCalendar",$B$6)</f>
        <v>ApiServiceProxies.MstCmmPlantServiceProxy,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248</v>
      </c>
      <c r="I11" s="28" t="s">
        <v>261</v>
      </c>
      <c r="J11" s="28"/>
      <c r="K11" s="28" t="s">
        <v>259</v>
      </c>
      <c r="L11" s="28" t="s">
        <v>262</v>
      </c>
      <c r="M11" s="35"/>
      <c r="N11" s="28"/>
      <c r="O11" s="28"/>
      <c r="P11" s="28"/>
      <c r="Q11" s="28"/>
      <c r="R11" s="28"/>
      <c r="S11" s="28" t="s">
        <v>253</v>
      </c>
      <c r="T11" s="28" t="s">
        <v>254</v>
      </c>
      <c r="U11" s="28" t="s">
        <v>263</v>
      </c>
      <c r="V11" s="28" t="s">
        <v>265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this.l('Plant Code'),headerTooltip: this.l('Plant Code'),field: 'plantCode',flex: 1},
			{headerName: this.l('Plant Name'),headerTooltip: this.l('Plant Name'),field: 'plantName',flex: 1},
			{headerName: this.l('Branch No'),headerTooltip: this.l('Branch No'),field: 'branchNo',flex: 1},
			{headerName: this.l('Address Language En'),headerTooltip: this.l('Address Language En'),field: 'addressLanguageEn',flex: 1},
			{headerName: this.l('Address Language Vn'),headerTooltip: this.l('Address Language Vn'),field: 'addressLanguageVn',flex: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[(ngModel)]='plantCode' name='plantCode'
									class='form-control' [placeholder]="l('Plant Code')"
									type='text' (keyup.enter)='searchDatas()'&gt;
								&lt;/div&gt;
								&lt;div class='input-search'&gt;
									&lt;input [(ngModel)]='plantName' name='plantName'
									class='form-control' [placeholder]="l('Plant Name')"
									type='text' (keyup.enter)='searchDatas()'&gt;
								&lt;/div&gt;
								&lt;div class='input-search'&gt;
									&lt;input [(ngModel)]='branchNo' name='branchNo'
									class='form-control' [placeholder]="l('Branch No')"
									type='text' (keyup.enter)='searchDatas()'&gt;
								&lt;/div&gt;
								&lt;div class='input-search'&gt;
									&lt;input [(ngModel)]='addressLanguageEn' name='addressLanguageEn'
									class='form-control' [placeholder]="l('Address Language En')"
									type='text' (keyup.enter)='searchDatas()'&gt;
								&lt;/div&gt;
								&lt;div class='input-search'&gt;
									&lt;input [(ngModel)]='addressLanguageVn' name='addressLanguageVn'
									class='form-control' [placeholder]="l('Address Language Vn')"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
					&lt;div class='col-md-12 form-group row'&gt;
						&lt;label class='col-md-2 form-control title'&gt;Plant Name&lt;/label&gt;
						&lt;input type='text' class='col-md-10 form-control input-text' name='PlantName' [(ngModel)]='rowdata.plantName'&gt;
					&lt;/div&gt;
					&lt;div class='col-md-12 form-group row'&gt;
						&lt;label class='col-md-2 form-control title'&gt;Branch No&lt;/label&gt;
						&lt;input type='text' class='col-md-10 form-control input-text' name='BranchNo' [(ngModel)]='rowdata.branchNo'&gt;
					&lt;/div&gt;
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
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plantCode : string = '' ; 
	plantName : string = '' ; 
	branchNo : string = '' ; 
	addressLanguageEn : string = '' ; 
	addressLanguageVn : string = '' ; 
	isActive : string = '' ; </v>
      </c>
      <c r="T13" s="63" t="str">
        <f ca="1">TEXTJOIN2("
",TRUE,INDIRECT(T11):INDIRECT(T12))</f>
        <v xml:space="preserve">			this.plantCode,
			this.plantName,
			this.branchNo,
			this.addressLanguageEn,
			this.addressLanguageVn,
			this.isActive,</v>
      </c>
      <c r="U13" s="63" t="str">
        <f ca="1">TEXTJOIN2("
",TRUE,INDIRECT(U11):INDIRECT(U12))</f>
        <v xml:space="preserve">		this.plantCode = '',
		this.plantName = '',
		this.branchNo = '',
		this.addressLanguageEn = '',
		this.addressLanguageVn = '',
		this.isActive = '',</v>
      </c>
      <c r="V13" s="28" t="str">
        <f ca="1">TEXTJOIN2("
",TRUE,INDIRECT(V11):INDIRECT(V12))</f>
        <v>isActive</v>
      </c>
    </row>
    <row r="14" spans="1:22" x14ac:dyDescent="0.25">
      <c r="A14" s="38" t="s">
        <v>218</v>
      </c>
      <c r="B14" s="28"/>
      <c r="C14" s="28"/>
      <c r="D14" s="28"/>
      <c r="E14" s="28"/>
      <c r="F14" s="28"/>
      <c r="G14" s="28"/>
      <c r="H14" s="36" t="str">
        <f>B8&amp;".component.ts"</f>
        <v>plant.component.ts</v>
      </c>
      <c r="I14" s="37" t="str">
        <f>B8&amp;".component.html"</f>
        <v>plant.component.html</v>
      </c>
      <c r="J14" s="36" t="str">
        <f>B8&amp;".component.less"</f>
        <v>plant.component.less</v>
      </c>
      <c r="K14" s="37" t="str">
        <f>"create-or-edit-"&amp;B8&amp;"-modal.component.html"</f>
        <v>create-or-edit-plant-modal.component.html</v>
      </c>
      <c r="L14" s="37" t="str">
        <f>"create-or-edit-"&amp;B8&amp;"-modal.component.ts"</f>
        <v>create-or-edit-plant-modal.component.ts</v>
      </c>
      <c r="M14" s="37" t="str">
        <f>"create-or-edit-"&amp;B8&amp;"-modal.component.less"</f>
        <v>create-or-edit-plant-modal.component.less</v>
      </c>
      <c r="N14" s="37" t="str">
        <f>B8&amp;".module.ts"</f>
        <v>plant.module.ts</v>
      </c>
      <c r="O14" s="37" t="str">
        <f>B8&amp;"-routing.module.ts"</f>
        <v>plant-routing.module.ts</v>
      </c>
      <c r="P14" s="37" t="s">
        <v>222</v>
      </c>
      <c r="Q14" s="37" t="s">
        <v>225</v>
      </c>
      <c r="R14" s="38" t="s">
        <v>232</v>
      </c>
      <c r="S14" s="37" t="s">
        <v>251</v>
      </c>
      <c r="T14" s="37" t="s">
        <v>252</v>
      </c>
      <c r="U14" s="37" t="s">
        <v>255</v>
      </c>
      <c r="V14" s="37" t="s">
        <v>264</v>
      </c>
    </row>
    <row r="15" spans="1:22" ht="15" customHeight="1" x14ac:dyDescent="0.25">
      <c r="A15" s="28" t="s">
        <v>357</v>
      </c>
      <c r="B15" s="28" t="str">
        <f t="shared" ref="B15:B16" si="0">SUBSTITUTE(PROPER(A15),"_","")</f>
        <v>PlantCode</v>
      </c>
      <c r="C15" s="28" t="str">
        <f t="shared" ref="C15:C16" si="1">SUBSTITUTE(PROPER(A15),"_"," ")</f>
        <v>Plant Code</v>
      </c>
      <c r="D15" s="28" t="str">
        <f t="shared" ref="D15:D16" si="2">LOWER(LEFT(B15,1))&amp;RIGHT(B15,LEN(B15) - 1)</f>
        <v>plantCode</v>
      </c>
      <c r="E15" s="28" t="str">
        <f>A.Backend!H9</f>
        <v>string</v>
      </c>
      <c r="F15" s="28" t="str">
        <f>A.Backend!G9</f>
        <v>4</v>
      </c>
      <c r="G15" s="28" t="str">
        <f t="shared" ref="G15:G16" si="3">IF(E15="string"," : string = '' ; ",IF(OR(E15="DateTime",E15="TimeSpan")," : any ;",IF(E15="int"," : number = 0 ;","")))</f>
        <v xml:space="preserve"> : string = '' ; </v>
      </c>
      <c r="H15" s="35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this.l('Plant Code'),headerTooltip: this.l('Plant Code'),field: 'plantCode',flex: 1},</v>
      </c>
      <c r="I15" s="35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[(ngModel)]='plantCode' name='plantCode'
									class='form-control' [placeholder]="l('Plant Code')"
									type='text' (keyup.enter)='searchDatas()'&gt;
								&lt;/div&gt;</v>
      </c>
      <c r="J15" s="28"/>
      <c r="K15" s="35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title'&gt;Plant Code&lt;/label&gt;
						&lt;input type='text' class='col-md-10 form-control input-text' name='PlantCode' [(ngModel)]='rowdata.plantCode'&gt;
					&lt;/div&gt;</v>
      </c>
      <c r="L15" s="56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plantCode : string = '' ; </v>
      </c>
      <c r="T15" s="28" t="str">
        <f>REPT(CHAR(9),3)&amp;"this."&amp;D15&amp;","</f>
        <v xml:space="preserve">			this.plantCode,</v>
      </c>
      <c r="U15" s="28" t="str">
        <f>IF(E15="int",REPT(CHAR(9),2)&amp;"this."&amp;D15&amp;" = 0,",REPT(CHAR(9),2)&amp;"this."&amp;D15&amp;" = '',")</f>
        <v xml:space="preserve">		this.plantCode = '',</v>
      </c>
      <c r="V15" s="28" t="str">
        <f t="shared" ref="V15:V16" si="8">IF(AND(E15="string",F15="1"),D15,"")</f>
        <v/>
      </c>
    </row>
    <row r="16" spans="1:22" ht="18" customHeight="1" x14ac:dyDescent="0.25">
      <c r="A16" s="28" t="s">
        <v>358</v>
      </c>
      <c r="B16" s="28" t="str">
        <f t="shared" si="0"/>
        <v>PlantName</v>
      </c>
      <c r="C16" s="28" t="str">
        <f t="shared" si="1"/>
        <v>Plant Name</v>
      </c>
      <c r="D16" s="28" t="str">
        <f t="shared" si="2"/>
        <v>plantName</v>
      </c>
      <c r="E16" s="28" t="str">
        <f>A.Backend!H10</f>
        <v>string</v>
      </c>
      <c r="F16" s="28" t="str">
        <f>A.Backend!G10</f>
        <v>30</v>
      </c>
      <c r="G16" s="28" t="str">
        <f t="shared" si="3"/>
        <v xml:space="preserve"> : string = '' ; </v>
      </c>
      <c r="H16" s="35" t="str">
        <f t="shared" si="4"/>
        <v xml:space="preserve">			{headerName: this.l('Plant Name'),headerTooltip: this.l('Plant Name'),field: 'plantName',flex: 1},</v>
      </c>
      <c r="I16" s="35" t="str">
        <f t="shared" si="5"/>
        <v xml:space="preserve">								&lt;div class='input-search'&gt;
									&lt;input [(ngModel)]='plantName' name='plantName'
									class='form-control' [placeholder]="l('Plant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title'&gt;Plant Name&lt;/label&gt;
						&lt;input type='text' class='col-md-10 form-control input-text' name='PlantName' [(ngModel)]='rowdata.plantName'&gt;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ref="S16" si="9">REPT(CHAR(9),1)&amp;D16&amp;G16</f>
        <v xml:space="preserve">	plantName : string = '' ; </v>
      </c>
      <c r="T16" s="28" t="str">
        <f t="shared" ref="T16" si="10">REPT(CHAR(9),3)&amp;"this."&amp;D16&amp;","</f>
        <v xml:space="preserve">			this.plantName,</v>
      </c>
      <c r="U16" s="28" t="str">
        <f t="shared" ref="U16" si="11">IF(E16="int",REPT(CHAR(9),2)&amp;"this."&amp;D16&amp;" = 0,",REPT(CHAR(9),2)&amp;"this."&amp;D16&amp;" = '',")</f>
        <v xml:space="preserve">		this.plantName = '',</v>
      </c>
      <c r="V16" s="28" t="str">
        <f t="shared" si="8"/>
        <v/>
      </c>
    </row>
    <row r="17" spans="1:22" ht="18" customHeight="1" x14ac:dyDescent="0.25">
      <c r="A17" s="28" t="s">
        <v>361</v>
      </c>
      <c r="B17" s="28" t="str">
        <f t="shared" ref="B17:B18" si="12">SUBSTITUTE(PROPER(A17),"_","")</f>
        <v>BranchNo</v>
      </c>
      <c r="C17" s="28" t="str">
        <f t="shared" ref="C17:C18" si="13">SUBSTITUTE(PROPER(A17),"_"," ")</f>
        <v>Branch No</v>
      </c>
      <c r="D17" s="28" t="str">
        <f t="shared" ref="D17:D18" si="14">LOWER(LEFT(B17,1))&amp;RIGHT(B17,LEN(B17) - 1)</f>
        <v>branchNo</v>
      </c>
      <c r="E17" s="28" t="str">
        <f>A.Backend!H11</f>
        <v>string</v>
      </c>
      <c r="F17" s="28" t="str">
        <f>A.Backend!G11</f>
        <v>4</v>
      </c>
      <c r="G17" s="28" t="str">
        <f t="shared" ref="G17:G18" si="15">IF(E17="string"," : string = '' ; ",IF(OR(E17="DateTime",E17="TimeSpan")," : any ;",IF(E17="int"," : number = 0 ;","")))</f>
        <v xml:space="preserve"> : string = '' ; </v>
      </c>
      <c r="H17" s="35" t="str">
        <f t="shared" ref="H17:H18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this.l('Branch No'),headerTooltip: this.l('Branch No'),field: 'branchNo',flex: 1},</v>
      </c>
      <c r="I17" s="35" t="str">
        <f t="shared" ref="I17:I18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[(ngModel)]='branchNo' name='branchNo'
									class='form-control' [placeholder]="l('Branch No')"
									type='text' (keyup.enter)='searchDatas()'&gt;
								&lt;/div&gt;</v>
      </c>
      <c r="J17" s="28"/>
      <c r="K17" s="35" t="str">
        <f t="shared" ref="K17:K18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title'&gt;Branch No&lt;/label&gt;
						&lt;input type='text' class='col-md-10 form-control input-text' name='BranchNo' [(ngModel)]='rowdata.branchNo'&gt;
					&lt;/div&gt;</v>
      </c>
      <c r="L17" s="56" t="str">
        <f t="shared" ref="L17:L18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ref="S17:S18" si="20">REPT(CHAR(9),1)&amp;D17&amp;G17</f>
        <v xml:space="preserve">	branchNo : string = '' ; </v>
      </c>
      <c r="T17" s="28" t="str">
        <f t="shared" ref="T17:T18" si="21">REPT(CHAR(9),3)&amp;"this."&amp;D17&amp;","</f>
        <v xml:space="preserve">			this.branchNo,</v>
      </c>
      <c r="U17" s="28" t="str">
        <f t="shared" ref="U17:U18" si="22">IF(E17="int",REPT(CHAR(9),2)&amp;"this."&amp;D17&amp;" = 0,",REPT(CHAR(9),2)&amp;"this."&amp;D17&amp;" = '',")</f>
        <v xml:space="preserve">		this.branchNo = '',</v>
      </c>
      <c r="V17" s="28" t="str">
        <f t="shared" ref="V17:V18" si="23">IF(AND(E17="string",F17="1"),D17,"")</f>
        <v/>
      </c>
    </row>
    <row r="18" spans="1:22" ht="18" customHeight="1" x14ac:dyDescent="0.25">
      <c r="A18" s="28" t="s">
        <v>363</v>
      </c>
      <c r="B18" s="28" t="str">
        <f t="shared" si="12"/>
        <v>AddressLanguageEn</v>
      </c>
      <c r="C18" s="28" t="str">
        <f t="shared" si="13"/>
        <v>Address Language En</v>
      </c>
      <c r="D18" s="28" t="str">
        <f t="shared" si="14"/>
        <v>addressLanguageEn</v>
      </c>
      <c r="E18" s="28" t="str">
        <f>A.Backend!H12</f>
        <v>string</v>
      </c>
      <c r="F18" s="28" t="str">
        <f>A.Backend!G12</f>
        <v>200</v>
      </c>
      <c r="G18" s="28" t="str">
        <f t="shared" si="15"/>
        <v xml:space="preserve"> : string = '' ; </v>
      </c>
      <c r="H18" s="35" t="str">
        <f t="shared" si="16"/>
        <v xml:space="preserve">			{headerName: this.l('Address Language En'),headerTooltip: this.l('Address Language En'),field: 'addressLanguageEn',flex: 1},</v>
      </c>
      <c r="I18" s="35" t="str">
        <f t="shared" si="17"/>
        <v xml:space="preserve">								&lt;div class='input-search'&gt;
									&lt;input [(ngModel)]='addressLanguageEn' name='addressLanguageEn'
									class='form-control' [placeholder]="l('Address Language En')"
									type='text' (keyup.enter)='searchDatas()'&gt;
								&lt;/div&gt;</v>
      </c>
      <c r="J18" s="28"/>
      <c r="K18" s="35" t="str">
        <f t="shared" si="18"/>
        <v xml:space="preserve">					&lt;div class='col-md-12 form-group row'&gt;
						&lt;label class='col-md-2 form-control title'&gt;Address Language En&lt;/label&gt;
						&lt;input type='text' class='col-md-10 form-control input-text' name='AddressLanguageEn' [(ngModel)]='rowdata.addressLanguageEn'&gt;
					&lt;/div&gt;</v>
      </c>
      <c r="L18" s="56" t="str">
        <f t="shared" si="19"/>
        <v/>
      </c>
      <c r="M18" s="28"/>
      <c r="N18" s="28"/>
      <c r="O18" s="28"/>
      <c r="P18" s="28"/>
      <c r="Q18" s="28"/>
      <c r="R18" s="28"/>
      <c r="S18" s="28" t="str">
        <f t="shared" si="20"/>
        <v xml:space="preserve">	addressLanguageEn : string = '' ; </v>
      </c>
      <c r="T18" s="28" t="str">
        <f t="shared" si="21"/>
        <v xml:space="preserve">			this.addressLanguageEn,</v>
      </c>
      <c r="U18" s="28" t="str">
        <f t="shared" si="22"/>
        <v xml:space="preserve">		this.addressLanguageEn = '',</v>
      </c>
      <c r="V18" s="28" t="str">
        <f t="shared" si="23"/>
        <v/>
      </c>
    </row>
    <row r="19" spans="1:22" ht="18" customHeight="1" x14ac:dyDescent="0.25">
      <c r="A19" s="28" t="s">
        <v>362</v>
      </c>
      <c r="B19" s="28" t="str">
        <f t="shared" ref="B19" si="24">SUBSTITUTE(PROPER(A19),"_","")</f>
        <v>AddressLanguageVn</v>
      </c>
      <c r="C19" s="28" t="str">
        <f t="shared" ref="C19" si="25">SUBSTITUTE(PROPER(A19),"_"," ")</f>
        <v>Address Language Vn</v>
      </c>
      <c r="D19" s="28" t="str">
        <f t="shared" ref="D19" si="26">LOWER(LEFT(B19,1))&amp;RIGHT(B19,LEN(B19) - 1)</f>
        <v>addressLanguageVn</v>
      </c>
      <c r="E19" s="28" t="str">
        <f>A.Backend!H13</f>
        <v>string</v>
      </c>
      <c r="F19" s="28" t="str">
        <f>A.Backend!G13</f>
        <v>200</v>
      </c>
      <c r="G19" s="28" t="str">
        <f t="shared" ref="G19" si="27">IF(E19="string"," : string = '' ; ",IF(OR(E19="DateTime",E19="TimeSpan")," : any ;",IF(E19="int"," : number = 0 ;","")))</f>
        <v xml:space="preserve"> : string = '' ; </v>
      </c>
      <c r="H19" s="35" t="str">
        <f t="shared" ref="H19" si="28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this.l('Address Language Vn'),headerTooltip: this.l('Address Language Vn'),field: 'addressLanguageVn',flex: 1},</v>
      </c>
      <c r="I19" s="35" t="str">
        <f t="shared" ref="I19" si="29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[(ngModel)]='addressLanguageVn' name='addressLanguageVn'
									class='form-control' [placeholder]="l('Address Language Vn')"
									type='text' (keyup.enter)='searchDatas()'&gt;
								&lt;/div&gt;</v>
      </c>
      <c r="J19" s="28"/>
      <c r="K19" s="35" t="str">
        <f t="shared" ref="K19" si="30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title'&gt;Address Language Vn&lt;/label&gt;
						&lt;input type='text' class='col-md-10 form-control input-text' name='AddressLanguageVn' [(ngModel)]='rowdata.addressLanguageVn'&gt;
					&lt;/div&gt;</v>
      </c>
      <c r="L19" s="56" t="str">
        <f t="shared" ref="L19" si="31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ref="S19" si="32">REPT(CHAR(9),1)&amp;D19&amp;G19</f>
        <v xml:space="preserve">	addressLanguageVn : string = '' ; </v>
      </c>
      <c r="T19" s="28" t="str">
        <f t="shared" ref="T19" si="33">REPT(CHAR(9),3)&amp;"this."&amp;D19&amp;","</f>
        <v xml:space="preserve">			this.addressLanguageVn,</v>
      </c>
      <c r="U19" s="28" t="str">
        <f t="shared" ref="U19" si="34">IF(E19="int",REPT(CHAR(9),2)&amp;"this."&amp;D19&amp;" = 0,",REPT(CHAR(9),2)&amp;"this."&amp;D19&amp;" = '',")</f>
        <v xml:space="preserve">		this.addressLanguageVn = '',</v>
      </c>
      <c r="V19" s="28" t="str">
        <f t="shared" ref="V19" si="35">IF(AND(E19="string",F19="1"),D19,"")</f>
        <v/>
      </c>
    </row>
    <row r="20" spans="1:22" ht="18" customHeight="1" x14ac:dyDescent="0.25">
      <c r="A20" s="28" t="s">
        <v>324</v>
      </c>
      <c r="B20" s="28" t="str">
        <f t="shared" ref="B20" si="36">SUBSTITUTE(PROPER(A20),"_","")</f>
        <v>IsActive</v>
      </c>
      <c r="C20" s="28" t="str">
        <f t="shared" ref="C20" si="37">SUBSTITUTE(PROPER(A20),"_"," ")</f>
        <v>Is Active</v>
      </c>
      <c r="D20" s="28" t="str">
        <f t="shared" ref="D20" si="38">LOWER(LEFT(B20,1))&amp;RIGHT(B20,LEN(B20) - 1)</f>
        <v>isActive</v>
      </c>
      <c r="E20" s="28" t="str">
        <f>A.Backend!H14</f>
        <v>string</v>
      </c>
      <c r="F20" s="28" t="str">
        <f>A.Backend!G14</f>
        <v>1</v>
      </c>
      <c r="G20" s="28" t="str">
        <f t="shared" ref="G20" si="39">IF(E20="string"," : string = '' ; ",IF(OR(E20="DateTime",E20="TimeSpan")," : any ;",IF(E20="int"," : number = 0 ;","")))</f>
        <v xml:space="preserve"> : string = '' ; </v>
      </c>
      <c r="H20" s="35" t="str">
        <f t="shared" ref="H20" si="40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5" t="str">
        <f t="shared" ref="I20" si="41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28"/>
      <c r="K20" s="35" t="str">
        <f t="shared" ref="K20" si="42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56" t="str">
        <f t="shared" ref="L20" si="43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44">REPT(CHAR(9),1)&amp;D20&amp;G20</f>
        <v xml:space="preserve">	isActive : string = '' ; </v>
      </c>
      <c r="T20" s="28" t="str">
        <f t="shared" ref="T20" si="45">REPT(CHAR(9),3)&amp;"this."&amp;D20&amp;","</f>
        <v xml:space="preserve">			this.isActive,</v>
      </c>
      <c r="U20" s="28" t="str">
        <f t="shared" ref="U20" si="46">IF(E20="int",REPT(CHAR(9),2)&amp;"this."&amp;D20&amp;" = 0,",REPT(CHAR(9),2)&amp;"this."&amp;D20&amp;" = '',")</f>
        <v xml:space="preserve">		this.isActive = '',</v>
      </c>
      <c r="V20" s="28" t="str">
        <f t="shared" ref="V20" si="47">IF(AND(E20="string",F20="1"),D20,"")</f>
        <v>isActive</v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193</v>
      </c>
      <c r="B2" s="23" t="s">
        <v>190</v>
      </c>
    </row>
    <row r="3" spans="1:2" x14ac:dyDescent="0.25">
      <c r="B3" s="20" t="s">
        <v>115</v>
      </c>
    </row>
    <row r="4" spans="1:2" x14ac:dyDescent="0.25">
      <c r="B4" s="20" t="s">
        <v>116</v>
      </c>
    </row>
    <row r="5" spans="1:2" x14ac:dyDescent="0.25">
      <c r="B5" s="20" t="s">
        <v>117</v>
      </c>
    </row>
    <row r="6" spans="1:2" x14ac:dyDescent="0.25">
      <c r="B6" s="20" t="s">
        <v>118</v>
      </c>
    </row>
    <row r="7" spans="1:2" x14ac:dyDescent="0.25">
      <c r="B7" s="20" t="s">
        <v>119</v>
      </c>
    </row>
    <row r="8" spans="1:2" x14ac:dyDescent="0.25">
      <c r="B8" s="20" t="s">
        <v>120</v>
      </c>
    </row>
    <row r="9" spans="1:2" x14ac:dyDescent="0.25">
      <c r="B9" s="20" t="s">
        <v>121</v>
      </c>
    </row>
    <row r="10" spans="1:2" x14ac:dyDescent="0.25">
      <c r="B10" s="20" t="s">
        <v>122</v>
      </c>
    </row>
    <row r="11" spans="1:2" x14ac:dyDescent="0.25">
      <c r="B11" s="20" t="s">
        <v>123</v>
      </c>
    </row>
    <row r="12" spans="1:2" x14ac:dyDescent="0.25">
      <c r="B12" s="20" t="s">
        <v>124</v>
      </c>
    </row>
    <row r="13" spans="1:2" x14ac:dyDescent="0.25">
      <c r="B13" s="20" t="s">
        <v>125</v>
      </c>
    </row>
    <row r="14" spans="1:2" x14ac:dyDescent="0.25">
      <c r="B14" s="20" t="s">
        <v>126</v>
      </c>
    </row>
    <row r="15" spans="1:2" x14ac:dyDescent="0.25">
      <c r="B15" s="20" t="s">
        <v>127</v>
      </c>
    </row>
    <row r="16" spans="1:2" x14ac:dyDescent="0.25">
      <c r="B16" s="20" t="s">
        <v>128</v>
      </c>
    </row>
    <row r="17" spans="1:3" x14ac:dyDescent="0.25">
      <c r="B17" s="20" t="s">
        <v>129</v>
      </c>
    </row>
    <row r="18" spans="1:3" x14ac:dyDescent="0.25">
      <c r="B18" s="20" t="s">
        <v>130</v>
      </c>
      <c r="C18" t="s">
        <v>192</v>
      </c>
    </row>
    <row r="19" spans="1:3" x14ac:dyDescent="0.25">
      <c r="B19" s="20" t="s">
        <v>131</v>
      </c>
    </row>
    <row r="20" spans="1:3" x14ac:dyDescent="0.25">
      <c r="B20" s="20" t="s">
        <v>132</v>
      </c>
    </row>
    <row r="21" spans="1:3" x14ac:dyDescent="0.25">
      <c r="B21" s="20" t="s">
        <v>133</v>
      </c>
    </row>
    <row r="22" spans="1:3" x14ac:dyDescent="0.25">
      <c r="B22" s="20" t="s">
        <v>134</v>
      </c>
      <c r="C22" t="s">
        <v>197</v>
      </c>
    </row>
    <row r="23" spans="1:3" x14ac:dyDescent="0.25">
      <c r="B23" s="20" t="s">
        <v>135</v>
      </c>
    </row>
    <row r="24" spans="1:3" x14ac:dyDescent="0.25">
      <c r="B24" s="20" t="s">
        <v>136</v>
      </c>
    </row>
    <row r="25" spans="1:3" x14ac:dyDescent="0.25">
      <c r="B25" s="20" t="s">
        <v>137</v>
      </c>
    </row>
    <row r="26" spans="1:3" x14ac:dyDescent="0.25">
      <c r="A26" s="22" t="s">
        <v>194</v>
      </c>
      <c r="B26" s="23" t="s">
        <v>191</v>
      </c>
    </row>
    <row r="27" spans="1:3" x14ac:dyDescent="0.25">
      <c r="B27" s="20" t="s">
        <v>138</v>
      </c>
    </row>
    <row r="28" spans="1:3" x14ac:dyDescent="0.25">
      <c r="B28" s="21" t="s">
        <v>139</v>
      </c>
    </row>
    <row r="29" spans="1:3" x14ac:dyDescent="0.25">
      <c r="B29" s="20" t="s">
        <v>140</v>
      </c>
    </row>
    <row r="30" spans="1:3" x14ac:dyDescent="0.25">
      <c r="B30" s="20" t="s">
        <v>141</v>
      </c>
    </row>
    <row r="31" spans="1:3" x14ac:dyDescent="0.25">
      <c r="B31" s="20" t="s">
        <v>142</v>
      </c>
    </row>
    <row r="32" spans="1:3" x14ac:dyDescent="0.25">
      <c r="B32" s="20" t="s">
        <v>143</v>
      </c>
    </row>
    <row r="33" spans="2:2" x14ac:dyDescent="0.25">
      <c r="B33" s="20" t="s">
        <v>144</v>
      </c>
    </row>
    <row r="34" spans="2:2" x14ac:dyDescent="0.25">
      <c r="B34" s="20" t="s">
        <v>145</v>
      </c>
    </row>
    <row r="35" spans="2:2" x14ac:dyDescent="0.25">
      <c r="B35" s="20" t="s">
        <v>146</v>
      </c>
    </row>
    <row r="36" spans="2:2" x14ac:dyDescent="0.25">
      <c r="B36" s="20" t="s">
        <v>147</v>
      </c>
    </row>
    <row r="37" spans="2:2" x14ac:dyDescent="0.25">
      <c r="B37" s="20" t="s">
        <v>148</v>
      </c>
    </row>
    <row r="38" spans="2:2" x14ac:dyDescent="0.25">
      <c r="B38" s="20" t="s">
        <v>149</v>
      </c>
    </row>
    <row r="39" spans="2:2" x14ac:dyDescent="0.25">
      <c r="B39" s="20" t="s">
        <v>150</v>
      </c>
    </row>
    <row r="40" spans="2:2" x14ac:dyDescent="0.25">
      <c r="B40" s="20" t="s">
        <v>151</v>
      </c>
    </row>
    <row r="41" spans="2:2" x14ac:dyDescent="0.25">
      <c r="B41" s="20" t="s">
        <v>152</v>
      </c>
    </row>
    <row r="42" spans="2:2" x14ac:dyDescent="0.25">
      <c r="B42" s="20" t="s">
        <v>153</v>
      </c>
    </row>
    <row r="43" spans="2:2" x14ac:dyDescent="0.25">
      <c r="B43" s="21" t="s">
        <v>154</v>
      </c>
    </row>
    <row r="44" spans="2:2" x14ac:dyDescent="0.25">
      <c r="B44" s="20" t="s">
        <v>140</v>
      </c>
    </row>
    <row r="45" spans="2:2" x14ac:dyDescent="0.25">
      <c r="B45" s="20" t="s">
        <v>155</v>
      </c>
    </row>
    <row r="46" spans="2:2" x14ac:dyDescent="0.25">
      <c r="B46" s="20" t="s">
        <v>156</v>
      </c>
    </row>
    <row r="47" spans="2:2" x14ac:dyDescent="0.25">
      <c r="B47" s="20" t="s">
        <v>157</v>
      </c>
    </row>
    <row r="48" spans="2:2" x14ac:dyDescent="0.25">
      <c r="B48" s="20" t="s">
        <v>158</v>
      </c>
    </row>
    <row r="49" spans="2:2" x14ac:dyDescent="0.25">
      <c r="B49" s="20" t="s">
        <v>141</v>
      </c>
    </row>
    <row r="50" spans="2:2" x14ac:dyDescent="0.25">
      <c r="B50" s="20" t="s">
        <v>142</v>
      </c>
    </row>
    <row r="51" spans="2:2" x14ac:dyDescent="0.25">
      <c r="B51" s="20" t="s">
        <v>143</v>
      </c>
    </row>
    <row r="52" spans="2:2" x14ac:dyDescent="0.25">
      <c r="B52" s="20" t="s">
        <v>144</v>
      </c>
    </row>
    <row r="53" spans="2:2" x14ac:dyDescent="0.25">
      <c r="B53" s="20" t="s">
        <v>145</v>
      </c>
    </row>
    <row r="54" spans="2:2" x14ac:dyDescent="0.25">
      <c r="B54" s="20" t="s">
        <v>146</v>
      </c>
    </row>
    <row r="55" spans="2:2" x14ac:dyDescent="0.25">
      <c r="B55" s="20" t="s">
        <v>147</v>
      </c>
    </row>
    <row r="56" spans="2:2" x14ac:dyDescent="0.25">
      <c r="B56" s="20" t="s">
        <v>159</v>
      </c>
    </row>
    <row r="57" spans="2:2" x14ac:dyDescent="0.25">
      <c r="B57" s="20" t="s">
        <v>160</v>
      </c>
    </row>
    <row r="58" spans="2:2" x14ac:dyDescent="0.25">
      <c r="B58" s="20" t="s">
        <v>148</v>
      </c>
    </row>
    <row r="59" spans="2:2" x14ac:dyDescent="0.25">
      <c r="B59" s="20" t="s">
        <v>149</v>
      </c>
    </row>
    <row r="60" spans="2:2" x14ac:dyDescent="0.25">
      <c r="B60" s="20" t="s">
        <v>161</v>
      </c>
    </row>
    <row r="61" spans="2:2" x14ac:dyDescent="0.25">
      <c r="B61" s="20" t="s">
        <v>162</v>
      </c>
    </row>
    <row r="62" spans="2:2" x14ac:dyDescent="0.25">
      <c r="B62" s="20" t="s">
        <v>163</v>
      </c>
    </row>
    <row r="63" spans="2:2" x14ac:dyDescent="0.25">
      <c r="B63" s="20" t="s">
        <v>158</v>
      </c>
    </row>
    <row r="64" spans="2:2" x14ac:dyDescent="0.25">
      <c r="B64" s="20" t="s">
        <v>150</v>
      </c>
    </row>
    <row r="65" spans="2:2" x14ac:dyDescent="0.25">
      <c r="B65" s="20" t="s">
        <v>151</v>
      </c>
    </row>
    <row r="66" spans="2:2" x14ac:dyDescent="0.25">
      <c r="B66" s="20" t="s">
        <v>164</v>
      </c>
    </row>
    <row r="67" spans="2:2" x14ac:dyDescent="0.25">
      <c r="B67" s="20" t="s">
        <v>158</v>
      </c>
    </row>
    <row r="68" spans="2:2" x14ac:dyDescent="0.25">
      <c r="B68" s="20" t="s">
        <v>152</v>
      </c>
    </row>
    <row r="69" spans="2:2" x14ac:dyDescent="0.25">
      <c r="B69" s="20" t="s">
        <v>165</v>
      </c>
    </row>
    <row r="70" spans="2:2" x14ac:dyDescent="0.25">
      <c r="B70" s="21" t="s">
        <v>166</v>
      </c>
    </row>
    <row r="71" spans="2:2" x14ac:dyDescent="0.25">
      <c r="B71" s="20" t="s">
        <v>140</v>
      </c>
    </row>
    <row r="72" spans="2:2" x14ac:dyDescent="0.25">
      <c r="B72" s="20" t="s">
        <v>141</v>
      </c>
    </row>
    <row r="73" spans="2:2" x14ac:dyDescent="0.25">
      <c r="B73" s="20" t="s">
        <v>142</v>
      </c>
    </row>
    <row r="74" spans="2:2" x14ac:dyDescent="0.25">
      <c r="B74" s="20" t="s">
        <v>143</v>
      </c>
    </row>
    <row r="75" spans="2:2" x14ac:dyDescent="0.25">
      <c r="B75" s="20" t="s">
        <v>147</v>
      </c>
    </row>
    <row r="76" spans="2:2" x14ac:dyDescent="0.25">
      <c r="B76" s="20" t="s">
        <v>149</v>
      </c>
    </row>
    <row r="77" spans="2:2" x14ac:dyDescent="0.25">
      <c r="B77" s="20" t="s">
        <v>150</v>
      </c>
    </row>
    <row r="78" spans="2:2" x14ac:dyDescent="0.25">
      <c r="B78" s="20" t="s">
        <v>151</v>
      </c>
    </row>
    <row r="79" spans="2:2" x14ac:dyDescent="0.25">
      <c r="B79" s="20" t="s">
        <v>152</v>
      </c>
    </row>
    <row r="80" spans="2:2" x14ac:dyDescent="0.25">
      <c r="B80" s="20" t="s">
        <v>165</v>
      </c>
    </row>
    <row r="81" spans="1:2" x14ac:dyDescent="0.25">
      <c r="B81" s="21" t="s">
        <v>167</v>
      </c>
    </row>
    <row r="82" spans="1:2" x14ac:dyDescent="0.25">
      <c r="B82" s="21" t="s">
        <v>168</v>
      </c>
    </row>
    <row r="83" spans="1:2" x14ac:dyDescent="0.25">
      <c r="B83" s="21" t="s">
        <v>169</v>
      </c>
    </row>
    <row r="84" spans="1:2" x14ac:dyDescent="0.25">
      <c r="B84" s="21" t="s">
        <v>170</v>
      </c>
    </row>
    <row r="85" spans="1:2" x14ac:dyDescent="0.25">
      <c r="B85" s="21" t="s">
        <v>171</v>
      </c>
    </row>
    <row r="86" spans="1:2" x14ac:dyDescent="0.25">
      <c r="B86" s="21" t="s">
        <v>172</v>
      </c>
    </row>
    <row r="87" spans="1:2" x14ac:dyDescent="0.25">
      <c r="B87" s="21" t="s">
        <v>173</v>
      </c>
    </row>
    <row r="88" spans="1:2" x14ac:dyDescent="0.25">
      <c r="A88" s="22" t="s">
        <v>195</v>
      </c>
      <c r="B88" s="24" t="s">
        <v>174</v>
      </c>
    </row>
    <row r="89" spans="1:2" x14ac:dyDescent="0.25">
      <c r="B89" s="20" t="s">
        <v>175</v>
      </c>
    </row>
    <row r="90" spans="1:2" x14ac:dyDescent="0.25">
      <c r="B90" s="20" t="s">
        <v>176</v>
      </c>
    </row>
    <row r="91" spans="1:2" x14ac:dyDescent="0.25">
      <c r="B91" s="20" t="s">
        <v>177</v>
      </c>
    </row>
    <row r="92" spans="1:2" x14ac:dyDescent="0.25">
      <c r="B92" s="20" t="s">
        <v>178</v>
      </c>
    </row>
    <row r="93" spans="1:2" x14ac:dyDescent="0.25">
      <c r="B93" s="20" t="s">
        <v>179</v>
      </c>
    </row>
    <row r="94" spans="1:2" x14ac:dyDescent="0.25">
      <c r="B94" s="20" t="s">
        <v>180</v>
      </c>
    </row>
    <row r="95" spans="1:2" x14ac:dyDescent="0.25">
      <c r="B95" s="20" t="s">
        <v>181</v>
      </c>
    </row>
    <row r="96" spans="1:2" x14ac:dyDescent="0.25">
      <c r="B96" s="20" t="s">
        <v>182</v>
      </c>
    </row>
    <row r="97" spans="2:2" x14ac:dyDescent="0.25">
      <c r="B97" s="20" t="s">
        <v>183</v>
      </c>
    </row>
    <row r="98" spans="2:2" x14ac:dyDescent="0.25">
      <c r="B98" s="20" t="s">
        <v>184</v>
      </c>
    </row>
    <row r="99" spans="2:2" x14ac:dyDescent="0.25">
      <c r="B99" s="20" t="s">
        <v>185</v>
      </c>
    </row>
    <row r="100" spans="2:2" x14ac:dyDescent="0.25">
      <c r="B100" s="20" t="s">
        <v>186</v>
      </c>
    </row>
    <row r="101" spans="2:2" x14ac:dyDescent="0.25">
      <c r="B101" s="20" t="s">
        <v>187</v>
      </c>
    </row>
    <row r="102" spans="2:2" x14ac:dyDescent="0.25">
      <c r="B102" s="20" t="s">
        <v>188</v>
      </c>
    </row>
    <row r="103" spans="2:2" x14ac:dyDescent="0.25">
      <c r="B103" s="20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2023-05-20T10:15:44Z</dcterms:modified>
</cp:coreProperties>
</file>
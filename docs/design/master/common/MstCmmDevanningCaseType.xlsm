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0" yWindow="271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F17" i="5" l="1"/>
  <c r="C16" i="5"/>
  <c r="B16" i="5"/>
  <c r="D16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E11" i="1"/>
  <c r="H11" i="1" s="1"/>
  <c r="D11" i="1"/>
  <c r="T11" i="1" s="1"/>
  <c r="M11" i="1" l="1"/>
  <c r="E17" i="5"/>
  <c r="T16" i="5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C19" i="5" l="1"/>
  <c r="B19" i="5"/>
  <c r="D19" i="5" s="1"/>
  <c r="G13" i="1"/>
  <c r="F19" i="5" s="1"/>
  <c r="E13" i="1"/>
  <c r="H13" i="1" s="1"/>
  <c r="D13" i="1"/>
  <c r="V13" i="1" s="1"/>
  <c r="E19" i="5" l="1"/>
  <c r="V19" i="5" s="1"/>
  <c r="H19" i="5"/>
  <c r="T19" i="5"/>
  <c r="K19" i="5"/>
  <c r="W13" i="1"/>
  <c r="J13" i="1"/>
  <c r="I13" i="1"/>
  <c r="O13" i="1"/>
  <c r="N13" i="1"/>
  <c r="M13" i="1"/>
  <c r="P13" i="1"/>
  <c r="T13" i="1"/>
  <c r="G9" i="1"/>
  <c r="F15" i="5" s="1"/>
  <c r="E9" i="1"/>
  <c r="H9" i="1" s="1"/>
  <c r="E15" i="5" s="1"/>
  <c r="D9" i="1"/>
  <c r="V9" i="1" s="1"/>
  <c r="I19" i="5" l="1"/>
  <c r="G19" i="5"/>
  <c r="S19" i="5" s="1"/>
  <c r="U19" i="5"/>
  <c r="L19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B18" i="5" l="1"/>
  <c r="D18" i="5" s="1"/>
  <c r="C18" i="5"/>
  <c r="C17" i="5"/>
  <c r="B17" i="5"/>
  <c r="D17" i="5" s="1"/>
  <c r="T17" i="5" s="1"/>
  <c r="G10" i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H18" i="5"/>
  <c r="G18" i="5"/>
  <c r="V18" i="5"/>
  <c r="G17" i="5"/>
  <c r="S17" i="5" s="1"/>
  <c r="V17" i="5"/>
  <c r="I18" i="5"/>
  <c r="U17" i="5"/>
  <c r="H17" i="5"/>
  <c r="I17" i="5"/>
  <c r="K17" i="5"/>
  <c r="L18" i="5"/>
  <c r="L17" i="5"/>
  <c r="P10" i="1"/>
  <c r="V10" i="1"/>
  <c r="W10" i="1"/>
  <c r="J10" i="1"/>
  <c r="I10" i="1"/>
  <c r="O10" i="1"/>
  <c r="N10" i="1"/>
  <c r="M10" i="1"/>
  <c r="U18" i="5" l="1"/>
  <c r="K18" i="5"/>
  <c r="T18" i="5"/>
  <c r="S18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R3" i="1" l="1"/>
  <c r="D1" i="1"/>
  <c r="F6" i="1"/>
  <c r="T15" i="1"/>
  <c r="T13" i="5"/>
  <c r="T7" i="1" l="1"/>
  <c r="W15" i="1"/>
  <c r="G6" i="1" l="1"/>
  <c r="K13" i="5"/>
  <c r="U13" i="5"/>
  <c r="V13" i="5"/>
  <c r="I13" i="5"/>
  <c r="L13" i="5"/>
  <c r="S13" i="5"/>
  <c r="H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3" i="1" s="1"/>
  <c r="L9" i="1" l="1"/>
  <c r="L10" i="1"/>
  <c r="C7" i="1"/>
  <c r="N15" i="1"/>
  <c r="O15" i="1"/>
  <c r="I15" i="1"/>
  <c r="J15" i="1"/>
  <c r="P15" i="1"/>
  <c r="Q7" i="1" l="1"/>
  <c r="M68" i="3" s="1"/>
  <c r="L7" i="1"/>
  <c r="G68" i="3" s="1"/>
  <c r="K68" i="3"/>
  <c r="J68" i="3"/>
  <c r="K15" i="1"/>
  <c r="M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<sst xmlns="http://schemas.openxmlformats.org/spreadsheetml/2006/main" count="453" uniqueCount="367">
  <si>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</si>
  <si>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</si>
  <si>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</si>
  <si>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</si>
  <si>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</si>
  <si>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</si>
  <si>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</si>
  <si>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</si>
  <si>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</si>
  <si>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</si>
  <si>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</si>
  <si>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</si>
  <si>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</si>
  <si>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</si>
  <si>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</si>
  <si>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</si>
  <si>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</si>
  <si>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</si>
  <si>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</si>
  <si>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</si>
  <si>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</si>
  <si>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</si>
  <si>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</si>
  <si>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</si>
  <si>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</si>
  <si>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</si>
  <si>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</si>
  <si>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</si>
  <si>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</si>
  <si>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</si>
  <si>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</si>
  <si>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</si>
  <si>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</si>
  <si>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</si>
  <si>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</si>
  <si>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</si>
  <si>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</si>
  <si>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</si>
  <si>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</si>
  <si>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</si>
  <si>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</si>
  <si>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</si>
  <si>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</si>
  <si>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</si>
  <si>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</si>
  <si>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</si>
  <si>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</si>
  <si>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</si>
  <si>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</si>
  <si>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</si>
  <si>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</si>
  <si>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</si>
  <si>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</si>
  <si>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</si>
  <si>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</si>
  <si>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</si>
  <si>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</si>
  <si>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</si>
  <si>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</si>
  <si>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</si>
  <si>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</si>
  <si>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</si>
  <si>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</si>
  <si>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</si>
  <si>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</si>
  <si>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</si>
  <si>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</si>
  <si>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</si>
  <si>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</si>
  <si>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</si>
  <si>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</si>
  <si>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</si>
  <si>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</si>
  <si>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</si>
  <si>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</si>
  <si>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</si>
  <si>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</si>
  <si>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</si>
  <si>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</si>
  <si>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</si>
  <si>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</si>
  <si>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</si>
  <si>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</si>
  <si>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</si>
  <si>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</si>
  <si>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</si>
  <si>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</si>
  <si>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</si>
  <si>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</si>
  <si>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</si>
  <si>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</si>
  <si>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</si>
  <si>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</si>
  <si>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</si>
  <si>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</si>
  <si>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</si>
  <si>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</si>
  <si>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</si>
  <si>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</si>
  <si>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</si>
  <si>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</si>
  <si>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</si>
  <si>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</si>
  <si>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</si>
  <si>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</si>
  <si>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</si>
  <si>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</si>
  <si>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</si>
  <si>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</si>
  <si>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</si>
  <si>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</si>
  <si>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</si>
  <si>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</si>
  <si>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</si>
  <si>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</si>
  <si>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</si>
  <si>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</si>
  <si>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</si>
  <si>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</si>
  <si>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</si>
  <si>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</si>
  <si>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</si>
  <si>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</si>
  <si>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</si>
  <si>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</si>
  <si>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</si>
  <si>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</si>
  <si>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</si>
  <si>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</si>
  <si>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</si>
  <si>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</si>
  <si>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</si>
  <si>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</si>
  <si>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</si>
  <si>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</si>
  <si>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</si>
  <si>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</si>
  <si>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</si>
  <si>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</si>
  <si>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</si>
  <si>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</si>
  <si>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</si>
  <si>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</si>
  <si>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</si>
  <si>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</si>
  <si>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</si>
  <si>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</si>
  <si>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</si>
  <si>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</si>
  <si>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</si>
  <si>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</si>
  <si>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</si>
  <si>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</si>
  <si>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</si>
  <si>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</si>
  <si>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</si>
  <si>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</si>
  <si>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</si>
  <si>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</si>
  <si>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</si>
  <si>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</si>
  <si>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</si>
  <si>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</si>
  <si>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</si>
  <si>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</si>
  <si>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</si>
  <si>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</si>
  <si>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</si>
  <si>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</si>
  <si>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</si>
  <si>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</si>
  <si>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</si>
  <si>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</si>
  <si>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</si>
  <si>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</si>
  <si>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</si>
  <si>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</si>
  <si>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</si>
  <si>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</si>
  <si>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</si>
  <si>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</si>
  <si>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</si>
  <si>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</si>
  <si>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</si>
  <si>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</si>
  <si>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</si>
  <si>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</si>
  <si>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</si>
  <si>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</si>
  <si>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</si>
  <si>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</si>
  <si>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</si>
  <si>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</si>
  <si>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</si>
  <si>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</si>
  <si>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</si>
  <si>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</si>
  <si>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</si>
  <si>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</si>
  <si>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</si>
  <si>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</si>
  <si>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</si>
  <si>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</si>
  <si>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</si>
  <si>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</si>
  <si>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</si>
  <si>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</si>
  <si>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</si>
  <si>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</si>
  <si>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</si>
  <si>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</si>
  <si>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</si>
  <si>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</si>
  <si>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</si>
  <si>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</si>
  <si>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</si>
  <si>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</si>
  <si>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</si>
  <si>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</si>
  <si>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</si>
  <si>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</si>
  <si>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</si>
  <si>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</si>
  <si>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</si>
  <si>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</si>
  <si>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</si>
  <si>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</si>
  <si>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</si>
  <si>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</si>
  <si>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</si>
  <si>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</si>
  <si>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</si>
  <si>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</si>
  <si>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</si>
  <si>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</si>
  <si>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</si>
  <si>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</si>
  <si>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</si>
  <si>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</si>
  <si>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</si>
  <si>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</si>
  <si>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</si>
  <si>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</si>
  <si>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</si>
  <si>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</si>
  <si>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</si>
  <si>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</si>
  <si>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</si>
  <si>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</si>
  <si>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</si>
  <si>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</si>
  <si>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</si>
  <si>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</si>
  <si>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</si>
  <si>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</si>
  <si>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</si>
  <si>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</si>
  <si>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</si>
  <si>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</si>
  <si>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</si>
  <si>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</si>
  <si>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</si>
  <si>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</si>
  <si>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</si>
  <si>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</si>
  <si>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</si>
  <si>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</si>
  <si>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</si>
  <si>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</si>
  <si>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</si>
  <si>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</si>
  <si>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</si>
  <si>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</si>
  <si>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</si>
  <si>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</si>
  <si>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</si>
  <si>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</si>
  <si>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</si>
  <si>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</si>
  <si>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</si>
  <si>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</si>
  <si>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</si>
  <si>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</si>
  <si>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</si>
  <si>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</si>
  <si>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</si>
  <si>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</si>
  <si>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</si>
  <si>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</si>
  <si>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</si>
  <si>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</si>
  <si>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</si>
  <si>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</si>
  <si>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</si>
  <si>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</si>
  <si>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</si>
  <si>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</si>
  <si>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</si>
  <si>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</si>
  <si>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</si>
  <si>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</si>
  <si>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</si>
  <si>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</si>
  <si>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</si>
  <si>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</si>
  <si>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</si>
  <si>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</si>
  <si>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</si>
  <si>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</si>
  <si>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</si>
  <si>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</si>
  <si>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</si>
  <si>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</si>
  <si>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</si>
  <si>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</si>
  <si>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</si>
  <si>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</si>
  <si>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</si>
  <si>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</si>
  <si>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</si>
  <si>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</si>
  <si>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</si>
  <si>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</si>
  <si>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</si>
  <si>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</si>
  <si>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</si>
  <si>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</si>
  <si>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</si>
  <si>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</si>
  <si>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</si>
  <si>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</si>
  <si>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</si>
  <si>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</si>
  <si>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</si>
  <si>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</si>
  <si>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</si>
  <si>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</si>
  <si>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</si>
  <si>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</si>
  <si>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</si>
  <si>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</si>
  <si>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</si>
  <si>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</si>
  <si>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</si>
  <si>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</si>
  <si>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</si>
  <si>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</si>
  <si>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</si>
  <si>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</si>
  <si>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</si>
  <si>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</si>
  <si>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</si>
  <si>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</si>
  <si>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</si>
  <si>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</si>
  <si>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MstCmmDevanningCaseType</t>
  </si>
  <si>
    <t>DevanningCaseType</t>
  </si>
  <si>
    <t>Master Common Devanning Case Type</t>
  </si>
  <si>
    <t>CASE_NO</t>
  </si>
  <si>
    <t>CAR_FAMILY_CODE</t>
  </si>
  <si>
    <t>SHOPTYPE_CODE</t>
  </si>
  <si>
    <t>SUPPLIER_NO</t>
  </si>
  <si>
    <t>nvarchar(5)</t>
  </si>
  <si>
    <t>nvarchar(4)</t>
  </si>
  <si>
    <t>nvarchar(2)</t>
  </si>
  <si>
    <t>nvarchar(10)</t>
  </si>
  <si>
    <t>nvarchar(1)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</si>
</sst>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E48" sqref="E4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D18" t="s">
        <v>351</v>
      </c>
      <c r="F18" s="1" t="s">
        <v>353</v>
      </c>
      <c r="G18" s="17" t="s">
        <v>352</v>
      </c>
    </row>
    <row r="19" spans="1:7" x14ac:dyDescent="0.2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2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2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2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2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2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2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2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2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2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2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2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2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2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2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2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2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2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2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2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2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2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2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25">
      <c r="A42" s="1"/>
      <c r="B42" s="17"/>
      <c r="C42" t="s">
        <v>325</v>
      </c>
      <c r="F42" s="1" t="s">
        <v>338</v>
      </c>
      <c r="G42" s="17" t="s">
        <v>338</v>
      </c>
    </row>
    <row r="43" spans="1:8" x14ac:dyDescent="0.25">
      <c r="A43" s="1"/>
      <c r="B43" s="17"/>
      <c r="D43" t="s">
        <v>326</v>
      </c>
      <c r="F43" s="1" t="s">
        <v>332</v>
      </c>
      <c r="G43" s="17" t="s">
        <v>339</v>
      </c>
    </row>
    <row r="44" spans="1:8" x14ac:dyDescent="0.25">
      <c r="A44" s="1"/>
      <c r="B44" s="17"/>
      <c r="D44" t="s">
        <v>328</v>
      </c>
      <c r="F44" s="1" t="s">
        <v>333</v>
      </c>
      <c r="G44" s="17" t="s">
        <v>340</v>
      </c>
    </row>
    <row r="45" spans="1:8" x14ac:dyDescent="0.25">
      <c r="A45" s="1"/>
      <c r="B45" s="17"/>
      <c r="D45" t="s">
        <v>327</v>
      </c>
      <c r="F45" s="1" t="s">
        <v>334</v>
      </c>
      <c r="G45" s="17" t="s">
        <v>341</v>
      </c>
    </row>
    <row r="46" spans="1:8" x14ac:dyDescent="0.25">
      <c r="A46" s="1"/>
      <c r="B46" s="17"/>
      <c r="D46" t="s">
        <v>330</v>
      </c>
      <c r="F46" s="1" t="s">
        <v>335</v>
      </c>
      <c r="G46" s="17" t="s">
        <v>342</v>
      </c>
    </row>
    <row r="47" spans="1:8" x14ac:dyDescent="0.25">
      <c r="A47" s="1"/>
      <c r="B47" s="17"/>
      <c r="D47" t="s">
        <v>348</v>
      </c>
      <c r="F47" s="1" t="s">
        <v>349</v>
      </c>
      <c r="G47" s="17" t="s">
        <v>350</v>
      </c>
    </row>
    <row r="48" spans="1:8" x14ac:dyDescent="0.25">
      <c r="A48" s="1"/>
      <c r="B48" s="17"/>
      <c r="D48" t="s">
        <v>331</v>
      </c>
      <c r="F48" s="1" t="s">
        <v>336</v>
      </c>
      <c r="G48" s="17" t="s">
        <v>343</v>
      </c>
    </row>
    <row r="49" spans="1:7" x14ac:dyDescent="0.25">
      <c r="A49" s="1"/>
      <c r="B49" s="17"/>
      <c r="D49" t="s">
        <v>329</v>
      </c>
      <c r="F49" s="1" t="s">
        <v>337</v>
      </c>
      <c r="G49" s="17" t="s">
        <v>344</v>
      </c>
    </row>
    <row r="50" spans="1:7" x14ac:dyDescent="0.25">
      <c r="A50" s="1"/>
      <c r="B50" s="17"/>
      <c r="D50" t="s">
        <v>345</v>
      </c>
      <c r="F50" s="1" t="s">
        <v>346</v>
      </c>
      <c r="G50" s="17" t="s">
        <v>347</v>
      </c>
    </row>
    <row r="51" spans="1:7" x14ac:dyDescent="0.25">
      <c r="A51" s="1"/>
      <c r="B51" s="17"/>
    </row>
    <row r="52" spans="1:7" x14ac:dyDescent="0.25">
      <c r="A52" s="1"/>
      <c r="B52" s="17" t="s">
        <v>86</v>
      </c>
    </row>
    <row r="53" spans="1:7" x14ac:dyDescent="0.25">
      <c r="A53" s="1"/>
      <c r="B53" s="17" t="s">
        <v>83</v>
      </c>
    </row>
    <row r="54" spans="1:7" x14ac:dyDescent="0.25">
      <c r="A54" s="1"/>
      <c r="B54" s="17"/>
      <c r="C54" s="19" t="s">
        <v>80</v>
      </c>
    </row>
    <row r="55" spans="1:7" x14ac:dyDescent="0.25">
      <c r="A55" s="1"/>
      <c r="B55" s="17"/>
      <c r="C55" s="18" t="s">
        <v>81</v>
      </c>
    </row>
    <row r="56" spans="1:7" x14ac:dyDescent="0.25">
      <c r="A56" s="1"/>
      <c r="B56" s="17"/>
      <c r="C56" s="18" t="s">
        <v>82</v>
      </c>
    </row>
    <row r="57" spans="1:7" x14ac:dyDescent="0.25">
      <c r="A57" s="1"/>
      <c r="B57" s="17" t="s">
        <v>106</v>
      </c>
      <c r="C57" s="18"/>
    </row>
    <row r="58" spans="1:7" x14ac:dyDescent="0.25">
      <c r="A58" s="1"/>
      <c r="B58" s="17"/>
      <c r="C58" s="18" t="s">
        <v>107</v>
      </c>
    </row>
    <row r="59" spans="1:7" x14ac:dyDescent="0.25">
      <c r="A59" s="1"/>
      <c r="B59" s="17"/>
      <c r="C59" s="18" t="s">
        <v>108</v>
      </c>
    </row>
    <row r="60" spans="1:7" x14ac:dyDescent="0.25">
      <c r="A60" s="1"/>
      <c r="B60" s="17"/>
      <c r="C60" s="18" t="s">
        <v>109</v>
      </c>
    </row>
    <row r="61" spans="1:7" x14ac:dyDescent="0.25">
      <c r="A61" s="1"/>
      <c r="B61" s="17"/>
      <c r="C61" s="18" t="s">
        <v>111</v>
      </c>
    </row>
    <row r="62" spans="1:7" x14ac:dyDescent="0.25">
      <c r="A62" s="1"/>
      <c r="B62" s="17"/>
      <c r="C62" s="18" t="s">
        <v>113</v>
      </c>
    </row>
    <row r="63" spans="1:7" x14ac:dyDescent="0.25">
      <c r="A63" s="1"/>
      <c r="B63" s="17"/>
      <c r="C63" s="18" t="s">
        <v>112</v>
      </c>
    </row>
    <row r="64" spans="1:7" x14ac:dyDescent="0.25">
      <c r="A64" s="1"/>
      <c r="B64" s="17"/>
      <c r="C64" s="18" t="s">
        <v>110</v>
      </c>
    </row>
    <row r="65" spans="2:14" ht="21" customHeight="1" x14ac:dyDescent="0.25">
      <c r="B65" s="21" t="s">
        <v>78</v>
      </c>
    </row>
    <row r="66" spans="2:14" ht="21" customHeight="1" x14ac:dyDescent="0.25">
      <c r="B66" s="63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3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[Table("MstCmmDevanningCaseType")]
	[Index(nameof(CaseNo), Name="IX_MstCmmDevanningCaseType_CaseNo")]
	[Index(nameof(IsActive), Name="IX_MstCmmDevanningCaseType_IsActive")]	public class MstCmmDevanningCaseType: FullAuditedEntity&lt;long&gt;, IEntity&lt;long&gt;	
	{
		public const int MaxCaseNoLength = 5;
		public const int MaxCarFamilyCodeLength = 4;
		public const int MaxShoptypeCodeLength = 2;
		public const int MaxSupplierNoLength = 10;
		public const int MaxIsActiveLength = 1;
		[StringLength(MaxCaseNoLength)]
		public virtual string CaseNo { get; set; }
		[StringLength(MaxCarFamilyCodeLength)]
		public virtual string CarFamilyCode { get; set; }
		[StringLength(MaxShoptypeCodeLength)]
		public virtual string ShoptypeCode { get; set; }
		[StringLength(MaxSupplierNoLength)]
		public virtual string SupplierNo { get; set; }
		[StringLength(MaxIsActiveLength)]
		public virtual string IsActive { get; set; }
	}
}
</v>
      </c>
      <c r="D68" s="51" t="str">
        <f>A.Backend!O7</f>
        <v xml:space="preserve">		public const string Pages_Master_Common_DevanningCaseType = "Pages.Master.Common.DevanningCaseType";
		public const string Pages_Master_Common_DevanningCaseType_CreateEdit = "Pages.Master.Common.DevanningCaseType.CreateEdit";
		public const string Pages_Master_Common_DevanningCaseType_Delete = "Pages.Master.Common.DevanningCaseType.Delete";
</v>
      </c>
      <c r="E68" s="51" t="str">
        <f>A.Backend!N7</f>
        <v xml:space="preserve">		var perMstCmmDevanningCaseType = PARENTS.CreateChildPermission(AppPermissions.Pages_Master_Common_DevanningCaseType, L( "MasterCommonDevanningCaseType"), multiTenancySides: MultiTenancySides.Tenant);
		perMstCmmDevanningCaseType.CreateChildPermission(AppPermissions.Pages_Master_Common_DevanningCaseType_CreateEdit, L( "MasterCommonDevanningCaseTypeCreateEdit"), multiTenancySides: MultiTenancySides.Tenant);
		perMstCmmDevanningCaseType.CreateChildPermission(AppPermissions.Pages_Master_Common_DevanningCaseType_Delete, L( "MasterCommonDevanningCaseTypeDelete"), multiTenancySides: MultiTenancySides.Tenant);</v>
      </c>
      <c r="F68" s="51" t="str">
        <f>A.Backend!K7</f>
        <v>public virtual DbSet&lt;MstCmmDevanningCaseType&gt; MstCmmDevanningCaseTypes { get; set; }</v>
      </c>
      <c r="G68" s="51" t="str">
        <f ca="1">A.Backend!L7</f>
        <v xml:space="preserve">namespace prod.Master.Common
{
	public class MstCmmDevanningCaseTypeConsts	
	{
		public const int MaxCaseNoLength = 5;
		public const int MaxCarFamilyCodeLength = 4;
		public const int MaxShoptypeCodeLength = 2;
		public const int MaxSupplierNoLength = 10;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prod.Master.Common.Dto
{
	public class MstCmmDevanningCaseTypeDto : EntityDto&lt;long?&gt;	
	{
		public virtual string CaseNo { get; set; }
		public virtual string CarFamilyCode { get; set; }
		public virtual string ShoptypeCode { get; set; }
		public virtual string SupplierNo { get; set; }
		public virtual string IsActive { get; set; }
	}
	public class CreateOrEditMstCmmDevanningCaseTypeDto : EntityDto&lt;long?&gt;	
	{
		[StringLength(MstCmmDevanningCaseTypeConsts.MaxCaseNoLength)]
		public virtual string CaseNo { get; set; }
		[StringLength(MstCmmDevanningCaseTypeConsts.MaxCarFamilyCodeLength)]
		public virtual string CarFamilyCode { get; set; }
		[StringLength(MstCmmDevanningCaseTypeConsts.MaxShoptypeCodeLength)]
		public virtual string ShoptypeCode { get; set; }
		[StringLength(MstCmmDevanningCaseTypeConsts.MaxSupplierNoLength)]
		public virtual string SupplierNo { get; set; }
		[StringLength(MstCmmDevanningCaseTypeConsts.MaxIsActiveLength)]
		public virtual string IsActive { get; set; }
	}
	public class GetMstCmmDevanningCaseTypeInput : PagedAndSortedResultRequestDto	
	{
		public virtual string CaseNo { get; set; }
		public virtual string CarFamilyCode { get; set; }
		public virtual string ShoptypeCode { get; set; }
		public virtual string SupplierNo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prod.Master.Common.Dto
{
	public class MstCmmDevanningCaseTypeExportInput{
		public virtual string CaseNo { get; set; }
		public virtual string CarFamilyCode { get; set; }
		public virtual string ShoptypeCode { get; set; }
		public virtual string SupplierNo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IMstCmmDevanningCaseTypeAppService : IApplicationService
	{
		Task&lt;PagedResultDto&lt;MstCmmDevanningCaseTypeDto&gt;&gt; GetAll(GetMstCmmDevanningCaseTypeInput input);
		Task CreateOrEdit(CreateOrEditMstCmmDevanningCaseTypeDto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IMstCmmDevanningCaseTypeExcelExporter : IApplicationService
	{
		FileDto ExportToFile(List&lt;MstCmmDevanningCaseTypeDto&gt; mstcmmdevanningcasetype);
	}
}
</v>
      </c>
      <c r="L68" s="51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MstCmmDevanningCaseTypeExcelExporter : NpoiExcelExporterBase, IMstCmmDevanningCaseTypeExcelExporter
    {
        public MstCmmDevanningCaseTypeExcelExporter(ITempFileCacheManager tempFileCacheManager) : base(tempFileCacheManager) { }
        public FileDto ExportToFile(List&lt;MstCmmDevanningCaseTypeDto&gt; devanningcasetype)
        {
            return CreateExcelPackage(
				"MasterCommonDevanningCaseType.xlsx",
				excelPackage =&gt;
				 {
					var sheet = excelPackage.CreateSheet("DevanningCaseType");
					AddHeader(
								sheet,
								("CaseNo"),
								("CarFamilyCode"),
								("ShoptypeCode"),
								("SupplierNo"),
								("IsActive"),
							   );
					AddObjects(
						 sheet, 1, devanningcasetype,                                       
								_ =&gt; _.CaseNo,
								_ =&gt; _.CarFamilyCode,
								_ =&gt; _.ShoptypeCode,
								_ =&gt; _.SupplierNo,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[AbpAuthorize(AppPermissions.Pages_Master_Common_DevanningCaseType)]
    public class MstCmmDevanningCaseTypeAppService : vovinaAppServiceBase, IMstCmmDevanningCaseTypeAppService
    {
        private readonly IDapperRepository&lt;MstCmmDevanningCaseType, long&gt; _dapperRepo;
        private readonly IRepository&lt;MstCmmDevanningCaseType, long&gt; _repo;
        private readonly IMstCmmDevanningCaseTypeExcelExporter _calendarListExcelExporter;
        public MstCmmDevanningCaseTypeAppService(IRepository&lt;MstCmmDevanningCaseType,long&gt; repo, 
                                         IDapperRepository&lt;MstCmmDevanningCaseType,long&gt; dapperRepo,
                                        IMstCmmDevanningCaseTypeExcelExporter calendarListExcelExporter
            )
        {
            _repo = repo;
            _dapperRepo = dapperRepo;
            _calendarListExcelExporter = calendarListExcelExporter;
        }
        [AbpAuthorize(AppPermissions.Pages_Master_Common_DevanningCaseType_CreateEdit)]
        public async Task CreateOrEdit(CreateOrEditMstCmmDevanningCaseTypeDto input)
        {
            if (input.Id == null) await Create(input);
            else await Update(input);
        }
        //CREATE
        private async Task Create(CreateOrEditMstCmmDevanningCaseTypeDto input)
        {          
            var mainObj = ObjectMapper.Map&lt;MstCmmDevanningCaseType&gt;(input);
            await CurrentUnitOfWork.GetDbContext&lt;vovinaDbContext&gt;().AddAsync(mainObj);
        }
        // EDIT
        private async Task Update(CreateOrEditMstCmmDevanningCaseTypeDto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[AbpAuthorize(AppPermissions.Pages_Master_Common_DevanningCaseType_Delete)]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Task&lt;PagedResultDto&lt;MstCmmDevanningCaseTypeDto&gt;&gt; GetAll(GetMstCmmDevanningCaseTypeInput input)
        {
            var filtered = _repo.GetAll()
				.WhereIf(!string.IsNullOrWhiteSpace(input.CaseNo), e =&gt; e.CaseNo.Contains(input.CaseNo))
				.WhereIf(!string.IsNullOrWhiteSpace(input.CarFamilyCode), e =&gt; e.CarFamilyCode.Contains(input.CarFamilyCode))
				.WhereIf(!string.IsNullOrWhiteSpace(input.ShoptypeCode), e =&gt; e.ShoptypeCode.Contains(input.ShoptypeCode))
				.WhereIf(!string.IsNullOrWhiteSpace(input.SupplierNo), e =&gt; e.SupplierNo.Contains(input.SupplierNo))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MstCmmDevanningCaseTypeDto
                        {
							Id = o.Id,
							CaseNo = o.CaseNo,
							CarFamilyCode = o.CarFamilyCode,
							ShoptypeCode = o.ShoptypeCode,
							SupplierNo = o.SupplierNo,
							IsActive = o.IsActive,
                        };
            var totalCount = await filtered.CountAsync();
			var paged = system.PageBy(input);
            return new PagedResultDto&lt;MstCmmDevanningCaseTypeDto&gt;(
                totalCount,
                 await paged.ToListAsync()
            );
        }
        public async Task&lt;FileDto&gt; GetDevanningCaseTypeToExcel(MstCmmDevanningCaseTypeExportInput input)
        {
            var query = from o in _repo.GetAll()
                        select new MstCmmDevanningCaseTypeDto
                        {
							Id = o.Id,
							CaseNo = o.CaseNo,
							CarFamilyCode = o.CarFamilyCode,
							ShoptypeCode = o.ShoptypeCode,
							SupplierNo = o.SupplierNo,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_dapperRepo.ExecuteAsync(MstCmmDevanningCaseTypeConsts.SP_MST_WPT_CALENDAR_GENERATE);
       // }
    }
}</v>
      </c>
      <c r="N68" s="62" t="str">
        <f>A.Backend!U7</f>
        <v xml:space="preserve">  configuration.CreateMap&lt;MstCmmDevanningCaseTypeDto, MstCmmDevanningCaseType&gt;();
  configuration.CreateMap&lt;MstCmmDevanningCaseType, MstCmmDevanningCaseTypeDto&gt;();
  configuration.CreateMap&lt;CreateOrEditMstCmmDevanningCaseTypeDto, MstCmmDevanningCaseType&gt;();</v>
      </c>
    </row>
    <row r="69" spans="2:14" s="16" customFormat="1" ht="21.75" customHeight="1" x14ac:dyDescent="0.2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2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25">
      <c r="C71" s="29"/>
      <c r="D71" s="29"/>
      <c r="E71" s="29"/>
      <c r="G71" s="29"/>
      <c r="H71" s="29"/>
    </row>
    <row r="72" spans="2:14" x14ac:dyDescent="0.25">
      <c r="B72" s="1" t="s">
        <v>73</v>
      </c>
    </row>
    <row r="73" spans="2:14" ht="21" x14ac:dyDescent="0.35">
      <c r="B73" t="str">
        <f>B.Frontend!B8</f>
        <v>devanningcasetype</v>
      </c>
      <c r="C73" s="72" t="str">
        <f>"create folder " &amp;B73</f>
        <v>create folder devanningcasetype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25">
      <c r="B74" s="60" t="s">
        <v>229</v>
      </c>
      <c r="C74" s="31" t="str">
        <f>B.Frontend!H14</f>
        <v>devanningcasetype.component.ts</v>
      </c>
      <c r="D74" s="31" t="str">
        <f>B.Frontend!I14</f>
        <v>devanningcasetype.component.html</v>
      </c>
      <c r="E74" s="31" t="str">
        <f>B.Frontend!J14</f>
        <v>devanningcasetype.component.less</v>
      </c>
      <c r="F74" s="31" t="str">
        <f>B.Frontend!K14</f>
        <v>create-or-edit-devanningcasetype-modal.component.html</v>
      </c>
      <c r="G74" s="31" t="str">
        <f>B.Frontend!L14</f>
        <v>create-or-edit-devanningcasetype-modal.component.ts</v>
      </c>
      <c r="H74" s="31" t="str">
        <f>B.Frontend!M14</f>
        <v>create-or-edit-devanningcasetype-modal.component.less</v>
      </c>
      <c r="I74" s="31" t="str">
        <f>B.Frontend!N14</f>
        <v>devanningcasetype.module.ts</v>
      </c>
      <c r="J74" s="31" t="str">
        <f>B.Frontend!O14</f>
        <v>devanningcasetype-routing.module.ts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2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MstCmmDevanningCaseTypeDto, MstCmmDevanningCaseTypeServiceProxy } from '@shared/service-proxies/service-proxies';
import { finalize } from 'rxjs/internal/operators/finalize';
import { CreateOrEditDevanningCaseTypeModalComponent } from './create-or-edit-devanningcasetype-modal.component';
import { DatePipe } from '@angular/common';
import { FileDownloadService } from '@shared/utils/file-download.service';
import ceil from 'lodash-es/ceil';
import { Paginator } from 'primeng/paginator';
@Component({
    templateUrl: './devanningcasetype.component.html',
    styleUrls: ['./devanningcasetype.component.less'],
})
export class DevanningCaseTypeComponent extends AppComponentBase implements OnInit {
    @ViewChild('createOrEditModalDevanningCaseType', { static: true }) createOrEditModalDevanningCaseType:| CreateOrEditDevanningCaseTypeModalComponent|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MstCmmDevanningCaseTypeDto = new MstCmmDevanningCaseTypeDto();
    saveSelectedRow: MstCmmDevanningCaseTypeDto = new MstCmmDevanningCaseTypeDto();
    datas: MstCmmDevanningCaseTypeDto = new MstCmmDevanningCaseTypeDto();
    isLoading: boolean = false;
    dataParams: GridParams | undefined;
    rowData: any[] = [];
    gridApi!: GridApi;
    rowSelection = 'multiple';
    filter: string = '';
	pipe = new DatePipe('en-US');
	frameworkComponents: FrameworkComponent;
    	caseNo : string = '' ; 
	carFamilyCode : string = '' ; 
shoptypeCode : string = '' ; 
	supplierNo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MstCmmDevanningCaseTypeServiceProxy,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this.l('Case No'),headerTooltip: this.l('Case No'),field: 'caseNo',flex: 1},
			{headerName: this.l('Car Family Code'),headerTooltip: this.l('Car Family Code'),field: 'carFamilyCode',flex: 1},
			{headerName: this.l('Shoptype Code'),headerTooltip: this.l('Shoptype Code'),field: 'shoptypeCode',flex: 1},
			{headerName: this.l('Supplier No'),headerTooltip: this.l('Supplier No'),field: 'supplierNo',flex: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this.caseNo,
			this.carFamilyCode,
			this.shoptypeCode,
			this.supplierNo,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this.caseNo = '',
		this.carFamilyCode = '',
this.shoptypeCode = '',
		this.supplierNo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this.caseNo,
			this.carFamilyCode,
			this.shoptypeCode,
			this.supplierNo,
			this.isActive,
			'',
            this.paginationParams.skipCount,
            this.paginationParams.pageSize
        );
    }
    onChangeRowSelection(params: { api: { getSelectedRows: () =&gt; MstCmmDevanningCaseTypeDto[] } }) {
        this.saveSelectedRow = params.api.getSelectedRows()[0] ?? new MstCmmDevanningCaseTypeDto();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MstCmmDevanningCaseTypeDto):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this._service.getDevanningCaseTypeToExcel(
			this.caseNo,
			this.carFamilyCode,
			this.shoptypeCode,
			this.supplierNo,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Devanning Case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[(ngModel)]='shoptypeCode' name='shoptypeCode'
									class='form-control' [placeholder]="l('Shoptype Code')"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(click)="createOrEditModalDevanningCaseType.show()"&gt;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(click)="createOrEditModalDevanningCaseType.show(selectedRow)"&gt;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&lt;create-or-edit-devanningcasetype-modal
    #createOrEditModalDevanningCaseType
    (modalSave)="callBackDataGrid(dataParams)"
    (modalClose)="onChangeRowSelection(dataParams)"
&gt;
&lt;/create-or-edit-devanningcasetype-modal&gt;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#createOrEditModalDevanningCaseType="bs-modal"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DevanningCaseType')}}&lt;/h3&gt;
                    &lt;h3 *ngIf="!rowdata.id"&gt;{{('Create New DevanningCaseType')}}&lt;/h3&gt;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title'&gt;Shoptype Code&lt;/label&gt;
						&lt;input type='text' class='col-md-10 form-control input-text' name='ShoptypeCode' [(ngModel)]='rowdata.shoptypeCode'&gt;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CreateOrEditMstCmmDevanningCaseTypeDto, MstCmmDevanningCaseTypeServiceProxy } from '@shared/service-proxies/service-proxies';
import { BsDatepickerDirective } from 'ngx-bootstrap/datepicker';
@Component({
    selector: 'create-or-edit-devanningcasetype-modal',
    templateUrl: './create-or-edit-devanningcasetype-modal.component.html',
    styleUrls: ['./create-or-edit-devanningcasetype-modal.component.less']
    })
export class CreateOrEditDevanningCaseTypeModalComponent extends AppComponentBase {
    @ViewChild('createOrEditModalDevanningCaseType',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CreateOrEditMstCmmDevanningCaseTypeDto = new CreateOrEditMstCmmDevanningCaseTypeDto();
    active: boolean = false;
    saving: boolean = false;
    _isActive: boolean;
    constructor(
        injector: Injector,
        private _mstwptDevanningCaseTypeService: MstCmmDevanningCaseTypeServiceProxy,
    ) 
    {
        super(injector);
    }
    show(rowdata?: CreateOrEditMstCmmDevanningCaseTypeDto): void {
        if (!rowdata) this.rowdata = new CreateOrEditMstCmmDevanningCaseTypeDto();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this._mstwptDevanningCaseTypeService.createOrEdit(this.rowdata)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DevanningCaseTypeRoutingModule } from './devanningcasetype-routing.module';
import { DevanningCaseTypeComponent } from './devanningcasetype.component';
import { CreateOrEditDevanningCaseTypeModalComponent } from './create-or-edit-devanningcasetype-modal.component';
@NgModule({
    declarations: [
       DevanningCaseTypeComponent, 
        CreateOrEditDevanningCaseTypeModalComponent
    ],
    imports: [
        AppSharedModule, DevanningCaseTypeRoutingModule]
})
export class DevanningCaseTypeModule {}</v>
      </c>
      <c r="J75" s="49" t="str">
        <f>B.Frontend!O10</f>
        <v>import {NgModule} from '@angular/core';
import {RouterModule, Routes} from '@angular/router';
import { DevanningCaseTypeComponent } from './devanningcasetype.component';
const routes: Routes = [{
    path: '',
    component: DevanningCaseTypeComponent,
    pathMatch: 'full'
}];
@NgModule({
    imports: [RouterModule.forChild(routes)],
    exports: [RouterModule],
})
export class DevanningCaseTypeRoutingModule {}</v>
      </c>
      <c r="K75" s="49" t="str">
        <f>B.Frontend!P10</f>
        <v xml:space="preserve"> new AppMenuItem("DevanningCaseType", "Pages.Master.Common.DevanningCaseType", "flaticon-book",   "/app/main/master/common/devanningcasetype"),</v>
      </c>
      <c r="L75" s="50" t="str">
        <f>B.Frontend!Q10</f>
        <v>{
    path: 'master/common/devanningcasetype',
    loadChildren: () =&gt; import('./master/common/devanningcasetype/devanningcasetype.module').then(m =&gt; m.DevanningCaseTypeModule),
    data: { permission: 'Pages.Master.Common.DevanningCaseType' }
},</v>
      </c>
      <c r="M75" s="48" t="str">
        <f>B.Frontend!R10</f>
        <v>ApiServiceProxies.MstCmmDevanningCaseTypeServiceProxy,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5"/>
  <sheetViews>
    <sheetView tabSelected="1" workbookViewId="0">
      <pane xSplit="1" topLeftCell="B1" activePane="topRight" state="frozen"/>
      <selection pane="topRight" activeCell="B13" sqref="B1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354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355</v>
      </c>
      <c r="C3" s="10" t="s">
        <v>43</v>
      </c>
      <c r="D3" s="10" t="s">
        <v>44</v>
      </c>
      <c r="E3" s="10" t="s">
        <v>39</v>
      </c>
      <c r="F3" s="11" t="str">
        <f>"J"&amp;COUNTA($A:$A)</f>
        <v>J13</v>
      </c>
      <c r="G3" s="4" t="s">
        <v>57</v>
      </c>
      <c r="H3" s="10" t="str">
        <f>"I"&amp;COUNTA($A:$A)</f>
        <v>I13</v>
      </c>
      <c r="I3" s="10" t="str">
        <f>REPT(CHAR(9),2)&amp;"[Required]"&amp;"
"</f>
        <v xml:space="preserve">		[Required]
</v>
      </c>
      <c r="J3" s="11" t="str">
        <f>"L"&amp;COUNTA($A:$A)</f>
        <v>L13</v>
      </c>
      <c r="K3" s="5" t="s">
        <v>56</v>
      </c>
      <c r="L3" s="11" t="str">
        <f>"M"&amp;COUNTA($A:$A)</f>
        <v>M13</v>
      </c>
      <c r="M3" s="11" t="str">
        <f>"N"&amp;COUNTA($A:$A)</f>
        <v>N13</v>
      </c>
      <c r="N3" s="11" t="str">
        <f>"O"&amp;COUNTA($A:$A)</f>
        <v>O13</v>
      </c>
      <c r="O3" s="11" t="str">
        <f>"P"&amp;COUNTA($A:$A)</f>
        <v>P13</v>
      </c>
      <c r="Q3" s="11" t="str">
        <f>RIGHT(B2,(LEN(B2)-FIND(".",B2,1)))</f>
        <v>Common</v>
      </c>
      <c r="R3" s="32" t="str">
        <f>REPT(CHAR(9),1)&amp;"public class "&amp;B3&amp;"ExportInput"&amp;C3</f>
        <v xml:space="preserve">	public class MstCmmDevanningCaseTypeExportInput{
</v>
      </c>
      <c r="S3" s="11" t="str">
        <f>"namespace "&amp;$B$6&amp;".Exporting
"&amp;$C$3</f>
        <v xml:space="preserve">namespace prod.Master.Common.Exporting
{
</v>
      </c>
      <c r="T3" s="11" t="str">
        <f>"T"&amp;COUNTA($A:$A)</f>
        <v>T13</v>
      </c>
      <c r="V3" s="11" t="str">
        <f>"V"&amp;COUNTA($A:$A)</f>
        <v>V13</v>
      </c>
      <c r="W3" s="10" t="str">
        <f>"W"&amp;COUNTA($A:$A)</f>
        <v>W13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356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4.95" customHeight="1" x14ac:dyDescent="0.25">
      <c r="A6" s="1" t="s">
        <v>6</v>
      </c>
      <c r="B6" s="10" t="str">
        <f>"prod."&amp;B2</f>
        <v>prod.Master.Common</v>
      </c>
      <c r="C6" s="11" t="str">
        <f>"namespace "&amp;$B$6&amp;"
"&amp;$C$3</f>
        <v xml:space="preserve">namespace prod.Master.Common
{
</v>
      </c>
      <c r="D6" s="11" t="str">
        <f>REPT(CHAR(9),1)&amp;"public class "&amp;B3&amp;G3&amp;REPT(CHAR(9),1)&amp;"
"&amp;REPT(CHAR(9),1)&amp;C3</f>
        <v xml:space="preserve">	public class MstCmmDevanningCaseType: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MstCmmDevanningCaseTypeConsts	
	{
</v>
      </c>
      <c r="F6" s="11" t="str">
        <f>REPT(CHAR(9),1)&amp;"public class "&amp;B3&amp;"Dto"&amp;K3&amp;REPT(CHAR(9),1)&amp;"
"&amp;REPT(CHAR(9),1)&amp;C3</f>
        <v xml:space="preserve">	public class MstCmmDevanningCaseTypeDto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CreateOrEditMstCmmDevanningCaseTypeDto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GetMstCmmDevanningCaseTypeInput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4.95" customHeight="1" x14ac:dyDescent="0.25">
      <c r="A7" s="1" t="s">
        <v>13</v>
      </c>
      <c r="B7" s="10" t="str">
        <f>B3</f>
        <v>MstCmmDevanningCaseType</v>
      </c>
      <c r="C7" s="11" t="str">
        <f>REPT(CHAR(9),1)&amp;"[Table("""&amp;B7&amp;""")]"&amp;"
"</f>
        <v xml:space="preserve">	[Table("MstCmmDevanningCaseType")]
</v>
      </c>
      <c r="D7" s="11"/>
      <c r="E7" s="11"/>
      <c r="F7" s="11"/>
      <c r="G7" s="11"/>
      <c r="H7" s="11"/>
      <c r="I7" s="11"/>
      <c r="J7" s="6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[Table("MstCmmDevanningCaseType")]
	[Index(nameof(CaseNo), Name="IX_MstCmmDevanningCaseType_CaseNo")]
	[Index(nameof(IsActive), Name="IX_MstCmmDevanningCaseType_IsActive")]	public class MstCmmDevanningCaseType: FullAuditedEntity&lt;long&gt;, IEntity&lt;long&gt;	
	{
		public const int MaxCaseNoLength = 5;
		public const int MaxCarFamilyCodeLength = 4;
		public const int MaxShoptypeCodeLength = 2;
		public const int MaxSupplierNoLength = 10;
		public const int MaxIsActiveLength = 1;
		[StringLength(MaxCaseNoLength)]
		public virtual string CaseNo { get; set; }
		[StringLength(MaxCarFamilyCodeLength)]
		public virtual string CarFamilyCode { get; set; }
		[StringLength(MaxShoptypeCodeLength)]
		public virtual string ShoptypeCode { get; set; }
		[StringLength(MaxSupplierNoLength)]
		public virtual string SupplierNo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DbSet&lt;MstCmmDevanningCaseType&gt; MstCmmDevanningCaseTypes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prod.Master.Common
{
	public class MstCmmDevanningCaseTypeConsts	
	{
		public const int MaxCaseNoLength = 5;
		public const int MaxCarFamilyCodeLength = 4;
		public const int MaxShoptypeCodeLength = 2;
		public const int MaxSupplierNoLength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prod.Master.Common.Dto
{
	public class MstCmmDevanningCaseTypeDto : EntityDto&lt;long?&gt;	
	{
		public virtual string CaseNo { get; set; }
		public virtual string CarFamilyCode { get; set; }
		public virtual string ShoptypeCode { get; set; }
		public virtual string SupplierNo { get; set; }
		public virtual string IsActive { get; set; }
	}
	public class CreateOrEditMstCmmDevanningCaseTypeDto : EntityDto&lt;long?&gt;	
	{
		[StringLength(MstCmmDevanningCaseTypeConsts.MaxCaseNoLength)]
		public virtual string CaseNo { get; set; }
		[StringLength(MstCmmDevanningCaseTypeConsts.MaxCarFamilyCodeLength)]
		public virtual string CarFamilyCode { get; set; }
		[StringLength(MstCmmDevanningCaseTypeConsts.MaxShoptypeCodeLength)]
		public virtual string ShoptypeCode { get; set; }
		[StringLength(MstCmmDevanningCaseTypeConsts.MaxSupplierNoLength)]
		public virtual string SupplierNo { get; set; }
		[StringLength(MstCmmDevanningCaseTypeConsts.MaxIsActiveLength)]
		public virtual string IsActive { get; set; }
	}
	public class GetMstCmmDevanningCaseTypeInput : PagedAndSortedResultRequestDto	
	{
		public virtual string CaseNo { get; set; }
		public virtual string CarFamilyCode { get; set; }
		public virtual string ShoptypeCode { get; set; }
		public virtual string SupplierNo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perMstCmmDevanningCaseType = PARENTS.CreateChildPermission(AppPermissions.Pages_Master_Common_DevanningCaseType, L( "MasterCommonDevanningCaseType"), multiTenancySides: MultiTenancySides.Tenant);
		perMstCmmDevanningCaseType.CreateChildPermission(AppPermissions.Pages_Master_Common_DevanningCaseType_CreateEdit, L( "MasterCommonDevanningCaseTypeCreateEdit"), multiTenancySides: MultiTenancySides.Tenant);
		perMstCmmDevanningCaseType.CreateChildPermission(AppPermissions.Pages_Master_Common_DevanningCaseType_Delete, L( "MasterCommonDevanningCaseTypeDelete"),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Pages_Master_Common_DevanningCaseType = "Pages.Master.Common.DevanningCaseType";
		public const string Pages_Master_Common_DevanningCaseType_CreateEdit = "Pages.Master.Common.DevanningCaseType.CreateEdit";
		public const string Pages_Master_Common_DevanningCaseType_Delete = "Pages.Master.Common.DevanningCaseType.Delete";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IMstCmmDevanningCaseTypeAppService : IApplicationService
	{
		Task&lt;PagedResultDto&lt;MstCmmDevanningCaseTypeDto&gt;&gt; GetAll(GetMstCmmDevanningCaseTypeInput input);
		Task CreateOrEdit(CreateOrEditMstCmmDevanningCaseTypeDto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[AbpAuthorize(AppPermissions.Pages_Master_Common_DevanningCaseType)]
    public class MstCmmDevanningCaseTypeAppService : vovinaAppServiceBase, IMstCmmDevanningCaseTypeAppService
    {
        private readonly IDapperRepository&lt;MstCmmDevanningCaseType, long&gt; _dapperRepo;
        private readonly IRepository&lt;MstCmmDevanningCaseType, long&gt; _repo;
        private readonly IMstCmmDevanningCaseTypeExcelExporter _calendarListExcelExporter;
        public MstCmmDevanningCaseTypeAppService(IRepository&lt;MstCmmDevanningCaseType,long&gt; repo, 
                                         IDapperRepository&lt;MstCmmDevanningCaseType,long&gt; dapperRepo,
                                        IMstCmmDevanningCaseTypeExcelExporter calendarListExcelExporter
            )
        {
            _repo = repo;
            _dapperRepo = dapperRepo;
            _calendarListExcelExporter = calendarListExcelExporter;
        }
        [AbpAuthorize(AppPermissions.Pages_Master_Common_DevanningCaseType_CreateEdit)]
        public async Task CreateOrEdit(CreateOrEditMstCmmDevanningCaseTypeDto input)
        {
            if (input.Id == null) await Create(input);
            else await Update(input);
        }
        //CREATE
        private async Task Create(CreateOrEditMstCmmDevanningCaseTypeDto input)
        {          
            var mainObj = ObjectMapper.Map&lt;MstCmmDevanningCaseType&gt;(input);
            await CurrentUnitOfWork.GetDbContext&lt;vovinaDbContext&gt;().AddAsync(mainObj);
        }
        // EDIT
        private async Task Update(CreateOrEditMstCmmDevanningCaseTypeDto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[AbpAuthorize(AppPermissions.Pages_Master_Common_DevanningCaseType_Delete)]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Task&lt;PagedResultDto&lt;MstCmmDevanningCaseTypeDto&gt;&gt; GetAll(GetMstCmmDevanningCaseTypeInput input)
        {
            var filtered = _repo.GetAll()
				.WhereIf(!string.IsNullOrWhiteSpace(input.CaseNo), e =&gt; e.CaseNo.Contains(input.CaseNo))
				.WhereIf(!string.IsNullOrWhiteSpace(input.CarFamilyCode), e =&gt; e.CarFamilyCode.Contains(input.CarFamilyCode))
				.WhereIf(!string.IsNullOrWhiteSpace(input.ShoptypeCode), e =&gt; e.ShoptypeCode.Contains(input.ShoptypeCode))
				.WhereIf(!string.IsNullOrWhiteSpace(input.SupplierNo), e =&gt; e.SupplierNo.Contains(input.SupplierNo))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MstCmmDevanningCaseTypeDto
                        {
							Id = o.Id,
							CaseNo = o.CaseNo,
							CarFamilyCode = o.CarFamilyCode,
							ShoptypeCode = o.ShoptypeCode,
							SupplierNo = o.SupplierNo,
							IsActive = o.IsActive,
                        };
            var totalCount = await filtered.CountAsync();
			var paged = system.PageBy(input);
            return new PagedResultDto&lt;MstCmmDevanningCaseTypeDto&gt;(
                totalCount,
                 await paged.ToListAsync()
            );
        }
        public async Task&lt;FileDto&gt; GetDevanningCaseTypeToExcel(MstCmmDevanningCaseTypeExportInput input)
        {
            var query = from o in _repo.GetAll()
                        select new MstCmmDevanningCaseTypeDto
                        {
							Id = o.Id,
							CaseNo = o.CaseNo,
							CarFamilyCode = o.CarFamilyCode,
							ShoptypeCode = o.ShoptypeCode,
							SupplierNo = o.SupplierNo,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_dapperRepo.ExecuteAsync(MstCmmDevanningCaseTypeConsts.SP_MST_WPT_CALENDAR_GENERATE);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prod.Master.Common.Dto
{
	public class MstCmmDevanningCaseTypeExportInput{
		public virtual string CaseNo { get; set; }
		public virtual string CarFamilyCode { get; set; }
		public virtual string ShoptypeCode { get; set; }
		public virtual string SupplierNo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IMstCmmDevanningCaseTypeExcelExporter : IApplicationService
	{
		FileDto ExportToFile(List&lt;MstCmmDevanningCaseTypeDto&gt; mstcmmdevanningcasetype);
	}
}
</v>
      </c>
      <c r="T7" s="28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MstCmmDevanningCaseTypeExcelExporter : NpoiExcelExporterBase, IMstCmmDevanningCaseTypeExcelExporter
    {
        public MstCmmDevanningCaseTypeExcelExporter(ITempFileCacheManager tempFileCacheManager) : base(tempFileCacheManager) { }
        public FileDto ExportToFile(List&lt;MstCmmDevanningCaseTypeDto&gt; devanningcasetype)
        {
            return CreateExcelPackage(
				"MasterCommonDevanningCaseType.xlsx",
				excelPackage =&gt;
				 {
					var sheet = excelPackage.CreateSheet("DevanningCaseType");
					AddHeader(
								sheet,
								("CaseNo"),
								("CarFamilyCode"),
								("ShoptypeCode"),
								("SupplierNo"),
								("IsActive"),
							   );
					AddObjects(
						 sheet, 1, devanningcasetype,                                       
								_ =&gt; _.CaseNo,
								_ =&gt; _.CarFamilyCode,
								_ =&gt; _.ShoptypeCode,
								_ =&gt; _.SupplierNo,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configuration.CreateMap&lt;MstCmmDevanningCaseTypeDto, MstCmmDevanningCaseType&gt;();
  configuration.CreateMap&lt;MstCmmDevanningCaseType, MstCmmDevanningCaseTypeDto&gt;();
  configuration.CreateMap&lt;CreateOrEditMstCmmDevanningCaseTypeDto, MstCmmDevanningCaseType&gt;();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358</v>
      </c>
      <c r="B9" t="s">
        <v>362</v>
      </c>
      <c r="C9" t="s">
        <v>1</v>
      </c>
      <c r="D9" t="str">
        <f t="shared" ref="D9" si="0">SUBSTITUTE(PROPER(A9),"_","")</f>
        <v>CaseNo</v>
      </c>
      <c r="E9" t="str">
        <f t="shared" ref="E9" si="1">IFERROR(LEFT(B9, FIND("(",B9)-1),B9)</f>
        <v>nvarchar</v>
      </c>
      <c r="F9" s="7"/>
      <c r="G9" t="str">
        <f t="shared" ref="G9" si="2">IFERROR(MID(B9,FIND("(",B9) +1, FIND(")",B9) - FIND("(",B9) - 1),"")</f>
        <v>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MaxCaseNoLength = 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[StringLength(MaxCaseNoLength)]
		public virtual string CaseNo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[Index(nameof(CaseNo), Name="IX_MstCmmDevanningCaseType_CaseNo")]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CaseNo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[StringLength(MstCmmDevanningCaseTypeConsts.MaxCaseNoLength)]
		public virtual string CaseNo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CaseNo { get; set; }
</v>
      </c>
      <c r="P9" t="str">
        <f t="shared" ref="P9" si="9">REPT(CHAR(9),7)&amp;D9&amp;" = o." &amp;D9 &amp;","</f>
        <v xml:space="preserve">							CaseNo = o.CaseNo,</v>
      </c>
      <c r="T9" s="69" t="str">
        <f t="shared" ref="T9" si="10">REPT(CHAR(9),8)&amp;"("""&amp;D9&amp;"""),"</f>
        <v xml:space="preserve">								("CaseNo"),</v>
      </c>
      <c r="V9" s="70" t="str">
        <f t="shared" ref="V9" si="11">REPT(CHAR(9),8)&amp;"_ =&gt; _."&amp;D9&amp;","</f>
        <v xml:space="preserve">								_ =&gt; _.CaseNo,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.WhereIf(!string.IsNullOrWhiteSpace(input.CaseNo), e =&gt; e.CaseNo.Contains(input.CaseNo))</v>
      </c>
    </row>
    <row r="10" spans="1:23" customFormat="1" ht="18.75" customHeight="1" x14ac:dyDescent="0.25">
      <c r="A10" t="s">
        <v>359</v>
      </c>
      <c r="B10" t="s">
        <v>363</v>
      </c>
      <c r="C10" t="s">
        <v>1</v>
      </c>
      <c r="D10" t="str">
        <f t="shared" ref="D10:D11" si="13">SUBSTITUTE(PROPER(A10),"_","")</f>
        <v>CarFamilyCode</v>
      </c>
      <c r="E10" t="str">
        <f t="shared" ref="E10:E11" si="14">IFERROR(LEFT(B10, FIND("(",B10)-1),B10)</f>
        <v>nvarchar</v>
      </c>
      <c r="F10" s="7"/>
      <c r="G10" t="str">
        <f t="shared" ref="G10:G11" si="15">IFERROR(MID(B10,FIND("(",B10) +1, FIND(")",B10) - FIND("(",B10) - 1),"")</f>
        <v>4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MaxCarFamilyCodeLength = 4;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[StringLength(MaxCarFamilyCodeLength)]
		public virtual string CarFamilyCode { get; set; }
</v>
      </c>
      <c r="K10" s="7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CarFamilyCode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[StringLength(MstCmmDevanningCaseTypeConsts.MaxCarFamilyCodeLength)]
		public virtual string CarFamilyCode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CarFamilyCode { get; set; }
</v>
      </c>
      <c r="P10" t="str">
        <f t="shared" ref="P10:P11" si="22">REPT(CHAR(9),7)&amp;D10&amp;" = o." &amp;D10 &amp;","</f>
        <v xml:space="preserve">							CarFamilyCode = o.CarFamilyCode,</v>
      </c>
      <c r="T10" s="69" t="str">
        <f t="shared" ref="T10:T11" si="23">REPT(CHAR(9),8)&amp;"("""&amp;D10&amp;"""),"</f>
        <v xml:space="preserve">								("CarFamilyCode"),</v>
      </c>
      <c r="V10" s="70" t="str">
        <f t="shared" ref="V10:V11" si="24">REPT(CHAR(9),8)&amp;"_ =&gt; _."&amp;D10&amp;","</f>
        <v xml:space="preserve">								_ =&gt; _.CarFamilyCode,</v>
      </c>
      <c r="W10" s="69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.WhereIf(!string.IsNullOrWhiteSpace(input.CarFamilyCode), e =&gt; e.CarFamilyCode.Contains(input.CarFamilyCode))</v>
      </c>
    </row>
    <row r="11" spans="1:23" customFormat="1" ht="18.75" customHeight="1" x14ac:dyDescent="0.25">
      <c r="A11" t="s">
        <v>360</v>
      </c>
      <c r="B11" t="s">
        <v>364</v>
      </c>
      <c r="C11" t="s">
        <v>1</v>
      </c>
      <c r="D11" t="str">
        <f t="shared" si="13"/>
        <v>ShoptypeCode</v>
      </c>
      <c r="E11" t="str">
        <f t="shared" si="14"/>
        <v>nvarchar</v>
      </c>
      <c r="F11" s="7"/>
      <c r="G11" t="str">
        <f t="shared" si="15"/>
        <v>2</v>
      </c>
      <c r="H11" t="str">
        <f>+VLOOKUP(E11,'Data Type Mapping'!A:B,2,)</f>
        <v>string</v>
      </c>
      <c r="I11" t="str">
        <f t="shared" si="16"/>
        <v xml:space="preserve">		public const int MaxShoptypeCodeLength = 2;
</v>
      </c>
      <c r="J11" t="str">
        <f t="shared" si="17"/>
        <v xml:space="preserve">		[StringLength(MaxShoptypeCodeLength)]
		public virtual string ShoptypeCode { get; set; }
</v>
      </c>
      <c r="K11" s="7"/>
      <c r="L11" t="str">
        <f t="shared" si="18"/>
        <v/>
      </c>
      <c r="M11" t="str">
        <f t="shared" si="19"/>
        <v xml:space="preserve">		public virtual string ShoptypeCode { get; set; }
</v>
      </c>
      <c r="N11" t="str">
        <f t="shared" si="20"/>
        <v xml:space="preserve">		[StringLength(MstCmmDevanningCaseTypeConsts.MaxShoptypeCodeLength)]
		public virtual string ShoptypeCode { get; set; }
</v>
      </c>
      <c r="O11" t="str">
        <f t="shared" si="21"/>
        <v xml:space="preserve">		public virtual string ShoptypeCode { get; set; }
</v>
      </c>
      <c r="P11" t="str">
        <f t="shared" si="22"/>
        <v xml:space="preserve">							ShoptypeCode = o.ShoptypeCode,</v>
      </c>
      <c r="T11" s="69" t="str">
        <f t="shared" si="23"/>
        <v xml:space="preserve">								("ShoptypeCode"),</v>
      </c>
      <c r="V11" s="70" t="str">
        <f t="shared" si="24"/>
        <v xml:space="preserve">								_ =&gt; _.ShoptypeCode,</v>
      </c>
      <c r="W11" s="69" t="str">
        <f t="shared" si="25"/>
        <v xml:space="preserve">				.WhereIf(!string.IsNullOrWhiteSpace(input.ShoptypeCode), e =&gt; e.ShoptypeCode.Contains(input.ShoptypeCode))</v>
      </c>
    </row>
    <row r="12" spans="1:23" customFormat="1" ht="18.75" customHeight="1" x14ac:dyDescent="0.25">
      <c r="A12" t="s">
        <v>361</v>
      </c>
      <c r="B12" t="s">
        <v>365</v>
      </c>
      <c r="C12" t="s">
        <v>1</v>
      </c>
      <c r="D12" t="str">
        <f t="shared" ref="D12" si="26">SUBSTITUTE(PROPER(A12),"_","")</f>
        <v>SupplierNo</v>
      </c>
      <c r="E12" t="str">
        <f t="shared" ref="E12" si="27">IFERROR(LEFT(B12, FIND("(",B12)-1),B12)</f>
        <v>nvarchar</v>
      </c>
      <c r="F12" s="7"/>
      <c r="G12" t="str">
        <f t="shared" ref="G12" si="28">IFERROR(MID(B12,FIND("(",B12) +1, FIND(")",B12) - FIND("(",B12) - 1),"")</f>
        <v>10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MaxSupplierNoLength = 10;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[StringLength(MaxSupplierNoLength)]
		public virtual string SupplierNo { get; set; }
</v>
      </c>
      <c r="K12" s="7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SupplierNo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[StringLength(MstCmmDevanningCaseTypeConsts.MaxSupplierNoLength)]
		public virtual string SupplierNo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SupplierNo { get; set; }
</v>
      </c>
      <c r="P12" t="str">
        <f t="shared" ref="P12" si="35">REPT(CHAR(9),7)&amp;D12&amp;" = o." &amp;D12 &amp;","</f>
        <v xml:space="preserve">							SupplierNo = o.SupplierNo,</v>
      </c>
      <c r="T12" s="69" t="str">
        <f t="shared" ref="T12" si="36">REPT(CHAR(9),8)&amp;"("""&amp;D12&amp;"""),"</f>
        <v xml:space="preserve">								("SupplierNo"),</v>
      </c>
      <c r="V12" s="70" t="str">
        <f t="shared" ref="V12" si="37">REPT(CHAR(9),8)&amp;"_ =&gt; _."&amp;D12&amp;","</f>
        <v xml:space="preserve">								_ =&gt; _.SupplierNo,</v>
      </c>
      <c r="W12" s="69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.WhereIf(!string.IsNullOrWhiteSpace(input.SupplierNo), e =&gt; e.SupplierNo.Contains(input.SupplierNo))</v>
      </c>
    </row>
    <row r="13" spans="1:23" customFormat="1" ht="22.5" customHeight="1" x14ac:dyDescent="0.25">
      <c r="A13" t="s">
        <v>324</v>
      </c>
      <c r="B13" t="s">
        <v>366</v>
      </c>
      <c r="C13" t="s">
        <v>1</v>
      </c>
      <c r="D13" t="str">
        <f>SUBSTITUTE(PROPER(A13),"_","")</f>
        <v>IsActive</v>
      </c>
      <c r="E13" t="str">
        <f t="shared" ref="E13" si="39">IFERROR(LEFT(B13, FIND("(",B13)-1),B13)</f>
        <v>nvarchar</v>
      </c>
      <c r="F13" s="7"/>
      <c r="G13" t="str">
        <f t="shared" ref="G13" si="40">IFERROR(MID(B13,FIND("(",B13) +1, FIND(")",B13) - FIND("(",B13) - 1),"")</f>
        <v>1</v>
      </c>
      <c r="H13" t="str">
        <f>+VLOOKUP(E13,'[1]Data Type Mapping'!A:B,2,)</f>
        <v>string</v>
      </c>
      <c r="I13" t="str">
        <f t="shared" ref="I13" si="41">IF(H13="string",REPT(CHAR(9),2)&amp;"public const int Max"&amp;D13&amp;"Length = "&amp;G13&amp;";"&amp;$E$3,"" )</f>
        <v xml:space="preserve">		public const int MaxIsActiveLength = 1;
</v>
      </c>
      <c r="J13" t="str">
        <f t="shared" ref="J13" si="42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[StringLength(MaxIsActiveLength)]
		public virtual string IsActive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[Index(nameof(IsActive), Name="IX_MstCmmDevanningCaseType_IsActive")]</v>
      </c>
      <c r="M13" t="str">
        <f t="shared" ref="M13" si="43">REPT(CHAR(9),2)&amp;"public virtual "&amp;IF(OR(H13="DateTime",H13="TimeSpan"),H13&amp;"?",H13)&amp;IF(C13="?","? "," ")&amp;D13&amp;" { get; set; }" &amp; "
"</f>
        <v xml:space="preserve">		public virtual string IsActive { get; set; }
</v>
      </c>
      <c r="N13" t="str">
        <f t="shared" ref="N13" si="44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[StringLength(MstCmmDevanningCaseTypeConsts.MaxIsActiveLength)]
		public virtual string IsActive { get; set; }
</v>
      </c>
      <c r="O13" t="str">
        <f t="shared" ref="O13" si="45">IF(OR(H13="string",H13="DateTime",H13="int"),REPT(CHAR(9),2)&amp;"public virtual "&amp;IF(OR(H13="DateTime",H13="TimeSpan"),H13&amp;"?",H13)&amp;IF(C13="?","? "," ")&amp;D13&amp;" { get; set; }"&amp;$E$3,"")</f>
        <v xml:space="preserve">		public virtual string IsActive { get; set; }
</v>
      </c>
      <c r="P13" t="str">
        <f t="shared" ref="P13" si="46">REPT(CHAR(9),7)&amp;D13&amp;" = o." &amp;D13 &amp;","</f>
        <v xml:space="preserve">							IsActive = o.IsActive,</v>
      </c>
      <c r="T13" s="69" t="str">
        <f t="shared" ref="T13" si="47">REPT(CHAR(9),8)&amp;"("""&amp;D13&amp;"""),"</f>
        <v xml:space="preserve">								("IsActive"),</v>
      </c>
      <c r="V13" s="70" t="str">
        <f t="shared" ref="V13" si="48">REPT(CHAR(9),8)&amp;"_ =&gt; _."&amp;D13&amp;","</f>
        <v xml:space="preserve">								_ =&gt; _.IsActive,</v>
      </c>
      <c r="W13" s="69" t="str">
        <f t="shared" ref="W13" si="49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.WhereIf(!string.IsNullOrWhiteSpace(input.IsActive), e =&gt; e.IsActive.Contains(input.IsActive))</v>
      </c>
    </row>
    <row r="15" spans="1:23" ht="45.75" customHeight="1" x14ac:dyDescent="0.25">
      <c r="H15" s="12"/>
      <c r="I15" s="34" t="str">
        <f ca="1">TEXTJOIN2("
", TRUE,INDIRECT( $H$1):INDIRECT( $H$3))</f>
        <v xml:space="preserve">		public const int MaxCaseNoLength = 5;
		public const int MaxCarFamilyCodeLength = 4;
		public const int MaxShoptypeCodeLength = 2;
		public const int MaxSupplierNoLength = 10;
		public const int MaxIsActiveLength = 1;
</v>
      </c>
      <c r="J15" s="33" t="str">
        <f ca="1">TEXTJOIN2("
", TRUE,INDIRECT( $F$1):INDIRECT( $F$3))</f>
        <v xml:space="preserve">		[StringLength(MaxCaseNoLength)]
		public virtual string CaseNo { get; set; }
		[StringLength(MaxCarFamilyCodeLength)]
		public virtual string CarFamilyCode { get; set; }
		[StringLength(MaxShoptypeCodeLength)]
		public virtual string ShoptypeCode { get; set; }
		[StringLength(MaxSupplierNoLength)]
		public virtual string SupplierNo { get; set; }
		[StringLength(MaxIsActiveLength)]
		public virtual string IsActive { get; set; }
</v>
      </c>
      <c r="K15" s="35" t="str">
        <f ca="1">TEXTJOIN2("
", TRUE,INDIRECT( $J$1):INDIRECT( $J$3))</f>
        <v xml:space="preserve">	[Index(nameof(CaseNo), Name="IX_MstCmmDevanningCaseType_CaseNo")]
	[Index(nameof(IsActive), Name="IX_MstCmmDevanningCaseType_IsActive")]</v>
      </c>
      <c r="L15" s="13" t="s">
        <v>60</v>
      </c>
      <c r="M15" s="36" t="str">
        <f ca="1">TEXTJOIN2("
",TRUE,INDIRECT( $L$1):INDIRECT($L$3))</f>
        <v xml:space="preserve">		public virtual string CaseNo { get; set; }
		public virtual string CarFamilyCode { get; set; }
		public virtual string ShoptypeCode { get; set; }
		public virtual string SupplierNo { get; set; }
		public virtual string IsActive { get; set; }
</v>
      </c>
      <c r="N15" s="33" t="str">
        <f ca="1">TEXTJOIN2("
",TRUE,INDIRECT( $M$1):INDIRECT($M$3))</f>
        <v xml:space="preserve">		[StringLength(MstCmmDevanningCaseTypeConsts.MaxCaseNoLength)]
		public virtual string CaseNo { get; set; }
		[StringLength(MstCmmDevanningCaseTypeConsts.MaxCarFamilyCodeLength)]
		public virtual string CarFamilyCode { get; set; }
		[StringLength(MstCmmDevanningCaseTypeConsts.MaxShoptypeCodeLength)]
		public virtual string ShoptypeCode { get; set; }
		[StringLength(MstCmmDevanningCaseTypeConsts.MaxSupplierNoLength)]
		public virtual string SupplierNo { get; set; }
		[StringLength(MstCmmDevanningCaseTypeConsts.MaxIsActiveLength)]
		public virtual string IsActive { get; set; }
</v>
      </c>
      <c r="O15" s="33" t="str">
        <f ca="1">TEXTJOIN2("
",TRUE,INDIRECT( $N$1):INDIRECT($N$3))</f>
        <v xml:space="preserve">		public virtual string CaseNo { get; set; }
		public virtual string CarFamilyCode { get; set; }
		public virtual string ShoptypeCode { get; set; }
		public virtual string SupplierNo { get; set; }
		public virtual string IsActive { get; set; }
</v>
      </c>
      <c r="P15" s="9" t="str">
        <f ca="1">TEXTJOIN2("
",TRUE,INDIRECT( $O$1):INDIRECT($O$3))</f>
        <v xml:space="preserve">							CaseNo = o.CaseNo,
							CarFamilyCode = o.CarFamilyCode,
							ShoptypeCode = o.ShoptypeCode,
							SupplierNo = o.SupplierNo,
							IsActive = o.IsActive,</v>
      </c>
      <c r="T15" s="9" t="str">
        <f ca="1">TEXTJOIN2("
",TRUE,INDIRECT( $T$2):INDIRECT($T$3))</f>
        <v xml:space="preserve">								("CaseNo"),
								("CarFamilyCode"),
								("ShoptypeCode"),
								("SupplierNo"),
								("IsActive"),</v>
      </c>
      <c r="V15" s="9" t="str">
        <f ca="1">TEXTJOIN2("
",TRUE,INDIRECT( $V$2):INDIRECT($V$3))</f>
        <v xml:space="preserve">								_ =&gt; _.CaseNo,
								_ =&gt; _.CarFamilyCode,
								_ =&gt; _.ShoptypeCode,
								_ =&gt; _.SupplierNo,
								_ =&gt; _.IsActive,</v>
      </c>
      <c r="W15" s="9" t="str">
        <f ca="1">TEXTJOIN2("
",TRUE,INDIRECT( $W$2):INDIRECT($W$3))</f>
        <v xml:space="preserve">				.WhereIf(!string.IsNullOrWhiteSpace(input.CaseNo), e =&gt; e.CaseNo.Contains(input.CaseNo))
				.WhereIf(!string.IsNullOrWhiteSpace(input.CarFamilyCode), e =&gt; e.CarFamilyCode.Contains(input.CarFamilyCode))
				.WhereIf(!string.IsNullOrWhiteSpace(input.ShoptypeCode), e =&gt; e.ShoptypeCode.Contains(input.ShoptypeCode))
				.WhereIf(!string.IsNullOrWhiteSpace(input.SupplierNo), e =&gt; e.SupplierNo.Contains(input.SupplierNo))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1"/>
  <sheetViews>
    <sheetView workbookViewId="0">
      <selection activeCell="A17" sqref="A1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60" x14ac:dyDescent="0.25">
      <c r="A1" s="41" t="s">
        <v>212</v>
      </c>
      <c r="B1" s="42" t="s">
        <v>357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Common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common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MstCmmDevanningCaseType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DevanningCaseType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devanningcasetype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MstCmmDevanningCaseTypeDto, MstCmmDevanningCaseTypeServiceProxy } from '@shared/service-proxies/service-proxies';
import { finalize } from 'rxjs/internal/operators/finalize';
import { CreateOrEditDevanningCaseTypeModalComponent } from './create-or-edit-devanningcasetype-modal.component';
import { DatePipe } from '@angular/common';
import { FileDownloadService } from '@shared/utils/file-download.service';
import ceil from 'lodash-es/ceil';
import { Paginator } from 'primeng/paginator';
@Component({
    templateUrl: './devanningcasetype.component.html',
    styleUrls: ['./devanningcasetype.component.less'],
})
export class DevanningCaseTypeComponent extends AppComponentBase implements OnInit {
    @ViewChild('createOrEditModalDevanningCaseType', { static: true }) createOrEditModalDevanningCaseType:| CreateOrEditDevanningCaseTypeModalComponent|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MstCmmDevanningCaseTypeDto = new MstCmmDevanningCaseTypeDto();
    saveSelectedRow: MstCmmDevanningCaseTypeDto = new MstCmmDevanningCaseTypeDto();
    datas: MstCmmDevanningCaseTypeDto = new MstCmmDevanningCaseTypeDto();
    isLoading: boolean = false;
    dataParams: GridParams | undefined;
    rowData: any[] = [];
    gridApi!: GridApi;
    rowSelection = 'multiple';
    filter: string = '';
	pipe = new DatePipe('en-US');
	frameworkComponents: FrameworkComponent;
    	caseNo : string = '' ; 
	carFamilyCode : string = '' ; 
shoptypeCode : string = '' ; 
	supplierNo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MstCmmDevanningCaseTypeServiceProxy,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this.l('Case No'),headerTooltip: this.l('Case No'),field: 'caseNo',flex: 1},
			{headerName: this.l('Car Family Code'),headerTooltip: this.l('Car Family Code'),field: 'carFamilyCode',flex: 1},
			{headerName: this.l('Shoptype Code'),headerTooltip: this.l('Shoptype Code'),field: 'shoptypeCode',flex: 1},
			{headerName: this.l('Supplier No'),headerTooltip: this.l('Supplier No'),field: 'supplierNo',flex: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this.caseNo,
			this.carFamilyCode,
			this.shoptypeCode,
			this.supplierNo,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this.caseNo = '',
		this.carFamilyCode = '',
this.shoptypeCode = '',
		this.supplierNo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this.caseNo,
			this.carFamilyCode,
			this.shoptypeCode,
			this.supplierNo,
			this.isActive,
			'',
            this.paginationParams.skipCount,
            this.paginationParams.pageSize
        );
    }
    onChangeRowSelection(params: { api: { getSelectedRows: () =&gt; MstCmmDevanningCaseTypeDto[] } }) {
        this.saveSelectedRow = params.api.getSelectedRows()[0] ?? new MstCmmDevanningCaseTypeDto();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MstCmmDevanningCaseTypeDto):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this._service.getDevanningCaseTypeToExcel(
			this.caseNo,
			this.carFamilyCode,
			this.shoptypeCode,
			this.supplierNo,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Devanning Case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[(ngModel)]='shoptypeCode' name='shoptypeCode'
									class='form-control' [placeholder]="l('Shoptype Code')"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(click)="createOrEditModalDevanningCaseType.show()"&gt;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(click)="createOrEditModalDevanningCaseType.show(selectedRow)"&gt;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&lt;create-or-edit-devanningcasetype-modal
    #createOrEditModalDevanningCaseType
    (modalSave)="callBackDataGrid(dataParams)"
    (modalClose)="onChangeRowSelection(dataParams)"
&gt;
&lt;/create-or-edit-devanningcasetype-modal&gt;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#createOrEditModalDevanningCaseType="bs-modal"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DevanningCaseType')}}&lt;/h3&gt;
                    &lt;h3 *ngIf="!rowdata.id"&gt;{{('Create New DevanningCaseType')}}&lt;/h3&gt;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title'&gt;Shoptype Code&lt;/label&gt;
						&lt;input type='text' class='col-md-10 form-control input-text' name='ShoptypeCode' [(ngModel)]='rowdata.shoptypeCode'&gt;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CreateOrEditMstCmmDevanningCaseTypeDto, MstCmmDevanningCaseTypeServiceProxy } from '@shared/service-proxies/service-proxies';
import { BsDatepickerDirective } from 'ngx-bootstrap/datepicker';
@Component({
    selector: 'create-or-edit-devanningcasetype-modal',
    templateUrl: './create-or-edit-devanningcasetype-modal.component.html',
    styleUrls: ['./create-or-edit-devanningcasetype-modal.component.less']
    })
export class CreateOrEditDevanningCaseTypeModalComponent extends AppComponentBase {
    @ViewChild('createOrEditModalDevanningCaseType',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CreateOrEditMstCmmDevanningCaseTypeDto = new CreateOrEditMstCmmDevanningCaseTypeDto();
    active: boolean = false;
    saving: boolean = false;
    _isActive: boolean;
    constructor(
        injector: Injector,
        private _mstwptDevanningCaseTypeService: MstCmmDevanningCaseTypeServiceProxy,
    ) 
    {
        super(injector);
    }
    show(rowdata?: CreateOrEditMstCmmDevanningCaseTypeDto): void {
        if (!rowdata) this.rowdata = new CreateOrEditMstCmmDevanningCaseTypeDto();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this._mstwptDevanningCaseTypeService.createOrEdit(this.rowdata)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DevanningCaseTypeRoutingModule } from './devanningcasetype-routing.module';
import { DevanningCaseTypeComponent } from './devanningcasetype.component';
import { CreateOrEditDevanningCaseTypeModalComponent } from './create-or-edit-devanningcasetype-modal.component';
@NgModule({
    declarations: [
       DevanningCaseTypeComponent, 
        CreateOrEditDevanningCaseTypeModalComponent
    ],
    imports: [
        AppSharedModule, DevanningCaseTypeRoutingModule]
})
export class DevanningCaseTypeModule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DevanningCaseTypeComponent } from './devanningcasetype.component';
const routes: Routes = [{
    path: '',
    component: DevanningCaseTypeComponent,
    pathMatch: 'full'
}];
@NgModule({
    imports: [RouterModule.forChild(routes)],
    exports: [RouterModule],
})
export class DevanningCaseTypeRoutingModule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AppMenuItem("DevanningCaseType", "Pages.Master.Common.DevanningCaseType", "flaticon-book",   "/app/main/master/common/devanningcasetype"),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'master/common/devanningcasetype',
    loadChildren: () =&gt; import('./master/common/devanningcasetype/devanningcasetype.module').then(m =&gt; m.DevanningCaseTypeModule),
    data: { permission: 'Pages.Master.Common.DevanningCaseType' }
},</v>
      </c>
      <c r="R10" s="50" t="str">
        <f>SUBSTITUTE(R9,"MstWptCalendar",$B$6)</f>
        <v>ApiServiceProxies.MstCmmDevanningCaseTypeServiceProxy,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H19</v>
      </c>
      <c r="I12" s="31" t="str">
        <f>"I"&amp;COUNTA($A:$A)</f>
        <v>I19</v>
      </c>
      <c r="J12" s="31"/>
      <c r="K12" s="31" t="str">
        <f>"K"&amp;COUNTA($A:$A)</f>
        <v>K19</v>
      </c>
      <c r="L12" s="31" t="str">
        <f>"L"&amp;COUNTA($A:$A)</f>
        <v>L19</v>
      </c>
      <c r="M12" s="31"/>
      <c r="N12" s="31"/>
      <c r="O12" s="31"/>
      <c r="P12" s="31"/>
      <c r="Q12" s="31"/>
      <c r="R12" s="31"/>
      <c r="S12" s="31" t="str">
        <f>"S"&amp;COUNTA($A:$A)</f>
        <v>S19</v>
      </c>
      <c r="T12" s="31" t="str">
        <f>"T"&amp;COUNTA($A:$A)</f>
        <v>T19</v>
      </c>
      <c r="U12" s="31" t="str">
        <f>"U"&amp;COUNTA($A:$A)</f>
        <v>U19</v>
      </c>
      <c r="V12" s="31" t="str">
        <f>"V"&amp;COUNTA($A:$A)</f>
        <v>V19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this.l('Case No'),headerTooltip: this.l('Case No'),field: 'caseNo',flex: 1},
			{headerName: this.l('Car Family Code'),headerTooltip: this.l('Car Family Code'),field: 'carFamilyCode',flex: 1},
			{headerName: this.l('Shoptype Code'),headerTooltip: this.l('Shoptype Code'),field: 'shoptypeCode',flex: 1},
			{headerName: this.l('Supplier No'),headerTooltip: this.l('Supplier No'),field: 'supplierNo',flex: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[(ngModel)]='carFamilyCode' name='carFamilyCode'
									class='form-control' [placeholder]="l('Car Family Code')"
									type='text' (keyup.enter)='searchDatas()'&gt;
								&lt;/div&gt;
								&lt;div class='input-search'&gt;
									&lt;input [(ngModel)]='shoptypeCode' name='shoptypeCode'
									class='form-control' [placeholder]="l('Shoptype Code')"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title'&gt;Shoptype Code&lt;/label&gt;
						&lt;input type='text' class='col-md-10 form-control input-text' name='ShoptypeCode' [(ngModel)]='rowdata.shoptypeCode'&gt;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caseNo : string = '' ; 
	carFamilyCode : string = '' ; 
shoptypeCode : string = '' ; 
	supplierNo : string = '' ; 
	isActive : string = '' ; </v>
      </c>
      <c r="T13" s="68" t="str">
        <f ca="1">TEXTJOIN2("
",TRUE,INDIRECT(T11):INDIRECT(T12))</f>
        <v xml:space="preserve">			this.caseNo,
			this.carFamilyCode,
			this.shoptypeCode,
			this.supplierNo,
			this.isActive,</v>
      </c>
      <c r="U13" s="68" t="str">
        <f ca="1">TEXTJOIN2("
",TRUE,INDIRECT(U11):INDIRECT(U12))</f>
        <v xml:space="preserve">		this.caseNo = '',
		this.carFamilyCode = '',
this.shoptypeCode = '',
		this.supplierNo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devanningcasetype.component.ts</v>
      </c>
      <c r="I14" s="40" t="str">
        <f>B8&amp;".component.html"</f>
        <v>devanningcasetype.component.html</v>
      </c>
      <c r="J14" s="39" t="str">
        <f>B8&amp;".component.less"</f>
        <v>devanningcasetype.component.less</v>
      </c>
      <c r="K14" s="40" t="str">
        <f>"create-or-edit-"&amp;B8&amp;"-modal.component.html"</f>
        <v>create-or-edit-devanningcasetype-modal.component.html</v>
      </c>
      <c r="L14" s="40" t="str">
        <f>"create-or-edit-"&amp;B8&amp;"-modal.component.ts"</f>
        <v>create-or-edit-devanningcasetype-modal.component.ts</v>
      </c>
      <c r="M14" s="40" t="str">
        <f>"create-or-edit-"&amp;B8&amp;"-modal.component.less"</f>
        <v>create-or-edit-devanningcasetype-modal.component.less</v>
      </c>
      <c r="N14" s="40" t="str">
        <f>B8&amp;".module.ts"</f>
        <v>devanningcasetype.module.ts</v>
      </c>
      <c r="O14" s="40" t="str">
        <f>B8&amp;"-routing.module.ts"</f>
        <v>devanningcasetype-routing.module.ts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25">
      <c r="A15" s="31" t="s">
        <v>358</v>
      </c>
      <c r="B15" s="31" t="str">
        <f t="shared" ref="B15:B16" si="0">SUBSTITUTE(PROPER(A15),"_","")</f>
        <v>CaseNo</v>
      </c>
      <c r="C15" s="31" t="str">
        <f t="shared" ref="C15:C16" si="1">SUBSTITUTE(PROPER(A15),"_"," ")</f>
        <v>Case No</v>
      </c>
      <c r="D15" s="31" t="str">
        <f t="shared" ref="D15:D16" si="2">LOWER(LEFT(B15,1))&amp;RIGHT(B15,LEN(B15) - 1)</f>
        <v>caseNo</v>
      </c>
      <c r="E15" s="31" t="str">
        <f>A.Backend!H9</f>
        <v>string</v>
      </c>
      <c r="F15" s="31" t="str">
        <f>A.Backend!G9</f>
        <v>5</v>
      </c>
      <c r="G15" s="31" t="str">
        <f t="shared" ref="G15:G16" si="3">IF(E15="string"," : string = '' ; ",IF(OR(E15="DateTime",E15="TimeSpan")," : any ;",IF(E15="int"," : number = 0 ;","")))</f>
        <v xml:space="preserve"> : string = '' ; </v>
      </c>
      <c r="H15" s="38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this.l('Case No'),headerTooltip: this.l('Case No'),field: 'caseNo',flex: 1},</v>
      </c>
      <c r="I15" s="38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5" s="31"/>
      <c r="K15" s="38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5" s="60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caseNo : string = '' ; </v>
      </c>
      <c r="T15" s="31" t="str">
        <f>REPT(CHAR(9),3)&amp;"this."&amp;D15&amp;","</f>
        <v xml:space="preserve">			this.caseNo,</v>
      </c>
      <c r="U15" s="31" t="str">
        <f>IF(E15="int",REPT(CHAR(9),2)&amp;"this."&amp;D15&amp;" = 0,",REPT(CHAR(9),2)&amp;"this."&amp;D15&amp;" = '',")</f>
        <v xml:space="preserve">		this.caseNo = '',</v>
      </c>
      <c r="V15" s="31" t="str">
        <f t="shared" ref="V15:V16" si="8">IF(AND(E15="string",F15="1"),D15,"")</f>
        <v/>
      </c>
    </row>
    <row r="16" spans="1:22" ht="18" customHeight="1" x14ac:dyDescent="0.25">
      <c r="A16" s="31" t="s">
        <v>359</v>
      </c>
      <c r="B16" s="31" t="str">
        <f t="shared" si="0"/>
        <v>CarFamilyCode</v>
      </c>
      <c r="C16" s="31" t="str">
        <f t="shared" si="1"/>
        <v>Car Family Code</v>
      </c>
      <c r="D16" s="31" t="str">
        <f t="shared" si="2"/>
        <v>carFamilyCode</v>
      </c>
      <c r="E16" s="31" t="str">
        <f>A.Backend!H10</f>
        <v>string</v>
      </c>
      <c r="F16" s="31" t="str">
        <f>A.Backend!G10</f>
        <v>4</v>
      </c>
      <c r="G16" s="31" t="str">
        <f t="shared" si="3"/>
        <v xml:space="preserve"> : string = '' ; </v>
      </c>
      <c r="H16" s="38" t="str">
        <f t="shared" si="4"/>
        <v xml:space="preserve">			{headerName: this.l('Car Family Code'),headerTooltip: this.l('Car Family Code'),field: 'carFamilyCode',flex: 1},</v>
      </c>
      <c r="I16" s="38" t="str">
        <f t="shared" si="5"/>
        <v xml:space="preserve">								&lt;div class='input-search'&gt;
									&lt;input [(ngModel)]='carFamilyCode' name='carFamilyCode'
									class='form-control' [placeholder]="l('Car Family Code')"
									type='text' (keyup.enter)='searchDatas()'&gt;
								&lt;/div&gt;</v>
      </c>
      <c r="J16" s="31"/>
      <c r="K16" s="38" t="str">
        <f t="shared" si="6"/>
        <v xml:space="preserve">					&lt;div class='col-md-12 form-group row'&gt;
						&lt;label class='col-md-2 form-control title'&gt;Car Family Code&lt;/label&gt;
						&lt;input type='text' class='col-md-10 form-control input-text' name='CarFamilyCode' [(ngModel)]='rowdata.carFamilyCode'&gt;
					&lt;/div&gt;</v>
      </c>
      <c r="L16" s="60" t="str">
        <f t="shared" si="7"/>
        <v/>
      </c>
      <c r="M16" s="31"/>
      <c r="N16" s="31"/>
      <c r="O16" s="31"/>
      <c r="P16" s="31"/>
      <c r="Q16" s="31"/>
      <c r="R16" s="31"/>
      <c r="S16" s="31" t="str">
        <f t="shared" ref="S16" si="9">REPT(CHAR(9),1)&amp;D16&amp;G16</f>
        <v xml:space="preserve">	carFamilyCode : string = '' ; </v>
      </c>
      <c r="T16" s="31" t="str">
        <f t="shared" ref="T16" si="10">REPT(CHAR(9),3)&amp;"this."&amp;D16&amp;","</f>
        <v xml:space="preserve">			this.carFamilyCode,</v>
      </c>
      <c r="U16" s="31" t="str">
        <f t="shared" ref="U16" si="11">IF(E16="int",REPT(CHAR(9),2)&amp;"this."&amp;D16&amp;" = 0,",REPT(CHAR(9),2)&amp;"this."&amp;D16&amp;" = '',")</f>
        <v xml:space="preserve">		this.carFamilyCode = '',</v>
      </c>
      <c r="V16" s="31" t="str">
        <f t="shared" si="8"/>
        <v/>
      </c>
    </row>
    <row r="17" spans="1:22" ht="18" customHeight="1" x14ac:dyDescent="0.25">
      <c r="A17" s="31" t="s">
        <v>360</v>
      </c>
      <c r="B17" s="31" t="str">
        <f>SUBSTITUTE(PROPER(A17),"_","")</f>
        <v>ShoptypeCode</v>
      </c>
      <c r="C17" s="31" t="str">
        <f>SUBSTITUTE(PROPER(A17),"_"," ")</f>
        <v>Shoptype Code</v>
      </c>
      <c r="D17" s="31" t="str">
        <f>LOWER(LEFT(B17,1))&amp;RIGHT(B17,LEN(B17) - 1)</f>
        <v>shoptypeCode</v>
      </c>
      <c r="E17" s="31" t="str">
        <f>A.Backend!H11</f>
        <v>string</v>
      </c>
      <c r="F17" s="31" t="str">
        <f>A.Backend!G11</f>
        <v>2</v>
      </c>
      <c r="G17" s="31" t="str">
        <f>IF(E17="string"," : string = '' ; ",IF(OR(E17="DateTime",E17="TimeSpan"),"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this.l('Shoptype Code'),headerTooltip: this.l('Shoptype Code'),field: 'shoptypeCode',flex: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[(ngModel)]='shoptypeCode' name='shoptypeCode'
									class='form-control' [placeholder]="l('Shoptype Code')"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title'&gt;Shoptype Code&lt;/label&gt;
						&lt;input type='text' class='col-md-10 form-control input-text' name='ShoptypeCode' [(ngModel)]='rowdata.shoptypeCode'&gt;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shoptypeCode : string = '' ; </v>
      </c>
      <c r="T17" s="31" t="str">
        <f>REPT(CHAR(9),3)&amp;"this."&amp;D17&amp;","</f>
        <v xml:space="preserve">			this.shoptypeCode,</v>
      </c>
      <c r="U17" s="31" t="str">
        <f>IF(E17="int","this."&amp;D17&amp;" = 0,","this."&amp;D17&amp;" = '',")</f>
        <v>this.shoptypeCode = '',</v>
      </c>
      <c r="V17" s="31" t="str">
        <f>IF(AND(E17="string",F17="1"),D17,"")</f>
        <v/>
      </c>
    </row>
    <row r="18" spans="1:22" ht="15" customHeight="1" x14ac:dyDescent="0.25">
      <c r="A18" s="31" t="s">
        <v>361</v>
      </c>
      <c r="B18" s="31" t="str">
        <f t="shared" ref="B18" si="12">SUBSTITUTE(PROPER(A18),"_","")</f>
        <v>SupplierNo</v>
      </c>
      <c r="C18" s="31" t="str">
        <f t="shared" ref="C18" si="13">SUBSTITUTE(PROPER(A18),"_"," ")</f>
        <v>Supplier No</v>
      </c>
      <c r="D18" s="31" t="str">
        <f t="shared" ref="D18" si="14">LOWER(LEFT(B18,1))&amp;RIGHT(B18,LEN(B18) - 1)</f>
        <v>supplierNo</v>
      </c>
      <c r="E18" s="31" t="str">
        <f>A.Backend!H12</f>
        <v>string</v>
      </c>
      <c r="F18" s="31" t="str">
        <f>A.Backend!G12</f>
        <v>10</v>
      </c>
      <c r="G18" s="31" t="str">
        <f t="shared" ref="G18" si="15">IF(E18="string"," : string = '' ; ",IF(OR(E18="DateTime",E18="TimeSpan")," : any ;",IF(E18="int"," : number = 0 ;","")))</f>
        <v xml:space="preserve"> : string = '' ; </v>
      </c>
      <c r="H18" s="38" t="str">
        <f t="shared" ref="H18:H19" si="16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this.l('Supplier No'),headerTooltip: this.l('Supplier No'),field: 'supplierNo',flex: 1},</v>
      </c>
      <c r="I18" s="38" t="str">
        <f t="shared" ref="I18" si="17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8" s="31"/>
      <c r="K18" s="38" t="str">
        <f t="shared" ref="K18" si="18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8" s="60" t="str">
        <f t="shared" ref="L18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supplierNo : string = '' ; </v>
      </c>
      <c r="T18" s="31" t="str">
        <f>REPT(CHAR(9),3)&amp;"this."&amp;D18&amp;","</f>
        <v xml:space="preserve">			this.supplierNo,</v>
      </c>
      <c r="U18" s="31" t="str">
        <f>IF(E18="int",REPT(CHAR(9),2)&amp;"this."&amp;D18&amp;" = 0,",REPT(CHAR(9),2)&amp;"this."&amp;D18&amp;" = '',")</f>
        <v xml:space="preserve">		this.supplierNo = '',</v>
      </c>
      <c r="V18" s="31" t="str">
        <f t="shared" ref="V18" si="20">IF(AND(E18="string",F18="1"),D18,"")</f>
        <v/>
      </c>
    </row>
    <row r="19" spans="1:22" ht="18" customHeight="1" x14ac:dyDescent="0.25">
      <c r="A19" s="31" t="s">
        <v>324</v>
      </c>
      <c r="B19" s="31" t="str">
        <f t="shared" ref="B19" si="21">SUBSTITUTE(PROPER(A19),"_","")</f>
        <v>IsActive</v>
      </c>
      <c r="C19" s="31" t="str">
        <f t="shared" ref="C19" si="22">SUBSTITUTE(PROPER(A19),"_"," ")</f>
        <v>Is Active</v>
      </c>
      <c r="D19" s="31" t="str">
        <f t="shared" ref="D19" si="23">LOWER(LEFT(B19,1))&amp;RIGHT(B19,LEN(B19) - 1)</f>
        <v>isActive</v>
      </c>
      <c r="E19" s="31" t="str">
        <f>A.Backend!H13</f>
        <v>string</v>
      </c>
      <c r="F19" s="31" t="str">
        <f>A.Backend!G13</f>
        <v>1</v>
      </c>
      <c r="G19" s="31" t="str">
        <f t="shared" ref="G19" si="24">IF(E19="string"," : string = '' ; ",IF(OR(E19="DateTime",E19="TimeSpan")," : any ;",IF(E19="int"," : number = 0 ;","")))</f>
        <v xml:space="preserve"> : string = '' ; </v>
      </c>
      <c r="H19" s="38" t="str">
        <f t="shared" si="16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9" s="38" t="str">
        <f t="shared" ref="I19" si="25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9" s="31"/>
      <c r="K19" s="38" t="str">
        <f t="shared" ref="K19" si="26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9" s="60" t="str">
        <f t="shared" ref="L19" si="27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" si="28">REPT(CHAR(9),1)&amp;D19&amp;G19</f>
        <v xml:space="preserve">	isActive : string = '' ; </v>
      </c>
      <c r="T19" s="31" t="str">
        <f t="shared" ref="T19" si="29">REPT(CHAR(9),3)&amp;"this."&amp;D19&amp;","</f>
        <v xml:space="preserve">			this.isActive,</v>
      </c>
      <c r="U19" s="31" t="str">
        <f t="shared" ref="U19" si="30">IF(E19="int",REPT(CHAR(9),2)&amp;"this."&amp;D19&amp;" = 0,",REPT(CHAR(9),2)&amp;"this."&amp;D19&amp;" = '',")</f>
        <v xml:space="preserve">		this.isActive = '',</v>
      </c>
      <c r="V19" s="31" t="str">
        <f t="shared" ref="V19" si="31">IF(AND(E19="string",F19="1"),D19,"")</f>
        <v>isActive</v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2023-04-09T10:13:46Z</dcterms:modified>
</cp:coreProperties>
</file>
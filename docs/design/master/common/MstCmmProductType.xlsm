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5" l="1"/>
  <c r="F17" i="5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H13" i="5"/>
  <c r="I13" i="5"/>
  <c r="V13" i="5"/>
  <c r="U13" i="5"/>
  <c r="L13" i="5"/>
  <c r="K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J13" i="1"/>
  <c r="P13" i="1"/>
  <c r="O13" i="1"/>
  <c r="I13" i="1"/>
  <c r="N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<sst xmlns="http://schemas.openxmlformats.org/spreadsheetml/2006/main" count="459" uniqueCount="377">
  <si>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</si>
  <si>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</si>
  <si>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</si>
  <si>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</si>
  <si>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</si>
  <si>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</si>
  <si>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</si>
  <si>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</si>
  <si>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</si>
  <si>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</si>
  <si>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</si>
  <si>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</si>
  <si>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</si>
  <si>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</si>
  <si>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</si>
  <si>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</si>
  <si>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</si>
  <si>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</si>
  <si>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</si>
  <si>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</si>
  <si>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</si>
  <si>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</si>
  <si>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</si>
  <si>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</si>
  <si>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</si>
  <si>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</si>
  <si>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</si>
  <si>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</si>
  <si>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</si>
  <si>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</si>
  <si>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</si>
  <si>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</si>
  <si>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</si>
  <si>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</si>
  <si>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</si>
  <si>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</si>
  <si>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</si>
  <si>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</si>
  <si>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</si>
  <si>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</si>
  <si>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</si>
  <si>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</si>
  <si>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</si>
  <si>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</si>
  <si>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</si>
  <si>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</si>
  <si>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</si>
  <si>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</si>
  <si>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</si>
  <si>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</si>
  <si>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</si>
  <si>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</si>
  <si>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</si>
  <si>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</si>
  <si>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</si>
  <si>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</si>
  <si>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</si>
  <si>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</si>
  <si>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</si>
  <si>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</si>
  <si>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</si>
  <si>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</si>
  <si>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</si>
  <si>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</si>
  <si>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</si>
  <si>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</si>
  <si>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</si>
  <si>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</si>
  <si>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</si>
  <si>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</si>
  <si>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</si>
  <si>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</si>
  <si>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</si>
  <si>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</si>
  <si>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</si>
  <si>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</si>
  <si>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</si>
  <si>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</si>
  <si>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</si>
  <si>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</si>
  <si>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</si>
  <si>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</si>
  <si>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</si>
  <si>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</si>
  <si>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</si>
  <si>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</si>
  <si>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</si>
  <si>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</si>
  <si>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</si>
  <si>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</si>
  <si>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</si>
  <si>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</si>
  <si>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</si>
  <si>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</si>
  <si>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</si>
  <si>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</si>
  <si>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</si>
  <si>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</si>
  <si>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</si>
  <si>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</si>
  <si>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</si>
  <si>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</si>
  <si>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</si>
  <si>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</si>
  <si>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</si>
  <si>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</si>
  <si>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</si>
  <si>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</si>
  <si>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</si>
  <si>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</si>
  <si>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</si>
  <si>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</si>
  <si>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</si>
  <si>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</si>
  <si>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</si>
  <si>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</si>
  <si>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</si>
  <si>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</si>
  <si>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</si>
  <si>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</si>
  <si>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</si>
  <si>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</si>
  <si>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</si>
  <si>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</si>
  <si>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</si>
  <si>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</si>
  <si>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</si>
  <si>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</si>
  <si>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</si>
  <si>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</si>
  <si>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</si>
  <si>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</si>
  <si>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</si>
  <si>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</si>
  <si>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</si>
  <si>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</si>
  <si>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</si>
  <si>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</si>
  <si>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</si>
  <si>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</si>
  <si>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</si>
  <si>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</si>
  <si>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</si>
  <si>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</si>
  <si>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</si>
  <si>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</si>
  <si>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</si>
  <si>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</si>
  <si>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</si>
  <si>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</si>
  <si>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</si>
  <si>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</si>
  <si>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</si>
  <si>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</si>
  <si>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</si>
  <si>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</si>
  <si>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</si>
  <si>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</si>
  <si>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</si>
  <si>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</si>
  <si>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</si>
  <si>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</si>
  <si>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</si>
  <si>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</si>
  <si>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</si>
  <si>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</si>
  <si>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</si>
  <si>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</si>
  <si>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</si>
  <si>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</si>
  <si>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</si>
  <si>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</si>
  <si>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</si>
  <si>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</si>
  <si>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</si>
  <si>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</si>
  <si>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</si>
  <si>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</si>
  <si>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</si>
  <si>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</si>
  <si>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</si>
  <si>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</si>
  <si>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</si>
  <si>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</si>
  <si>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</si>
  <si>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</si>
  <si>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</si>
  <si>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</si>
  <si>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</si>
  <si>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</si>
  <si>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</si>
  <si>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</si>
  <si>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</si>
  <si>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</si>
  <si>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</si>
  <si>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</si>
  <si>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</si>
  <si>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</si>
  <si>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</si>
  <si>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</si>
  <si>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</si>
  <si>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</si>
  <si>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</si>
  <si>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</si>
  <si>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</si>
  <si>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</si>
  <si>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</si>
  <si>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</si>
  <si>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</si>
  <si>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</si>
  <si>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</si>
  <si>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</si>
  <si>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</si>
  <si>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</si>
  <si>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</si>
  <si>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</si>
  <si>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</si>
  <si>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</si>
  <si>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</si>
  <si>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</si>
  <si>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</si>
  <si>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</si>
  <si>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</si>
  <si>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</si>
  <si>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</si>
  <si>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</si>
  <si>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</si>
  <si>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</si>
  <si>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</si>
  <si>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</si>
  <si>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</si>
  <si>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</si>
  <si>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</si>
  <si>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</si>
  <si>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</si>
  <si>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</si>
  <si>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</si>
  <si>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</si>
  <si>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</si>
  <si>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</si>
  <si>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</si>
  <si>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</si>
  <si>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</si>
  <si>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</si>
  <si>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</si>
  <si>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</si>
  <si>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</si>
  <si>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</si>
  <si>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</si>
  <si>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</si>
  <si>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</si>
  <si>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</si>
  <si>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</si>
  <si>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</si>
  <si>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</si>
  <si>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</si>
  <si>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</si>
  <si>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</si>
  <si>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</si>
  <si>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</si>
  <si>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</si>
  <si>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</si>
  <si>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</si>
  <si>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</si>
  <si>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</si>
  <si>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</si>
  <si>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</si>
  <si>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</si>
  <si>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</si>
  <si>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</si>
  <si>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</si>
  <si>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</si>
  <si>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</si>
  <si>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</si>
  <si>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</si>
  <si>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</si>
  <si>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</si>
  <si>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</si>
  <si>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</si>
  <si>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</si>
  <si>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</si>
  <si>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</si>
  <si>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</si>
  <si>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</si>
  <si>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</si>
  <si>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</si>
  <si>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</si>
  <si>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</si>
  <si>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</si>
  <si>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</si>
  <si>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</si>
  <si>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</si>
  <si>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</si>
  <si>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</si>
  <si>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</si>
  <si>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</si>
  <si>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</si>
  <si>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</si>
  <si>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</si>
  <si>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</si>
  <si>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</si>
  <si>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</si>
  <si>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</si>
  <si>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</si>
  <si>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</si>
  <si>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</si>
  <si>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</si>
  <si>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</si>
  <si>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</si>
  <si>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</si>
  <si>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</si>
  <si>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</si>
  <si>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</si>
  <si>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</si>
  <si>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</si>
  <si>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</si>
  <si>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</si>
  <si>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</si>
  <si>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</si>
  <si>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</si>
  <si>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</si>
  <si>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</si>
  <si>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</si>
  <si>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</si>
  <si>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</si>
  <si>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</si>
  <si>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</si>
  <si>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</si>
  <si>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</si>
  <si>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</si>
  <si>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</si>
  <si>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</si>
  <si>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</si>
  <si>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</si>
  <si>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</si>
  <si>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</si>
  <si>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</si>
  <si>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</si>
  <si>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</si>
  <si>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</si>
  <si>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</si>
  <si>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</si>
  <si>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</si>
  <si>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</si>
  <si>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</si>
  <si>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</si>
  <si>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</si>
  <si>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</si>
  <si>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</si>
  <si>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</si>
  <si>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</si>
  <si>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</si>
  <si>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</si>
  <si>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</si>
  <si>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</si>
  <si>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MstCmmProductType</t>
  </si>
  <si>
    <t>ProductType</t>
  </si>
  <si>
    <t>nvarchar(50)</t>
  </si>
  <si>
    <t>nvarchar(3)</t>
  </si>
  <si>
    <t>Product Type</t>
  </si>
  <si>
    <t>Type of Product</t>
  </si>
  <si>
    <t>VEH</t>
  </si>
  <si>
    <t>Vehicle</t>
  </si>
  <si>
    <t>UNT</t>
  </si>
  <si>
    <t>Unit ( Engine, T/M, Axles, Propeller Shaft)</t>
  </si>
  <si>
    <t>PAR</t>
  </si>
  <si>
    <t>Part</t>
  </si>
  <si>
    <t>DRM</t>
  </si>
  <si>
    <t>Direct</t>
  </si>
  <si>
    <t>SUP</t>
  </si>
  <si>
    <t>Supplies</t>
  </si>
  <si>
    <t>NSM</t>
  </si>
  <si>
    <t>Non-stock material</t>
  </si>
  <si>
    <t>IHP</t>
  </si>
  <si>
    <t>Ihp</t>
  </si>
  <si>
    <t>InvIhp</t>
  </si>
  <si>
    <t>Inhouse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</si>
</sst>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sz val="1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0" borderId="5" xfId="0" applyFont="1" applyBorder="1" applyAlignment="1">
      <alignment horizontal="center" vertical="center" readingOrder="1"/>
    </xf>
    <xf numFmtId="0" fontId="20" fillId="0" borderId="6" xfId="0" applyFont="1" applyBorder="1" applyAlignment="1">
      <alignment horizontal="center" vertical="center" readingOrder="1"/>
    </xf>
    <xf numFmtId="0" fontId="20" fillId="0" borderId="7" xfId="0" applyFont="1" applyBorder="1" applyAlignment="1">
      <alignment horizontal="center" vertical="center" readingOrder="1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19" fillId="14" borderId="5" xfId="0" applyFont="1" applyFill="1" applyBorder="1" applyAlignment="1">
      <alignment horizontal="center" vertical="top"/>
    </xf>
    <xf numFmtId="0" fontId="19" fillId="14" borderId="6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16" zoomScaleNormal="100" workbookViewId="0">
      <selection activeCell="H47" sqref="H4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373</v>
      </c>
      <c r="F46" s="1" t="s">
        <v>374</v>
      </c>
      <c r="G46" t="s">
        <v>375</v>
      </c>
      <c r="H46" t="s">
        <v>376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[Table("MstCmmProductType")]
	[Index(nameof(Code), Name="IX_MstCmmProductType_Code")]
	[Index(nameof(IsActive), Name="IX_MstCmmProductType_IsActive")]	public class MstCmmProductType: FullAuditedEntity&lt;long&gt;, IEntity&lt;long&gt;	
	{
		public const int MaxCodeLength = 3;
		public const int MaxNameLength = 50;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Pages_Master_Common_ProductType = "Pages.Master.Common.ProductType";
		public const string Pages_Master_Common_ProductType_CreateEdit = "Pages.Master.Common.ProductType.CreateEdit";
		public const string Pages_Master_Common_ProductType_Delete = "Pages.Master.Common.ProductType.Delete";
</v>
      </c>
      <c r="E68" s="48" t="str">
        <f>A.Backend!N7</f>
        <v xml:space="preserve">		var perMstCmmProductType = PARENTS.CreateChildPermission(AppPermissions.Pages_Master_Common_ProductType, L( "MasterCommonProductType"), multiTenancySides: MultiTenancySides.Tenant);
		perMstCmmProductType.CreateChildPermission(AppPermissions.Pages_Master_Common_ProductType_CreateEdit, L( "MasterCommonProductTypeCreateEdit"), multiTenancySides: MultiTenancySides.Tenant);
		perMstCmmProductType.CreateChildPermission(AppPermissions.Pages_Master_Common_ProductType_Delete, L( "MasterCommonProductTypeDelete"), multiTenancySides: MultiTenancySides.Tenant);</v>
      </c>
      <c r="F68" s="48" t="str">
        <f>A.Backend!K7</f>
        <v>public virtual DbSet&lt;MstCmmProductType&gt; MstCmmProductTypes { get; set; }</v>
      </c>
      <c r="G68" s="48" t="str">
        <f ca="1">A.Backend!L7</f>
        <v xml:space="preserve">namespace prod.Master.Common
{
	public class MstCmmProductTypeConsts	
	{
		public const int MaxCodeLength = 3;
		public const int MaxNameLength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MstCmmProductTypeDto : EntityDto&lt;long?&gt;	
	{
		public virtual string Code { get; set; }
		public virtual string Name { get; set; }
		public virtual string IsActive { get; set; }
	}
	public class CreateOrEditMstCmmProductTypeDto : EntityDto&lt;long?&gt;	
	{
		[StringLength(MstCmmProductTypeConsts.MaxCodeLength)]
		public virtual string Code { get; set; }
		[StringLength(MstCmmProductTypeConsts.MaxNameLength)]
		public virtual string Name { get; set; }
		[StringLength(MstCmmProductTypeConsts.MaxIsActiveLength)]
		public virtual string IsActive { get; set; }
	}
	public class GetMstCmmProductTypeInput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MstCmmProductTypeExportInput{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IMstCmmProductTypeAppService : IApplicationService
	{
		Task&lt;PagedResultDto&lt;MstCmmProductTypeDto&gt;&gt; GetAll(GetMstCmmProductTypeInput input);
		Task CreateOrEdit(CreateOrEditMstCmmProductTypeDto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IMstCmmProductTypeExcelExporter : IApplicationService
	{
		FileDto ExportToFile(List&lt;MstCmmProductTypeDto&gt; mstcmmproducttype);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MstCmmProductTypeExcelExporter : NpoiExcelExporterBase, IMstCmmProductTypeExcelExporter
    {
        public MstCmmProductTypeExcelExporter(ITempFileCacheManager tempFileCacheManager) : base(tempFileCacheManager) { }
        public FileDto ExportToFile(List&lt;MstCmmProductTypeDto&gt; producttype)
        {
            return CreateExcelPackage(
				"MasterCommonProductType.xlsx",
				excelPackage =&gt;
				 {
					var sheet = excelPackage.CreateSheet("ProductType");
					AddHeader(
								sheet,
								("Code"),
								("Name"),
								("IsActive"),
							   );
					AddObjects(
						 sheet, 1, producttype,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[AbpAuthorize(AppPermissions.Pages_Master_Common_ProductType)]
    public class MstCmmProductTypeAppService : vovinaAppServiceBase, IMstCmmProductTypeAppService
    {
        private readonly IDapperRepository&lt;MstCmmProductType, long&gt; _dapperRepo;
        private readonly IRepository&lt;MstCmmProductType, long&gt; _repo;
        private readonly IMstCmmProductTypeExcelExporter _calendarListExcelExporter;
        public MstCmmProductTypeAppService(IRepository&lt;MstCmmProductType,long&gt; repo, 
                                         IDapperRepository&lt;MstCmmProductType,long&gt; dapperRepo,
                                        IMstCmmProductTypeExcelExporter calendarListExcelExporter
            )
        {
            _repo = repo;
            _dapperRepo = dapperRepo;
            _calendarListExcelExporter = calendarListExcelExporter;
        }
        [AbpAuthorize(AppPermissions.Pages_Master_Common_ProductType_CreateEdit)]
        public async Task CreateOrEdit(CreateOrEditMstCmmProductTypeDto input)
        {
            if (input.Id == null) await Create(input);
            else await Update(input);
        }
        //CREATE
        private async Task Create(CreateOrEditMstCmmProductTypeDto input)
        {          
            var mainObj = ObjectMapper.Map&lt;MstCmmProductType&gt;(input);
            await CurrentUnitOfWork.GetDbContext&lt;vovinaDbContext&gt;().AddAsync(mainObj);
        }
        // EDIT
        private async Task Update(CreateOrEditMstCmmProductTypeDto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[AbpAuthorize(AppPermissions.Pages_Master_Common_ProductType_Delete)]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Task&lt;PagedResultDto&lt;MstCmmProductTypeDto&gt;&gt; GetAll(GetMstCmmProductTypeInput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MstCmmProductTypeDto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PagedResultDto&lt;MstCmmProductTypeDto&gt;(
                totalCount,
                 await paged.ToListAsync()
            );
        }
        public async Task&lt;FileDto&gt; GetProductTypeToExcel(MstCmmProductTypeExportInput input)
        {
            var query = from o in _repo.GetAll()
                        select new MstCmmProductTypeDto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_dapperRepo.ExecuteAsync(MstCmmProductTypeConsts.SP_MST_WPT_CALENDAR_GENERATE);
       // }
    }
}</v>
      </c>
      <c r="N68" s="58" t="str">
        <f>A.Backend!U7</f>
        <v xml:space="preserve">  configuration.CreateMap&lt;MstCmmProductTypeDto, MstCmmProductType&gt;();
  configuration.CreateMap&lt;MstCmmProductType, MstCmmProductTypeDto&gt;();
  configuration.CreateMap&lt;CreateOrEditMstCmmProductTypeDto, MstCmmProductType&gt;();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producttype</v>
      </c>
      <c r="C73" s="66" t="str">
        <f>"create folder " &amp;B73</f>
        <v>create folder producttype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producttype.component.ts</v>
      </c>
      <c r="D74" s="28" t="str">
        <f>B.Frontend!I14</f>
        <v>producttype.component.html</v>
      </c>
      <c r="E74" s="28" t="str">
        <f>B.Frontend!J14</f>
        <v>producttype.component.less</v>
      </c>
      <c r="F74" s="28" t="str">
        <f>B.Frontend!K14</f>
        <v>create-or-edit-producttype-modal.component.html</v>
      </c>
      <c r="G74" s="28" t="str">
        <f>B.Frontend!L14</f>
        <v>create-or-edit-producttype-modal.component.ts</v>
      </c>
      <c r="H74" s="28" t="str">
        <f>B.Frontend!M14</f>
        <v>create-or-edit-producttype-modal.component.less</v>
      </c>
      <c r="I74" s="28" t="str">
        <f>B.Frontend!N14</f>
        <v>producttype.module.ts</v>
      </c>
      <c r="J74" s="28" t="str">
        <f>B.Frontend!O14</f>
        <v>producttype-routing.module.ts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MstCmmProductTypeDto, MstCmmProductTypeServiceProxy } from '@shared/service-proxies/service-proxies';
import { finalize } from 'rxjs/internal/operators/finalize';
import { CreateOrEditProductTypeModalComponent } from './create-or-edit-producttype-modal.component';
import { DatePipe } from '@angular/common';
import { FileDownloadService } from '@shared/utils/file-download.service';
import ceil from 'lodash-es/ceil';
import { Paginator } from 'primeng/paginator';
@Component({
    templateUrl: './producttype.component.html',
    styleUrls: ['./producttype.component.less'],
})
export class ProductTypeComponent extends AppComponentBase implements OnInit {
    @ViewChild('createOrEditModalProductType', { static: true }) createOrEditModalProductType:| CreateOrEditProductTypeModalComponent|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MstCmmProductTypeDto = new MstCmmProductTypeDto();
    saveSelectedRow: MstCmmProductTypeDto = new MstCmmProductTypeDto();
    datas: MstCmmProductTypeDto = new MstCmmProductTypeDto();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MstCmmProductTypeServiceProxy,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MstCmmProductTypeDto[] } }) {
        this.saveSelectedRow = params.api.getSelectedRows()[0] ?? new MstCmmProductTypeDto();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MstCmmProductTypeDto):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this._service.getProductTypeToExcel(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&lt;create-or-edit-producttype-modal
    #createOrEditModalProductType
    (modalSave)="callBackDataGrid(dataParams)"
    (modalClose)="onChangeRowSelection(dataParams)"
&gt;
&lt;/create-or-edit-producttype-modal&gt;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#createOrEditModalProductType="bs-modal"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ProductType')}}&lt;/h3&gt;
                    &lt;h3 *ngIf="!rowdata.id"&gt;{{('Create New ProductType')}}&lt;/h3&gt;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CreateOrEditMstCmmProductTypeDto, MstCmmProductTypeServiceProxy } from '@shared/service-proxies/service-proxies';
import { BsDatepickerDirective } from 'ngx-bootstrap/datepicker';
@Component({
    selector: 'create-or-edit-producttype-modal',
    templateUrl: './create-or-edit-producttype-modal.component.html',
    styleUrls: ['./create-or-edit-producttype-modal.component.less']
    })
export class CreateOrEditProductTypeModalComponent extends AppComponentBase {
    @ViewChild('createOrEditModalProductType',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CreateOrEditMstCmmProductTypeDto = new CreateOrEditMstCmmProductTypeDto();
    active: boolean = false;
    saving: boolean = false;
    _isActive: boolean;
    constructor(
        injector: Injector,
        private _mstwptProductTypeService: MstCmmProductTypeServiceProxy,
    ) 
    {
        super(injector);
    }
    show(rowdata?: CreateOrEditMstCmmProductTypeDto): void {
        if (!rowdata) this.rowdata = new CreateOrEditMstCmmProductTypeDto();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this._mstwptProductTypeService.createOrEdit(this.rowdata)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ProductTypeRoutingModule } from './producttype-routing.module';
import { ProductTypeComponent } from './producttype.component';
import { CreateOrEditProductTypeModalComponent } from './create-or-edit-producttype-modal.component';
@NgModule({
    declarations: [
       ProductTypeComponent, 
        CreateOrEditProductTypeModalComponent
    ],
    imports: [
        AppSharedModule, ProductTypeRoutingModule]
})
export class ProductTypeModule {}</v>
      </c>
      <c r="J75" s="46" t="str">
        <f>B.Frontend!O10</f>
        <v>import {NgModule} from '@angular/core';
import {RouterModule, Routes} from '@angular/router';
import { ProductTypeComponent } from './producttype.component';
const routes: Routes = [{
    path: '',
    component: ProductTypeComponent,
    pathMatch: 'full'
}];
@NgModule({
    imports: [RouterModule.forChild(routes)],
    exports: [RouterModule],
})
export class ProductTypeRoutingModule {}</v>
      </c>
      <c r="K75" s="46" t="str">
        <f>B.Frontend!P10</f>
        <v xml:space="preserve"> new AppMenuItem("ProductType", "Pages.Master.Common.ProductType", "flaticon-book",   "/app/main/master/common/producttype"),</v>
      </c>
      <c r="L75" s="47" t="str">
        <f>B.Frontend!Q10</f>
        <v>{
    path: 'master/common/producttype',
    loadChildren: () =&gt; import('./master/common/producttype/producttype.module').then(m =&gt; m.ProductTypeModule),
    data: { permission: 'Pages.Master.Common.ProductType' }
},</v>
      </c>
      <c r="M75" s="45" t="str">
        <f>B.Frontend!R10</f>
        <v>ApiServiceProxies.MstCmmProductTypeServiceProxy,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B15" sqref="B15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355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MstCmmProductTypeExportInput{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356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MstCmmProductType: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MstCmmProductTypeConsts	
	{
</v>
      </c>
      <c r="F6" s="10" t="str">
        <f>REPT(CHAR(9),1)&amp;"public class "&amp;B3&amp;"Dto"&amp;K3&amp;REPT(CHAR(9),1)&amp;"
"&amp;REPT(CHAR(9),1)&amp;C3</f>
        <v xml:space="preserve">	public class MstCmmProductTypeDto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CreateOrEditMstCmmProductTypeDto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GetMstCmmProductTypeInput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MstCmmProductType</v>
      </c>
      <c r="C7" s="10" t="str">
        <f>REPT(CHAR(9),1)&amp;"[Table("""&amp;B7&amp;""")]"&amp;"
"</f>
        <v xml:space="preserve">	[Table("MstCmmProductType")]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[Table("MstCmmProductType")]
	[Index(nameof(Code), Name="IX_MstCmmProductType_Code")]
	[Index(nameof(IsActive), Name="IX_MstCmmProductType_IsActive")]	public class MstCmmProductType: FullAuditedEntity&lt;long&gt;, IEntity&lt;long&gt;	
	{
		public const int MaxCodeLength = 3;
		public const int MaxNameLength = 50;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DbSet&lt;MstCmmProductType&gt; MstCmmProductTypes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MstCmmProductTypeConsts	
	{
		public const int MaxCodeLength = 3;
		public const int MaxNameLength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MstCmmProductTypeDto : EntityDto&lt;long?&gt;	
	{
		public virtual string Code { get; set; }
		public virtual string Name { get; set; }
		public virtual string IsActive { get; set; }
	}
	public class CreateOrEditMstCmmProductTypeDto : EntityDto&lt;long?&gt;	
	{
		[StringLength(MstCmmProductTypeConsts.MaxCodeLength)]
		public virtual string Code { get; set; }
		[StringLength(MstCmmProductTypeConsts.MaxNameLength)]
		public virtual string Name { get; set; }
		[StringLength(MstCmmProductTypeConsts.MaxIsActiveLength)]
		public virtual string IsActive { get; set; }
	}
	public class GetMstCmmProductTypeInput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perMstCmmProductType = PARENTS.CreateChildPermission(AppPermissions.Pages_Master_Common_ProductType, L( "MasterCommonProductType"), multiTenancySides: MultiTenancySides.Tenant);
		perMstCmmProductType.CreateChildPermission(AppPermissions.Pages_Master_Common_ProductType_CreateEdit, L( "MasterCommonProductTypeCreateEdit"), multiTenancySides: MultiTenancySides.Tenant);
		perMstCmmProductType.CreateChildPermission(AppPermissions.Pages_Master_Common_ProductType_Delete, L( "MasterCommonProductTypeDelete"),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Pages_Master_Common_ProductType = "Pages.Master.Common.ProductType";
		public const string Pages_Master_Common_ProductType_CreateEdit = "Pages.Master.Common.ProductType.CreateEdit";
		public const string Pages_Master_Common_ProductType_Delete = "Pages.Master.Common.ProductType.Delete";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IMstCmmProductTypeAppService : IApplicationService
	{
		Task&lt;PagedResultDto&lt;MstCmmProductTypeDto&gt;&gt; GetAll(GetMstCmmProductTypeInput input);
		Task CreateOrEdit(CreateOrEditMstCmmProductTypeDto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[AbpAuthorize(AppPermissions.Pages_Master_Common_ProductType)]
    public class MstCmmProductTypeAppService : vovinaAppServiceBase, IMstCmmProductTypeAppService
    {
        private readonly IDapperRepository&lt;MstCmmProductType, long&gt; _dapperRepo;
        private readonly IRepository&lt;MstCmmProductType, long&gt; _repo;
        private readonly IMstCmmProductTypeExcelExporter _calendarListExcelExporter;
        public MstCmmProductTypeAppService(IRepository&lt;MstCmmProductType,long&gt; repo, 
                                         IDapperRepository&lt;MstCmmProductType,long&gt; dapperRepo,
                                        IMstCmmProductTypeExcelExporter calendarListExcelExporter
            )
        {
            _repo = repo;
            _dapperRepo = dapperRepo;
            _calendarListExcelExporter = calendarListExcelExporter;
        }
        [AbpAuthorize(AppPermissions.Pages_Master_Common_ProductType_CreateEdit)]
        public async Task CreateOrEdit(CreateOrEditMstCmmProductTypeDto input)
        {
            if (input.Id == null) await Create(input);
            else await Update(input);
        }
        //CREATE
        private async Task Create(CreateOrEditMstCmmProductTypeDto input)
        {          
            var mainObj = ObjectMapper.Map&lt;MstCmmProductType&gt;(input);
            await CurrentUnitOfWork.GetDbContext&lt;vovinaDbContext&gt;().AddAsync(mainObj);
        }
        // EDIT
        private async Task Update(CreateOrEditMstCmmProductTypeDto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[AbpAuthorize(AppPermissions.Pages_Master_Common_ProductType_Delete)]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Task&lt;PagedResultDto&lt;MstCmmProductTypeDto&gt;&gt; GetAll(GetMstCmmProductTypeInput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MstCmmProductTypeDto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PagedResultDto&lt;MstCmmProductTypeDto&gt;(
                totalCount,
                 await paged.ToListAsync()
            );
        }
        public async Task&lt;FileDto&gt; GetProductTypeToExcel(MstCmmProductTypeExportInput input)
        {
            var query = from o in _repo.GetAll()
                        select new MstCmmProductTypeDto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_dapperRepo.ExecuteAsync(MstCmmProductTypeConsts.SP_MST_WPT_CALENDAR_GENERATE);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MstCmmProductTypeExportInput{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IMstCmmProductTypeExcelExporter : IApplicationService
	{
		FileDto ExportToFile(List&lt;MstCmmProductTypeDto&gt; mstcmmproducttype);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MstCmmProductTypeExcelExporter : NpoiExcelExporterBase, IMstCmmProductTypeExcelExporter
    {
        public MstCmmProductTypeExcelExporter(ITempFileCacheManager tempFileCacheManager) : base(tempFileCacheManager) { }
        public FileDto ExportToFile(List&lt;MstCmmProductTypeDto&gt; producttype)
        {
            return CreateExcelPackage(
				"MasterCommonProductType.xlsx",
				excelPackage =&gt;
				 {
					var sheet = excelPackage.CreateSheet("ProductType");
					AddHeader(
								sheet,
								("Code"),
								("Name"),
								("IsActive"),
							   );
					AddObjects(
						 sheet, 1, producttype,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configuration.CreateMap&lt;MstCmmProductTypeDto, MstCmmProductType&gt;();
  configuration.CreateMap&lt;MstCmmProductType, MstCmmProductTypeDto&gt;();
  configuration.CreateMap&lt;CreateOrEditMstCmmProductTypeDto, MstCmmProductType&gt;();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358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3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3;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Name="IX_MstCmmProductType_Code")]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[StringLength(MstCmmProductTypeConsts.MaxCodeLength)]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357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[StringLength(MstCmmProductTypeConsts.MaxNameLength)]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Name="IX_MstCmmProductType_IsActive")]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[StringLength(MstCmmProductTypeConsts.MaxIsActiveLength)]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3;
		public const int MaxNameLength = 50;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Name="IX_MstCmmProductType_Code")]
	[Index(nameof(IsActive), Name="IX_MstCmmProductType_IsActive")]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[StringLength(MstCmmProductTypeConsts.MaxCodeLength)]
		public virtual string Code { get; set; }
		[StringLength(MstCmmProductTypeConsts.MaxNameLength)]
		public virtual string Name { get; set; }
		[StringLength(MstCmmProductTypeConsts.MaxIsActiveLength)]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/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359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MstCmmProductType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ProductType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producttype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MstCmmProductTypeDto, MstCmmProductTypeServiceProxy } from '@shared/service-proxies/service-proxies';
import { finalize } from 'rxjs/internal/operators/finalize';
import { CreateOrEditProductTypeModalComponent } from './create-or-edit-producttype-modal.component';
import { DatePipe } from '@angular/common';
import { FileDownloadService } from '@shared/utils/file-download.service';
import ceil from 'lodash-es/ceil';
import { Paginator } from 'primeng/paginator';
@Component({
    templateUrl: './producttype.component.html',
    styleUrls: ['./producttype.component.less'],
})
export class ProductTypeComponent extends AppComponentBase implements OnInit {
    @ViewChild('createOrEditModalProductType', { static: true }) createOrEditModalProductType:| CreateOrEditProductTypeModalComponent|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MstCmmProductTypeDto = new MstCmmProductTypeDto();
    saveSelectedRow: MstCmmProductTypeDto = new MstCmmProductTypeDto();
    datas: MstCmmProductTypeDto = new MstCmmProductTypeDto();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MstCmmProductTypeServiceProxy,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MstCmmProductTypeDto[] } }) {
        this.saveSelectedRow = params.api.getSelectedRows()[0] ?? new MstCmmProductTypeDto();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MstCmmProductTypeDto):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this._service.getProductTypeToExcel(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&lt;create-or-edit-producttype-modal
    #createOrEditModalProductType
    (modalSave)="callBackDataGrid(dataParams)"
    (modalClose)="onChangeRowSelection(dataParams)"
&gt;
&lt;/create-or-edit-producttype-modal&gt;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#createOrEditModalProductType="bs-modal"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ProductType')}}&lt;/h3&gt;
                    &lt;h3 *ngIf="!rowdata.id"&gt;{{('Create New ProductType')}}&lt;/h3&gt;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CreateOrEditMstCmmProductTypeDto, MstCmmProductTypeServiceProxy } from '@shared/service-proxies/service-proxies';
import { BsDatepickerDirective } from 'ngx-bootstrap/datepicker';
@Component({
    selector: 'create-or-edit-producttype-modal',
    templateUrl: './create-or-edit-producttype-modal.component.html',
    styleUrls: ['./create-or-edit-producttype-modal.component.less']
    })
export class CreateOrEditProductTypeModalComponent extends AppComponentBase {
    @ViewChild('createOrEditModalProductType',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CreateOrEditMstCmmProductTypeDto = new CreateOrEditMstCmmProductTypeDto();
    active: boolean = false;
    saving: boolean = false;
    _isActive: boolean;
    constructor(
        injector: Injector,
        private _mstwptProductTypeService: MstCmmProductTypeServiceProxy,
    ) 
    {
        super(injector);
    }
    show(rowdata?: CreateOrEditMstCmmProductTypeDto): void {
        if (!rowdata) this.rowdata = new CreateOrEditMstCmmProductTypeDto();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this._mstwptProductTypeService.createOrEdit(this.rowdata)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ProductTypeRoutingModule } from './producttype-routing.module';
import { ProductTypeComponent } from './producttype.component';
import { CreateOrEditProductTypeModalComponent } from './create-or-edit-producttype-modal.component';
@NgModule({
    declarations: [
       ProductTypeComponent, 
        CreateOrEditProductTypeModalComponent
    ],
    imports: [
        AppSharedModule, ProductTypeRoutingModule]
})
export class ProductTypeModule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ProductTypeComponent } from './producttype.component';
const routes: Routes = [{
    path: '',
    component: ProductTypeComponent,
    pathMatch: 'full'
}];
@NgModule({
    imports: [RouterModule.forChild(routes)],
    exports: [RouterModule],
})
export class ProductTypeRoutingModule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AppMenuItem("ProductType", "Pages.Master.Common.ProductType", "flaticon-book",   "/app/main/master/common/producttype"),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'master/common/producttype',
    loadChildren: () =&gt; import('./master/common/producttype/producttype.module').then(m =&gt; m.ProductTypeModule),
    data: { permission: 'Pages.Master.Common.ProductType' }
},</v>
      </c>
      <c r="R10" s="47" t="str">
        <f>SUBSTITUTE(R9,"MstWptCalendar",$B$6)</f>
        <v>ApiServiceProxies.MstCmmProductTypeServiceProxy,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producttype.component.ts</v>
      </c>
      <c r="I14" s="37" t="str">
        <f>B8&amp;".component.html"</f>
        <v>producttype.component.html</v>
      </c>
      <c r="J14" s="36" t="str">
        <f>B8&amp;".component.less"</f>
        <v>producttype.component.less</v>
      </c>
      <c r="K14" s="37" t="str">
        <f>"create-or-edit-"&amp;B8&amp;"-modal.component.html"</f>
        <v>create-or-edit-producttype-modal.component.html</v>
      </c>
      <c r="L14" s="37" t="str">
        <f>"create-or-edit-"&amp;B8&amp;"-modal.component.ts"</f>
        <v>create-or-edit-producttype-modal.component.ts</v>
      </c>
      <c r="M14" s="37" t="str">
        <f>"create-or-edit-"&amp;B8&amp;"-modal.component.less"</f>
        <v>create-or-edit-producttype-modal.component.less</v>
      </c>
      <c r="N14" s="37" t="str">
        <f>B8&amp;".module.ts"</f>
        <v>producttype.module.ts</v>
      </c>
      <c r="O14" s="37" t="str">
        <f>B8&amp;"-routing.module.ts"</f>
        <v>producttype-routing.module.ts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3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"/>
  <sheetViews>
    <sheetView workbookViewId="0">
      <selection activeCell="H18" sqref="H18"/>
    </sheetView>
  </sheetViews>
  <sheetFormatPr defaultRowHeight="15" x14ac:dyDescent="0.25"/>
  <cols>
    <col min="1" max="15" width="3.5703125" customWidth="1"/>
  </cols>
  <sheetData>
    <row r="1" spans="1:15" x14ac:dyDescent="0.25">
      <c r="A1" s="73" t="s">
        <v>360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</row>
    <row r="2" spans="1:15" x14ac:dyDescent="0.25">
      <c r="A2" s="68" t="s">
        <v>361</v>
      </c>
      <c r="B2" s="69"/>
      <c r="C2" s="70"/>
      <c r="D2" s="71" t="s">
        <v>362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</row>
    <row r="3" spans="1:15" x14ac:dyDescent="0.25">
      <c r="A3" s="68" t="s">
        <v>363</v>
      </c>
      <c r="B3" s="69"/>
      <c r="C3" s="70"/>
      <c r="D3" s="71" t="s">
        <v>364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</row>
    <row r="4" spans="1:15" x14ac:dyDescent="0.25">
      <c r="A4" s="68" t="s">
        <v>365</v>
      </c>
      <c r="B4" s="69"/>
      <c r="C4" s="70"/>
      <c r="D4" s="71" t="s">
        <v>366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</row>
    <row r="5" spans="1:15" x14ac:dyDescent="0.25">
      <c r="A5" s="68" t="s">
        <v>367</v>
      </c>
      <c r="B5" s="69"/>
      <c r="C5" s="70"/>
      <c r="D5" s="71" t="s">
        <v>368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</row>
    <row r="6" spans="1:15" x14ac:dyDescent="0.25">
      <c r="A6" s="68" t="s">
        <v>369</v>
      </c>
      <c r="B6" s="69"/>
      <c r="C6" s="70"/>
      <c r="D6" s="71" t="s">
        <v>370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</row>
    <row r="7" spans="1:15" x14ac:dyDescent="0.25">
      <c r="A7" s="68" t="s">
        <v>371</v>
      </c>
      <c r="B7" s="69"/>
      <c r="C7" s="70"/>
      <c r="D7" s="71" t="s">
        <v>372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</row>
  </sheetData>
  <mergeCells count="13">
    <mergeCell ref="A4:C4"/>
    <mergeCell ref="D4:O4"/>
    <mergeCell ref="A1:O1"/>
    <mergeCell ref="A2:C2"/>
    <mergeCell ref="D2:O2"/>
    <mergeCell ref="A3:C3"/>
    <mergeCell ref="D3:O3"/>
    <mergeCell ref="A5:C5"/>
    <mergeCell ref="D5:O5"/>
    <mergeCell ref="A6:C6"/>
    <mergeCell ref="D6:O6"/>
    <mergeCell ref="A7:C7"/>
    <mergeCell ref="D7:O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2023-05-20T10:43:26Z</dcterms:modified>
</cp:coreProperties>
</file>
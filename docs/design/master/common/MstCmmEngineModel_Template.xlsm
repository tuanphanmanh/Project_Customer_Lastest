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common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I15" i="5" l="1"/>
  <c r="T15" i="5"/>
  <c r="K15" i="5"/>
  <c r="H15" i="5"/>
  <c r="G15" i="5"/>
  <c r="S15" i="5" s="1"/>
  <c r="V15" i="5"/>
  <c r="L15" i="5"/>
  <c r="W9" i="1"/>
  <c r="P9" i="1"/>
  <c r="T9" i="1"/>
  <c r="I9" i="1"/>
  <c r="N9" i="1"/>
  <c r="M9" i="1"/>
  <c r="J9" i="1"/>
  <c r="O9" i="1"/>
  <c r="U15" i="5" l="1"/>
  <c r="Q3" i="1"/>
  <c r="B4" i="5" s="1"/>
  <c r="B5" i="5" s="1"/>
  <c r="G10" i="1" l="1"/>
  <c r="F16" i="5" s="1"/>
  <c r="E10" i="1"/>
  <c r="H10" i="1" s="1"/>
  <c r="E16" i="5" s="1"/>
  <c r="D10" i="1"/>
  <c r="T10" i="1" s="1"/>
  <c r="H16" i="5" l="1"/>
  <c r="K16" i="5"/>
  <c r="I16" i="5"/>
  <c r="G16" i="5"/>
  <c r="S16" i="5" s="1"/>
  <c r="V16" i="5"/>
  <c r="T16" i="5"/>
  <c r="L16" i="5"/>
  <c r="P10" i="1"/>
  <c r="V10" i="1"/>
  <c r="W10" i="1"/>
  <c r="J10" i="1"/>
  <c r="I10" i="1"/>
  <c r="O10" i="1"/>
  <c r="N10" i="1"/>
  <c r="M10" i="1"/>
  <c r="U16" i="5" l="1"/>
  <c r="W3" i="1"/>
  <c r="V3" i="1"/>
  <c r="V12" i="1"/>
  <c r="W12" i="1"/>
  <c r="U7" i="1" l="1"/>
  <c r="T3" i="1" l="1"/>
  <c r="F3" i="1"/>
  <c r="T12" i="1"/>
  <c r="J12" i="1"/>
  <c r="O7" i="1" l="1"/>
  <c r="N7" i="1"/>
  <c r="E69" i="3" s="1"/>
  <c r="K7" i="1"/>
  <c r="H6" i="1"/>
  <c r="R10" i="5" l="1"/>
  <c r="M76" i="3" s="1"/>
  <c r="N69" i="3" l="1"/>
  <c r="P10" i="5" l="1"/>
  <c r="K76" i="3" s="1"/>
  <c r="Q10" i="5"/>
  <c r="L76" i="3" s="1"/>
  <c r="B74" i="3"/>
  <c r="C74" i="3" s="1"/>
  <c r="M14" i="5"/>
  <c r="H75" i="3" s="1"/>
  <c r="L14" i="5"/>
  <c r="G75" i="3" s="1"/>
  <c r="K14" i="5"/>
  <c r="F75" i="3" s="1"/>
  <c r="L75" i="3"/>
  <c r="K75" i="3"/>
  <c r="O14" i="5"/>
  <c r="J75" i="3" s="1"/>
  <c r="N14" i="5"/>
  <c r="I75" i="3" s="1"/>
  <c r="J14" i="5"/>
  <c r="E75" i="3" s="1"/>
  <c r="I14" i="5"/>
  <c r="D75" i="3" s="1"/>
  <c r="H14" i="5"/>
  <c r="C75" i="3" s="1"/>
  <c r="O10" i="5"/>
  <c r="J76" i="3" s="1"/>
  <c r="N10" i="5"/>
  <c r="I76" i="3" s="1"/>
  <c r="M10" i="5"/>
  <c r="H76" i="3" s="1"/>
  <c r="J10" i="5"/>
  <c r="E76" i="3" s="1"/>
  <c r="N3" i="1" l="1"/>
  <c r="M3" i="1"/>
  <c r="O3" i="1"/>
  <c r="P12" i="1"/>
  <c r="N12" i="1"/>
  <c r="O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7" i="1" l="1"/>
  <c r="G6" i="1" l="1"/>
  <c r="L13" i="5"/>
  <c r="S13" i="5"/>
  <c r="K13" i="5"/>
  <c r="H13" i="5"/>
  <c r="I13" i="5"/>
  <c r="U13" i="5"/>
  <c r="K10" i="5" l="1"/>
  <c r="F76" i="3" s="1"/>
  <c r="I10" i="5"/>
  <c r="D76" i="3" s="1"/>
  <c r="H10" i="5"/>
  <c r="C76" i="3" s="1"/>
  <c r="L10" i="5"/>
  <c r="G76" i="3" s="1"/>
  <c r="L69" i="3"/>
  <c r="D69" i="3"/>
  <c r="D6" i="1"/>
  <c r="L3" i="1" l="1"/>
  <c r="J3" i="1"/>
  <c r="H3" i="1"/>
  <c r="M12" i="1"/>
  <c r="I12" i="1"/>
  <c r="C6" i="1" l="1"/>
  <c r="P7" i="1" s="1"/>
  <c r="S3" i="1"/>
  <c r="S7" i="1" s="1"/>
  <c r="E6" i="1"/>
  <c r="F69" i="3"/>
  <c r="I3" i="1" l="1"/>
  <c r="B7" i="1"/>
  <c r="L9" i="1" l="1"/>
  <c r="L10" i="1"/>
  <c r="C7" i="1"/>
  <c r="K12" i="1"/>
  <c r="Q7" i="1" l="1"/>
  <c r="M69" i="3" s="1"/>
  <c r="L7" i="1"/>
  <c r="G69" i="3" s="1"/>
  <c r="K69" i="3"/>
  <c r="J69" i="3"/>
  <c r="R7" i="1" l="1"/>
  <c r="I69" i="3" s="1"/>
  <c r="M7" i="1"/>
  <c r="H69" i="3" s="1"/>
  <c r="J7" i="1"/>
  <c r="C69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8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8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8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<sst xmlns="http://schemas.openxmlformats.org/spreadsheetml/2006/main" count="443" uniqueCount="366">
  <si>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</si>
  <si>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</si>
  <si>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</si>
  <si>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</si>
  <si>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</si>
  <si>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</si>
  <si>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</si>
  <si>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</si>
  <si>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</si>
  <si>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</si>
  <si>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</si>
  <si>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</si>
  <si>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</si>
  <si>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</si>
  <si>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</si>
  <si>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</si>
  <si>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</si>
  <si>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</si>
  <si>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</si>
  <si>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</si>
  <si>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</si>
  <si>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</si>
  <si>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</si>
  <si>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</si>
  <si>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</si>
  <si>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</si>
  <si>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</si>
  <si>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</si>
  <si>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</si>
  <si>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</si>
  <si>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</si>
  <si>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</si>
  <si>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</si>
  <si>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</si>
  <si>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</si>
  <si>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</si>
  <si>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</si>
  <si>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</si>
  <si>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</si>
  <si>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</si>
  <si>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</si>
  <si>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</si>
  <si>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</si>
  <si>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</si>
  <si>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</si>
  <si>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</si>
  <si>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</si>
  <si>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</si>
  <si>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</si>
  <si>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</si>
  <si>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</si>
  <si>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</si>
  <si>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</si>
  <si>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</si>
  <si>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</si>
  <si>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</si>
  <si>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</si>
  <si>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</si>
  <si>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</si>
  <si>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</si>
  <si>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</si>
  <si>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</si>
  <si>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</si>
  <si>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</si>
  <si>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</si>
  <si>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</si>
  <si>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</si>
  <si>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</si>
  <si>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</si>
  <si>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</si>
  <si>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</si>
  <si>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</si>
  <si>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</si>
  <si>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</si>
  <si>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</si>
  <si>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</si>
  <si>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</si>
  <si>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</si>
  <si>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</si>
  <si>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</si>
  <si>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</si>
  <si>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</si>
  <si>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</si>
  <si>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</si>
  <si>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</si>
  <si>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</si>
  <si>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</si>
  <si>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</si>
  <si>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</si>
  <si>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</si>
  <si>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</si>
  <si>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</si>
  <si>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</si>
  <si>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</si>
  <si>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</si>
  <si>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</si>
  <si>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</si>
  <si>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</si>
  <si>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</si>
  <si>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</si>
  <si>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</si>
  <si>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</si>
  <si>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</si>
  <si>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</si>
  <si>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</si>
  <si>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</si>
  <si>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</si>
  <si>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</si>
  <si>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</si>
  <si>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</si>
  <si>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</si>
  <si>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</si>
  <si>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</si>
  <si>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</si>
  <si>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</si>
  <si>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</si>
  <si>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</si>
  <si>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</si>
  <si>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</si>
  <si>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</si>
  <si>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</si>
  <si>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</si>
  <si>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</si>
  <si>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</si>
  <si>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</si>
  <si>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</si>
  <si>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</si>
  <si>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</si>
  <si>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</si>
  <si>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</si>
  <si>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</si>
  <si>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</si>
  <si>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</si>
  <si>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</si>
  <si>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</si>
  <si>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</si>
  <si>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</si>
  <si>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</si>
  <si>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</si>
  <si>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</si>
  <si>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</si>
  <si>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</si>
  <si>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</si>
  <si>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</si>
  <si>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</si>
  <si>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</si>
  <si>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</si>
  <si>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</si>
  <si>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</si>
  <si>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</si>
  <si>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</si>
  <si>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</si>
  <si>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</si>
  <si>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</si>
  <si>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</si>
  <si>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</si>
  <si>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</si>
  <si>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</si>
  <si>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</si>
  <si>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</si>
  <si>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</si>
  <si>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</si>
  <si>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</si>
  <si>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</si>
  <si>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</si>
  <si>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</si>
  <si>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</si>
  <si>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</si>
  <si>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</si>
  <si>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</si>
  <si>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</si>
  <si>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</si>
  <si>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</si>
  <si>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</si>
  <si>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</si>
  <si>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</si>
  <si>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</si>
  <si>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</si>
  <si>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</si>
  <si>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</si>
  <si>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</si>
  <si>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</si>
  <si>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</si>
  <si>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</si>
  <si>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</si>
  <si>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</si>
  <si>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</si>
  <si>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</si>
  <si>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</si>
  <si>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</si>
  <si>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</si>
  <si>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</si>
  <si>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</si>
  <si>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</si>
  <si>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</si>
  <si>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</si>
  <si>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</si>
  <si>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</si>
  <si>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</si>
  <si>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</si>
  <si>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</si>
  <si>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</si>
  <si>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</si>
  <si>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</si>
  <si>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</si>
  <si>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</si>
  <si>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</si>
  <si>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</si>
  <si>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</si>
  <si>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</si>
  <si>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</si>
  <si>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</si>
  <si>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</si>
  <si>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</si>
  <si>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</si>
  <si>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</si>
  <si>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</si>
  <si>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</si>
  <si>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</si>
  <si>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</si>
  <si>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</si>
  <si>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</si>
  <si>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</si>
  <si>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</si>
  <si>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</si>
  <si>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</si>
  <si>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</si>
  <si>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</si>
  <si>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</si>
  <si>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</si>
  <si>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</si>
  <si>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</si>
  <si>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</si>
  <si>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</si>
  <si>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</si>
  <si>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</si>
  <si>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</si>
  <si>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</si>
  <si>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</si>
  <si>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</si>
  <si>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</si>
  <si>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</si>
  <si>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</si>
  <si>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</si>
  <si>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</si>
  <si>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</si>
  <si>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</si>
  <si>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</si>
  <si>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</si>
  <si>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</si>
  <si>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</si>
  <si>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</si>
  <si>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</si>
  <si>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</si>
  <si>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</si>
  <si>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</si>
  <si>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</si>
  <si>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</si>
  <si>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</si>
  <si>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</si>
  <si>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</si>
  <si>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</si>
  <si>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</si>
  <si>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</si>
  <si>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</si>
  <si>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</si>
  <si>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</si>
  <si>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</si>
  <si>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</si>
  <si>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</si>
  <si>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</si>
  <si>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</si>
  <si>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</si>
  <si>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</si>
  <si>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</si>
  <si>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</si>
  <si>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</si>
  <si>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</si>
  <si>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</si>
  <si>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</si>
  <si>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</si>
  <si>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</si>
  <si>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</si>
  <si>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</si>
  <si>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</si>
  <si>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</si>
  <si>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</si>
  <si>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</si>
  <si>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</si>
  <si>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</si>
  <si>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</si>
  <si>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</si>
  <si>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</si>
  <si>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</si>
  <si>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</si>
  <si>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</si>
  <si>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</si>
  <si>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</si>
  <si>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</si>
  <si>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</si>
  <si>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</si>
  <si>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</si>
  <si>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</si>
  <si>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</si>
  <si>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</si>
  <si>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</si>
  <si>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</si>
  <si>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</si>
  <si>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</si>
  <si>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</si>
  <si>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</si>
  <si>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</si>
  <si>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</si>
  <si>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</si>
  <si>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</si>
  <si>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</si>
  <si>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</si>
  <si>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</si>
  <si>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</si>
  <si>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</si>
  <si>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</si>
  <si>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</si>
  <si>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</si>
  <si>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LSP</t>
  </si>
  <si>
    <t>Ckd</t>
  </si>
  <si>
    <t>Gps</t>
  </si>
  <si>
    <t>Pio</t>
  </si>
  <si>
    <t>Lsp</t>
  </si>
  <si>
    <t>Spp</t>
  </si>
  <si>
    <t>Inv</t>
  </si>
  <si>
    <t>InvCkd</t>
  </si>
  <si>
    <t>InvGps</t>
  </si>
  <si>
    <t>InvPio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</si>
  <si>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</si>
  <si>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</si>
  <si>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</si>
  <si>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</si>
  <si>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</si>
  <si>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</si>
  <si>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</si>
  <si>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</si>
  <si>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</si>
  <si>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</si>
  <si>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</si>
  <si>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</si>
  <si>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</si>
  <si>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</si>
  <si>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</si>
  <si>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</si>
  <si>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</si>
  <si>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</si>
  <si>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CPS</t>
  </si>
  <si>
    <t>Cps</t>
  </si>
  <si>
    <t>InvCps</t>
  </si>
  <si>
    <t>IHP</t>
  </si>
  <si>
    <t>Ihp</t>
  </si>
  <si>
    <t>InvIhp</t>
  </si>
  <si>
    <t>Inhouse Part</t>
  </si>
  <si>
    <t>nvarchar(50)</t>
  </si>
  <si>
    <t>Master.Cmm</t>
  </si>
  <si>
    <t>EngineModel</t>
  </si>
  <si>
    <t>MstCmmEngineModel</t>
  </si>
  <si>
    <t>Setup Engine Model</t>
  </si>
  <si>
    <t>CODE</t>
  </si>
  <si>
    <t>NAME</t>
  </si>
  <si>
    <t>nvarchar(10)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</si>
</sst>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8"/>
  <sheetViews>
    <sheetView tabSelected="1" topLeftCell="A55" zoomScaleNormal="100" workbookViewId="0">
      <selection activeCell="F69" sqref="F6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341</v>
      </c>
      <c r="F18" s="1" t="s">
        <v>343</v>
      </c>
      <c r="G18" t="s">
        <v>342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329</v>
      </c>
      <c r="G42" t="s">
        <v>329</v>
      </c>
    </row>
    <row r="43" spans="1:8" x14ac:dyDescent="0.25">
      <c r="A43" s="1"/>
      <c r="D43" t="s">
        <v>319</v>
      </c>
      <c r="F43" s="1" t="s">
        <v>324</v>
      </c>
      <c r="G43" t="s">
        <v>330</v>
      </c>
    </row>
    <row r="44" spans="1:8" x14ac:dyDescent="0.25">
      <c r="A44" s="1"/>
      <c r="D44" t="s">
        <v>321</v>
      </c>
      <c r="F44" s="1" t="s">
        <v>325</v>
      </c>
      <c r="G44" t="s">
        <v>331</v>
      </c>
    </row>
    <row r="45" spans="1:8" x14ac:dyDescent="0.25">
      <c r="A45" s="1"/>
      <c r="D45" t="s">
        <v>320</v>
      </c>
      <c r="F45" s="1" t="s">
        <v>326</v>
      </c>
      <c r="G45" t="s">
        <v>332</v>
      </c>
    </row>
    <row r="46" spans="1:8" x14ac:dyDescent="0.25">
      <c r="A46" s="1"/>
      <c r="D46" t="s">
        <v>354</v>
      </c>
      <c r="F46" s="1" t="s">
        <v>355</v>
      </c>
      <c r="G46" t="s">
        <v>356</v>
      </c>
      <c r="H46" t="s">
        <v>357</v>
      </c>
    </row>
    <row r="47" spans="1:8" x14ac:dyDescent="0.25">
      <c r="A47" s="1"/>
      <c r="D47" t="s">
        <v>338</v>
      </c>
      <c r="F47" s="1" t="s">
        <v>339</v>
      </c>
      <c r="G47" t="s">
        <v>340</v>
      </c>
    </row>
    <row r="48" spans="1:8" x14ac:dyDescent="0.25">
      <c r="A48" s="1"/>
      <c r="D48" t="s">
        <v>323</v>
      </c>
      <c r="F48" s="1" t="s">
        <v>327</v>
      </c>
      <c r="G48" t="s">
        <v>333</v>
      </c>
    </row>
    <row r="49" spans="1:7" x14ac:dyDescent="0.25">
      <c r="A49" s="1"/>
      <c r="D49" t="s">
        <v>322</v>
      </c>
      <c r="F49" s="1" t="s">
        <v>328</v>
      </c>
      <c r="G49" t="s">
        <v>334</v>
      </c>
    </row>
    <row r="50" spans="1:7" x14ac:dyDescent="0.25">
      <c r="A50" s="1"/>
      <c r="D50" t="s">
        <v>335</v>
      </c>
      <c r="F50" s="1" t="s">
        <v>336</v>
      </c>
      <c r="G50" t="s">
        <v>337</v>
      </c>
    </row>
    <row r="51" spans="1:7" x14ac:dyDescent="0.25">
      <c r="A51" s="1"/>
      <c r="D51" t="s">
        <v>351</v>
      </c>
      <c r="F51" s="1" t="s">
        <v>352</v>
      </c>
      <c r="G51" t="s">
        <v>353</v>
      </c>
    </row>
    <row r="52" spans="1:7" x14ac:dyDescent="0.25">
      <c r="A52" s="1"/>
    </row>
    <row r="53" spans="1:7" x14ac:dyDescent="0.25">
      <c r="A53" s="1"/>
      <c r="B53" t="s">
        <v>82</v>
      </c>
    </row>
    <row r="54" spans="1:7" x14ac:dyDescent="0.25">
      <c r="A54" s="1"/>
      <c r="B54" t="s">
        <v>79</v>
      </c>
    </row>
    <row r="55" spans="1:7" x14ac:dyDescent="0.25">
      <c r="A55" s="1"/>
      <c r="C55" s="17" t="s">
        <v>76</v>
      </c>
    </row>
    <row r="56" spans="1:7" x14ac:dyDescent="0.25">
      <c r="A56" s="1"/>
      <c r="C56" s="16" t="s">
        <v>77</v>
      </c>
    </row>
    <row r="57" spans="1:7" x14ac:dyDescent="0.25">
      <c r="A57" s="1"/>
      <c r="C57" s="16" t="s">
        <v>78</v>
      </c>
    </row>
    <row r="58" spans="1:7" x14ac:dyDescent="0.25">
      <c r="A58" s="1"/>
      <c r="B58" t="s">
        <v>102</v>
      </c>
      <c r="C58" s="16"/>
    </row>
    <row r="59" spans="1:7" x14ac:dyDescent="0.25">
      <c r="A59" s="1"/>
      <c r="C59" s="16" t="s">
        <v>103</v>
      </c>
    </row>
    <row r="60" spans="1:7" x14ac:dyDescent="0.25">
      <c r="A60" s="1"/>
      <c r="C60" s="16" t="s">
        <v>104</v>
      </c>
    </row>
    <row r="61" spans="1:7" x14ac:dyDescent="0.25">
      <c r="A61" s="1"/>
      <c r="C61" s="16" t="s">
        <v>105</v>
      </c>
    </row>
    <row r="62" spans="1:7" x14ac:dyDescent="0.25">
      <c r="A62" s="1"/>
      <c r="C62" s="16" t="s">
        <v>107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108</v>
      </c>
    </row>
    <row r="65" spans="1:14" x14ac:dyDescent="0.25">
      <c r="A65" s="1"/>
      <c r="C65" s="16" t="s">
        <v>106</v>
      </c>
    </row>
    <row r="66" spans="1:14" ht="21" customHeight="1" x14ac:dyDescent="0.25">
      <c r="B66" s="19" t="s">
        <v>74</v>
      </c>
    </row>
    <row r="67" spans="1:14" ht="21" customHeight="1" x14ac:dyDescent="0.25">
      <c r="B67" s="59" t="s">
        <v>226</v>
      </c>
    </row>
    <row r="68" spans="1:14" ht="15.75" thickBot="1" x14ac:dyDescent="0.3">
      <c r="C68" s="1" t="s">
        <v>68</v>
      </c>
      <c r="D68" s="1" t="s">
        <v>202</v>
      </c>
      <c r="E68" s="1" t="s">
        <v>203</v>
      </c>
      <c r="F68" s="1" t="s">
        <v>194</v>
      </c>
      <c r="G68" s="1" t="s">
        <v>195</v>
      </c>
      <c r="H68" s="1" t="s">
        <v>196</v>
      </c>
      <c r="I68" s="1" t="s">
        <v>197</v>
      </c>
      <c r="J68" s="1" t="s">
        <v>201</v>
      </c>
      <c r="K68" s="1" t="s">
        <v>204</v>
      </c>
      <c r="L68" s="1" t="s">
        <v>205</v>
      </c>
      <c r="M68" s="1" t="s">
        <v>206</v>
      </c>
      <c r="N68" s="1" t="s">
        <v>222</v>
      </c>
    </row>
    <row r="69" spans="1:14" s="15" customFormat="1" ht="21.75" customHeight="1" thickBot="1" x14ac:dyDescent="0.3">
      <c r="B69" s="49" t="s">
        <v>221</v>
      </c>
      <c r="C69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[Table("MstCmmEngineModel")]
	public class MstCmmEngineModel: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D69" s="48" t="str">
        <f>A.Backend!O7</f>
        <v xml:space="preserve">		public const string Pages_Master_Cmm_EngineModel = "Pages.Master.Cmm.EngineModel";
		public const string Pages_Master_Cmm_EngineModel_CreateEdit = "Pages.Master.Cmm.EngineModel.CreateEdit";
		public const string Pages_Master_Cmm_EngineModel_Delete = "Pages.Master.Cmm.EngineModel.Delete";
</v>
      </c>
      <c r="E69" s="48" t="str">
        <f>A.Backend!N7</f>
        <v xml:space="preserve">		var perMstCmmEngineModel = PARENTS.CreateChildPermission(AppPermissions.Pages_Master_Cmm_EngineModel, L( "MasterCmmEngineModel"), multiTenancySides: MultiTenancySides.Tenant);
		perMstCmmEngineModel.CreateChildPermission(AppPermissions.Pages_Master_Cmm_EngineModel_CreateEdit, L( "MasterCmmEngineModelCreateEdit"), multiTenancySides: MultiTenancySides.Tenant);
		perMstCmmEngineModel.CreateChildPermission(AppPermissions.Pages_Master_Cmm_EngineModel_Delete, L( "MasterCmmEngineModelDelete"), multiTenancySides: MultiTenancySides.Tenant);</v>
      </c>
      <c r="F69" s="48" t="str">
        <f>A.Backend!K7</f>
        <v>public virtual DbSet&lt;MstCmmEngineModel&gt; MstCmmEngineModels { get; set; }</v>
      </c>
      <c r="G69" s="48" t="str">
        <f ca="1">A.Backend!L7</f>
        <v xml:space="preserve">namespace prod.Master.Cmm
{
	public class MstCmmEngineModelConsts	
	{
		public const int MaxCodeLength = 10;
		public const int MaxNameLength = 50;
		// Define Store Name: Format SP_ + &lt;Store Name&gt; = &lt;Store Name&gt;
	}
}
</v>
      </c>
      <c r="H69" s="48" t="str">
        <f ca="1">A.Backend!M7</f>
        <v xml:space="preserve">using Abp.Application.Services.Dto;
using System;
using System.ComponentModel.DataAnnotations;
namespace prod.Master.Cmm.Dto
{
	public class MstCmmEngineModelDto : EntityDto&lt;long?&gt;	
	{
		public virtual string Code { get; set; }
		public virtual string Name { get; set; }
	}
	public class CreateOrEditMstCmmEngineModelDto : EntityDto&lt;long?&gt;	
	{
		[StringLength(MstCmmEngineModelConsts.MaxCodeLength)]
		public virtual string Code { get; set; }
		[StringLength(MstCmmEngineModelConsts.MaxNameLength)]
		public virtual string Name { get; set; }
	}
	public class GetMstCmmEngineModelInput : PagedAndSortedResultRequestDto	
	{
		public virtual string Code { get; set; }
		public virtual string Name { get; set; }
	}
}
</v>
      </c>
      <c r="I69" s="48" t="str">
        <f ca="1">A.Backend!R7</f>
        <v xml:space="preserve">using Abp.Application.Services.Dto;
using System;
using System.ComponentModel.DataAnnotations;
namespace prod.Master.Cmm.Dto
{
	public class MstCmmEngineModelExportInput{
		public virtual string Code { get; set; }
		public virtual string Name { get; set; }
	}
}
</v>
      </c>
      <c r="J69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IMstCmmEngineModelAppService : IApplicationService
	{
		Task&lt;PagedResultDto&lt;MstCmmEngineModelDto&gt;&gt; GetAll(GetMstCmmEngineModelInput input);
		Task CreateOrEdit(CreateOrEditMstCmmEngineModelDto input);
		Task Delete(EntityDto input);
	}
}
</v>
      </c>
      <c r="K69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IMstCmmEngineModelExcelExporter : IApplicationService
	{
		FileDto ExportToFile(List&lt;MstCmmEngineModelDto&gt; mstcmmenginemodel);
	}
}
</v>
      </c>
      <c r="L69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MstCmmEngineModelExcelExporter : NpoiExcelExporterBase, IMstCmmEngineModelExcelExporter
    {
        public MstCmmEngineModelExcelExporter(ITempFileCacheManager tempFileCacheManager) : base(tempFileCacheManager) { }
        public FileDto ExportToFile(List&lt;MstCmmEngineModelDto&gt; enginemodel)
        {
            return CreateExcelPackage(
				"MasterCmmEngineModel.xlsx",
				excelPackage =&gt;
				 {
					var sheet = excelPackage.CreateSheet("EngineModel");
					AddHeader(
								sheet,
								("Code"),
								("Name"),
							   );
					AddObjects(
						 sheet, 1, enginemodel,                                       
								_ =&gt; _.Code,
								_ =&gt; _.Name,
								);
			for (var i = 0; i &lt; 8; i++)
				{
					sheet.AutoSizeColumn(i);
				}
			});
        }
    }
}</v>
      </c>
      <c r="M69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[AbpAuthorize(AppPermissions.Pages_Master_Cmm_EngineModel)]
    public class MstCmmEngineModelAppService : vovinaAppServiceBase, IMstCmmEngineModelAppService
    {
        private readonly IDapperRepository&lt;MstCmmEngineModel, long&gt; _dapperRepo;
        private readonly IRepository&lt;MstCmmEngineModel, long&gt; _repo;
        private readonly IMstCmmEngineModelExcelExporter _calendarListExcelExporter;
        public MstCmmEngineModelAppService(IRepository&lt;MstCmmEngineModel,long&gt; repo, 
                                         IDapperRepository&lt;MstCmmEngineModel,long&gt; dapperRepo,
                                        IMstCmmEngineModelExcelExporter calendarListExcelExporter
            )
        {
            _repo = repo;
            _dapperRepo = dapperRepo;
            _calendarListExcelExporter = calendarListExcelExporter;
        }
        [AbpAuthorize(AppPermissions.Pages_Master_Cmm_EngineModel_CreateEdit)]
        public async Task CreateOrEdit(CreateOrEditMstCmmEngineModelDto input)
        {
            if (input.Id == null) await Create(input);
            else await Update(input);
        }
        //CREATE
        private async Task Create(CreateOrEditMstCmmEngineModelDto input)
        {          
            var mainObj = ObjectMapper.Map&lt;MstCmmEngineModel&gt;(input);
            await CurrentUnitOfWork.GetDbContext&lt;vovinaDbContext&gt;().AddAsync(mainObj);
        }
        // EDIT
        private async Task Update(CreateOrEditMstCmmEngineModelDto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[AbpAuthorize(AppPermissions.Pages_Master_Cmm_EngineModel_Delete)]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Task&lt;PagedResultDto&lt;MstCmmEngineModelDto&gt;&gt; GetAll(GetMstCmmEngineModelInput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MstCmmEngineModelDto
                        {
							Id = o.Id,
							Code = o.Code,
							Name = o.Name,
                        };
            var totalCount = await filtered.CountAsync();
			var paged = system.PageBy(input);
            return new PagedResultDto&lt;MstCmmEngineModelDto&gt;(
                totalCount,
                 await paged.ToListAsync()
            );
        }
        public async Task&lt;FileDto&gt; GetEngineModelToExcel(MstCmmEngineModelExportInput input)
        {
            var query = from o in _repo.GetAll()
                        select new MstCmmEngineModelDto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_dapperRepo.ExecuteAsync(MstCmmEngineModelConsts.SP_MST_WPT_CALENDAR_GENERATE);
       // }
    }
}</v>
      </c>
      <c r="N69" s="58" t="str">
        <f>A.Backend!U7</f>
        <v xml:space="preserve">  configuration.CreateMap&lt;MstCmmEngineModelDto, MstCmmEngineModel&gt;();
  configuration.CreateMap&lt;MstCmmEngineModel, MstCmmEngineModelDto&gt;();
  configuration.CreateMap&lt;CreateOrEditMstCmmEngineModelDto, MstCmmEngineModel&gt;();</v>
      </c>
    </row>
    <row r="70" spans="1:14" s="15" customFormat="1" ht="21.75" customHeight="1" x14ac:dyDescent="0.25">
      <c r="C70" s="60"/>
      <c r="H70" s="61"/>
      <c r="I70" s="61"/>
      <c r="M70" s="61"/>
    </row>
    <row r="71" spans="1:14" s="15" customFormat="1" ht="21.75" customHeight="1" x14ac:dyDescent="0.25"/>
    <row r="72" spans="1:14" s="15" customFormat="1" ht="21.75" customHeight="1" x14ac:dyDescent="0.25"/>
    <row r="73" spans="1:14" x14ac:dyDescent="0.25">
      <c r="B73" s="1" t="s">
        <v>69</v>
      </c>
    </row>
    <row r="74" spans="1:14" ht="21" x14ac:dyDescent="0.35">
      <c r="B74" t="str">
        <f>B.Frontend!B8</f>
        <v>enginemodel</v>
      </c>
      <c r="C74" s="66" t="str">
        <f>"create folder " &amp;B74</f>
        <v>create folder enginemodel</v>
      </c>
      <c r="D74" s="66"/>
      <c r="E74" s="66"/>
      <c r="F74" s="66"/>
      <c r="G74" s="66"/>
      <c r="H74" s="66"/>
      <c r="I74" s="66"/>
      <c r="J74" s="66"/>
      <c r="K74" s="67" t="s">
        <v>223</v>
      </c>
      <c r="L74" s="67"/>
      <c r="M74" s="28"/>
    </row>
    <row r="75" spans="1:14" s="26" customFormat="1" ht="18" customHeight="1" x14ac:dyDescent="0.25">
      <c r="B75" s="56" t="s">
        <v>224</v>
      </c>
      <c r="C75" s="28" t="str">
        <f>B.Frontend!H14</f>
        <v>enginemodel.component.ts</v>
      </c>
      <c r="D75" s="28" t="str">
        <f>B.Frontend!I14</f>
        <v>enginemodel.component.html</v>
      </c>
      <c r="E75" s="28" t="str">
        <f>B.Frontend!J14</f>
        <v>enginemodel.component.less</v>
      </c>
      <c r="F75" s="28" t="str">
        <f>B.Frontend!K14</f>
        <v>create-or-edit-enginemodel-modal.component.html</v>
      </c>
      <c r="G75" s="28" t="str">
        <f>B.Frontend!L14</f>
        <v>create-or-edit-enginemodel-modal.component.ts</v>
      </c>
      <c r="H75" s="28" t="str">
        <f>B.Frontend!M14</f>
        <v>create-or-edit-enginemodel-modal.component.less</v>
      </c>
      <c r="I75" s="28" t="str">
        <f>B.Frontend!N14</f>
        <v>enginemodel.module.ts</v>
      </c>
      <c r="J75" s="28" t="str">
        <f>B.Frontend!O14</f>
        <v>enginemodel-routing.module.ts</v>
      </c>
      <c r="K75" s="28" t="str">
        <f>B.Frontend!P14</f>
        <v>app.navigation.service.ts</v>
      </c>
      <c r="L75" s="28" t="str">
        <f>B.Frontend!Q14</f>
        <v>main.routing.module.ts</v>
      </c>
      <c r="M75" s="56" t="s">
        <v>227</v>
      </c>
    </row>
    <row r="76" spans="1:14" ht="21.75" customHeight="1" x14ac:dyDescent="0.25">
      <c r="B76" s="57" t="s">
        <v>221</v>
      </c>
      <c r="C76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MstCmmEngineModelDto, MstCmmEngineModelServiceProxy } from '@shared/service-proxies/service-proxies';
import { finalize } from 'rxjs/internal/operators/finalize';
import { CreateOrEditEngineModelModalComponent } from './create-or-edit-enginemodel-modal.component';
import { DatePipe } from '@angular/common';
import { FileDownloadService } from '@shared/utils/file-download.service';
import ceil from 'lodash-es/ceil';
import { Paginator } from 'primeng/paginator';
@Component({
    templateUrl: './enginemodel.component.html',
    styleUrls: ['./enginemodel.component.less'],
})
export class EngineModelComponent extends AppComponentBase implements OnInit {
    @ViewChild('createOrEditModalEngineModel', { static: true }) createOrEditModalEngineModel:| CreateOrEditEngineModelModalComponent|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MstCmmEngineModelDto = new MstCmmEngineModelDto();
    saveSelectedRow: MstCmmEngineModelDto = new MstCmmEngineModelDto();
    datas: MstCmmEngineModelDto = new MstCmmEngineModelDto();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MstCmmEngineModelServiceProxy,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MstCmmEngineModelDto[] } }) {
        this.saveSelectedRow = params.api.getSelectedRows()[0] ?? new MstCmmEngineModelDto();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MstCmmEngineModelDto):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this._service.getEngineModelToExcel(
			this.,
			this.code,
            )
            .subscribe((result) =&gt; {
                this._fileDownloadService.downloadTempFile(result);
        });
    }
}</v>
      </c>
      <c r="D76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Engine Model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(click)="createOrEditModalEngineModel.show()"&gt;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(click)="createOrEditModalEngineModel.show(selectedRow)"&gt;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&lt;create-or-edit-enginemodel-modal
    #createOrEditModalEngineModel
    (modalSave)="callBackDataGrid(dataParams)"
    (modalClose)="onChangeRowSelection(dataParams)"
&gt;
&lt;/create-or-edit-enginemodel-modal&gt;</v>
      </c>
      <c r="E76" s="46" t="str">
        <f>B.Frontend!J10</f>
        <v>.input-search{
    width: 250px;
    border-radius: 10px;
    margin-left: 10px;
}
.btn-search{
    width: 50px;
    margin-left: 10px;
}</v>
      </c>
      <c r="F76" s="46" t="str">
        <f ca="1">B.Frontend!K10</f>
        <v>&lt;div bsModal #createOrEditModalEngineModel="bs-modal"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EngineModel')}}&lt;/h3&gt;
                    &lt;h3 *ngIf="!rowdata.id"&gt;{{('Create New EngineModel')}}&lt;/h3&gt;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6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CreateOrEditMstCmmEngineModelDto, MstCmmEngineModelServiceProxy } from '@shared/service-proxies/service-proxies';
import { BsDatepickerDirective } from 'ngx-bootstrap/datepicker';
@Component({
    selector: 'create-or-edit-enginemodel-modal',
    templateUrl: './create-or-edit-enginemodel-modal.component.html',
    styleUrls: ['./create-or-edit-enginemodel-modal.component.less']
    })
export class CreateOrEditEngineModelModalComponent extends AppComponentBase {
    @ViewChild('createOrEditModalEngineModel',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CreateOrEditMstCmmEngineModelDto = new CreateOrEditMstCmmEngineModelDto();
    active: boolean = false;
    saving: boolean = false;
    _: boolean;
    constructor(
        injector: Injector,
        private _mstwptEngineModelService: MstCmmEngineModelServiceProxy,
    ) 
    {
        super(injector);
    }
    show(rowdata?: CreateOrEditMstCmmEngineModelDto): void {
        if (!rowdata) this.rowdata = new CreateOrEditMstCmmEngineModelDto();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this._mstwptEngineModelService.createOrEdit(this.rowdata)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6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6" s="46" t="str">
        <f>B.Frontend!N10</f>
        <v>import {NgModule} from '@angular/core';
import {AppSharedModule} from '@app/shared/app-shared.module';
import { EngineModelRoutingModule } from './enginemodel-routing.module';
import { EngineModelComponent } from './enginemodel.component';
import { CreateOrEditEngineModelModalComponent } from './create-or-edit-enginemodel-modal.component';
@NgModule({
    declarations: [
       EngineModelComponent, 
        CreateOrEditEngineModelModalComponent
    ],
    imports: [
        AppSharedModule, EngineModelRoutingModule]
})
export class EngineModelModule {}</v>
      </c>
      <c r="J76" s="46" t="str">
        <f>B.Frontend!O10</f>
        <v>import {NgModule} from '@angular/core';
import {RouterModule, Routes} from '@angular/router';
import { EngineModelComponent } from './enginemodel.component';
const routes: Routes = [{
    path: '',
    component: EngineModelComponent,
    pathMatch: 'full'
}];
@NgModule({
    imports: [RouterModule.forChild(routes)],
    exports: [RouterModule],
})
export class EngineModelRoutingModule {}</v>
      </c>
      <c r="K76" s="46" t="str">
        <f>B.Frontend!P10</f>
        <v xml:space="preserve"> new AppMenuItem("EngineModel", "Pages.Master.Cmm.EngineModel", "flaticon-book",   "/app/main/master/cmm/enginemodel"),</v>
      </c>
      <c r="L76" s="47" t="str">
        <f>B.Frontend!Q10</f>
        <v>{
    path: 'master/cmm/enginemodel',
    loadChildren: () =&gt; import('./master/cmm/enginemodel/enginemodel.module').then(m =&gt; m.EngineModelModule),
    data: { permission: 'Pages.Master.Cmm.EngineModel' }
},</v>
      </c>
      <c r="M76" s="45" t="str">
        <f>B.Frontend!R10</f>
        <v>ApiServiceProxies.MstCmmEngineModelServiceProxy,</v>
      </c>
    </row>
    <row r="78" spans="1:14" x14ac:dyDescent="0.25">
      <c r="B78" s="1" t="s">
        <v>71</v>
      </c>
    </row>
  </sheetData>
  <mergeCells count="2">
    <mergeCell ref="C74:J74"/>
    <mergeCell ref="K74:L74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workbookViewId="0">
      <pane xSplit="1" topLeftCell="B1" activePane="topRight" state="frozen"/>
      <selection pane="topRight" activeCell="A29" sqref="A29"/>
    </sheetView>
  </sheetViews>
  <sheetFormatPr defaultColWidth="9.140625" defaultRowHeight="15" x14ac:dyDescent="0.25"/>
  <cols>
    <col min="1" max="1" width="41.85546875" style="7" customWidth="1"/>
    <col min="2" max="2" width="24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359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361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MstCmmEngineModelExportInput{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360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MstCmmEngineModel: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MstCmmEngineModelConsts	
	{
</v>
      </c>
      <c r="F6" s="10" t="str">
        <f>REPT(CHAR(9),1)&amp;"public class "&amp;B3&amp;"Dto"&amp;K3&amp;REPT(CHAR(9),1)&amp;"
"&amp;REPT(CHAR(9),1)&amp;C3</f>
        <v xml:space="preserve">	public class MstCmmEngineModelDto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CreateOrEditMstCmmEngineModelDto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GetMstCmmEngineModelInput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MstCmmEngineModel</v>
      </c>
      <c r="C7" s="10" t="str">
        <f>REPT(CHAR(9),1)&amp;"[Table("""&amp;B7&amp;""")]"&amp;"
"</f>
        <v xml:space="preserve">	[Table("MstCmmEngineModel")]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[Table("MstCmmEngineModel")]
	public class MstCmmEngineModel: FullAuditedEntity&lt;long&gt;, IEntity&lt;long&gt;	
	{
		public const int MaxCodeLength = 10;
		public const int MaxNameLength = 50;
		[StringLength(MaxCodeLength)]
		public virtual string Code { get; set; }
		[StringLength(MaxNameLength)]
		public virtual string Name { get; set; }
	}
}
</v>
      </c>
      <c r="K7" t="str">
        <f>SUBSTITUTE(SUBSTITUTE(("public virtual DbSet&lt;"&amp;B3&amp;"&gt; "&amp;B3&amp;"s { get; set; }"),"WorkingPattern",$Q$3),"Master",$B$4)</f>
        <v>public virtual DbSet&lt;MstCmmEngineModel&gt; MstCmmEngineModels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MstCmmEngineModelConsts	
	{
		public const int MaxCodeLength = 10;
		public const int MaxNameLength = 50;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MstCmmEngineModelDto : EntityDto&lt;long?&gt;	
	{
		public virtual string Code { get; set; }
		public virtual string Name { get; set; }
	}
	public class CreateOrEditMstCmmEngineModelDto : EntityDto&lt;long?&gt;	
	{
		[StringLength(MstCmmEngineModelConsts.MaxCodeLength)]
		public virtual string Code { get; set; }
		[StringLength(MstCmmEngineModelConsts.MaxNameLength)]
		public virtual string Name { get; set; }
	}
	public class GetMstCmmEngineModelInput : PagedAndSortedResultRequestDto	
	{
		public virtual string Code { get; set; }
		public virtual string 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perMstCmmEngineModel = PARENTS.CreateChildPermission(AppPermissions.Pages_Master_Cmm_EngineModel, L( "MasterCmmEngineModel"), multiTenancySides: MultiTenancySides.Tenant);
		perMstCmmEngineModel.CreateChildPermission(AppPermissions.Pages_Master_Cmm_EngineModel_CreateEdit, L( "MasterCmmEngineModelCreateEdit"), multiTenancySides: MultiTenancySides.Tenant);
		perMstCmmEngineModel.CreateChildPermission(AppPermissions.Pages_Master_Cmm_EngineModel_Delete, L( "MasterCmmEngineModelDelete"),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Pages_Master_Cmm_EngineModel = "Pages.Master.Cmm.EngineModel";
		public const string Pages_Master_Cmm_EngineModel_CreateEdit = "Pages.Master.Cmm.EngineModel.CreateEdit";
		public const string Pages_Master_Cmm_EngineModel_Delete = "Pages.Master.Cmm.EngineModel.Delete";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IMstCmmEngineModelAppService : IApplicationService
	{
		Task&lt;PagedResultDto&lt;MstCmmEngineModelDto&gt;&gt; GetAll(GetMstCmmEngineModelInput input);
		Task CreateOrEdit(CreateOrEditMstCmmEngineModelDto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[AbpAuthorize(AppPermissions.Pages_Master_Cmm_EngineModel)]
    public class MstCmmEngineModelAppService : vovinaAppServiceBase, IMstCmmEngineModelAppService
    {
        private readonly IDapperRepository&lt;MstCmmEngineModel, long&gt; _dapperRepo;
        private readonly IRepository&lt;MstCmmEngineModel, long&gt; _repo;
        private readonly IMstCmmEngineModelExcelExporter _calendarListExcelExporter;
        public MstCmmEngineModelAppService(IRepository&lt;MstCmmEngineModel,long&gt; repo, 
                                         IDapperRepository&lt;MstCmmEngineModel,long&gt; dapperRepo,
                                        IMstCmmEngineModelExcelExporter calendarListExcelExporter
            )
        {
            _repo = repo;
            _dapperRepo = dapperRepo;
            _calendarListExcelExporter = calendarListExcelExporter;
        }
        [AbpAuthorize(AppPermissions.Pages_Master_Cmm_EngineModel_CreateEdit)]
        public async Task CreateOrEdit(CreateOrEditMstCmmEngineModelDto input)
        {
            if (input.Id == null) await Create(input);
            else await Update(input);
        }
        //CREATE
        private async Task Create(CreateOrEditMstCmmEngineModelDto input)
        {          
            var mainObj = ObjectMapper.Map&lt;MstCmmEngineModel&gt;(input);
            await CurrentUnitOfWork.GetDbContext&lt;vovinaDbContext&gt;().AddAsync(mainObj);
        }
        // EDIT
        private async Task Update(CreateOrEditMstCmmEngineModelDto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[AbpAuthorize(AppPermissions.Pages_Master_Cmm_EngineModel_Delete)]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Task&lt;PagedResultDto&lt;MstCmmEngineModelDto&gt;&gt; GetAll(GetMstCmmEngineModelInput input)
        {
            var filtered = _repo.GetAll()
				.WhereIf(!string.IsNullOrWhiteSpace(input.Code), e =&gt; e.Code.Contains(input.Code))
				.WhereIf(!string.IsNullOrWhiteSpace(input.Name), e =&gt; e.Name.Contains(input.Name))                   
				;
            var pageAndFiltered = filtered.OrderBy(s =&gt; s.Id);
            var system = from o in pageAndFiltered
                         select new MstCmmEngineModelDto
                        {
							Id = o.Id,
							Code = o.Code,
							Name = o.Name,
                        };
            var totalCount = await filtered.CountAsync();
			var paged = system.PageBy(input);
            return new PagedResultDto&lt;MstCmmEngineModelDto&gt;(
                totalCount,
                 await paged.ToListAsync()
            );
        }
        public async Task&lt;FileDto&gt; GetEngineModelToExcel(MstCmmEngineModelExportInput input)
        {
            var query = from o in _repo.GetAll()
                        select new MstCmmEngineModelDto
                        {
							Id = o.Id,
							Code = o.Code,
							Name = o.Name,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_dapperRepo.ExecuteAsync(MstCmmEngineModelConsts.SP_MST_WPT_CALENDAR_GENERATE);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MstCmmEngineModelExportInput{
		public virtual string Code { get; set; }
		public virtual string Name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IMstCmmEngineModelExcelExporter : IApplicationService
	{
		FileDto ExportToFile(List&lt;MstCmmEngineModelDto&gt; mstcmmenginemodel);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MstCmmEngineModelExcelExporter : NpoiExcelExporterBase, IMstCmmEngineModelExcelExporter
    {
        public MstCmmEngineModelExcelExporter(ITempFileCacheManager tempFileCacheManager) : base(tempFileCacheManager) { }
        public FileDto ExportToFile(List&lt;MstCmmEngineModelDto&gt; enginemodel)
        {
            return CreateExcelPackage(
				"MasterCmmEngineModel.xlsx",
				excelPackage =&gt;
				 {
					var sheet = excelPackage.CreateSheet("EngineModel");
					AddHeader(
								sheet,
								("Code"),
								("Name"),
							   );
					AddObjects(
						 sheet, 1, enginemodel,                                       
								_ =&gt; _.Code,
								_ =&gt; _.Name,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configuration.CreateMap&lt;MstCmmEngineModelDto, MstCmmEngineModel&gt;();
  configuration.CreateMap&lt;MstCmmEngineModel, MstCmmEngineModelDto&gt;();
  configuration.CreateMap&lt;CreateOrEditMstCmmEngineModelDto, MstCmmEngineModel&gt;();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363</v>
      </c>
      <c r="B9" s="28" t="s">
        <v>365</v>
      </c>
      <c r="C9" t="s">
        <v>1</v>
      </c>
      <c r="D9" t="str">
        <f t="shared" ref="D9" si="0">SUBSTITUTE(PROPER(A9),"_","")</f>
        <v>Code</v>
      </c>
      <c r="E9" t="str">
        <f t="shared" ref="E9" si="1">IFERROR(LEFT(B9, FIND("(",B9)-1),B9)</f>
        <v>nvarchar</v>
      </c>
      <c r="F9" s="6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MaxCodeLength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[StringLength(MaxCodeLength)]
		public virtual string Code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Code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[StringLength(MstCmmEngineModelConsts.MaxCodeLength)]
		public virtual string Code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Code { get; set; }
</v>
      </c>
      <c r="P9" t="str">
        <f t="shared" ref="P9" si="9">REPT(CHAR(9),7)&amp;D9&amp;" = o." &amp;D9 &amp;","</f>
        <v xml:space="preserve">							Code = o.Code,</v>
      </c>
      <c r="T9" s="63" t="str">
        <f t="shared" ref="T9" si="10">REPT(CHAR(9),8)&amp;"("""&amp;D9&amp;"""),"</f>
        <v xml:space="preserve">								("Code"),</v>
      </c>
      <c r="V9" s="64" t="str">
        <f t="shared" ref="V9" si="11">REPT(CHAR(9),8)&amp;"_ =&gt; _."&amp;D9&amp;","</f>
        <v xml:space="preserve">								_ =&gt; _.Code,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.WhereIf(!string.IsNullOrWhiteSpace(input.Code), e =&gt; e.Code.Contains(input.Code))</v>
      </c>
    </row>
    <row r="10" spans="1:23" customFormat="1" ht="18.75" customHeight="1" x14ac:dyDescent="0.25">
      <c r="A10" s="28" t="s">
        <v>364</v>
      </c>
      <c r="B10" s="28" t="s">
        <v>358</v>
      </c>
      <c r="C10" t="s">
        <v>1</v>
      </c>
      <c r="D10" t="str">
        <f t="shared" ref="D10" si="13">SUBSTITUTE(PROPER(A10),"_","")</f>
        <v>Name</v>
      </c>
      <c r="E10" t="str">
        <f t="shared" ref="E10" si="14">IFERROR(LEFT(B10, FIND("(",B10)-1),B10)</f>
        <v>nvarchar</v>
      </c>
      <c r="F10" s="6"/>
      <c r="G10" t="str">
        <f t="shared" ref="G10" si="15">IFERROR(MID(B10,FIND("(",B10) +1, FIND(")",B10) - FIND("(",B10) - 1),"")</f>
        <v>50</v>
      </c>
      <c r="H10" t="str">
        <f>+VLOOKUP(E10,'Data Type Mapping'!A:B,2,)</f>
        <v>string</v>
      </c>
      <c r="I10" t="str">
        <f t="shared" ref="I10" si="16">IF(H10="string",REPT(CHAR(9),2)&amp;"public const int Max"&amp;D10&amp;"Length = "&amp;G10&amp;";"&amp;$E$3,"" )</f>
        <v xml:space="preserve">		public const int MaxNameLength = 50;
</v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[StringLength(MaxNameLength)]
		public virtual string Name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string Name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[StringLength(MstCmmEngineModelConsts.MaxNameLength)]
		public virtual string Name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 xml:space="preserve">		public virtual string Name { get; set; }
</v>
      </c>
      <c r="P10" t="str">
        <f t="shared" ref="P10" si="22">REPT(CHAR(9),7)&amp;D10&amp;" = o." &amp;D10 &amp;","</f>
        <v xml:space="preserve">							Name = o.Name,</v>
      </c>
      <c r="T10" s="63" t="str">
        <f t="shared" ref="T10" si="23">REPT(CHAR(9),8)&amp;"("""&amp;D10&amp;"""),"</f>
        <v xml:space="preserve">								("Name"),</v>
      </c>
      <c r="V10" s="64" t="str">
        <f t="shared" ref="V10" si="24">REPT(CHAR(9),8)&amp;"_ =&gt; _."&amp;D10&amp;","</f>
        <v xml:space="preserve">								_ =&gt; _.Name,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.WhereIf(!string.IsNullOrWhiteSpace(input.Name), e =&gt; e.Name.Contains(input.Name))</v>
      </c>
    </row>
    <row r="12" spans="1:23" ht="45.75" customHeight="1" x14ac:dyDescent="0.25">
      <c r="H12" s="11"/>
      <c r="I12" s="31" t="str">
        <f ca="1">TEXTJOIN2("
", TRUE,INDIRECT( $H$1):INDIRECT( $H$3))</f>
        <v xml:space="preserve">		public const int MaxCodeLength = 10;
		public const int MaxNameLength = 50;
</v>
      </c>
      <c r="J12" s="30" t="str">
        <f ca="1">TEXTJOIN2("
", TRUE,INDIRECT( $F$1):INDIRECT( $F$3))</f>
        <v xml:space="preserve">		[StringLength(MaxCodeLength)]
		public virtual string Code { get; set; }
		[StringLength(MaxNameLength)]
		public virtual string Name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string Code { get; set; }
		public virtual string Name { get; set; }
</v>
      </c>
      <c r="N12" s="30" t="str">
        <f ca="1">TEXTJOIN2("
",TRUE,INDIRECT( $M$1):INDIRECT($M$3))</f>
        <v xml:space="preserve">		[StringLength(MstCmmEngineModelConsts.MaxCodeLength)]
		public virtual string Code { get; set; }
		[StringLength(MstCmmEngineModelConsts.MaxNameLength)]
		public virtual string Name { get; set; }
</v>
      </c>
      <c r="O12" s="30" t="str">
        <f ca="1">TEXTJOIN2("
",TRUE,INDIRECT( $N$1):INDIRECT($N$3))</f>
        <v xml:space="preserve">		public virtual string Code { get; set; }
		public virtual string Name { get; set; }
</v>
      </c>
      <c r="P12" s="8" t="str">
        <f ca="1">TEXTJOIN2("
",TRUE,INDIRECT( $O$1):INDIRECT($O$3))</f>
        <v xml:space="preserve">							Code = o.Code,
							Name = o.Name,</v>
      </c>
      <c r="T12" s="8" t="str">
        <f ca="1">TEXTJOIN2("
",TRUE,INDIRECT( $T$2):INDIRECT($T$3))</f>
        <v xml:space="preserve">								("Code"),
								("Name"),</v>
      </c>
      <c r="V12" s="8" t="str">
        <f ca="1">TEXTJOIN2("
",TRUE,INDIRECT( $V$2):INDIRECT($V$3))</f>
        <v xml:space="preserve">								_ =&gt; _.Code,
								_ =&gt; _.Name,</v>
      </c>
      <c r="W12" s="8" t="str">
        <f ca="1">TEXTJOIN2("
",TRUE,INDIRECT( $W$2):INDIRECT($W$3))</f>
        <v xml:space="preserve">				.WhereIf(!string.IsNullOrWhiteSpace(input.Code), e =&gt; e.Code.Contains(input.Code))
				.WhereIf(!string.IsNullOrWhiteSpace(input.Name), e =&gt; e.Name.Contains(input.Name))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B27" sqref="B27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362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MstCmmEngineModel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EngineModel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enginemodel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MstCmmEngineModelDto, MstCmmEngineModelServiceProxy } from '@shared/service-proxies/service-proxies';
import { finalize } from 'rxjs/internal/operators/finalize';
import { CreateOrEditEngineModelModalComponent } from './create-or-edit-enginemodel-modal.component';
import { DatePipe } from '@angular/common';
import { FileDownloadService } from '@shared/utils/file-download.service';
import ceil from 'lodash-es/ceil';
import { Paginator } from 'primeng/paginator';
@Component({
    templateUrl: './enginemodel.component.html',
    styleUrls: ['./enginemodel.component.less'],
})
export class EngineModelComponent extends AppComponentBase implements OnInit {
    @ViewChild('createOrEditModalEngineModel', { static: true }) createOrEditModalEngineModel:| CreateOrEditEngineModelModalComponent|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MstCmmEngineModelDto = new MstCmmEngineModelDto();
    saveSelectedRow: MstCmmEngineModelDto = new MstCmmEngineModelDto();
    datas: MstCmmEngineModelDto = new MstCmmEngineModelDto();
    isLoading: boolean = false;
    dataParams: GridParams | undefined;
    rowData: any[] = [];
    gridApi!: GridApi;
    rowSelection = 'multiple';
    filter: string = '';
	pipe = new DatePipe('en-US');
	frameworkComponents: FrameworkComponent;
    	code : string = '' ; 
	name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MstCmmEngineModelServiceProxy,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this.l('Code'),headerTooltip: this.l('Code'),field: 'code',flex: 1},
			{headerName: this.l('Name'),headerTooltip: this.l('Name'),field: 'name',flex: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this.,
			this.code,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code : string = '' ; 
	name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this.,
			this.code,
			'',
            this.paginationParams.skipCount,
            this.paginationParams.pageSize
        );
    }
    onChangeRowSelection(params: { api: { getSelectedRows: () =&gt; MstCmmEngineModelDto[] } }) {
        this.saveSelectedRow = params.api.getSelectedRows()[0] ?? new MstCmmEngineModelDto();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MstCmmEngineModelDto):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this._service.getEngineModelToExcel(
			this.,
			this.code,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Setup Engine Model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(click)="createOrEditModalEngineModel.show()"&gt;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(click)="createOrEditModalEngineModel.show(selectedRow)"&gt;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&lt;create-or-edit-enginemodel-modal
    #createOrEditModalEngineModel
    (modalSave)="callBackDataGrid(dataParams)"
    (modalClose)="onChangeRowSelection(dataParams)"
&gt;
&lt;/create-or-edit-enginemodel-modal&gt;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#createOrEditModalEngineModel="bs-modal"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EngineModel')}}&lt;/h3&gt;
                    &lt;h3 *ngIf="!rowdata.id"&gt;{{('Create New EngineModel')}}&lt;/h3&gt;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CreateOrEditMstCmmEngineModelDto, MstCmmEngineModelServiceProxy } from '@shared/service-proxies/service-proxies';
import { BsDatepickerDirective } from 'ngx-bootstrap/datepicker';
@Component({
    selector: 'create-or-edit-enginemodel-modal',
    templateUrl: './create-or-edit-enginemodel-modal.component.html',
    styleUrls: ['./create-or-edit-enginemodel-modal.component.less']
    })
export class CreateOrEditEngineModelModalComponent extends AppComponentBase {
    @ViewChild('createOrEditModalEngineModel',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CreateOrEditMstCmmEngineModelDto = new CreateOrEditMstCmmEngineModelDto();
    active: boolean = false;
    saving: boolean = false;
    _: boolean;
    constructor(
        injector: Injector,
        private _mstwptEngineModelService: MstCmmEngineModelServiceProxy,
    ) 
    {
        super(injector);
    }
    show(rowdata?: CreateOrEditMstCmmEngineModelDto): void {
        if (!rowdata) this.rowdata = new CreateOrEditMstCmmEngineModelDto();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this._mstwptEngineModelService.createOrEdit(this.rowdata)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EngineModelRoutingModule } from './enginemodel-routing.module';
import { EngineModelComponent } from './enginemodel.component';
import { CreateOrEditEngineModelModalComponent } from './create-or-edit-enginemodel-modal.component';
@NgModule({
    declarations: [
       EngineModelComponent, 
        CreateOrEditEngineModelModalComponent
    ],
    imports: [
        AppSharedModule, EngineModelRoutingModule]
})
export class EngineModelModule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EngineModelComponent } from './enginemodel.component';
const routes: Routes = [{
    path: '',
    component: EngineModelComponent,
    pathMatch: 'full'
}];
@NgModule({
    imports: [RouterModule.forChild(routes)],
    exports: [RouterModule],
})
export class EngineModelRoutingModule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AppMenuItem("EngineModel", "Pages.Master.Cmm.EngineModel", "flaticon-book",   "/app/main/master/cmm/enginemodel"),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'master/cmm/enginemodel',
    loadChildren: () =&gt; import('./master/cmm/enginemodel/enginemodel.module').then(m =&gt; m.EngineModelModule),
    data: { permission: 'Pages.Master.Cmm.EngineModel' }
},</v>
      </c>
      <c r="R10" s="47" t="str">
        <f>SUBSTITUTE(R9,"MstWptCalendar",$B$6)</f>
        <v>ApiServiceProxies.MstCmmEngineModelServiceProxy,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this.l('Code'),headerTooltip: this.l('Code'),field: 'code',flex: 1},
			{headerName: this.l('Name'),headerTooltip: this.l('Name'),field: 'name',flex: 1},</v>
      </c>
      <c r="I13" s="35" t="str">
        <f ca="1">TEXTJOIN2("
",TRUE,INDIRECT(I11):INDIRECT(I12))</f>
        <v xml:space="preserve">								&lt;div class='input-search'&gt;
									&lt;input [(ngModel)]='code' name='code'
									class='form-control' [placeholder]="l('Code')"
									type='text' (keyup.enter)='searchDatas()'&gt;
								&lt;/div&gt;
								&lt;div class='input-search'&gt;
									&lt;input [(ngModel)]='name' name='name'
									class='form-control' [placeholder]="l('Name')"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
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code : string = '' ; 
	name : string = '' ; </v>
      </c>
      <c r="T13" s="62" t="str">
        <f ca="1">TEXTJOIN2("
",TRUE,INDIRECT(T11):INDIRECT(T12))</f>
        <v xml:space="preserve">			this.,
			this.code,</v>
      </c>
      <c r="U13" s="62" t="str">
        <f ca="1">TEXTJOIN2("
",TRUE,INDIRECT(U11):INDIRECT(U12))</f>
        <v xml:space="preserve">	code : string = '' ; 
	name : string = '' ; </v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enginemodel.component.ts</v>
      </c>
      <c r="I14" s="37" t="str">
        <f>B8&amp;".component.html"</f>
        <v>enginemodel.component.html</v>
      </c>
      <c r="J14" s="36" t="str">
        <f>B8&amp;".component.less"</f>
        <v>enginemodel.component.less</v>
      </c>
      <c r="K14" s="37" t="str">
        <f>"create-or-edit-"&amp;B8&amp;"-modal.component.html"</f>
        <v>create-or-edit-enginemodel-modal.component.html</v>
      </c>
      <c r="L14" s="37" t="str">
        <f>"create-or-edit-"&amp;B8&amp;"-modal.component.ts"</f>
        <v>create-or-edit-enginemodel-modal.component.ts</v>
      </c>
      <c r="M14" s="37" t="str">
        <f>"create-or-edit-"&amp;B8&amp;"-modal.component.less"</f>
        <v>create-or-edit-enginemodel-modal.component.less</v>
      </c>
      <c r="N14" s="37" t="str">
        <f>B8&amp;".module.ts"</f>
        <v>enginemodel.module.ts</v>
      </c>
      <c r="O14" s="37" t="str">
        <f>B8&amp;"-routing.module.ts"</f>
        <v>enginemodel-routing.module.ts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363</v>
      </c>
      <c r="B15" s="28" t="str">
        <f t="shared" ref="B15" si="0">SUBSTITUTE(PROPER(A15),"_","")</f>
        <v>Code</v>
      </c>
      <c r="C15" s="28" t="str">
        <f t="shared" ref="C15" si="1">SUBSTITUTE(PROPER(A15),"_"," ")</f>
        <v>Code</v>
      </c>
      <c r="D15" s="28" t="str">
        <f t="shared" ref="D15" si="2">LOWER(LEFT(B15,1))&amp;RIGHT(B15,LEN(B15) - 1)</f>
        <v>code</v>
      </c>
      <c r="E15" s="28" t="str">
        <f>A.Backend!H9</f>
        <v>string</v>
      </c>
      <c r="F15" s="28" t="str">
        <f>A.Backend!G9</f>
        <v>10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this.l('Code'),headerTooltip: this.l('Code'),field: 'code',flex: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[(ngModel)]='code' name='code'
									class='form-control' [placeholder]="l('Code')"
									type='text' (keyup.enter)='searchDatas()'&gt;
								&lt;/div&gt;</v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title'&gt;Code&lt;/label&gt;
						&lt;input type='text' class='col-md-10 form-control input-text' name='Code' [(ngModel)]='rowdata.code'&gt;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 xml:space="preserve">	code : string = '' ; </v>
      </c>
      <c r="T15" s="28" t="str">
        <f>IF(AND(E15="string",F15 &lt;&gt;"1"),(REPT(CHAR(9),3)&amp;"this."&amp;D14&amp;","),"")</f>
        <v xml:space="preserve">			this.,</v>
      </c>
      <c r="U15" s="28" t="str">
        <f>IF(AND(E15="string",F15 &lt;&gt;"1"),(REPT(CHAR(9),1)&amp;D15&amp;G15),"")</f>
        <v xml:space="preserve">	code : string = '' ; </v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364</v>
      </c>
      <c r="B16" s="28" t="str">
        <f t="shared" ref="B16" si="8">SUBSTITUTE(PROPER(A16),"_","")</f>
        <v>Name</v>
      </c>
      <c r="C16" s="28" t="str">
        <f t="shared" ref="C16" si="9">SUBSTITUTE(PROPER(A16),"_"," ")</f>
        <v>Name</v>
      </c>
      <c r="D16" s="28" t="str">
        <f t="shared" ref="D16" si="10">LOWER(LEFT(B16,1))&amp;RIGHT(B16,LEN(B16) - 1)</f>
        <v>name</v>
      </c>
      <c r="E16" s="28" t="str">
        <f>A.Backend!H10</f>
        <v>string</v>
      </c>
      <c r="F16" s="28" t="str">
        <f>A.Backend!G10</f>
        <v>50</v>
      </c>
      <c r="G16" s="28" t="str">
        <f t="shared" ref="G16" si="11">IF(E16="string"," : string = '' ; ",IF(OR(E16="DateTime",E16="TimeSpan")," : any ;",IF(E16="int"," : number = 0 ;","")))</f>
        <v xml:space="preserve"> : string = '' ; </v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this.l('Name'),headerTooltip: this.l('Name'),field: 'name',flex: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[(ngModel)]='name' name='name'
									class='form-control' [placeholder]="l('Name')"
									type='text' (keyup.enter)='searchDatas()'&gt;
								&lt;/div&gt;</v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title'&gt;Name&lt;/label&gt;
						&lt;input type='text' class='col-md-10 form-control input-text' name='Name' [(ngModel)]='rowdata.name'&gt;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 xml:space="preserve">	name : string = '' ; </v>
      </c>
      <c r="T16" s="28" t="str">
        <f>IF(AND(E16="string",F16 &lt;&gt;"1"),(REPT(CHAR(9),3)&amp;"this."&amp;D15&amp;","),"")</f>
        <v xml:space="preserve">			this.code,</v>
      </c>
      <c r="U16" s="28" t="str">
        <f t="shared" ref="U16" si="16">IF(AND(E16="string",F16 &lt;&gt;"1"),(REPT(CHAR(9),1)&amp;D16&amp;G16),"")</f>
        <v xml:space="preserve">	name : string = '' ; </v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350</v>
      </c>
    </row>
    <row r="6" spans="1:2" x14ac:dyDescent="0.25">
      <c r="A6" t="s">
        <v>23</v>
      </c>
      <c r="B6" t="s">
        <v>349</v>
      </c>
    </row>
    <row r="7" spans="1:2" x14ac:dyDescent="0.25">
      <c r="A7" t="s">
        <v>24</v>
      </c>
      <c r="B7" t="s">
        <v>344</v>
      </c>
    </row>
    <row r="8" spans="1:2" x14ac:dyDescent="0.25">
      <c r="A8" t="s">
        <v>4</v>
      </c>
      <c r="B8" t="s">
        <v>344</v>
      </c>
    </row>
    <row r="9" spans="1:2" x14ac:dyDescent="0.25">
      <c r="A9" t="s">
        <v>0</v>
      </c>
      <c r="B9" t="s">
        <v>345</v>
      </c>
    </row>
    <row r="10" spans="1:2" x14ac:dyDescent="0.25">
      <c r="A10" t="s">
        <v>25</v>
      </c>
      <c r="B10" t="s">
        <v>348</v>
      </c>
    </row>
    <row r="11" spans="1:2" x14ac:dyDescent="0.25">
      <c r="A11" t="s">
        <v>26</v>
      </c>
      <c r="B11" t="s">
        <v>348</v>
      </c>
    </row>
    <row r="12" spans="1:2" x14ac:dyDescent="0.25">
      <c r="A12" t="s">
        <v>27</v>
      </c>
      <c r="B12" t="s">
        <v>348</v>
      </c>
    </row>
    <row r="13" spans="1:2" x14ac:dyDescent="0.25">
      <c r="A13" t="s">
        <v>28</v>
      </c>
      <c r="B13" t="s">
        <v>348</v>
      </c>
    </row>
    <row r="14" spans="1:2" x14ac:dyDescent="0.25">
      <c r="A14" t="s">
        <v>29</v>
      </c>
      <c r="B14" t="s">
        <v>348</v>
      </c>
    </row>
    <row r="15" spans="1:2" x14ac:dyDescent="0.25">
      <c r="A15" t="s">
        <v>30</v>
      </c>
      <c r="B15" t="s">
        <v>348</v>
      </c>
    </row>
    <row r="16" spans="1:2" x14ac:dyDescent="0.25">
      <c r="A16" t="s">
        <v>31</v>
      </c>
      <c r="B16" t="s">
        <v>346</v>
      </c>
    </row>
    <row r="17" spans="1:2" x14ac:dyDescent="0.25">
      <c r="A17" t="s">
        <v>3</v>
      </c>
      <c r="B17" t="s">
        <v>346</v>
      </c>
    </row>
    <row r="18" spans="1:2" x14ac:dyDescent="0.25">
      <c r="A18" t="s">
        <v>33</v>
      </c>
      <c r="B18" t="s">
        <v>346</v>
      </c>
    </row>
    <row r="19" spans="1:2" x14ac:dyDescent="0.25">
      <c r="A19" t="s">
        <v>2</v>
      </c>
      <c r="B19" t="s">
        <v>346</v>
      </c>
    </row>
    <row r="20" spans="1:2" x14ac:dyDescent="0.25">
      <c r="A20" t="s">
        <v>262</v>
      </c>
      <c r="B20" t="s">
        <v>347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2023-09-04T04:14:12Z</dcterms:modified>
</cp:coreProperties>
</file>
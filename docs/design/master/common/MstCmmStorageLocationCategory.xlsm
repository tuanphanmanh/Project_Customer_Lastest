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PROD\docs\design\master\common\"/>
    </mc:Choice>
  </mc:AlternateContent>
  <xr:revisionPtr revIDLastSave="0" documentId="13_ncr:1_{0AF51568-130C-4B82-95C3-9A261A26DA6B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" l="1"/>
  <c r="B17" i="5"/>
  <c r="D17" i="5" s="1"/>
  <c r="L11" i="1"/>
  <c r="G11" i="1"/>
  <c r="F17" i="5" s="1"/>
  <c r="E11" i="1"/>
  <c r="H11" i="1" s="1"/>
  <c r="E17" i="5" s="1"/>
  <c r="D11" i="1"/>
  <c r="T11" i="1" s="1"/>
  <c r="H17" i="5" l="1"/>
  <c r="I17" i="5"/>
  <c r="L17" i="5"/>
  <c r="G17" i="5"/>
  <c r="S17" i="5" s="1"/>
  <c r="U17" i="5"/>
  <c r="T17" i="5"/>
  <c r="K17" i="5"/>
  <c r="V17" i="5"/>
  <c r="N11" i="1"/>
  <c r="M11" i="1"/>
  <c r="W11" i="1"/>
  <c r="O11" i="1"/>
  <c r="J11" i="1"/>
  <c r="I11" i="1"/>
  <c r="V11" i="1"/>
  <c r="P11" i="1"/>
  <c r="B6" i="1"/>
  <c r="C16" i="5" l="1"/>
  <c r="B16" i="5"/>
  <c r="D16" i="5" s="1"/>
  <c r="C15" i="5"/>
  <c r="B15" i="5"/>
  <c r="D15" i="5" s="1"/>
  <c r="T15" i="5" s="1"/>
  <c r="T16" i="5" l="1"/>
  <c r="C18" i="5" l="1"/>
  <c r="B18" i="5"/>
  <c r="D18" i="5" s="1"/>
  <c r="G12" i="1"/>
  <c r="F18" i="5" s="1"/>
  <c r="E12" i="1"/>
  <c r="H12" i="1" s="1"/>
  <c r="E18" i="5" s="1"/>
  <c r="D12" i="1"/>
  <c r="V12" i="1" s="1"/>
  <c r="V18" i="5" l="1"/>
  <c r="H18" i="5"/>
  <c r="T18" i="5"/>
  <c r="K18" i="5"/>
  <c r="W12" i="1"/>
  <c r="J12" i="1"/>
  <c r="I12" i="1"/>
  <c r="O12" i="1"/>
  <c r="N12" i="1"/>
  <c r="M12" i="1"/>
  <c r="P12" i="1"/>
  <c r="T12" i="1"/>
  <c r="G9" i="1"/>
  <c r="F15" i="5" s="1"/>
  <c r="E9" i="1"/>
  <c r="H9" i="1" s="1"/>
  <c r="E15" i="5" s="1"/>
  <c r="D9" i="1"/>
  <c r="V9" i="1" s="1"/>
  <c r="I18" i="5" l="1"/>
  <c r="G18" i="5"/>
  <c r="S18" i="5" s="1"/>
  <c r="U18" i="5"/>
  <c r="L18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4" i="1"/>
  <c r="T13" i="5"/>
  <c r="T7" i="1" l="1"/>
  <c r="W14" i="1"/>
  <c r="G6" i="1" l="1"/>
  <c r="V13" i="5"/>
  <c r="K13" i="5"/>
  <c r="I13" i="5"/>
  <c r="H13" i="5"/>
  <c r="S13" i="5"/>
  <c r="L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2" i="1" s="1"/>
  <c r="L9" i="1" l="1"/>
  <c r="L10" i="1"/>
  <c r="C7" i="1"/>
  <c r="N14" i="1"/>
  <c r="J14" i="1"/>
  <c r="I14" i="1"/>
  <c r="P14" i="1"/>
  <c r="O14" i="1"/>
  <c r="Q7" i="1" l="1"/>
  <c r="M68" i="3" s="1"/>
  <c r="L7" i="1"/>
  <c r="G68" i="3" s="1"/>
  <c r="K68" i="3"/>
  <c r="J68" i="3"/>
  <c r="M14" i="1"/>
  <c r="K1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</authors>
  <commentList>
    <comment ref="A1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S_member:</t>
        </r>
        <r>
          <rPr>
            <sz val="9"/>
            <color indexed="81"/>
            <rFont val="Tahoma"/>
            <charset val="1"/>
          </rPr>
          <t xml:space="preserve">
Toyota Area
Toyota Rental Area</t>
        </r>
      </text>
    </comment>
  </commentList>
</comments>
</file>

<file path=xl/sharedStrings.xml><?xml version="1.0" encoding="utf-8"?>
<sst xmlns="http://schemas.openxmlformats.org/spreadsheetml/2006/main" count="449" uniqueCount="364">
  <si>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</si>
  <si>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</si>
  <si>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</si>
  <si>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</si>
  <si>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</si>
  <si>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</si>
  <si>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</si>
  <si>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</si>
  <si>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</si>
  <si>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</si>
  <si>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</si>
  <si>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</si>
  <si>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</si>
  <si>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</si>
  <si>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</si>
  <si>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</si>
  <si>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</si>
  <si>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</si>
  <si>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</si>
  <si>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</si>
  <si>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</si>
  <si>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</si>
  <si>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</si>
  <si>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</si>
  <si>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</si>
  <si>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</si>
  <si>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</si>
  <si>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</si>
  <si>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</si>
  <si>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</si>
  <si>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</si>
  <si>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</si>
  <si>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</si>
  <si>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</si>
  <si>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</si>
  <si>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</si>
  <si>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</si>
  <si>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</si>
  <si>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</si>
  <si>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</si>
  <si>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</si>
  <si>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</si>
  <si>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</si>
  <si>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</si>
  <si>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</si>
  <si>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</si>
  <si>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</si>
  <si>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</si>
  <si>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</si>
  <si>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</si>
  <si>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</si>
  <si>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</si>
  <si>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</si>
  <si>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</si>
  <si>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</si>
  <si>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</si>
  <si>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</si>
  <si>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</si>
  <si>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</si>
  <si>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</si>
  <si>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</si>
  <si>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</si>
  <si>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</si>
  <si>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</si>
  <si>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</si>
  <si>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</si>
  <si>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</si>
  <si>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</si>
  <si>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</si>
  <si>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</si>
  <si>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</si>
  <si>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</si>
  <si>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</si>
  <si>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</si>
  <si>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</si>
  <si>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</si>
  <si>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</si>
  <si>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</si>
  <si>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</si>
  <si>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</si>
  <si>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</si>
  <si>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</si>
  <si>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</si>
  <si>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</si>
  <si>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</si>
  <si>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</si>
  <si>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</si>
  <si>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</si>
  <si>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</si>
  <si>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</si>
  <si>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</si>
  <si>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</si>
  <si>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</si>
  <si>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</si>
  <si>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</si>
  <si>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</si>
  <si>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</si>
  <si>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</si>
  <si>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</si>
  <si>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</si>
  <si>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</si>
  <si>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</si>
  <si>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</si>
  <si>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</si>
  <si>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</si>
  <si>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</si>
  <si>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</si>
  <si>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</si>
  <si>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</si>
  <si>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</si>
  <si>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</si>
  <si>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</si>
  <si>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</si>
  <si>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</si>
  <si>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</si>
  <si>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</si>
  <si>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</si>
  <si>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</si>
  <si>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</si>
  <si>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</si>
  <si>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</si>
  <si>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</si>
  <si>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</si>
  <si>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</si>
  <si>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</si>
  <si>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</si>
  <si>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</si>
  <si>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</si>
  <si>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</si>
  <si>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</si>
  <si>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</si>
  <si>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</si>
  <si>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</si>
  <si>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</si>
  <si>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</si>
  <si>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</si>
  <si>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</si>
  <si>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</si>
  <si>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</si>
  <si>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</si>
  <si>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</si>
  <si>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</si>
  <si>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</si>
  <si>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</si>
  <si>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</si>
  <si>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</si>
  <si>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</si>
  <si>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</si>
  <si>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</si>
  <si>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</si>
  <si>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</si>
  <si>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</si>
  <si>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</si>
  <si>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</si>
  <si>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</si>
  <si>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</si>
  <si>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</si>
  <si>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</si>
  <si>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</si>
  <si>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</si>
  <si>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</si>
  <si>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</si>
  <si>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</si>
  <si>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</si>
  <si>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</si>
  <si>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</si>
  <si>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</si>
  <si>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</si>
  <si>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</si>
  <si>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</si>
  <si>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</si>
  <si>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</si>
  <si>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</si>
  <si>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</si>
  <si>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</si>
  <si>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</si>
  <si>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</si>
  <si>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</si>
  <si>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</si>
  <si>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</si>
  <si>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</si>
  <si>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</si>
  <si>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</si>
  <si>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</si>
  <si>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</si>
  <si>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</si>
  <si>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</si>
  <si>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</si>
  <si>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</si>
  <si>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</si>
  <si>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</si>
  <si>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</si>
  <si>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</si>
  <si>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</si>
  <si>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</si>
  <si>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</si>
  <si>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</si>
  <si>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</si>
  <si>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</si>
  <si>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</si>
  <si>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</si>
  <si>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</si>
  <si>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</si>
  <si>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</si>
  <si>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</si>
  <si>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</si>
  <si>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</si>
  <si>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</si>
  <si>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</si>
  <si>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</si>
  <si>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</si>
  <si>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</si>
  <si>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</si>
  <si>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</si>
  <si>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</si>
  <si>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</si>
  <si>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</si>
  <si>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</si>
  <si>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</si>
  <si>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</si>
  <si>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</si>
  <si>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</si>
  <si>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</si>
  <si>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</si>
  <si>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</si>
  <si>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</si>
  <si>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</si>
  <si>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</si>
  <si>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</si>
  <si>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</si>
  <si>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</si>
  <si>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</si>
  <si>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</si>
  <si>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</si>
  <si>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</si>
  <si>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</si>
  <si>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</si>
  <si>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</si>
  <si>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</si>
  <si>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</si>
  <si>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</si>
  <si>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</si>
  <si>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</si>
  <si>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</si>
  <si>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</si>
  <si>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</si>
  <si>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</si>
  <si>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</si>
  <si>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</si>
  <si>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</si>
  <si>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</si>
  <si>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</si>
  <si>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</si>
  <si>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</si>
  <si>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</si>
  <si>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</si>
  <si>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</si>
  <si>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</si>
  <si>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</si>
  <si>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</si>
  <si>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</si>
  <si>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</si>
  <si>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</si>
  <si>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</si>
  <si>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</si>
  <si>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</si>
  <si>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</si>
  <si>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</si>
  <si>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</si>
  <si>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</si>
  <si>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</si>
  <si>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</si>
  <si>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</si>
  <si>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</si>
  <si>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</si>
  <si>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</si>
  <si>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</si>
  <si>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</si>
  <si>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</si>
  <si>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</si>
  <si>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</si>
  <si>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</si>
  <si>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</si>
  <si>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</si>
  <si>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</si>
  <si>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</si>
  <si>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</si>
  <si>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</si>
  <si>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</si>
  <si>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</si>
  <si>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</si>
  <si>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</si>
  <si>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</si>
  <si>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</si>
  <si>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</si>
  <si>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</si>
  <si>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</si>
  <si>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</si>
  <si>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</si>
  <si>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</si>
  <si>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</si>
  <si>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</si>
  <si>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</si>
  <si>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</si>
  <si>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</si>
  <si>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</si>
  <si>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</si>
  <si>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</si>
  <si>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</si>
  <si>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</si>
  <si>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</si>
  <si>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</si>
  <si>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</si>
  <si>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</si>
  <si>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</si>
  <si>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</si>
  <si>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</si>
  <si>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</si>
  <si>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</si>
  <si>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</si>
  <si>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</si>
  <si>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</si>
  <si>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</si>
  <si>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</si>
  <si>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</si>
  <si>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</si>
  <si>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</si>
  <si>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</si>
  <si>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</si>
  <si>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</si>
  <si>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</si>
  <si>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</si>
  <si>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</si>
  <si>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</si>
  <si>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</si>
  <si>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</si>
  <si>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</si>
  <si>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</si>
  <si>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</si>
  <si>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</si>
  <si>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</si>
  <si>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</si>
  <si>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</si>
  <si>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</si>
  <si>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</si>
  <si>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</si>
  <si>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</si>
  <si>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</si>
  <si>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</si>
  <si>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</si>
  <si>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</si>
  <si>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</si>
  <si>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</si>
  <si>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</si>
  <si>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</si>
  <si>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</si>
  <si>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nvarchar(4)</t>
  </si>
  <si>
    <t>nvarchar(50)</t>
  </si>
  <si>
    <t>CODE</t>
  </si>
  <si>
    <t>NAME</t>
  </si>
  <si>
    <t>MstCmmStorageLocationCategory</t>
  </si>
  <si>
    <t>StorageLocationCategory</t>
  </si>
  <si>
    <t>Storage Location Category</t>
  </si>
  <si>
    <t>AREA_TYPE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</si>
</sst>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J58" zoomScaleNormal="100" workbookViewId="0">
      <selection activeCell="L71" sqref="L7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351</v>
      </c>
      <c r="F18" s="1" t="s">
        <v>353</v>
      </c>
      <c r="G18" t="s">
        <v>352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338</v>
      </c>
      <c r="G42" t="s">
        <v>338</v>
      </c>
    </row>
    <row r="43" spans="1:8" x14ac:dyDescent="0.25">
      <c r="A43" s="1"/>
      <c r="D43" t="s">
        <v>326</v>
      </c>
      <c r="F43" s="1" t="s">
        <v>332</v>
      </c>
      <c r="G43" t="s">
        <v>339</v>
      </c>
    </row>
    <row r="44" spans="1:8" x14ac:dyDescent="0.25">
      <c r="A44" s="1"/>
      <c r="D44" t="s">
        <v>328</v>
      </c>
      <c r="F44" s="1" t="s">
        <v>333</v>
      </c>
      <c r="G44" t="s">
        <v>340</v>
      </c>
    </row>
    <row r="45" spans="1:8" x14ac:dyDescent="0.25">
      <c r="A45" s="1"/>
      <c r="D45" t="s">
        <v>327</v>
      </c>
      <c r="F45" s="1" t="s">
        <v>334</v>
      </c>
      <c r="G45" t="s">
        <v>341</v>
      </c>
    </row>
    <row r="46" spans="1:8" x14ac:dyDescent="0.25">
      <c r="A46" s="1"/>
      <c r="D46" t="s">
        <v>330</v>
      </c>
      <c r="F46" s="1" t="s">
        <v>335</v>
      </c>
      <c r="G46" t="s">
        <v>342</v>
      </c>
    </row>
    <row r="47" spans="1:8" x14ac:dyDescent="0.25">
      <c r="A47" s="1"/>
      <c r="D47" t="s">
        <v>348</v>
      </c>
      <c r="F47" s="1" t="s">
        <v>349</v>
      </c>
      <c r="G47" t="s">
        <v>350</v>
      </c>
    </row>
    <row r="48" spans="1:8" x14ac:dyDescent="0.25">
      <c r="A48" s="1"/>
      <c r="D48" t="s">
        <v>331</v>
      </c>
      <c r="F48" s="1" t="s">
        <v>336</v>
      </c>
      <c r="G48" t="s">
        <v>343</v>
      </c>
    </row>
    <row r="49" spans="1:7" x14ac:dyDescent="0.25">
      <c r="A49" s="1"/>
      <c r="D49" t="s">
        <v>329</v>
      </c>
      <c r="F49" s="1" t="s">
        <v>337</v>
      </c>
      <c r="G49" t="s">
        <v>344</v>
      </c>
    </row>
    <row r="50" spans="1:7" x14ac:dyDescent="0.25">
      <c r="A50" s="1"/>
      <c r="D50" t="s">
        <v>345</v>
      </c>
      <c r="F50" s="1" t="s">
        <v>346</v>
      </c>
      <c r="G50" t="s">
        <v>347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[Table("MstCmmStorageLocationCategory")]
	[Index(nameof(Code), Name="IX_MstCmmStorageLocationCategory_Code")]
	[Index(nameof(IsActive), Name="IX_MstCmmStorageLocationCategory_IsActive")]	public class MstCmmStorageLocationCategory: FullAuditedEntity&lt;long&gt;, IEntity&lt;long&gt;	
	{
		public const int MaxCodeLength = 4;
		public const int MaxNameLength = 50;
		public const int MaxAreaTypeLength = 50;
		public const int MaxIsActiveLength = 1;
		[StringLength(MaxCodeLength)]
		public virtual string Code { get; set; }
		[StringLength(MaxNameLength)]
		public virtual string Name { get; set; }
		[StringLength(MaxAreaTypeLength)]
		public virtual string AreaType { get; set; }
		[StringLength(MaxIsActiveLength)]
		public virtual string IsActive { get; set; }
	}
}
</v>
      </c>
      <c r="D68" s="48" t="str">
        <f>A.Backend!O7</f>
        <v xml:space="preserve">		public const string Pages_Master_Common_StorageLocationCategory = "Pages.Master.Common.StorageLocationCategory";
		public const string Pages_Master_Common_StorageLocationCategory_CreateEdit = "Pages.Master.Common.StorageLocationCategory.CreateEdit";
		public const string Pages_Master_Common_StorageLocationCategory_Delete = "Pages.Master.Common.StorageLocationCategory.Delete";
</v>
      </c>
      <c r="E68" s="48" t="str">
        <f>A.Backend!N7</f>
        <v xml:space="preserve">		var perMstCmmStorageLocationCategory = PARENTS.CreateChildPermission(AppPermissions.Pages_Master_Common_StorageLocationCategory, L( "MasterCommonStorageLocationCategory"), multiTenancySides: MultiTenancySides.Tenant);
		perMstCmmStorageLocationCategory.CreateChildPermission(AppPermissions.Pages_Master_Common_StorageLocationCategory_CreateEdit, L( "MasterCommonStorageLocationCategoryCreateEdit"), multiTenancySides: MultiTenancySides.Tenant);
		perMstCmmStorageLocationCategory.CreateChildPermission(AppPermissions.Pages_Master_Common_StorageLocationCategory_Delete, L( "MasterCommonStorageLocationCategoryDelete"), multiTenancySides: MultiTenancySides.Tenant);</v>
      </c>
      <c r="F68" s="48" t="str">
        <f>A.Backend!K7</f>
        <v>public virtual DbSet&lt;MstCmmStorageLocationCategory&gt; MstCmmStorageLocationCategorys { get; set; }</v>
      </c>
      <c r="G68" s="48" t="str">
        <f ca="1">A.Backend!L7</f>
        <v xml:space="preserve">namespace prod.Master.Common
{
	public class MstCmmStorageLocationCategoryConsts	
	{
		public const int MaxCodeLength = 4;
		public const int MaxNameLength = 50;
		public const int MaxAreaTypeLength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MstCmmStorageLocationCategoryDto : EntityDto&lt;long?&gt;	
	{
		public virtual string Code { get; set; }
		public virtual string Name { get; set; }
		public virtual string AreaType { get; set; }
		public virtual string IsActive { get; set; }
	}
	public class CreateOrEditMstCmmStorageLocationCategoryDto : EntityDto&lt;long?&gt;	
	{
		[StringLength(MstCmmStorageLocationCategoryConsts.MaxCodeLength)]
		public virtual string Code { get; set; }
		[StringLength(MstCmmStorageLocationCategoryConsts.MaxNameLength)]
		public virtual string Name { get; set; }
		[StringLength(MstCmmStorageLocationCategoryConsts.MaxAreaTypeLength)]
		public virtual string AreaType { get; set; }
		[StringLength(MstCmmStorageLocationCategoryConsts.MaxIsActiveLength)]
		public virtual string IsActive { get; set; }
	}
	public class GetMstCmmStorageLocationCategoryInput : PagedAndSortedResultRequestDto	
	{
		public virtual string Code { get; set; }
		public virtual string Name { get; set; }
		public virtual string AreaType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MstCmmStorageLocationCategoryExportInput{
		public virtual string Code { get; set; }
		public virtual string Name { get; set; }
		public virtual string AreaType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IMstCmmStorageLocationCategoryAppService : IApplicationService
	{
		Task&lt;PagedResultDto&lt;MstCmmStorageLocationCategoryDto&gt;&gt; GetAll(GetMstCmmStorageLocationCategoryInput input);
		Task CreateOrEdit(CreateOrEditMstCmmStorageLocationCategoryDto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IMstCmmStorageLocationCategoryExcelExporter : IApplicationService
	{
		FileDto ExportToFile(List&lt;MstCmmStorageLocationCategoryDto&gt; mstcmmstoragelocationcategory);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MstCmmStorageLocationCategoryExcelExporter : NpoiExcelExporterBase, IMstCmmStorageLocationCategoryExcelExporter
    {
        public MstCmmStorageLocationCategoryExcelExporter(ITempFileCacheManager tempFileCacheManager) : base(tempFileCacheManager) { }
        public FileDto ExportToFile(List&lt;MstCmmStorageLocationCategoryDto&gt; storagelocationcategory)
        {
            return CreateExcelPackage(
				"MasterCommonStorageLocationCategory.xlsx",
				excelPackage =&gt;
				 {
					var sheet = excelPackage.CreateSheet("StorageLocationCategory");
					AddHeader(
								sheet,
								("Code"),
								("Name"),
								("AreaType"),
								("IsActive"),
							   );
					AddObjects(
						 sheet, 1, storagelocationcategory,                                       
								_ =&gt; _.Code,
								_ =&gt; _.Name,
								_ =&gt; _.AreaType,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[AbpAuthorize(AppPermissions.Pages_Master_Common_StorageLocationCategory)]
    public class MstCmmStorageLocationCategoryAppService : vovinaAppServiceBase, IMstCmmStorageLocationCategoryAppService
    {
        private readonly IDapperRepository&lt;MstCmmStorageLocationCategory, long&gt; _dapperRepo;
        private readonly IRepository&lt;MstCmmStorageLocationCategory, long&gt; _repo;
        private readonly IMstCmmStorageLocationCategoryExcelExporter _calendarListExcelExporter;
        public MstCmmStorageLocationCategoryAppService(IRepository&lt;MstCmmStorageLocationCategory,long&gt; repo, 
                                         IDapperRepository&lt;MstCmmStorageLocationCategory,long&gt; dapperRepo,
                                        IMstCmmStorageLocationCategoryExcelExporter calendarListExcelExporter
            )
        {
            _repo = repo;
            _dapperRepo = dapperRepo;
            _calendarListExcelExporter = calendarListExcelExporter;
        }
        [AbpAuthorize(AppPermissions.Pages_Master_Common_StorageLocationCategory_CreateEdit)]
        public async Task CreateOrEdit(CreateOrEditMstCmmStorageLocationCategoryDto input)
        {
            if (input.Id == null) await Create(input);
            else await Update(input);
        }
        //CREATE
        private async Task Create(CreateOrEditMstCmmStorageLocationCategoryDto input)
        {          
            var mainObj = ObjectMapper.Map&lt;MstCmmStorageLocationCategory&gt;(input);
            await CurrentUnitOfWork.GetDbContext&lt;vovinaDbContext&gt;().AddAsync(mainObj);
        }
        // EDIT
        private async Task Update(CreateOrEditMstCmmStorageLocationCategoryDto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[AbpAuthorize(AppPermissions.Pages_Master_Common_StorageLocationCategory_Delete)]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Task&lt;PagedResultDto&lt;MstCmmStorageLocationCategoryDto&gt;&gt; GetAll(GetMstCmmStorageLocationCategoryInput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.WhereIf(!string.IsNullOrWhiteSpace(input.AreaType), e =&gt; e.AreaType.Contains(input.AreaType))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MstCmmStorageLocationCategoryDto
                        {
							Id = o.Id,
							Code = o.Code,
							Name = o.Name,
							AreaType = o.AreaType,
							IsActive = o.IsActive,
                        };
            var totalCount = await filtered.CountAsync();
			var paged = system.PageBy(input);
            return new PagedResultDto&lt;MstCmmStorageLocationCategoryDto&gt;(
                totalCount,
                 await paged.ToListAsync()
            );
        }
        public async Task&lt;FileDto&gt; GetStorageLocationCategoryToExcel(MstCmmStorageLocationCategoryExportInput input)
        {
            var query = from o in _repo.GetAll()
                        select new MstCmmStorageLocationCategoryDto
                        {
							Id = o.Id,
							Code = o.Code,
							Name = o.Name,
							AreaType = o.AreaType,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_dapperRepo.ExecuteAsync(MstCmmStorageLocationCategoryConsts.SP_MST_WPT_CALENDAR_GENERATE);
       // }
    }
}</v>
      </c>
      <c r="N68" s="58" t="str">
        <f>A.Backend!U7</f>
        <v xml:space="preserve">  configuration.CreateMap&lt;MstCmmStorageLocationCategoryDto, MstCmmStorageLocationCategory&gt;();
  configuration.CreateMap&lt;MstCmmStorageLocationCategory, MstCmmStorageLocationCategoryDto&gt;();
  configuration.CreateMap&lt;CreateOrEditMstCmmStorageLocationCategoryDto, MstCmmStorageLocationCategory&gt;();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storagelocationcategory</v>
      </c>
      <c r="C73" s="66" t="str">
        <f>"create folder " &amp;B73</f>
        <v>create folder storagelocationcategory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storagelocationcategory.component.ts</v>
      </c>
      <c r="D74" s="28" t="str">
        <f>B.Frontend!I14</f>
        <v>storagelocationcategory.component.html</v>
      </c>
      <c r="E74" s="28" t="str">
        <f>B.Frontend!J14</f>
        <v>storagelocationcategory.component.less</v>
      </c>
      <c r="F74" s="28" t="str">
        <f>B.Frontend!K14</f>
        <v>create-or-edit-storagelocationcategory-modal.component.html</v>
      </c>
      <c r="G74" s="28" t="str">
        <f>B.Frontend!L14</f>
        <v>create-or-edit-storagelocationcategory-modal.component.ts</v>
      </c>
      <c r="H74" s="28" t="str">
        <f>B.Frontend!M14</f>
        <v>create-or-edit-storagelocationcategory-modal.component.less</v>
      </c>
      <c r="I74" s="28" t="str">
        <f>B.Frontend!N14</f>
        <v>storagelocationcategory.module.ts</v>
      </c>
      <c r="J74" s="28" t="str">
        <f>B.Frontend!O14</f>
        <v>storagelocationcategory-routing.module.ts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MstCmmStorageLocationCategoryDto, MstCmmStorageLocationCategoryServiceProxy } from '@shared/service-proxies/service-proxies';
import { finalize } from 'rxjs/internal/operators/finalize';
import { CreateOrEditStorageLocationCategoryModalComponent } from './create-or-edit-storagelocationcategory-modal.component';
import { DatePipe } from '@angular/common';
import { FileDownloadService } from '@shared/utils/file-download.service';
import ceil from 'lodash-es/ceil';
import { Paginator } from 'primeng/paginator';
@Component({
    templateUrl: './storagelocationcategory.component.html',
    styleUrls: ['./storagelocationcategory.component.less'],
})
export class StorageLocationCategoryComponent extends AppComponentBase implements OnInit {
    @ViewChild('createOrEditModalStorageLocationCategory', { static: true }) createOrEditModalStorageLocationCategory:| CreateOrEditStorageLocationCategoryModalComponent|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MstCmmStorageLocationCategoryDto = new MstCmmStorageLocationCategoryDto();
    saveSelectedRow: MstCmmStorageLocationCategoryDto = new MstCmmStorageLocationCategoryDto();
    datas: MstCmmStorageLocationCategoryDto = new MstCmmStorageLocationCategoryDto();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areaType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MstCmmStorageLocationCategoryServiceProxy,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this.l('Area Type'),headerTooltip: this.l('Area Type'),field: 'areaType',flex: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this.areaType,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this.areaType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this.areaType,
			this.isActive,
			'',
            this.paginationParams.skipCount,
            this.paginationParams.pageSize
        );
    }
    onChangeRowSelection(params: { api: { getSelectedRows: () =&gt; MstCmmStorageLocationCategoryDto[] } }) {
        this.saveSelectedRow = params.api.getSelectedRows()[0] ?? new MstCmmStorageLocationCategoryDto();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MstCmmStorageLocationCategoryDto):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this._service.getStorageLocationCategoryToExcel(
			this.code,
			this.name,
			this.areaType,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Storage Location Category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[(ngModel)]='areaType' name='areaType'
									class='form-control' [placeholder]="l('Area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(click)="createOrEditModalStorageLocationCategory.show()"&gt;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(click)="createOrEditModalStorageLocationCategory.show(selectedRow)"&gt;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&lt;create-or-edit-storagelocationcategory-modal
    #createOrEditModalStorageLocationCategory
    (modalSave)="callBackDataGrid(dataParams)"
    (modalClose)="onChangeRowSelection(dataParams)"
&gt;
&lt;/create-or-edit-storagelocationcategory-modal&gt;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#createOrEditModalStorageLocationCategory="bs-modal"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StorageLocationCategory')}}&lt;/h3&gt;
                    &lt;h3 *ngIf="!rowdata.id"&gt;{{('Create New StorageLocationCategory')}}&lt;/h3&gt;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title'&gt;Area Type&lt;/label&gt;
						&lt;input type='text' class='col-md-10 form-control input-text' name='AreaType' [(ngModel)]='rowdata.areaType'&gt;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CreateOrEditMstCmmStorageLocationCategoryDto, MstCmmStorageLocationCategoryServiceProxy } from '@shared/service-proxies/service-proxies';
import { BsDatepickerDirective } from 'ngx-bootstrap/datepicker';
@Component({
    selector: 'create-or-edit-storagelocationcategory-modal',
    templateUrl: './create-or-edit-storagelocationcategory-modal.component.html',
    styleUrls: ['./create-or-edit-storagelocationcategory-modal.component.less']
    })
export class CreateOrEditStorageLocationCategoryModalComponent extends AppComponentBase {
    @ViewChild('createOrEditModalStorageLocationCategory',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CreateOrEditMstCmmStorageLocationCategoryDto = new CreateOrEditMstCmmStorageLocationCategoryDto();
    active: boolean = false;
    saving: boolean = false;
    _isActive: boolean;
    constructor(
        injector: Injector,
        private _mstwptStorageLocationCategoryService: MstCmmStorageLocationCategoryServiceProxy,
    ) 
    {
        super(injector);
    }
    show(rowdata?: CreateOrEditMstCmmStorageLocationCategoryDto): void {
        if (!rowdata) this.rowdata = new CreateOrEditMstCmmStorageLocationCategoryDto();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this._mstwptStorageLocationCategoryService.createOrEdit(this.rowdata)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StorageLocationCategoryRoutingModule } from './storagelocationcategory-routing.module';
import { StorageLocationCategoryComponent } from './storagelocationcategory.component';
import { CreateOrEditStorageLocationCategoryModalComponent } from './create-or-edit-storagelocationcategory-modal.component';
@NgModule({
    declarations: [
       StorageLocationCategoryComponent, 
        CreateOrEditStorageLocationCategoryModalComponent
    ],
    imports: [
        AppSharedModule, StorageLocationCategoryRoutingModule]
})
export class StorageLocationCategoryModule {}</v>
      </c>
      <c r="J75" s="46" t="str">
        <f>B.Frontend!O10</f>
        <v>import {NgModule} from '@angular/core';
import {RouterModule, Routes} from '@angular/router';
import { StorageLocationCategoryComponent } from './storagelocationcategory.component';
const routes: Routes = [{
    path: '',
    component: StorageLocationCategoryComponent,
    pathMatch: 'full'
}];
@NgModule({
    imports: [RouterModule.forChild(routes)],
    exports: [RouterModule],
})
export class StorageLocationCategoryRoutingModule {}</v>
      </c>
      <c r="K75" s="46" t="str">
        <f>B.Frontend!P10</f>
        <v xml:space="preserve"> new AppMenuItem("StorageLocationCategory", "Pages.Master.Common.StorageLocationCategory", "flaticon-book",   "/app/main/master/common/storagelocationcategory"),</v>
      </c>
      <c r="L75" s="47" t="str">
        <f>B.Frontend!Q10</f>
        <v>{
    path: 'master/common/storagelocationcategory',
    loadChildren: () =&gt; import('./master/common/storagelocationcategory/storagelocationcategory.module').then(m =&gt; m.StorageLocationCategoryModule),
    data: { permission: 'Pages.Master.Common.StorageLocationCategory' }
},</v>
      </c>
      <c r="M75" s="45" t="str">
        <f>B.Frontend!R10</f>
        <v>ApiServiceProxies.MstCmmStorageLocationCategoryServiceProxy,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topLeftCell="A115" workbookViewId="0">
      <pane xSplit="1" topLeftCell="B1" activePane="topRight" state="frozen"/>
      <selection pane="topRight" activeCell="B10" sqref="B10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354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43</v>
      </c>
      <c r="D3" s="9" t="s">
        <v>44</v>
      </c>
      <c r="E3" s="9" t="s">
        <v>39</v>
      </c>
      <c r="F3" s="10" t="str">
        <f>"J"&amp;COUNTA($A:$A)</f>
        <v>J12</v>
      </c>
      <c r="G3" s="4" t="s">
        <v>57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56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MstCmmStorageLocationCategoryExportInput{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MstCmmStorageLocationCategory: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MstCmmStorageLocationCategoryConsts	
	{
</v>
      </c>
      <c r="F6" s="10" t="str">
        <f>REPT(CHAR(9),1)&amp;"public class "&amp;B3&amp;"Dto"&amp;K3&amp;REPT(CHAR(9),1)&amp;"
"&amp;REPT(CHAR(9),1)&amp;C3</f>
        <v xml:space="preserve">	public class MstCmmStorageLocationCategoryDto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CreateOrEditMstCmmStorageLocationCategoryDto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GetMstCmmStorageLocationCategoryInput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MstCmmStorageLocationCategory</v>
      </c>
      <c r="C7" s="10" t="str">
        <f>REPT(CHAR(9),1)&amp;"[Table("""&amp;B7&amp;""")]"&amp;"
"</f>
        <v xml:space="preserve">	[Table("MstCmmStorageLocationCategory")]
</v>
      </c>
      <c r="D7" s="10"/>
      <c r="E7" s="10"/>
      <c r="F7" s="10"/>
      <c r="G7" s="10"/>
      <c r="H7" s="10"/>
      <c r="I7" s="10"/>
      <c r="J7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[Table("MstCmmStorageLocationCategory")]
	[Index(nameof(Code), Name="IX_MstCmmStorageLocationCategory_Code")]
	[Index(nameof(IsActive), Name="IX_MstCmmStorageLocationCategory_IsActive")]	public class MstCmmStorageLocationCategory: FullAuditedEntity&lt;long&gt;, IEntity&lt;long&gt;	
	{
		public const int MaxCodeLength = 4;
		public const int MaxNameLength = 50;
		public const int MaxAreaTypeLength = 50;
		public const int MaxIsActiveLength = 1;
		[StringLength(MaxCodeLength)]
		public virtual string Code { get; set; }
		[StringLength(MaxNameLength)]
		public virtual string Name { get; set; }
		[StringLength(MaxAreaTypeLength)]
		public virtual string AreaType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DbSet&lt;MstCmmStorageLocationCategory&gt; MstCmmStorageLocationCategorys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prod.Master.Common
{
	public class MstCmmStorageLocationCategoryConsts	
	{
		public const int MaxCodeLength = 4;
		public const int MaxNameLength = 50;
		public const int MaxAreaTypeLength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prod.Master.Common.Dto
{
	public class MstCmmStorageLocationCategoryDto : EntityDto&lt;long?&gt;	
	{
		public virtual string Code { get; set; }
		public virtual string Name { get; set; }
		public virtual string AreaType { get; set; }
		public virtual string IsActive { get; set; }
	}
	public class CreateOrEditMstCmmStorageLocationCategoryDto : EntityDto&lt;long?&gt;	
	{
		[StringLength(MstCmmStorageLocationCategoryConsts.MaxCodeLength)]
		public virtual string Code { get; set; }
		[StringLength(MstCmmStorageLocationCategoryConsts.MaxNameLength)]
		public virtual string Name { get; set; }
		[StringLength(MstCmmStorageLocationCategoryConsts.MaxAreaTypeLength)]
		public virtual string AreaType { get; set; }
		[StringLength(MstCmmStorageLocationCategoryConsts.MaxIsActiveLength)]
		public virtual string IsActive { get; set; }
	}
	public class GetMstCmmStorageLocationCategoryInput : PagedAndSortedResultRequestDto	
	{
		public virtual string Code { get; set; }
		public virtual string Name { get; set; }
		public virtual string AreaType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perMstCmmStorageLocationCategory = PARENTS.CreateChildPermission(AppPermissions.Pages_Master_Common_StorageLocationCategory, L( "MasterCommonStorageLocationCategory"), multiTenancySides: MultiTenancySides.Tenant);
		perMstCmmStorageLocationCategory.CreateChildPermission(AppPermissions.Pages_Master_Common_StorageLocationCategory_CreateEdit, L( "MasterCommonStorageLocationCategoryCreateEdit"), multiTenancySides: MultiTenancySides.Tenant);
		perMstCmmStorageLocationCategory.CreateChildPermission(AppPermissions.Pages_Master_Common_StorageLocationCategory_Delete, L( "MasterCommonStorageLocationCategoryDelete"),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Pages_Master_Common_StorageLocationCategory = "Pages.Master.Common.StorageLocationCategory";
		public const string Pages_Master_Common_StorageLocationCategory_CreateEdit = "Pages.Master.Common.StorageLocationCategory.CreateEdit";
		public const string Pages_Master_Common_StorageLocationCategory_Delete = "Pages.Master.Common.StorageLocationCategory.Delete";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IMstCmmStorageLocationCategoryAppService : IApplicationService
	{
		Task&lt;PagedResultDto&lt;MstCmmStorageLocationCategoryDto&gt;&gt; GetAll(GetMstCmmStorageLocationCategoryInput input);
		Task CreateOrEdit(CreateOrEditMstCmmStorageLocationCategoryDto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[AbpAuthorize(AppPermissions.Pages_Master_Common_StorageLocationCategory)]
    public class MstCmmStorageLocationCategoryAppService : vovinaAppServiceBase, IMstCmmStorageLocationCategoryAppService
    {
        private readonly IDapperRepository&lt;MstCmmStorageLocationCategory, long&gt; _dapperRepo;
        private readonly IRepository&lt;MstCmmStorageLocationCategory, long&gt; _repo;
        private readonly IMstCmmStorageLocationCategoryExcelExporter _calendarListExcelExporter;
        public MstCmmStorageLocationCategoryAppService(IRepository&lt;MstCmmStorageLocationCategory,long&gt; repo, 
                                         IDapperRepository&lt;MstCmmStorageLocationCategory,long&gt; dapperRepo,
                                        IMstCmmStorageLocationCategoryExcelExporter calendarListExcelExporter
            )
        {
            _repo = repo;
            _dapperRepo = dapperRepo;
            _calendarListExcelExporter = calendarListExcelExporter;
        }
        [AbpAuthorize(AppPermissions.Pages_Master_Common_StorageLocationCategory_CreateEdit)]
        public async Task CreateOrEdit(CreateOrEditMstCmmStorageLocationCategoryDto input)
        {
            if (input.Id == null) await Create(input);
            else await Update(input);
        }
        //CREATE
        private async Task Create(CreateOrEditMstCmmStorageLocationCategoryDto input)
        {          
            var mainObj = ObjectMapper.Map&lt;MstCmmStorageLocationCategory&gt;(input);
            await CurrentUnitOfWork.GetDbContext&lt;vovinaDbContext&gt;().AddAsync(mainObj);
        }
        // EDIT
        private async Task Update(CreateOrEditMstCmmStorageLocationCategoryDto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[AbpAuthorize(AppPermissions.Pages_Master_Common_StorageLocationCategory_Delete)]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Task&lt;PagedResultDto&lt;MstCmmStorageLocationCategoryDto&gt;&gt; GetAll(GetMstCmmStorageLocationCategoryInput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.WhereIf(!string.IsNullOrWhiteSpace(input.AreaType), e =&gt; e.AreaType.Contains(input.AreaType))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MstCmmStorageLocationCategoryDto
                        {
							Id = o.Id,
							Code = o.Code,
							Name = o.Name,
							AreaType = o.AreaType,
							IsActive = o.IsActive,
                        };
            var totalCount = await filtered.CountAsync();
			var paged = system.PageBy(input);
            return new PagedResultDto&lt;MstCmmStorageLocationCategoryDto&gt;(
                totalCount,
                 await paged.ToListAsync()
            );
        }
        public async Task&lt;FileDto&gt; GetStorageLocationCategoryToExcel(MstCmmStorageLocationCategoryExportInput input)
        {
            var query = from o in _repo.GetAll()
                        select new MstCmmStorageLocationCategoryDto
                        {
							Id = o.Id,
							Code = o.Code,
							Name = o.Name,
							AreaType = o.AreaType,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_dapperRepo.ExecuteAsync(MstCmmStorageLocationCategoryConsts.SP_MST_WPT_CALENDAR_GENERATE);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prod.Master.Common.Dto
{
	public class MstCmmStorageLocationCategoryExportInput{
		public virtual string Code { get; set; }
		public virtual string Name { get; set; }
		public virtual string AreaType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IMstCmmStorageLocationCategoryExcelExporter : IApplicationService
	{
		FileDto ExportToFile(List&lt;MstCmmStorageLocationCategoryDto&gt; mstcmmstoragelocationcategory);
	}
}
</v>
      </c>
      <c r="T7" s="26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MstCmmStorageLocationCategoryExcelExporter : NpoiExcelExporterBase, IMstCmmStorageLocationCategoryExcelExporter
    {
        public MstCmmStorageLocationCategoryExcelExporter(ITempFileCacheManager tempFileCacheManager) : base(tempFileCacheManager) { }
        public FileDto ExportToFile(List&lt;MstCmmStorageLocationCategoryDto&gt; storagelocationcategory)
        {
            return CreateExcelPackage(
				"MasterCommonStorageLocationCategory.xlsx",
				excelPackage =&gt;
				 {
					var sheet = excelPackage.CreateSheet("StorageLocationCategory");
					AddHeader(
								sheet,
								("Code"),
								("Name"),
								("AreaType"),
								("IsActive"),
							   );
					AddObjects(
						 sheet, 1, storagelocationcategory,                                       
								_ =&gt; _.Code,
								_ =&gt; _.Name,
								_ =&gt; _.AreaType,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configuration.CreateMap&lt;MstCmmStorageLocationCategoryDto, MstCmmStorageLocationCategory&gt;();
  configuration.CreateMap&lt;MstCmmStorageLocationCategory, MstCmmStorageLocationCategoryDto&gt;();
  configuration.CreateMap&lt;CreateOrEditMstCmmStorageLocationCategoryDto, MstCmmStorageLocationCategory&gt;();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358</v>
      </c>
      <c r="B9" t="s">
        <v>356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Name="IX_MstCmmStorageLocationCategory_Code")]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[StringLength(MstCmmStorageLocationCategoryConsts.MaxCodeLength)]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359</v>
      </c>
      <c r="B10" t="s">
        <v>357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[StringLength(MstCmmStorageLocationCategoryConsts.MaxNameLength)]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8.75" customHeight="1" x14ac:dyDescent="0.25">
      <c r="A11" t="s">
        <v>363</v>
      </c>
      <c r="B11" t="s">
        <v>357</v>
      </c>
      <c r="C11" t="s">
        <v>1</v>
      </c>
      <c r="D11" t="str">
        <f t="shared" ref="D11" si="26">SUBSTITUTE(PROPER(A11),"_","")</f>
        <v>AreaType</v>
      </c>
      <c r="E11" t="str">
        <f t="shared" ref="E11" si="27">IFERROR(LEFT(B11, FIND("(",B11)-1),B11)</f>
        <v>nvarchar</v>
      </c>
      <c r="F11" s="6"/>
      <c r="G11" t="str">
        <f t="shared" ref="G11" si="28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29">IF(H11="string",REPT(CHAR(9),2)&amp;"public const int Max"&amp;D11&amp;"Length = "&amp;G11&amp;";"&amp;$E$3,"" )</f>
        <v xml:space="preserve">		public const int MaxAreaTypeLength = 50;
</v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[StringLength(MaxAreaTypeLength)]
		public virtual string AreaType { get; set; }
</v>
      </c>
      <c r="K11" s="6"/>
      <c r="L11" t="str">
        <f t="shared" ref="L11" si="31">IF(K11="","",REPT(CHAR(9),1)&amp;"[Index(nameof("&amp;IF(D11="","",""&amp;D11)&amp;")"&amp;", Name="&amp;"""IX_"&amp;$B$7&amp;"_"&amp;D11&amp;""")]")</f>
        <v/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string AreaType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[StringLength(MstCmmStorageLocationCategoryConsts.MaxAreaTypeLength)]
		public virtual string AreaType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 xml:space="preserve">		public virtual string AreaType { get; set; }
</v>
      </c>
      <c r="P11" t="str">
        <f t="shared" ref="P11" si="35">REPT(CHAR(9),7)&amp;D11&amp;" = o." &amp;D11 &amp;","</f>
        <v xml:space="preserve">							AreaType = o.AreaType,</v>
      </c>
      <c r="T11" s="64" t="str">
        <f t="shared" ref="T11" si="36">REPT(CHAR(9),8)&amp;"("""&amp;D11&amp;"""),"</f>
        <v xml:space="preserve">								("AreaType"),</v>
      </c>
      <c r="V11" s="65" t="str">
        <f t="shared" ref="V11" si="37">REPT(CHAR(9),8)&amp;"_ =&gt; _."&amp;D11&amp;","</f>
        <v xml:space="preserve">								_ =&gt; _.AreaType,</v>
      </c>
      <c r="W11" s="64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.WhereIf(!string.IsNullOrWhiteSpace(input.AreaType), e =&gt; e.AreaType.Contains(input.AreaType))</v>
      </c>
    </row>
    <row r="12" spans="1:23" customFormat="1" ht="22.5" customHeight="1" x14ac:dyDescent="0.25">
      <c r="A12" t="s">
        <v>324</v>
      </c>
      <c r="B12" t="s">
        <v>355</v>
      </c>
      <c r="C12" t="s">
        <v>1</v>
      </c>
      <c r="D12" t="str">
        <f>SUBSTITUTE(PROPER(A12),"_","")</f>
        <v>IsActive</v>
      </c>
      <c r="E12" t="str">
        <f t="shared" ref="E12" si="39">IFERROR(LEFT(B12, FIND("(",B12)-1),B12)</f>
        <v>nvarchar</v>
      </c>
      <c r="F12" s="6"/>
      <c r="G12" t="str">
        <f t="shared" ref="G12" si="40">IFERROR(MID(B12,FIND("(",B12) +1, FIND(")",B12) - FIND("(",B12) - 1),"")</f>
        <v>1</v>
      </c>
      <c r="H12" t="str">
        <f>+VLOOKUP(E12,'[1]Data Type Mapping'!A:B,2,)</f>
        <v>string</v>
      </c>
      <c r="I12" t="str">
        <f t="shared" ref="I12" si="41">IF(H12="string",REPT(CHAR(9),2)&amp;"public const int Max"&amp;D12&amp;"Length = "&amp;G12&amp;";"&amp;$E$3,"" )</f>
        <v xml:space="preserve">		public const int MaxIsActiveLength = 1;
</v>
      </c>
      <c r="J12" t="str">
        <f t="shared" ref="J12" si="42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[StringLength(MaxIsActiveLength)]
		public virtual string IsActive { get; set; }
</v>
      </c>
      <c r="K12" s="6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Name="IX_MstCmmStorageLocationCategory_IsActive")]</v>
      </c>
      <c r="M12" t="str">
        <f t="shared" ref="M12" si="43">REPT(CHAR(9),2)&amp;"public virtual "&amp;IF(OR(H12="DateTime",H12="TimeSpan"),H12&amp;"?",H12)&amp;IF(C12="?","? "," ")&amp;D12&amp;" { get; set; }" &amp; "
"</f>
        <v xml:space="preserve">		public virtual string IsActive { get; set; }
</v>
      </c>
      <c r="N12" t="str">
        <f t="shared" ref="N12" si="44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[StringLength(MstCmmStorageLocationCategoryConsts.MaxIsActiveLength)]
		public virtual string IsActive { get; set; }
</v>
      </c>
      <c r="O12" t="str">
        <f t="shared" ref="O12" si="45">IF(OR(H12="string",H12="DateTime",H12="int"),REPT(CHAR(9),2)&amp;"public virtual "&amp;IF(OR(H12="DateTime",H12="TimeSpan"),H12&amp;"?",H12)&amp;IF(C12="?","? "," ")&amp;D12&amp;" { get; set; }"&amp;$E$3,"")</f>
        <v xml:space="preserve">		public virtual string IsActive { get; set; }
</v>
      </c>
      <c r="P12" t="str">
        <f t="shared" ref="P12" si="46">REPT(CHAR(9),7)&amp;D12&amp;" = o." &amp;D12 &amp;","</f>
        <v xml:space="preserve">							IsActive = o.IsActive,</v>
      </c>
      <c r="T12" s="64" t="str">
        <f t="shared" ref="T12" si="47">REPT(CHAR(9),8)&amp;"("""&amp;D12&amp;"""),"</f>
        <v xml:space="preserve">								("IsActive"),</v>
      </c>
      <c r="V12" s="65" t="str">
        <f t="shared" ref="V12" si="48">REPT(CHAR(9),8)&amp;"_ =&gt; _."&amp;D12&amp;","</f>
        <v xml:space="preserve">								_ =&gt; _.IsActive,</v>
      </c>
      <c r="W12" s="64" t="str">
        <f t="shared" ref="W12" si="49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.WhereIf(!string.IsNullOrWhiteSpace(input.IsActive), e =&gt; e.IsActive.Contains(input.IsActive))</v>
      </c>
    </row>
    <row r="14" spans="1:23" ht="45.75" customHeight="1" x14ac:dyDescent="0.25">
      <c r="H14" s="11"/>
      <c r="I14" s="31" t="str">
        <f ca="1">TEXTJOIN2("
", TRUE,INDIRECT( $H$1):INDIRECT( $H$3))</f>
        <v xml:space="preserve">		public const int MaxCodeLength = 4;
		public const int MaxNameLength = 50;
		public const int MaxAreaTypeLength = 50;
		public const int MaxIsActiveLength = 1;
</v>
      </c>
      <c r="J14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[StringLength(MaxAreaTypeLength)]
		public virtual string AreaType { get; set; }
		[StringLength(MaxIsActiveLength)]
		public virtual string IsActive { get; set; }
</v>
      </c>
      <c r="K14" s="32" t="str">
        <f ca="1">TEXTJOIN2("
", TRUE,INDIRECT( $J$1):INDIRECT( $J$3))</f>
        <v xml:space="preserve">	[Index(nameof(Code), Name="IX_MstCmmStorageLocationCategory_Code")]
	[Index(nameof(IsActive), Name="IX_MstCmmStorageLocationCategory_IsActive")]</v>
      </c>
      <c r="L14" s="12" t="s">
        <v>60</v>
      </c>
      <c r="M14" s="33" t="str">
        <f ca="1">TEXTJOIN2("
",TRUE,INDIRECT( $L$1):INDIRECT($L$3))</f>
        <v xml:space="preserve">		public virtual string Code { get; set; }
		public virtual string Name { get; set; }
		public virtual string AreaType { get; set; }
		public virtual string IsActive { get; set; }
</v>
      </c>
      <c r="N14" s="30" t="str">
        <f ca="1">TEXTJOIN2("
",TRUE,INDIRECT( $M$1):INDIRECT($M$3))</f>
        <v xml:space="preserve">		[StringLength(MstCmmStorageLocationCategoryConsts.MaxCodeLength)]
		public virtual string Code { get; set; }
		[StringLength(MstCmmStorageLocationCategoryConsts.MaxNameLength)]
		public virtual string Name { get; set; }
		[StringLength(MstCmmStorageLocationCategoryConsts.MaxAreaTypeLength)]
		public virtual string AreaType { get; set; }
		[StringLength(MstCmmStorageLocationCategoryConsts.MaxIsActiveLength)]
		public virtual string IsActive { get; set; }
</v>
      </c>
      <c r="O14" s="30" t="str">
        <f ca="1">TEXTJOIN2("
",TRUE,INDIRECT( $N$1):INDIRECT($N$3))</f>
        <v xml:space="preserve">		public virtual string Code { get; set; }
		public virtual string Name { get; set; }
		public virtual string AreaType { get; set; }
		public virtual string IsActive { get; set; }
</v>
      </c>
      <c r="P14" s="8" t="str">
        <f ca="1">TEXTJOIN2("
",TRUE,INDIRECT( $O$1):INDIRECT($O$3))</f>
        <v xml:space="preserve">							Code = o.Code,
							Name = o.Name,
							AreaType = o.AreaType,
							IsActive = o.IsActive,</v>
      </c>
      <c r="T14" s="8" t="str">
        <f ca="1">TEXTJOIN2("
",TRUE,INDIRECT( $T$2):INDIRECT($T$3))</f>
        <v xml:space="preserve">								("Code"),
								("Name"),
								("AreaType"),
								("IsActive"),</v>
      </c>
      <c r="V14" s="8" t="str">
        <f ca="1">TEXTJOIN2("
",TRUE,INDIRECT( $V$2):INDIRECT($V$3))</f>
        <v xml:space="preserve">								_ =&gt; _.Code,
								_ =&gt; _.Name,
								_ =&gt; _.AreaType,
								_ =&gt; _.IsActive,</v>
      </c>
      <c r="W14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.WhereIf(!string.IsNullOrWhiteSpace(input.AreaType), e =&gt; e.AreaType.Contains(input.AreaType))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workbookViewId="0">
      <selection activeCell="B7" sqref="B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212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MstCmmStorageLocationCategory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StorageLocationCategory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storagelocationcategory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MstCmmStorageLocationCategoryDto, MstCmmStorageLocationCategoryServiceProxy } from '@shared/service-proxies/service-proxies';
import { finalize } from 'rxjs/internal/operators/finalize';
import { CreateOrEditStorageLocationCategoryModalComponent } from './create-or-edit-storagelocationcategory-modal.component';
import { DatePipe } from '@angular/common';
import { FileDownloadService } from '@shared/utils/file-download.service';
import ceil from 'lodash-es/ceil';
import { Paginator } from 'primeng/paginator';
@Component({
    templateUrl: './storagelocationcategory.component.html',
    styleUrls: ['./storagelocationcategory.component.less'],
})
export class StorageLocationCategoryComponent extends AppComponentBase implements OnInit {
    @ViewChild('createOrEditModalStorageLocationCategory', { static: true }) createOrEditModalStorageLocationCategory:| CreateOrEditStorageLocationCategoryModalComponent|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MstCmmStorageLocationCategoryDto = new MstCmmStorageLocationCategoryDto();
    saveSelectedRow: MstCmmStorageLocationCategoryDto = new MstCmmStorageLocationCategoryDto();
    datas: MstCmmStorageLocationCategoryDto = new MstCmmStorageLocationCategoryDto();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areaType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MstCmmStorageLocationCategoryServiceProxy,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this.l('Area Type'),headerTooltip: this.l('Area Type'),field: 'areaType',flex: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this.areaType,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this.areaType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this.areaType,
			this.isActive,
			'',
            this.paginationParams.skipCount,
            this.paginationParams.pageSize
        );
    }
    onChangeRowSelection(params: { api: { getSelectedRows: () =&gt; MstCmmStorageLocationCategoryDto[] } }) {
        this.saveSelectedRow = params.api.getSelectedRows()[0] ?? new MstCmmStorageLocationCategoryDto();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MstCmmStorageLocationCategoryDto):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this._service.getStorageLocationCategoryToExcel(
			this.code,
			this.name,
			this.areaType,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Storage Location Category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[(ngModel)]='areaType' name='areaType'
									class='form-control' [placeholder]="l('Area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(click)="createOrEditModalStorageLocationCategory.show()"&gt;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(click)="createOrEditModalStorageLocationCategory.show(selectedRow)"&gt;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&lt;create-or-edit-storagelocationcategory-modal
    #createOrEditModalStorageLocationCategory
    (modalSave)="callBackDataGrid(dataParams)"
    (modalClose)="onChangeRowSelection(dataParams)"
&gt;
&lt;/create-or-edit-storagelocationcategory-modal&gt;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#createOrEditModalStorageLocationCategory="bs-modal"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StorageLocationCategory')}}&lt;/h3&gt;
                    &lt;h3 *ngIf="!rowdata.id"&gt;{{('Create New StorageLocationCategory')}}&lt;/h3&gt;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title'&gt;Area Type&lt;/label&gt;
						&lt;input type='text' class='col-md-10 form-control input-text' name='AreaType' [(ngModel)]='rowdata.areaType'&gt;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CreateOrEditMstCmmStorageLocationCategoryDto, MstCmmStorageLocationCategoryServiceProxy } from '@shared/service-proxies/service-proxies';
import { BsDatepickerDirective } from 'ngx-bootstrap/datepicker';
@Component({
    selector: 'create-or-edit-storagelocationcategory-modal',
    templateUrl: './create-or-edit-storagelocationcategory-modal.component.html',
    styleUrls: ['./create-or-edit-storagelocationcategory-modal.component.less']
    })
export class CreateOrEditStorageLocationCategoryModalComponent extends AppComponentBase {
    @ViewChild('createOrEditModalStorageLocationCategory',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CreateOrEditMstCmmStorageLocationCategoryDto = new CreateOrEditMstCmmStorageLocationCategoryDto();
    active: boolean = false;
    saving: boolean = false;
    _isActive: boolean;
    constructor(
        injector: Injector,
        private _mstwptStorageLocationCategoryService: MstCmmStorageLocationCategoryServiceProxy,
    ) 
    {
        super(injector);
    }
    show(rowdata?: CreateOrEditMstCmmStorageLocationCategoryDto): void {
        if (!rowdata) this.rowdata = new CreateOrEditMstCmmStorageLocationCategoryDto();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this._mstwptStorageLocationCategoryService.createOrEdit(this.rowdata)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StorageLocationCategoryRoutingModule } from './storagelocationcategory-routing.module';
import { StorageLocationCategoryComponent } from './storagelocationcategory.component';
import { CreateOrEditStorageLocationCategoryModalComponent } from './create-or-edit-storagelocationcategory-modal.component';
@NgModule({
    declarations: [
       StorageLocationCategoryComponent, 
        CreateOrEditStorageLocationCategoryModalComponent
    ],
    imports: [
        AppSharedModule, StorageLocationCategoryRoutingModule]
})
export class StorageLocationCategoryModule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StorageLocationCategoryComponent } from './storagelocationcategory.component';
const routes: Routes = [{
    path: '',
    component: StorageLocationCategoryComponent,
    pathMatch: 'full'
}];
@NgModule({
    imports: [RouterModule.forChild(routes)],
    exports: [RouterModule],
})
export class StorageLocationCategoryRoutingModule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AppMenuItem("StorageLocationCategory", "Pages.Master.Common.StorageLocationCategory", "flaticon-book",   "/app/main/master/common/storagelocationcategory"),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'master/common/storagelocationcategory',
    loadChildren: () =&gt; import('./master/common/storagelocationcategory/storagelocationcategory.module').then(m =&gt; m.StorageLocationCategoryModule),
    data: { permission: 'Pages.Master.Common.StorageLocationCategory' }
},</v>
      </c>
      <c r="R10" s="47" t="str">
        <f>SUBSTITUTE(R9,"MstWptCalendar",$B$6)</f>
        <v>ApiServiceProxies.MstCmmStorageLocationCategoryServiceProxy,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this.l('Area Type'),headerTooltip: this.l('Area Type'),field: 'areaType',flex: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[(ngModel)]='areaType' name='areaType'
									class='form-control' [placeholder]="l('Area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title'&gt;Area Type&lt;/label&gt;
						&lt;input type='text' class='col-md-10 form-control input-text' name='AreaType' [(ngModel)]='rowdata.areaType'&gt;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areaType : string = '' ; 
	isActive : string = '' ; </v>
      </c>
      <c r="T13" s="63" t="str">
        <f ca="1">TEXTJOIN2("
",TRUE,INDIRECT(T11):INDIRECT(T12))</f>
        <v xml:space="preserve">			this.code,
			this.name,
			this.areaType,
			this.isActive,</v>
      </c>
      <c r="U13" s="63" t="str">
        <f ca="1">TEXTJOIN2("
",TRUE,INDIRECT(U11):INDIRECT(U12))</f>
        <v xml:space="preserve">		this.code = '',
		this.name = '',
		this.areaType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storagelocationcategory.component.ts</v>
      </c>
      <c r="I14" s="37" t="str">
        <f>B8&amp;".component.html"</f>
        <v>storagelocationcategory.component.html</v>
      </c>
      <c r="J14" s="36" t="str">
        <f>B8&amp;".component.less"</f>
        <v>storagelocationcategory.component.less</v>
      </c>
      <c r="K14" s="37" t="str">
        <f>"create-or-edit-"&amp;B8&amp;"-modal.component.html"</f>
        <v>create-or-edit-storagelocationcategory-modal.component.html</v>
      </c>
      <c r="L14" s="37" t="str">
        <f>"create-or-edit-"&amp;B8&amp;"-modal.component.ts"</f>
        <v>create-or-edit-storagelocationcategory-modal.component.ts</v>
      </c>
      <c r="M14" s="37" t="str">
        <f>"create-or-edit-"&amp;B8&amp;"-modal.component.less"</f>
        <v>create-or-edit-storagelocationcategory-modal.component.less</v>
      </c>
      <c r="N14" s="37" t="str">
        <f>B8&amp;".module.ts"</f>
        <v>storagelocationcategory.module.ts</v>
      </c>
      <c r="O14" s="37" t="str">
        <f>B8&amp;"-routing.module.ts"</f>
        <v>storagelocationcategory-routing.module.ts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358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4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359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363</v>
      </c>
      <c r="B17" s="28" t="str">
        <f t="shared" ref="B17" si="12">SUBSTITUTE(PROPER(A17),"_","")</f>
        <v>AreaType</v>
      </c>
      <c r="C17" s="28" t="str">
        <f t="shared" ref="C17" si="13">SUBSTITUTE(PROPER(A17),"_"," ")</f>
        <v>Area Type</v>
      </c>
      <c r="D17" s="28" t="str">
        <f t="shared" ref="D17" si="14">LOWER(LEFT(B17,1))&amp;RIGHT(B17,LEN(B17) - 1)</f>
        <v>areaType</v>
      </c>
      <c r="E17" s="28" t="str">
        <f>A.Backend!H11</f>
        <v>string</v>
      </c>
      <c r="F17" s="28" t="str">
        <f>A.Backend!G11</f>
        <v>50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this.l('Area Type'),headerTooltip: this.l('Area Type'),field: 'areaType',flex: 1},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[(ngModel)]='areaType' name='areaType'
									class='form-control' [placeholder]="l('Area Type')"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title'&gt;Area Type&lt;/label&gt;
						&lt;input type='text' class='col-md-10 form-control input-text' name='AreaType' [(ngModel)]='rowdata.areaType'&gt;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areaType : string = '' ; </v>
      </c>
      <c r="T17" s="28" t="str">
        <f t="shared" ref="T17" si="21">REPT(CHAR(9),3)&amp;"this."&amp;D17&amp;","</f>
        <v xml:space="preserve">			this.areaType,</v>
      </c>
      <c r="U17" s="28" t="str">
        <f t="shared" ref="U17" si="22">IF(E17="int",REPT(CHAR(9),2)&amp;"this."&amp;D17&amp;" = 0,",REPT(CHAR(9),2)&amp;"this."&amp;D17&amp;" = '',")</f>
        <v xml:space="preserve">		this.areaType = '',</v>
      </c>
      <c r="V17" s="28" t="str">
        <f t="shared" ref="V17" si="23">IF(AND(E17="string",F17="1"),D17,"")</f>
        <v/>
      </c>
    </row>
    <row r="18" spans="1:22" ht="18" customHeight="1" x14ac:dyDescent="0.25">
      <c r="A18" s="28" t="s">
        <v>324</v>
      </c>
      <c r="B18" s="28" t="str">
        <f t="shared" ref="B18" si="24">SUBSTITUTE(PROPER(A18),"_","")</f>
        <v>IsActive</v>
      </c>
      <c r="C18" s="28" t="str">
        <f t="shared" ref="C18" si="25">SUBSTITUTE(PROPER(A18),"_"," ")</f>
        <v>Is Active</v>
      </c>
      <c r="D18" s="28" t="str">
        <f t="shared" ref="D18" si="26">LOWER(LEFT(B18,1))&amp;RIGHT(B18,LEN(B18) - 1)</f>
        <v>isActive</v>
      </c>
      <c r="E18" s="28" t="str">
        <f>A.Backend!H12</f>
        <v>string</v>
      </c>
      <c r="F18" s="28" t="str">
        <f>A.Backend!G12</f>
        <v>1</v>
      </c>
      <c r="G18" s="28" t="str">
        <f t="shared" ref="G18" si="27">IF(E18="string"," : string = '' ; ",IF(OR(E18="DateTime",E18="TimeSpan")," : any ;",IF(E18="int"," : number = 0 ;","")))</f>
        <v xml:space="preserve"> : string = '' ; </v>
      </c>
      <c r="H18" s="35" t="str">
        <f t="shared" ref="H18" si="28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8" s="35" t="str">
        <f t="shared" ref="I18" si="29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28"/>
      <c r="K18" s="35" t="str">
        <f t="shared" ref="K18" si="30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8" s="56" t="str">
        <f t="shared" ref="L18" si="31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" si="32">REPT(CHAR(9),1)&amp;D18&amp;G18</f>
        <v xml:space="preserve">	isActive : string = '' ; </v>
      </c>
      <c r="T18" s="28" t="str">
        <f t="shared" ref="T18" si="33">REPT(CHAR(9),3)&amp;"this."&amp;D18&amp;","</f>
        <v xml:space="preserve">			this.isActive,</v>
      </c>
      <c r="U18" s="28" t="str">
        <f t="shared" ref="U18" si="34">IF(E18="int",REPT(CHAR(9),2)&amp;"this."&amp;D18&amp;" = 0,",REPT(CHAR(9),2)&amp;"this."&amp;D18&amp;" = '',")</f>
        <v xml:space="preserve">		this.isActive = '',</v>
      </c>
      <c r="V18" s="28" t="str">
        <f t="shared" ref="V18" si="35">IF(AND(E18="string",F18="1"),D18,"")</f>
        <v>isActive</v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2023-05-20T11:57:48Z</dcterms:modified>
</cp:coreProperties>
</file>
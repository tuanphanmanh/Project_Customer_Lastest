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24240" windowHeight="131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5" l="1"/>
  <c r="E19" i="5"/>
  <c r="V19" i="5" s="1"/>
  <c r="C19" i="5"/>
  <c r="B19" i="5"/>
  <c r="D19" i="5" s="1"/>
  <c r="F18" i="5"/>
  <c r="E18" i="5"/>
  <c r="C18" i="5"/>
  <c r="B18" i="5"/>
  <c r="D18" i="5" s="1"/>
  <c r="L13" i="1"/>
  <c r="H13" i="1"/>
  <c r="G13" i="1"/>
  <c r="E13" i="1"/>
  <c r="D13" i="1"/>
  <c r="V13" i="1" s="1"/>
  <c r="L12" i="1"/>
  <c r="G12" i="1"/>
  <c r="E12" i="1"/>
  <c r="H12" i="1" s="1"/>
  <c r="D12" i="1"/>
  <c r="T12" i="1" s="1"/>
  <c r="H19" i="5" l="1"/>
  <c r="G18" i="5"/>
  <c r="U18" i="5" s="1"/>
  <c r="L18" i="5"/>
  <c r="V18" i="5"/>
  <c r="I19" i="5"/>
  <c r="T19" i="5"/>
  <c r="H18" i="5"/>
  <c r="K19" i="5"/>
  <c r="U19" i="5"/>
  <c r="K18" i="5"/>
  <c r="I18" i="5"/>
  <c r="G19" i="5"/>
  <c r="S19" i="5" s="1"/>
  <c r="L19" i="5"/>
  <c r="P13" i="1"/>
  <c r="T13" i="1"/>
  <c r="W13" i="1"/>
  <c r="M12" i="1"/>
  <c r="W12" i="1"/>
  <c r="O12" i="1"/>
  <c r="J12" i="1"/>
  <c r="N12" i="1"/>
  <c r="I12" i="1"/>
  <c r="V12" i="1"/>
  <c r="M13" i="1"/>
  <c r="P12" i="1"/>
  <c r="I13" i="1"/>
  <c r="N13" i="1"/>
  <c r="J13" i="1"/>
  <c r="O13" i="1"/>
  <c r="C16" i="5"/>
  <c r="B16" i="5"/>
  <c r="D16" i="5" s="1"/>
  <c r="B17" i="5"/>
  <c r="D17" i="5" s="1"/>
  <c r="T18" i="5" s="1"/>
  <c r="C17" i="5"/>
  <c r="B20" i="5"/>
  <c r="D20" i="5" s="1"/>
  <c r="C20" i="5"/>
  <c r="C15" i="5"/>
  <c r="B15" i="5"/>
  <c r="D15" i="5" s="1"/>
  <c r="S18" i="5" l="1"/>
  <c r="B7" i="5"/>
  <c r="B6" i="5"/>
  <c r="B2" i="5"/>
  <c r="B8" i="5" l="1"/>
  <c r="B3" i="5"/>
  <c r="B6" i="1" l="1"/>
  <c r="L14" i="1" l="1"/>
  <c r="G14" i="1"/>
  <c r="F20" i="5" s="1"/>
  <c r="E14" i="1"/>
  <c r="H14" i="1" s="1"/>
  <c r="E20" i="5" s="1"/>
  <c r="G20" i="5" s="1"/>
  <c r="D14" i="1"/>
  <c r="V14" i="1" s="1"/>
  <c r="G11" i="1"/>
  <c r="F17" i="5" s="1"/>
  <c r="E11" i="1"/>
  <c r="H11" i="1" s="1"/>
  <c r="E17" i="5" s="1"/>
  <c r="G17" i="5" s="1"/>
  <c r="D11" i="1"/>
  <c r="T11" i="1" s="1"/>
  <c r="K20" i="5" l="1"/>
  <c r="U20" i="5"/>
  <c r="I20" i="5"/>
  <c r="T20" i="5"/>
  <c r="S20" i="5"/>
  <c r="V20" i="5"/>
  <c r="H20" i="5"/>
  <c r="T17" i="5"/>
  <c r="K17" i="5"/>
  <c r="S17" i="5"/>
  <c r="U17" i="5"/>
  <c r="I17" i="5"/>
  <c r="V17" i="5"/>
  <c r="H17" i="5"/>
  <c r="L20" i="5"/>
  <c r="L17" i="5"/>
  <c r="M11" i="1"/>
  <c r="L11" i="1"/>
  <c r="P11" i="1"/>
  <c r="W14" i="1"/>
  <c r="O14" i="1"/>
  <c r="J14" i="1"/>
  <c r="I14" i="1"/>
  <c r="N14" i="1"/>
  <c r="M14" i="1"/>
  <c r="I11" i="1"/>
  <c r="N11" i="1"/>
  <c r="V11" i="1"/>
  <c r="P14" i="1"/>
  <c r="J11" i="1"/>
  <c r="O11" i="1"/>
  <c r="W11" i="1"/>
  <c r="T14" i="1"/>
  <c r="G9" i="1" l="1"/>
  <c r="F15" i="5" s="1"/>
  <c r="E9" i="1"/>
  <c r="H9" i="1" s="1"/>
  <c r="E15" i="5" s="1"/>
  <c r="D9" i="1"/>
  <c r="V9" i="1" s="1"/>
  <c r="K15" i="5" l="1"/>
  <c r="I15" i="5"/>
  <c r="T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G16" i="5" s="1"/>
  <c r="D10" i="1"/>
  <c r="T10" i="1" s="1"/>
  <c r="H16" i="5" l="1"/>
  <c r="S16" i="5"/>
  <c r="U16" i="5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6" i="1"/>
  <c r="T13" i="5"/>
  <c r="T7" i="1" l="1"/>
  <c r="W16" i="1"/>
  <c r="G6" i="1" l="1"/>
  <c r="H13" i="5"/>
  <c r="S13" i="5"/>
  <c r="I13" i="5"/>
  <c r="U13" i="5"/>
  <c r="K13" i="5"/>
  <c r="L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J16" i="1"/>
  <c r="N16" i="1"/>
  <c r="O16" i="1"/>
  <c r="I16" i="1"/>
  <c r="P16" i="1"/>
  <c r="Q7" i="1" l="1"/>
  <c r="M69" i="3" s="1"/>
  <c r="L7" i="1"/>
  <c r="G69" i="3" s="1"/>
  <c r="K69" i="3"/>
  <c r="J69" i="3"/>
  <c r="K16" i="1"/>
  <c r="M16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<sst xmlns="http://schemas.openxmlformats.org/spreadsheetml/2006/main" count="459" uniqueCount="373">
  <si>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</si>
  <si>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</si>
  <si>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</si>
  <si>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</si>
  <si>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</si>
  <si>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</si>
  <si>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</si>
  <si>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</si>
  <si>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</si>
  <si>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</si>
  <si>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</si>
  <si>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</si>
  <si>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</si>
  <si>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</si>
  <si>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</si>
  <si>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</si>
  <si>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</si>
  <si>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</si>
  <si>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</si>
  <si>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</si>
  <si>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</si>
  <si>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</si>
  <si>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</si>
  <si>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</si>
  <si>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</si>
  <si>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</si>
  <si>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</si>
  <si>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</si>
  <si>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</si>
  <si>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</si>
  <si>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</si>
  <si>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</si>
  <si>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</si>
  <si>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</si>
  <si>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</si>
  <si>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</si>
  <si>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</si>
  <si>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</si>
  <si>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</si>
  <si>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</si>
  <si>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</si>
  <si>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</si>
  <si>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</si>
  <si>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</si>
  <si>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</si>
  <si>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</si>
  <si>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</si>
  <si>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</si>
  <si>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</si>
  <si>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</si>
  <si>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</si>
  <si>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</si>
  <si>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</si>
  <si>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</si>
  <si>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</si>
  <si>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</si>
  <si>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</si>
  <si>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</si>
  <si>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</si>
  <si>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</si>
  <si>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</si>
  <si>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</si>
  <si>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</si>
  <si>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</si>
  <si>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</si>
  <si>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</si>
  <si>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</si>
  <si>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</si>
  <si>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</si>
  <si>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</si>
  <si>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</si>
  <si>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</si>
  <si>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</si>
  <si>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</si>
  <si>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</si>
  <si>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</si>
  <si>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</si>
  <si>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</si>
  <si>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</si>
  <si>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</si>
  <si>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</si>
  <si>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</si>
  <si>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</si>
  <si>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</si>
  <si>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</si>
  <si>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</si>
  <si>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</si>
  <si>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</si>
  <si>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</si>
  <si>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</si>
  <si>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</si>
  <si>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</si>
  <si>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</si>
  <si>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</si>
  <si>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</si>
  <si>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</si>
  <si>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</si>
  <si>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</si>
  <si>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</si>
  <si>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</si>
  <si>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</si>
  <si>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</si>
  <si>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</si>
  <si>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</si>
  <si>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</si>
  <si>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</si>
  <si>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</si>
  <si>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</si>
  <si>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</si>
  <si>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</si>
  <si>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</si>
  <si>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</si>
  <si>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</si>
  <si>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</si>
  <si>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</si>
  <si>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</si>
  <si>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</si>
  <si>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</si>
  <si>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</si>
  <si>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</si>
  <si>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</si>
  <si>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</si>
  <si>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</si>
  <si>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</si>
  <si>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</si>
  <si>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</si>
  <si>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</si>
  <si>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</si>
  <si>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</si>
  <si>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</si>
  <si>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</si>
  <si>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</si>
  <si>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</si>
  <si>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</si>
  <si>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</si>
  <si>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</si>
  <si>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</si>
  <si>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</si>
  <si>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</si>
  <si>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</si>
  <si>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</si>
  <si>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</si>
  <si>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</si>
  <si>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</si>
  <si>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</si>
  <si>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</si>
  <si>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</si>
  <si>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</si>
  <si>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</si>
  <si>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</si>
  <si>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</si>
  <si>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</si>
  <si>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</si>
  <si>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</si>
  <si>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</si>
  <si>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</si>
  <si>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</si>
  <si>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</si>
  <si>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</si>
  <si>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</si>
  <si>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</si>
  <si>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</si>
  <si>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</si>
  <si>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</si>
  <si>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</si>
  <si>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</si>
  <si>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</si>
  <si>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</si>
  <si>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</si>
  <si>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</si>
  <si>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</si>
  <si>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</si>
  <si>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</si>
  <si>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</si>
  <si>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</si>
  <si>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</si>
  <si>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</si>
  <si>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</si>
  <si>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</si>
  <si>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</si>
  <si>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</si>
  <si>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</si>
  <si>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</si>
  <si>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</si>
  <si>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</si>
  <si>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</si>
  <si>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</si>
  <si>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</si>
  <si>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</si>
  <si>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</si>
  <si>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</si>
  <si>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</si>
  <si>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</si>
  <si>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</si>
  <si>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</si>
  <si>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</si>
  <si>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</si>
  <si>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</si>
  <si>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</si>
  <si>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</si>
  <si>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</si>
  <si>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</si>
  <si>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</si>
  <si>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</si>
  <si>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</si>
  <si>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</si>
  <si>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</si>
  <si>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</si>
  <si>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</si>
  <si>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</si>
  <si>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</si>
  <si>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</si>
  <si>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</si>
  <si>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</si>
  <si>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</si>
  <si>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</si>
  <si>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</si>
  <si>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</si>
  <si>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</si>
  <si>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</si>
  <si>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</si>
  <si>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</si>
  <si>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</si>
  <si>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</si>
  <si>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</si>
  <si>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</si>
  <si>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</si>
  <si>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</si>
  <si>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</si>
  <si>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</si>
  <si>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</si>
  <si>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</si>
  <si>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</si>
  <si>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</si>
  <si>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</si>
  <si>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</si>
  <si>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</si>
  <si>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</si>
  <si>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</si>
  <si>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</si>
  <si>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</si>
  <si>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</si>
  <si>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</si>
  <si>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</si>
  <si>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</si>
  <si>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</si>
  <si>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</si>
  <si>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</si>
  <si>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</si>
  <si>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</si>
  <si>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</si>
  <si>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</si>
  <si>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</si>
  <si>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</si>
  <si>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</si>
  <si>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</si>
  <si>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</si>
  <si>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</si>
  <si>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</si>
  <si>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</si>
  <si>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</si>
  <si>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</si>
  <si>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</si>
  <si>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</si>
  <si>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</si>
  <si>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</si>
  <si>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</si>
  <si>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</si>
  <si>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</si>
  <si>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</si>
  <si>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</si>
  <si>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</si>
  <si>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</si>
  <si>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</si>
  <si>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</si>
  <si>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</si>
  <si>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</si>
  <si>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</si>
  <si>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</si>
  <si>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</si>
  <si>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</si>
  <si>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</si>
  <si>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</si>
  <si>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</si>
  <si>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</si>
  <si>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</si>
  <si>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</si>
  <si>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</si>
  <si>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</si>
  <si>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</si>
  <si>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</si>
  <si>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</si>
  <si>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</si>
  <si>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</si>
  <si>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</si>
  <si>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</si>
  <si>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</si>
  <si>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</si>
  <si>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</si>
  <si>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</si>
  <si>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</si>
  <si>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</si>
  <si>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</si>
  <si>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</si>
  <si>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</si>
  <si>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</si>
  <si>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</si>
  <si>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</si>
  <si>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</si>
  <si>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</si>
  <si>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</si>
  <si>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</si>
  <si>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</si>
  <si>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</si>
  <si>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</si>
  <si>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</si>
  <si>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</si>
  <si>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</si>
  <si>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</si>
  <si>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</si>
  <si>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</si>
  <si>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</si>
  <si>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</si>
  <si>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</si>
  <si>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</si>
  <si>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</si>
  <si>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</si>
  <si>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</si>
  <si>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</si>
  <si>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</si>
  <si>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</si>
  <si>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</si>
  <si>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</si>
  <si>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</si>
  <si>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</si>
  <si>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</si>
  <si>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</si>
  <si>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</si>
  <si>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</si>
  <si>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</si>
  <si>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</si>
  <si>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</si>
  <si>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</si>
  <si>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</si>
  <si>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</si>
  <si>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</si>
  <si>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</si>
  <si>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</si>
  <si>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</si>
  <si>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</si>
  <si>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</si>
  <si>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</si>
  <si>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</si>
  <si>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</si>
  <si>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</si>
  <si>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</si>
  <si>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</si>
  <si>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</si>
  <si>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</si>
  <si>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nvarchar(10)</t>
  </si>
  <si>
    <t>MstCmmEngineMaster</t>
  </si>
  <si>
    <t>EngineMaster</t>
  </si>
  <si>
    <t>Engine Master</t>
  </si>
  <si>
    <t>MATERIAL_CODE</t>
  </si>
  <si>
    <t>CLASS_TYPE</t>
  </si>
  <si>
    <t>CLASS_NAME</t>
  </si>
  <si>
    <t>TRANSMISSION_TYPE</t>
  </si>
  <si>
    <t>ENGINE_MODEL</t>
  </si>
  <si>
    <t>ENGINE_TYPE</t>
  </si>
  <si>
    <t>nvarchar(40)</t>
  </si>
  <si>
    <t>nvarchar(3)</t>
  </si>
  <si>
    <t>nvarchar(18)</t>
  </si>
  <si>
    <t>nvarchar(5)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</si>
</sst>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61" zoomScaleNormal="100" workbookViewId="0">
      <selection activeCell="C92" sqref="C9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[Table("MstCmmEngineMaster")]
	public class MstCmmEngineMaster: FullAuditedEntity&lt;long&gt;, IEntity&lt;long&gt;	
	{
		public const int MaxMaterialCodeLength = 40;
		public const int MaxClassTypeLength = 3;
		public const int MaxClassNameLength = 18;
		public const int MaxTransmissionTypeLength = 5;
		public const int MaxEngineModelLength = 10;
		public const int MaxEngineTypeLength = 10;
		[StringLength(MaxMaterialCodeLength)]
		public virtual string MaterialCode { get; set; }
		[StringLength(MaxClassTypeLength)]
		public virtual string ClassType { get; set; }
		[StringLength(MaxClassNameLength)]
		public virtual string ClassName { get; set; }
		[StringLength(MaxTransmissionTypeLength)]
		public virtual string TransmissionType { get; set; }
		[StringLength(MaxEngineModelLength)]
		public virtual string EngineModel { get; set; }
		[StringLength(MaxEngineTypeLength)]
		public virtual string EngineType { get; set; }
	}
}
</v>
      </c>
      <c r="D69" s="48" t="str">
        <f>A.Backend!O7</f>
        <v xml:space="preserve">		public const string Pages_Master_Cmm_EngineMaster = "Pages.Master.Cmm.EngineMaster";
		public const string Pages_Master_Cmm_EngineMaster_CreateEdit = "Pages.Master.Cmm.EngineMaster.CreateEdit";
		public const string Pages_Master_Cmm_EngineMaster_Delete = "Pages.Master.Cmm.EngineMaster.Delete";
</v>
      </c>
      <c r="E69" s="48" t="str">
        <f>A.Backend!N7</f>
        <v xml:space="preserve">		var perMstCmmEngineMaster = PARENTS.CreateChildPermission(AppPermissions.Pages_Master_Cmm_EngineMaster, L( "MasterCmmEngineMaster"), multiTenancySides: MultiTenancySides.Tenant);
		perMstCmmEngineMaster.CreateChildPermission(AppPermissions.Pages_Master_Cmm_EngineMaster_CreateEdit, L( "MasterCmmEngineMasterCreateEdit"), multiTenancySides: MultiTenancySides.Tenant);
		perMstCmmEngineMaster.CreateChildPermission(AppPermissions.Pages_Master_Cmm_EngineMaster_Delete, L( "MasterCmmEngineMasterDelete"), multiTenancySides: MultiTenancySides.Tenant);</v>
      </c>
      <c r="F69" s="48" t="str">
        <f>A.Backend!K7</f>
        <v>public virtual DbSet&lt;MstCmmEngineMaster&gt; MstCmmEngineMasters { get; set; }</v>
      </c>
      <c r="G69" s="48" t="str">
        <f ca="1">A.Backend!L7</f>
        <v xml:space="preserve">namespace prod.Master.Cmm
{
	public class MstCmmEngineMasterConsts	
	{
		public const int MaxMaterialCodeLength = 40;
		public const int MaxClassTypeLength = 3;
		public const int MaxClassNameLength = 18;
		public const int MaxTransmissionTypeLength = 5;
		public const int MaxEngineModelLength = 10;
		public const int MaxEngineTypeLength = 10;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MstCmmEngineMasterDto : EntityDto&lt;long?&gt;	
	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	public class CreateOrEditMstCmmEngineMasterDto : EntityDto&lt;long?&gt;	
	{
		[StringLength(MstCmmEngineMasterConsts.MaxMaterialCodeLength)]
		public virtual string MaterialCode { get; set; }
		[StringLength(MstCmmEngineMasterConsts.MaxClassTypeLength)]
		public virtual string ClassType { get; set; }
		[StringLength(MstCmmEngineMasterConsts.MaxClassNameLength)]
		public virtual string ClassName { get; set; }
		[StringLength(MstCmmEngineMasterConsts.MaxTransmissionTypeLength)]
		public virtual string TransmissionType { get; set; }
		[StringLength(MstCmmEngineMasterConsts.MaxEngineModelLength)]
		public virtual string EngineModel { get; set; }
		[StringLength(MstCmmEngineMasterConsts.MaxEngineTypeLength)]
		public virtual string EngineType { get; set; }
	}
	public class GetMstCmmEngineMasterInput : PagedAndSortedResultRequestDto	
	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MstCmmEngineMasterExportInput{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IMstCmmEngineMasterAppService : IApplicationService
	{
		Task&lt;PagedResultDto&lt;MstCmmEngineMasterDto&gt;&gt; GetAll(GetMstCmmEngineMasterInput input);
		Task CreateOrEdit(CreateOrEditMstCmmEngineMasterDto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IMstCmmEngineMasterExcelExporter : IApplicationService
	{
		FileDto ExportToFile(List&lt;MstCmmEngineMasterDto&gt; mstcmmenginemaster);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MstCmmEngineMasterExcelExporter : NpoiExcelExporterBase, IMstCmmEngineMasterExcelExporter
    {
        public MstCmmEngineMasterExcelExporter(ITempFileCacheManager tempFileCacheManager) : base(tempFileCacheManager) { }
        public FileDto ExportToFile(List&lt;MstCmmEngineMasterDto&gt; enginemaster)
        {
            return CreateExcelPackage(
				"MasterCmmEngineMaster.xlsx",
				excelPackage =&gt;
				 {
					var sheet = excelPackage.CreateSheet("EngineMaster");
					AddHeader(
								sheet,
								("MaterialCode"),
								("ClassType"),
								("ClassName"),
								("TransmissionType"),
								("EngineModel"),
								("EngineType"),
							   );
					AddObjects(
						 sheet, 1, enginemaster,                                       
								_ =&gt; _.MaterialCode,
								_ =&gt; _.ClassType,
								_ =&gt; _.ClassName,
								_ =&gt; _.TransmissionType,
								_ =&gt; _.EngineModel,
								_ =&gt; _.EngineType,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[AbpAuthorize(AppPermissions.Pages_Master_Cmm_EngineMaster)]
    public class MstCmmEngineMasterAppService : vovinaAppServiceBase, IMstCmmEngineMasterAppService
    {
        private readonly IDapperRepository&lt;MstCmmEngineMaster, long&gt; _dapperRepo;
        private readonly IRepository&lt;MstCmmEngineMaster, long&gt; _repo;
        private readonly IMstCmmEngineMasterExcelExporter _calendarListExcelExporter;
        public MstCmmEngineMasterAppService(IRepository&lt;MstCmmEngineMaster,long&gt; repo, 
                                         IDapperRepository&lt;MstCmmEngineMaster,long&gt; dapperRepo,
                                        IMstCmmEngineMasterExcelExporter calendarListExcelExporter
            )
        {
            _repo = repo;
            _dapperRepo = dapperRepo;
            _calendarListExcelExporter = calendarListExcelExporter;
        }
        [AbpAuthorize(AppPermissions.Pages_Master_Cmm_EngineMaster_CreateEdit)]
        public async Task CreateOrEdit(CreateOrEditMstCmmEngineMasterDto input)
        {
            if (input.Id == null) await Create(input);
            else await Update(input);
        }
        //CREATE
        private async Task Create(CreateOrEditMstCmmEngineMasterDto input)
        {          
            var mainObj = ObjectMapper.Map&lt;MstCmmEngineMaster&gt;(input);
            await CurrentUnitOfWork.GetDbContext&lt;vovinaDbContext&gt;().AddAsync(mainObj);
        }
        // EDIT
        private async Task Update(CreateOrEditMstCmmEngineMasterDto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[AbpAuthorize(AppPermissions.Pages_Master_Cmm_EngineMaster_Delete)]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Task&lt;PagedResultDto&lt;MstCmmEngineMasterDto&gt;&gt; GetAll(GetMstCmmEngineMasterInput input)
        {
            var filtered = _repo.GetAll()
				.WhereIf(!string.IsNullOrWhiteSpace(input.MaterialCode), e =&gt; e.MaterialCode.Contains(input.MaterialCode))
				.WhereIf(!string.IsNullOrWhiteSpace(input.ClassType), e =&gt; e.ClassType.Contains(input.ClassType))
				.WhereIf(!string.IsNullOrWhiteSpace(input.ClassName), e =&gt; e.ClassName.Contains(input.ClassName))
				.WhereIf(!string.IsNullOrWhiteSpace(input.TransmissionType), e =&gt; e.TransmissionType.Contains(input.TransmissionType))
				.WhereIf(!string.IsNullOrWhiteSpace(input.EngineModel), e =&gt; e.EngineModel.Contains(input.EngineModel))
				.WhereIf(!string.IsNullOrWhiteSpace(input.EngineType), e =&gt; e.EngineType.Contains(input.EngineType))                   
				;
            var pageAndFiltered = filtered.OrderBy(s =&gt; s.Id);
            var system = from o in pageAndFiltered
                         select new MstCmmEngineMasterDto
                        {
							Id = o.Id,
							MaterialCode = o.MaterialCode,
							ClassType = o.ClassType,
							ClassName = o.ClassName,
							TransmissionType = o.TransmissionType,
							EngineModel = o.EngineModel,
							EngineType = o.EngineType,
                        };
            var totalCount = await filtered.CountAsync();
			var paged = system.PageBy(input);
            return new PagedResultDto&lt;MstCmmEngineMasterDto&gt;(
                totalCount,
                 await paged.ToListAsync()
            );
        }
        public async Task&lt;FileDto&gt; GetEngineMasterToExcel(MstCmmEngineMasterExportInput input)
        {
            var query = from o in _repo.GetAll()
                        select new MstCmmEngineMasterDto
                        {
							Id = o.Id,
							MaterialCode = o.MaterialCode,
							ClassType = o.ClassType,
							ClassName = o.ClassName,
							TransmissionType = o.TransmissionType,
							EngineModel = o.EngineModel,
							EngineType = o.EngineType,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_dapperRepo.ExecuteAsync(MstCmmEngineMasterConsts.SP_MST_WPT_CALENDAR_GENERATE);
       // }
    }
}</v>
      </c>
      <c r="N69" s="58" t="str">
        <f>A.Backend!U7</f>
        <v xml:space="preserve">  configuration.CreateMap&lt;MstCmmEngineMasterDto, MstCmmEngineMaster&gt;();
  configuration.CreateMap&lt;MstCmmEngineMaster, MstCmmEngineMasterDto&gt;();
  configuration.CreateMap&lt;CreateOrEditMstCmmEngineMasterDto, MstCmmEngineMaster&gt;();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enginemaster</v>
      </c>
      <c r="C74" s="66" t="str">
        <f>"create folder " &amp;B74</f>
        <v>create folder enginemaster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enginemaster.component.ts</v>
      </c>
      <c r="D75" s="28" t="str">
        <f>B.Frontend!I14</f>
        <v>enginemaster.component.html</v>
      </c>
      <c r="E75" s="28" t="str">
        <f>B.Frontend!J14</f>
        <v>enginemaster.component.less</v>
      </c>
      <c r="F75" s="28" t="str">
        <f>B.Frontend!K14</f>
        <v>create-or-edit-enginemaster-modal.component.html</v>
      </c>
      <c r="G75" s="28" t="str">
        <f>B.Frontend!L14</f>
        <v>create-or-edit-enginemaster-modal.component.ts</v>
      </c>
      <c r="H75" s="28" t="str">
        <f>B.Frontend!M14</f>
        <v>create-or-edit-enginemaster-modal.component.less</v>
      </c>
      <c r="I75" s="28" t="str">
        <f>B.Frontend!N14</f>
        <v>enginemaster.module.ts</v>
      </c>
      <c r="J75" s="28" t="str">
        <f>B.Frontend!O14</f>
        <v>enginemaster-routing.module.ts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MstCmmEngineMasterDto, MstCmmEngineMasterServiceProxy } from '@shared/service-proxies/service-proxies';
import { finalize } from 'rxjs/internal/operators/finalize';
import { CreateOrEditEngineMasterModalComponent } from './create-or-edit-enginemaster-modal.component';
import { DatePipe } from '@angular/common';
import { FileDownloadService } from '@shared/utils/file-download.service';
import ceil from 'lodash-es/ceil';
import { Paginator } from 'primeng/paginator';
@Component({
    templateUrl: './enginemaster.component.html',
    styleUrls: ['./enginemaster.component.less'],
})
export class EngineMasterComponent extends AppComponentBase implements OnInit {
    @ViewChild('createOrEditModalEngineMaster', { static: true }) createOrEditModalEngineMaster:| CreateOrEditEngineMasterModalComponent|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MstCmmEngineMasterDto = new MstCmmEngineMasterDto();
    saveSelectedRow: MstCmmEngineMasterDto = new MstCmmEngineMasterDto();
    datas: MstCmmEngineMasterDto = new MstCmmEngineMasterDto();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classType : string = '' ; 
	className : string = '' ; 
	transmissionType : string = '' ; 
	engineModel : string = '' ; 
	engineType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MstCmmEngineMasterServiceProxy,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this.l('Class Type'),headerTooltip: this.l('Class Type'),field: 'classType',flex: 1},
			{headerName: this.l('Class Name'),headerTooltip: this.l('Class Name'),field: 'className',flex: 1},
			{headerName: this.l('Transmission Type'),headerTooltip: this.l('Transmission Type'),field: 'transmissionType',flex: 1},
			{headerName: this.l('Engine Model'),headerTooltip: this.l('Engine Model'),field: 'engineModel',flex: 1},
			{headerName: this.l('Engine Type'),headerTooltip: this.l('Engine Type'),field: 'engineType',flex: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this.materialCode,
			this.classType,
			this.className,
			this.transmissionType,
			this.className,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	classType : string = '' ; 
	className : string = '' ; 
	transmissionType : string = '' ; 
	engineModel : string = '' ; 
	engineType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this.materialCode,
			this.classType,
			this.className,
			this.transmissionType,
			this.className,
			'',
            this.paginationParams.skipCount,
            this.paginationParams.pageSize
        );
    }
    onChangeRowSelection(params: { api: { getSelectedRows: () =&gt; MstCmmEngineMasterDto[] } }) {
        this.saveSelectedRow = params.api.getSelectedRows()[0] ?? new MstCmmEngineMasterDto();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MstCmmEngineMasterDto):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this._service.getEngineMasterToExcel(
			this.,
			this.materialCode,
			this.classType,
			this.className,
			this.transmissionType,
			this.className,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Engine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[(ngModel)]='classType' name='classType'
									class='form-control' [placeholder]="l('Class Type')"
									type='text' (keyup.enter)='searchDatas()'&gt;
								&lt;/div&gt;
								&lt;div class='input-search'&gt;
									&lt;input [(ngModel)]='className' name='className'
									class='form-control' [placeholder]="l('Class Name')"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[(ngModel)]='engineModel' name='engineModel'
									class='form-control' [placeholder]="l('Engine Model')"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(click)="createOrEditModalEngineMaster.show()"&gt;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(click)="createOrEditModalEngineMaster.show(selectedRow)"&gt;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&lt;create-or-edit-enginemaster-modal
    #createOrEditModalEngineMaster
    (modalSave)="callBackDataGrid(dataParams)"
    (modalClose)="onChangeRowSelection(dataParams)"
&gt;
&lt;/create-or-edit-enginemaster-modal&gt;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#createOrEditModalEngineMaster="bs-modal"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EngineMaster')}}&lt;/h3&gt;
                    &lt;h3 *ngIf="!rowdata.id"&gt;{{('Create New EngineMaster')}}&lt;/h3&gt;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title'&gt;Class Type&lt;/label&gt;
						&lt;input type='text' class='col-md-10 form-control input-text' name='ClassType' [(ngModel)]='rowdata.classType'&gt;
					&lt;/div&gt;
					&lt;div class='col-md-12 form-group row'&gt;
						&lt;label class='col-md-2 form-control title'&gt;Class Name&lt;/label&gt;
						&lt;input type='text' class='col-md-10 form-control input-text' name='ClassName' [(ngModel)]='rowdata.className'&gt;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Model&lt;/label&gt;
						&lt;input type='text' class='col-md-10 form-control input-text' name='EngineModel' [(ngModel)]='rowdata.engineModel'&gt;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CreateOrEditMstCmmEngineMasterDto, MstCmmEngineMasterServiceProxy } from '@shared/service-proxies/service-proxies';
import { BsDatepickerDirective } from 'ngx-bootstrap/datepicker';
@Component({
    selector: 'create-or-edit-enginemaster-modal',
    templateUrl: './create-or-edit-enginemaster-modal.component.html',
    styleUrls: ['./create-or-edit-enginemaster-modal.component.less']
    })
export class CreateOrEditEngineMasterModalComponent extends AppComponentBase {
    @ViewChild('createOrEditModalEngineMaster',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CreateOrEditMstCmmEngineMasterDto = new CreateOrEditMstCmmEngineMasterDto();
    active: boolean = false;
    saving: boolean = false;
    _: boolean;
    constructor(
        injector: Injector,
        private _mstwptEngineMasterService: MstCmmEngineMasterServiceProxy,
    ) 
    {
        super(injector);
    }
    show(rowdata?: CreateOrEditMstCmmEngineMasterDto): void {
        if (!rowdata) this.rowdata = new CreateOrEditMstCmmEngineMasterDto();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this._mstwptEngineMasterService.createOrEdit(this.rowdata)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EngineMasterRoutingModule } from './enginemaster-routing.module';
import { EngineMasterComponent } from './enginemaster.component';
import { CreateOrEditEngineMasterModalComponent } from './create-or-edit-enginemaster-modal.component';
@NgModule({
    declarations: [
       EngineMasterComponent, 
        CreateOrEditEngineMasterModalComponent
    ],
    imports: [
        AppSharedModule, EngineMasterRoutingModule]
})
export class EngineMasterModule {}</v>
      </c>
      <c r="J76" s="46" t="str">
        <f>B.Frontend!O10</f>
        <v>import {NgModule} from '@angular/core';
import {RouterModule, Routes} from '@angular/router';
import { EngineMasterComponent } from './enginemaster.component';
const routes: Routes = [{
    path: '',
    component: EngineMasterComponent,
    pathMatch: 'full'
}];
@NgModule({
    imports: [RouterModule.forChild(routes)],
    exports: [RouterModule],
})
export class EngineMasterRoutingModule {}</v>
      </c>
      <c r="K76" s="46" t="str">
        <f>B.Frontend!P10</f>
        <v xml:space="preserve"> new AppMenuItem("EngineMaster", "Pages.Master.Cmm.EngineMaster", "flaticon-book",   "/app/main/master/cmm/enginemaster"),</v>
      </c>
      <c r="L76" s="47" t="str">
        <f>B.Frontend!Q10</f>
        <v>{
    path: 'master/cmm/enginemaster',
    loadChildren: () =&gt; import('./master/cmm/enginemaster/enginemaster.module').then(m =&gt; m.EngineMasterModule),
    data: { permission: 'Pages.Master.Cmm.EngineMaster' }
},</v>
      </c>
      <c r="M76" s="45" t="str">
        <f>B.Frontend!R10</f>
        <v>ApiServiceProxies.MstCmmEngineMasterServiceProxy,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B21" sqref="B2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40</v>
      </c>
      <c r="D3" s="9" t="s">
        <v>41</v>
      </c>
      <c r="E3" s="9" t="s">
        <v>36</v>
      </c>
      <c r="F3" s="10" t="str">
        <f>"J"&amp;COUNTA($A:$A)</f>
        <v>J14</v>
      </c>
      <c r="G3" s="4" t="s">
        <v>53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52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MstCmmEngineMasterExportInput{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MstCmmEngineMaster: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MstCmmEngineMasterConsts	
	{
</v>
      </c>
      <c r="F6" s="10" t="str">
        <f>REPT(CHAR(9),1)&amp;"public class "&amp;B3&amp;"Dto"&amp;K3&amp;REPT(CHAR(9),1)&amp;"
"&amp;REPT(CHAR(9),1)&amp;C3</f>
        <v xml:space="preserve">	public class MstCmmEngineMasterDto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CreateOrEditMstCmmEngineMasterDto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GetMstCmmEngineMasterInput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MstCmmEngineMaster</v>
      </c>
      <c r="C7" s="10" t="str">
        <f>REPT(CHAR(9),1)&amp;"[Table("""&amp;B7&amp;""")]"&amp;"
"</f>
        <v xml:space="preserve">	[Table("MstCmmEngineMaster")]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[Table("MstCmmEngineMaster")]
	public class MstCmmEngineMaster: FullAuditedEntity&lt;long&gt;, IEntity&lt;long&gt;	
	{
		public const int MaxMaterialCodeLength = 40;
		public const int MaxClassTypeLength = 3;
		public const int MaxClassNameLength = 18;
		public const int MaxTransmissionTypeLength = 5;
		public const int MaxEngineModelLength = 10;
		public const int MaxEngineTypeLength = 10;
		[StringLength(MaxMaterialCodeLength)]
		public virtual string MaterialCode { get; set; }
		[StringLength(MaxClassTypeLength)]
		public virtual string ClassType { get; set; }
		[StringLength(MaxClassNameLength)]
		public virtual string ClassName { get; set; }
		[StringLength(MaxTransmissionTypeLength)]
		public virtual string TransmissionType { get; set; }
		[StringLength(MaxEngineModelLength)]
		public virtual string EngineModel { get; set; }
		[StringLength(MaxEngineTypeLength)]
		public virtual string EngineType { get; set; }
	}
}
</v>
      </c>
      <c r="K7" t="str">
        <f>SUBSTITUTE(SUBSTITUTE(("public virtual DbSet&lt;"&amp;B3&amp;"&gt; "&amp;B3&amp;"s { get; set; }"),"WorkingPattern",$Q$3),"Master",$B$4)</f>
        <v>public virtual DbSet&lt;MstCmmEngineMaster&gt; MstCmmEngineMasters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prod.Master.Cmm
{
	public class MstCmmEngineMasterConsts	
	{
		public const int MaxMaterialCodeLength = 40;
		public const int MaxClassTypeLength = 3;
		public const int MaxClassNameLength = 18;
		public const int MaxTransmissionTypeLength = 5;
		public const int MaxEngineModelLength = 10;
		public const int MaxEngineTypeLength = 10;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prod.Master.Cmm.Dto
{
	public class MstCmmEngineMasterDto : EntityDto&lt;long?&gt;	
	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	public class CreateOrEditMstCmmEngineMasterDto : EntityDto&lt;long?&gt;	
	{
		[StringLength(MstCmmEngineMasterConsts.MaxMaterialCodeLength)]
		public virtual string MaterialCode { get; set; }
		[StringLength(MstCmmEngineMasterConsts.MaxClassTypeLength)]
		public virtual string ClassType { get; set; }
		[StringLength(MstCmmEngineMasterConsts.MaxClassNameLength)]
		public virtual string ClassName { get; set; }
		[StringLength(MstCmmEngineMasterConsts.MaxTransmissionTypeLength)]
		public virtual string TransmissionType { get; set; }
		[StringLength(MstCmmEngineMasterConsts.MaxEngineModelLength)]
		public virtual string EngineModel { get; set; }
		[StringLength(MstCmmEngineMasterConsts.MaxEngineTypeLength)]
		public virtual string EngineType { get; set; }
	}
	public class GetMstCmmEngineMasterInput : PagedAndSortedResultRequestDto	
	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perMstCmmEngineMaster = PARENTS.CreateChildPermission(AppPermissions.Pages_Master_Cmm_EngineMaster, L( "MasterCmmEngineMaster"), multiTenancySides: MultiTenancySides.Tenant);
		perMstCmmEngineMaster.CreateChildPermission(AppPermissions.Pages_Master_Cmm_EngineMaster_CreateEdit, L( "MasterCmmEngineMasterCreateEdit"), multiTenancySides: MultiTenancySides.Tenant);
		perMstCmmEngineMaster.CreateChildPermission(AppPermissions.Pages_Master_Cmm_EngineMaster_Delete, L( "MasterCmmEngineMasterDelete"),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Pages_Master_Cmm_EngineMaster = "Pages.Master.Cmm.EngineMaster";
		public const string Pages_Master_Cmm_EngineMaster_CreateEdit = "Pages.Master.Cmm.EngineMaster.CreateEdit";
		public const string Pages_Master_Cmm_EngineMaster_Delete = "Pages.Master.Cmm.EngineMaster.Delete";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IMstCmmEngineMasterAppService : IApplicationService
	{
		Task&lt;PagedResultDto&lt;MstCmmEngineMasterDto&gt;&gt; GetAll(GetMstCmmEngineMasterInput input);
		Task CreateOrEdit(CreateOrEditMstCmmEngineMasterDto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[AbpAuthorize(AppPermissions.Pages_Master_Cmm_EngineMaster)]
    public class MstCmmEngineMasterAppService : vovinaAppServiceBase, IMstCmmEngineMasterAppService
    {
        private readonly IDapperRepository&lt;MstCmmEngineMaster, long&gt; _dapperRepo;
        private readonly IRepository&lt;MstCmmEngineMaster, long&gt; _repo;
        private readonly IMstCmmEngineMasterExcelExporter _calendarListExcelExporter;
        public MstCmmEngineMasterAppService(IRepository&lt;MstCmmEngineMaster,long&gt; repo, 
                                         IDapperRepository&lt;MstCmmEngineMaster,long&gt; dapperRepo,
                                        IMstCmmEngineMasterExcelExporter calendarListExcelExporter
            )
        {
            _repo = repo;
            _dapperRepo = dapperRepo;
            _calendarListExcelExporter = calendarListExcelExporter;
        }
        [AbpAuthorize(AppPermissions.Pages_Master_Cmm_EngineMaster_CreateEdit)]
        public async Task CreateOrEdit(CreateOrEditMstCmmEngineMasterDto input)
        {
            if (input.Id == null) await Create(input);
            else await Update(input);
        }
        //CREATE
        private async Task Create(CreateOrEditMstCmmEngineMasterDto input)
        {          
            var mainObj = ObjectMapper.Map&lt;MstCmmEngineMaster&gt;(input);
            await CurrentUnitOfWork.GetDbContext&lt;vovinaDbContext&gt;().AddAsync(mainObj);
        }
        // EDIT
        private async Task Update(CreateOrEditMstCmmEngineMasterDto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[AbpAuthorize(AppPermissions.Pages_Master_Cmm_EngineMaster_Delete)]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Task&lt;PagedResultDto&lt;MstCmmEngineMasterDto&gt;&gt; GetAll(GetMstCmmEngineMasterInput input)
        {
            var filtered = _repo.GetAll()
				.WhereIf(!string.IsNullOrWhiteSpace(input.MaterialCode), e =&gt; e.MaterialCode.Contains(input.MaterialCode))
				.WhereIf(!string.IsNullOrWhiteSpace(input.ClassType), e =&gt; e.ClassType.Contains(input.ClassType))
				.WhereIf(!string.IsNullOrWhiteSpace(input.ClassName), e =&gt; e.ClassName.Contains(input.ClassName))
				.WhereIf(!string.IsNullOrWhiteSpace(input.TransmissionType), e =&gt; e.TransmissionType.Contains(input.TransmissionType))
				.WhereIf(!string.IsNullOrWhiteSpace(input.EngineModel), e =&gt; e.EngineModel.Contains(input.EngineModel))
				.WhereIf(!string.IsNullOrWhiteSpace(input.EngineType), e =&gt; e.EngineType.Contains(input.EngineType))                   
				;
            var pageAndFiltered = filtered.OrderBy(s =&gt; s.Id);
            var system = from o in pageAndFiltered
                         select new MstCmmEngineMasterDto
                        {
							Id = o.Id,
							MaterialCode = o.MaterialCode,
							ClassType = o.ClassType,
							ClassName = o.ClassName,
							TransmissionType = o.TransmissionType,
							EngineModel = o.EngineModel,
							EngineType = o.EngineType,
                        };
            var totalCount = await filtered.CountAsync();
			var paged = system.PageBy(input);
            return new PagedResultDto&lt;MstCmmEngineMasterDto&gt;(
                totalCount,
                 await paged.ToListAsync()
            );
        }
        public async Task&lt;FileDto&gt; GetEngineMasterToExcel(MstCmmEngineMasterExportInput input)
        {
            var query = from o in _repo.GetAll()
                        select new MstCmmEngineMasterDto
                        {
							Id = o.Id,
							MaterialCode = o.MaterialCode,
							ClassType = o.ClassType,
							ClassName = o.ClassName,
							TransmissionType = o.TransmissionType,
							EngineModel = o.EngineModel,
							EngineType = o.EngineType,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_dapperRepo.ExecuteAsync(MstCmmEngineMasterConsts.SP_MST_WPT_CALENDAR_GENERATE);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prod.Master.Cmm.Dto
{
	public class MstCmmEngineMasterExportInput{
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IMstCmmEngineMasterExcelExporter : IApplicationService
	{
		FileDto ExportToFile(List&lt;MstCmmEngineMasterDto&gt; mstcmmenginemaster);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MstCmmEngineMasterExcelExporter : NpoiExcelExporterBase, IMstCmmEngineMasterExcelExporter
    {
        public MstCmmEngineMasterExcelExporter(ITempFileCacheManager tempFileCacheManager) : base(tempFileCacheManager) { }
        public FileDto ExportToFile(List&lt;MstCmmEngineMasterDto&gt; enginemaster)
        {
            return CreateExcelPackage(
				"MasterCmmEngineMaster.xlsx",
				excelPackage =&gt;
				 {
					var sheet = excelPackage.CreateSheet("EngineMaster");
					AddHeader(
								sheet,
								("MaterialCode"),
								("ClassType"),
								("ClassName"),
								("TransmissionType"),
								("EngineModel"),
								("EngineType"),
							   );
					AddObjects(
						 sheet, 1, enginemaster,                                       
								_ =&gt; _.MaterialCode,
								_ =&gt; _.ClassType,
								_ =&gt; _.ClassName,
								_ =&gt; _.TransmissionType,
								_ =&gt; _.EngineModel,
								_ =&gt; _.EngineType,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configuration.CreateMap&lt;MstCmmEngineMasterDto, MstCmmEngineMaster&gt;();
  configuration.CreateMap&lt;MstCmmEngineMaster, MstCmmEngineMasterDto&gt;();
  configuration.CreateMap&lt;CreateOrEditMstCmmEngineMasterDto, MstCmmEngineMaster&gt;();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369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[StringLength(MstCmmEngineMasterConsts.MaxMaterialCodeLength)]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s="28" t="s">
        <v>364</v>
      </c>
      <c r="B10" s="28" t="s">
        <v>370</v>
      </c>
      <c r="C10" t="s">
        <v>1</v>
      </c>
      <c r="D10" t="str">
        <f t="shared" ref="D10:D11" si="13">SUBSTITUTE(PROPER(A10),"_","")</f>
        <v>ClassType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3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MaxClassTypeLength = 3;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[StringLength(MaxClassTypeLength)]
		public virtual string ClassType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ClassType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[StringLength(MstCmmEngineMasterConsts.MaxClassTypeLength)]
		public virtual string ClassType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ClassType { get; set; }
</v>
      </c>
      <c r="P10" t="str">
        <f t="shared" ref="P10:P11" si="22">REPT(CHAR(9),7)&amp;D10&amp;" = o." &amp;D10 &amp;","</f>
        <v xml:space="preserve">							ClassType = o.ClassType,</v>
      </c>
      <c r="T10" s="63" t="str">
        <f t="shared" ref="T10:T11" si="23">REPT(CHAR(9),8)&amp;"("""&amp;D10&amp;"""),"</f>
        <v xml:space="preserve">								("ClassType"),</v>
      </c>
      <c r="V10" s="64" t="str">
        <f t="shared" ref="V10:V11" si="24">REPT(CHAR(9),8)&amp;"_ =&gt; _."&amp;D10&amp;","</f>
        <v xml:space="preserve">								_ =&gt; _.ClassType,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.WhereIf(!string.IsNullOrWhiteSpace(input.ClassType), e =&gt; e.ClassType.Contains(input.ClassType))</v>
      </c>
    </row>
    <row r="11" spans="1:23" customFormat="1" ht="18.75" customHeight="1" x14ac:dyDescent="0.25">
      <c r="A11" s="28" t="s">
        <v>365</v>
      </c>
      <c r="B11" s="28" t="s">
        <v>371</v>
      </c>
      <c r="C11" t="s">
        <v>1</v>
      </c>
      <c r="D11" t="str">
        <f t="shared" si="13"/>
        <v>ClassName</v>
      </c>
      <c r="E11" t="str">
        <f t="shared" si="14"/>
        <v>nvarchar</v>
      </c>
      <c r="F11" s="6"/>
      <c r="G11" t="str">
        <f t="shared" si="15"/>
        <v>18</v>
      </c>
      <c r="H11" t="str">
        <f>+VLOOKUP(E11,'Data Type Mapping'!A:B,2,)</f>
        <v>string</v>
      </c>
      <c r="I11" t="str">
        <f t="shared" si="16"/>
        <v xml:space="preserve">		public const int MaxClassNameLength = 18;
</v>
      </c>
      <c r="J11" t="str">
        <f t="shared" si="17"/>
        <v xml:space="preserve">		[StringLength(MaxClassNameLength)]
		public virtual string ClassName { get; set; }
</v>
      </c>
      <c r="K11" s="6"/>
      <c r="L11" t="str">
        <f t="shared" si="18"/>
        <v/>
      </c>
      <c r="M11" t="str">
        <f t="shared" si="19"/>
        <v xml:space="preserve">		public virtual string ClassName { get; set; }
</v>
      </c>
      <c r="N11" t="str">
        <f t="shared" si="20"/>
        <v xml:space="preserve">		[StringLength(MstCmmEngineMasterConsts.MaxClassNameLength)]
		public virtual string ClassName { get; set; }
</v>
      </c>
      <c r="O11" t="str">
        <f t="shared" si="21"/>
        <v xml:space="preserve">		public virtual string ClassName { get; set; }
</v>
      </c>
      <c r="P11" t="str">
        <f t="shared" si="22"/>
        <v xml:space="preserve">							ClassName = o.ClassName,</v>
      </c>
      <c r="T11" s="63" t="str">
        <f t="shared" si="23"/>
        <v xml:space="preserve">								("ClassName"),</v>
      </c>
      <c r="V11" s="64" t="str">
        <f t="shared" si="24"/>
        <v xml:space="preserve">								_ =&gt; _.ClassName,</v>
      </c>
      <c r="W11" s="63" t="str">
        <f t="shared" si="25"/>
        <v xml:space="preserve">				.WhereIf(!string.IsNullOrWhiteSpace(input.ClassName), e =&gt; e.ClassName.Contains(input.ClassName))</v>
      </c>
    </row>
    <row r="12" spans="1:23" customFormat="1" ht="18.75" customHeight="1" x14ac:dyDescent="0.25">
      <c r="A12" s="28" t="s">
        <v>366</v>
      </c>
      <c r="B12" s="28" t="s">
        <v>372</v>
      </c>
      <c r="C12" t="s">
        <v>1</v>
      </c>
      <c r="D12" t="str">
        <f t="shared" ref="D12:D13" si="26">SUBSTITUTE(PROPER(A12),"_","")</f>
        <v>TransmissionType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5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MaxTransmissionTypeLength = 5;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[StringLength(MaxTransmissionTypeLength)]
		public virtual string TransmissionType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TransmissionType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[StringLength(MstCmmEngineMasterConsts.MaxTransmissionTypeLength)]
		public virtual string TransmissionType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TransmissionType { get; set; }
</v>
      </c>
      <c r="P12" t="str">
        <f t="shared" ref="P12:P13" si="35">REPT(CHAR(9),7)&amp;D12&amp;" = o." &amp;D12 &amp;","</f>
        <v xml:space="preserve">							TransmissionType = o.TransmissionType,</v>
      </c>
      <c r="T12" s="63" t="str">
        <f t="shared" ref="T12:T13" si="36">REPT(CHAR(9),8)&amp;"("""&amp;D12&amp;"""),"</f>
        <v xml:space="preserve">								("TransmissionType"),</v>
      </c>
      <c r="V12" s="64" t="str">
        <f t="shared" ref="V12:V13" si="37">REPT(CHAR(9),8)&amp;"_ =&gt; _."&amp;D12&amp;","</f>
        <v xml:space="preserve">								_ =&gt; _.TransmissionType,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.WhereIf(!string.IsNullOrWhiteSpace(input.TransmissionType), e =&gt; e.TransmissionType.Contains(input.TransmissionType))</v>
      </c>
    </row>
    <row r="13" spans="1:23" customFormat="1" ht="18.75" customHeight="1" x14ac:dyDescent="0.25">
      <c r="A13" s="28" t="s">
        <v>367</v>
      </c>
      <c r="B13" s="28" t="s">
        <v>359</v>
      </c>
      <c r="C13" t="s">
        <v>1</v>
      </c>
      <c r="D13" t="str">
        <f t="shared" si="26"/>
        <v>EngineModel</v>
      </c>
      <c r="E13" t="str">
        <f t="shared" si="27"/>
        <v>nvarchar</v>
      </c>
      <c r="F13" s="6"/>
      <c r="G13" t="str">
        <f t="shared" si="28"/>
        <v>10</v>
      </c>
      <c r="H13" t="str">
        <f>+VLOOKUP(E13,'Data Type Mapping'!A:B,2,)</f>
        <v>string</v>
      </c>
      <c r="I13" t="str">
        <f t="shared" si="29"/>
        <v xml:space="preserve">		public const int MaxEngineModelLength = 10;
</v>
      </c>
      <c r="J13" t="str">
        <f t="shared" si="30"/>
        <v xml:space="preserve">		[StringLength(MaxEngineModelLength)]
		public virtual string EngineModel { get; set; }
</v>
      </c>
      <c r="K13" s="6"/>
      <c r="L13" t="str">
        <f t="shared" si="31"/>
        <v/>
      </c>
      <c r="M13" t="str">
        <f t="shared" si="32"/>
        <v xml:space="preserve">		public virtual string EngineModel { get; set; }
</v>
      </c>
      <c r="N13" t="str">
        <f t="shared" si="33"/>
        <v xml:space="preserve">		[StringLength(MstCmmEngineMasterConsts.MaxEngineModelLength)]
		public virtual string EngineModel { get; set; }
</v>
      </c>
      <c r="O13" t="str">
        <f t="shared" si="34"/>
        <v xml:space="preserve">		public virtual string EngineModel { get; set; }
</v>
      </c>
      <c r="P13" t="str">
        <f t="shared" si="35"/>
        <v xml:space="preserve">							EngineModel = o.EngineModel,</v>
      </c>
      <c r="T13" s="63" t="str">
        <f t="shared" si="36"/>
        <v xml:space="preserve">								("EngineModel"),</v>
      </c>
      <c r="V13" s="64" t="str">
        <f t="shared" si="37"/>
        <v xml:space="preserve">								_ =&gt; _.EngineModel,</v>
      </c>
      <c r="W13" s="63" t="str">
        <f t="shared" si="38"/>
        <v xml:space="preserve">				.WhereIf(!string.IsNullOrWhiteSpace(input.EngineModel), e =&gt; e.EngineModel.Contains(input.EngineModel))</v>
      </c>
    </row>
    <row r="14" spans="1:23" customFormat="1" ht="18.75" customHeight="1" x14ac:dyDescent="0.25">
      <c r="A14" s="28" t="s">
        <v>368</v>
      </c>
      <c r="B14" s="28" t="s">
        <v>359</v>
      </c>
      <c r="C14" t="s">
        <v>1</v>
      </c>
      <c r="D14" t="str">
        <f t="shared" ref="D14" si="39">SUBSTITUTE(PROPER(A14),"_","")</f>
        <v>EngineType</v>
      </c>
      <c r="E14" t="str">
        <f t="shared" ref="E14" si="40">IFERROR(LEFT(B14, FIND("(",B14)-1),B14)</f>
        <v>nvarchar</v>
      </c>
      <c r="F14" s="6"/>
      <c r="G14" t="str">
        <f t="shared" ref="G14" si="41">IFERROR(MID(B14,FIND("(",B14) +1, FIND(")",B14) - FIND("(",B14) - 1),"")</f>
        <v>10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MaxEngineTypeLength = 10;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[StringLength(MaxEngineTypeLength)]
		public virtual string EngineType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EngineType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[StringLength(MstCmmEngineMasterConsts.MaxEngineTypeLength)]
		public virtual string EngineType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EngineType { get; set; }
</v>
      </c>
      <c r="P14" t="str">
        <f t="shared" ref="P14" si="48">REPT(CHAR(9),7)&amp;D14&amp;" = o." &amp;D14 &amp;","</f>
        <v xml:space="preserve">							EngineType = o.EngineType,</v>
      </c>
      <c r="T14" s="63" t="str">
        <f t="shared" ref="T14" si="49">REPT(CHAR(9),8)&amp;"("""&amp;D14&amp;"""),"</f>
        <v xml:space="preserve">								("EngineType"),</v>
      </c>
      <c r="V14" s="64" t="str">
        <f t="shared" ref="V14" si="50">REPT(CHAR(9),8)&amp;"_ =&gt; _."&amp;D14&amp;","</f>
        <v xml:space="preserve">								_ =&gt; _.EngineType,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.WhereIf(!string.IsNullOrWhiteSpace(input.EngineType), e =&gt; e.EngineType.Contains(input.EngineType))</v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MaxMaterialCodeLength = 40;
		public const int MaxClassTypeLength = 3;
		public const int MaxClassNameLength = 18;
		public const int MaxTransmissionTypeLength = 5;
		public const int MaxEngineModelLength = 10;
		public const int MaxEngineTypeLength = 10;
</v>
      </c>
      <c r="J16" s="30" t="str">
        <f ca="1">TEXTJOIN2("
", TRUE,INDIRECT( $F$1):INDIRECT( $F$3))</f>
        <v xml:space="preserve">		[StringLength(MaxMaterialCodeLength)]
		public virtual string MaterialCode { get; set; }
		[StringLength(MaxClassTypeLength)]
		public virtual string ClassType { get; set; }
		[StringLength(MaxClassNameLength)]
		public virtual string ClassName { get; set; }
		[StringLength(MaxTransmissionTypeLength)]
		public virtual string TransmissionType { get; set; }
		[StringLength(MaxEngineModelLength)]
		public virtual string EngineModel { get; set; }
		[StringLength(MaxEngineTypeLength)]
		public virtual string EngineType { get; set; }
</v>
      </c>
      <c r="K16" s="32" t="str">
        <f ca="1">TEXTJOIN2("
", TRUE,INDIRECT( $J$1):INDIRECT( $J$3))</f>
        <v/>
      </c>
      <c r="L16" s="12" t="s">
        <v>56</v>
      </c>
      <c r="M16" s="33" t="str">
        <f ca="1">TEXTJOIN2("
",TRUE,INDIRECT( $L$1):INDIRECT($L$3))</f>
        <v xml:space="preserve">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</v>
      </c>
      <c r="N16" s="30" t="str">
        <f ca="1">TEXTJOIN2("
",TRUE,INDIRECT( $M$1):INDIRECT($M$3))</f>
        <v xml:space="preserve">		[StringLength(MstCmmEngineMasterConsts.MaxMaterialCodeLength)]
		public virtual string MaterialCode { get; set; }
		[StringLength(MstCmmEngineMasterConsts.MaxClassTypeLength)]
		public virtual string ClassType { get; set; }
		[StringLength(MstCmmEngineMasterConsts.MaxClassNameLength)]
		public virtual string ClassName { get; set; }
		[StringLength(MstCmmEngineMasterConsts.MaxTransmissionTypeLength)]
		public virtual string TransmissionType { get; set; }
		[StringLength(MstCmmEngineMasterConsts.MaxEngineModelLength)]
		public virtual string EngineModel { get; set; }
		[StringLength(MstCmmEngineMasterConsts.MaxEngineTypeLength)]
		public virtual string EngineType { get; set; }
</v>
      </c>
      <c r="O16" s="30" t="str">
        <f ca="1">TEXTJOIN2("
",TRUE,INDIRECT( $N$1):INDIRECT($N$3))</f>
        <v xml:space="preserve">		public virtual string MaterialCode { get; set; }
		public virtual string ClassType { get; set; }
		public virtual string ClassName { get; set; }
		public virtual string TransmissionType { get; set; }
		public virtual string EngineModel { get; set; }
		public virtual string EngineType { get; set; }
</v>
      </c>
      <c r="P16" s="8" t="str">
        <f ca="1">TEXTJOIN2("
",TRUE,INDIRECT( $O$1):INDIRECT($O$3))</f>
        <v xml:space="preserve">							MaterialCode = o.MaterialCode,
							ClassType = o.ClassType,
							ClassName = o.ClassName,
							TransmissionType = o.TransmissionType,
							EngineModel = o.EngineModel,
							EngineType = o.EngineType,</v>
      </c>
      <c r="T16" s="8" t="str">
        <f ca="1">TEXTJOIN2("
",TRUE,INDIRECT( $T$2):INDIRECT($T$3))</f>
        <v xml:space="preserve">								("MaterialCode"),
								("ClassType"),
								("ClassName"),
								("TransmissionType"),
								("EngineModel"),
								("EngineType"),</v>
      </c>
      <c r="V16" s="8" t="str">
        <f ca="1">TEXTJOIN2("
",TRUE,INDIRECT( $V$2):INDIRECT($V$3))</f>
        <v xml:space="preserve">								_ =&gt; _.MaterialCode,
								_ =&gt; _.ClassType,
								_ =&gt; _.ClassName,
								_ =&gt; _.TransmissionType,
								_ =&gt; _.EngineModel,
								_ =&gt; _.EngineType,</v>
      </c>
      <c r="W16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.WhereIf(!string.IsNullOrWhiteSpace(input.ClassType), e =&gt; e.ClassType.Contains(input.ClassType))
				.WhereIf(!string.IsNullOrWhiteSpace(input.ClassName), e =&gt; e.ClassName.Contains(input.ClassName))
				.WhereIf(!string.IsNullOrWhiteSpace(input.TransmissionType), e =&gt; e.TransmissionType.Contains(input.TransmissionType))
				.WhereIf(!string.IsNullOrWhiteSpace(input.EngineModel), e =&gt; e.EngineModel.Contains(input.EngineModel))
				.WhereIf(!string.IsNullOrWhiteSpace(input.EngineType), e =&gt; e.EngineType.Contains(input.EngineType))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E24" sqref="E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MstCmmEngineMaster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EngineMaster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enginemaster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MstCmmEngineMasterDto, MstCmmEngineMasterServiceProxy } from '@shared/service-proxies/service-proxies';
import { finalize } from 'rxjs/internal/operators/finalize';
import { CreateOrEditEngineMasterModalComponent } from './create-or-edit-enginemaster-modal.component';
import { DatePipe } from '@angular/common';
import { FileDownloadService } from '@shared/utils/file-download.service';
import ceil from 'lodash-es/ceil';
import { Paginator } from 'primeng/paginator';
@Component({
    templateUrl: './enginemaster.component.html',
    styleUrls: ['./enginemaster.component.less'],
})
export class EngineMasterComponent extends AppComponentBase implements OnInit {
    @ViewChild('createOrEditModalEngineMaster', { static: true }) createOrEditModalEngineMaster:| CreateOrEditEngineMasterModalComponent|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MstCmmEngineMasterDto = new MstCmmEngineMasterDto();
    saveSelectedRow: MstCmmEngineMasterDto = new MstCmmEngineMasterDto();
    datas: MstCmmEngineMasterDto = new MstCmmEngineMasterDto();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classType : string = '' ; 
	className : string = '' ; 
	transmissionType : string = '' ; 
	engineModel : string = '' ; 
	engineType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MstCmmEngineMasterServiceProxy,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this.l('Class Type'),headerTooltip: this.l('Class Type'),field: 'classType',flex: 1},
			{headerName: this.l('Class Name'),headerTooltip: this.l('Class Name'),field: 'className',flex: 1},
			{headerName: this.l('Transmission Type'),headerTooltip: this.l('Transmission Type'),field: 'transmissionType',flex: 1},
			{headerName: this.l('Engine Model'),headerTooltip: this.l('Engine Model'),field: 'engineModel',flex: 1},
			{headerName: this.l('Engine Type'),headerTooltip: this.l('Engine Type'),field: 'engineType',flex: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this.materialCode,
			this.classType,
			this.className,
			this.transmissionType,
			this.className,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	classType : string = '' ; 
	className : string = '' ; 
	transmissionType : string = '' ; 
	engineModel : string = '' ; 
	engineType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this.materialCode,
			this.classType,
			this.className,
			this.transmissionType,
			this.className,
			'',
            this.paginationParams.skipCount,
            this.paginationParams.pageSize
        );
    }
    onChangeRowSelection(params: { api: { getSelectedRows: () =&gt; MstCmmEngineMasterDto[] } }) {
        this.saveSelectedRow = params.api.getSelectedRows()[0] ?? new MstCmmEngineMasterDto();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MstCmmEngineMasterDto):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this._service.getEngineMasterToExcel(
			this.,
			this.materialCode,
			this.classType,
			this.className,
			this.transmissionType,
			this.className,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Engine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[(ngModel)]='classType' name='classType'
									class='form-control' [placeholder]="l('Class Type')"
									type='text' (keyup.enter)='searchDatas()'&gt;
								&lt;/div&gt;
								&lt;div class='input-search'&gt;
									&lt;input [(ngModel)]='className' name='className'
									class='form-control' [placeholder]="l('Class Name')"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[(ngModel)]='engineModel' name='engineModel'
									class='form-control' [placeholder]="l('Engine Model')"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(click)="createOrEditModalEngineMaster.show()"&gt;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(click)="createOrEditModalEngineMaster.show(selectedRow)"&gt;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&lt;create-or-edit-enginemaster-modal
    #createOrEditModalEngineMaster
    (modalSave)="callBackDataGrid(dataParams)"
    (modalClose)="onChangeRowSelection(dataParams)"
&gt;
&lt;/create-or-edit-enginemaster-modal&gt;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#createOrEditModalEngineMaster="bs-modal"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EngineMaster')}}&lt;/h3&gt;
                    &lt;h3 *ngIf="!rowdata.id"&gt;{{('Create New EngineMaster')}}&lt;/h3&gt;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title'&gt;Class Type&lt;/label&gt;
						&lt;input type='text' class='col-md-10 form-control input-text' name='ClassType' [(ngModel)]='rowdata.classType'&gt;
					&lt;/div&gt;
					&lt;div class='col-md-12 form-group row'&gt;
						&lt;label class='col-md-2 form-control title'&gt;Class Name&lt;/label&gt;
						&lt;input type='text' class='col-md-10 form-control input-text' name='ClassName' [(ngModel)]='rowdata.className'&gt;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Model&lt;/label&gt;
						&lt;input type='text' class='col-md-10 form-control input-text' name='EngineModel' [(ngModel)]='rowdata.engineModel'&gt;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CreateOrEditMstCmmEngineMasterDto, MstCmmEngineMasterServiceProxy } from '@shared/service-proxies/service-proxies';
import { BsDatepickerDirective } from 'ngx-bootstrap/datepicker';
@Component({
    selector: 'create-or-edit-enginemaster-modal',
    templateUrl: './create-or-edit-enginemaster-modal.component.html',
    styleUrls: ['./create-or-edit-enginemaster-modal.component.less']
    })
export class CreateOrEditEngineMasterModalComponent extends AppComponentBase {
    @ViewChild('createOrEditModalEngineMaster',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CreateOrEditMstCmmEngineMasterDto = new CreateOrEditMstCmmEngineMasterDto();
    active: boolean = false;
    saving: boolean = false;
    _: boolean;
    constructor(
        injector: Injector,
        private _mstwptEngineMasterService: MstCmmEngineMasterServiceProxy,
    ) 
    {
        super(injector);
    }
    show(rowdata?: CreateOrEditMstCmmEngineMasterDto): void {
        if (!rowdata) this.rowdata = new CreateOrEditMstCmmEngineMasterDto();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this._mstwptEngineMasterService.createOrEdit(this.rowdata)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EngineMasterRoutingModule } from './enginemaster-routing.module';
import { EngineMasterComponent } from './enginemaster.component';
import { CreateOrEditEngineMasterModalComponent } from './create-or-edit-enginemaster-modal.component';
@NgModule({
    declarations: [
       EngineMasterComponent, 
        CreateOrEditEngineMasterModalComponent
    ],
    imports: [
        AppSharedModule, EngineMasterRoutingModule]
})
export class EngineMasterModule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EngineMasterComponent } from './enginemaster.component';
const routes: Routes = [{
    path: '',
    component: EngineMasterComponent,
    pathMatch: 'full'
}];
@NgModule({
    imports: [RouterModule.forChild(routes)],
    exports: [RouterModule],
})
export class EngineMasterRoutingModule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AppMenuItem("EngineMaster", "Pages.Master.Cmm.EngineMaster", "flaticon-book",   "/app/main/master/cmm/enginemaster"),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'master/cmm/enginemaster',
    loadChildren: () =&gt; import('./master/cmm/enginemaster/enginemaster.module').then(m =&gt; m.EngineMasterModule),
    data: { permission: 'Pages.Master.Cmm.EngineMaster' }
},</v>
      </c>
      <c r="R10" s="47" t="str">
        <f>SUBSTITUTE(R9,"MstWptCalendar",$B$6)</f>
        <v>ApiServiceProxies.MstCmmEngineMasterServiceProxy,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this.l('Class Type'),headerTooltip: this.l('Class Type'),field: 'classType',flex: 1},
			{headerName: this.l('Class Name'),headerTooltip: this.l('Class Name'),field: 'className',flex: 1},
			{headerName: this.l('Transmission Type'),headerTooltip: this.l('Transmission Type'),field: 'transmissionType',flex: 1},
			{headerName: this.l('Engine Model'),headerTooltip: this.l('Engine Model'),field: 'engineModel',flex: 1},
			{headerName: this.l('Engine Type'),headerTooltip: this.l('Engine Type'),field: 'engineType',flex: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[(ngModel)]='classType' name='classType'
									class='form-control' [placeholder]="l('Class Type')"
									type='text' (keyup.enter)='searchDatas()'&gt;
								&lt;/div&gt;
								&lt;div class='input-search'&gt;
									&lt;input [(ngModel)]='className' name='className'
									class='form-control' [placeholder]="l('Class Name')"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[(ngModel)]='engineModel' name='engineModel'
									class='form-control' [placeholder]="l('Engine Model')"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title'&gt;Class Type&lt;/label&gt;
						&lt;input type='text' class='col-md-10 form-control input-text' name='ClassType' [(ngModel)]='rowdata.classType'&gt;
					&lt;/div&gt;
					&lt;div class='col-md-12 form-group row'&gt;
						&lt;label class='col-md-2 form-control title'&gt;Class Name&lt;/label&gt;
						&lt;input type='text' class='col-md-10 form-control input-text' name='ClassName' [(ngModel)]='rowdata.className'&gt;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Model&lt;/label&gt;
						&lt;input type='text' class='col-md-10 form-control input-text' name='EngineModel' [(ngModel)]='rowdata.engineModel'&gt;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classType : string = '' ; 
	className : string = '' ; 
	transmissionType : string = '' ; 
	engineModel : string = '' ; 
	engineType : string = '' ; </v>
      </c>
      <c r="T13" s="62" t="str">
        <f ca="1">TEXTJOIN2("
",TRUE,INDIRECT(T11):INDIRECT(T12))</f>
        <v xml:space="preserve">			this.,
			this.materialCode,
			this.classType,
			this.className,
			this.transmissionType,
			this.className,</v>
      </c>
      <c r="U13" s="62" t="str">
        <f ca="1">TEXTJOIN2("
",TRUE,INDIRECT(U11):INDIRECT(U12))</f>
        <v xml:space="preserve">	materialCode : string = '' ; 
	classType : string = '' ; 
	className : string = '' ; 
	transmissionType : string = '' ; 
	engineModel : string = '' ; 
	engineType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enginemaster.component.ts</v>
      </c>
      <c r="I14" s="37" t="str">
        <f>B8&amp;".component.html"</f>
        <v>enginemaster.component.html</v>
      </c>
      <c r="J14" s="36" t="str">
        <f>B8&amp;".component.less"</f>
        <v>enginemaster.component.less</v>
      </c>
      <c r="K14" s="37" t="str">
        <f>"create-or-edit-"&amp;B8&amp;"-modal.component.html"</f>
        <v>create-or-edit-enginemaster-modal.component.html</v>
      </c>
      <c r="L14" s="37" t="str">
        <f>"create-or-edit-"&amp;B8&amp;"-modal.component.ts"</f>
        <v>create-or-edit-enginemaster-modal.component.ts</v>
      </c>
      <c r="M14" s="37" t="str">
        <f>"create-or-edit-"&amp;B8&amp;"-modal.component.less"</f>
        <v>create-or-edit-enginemaster-modal.component.less</v>
      </c>
      <c r="N14" s="37" t="str">
        <f>B8&amp;".module.ts"</f>
        <v>enginemaster.module.ts</v>
      </c>
      <c r="O14" s="37" t="str">
        <f>B8&amp;"-routing.module.ts"</f>
        <v>enginemaster-routing.module.ts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363</v>
      </c>
      <c r="B15" s="28" t="str">
        <f>SUBSTITUTE(PROPER(A15),"_","")</f>
        <v>MaterialCode</v>
      </c>
      <c r="C15" s="28" t="str">
        <f>SUBSTITUTE(PROPER(A15),"_"," ")</f>
        <v>Material Code</v>
      </c>
      <c r="D15" s="28" t="str">
        <f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" si="0">IF(E15="string"," : string = '' ; ",IF(OR(E15="DateTime",E15="TimeSpan")," : any ;",IF(E15="int"," : number = 0 ;","")))</f>
        <v xml:space="preserve"> : string = '' ; </v>
      </c>
      <c r="H15" s="35" t="str">
        <f t="shared" ref="H15" si="1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:I20" si="2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3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materialCode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materialCode : string = '' ; </v>
      </c>
      <c r="V15" s="28" t="str">
        <f t="shared" ref="V15" si="4">IF(AND(E15="string",F15="1"),D15,"")</f>
        <v/>
      </c>
    </row>
    <row r="16" spans="1:22" ht="18" customHeight="1" x14ac:dyDescent="0.25">
      <c r="A16" s="28" t="s">
        <v>364</v>
      </c>
      <c r="B16" s="28" t="str">
        <f>SUBSTITUTE(PROPER(A16),"_","")</f>
        <v>ClassType</v>
      </c>
      <c r="C16" s="28" t="str">
        <f>SUBSTITUTE(PROPER(A16),"_"," ")</f>
        <v>Class Type</v>
      </c>
      <c r="D16" s="28" t="str">
        <f t="shared" ref="D16:D20" si="5">LOWER(LEFT(B16,1))&amp;RIGHT(B16,LEN(B16) - 1)</f>
        <v>classType</v>
      </c>
      <c r="E16" s="28" t="str">
        <f>A.Backend!H10</f>
        <v>string</v>
      </c>
      <c r="F16" s="28" t="str">
        <f>A.Backend!G10</f>
        <v>3</v>
      </c>
      <c r="G16" s="28" t="str">
        <f t="shared" ref="G16:G20" si="6">IF(E16="string"," : string = '' ; ",IF(OR(E16="DateTime",E16="TimeSpan")," : any ;",IF(E16="int"," : number = 0 ;","")))</f>
        <v xml:space="preserve"> : string = '' ; </v>
      </c>
      <c r="H16" s="35" t="str">
        <f t="shared" ref="H16:H20" si="7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this.l('Class Type'),headerTooltip: this.l('Class Type'),field: 'classType',flex: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[(ngModel)]='classType' name='classType'
									class='form-control' [placeholder]="l('Class Type')"
									type='text' (keyup.enter)='searchDatas()'&gt;
								&lt;/div&gt;</v>
      </c>
      <c r="J16" s="28"/>
      <c r="K16" s="35" t="str">
        <f t="shared" ref="K16:K20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title'&gt;Class Type&lt;/label&gt;
						&lt;input type='text' class='col-md-10 form-control input-text' name='ClassType' [(ngModel)]='rowdata.classType'&gt;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0" si="10">IF(AND(E16="string",F16 &lt;&gt;"1"),(REPT(CHAR(9),1)&amp;D16&amp;G16),"")</f>
        <v xml:space="preserve">	classType : string = '' ; </v>
      </c>
      <c r="T16" s="28" t="str">
        <f>IF(AND(E16="string",F16 &lt;&gt;"1"),(REPT(CHAR(9),3)&amp;"this."&amp;D15&amp;","),"")</f>
        <v xml:space="preserve">			this.materialCode,</v>
      </c>
      <c r="U16" s="28" t="str">
        <f t="shared" ref="U16:U20" si="11">IF(AND(E16="string",F16 &lt;&gt;"1"),(REPT(CHAR(9),1)&amp;D16&amp;G16),"")</f>
        <v xml:space="preserve">	classType : string = '' ; </v>
      </c>
      <c r="V16" s="28" t="str">
        <f t="shared" ref="V16:V20" si="12">IF(AND(E16="string",F16="1"),D16,"")</f>
        <v/>
      </c>
    </row>
    <row r="17" spans="1:22" ht="18" customHeight="1" x14ac:dyDescent="0.25">
      <c r="A17" s="28" t="s">
        <v>365</v>
      </c>
      <c r="B17" s="28" t="str">
        <f t="shared" ref="B17:B20" si="13">SUBSTITUTE(PROPER(A17),"_","")</f>
        <v>ClassName</v>
      </c>
      <c r="C17" s="28" t="str">
        <f t="shared" ref="C17:C20" si="14">SUBSTITUTE(PROPER(A17),"_"," ")</f>
        <v>Class Name</v>
      </c>
      <c r="D17" s="28" t="str">
        <f t="shared" si="5"/>
        <v>className</v>
      </c>
      <c r="E17" s="28" t="str">
        <f>A.Backend!H11</f>
        <v>string</v>
      </c>
      <c r="F17" s="28" t="str">
        <f>A.Backend!G11</f>
        <v>18</v>
      </c>
      <c r="G17" s="28" t="str">
        <f t="shared" si="6"/>
        <v xml:space="preserve"> : string = '' ; </v>
      </c>
      <c r="H17" s="35" t="str">
        <f t="shared" si="7"/>
        <v xml:space="preserve">			{headerName: this.l('Class Name'),headerTooltip: this.l('Class Name'),field: 'className',flex: 1},</v>
      </c>
      <c r="I17" s="35" t="str">
        <f t="shared" si="2"/>
        <v xml:space="preserve">								&lt;div class='input-search'&gt;
									&lt;input [(ngModel)]='className' name='className'
									class='form-control' [placeholder]="l('Class Name')"
									type='text' (keyup.enter)='searchDatas()'&gt;
								&lt;/div&gt;</v>
      </c>
      <c r="J17" s="28"/>
      <c r="K17" s="35" t="str">
        <f t="shared" si="8"/>
        <v xml:space="preserve">					&lt;div class='col-md-12 form-group row'&gt;
						&lt;label class='col-md-2 form-control title'&gt;Class Name&lt;/label&gt;
						&lt;input type='text' class='col-md-10 form-control input-text' name='ClassName' [(ngModel)]='rowdata.className'&gt;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 xml:space="preserve">	className : string = '' ; </v>
      </c>
      <c r="T17" s="28" t="str">
        <f t="shared" ref="T17" si="15">IF(AND(E17="string",F17 &lt;&gt;"1"),(REPT(CHAR(9),3)&amp;"this."&amp;D16&amp;","),"")</f>
        <v xml:space="preserve">			this.classType,</v>
      </c>
      <c r="U17" s="28" t="str">
        <f t="shared" si="11"/>
        <v xml:space="preserve">	className : string = '' ; </v>
      </c>
      <c r="V17" s="28" t="str">
        <f t="shared" si="12"/>
        <v/>
      </c>
    </row>
    <row r="18" spans="1:22" ht="18" customHeight="1" x14ac:dyDescent="0.25">
      <c r="A18" s="28" t="s">
        <v>366</v>
      </c>
      <c r="B18" s="28" t="str">
        <f>SUBSTITUTE(PROPER(A18),"_","")</f>
        <v>TransmissionType</v>
      </c>
      <c r="C18" s="28" t="str">
        <f>SUBSTITUTE(PROPER(A18),"_"," ")</f>
        <v>Transmission Type</v>
      </c>
      <c r="D18" s="28" t="str">
        <f t="shared" ref="D18:D19" si="16">LOWER(LEFT(B18,1))&amp;RIGHT(B18,LEN(B18) - 1)</f>
        <v>transmissionType</v>
      </c>
      <c r="E18" s="28" t="str">
        <f>A.Backend!H12</f>
        <v>string</v>
      </c>
      <c r="F18" s="28" t="str">
        <f>A.Backend!G12</f>
        <v>5</v>
      </c>
      <c r="G18" s="28" t="str">
        <f t="shared" ref="G18:G19" si="17">IF(E18="string"," : string = '' ; ",IF(OR(E18="DateTime",E18="TimeSpan")," : any ;",IF(E18="int"," : number = 0 ;","")))</f>
        <v xml:space="preserve"> : string = '' ; </v>
      </c>
      <c r="H18" s="35" t="str">
        <f t="shared" ref="H18:H19" si="18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this.l('Transmission Type'),headerTooltip: this.l('Transmission Type'),field: 'transmissionType',flex: 1},</v>
      </c>
      <c r="I18" s="35" t="str">
        <f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IF(AND(E18="string",F18 &lt;&gt;"1"),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[(ngModel)]='transmissionType' name='transmissionType'
									class='form-control' [placeholder]="l('Transmission Type')"
									type='text' (keyup.enter)='searchDatas()'&gt;
								&lt;/div&gt;</v>
      </c>
      <c r="J18" s="28"/>
      <c r="K18" s="35" t="str">
        <f t="shared" ref="K18:K19" si="19">IF(OR(E18="DateTime?",E18="TimeSpan?"),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IF(OR(E18="int?",E18="long?"),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</v>
      </c>
      <c r="L18" s="56" t="str">
        <f t="shared" ref="L18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19" si="21">IF(AND(E18="string",F18 &lt;&gt;"1"),(REPT(CHAR(9),1)&amp;D18&amp;G18),"")</f>
        <v xml:space="preserve">	transmissionType : string = '' ; </v>
      </c>
      <c r="T18" s="28" t="str">
        <f>IF(AND(E18="string",F18 &lt;&gt;"1"),(REPT(CHAR(9),3)&amp;"this."&amp;D17&amp;","),"")</f>
        <v xml:space="preserve">			this.className,</v>
      </c>
      <c r="U18" s="28" t="str">
        <f t="shared" ref="U18:U19" si="22">IF(AND(E18="string",F18 &lt;&gt;"1"),(REPT(CHAR(9),1)&amp;D18&amp;G18),"")</f>
        <v xml:space="preserve">	transmissionType : string = '' ; </v>
      </c>
      <c r="V18" s="28" t="str">
        <f t="shared" ref="V18:V19" si="23">IF(AND(E18="string",F18="1"),D18,"")</f>
        <v/>
      </c>
    </row>
    <row r="19" spans="1:22" ht="18" customHeight="1" x14ac:dyDescent="0.25">
      <c r="A19" s="28" t="s">
        <v>367</v>
      </c>
      <c r="B19" s="28" t="str">
        <f t="shared" ref="B19" si="24">SUBSTITUTE(PROPER(A19),"_","")</f>
        <v>EngineModel</v>
      </c>
      <c r="C19" s="28" t="str">
        <f t="shared" ref="C19" si="25">SUBSTITUTE(PROPER(A19),"_"," ")</f>
        <v>Engine Model</v>
      </c>
      <c r="D19" s="28" t="str">
        <f t="shared" si="16"/>
        <v>engineModel</v>
      </c>
      <c r="E19" s="28" t="str">
        <f>A.Backend!H13</f>
        <v>string</v>
      </c>
      <c r="F19" s="28" t="str">
        <f>A.Backend!G13</f>
        <v>10</v>
      </c>
      <c r="G19" s="28" t="str">
        <f t="shared" si="17"/>
        <v xml:space="preserve"> : string = '' ; </v>
      </c>
      <c r="H19" s="35" t="str">
        <f t="shared" si="18"/>
        <v xml:space="preserve">			{headerName: this.l('Engine Model'),headerTooltip: this.l('Engine Model'),field: 'engineModel',flex: 1},</v>
      </c>
      <c r="I19" s="35" t="str">
        <f t="shared" ref="I19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[(ngModel)]='engineModel' name='engineModel'
									class='form-control' [placeholder]="l('Engine Model')"
									type='text' (keyup.enter)='searchDatas()'&gt;
								&lt;/div&gt;</v>
      </c>
      <c r="J19" s="28"/>
      <c r="K19" s="35" t="str">
        <f t="shared" si="19"/>
        <v xml:space="preserve">					&lt;div class='col-md-12 form-group row'&gt;
						&lt;label class='col-md-2 form-control title'&gt;Engine Model&lt;/label&gt;
						&lt;input type='text' class='col-md-10 form-control input-text' name='EngineModel' [(ngModel)]='rowdata.engineModel'&gt;
					&lt;/div&gt;</v>
      </c>
      <c r="L19" s="56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21"/>
        <v xml:space="preserve">	engineModel : string = '' ; </v>
      </c>
      <c r="T19" s="28" t="str">
        <f t="shared" ref="T19" si="27">IF(AND(E19="string",F19 &lt;&gt;"1"),(REPT(CHAR(9),3)&amp;"this."&amp;D18&amp;","),"")</f>
        <v xml:space="preserve">			this.transmissionType,</v>
      </c>
      <c r="U19" s="28" t="str">
        <f t="shared" si="22"/>
        <v xml:space="preserve">	engineModel : string = '' ; </v>
      </c>
      <c r="V19" s="28" t="str">
        <f t="shared" si="23"/>
        <v/>
      </c>
    </row>
    <row r="20" spans="1:22" ht="15" customHeight="1" x14ac:dyDescent="0.25">
      <c r="A20" s="28" t="s">
        <v>368</v>
      </c>
      <c r="B20" s="28" t="str">
        <f t="shared" si="13"/>
        <v>EngineType</v>
      </c>
      <c r="C20" s="28" t="str">
        <f t="shared" si="14"/>
        <v>Engine Type</v>
      </c>
      <c r="D20" s="28" t="str">
        <f t="shared" si="5"/>
        <v>engineType</v>
      </c>
      <c r="E20" s="28" t="str">
        <f>A.Backend!H14</f>
        <v>string</v>
      </c>
      <c r="F20" s="28" t="str">
        <f>A.Backend!G14</f>
        <v>10</v>
      </c>
      <c r="G20" s="28" t="str">
        <f t="shared" si="6"/>
        <v xml:space="preserve"> : string = '' ; </v>
      </c>
      <c r="H20" s="35" t="str">
        <f t="shared" si="7"/>
        <v xml:space="preserve">			{headerName: this.l('Engine Type'),headerTooltip: this.l('Engine Type'),field: 'engineType',flex: 1},</v>
      </c>
      <c r="I20" s="35" t="str">
        <f t="shared" si="2"/>
        <v xml:space="preserve">								&lt;div class='input-search'&gt;
									&lt;input [(ngModel)]='engineType' name='engineType'
									class='form-control' [placeholder]="l('Engine Type')"
									type='text' (keyup.enter)='searchDatas()'&gt;
								&lt;/div&gt;</v>
      </c>
      <c r="J20" s="28"/>
      <c r="K20" s="35" t="str">
        <f t="shared" si="8"/>
        <v xml:space="preserve">					&lt;div class='col-md-12 form-group row'&gt;
						&lt;label class='col-md-2 form-control title'&gt;Engine Type&lt;/label&gt;
						&lt;input type='text' class='col-md-10 form-control input-text' name='EngineType' [(ngModel)]='rowdata.engineType'&gt;
					&lt;/div&gt;</v>
      </c>
      <c r="L20" s="56" t="str">
        <f t="shared" ref="L20" si="28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0"/>
        <v xml:space="preserve">	engineType : string = '' ; </v>
      </c>
      <c r="T20" s="28" t="str">
        <f>IF(AND(E20="string",F20 &lt;&gt;"1"),(REPT(CHAR(9),3)&amp;"this."&amp;D17&amp;","),"")</f>
        <v xml:space="preserve">			this.className,</v>
      </c>
      <c r="U20" s="28" t="str">
        <f t="shared" si="11"/>
        <v xml:space="preserve">	engineType : string = '' ; </v>
      </c>
      <c r="V20" s="28" t="str">
        <f t="shared" si="12"/>
        <v/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2023-08-23T08:29:16Z</dcterms:modified>
</cp:coreProperties>
</file>
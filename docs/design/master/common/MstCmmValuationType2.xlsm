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master\common\"/>
    </mc:Choice>
  </mc:AlternateContent>
  <bookViews>
    <workbookView xWindow="-120" yWindow="-120" windowWidth="30960" windowHeight="158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5" l="1"/>
  <c r="D16" i="5" s="1"/>
  <c r="C16" i="5"/>
  <c r="E16" i="5"/>
  <c r="F16" i="5"/>
  <c r="G16" i="5"/>
  <c r="B17" i="5"/>
  <c r="C17" i="5"/>
  <c r="D17" i="5"/>
  <c r="E17" i="5"/>
  <c r="G17" i="5" s="1"/>
  <c r="F17" i="5"/>
  <c r="B18" i="5"/>
  <c r="D18" i="5" s="1"/>
  <c r="C18" i="5"/>
  <c r="E18" i="5"/>
  <c r="F18" i="5"/>
  <c r="G18" i="5"/>
  <c r="B19" i="5"/>
  <c r="C19" i="5"/>
  <c r="D19" i="5"/>
  <c r="E19" i="5"/>
  <c r="G19" i="5" s="1"/>
  <c r="F19" i="5"/>
  <c r="B20" i="5"/>
  <c r="D20" i="5" s="1"/>
  <c r="C20" i="5"/>
  <c r="E20" i="5"/>
  <c r="F20" i="5"/>
  <c r="G20" i="5"/>
  <c r="G12" i="1"/>
  <c r="E12" i="1"/>
  <c r="H12" i="1" s="1"/>
  <c r="D12" i="1"/>
  <c r="V12" i="1" s="1"/>
  <c r="W12" i="1" l="1"/>
  <c r="O12" i="1"/>
  <c r="J12" i="1"/>
  <c r="N12" i="1"/>
  <c r="M12" i="1"/>
  <c r="I12" i="1"/>
  <c r="P12" i="1"/>
  <c r="T12" i="1"/>
  <c r="T18" i="5"/>
  <c r="G13" i="1"/>
  <c r="E13" i="1"/>
  <c r="H13" i="1" s="1"/>
  <c r="D13" i="1"/>
  <c r="V13" i="1" s="1"/>
  <c r="G11" i="1"/>
  <c r="E11" i="1"/>
  <c r="H11" i="1" s="1"/>
  <c r="D11" i="1"/>
  <c r="T11" i="1" s="1"/>
  <c r="M11" i="1" l="1"/>
  <c r="V18" i="5"/>
  <c r="T16" i="5"/>
  <c r="I18" i="5"/>
  <c r="U18" i="5"/>
  <c r="S18" i="5"/>
  <c r="L18" i="5"/>
  <c r="W13" i="1"/>
  <c r="O13" i="1"/>
  <c r="J13" i="1"/>
  <c r="N13" i="1"/>
  <c r="I13" i="1"/>
  <c r="M13" i="1"/>
  <c r="P13" i="1"/>
  <c r="T13" i="1"/>
  <c r="P11" i="1"/>
  <c r="I11" i="1"/>
  <c r="N11" i="1"/>
  <c r="V11" i="1"/>
  <c r="J11" i="1"/>
  <c r="O11" i="1"/>
  <c r="W11" i="1"/>
  <c r="K18" i="5" l="1"/>
  <c r="H18" i="5"/>
  <c r="B6" i="1"/>
  <c r="C15" i="5" l="1"/>
  <c r="B15" i="5"/>
  <c r="D15" i="5" s="1"/>
  <c r="T15" i="5" s="1"/>
  <c r="T19" i="5" l="1"/>
  <c r="G14" i="1" l="1"/>
  <c r="E14" i="1"/>
  <c r="H14" i="1" s="1"/>
  <c r="D14" i="1"/>
  <c r="V14" i="1" s="1"/>
  <c r="V20" i="5" l="1"/>
  <c r="H20" i="5"/>
  <c r="T20" i="5"/>
  <c r="K20" i="5"/>
  <c r="W14" i="1"/>
  <c r="J14" i="1"/>
  <c r="I14" i="1"/>
  <c r="O14" i="1"/>
  <c r="N14" i="1"/>
  <c r="M14" i="1"/>
  <c r="P14" i="1"/>
  <c r="T14" i="1"/>
  <c r="G9" i="1"/>
  <c r="F15" i="5" s="1"/>
  <c r="E9" i="1"/>
  <c r="H9" i="1" s="1"/>
  <c r="E15" i="5" s="1"/>
  <c r="D9" i="1"/>
  <c r="V9" i="1" s="1"/>
  <c r="I20" i="5" l="1"/>
  <c r="S20" i="5"/>
  <c r="U20" i="5"/>
  <c r="L20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I16" i="5" l="1"/>
  <c r="K16" i="5"/>
  <c r="S16" i="5"/>
  <c r="H16" i="5"/>
  <c r="L16" i="5"/>
  <c r="U16" i="5"/>
  <c r="V16" i="5"/>
  <c r="H19" i="5"/>
  <c r="I19" i="5"/>
  <c r="S19" i="5"/>
  <c r="V19" i="5"/>
  <c r="K19" i="5"/>
  <c r="U19" i="5"/>
  <c r="L19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S13" i="5"/>
  <c r="L13" i="5"/>
  <c r="U13" i="5"/>
  <c r="H13" i="5"/>
  <c r="I13" i="5"/>
  <c r="V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s="1"/>
  <c r="L14" i="1" l="1"/>
  <c r="L13" i="1"/>
  <c r="L11" i="1"/>
  <c r="L9" i="1"/>
  <c r="L10" i="1"/>
  <c r="C7" i="1"/>
  <c r="I16" i="1"/>
  <c r="J16" i="1"/>
  <c r="P16" i="1"/>
  <c r="N16" i="1"/>
  <c r="O16" i="1"/>
  <c r="Q7" i="1" l="1"/>
  <c r="M68" i="3" s="1"/>
  <c r="L7" i="1"/>
  <c r="G68" i="3" s="1"/>
  <c r="K68" i="3"/>
  <c r="J68" i="3"/>
  <c r="M16" i="1"/>
  <c r="K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<sst xmlns="http://schemas.openxmlformats.org/spreadsheetml/2006/main" count="481" uniqueCount="386">
  <si>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</si>
  <si>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</si>
  <si>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</si>
  <si>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</si>
  <si>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</si>
  <si>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</si>
  <si>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</si>
  <si>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</si>
  <si>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</si>
  <si>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</si>
  <si>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</si>
  <si>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</si>
  <si>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</si>
  <si>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</si>
  <si>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</si>
  <si>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</si>
  <si>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</si>
  <si>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</si>
  <si>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</si>
  <si>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</si>
  <si>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</si>
  <si>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</si>
  <si>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</si>
  <si>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</si>
  <si>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</si>
  <si>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</si>
  <si>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</si>
  <si>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</si>
  <si>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</si>
  <si>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</si>
  <si>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</si>
  <si>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</si>
  <si>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</si>
  <si>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</si>
  <si>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</si>
  <si>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</si>
  <si>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</si>
  <si>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</si>
  <si>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</si>
  <si>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</si>
  <si>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</si>
  <si>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</si>
  <si>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</si>
  <si>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</si>
  <si>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</si>
  <si>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</si>
  <si>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</si>
  <si>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</si>
  <si>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</si>
  <si>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</si>
  <si>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</si>
  <si>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</si>
  <si>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</si>
  <si>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</si>
  <si>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</si>
  <si>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</si>
  <si>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</si>
  <si>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</si>
  <si>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</si>
  <si>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</si>
  <si>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</si>
  <si>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</si>
  <si>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</si>
  <si>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</si>
  <si>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</si>
  <si>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</si>
  <si>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</si>
  <si>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</si>
  <si>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</si>
  <si>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</si>
  <si>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</si>
  <si>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</si>
  <si>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</si>
  <si>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</si>
  <si>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</si>
  <si>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</si>
  <si>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</si>
  <si>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</si>
  <si>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</si>
  <si>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</si>
  <si>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</si>
  <si>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</si>
  <si>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</si>
  <si>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</si>
  <si>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</si>
  <si>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</si>
  <si>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</si>
  <si>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</si>
  <si>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</si>
  <si>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</si>
  <si>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</si>
  <si>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</si>
  <si>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</si>
  <si>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</si>
  <si>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</si>
  <si>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</si>
  <si>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</si>
  <si>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</si>
  <si>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</si>
  <si>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</si>
  <si>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</si>
  <si>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</si>
  <si>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</si>
  <si>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</si>
  <si>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</si>
  <si>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</si>
  <si>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</si>
  <si>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</si>
  <si>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</si>
  <si>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</si>
  <si>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</si>
  <si>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</si>
  <si>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</si>
  <si>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</si>
  <si>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</si>
  <si>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</si>
  <si>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</si>
  <si>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</si>
  <si>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</si>
  <si>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</si>
  <si>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</si>
  <si>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</si>
  <si>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</si>
  <si>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</si>
  <si>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</si>
  <si>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</si>
  <si>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</si>
  <si>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</si>
  <si>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</si>
  <si>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</si>
  <si>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</si>
  <si>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</si>
  <si>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</si>
  <si>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</si>
  <si>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</si>
  <si>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</si>
  <si>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</si>
  <si>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</si>
  <si>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</si>
  <si>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</si>
  <si>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</si>
  <si>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</si>
  <si>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</si>
  <si>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</si>
  <si>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</si>
  <si>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</si>
  <si>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</si>
  <si>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</si>
  <si>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</si>
  <si>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</si>
  <si>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</si>
  <si>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</si>
  <si>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</si>
  <si>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</si>
  <si>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</si>
  <si>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</si>
  <si>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</si>
  <si>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</si>
  <si>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</si>
  <si>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</si>
  <si>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</si>
  <si>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</si>
  <si>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</si>
  <si>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</si>
  <si>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</si>
  <si>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</si>
  <si>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</si>
  <si>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</si>
  <si>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</si>
  <si>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</si>
  <si>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</si>
  <si>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</si>
  <si>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</si>
  <si>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</si>
  <si>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</si>
  <si>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</si>
  <si>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</si>
  <si>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</si>
  <si>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</si>
  <si>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</si>
  <si>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</si>
  <si>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</si>
  <si>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</si>
  <si>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</si>
  <si>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</si>
  <si>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</si>
  <si>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</si>
  <si>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</si>
  <si>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</si>
  <si>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</si>
  <si>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</si>
  <si>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</si>
  <si>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</si>
  <si>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</si>
  <si>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</si>
  <si>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</si>
  <si>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</si>
  <si>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</si>
  <si>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</si>
  <si>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</si>
  <si>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</si>
  <si>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</si>
  <si>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</si>
  <si>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</si>
  <si>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</si>
  <si>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</si>
  <si>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</si>
  <si>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</si>
  <si>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</si>
  <si>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</si>
  <si>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</si>
  <si>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</si>
  <si>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</si>
  <si>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</si>
  <si>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</si>
  <si>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</si>
  <si>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</si>
  <si>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</si>
  <si>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</si>
  <si>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</si>
  <si>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</si>
  <si>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</si>
  <si>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</si>
  <si>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</si>
  <si>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</si>
  <si>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</si>
  <si>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</si>
  <si>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</si>
  <si>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</si>
  <si>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</si>
  <si>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</si>
  <si>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</si>
  <si>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</si>
  <si>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</si>
  <si>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</si>
  <si>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</si>
  <si>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</si>
  <si>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</si>
  <si>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</si>
  <si>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</si>
  <si>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</si>
  <si>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</si>
  <si>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</si>
  <si>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</si>
  <si>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</si>
  <si>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</si>
  <si>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</si>
  <si>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</si>
  <si>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</si>
  <si>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</si>
  <si>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</si>
  <si>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</si>
  <si>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</si>
  <si>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</si>
  <si>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</si>
  <si>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</si>
  <si>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</si>
  <si>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</si>
  <si>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</si>
  <si>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</si>
  <si>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</si>
  <si>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</si>
  <si>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</si>
  <si>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</si>
  <si>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</si>
  <si>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</si>
  <si>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</si>
  <si>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</si>
  <si>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</si>
  <si>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</si>
  <si>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</si>
  <si>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</si>
  <si>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</si>
  <si>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</si>
  <si>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</si>
  <si>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</si>
  <si>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</si>
  <si>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</si>
  <si>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</si>
  <si>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</si>
  <si>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</si>
  <si>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</si>
  <si>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</si>
  <si>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</si>
  <si>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</si>
  <si>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</si>
  <si>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</si>
  <si>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</si>
  <si>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</si>
  <si>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</si>
  <si>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</si>
  <si>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</si>
  <si>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</si>
  <si>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</si>
  <si>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</si>
  <si>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</si>
  <si>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</si>
  <si>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</si>
  <si>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</si>
  <si>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</si>
  <si>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</si>
  <si>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</si>
  <si>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</si>
  <si>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</si>
  <si>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</si>
  <si>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</si>
  <si>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</si>
  <si>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</si>
  <si>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</si>
  <si>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</si>
  <si>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</si>
  <si>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</si>
  <si>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</si>
  <si>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</si>
  <si>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</si>
  <si>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</si>
  <si>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</si>
  <si>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</si>
  <si>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</si>
  <si>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</si>
  <si>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</si>
  <si>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</si>
  <si>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</si>
  <si>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</si>
  <si>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</si>
  <si>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</si>
  <si>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</si>
  <si>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</si>
  <si>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</si>
  <si>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</si>
  <si>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</si>
  <si>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</si>
  <si>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</si>
  <si>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</si>
  <si>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</si>
  <si>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</si>
  <si>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</si>
  <si>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</si>
  <si>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</si>
  <si>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</si>
  <si>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</si>
  <si>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</si>
  <si>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</si>
  <si>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</si>
  <si>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</si>
  <si>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</si>
  <si>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</si>
  <si>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</si>
  <si>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</si>
  <si>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</si>
  <si>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</si>
  <si>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</si>
  <si>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</si>
  <si>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</si>
  <si>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</si>
  <si>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IHP</t>
  </si>
  <si>
    <t>Ihp</t>
  </si>
  <si>
    <t>InvIhp</t>
  </si>
  <si>
    <t>Inhouse Part</t>
  </si>
  <si>
    <t>nvarchar(4)</t>
  </si>
  <si>
    <t>nvarchar(25)</t>
  </si>
  <si>
    <t>Description(25)</t>
  </si>
  <si>
    <t>nvarchar(200)</t>
  </si>
  <si>
    <t>Valuation Class</t>
  </si>
  <si>
    <t>Valuation Class(4)</t>
  </si>
  <si>
    <t>Ref. B/S account</t>
  </si>
  <si>
    <t>B/S account description</t>
  </si>
  <si>
    <t>FG &amp; Mer.-CKD</t>
  </si>
  <si>
    <t>Finished Goods &amp; Merchandise(Auto)ーVehicles</t>
  </si>
  <si>
    <t>FG &amp; Mer.-CBU</t>
  </si>
  <si>
    <t>FG &amp; Mer.-GOSHI</t>
  </si>
  <si>
    <t>Finished Goods &amp; Merchandise(Auto)ーVehicles (Manual upload, not from interface)</t>
  </si>
  <si>
    <t>Semi-FG</t>
  </si>
  <si>
    <t>Semi-Finished Goods</t>
  </si>
  <si>
    <t>RM-Local Part</t>
  </si>
  <si>
    <t>Raw Materials Purchase Parts</t>
  </si>
  <si>
    <t>RM-Import Part</t>
  </si>
  <si>
    <t>3002**</t>
  </si>
  <si>
    <t>RM-Steel</t>
  </si>
  <si>
    <t>-</t>
  </si>
  <si>
    <t>For MARU P</t>
  </si>
  <si>
    <t>PRODUCT</t>
  </si>
  <si>
    <t>MATERIAL_TYPE_ID</t>
  </si>
  <si>
    <t>MATERIAL_TYPE</t>
  </si>
  <si>
    <t>MstCmmValuationType</t>
  </si>
  <si>
    <t>ValuationType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</si>
</sst>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rgb="FFFFFFFF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15" borderId="6" xfId="0" applyFont="1" applyFill="1" applyBorder="1" applyAlignment="1">
      <alignment horizontal="center" vertical="center"/>
    </xf>
    <xf numFmtId="0" fontId="20" fillId="15" borderId="5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21" fillId="15" borderId="10" xfId="0" applyFont="1" applyFill="1" applyBorder="1" applyAlignment="1">
      <alignment horizontal="left" vertical="center"/>
    </xf>
    <xf numFmtId="0" fontId="21" fillId="15" borderId="11" xfId="0" applyFont="1" applyFill="1" applyBorder="1" applyAlignment="1">
      <alignment horizontal="left" vertical="center"/>
    </xf>
    <xf numFmtId="0" fontId="21" fillId="15" borderId="15" xfId="0" applyFont="1" applyFill="1" applyBorder="1" applyAlignment="1">
      <alignment horizontal="left" vertical="center"/>
    </xf>
    <xf numFmtId="0" fontId="20" fillId="16" borderId="12" xfId="0" applyFont="1" applyFill="1" applyBorder="1" applyAlignment="1">
      <alignment horizontal="center" vertical="center"/>
    </xf>
    <xf numFmtId="0" fontId="20" fillId="16" borderId="5" xfId="0" applyFont="1" applyFill="1" applyBorder="1" applyAlignment="1">
      <alignment horizontal="center" vertical="center"/>
    </xf>
    <xf numFmtId="0" fontId="20" fillId="16" borderId="14" xfId="0" applyFont="1" applyFill="1" applyBorder="1" applyAlignment="1">
      <alignment horizontal="center" vertical="center"/>
    </xf>
    <xf numFmtId="0" fontId="20" fillId="16" borderId="10" xfId="0" applyFont="1" applyFill="1" applyBorder="1" applyAlignment="1">
      <alignment vertical="center" wrapText="1"/>
    </xf>
    <xf numFmtId="0" fontId="20" fillId="16" borderId="11" xfId="0" applyFont="1" applyFill="1" applyBorder="1" applyAlignment="1">
      <alignment vertical="center" wrapText="1"/>
    </xf>
    <xf numFmtId="0" fontId="20" fillId="15" borderId="12" xfId="0" applyFont="1" applyFill="1" applyBorder="1" applyAlignment="1">
      <alignment horizontal="center" vertical="center"/>
    </xf>
    <xf numFmtId="0" fontId="20" fillId="15" borderId="10" xfId="0" applyFont="1" applyFill="1" applyBorder="1" applyAlignment="1">
      <alignment vertical="center" wrapText="1"/>
    </xf>
    <xf numFmtId="0" fontId="20" fillId="15" borderId="11" xfId="0" applyFont="1" applyFill="1" applyBorder="1" applyAlignment="1">
      <alignment vertical="center" wrapText="1"/>
    </xf>
    <xf numFmtId="0" fontId="19" fillId="14" borderId="6" xfId="0" applyFont="1" applyFill="1" applyBorder="1" applyAlignment="1">
      <alignment horizontal="center" vertical="center" wrapText="1"/>
    </xf>
    <xf numFmtId="0" fontId="19" fillId="14" borderId="5" xfId="0" applyFont="1" applyFill="1" applyBorder="1" applyAlignment="1">
      <alignment horizontal="center" vertical="center" wrapText="1"/>
    </xf>
    <xf numFmtId="0" fontId="19" fillId="14" borderId="7" xfId="0" applyFont="1" applyFill="1" applyBorder="1" applyAlignment="1">
      <alignment horizontal="center" vertical="center" wrapText="1"/>
    </xf>
    <xf numFmtId="0" fontId="19" fillId="14" borderId="8" xfId="0" applyFont="1" applyFill="1" applyBorder="1" applyAlignment="1">
      <alignment horizontal="center" vertical="center" wrapText="1"/>
    </xf>
    <xf numFmtId="0" fontId="19" fillId="14" borderId="9" xfId="0" applyFont="1" applyFill="1" applyBorder="1" applyAlignment="1">
      <alignment horizontal="center" vertical="center" wrapText="1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9" fillId="14" borderId="10" xfId="0" applyFont="1" applyFill="1" applyBorder="1" applyAlignment="1">
      <alignment vertical="center" wrapText="1"/>
    </xf>
    <xf numFmtId="0" fontId="19" fillId="14" borderId="1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1</xdr:col>
      <xdr:colOff>95250</xdr:colOff>
      <xdr:row>8</xdr:row>
      <xdr:rowOff>95250</xdr:rowOff>
    </xdr:to>
    <xdr:sp macro="" textlink="">
      <xdr:nvSpPr>
        <xdr:cNvPr id="4097" name="AutoShape 1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4953000" y="26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95250</xdr:colOff>
      <xdr:row>1</xdr:row>
      <xdr:rowOff>95250</xdr:rowOff>
    </xdr:to>
    <xdr:sp macro="" textlink="">
      <xdr:nvSpPr>
        <xdr:cNvPr id="4098" name="AutoShape 2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6172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ductTmv\prod\docs\design\loga\ekb\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42" zoomScaleNormal="100" workbookViewId="0">
      <selection activeCell="F49" sqref="F4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355</v>
      </c>
      <c r="F46" s="1" t="s">
        <v>356</v>
      </c>
      <c r="G46" t="s">
        <v>357</v>
      </c>
      <c r="H46" t="s">
        <v>358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[Table("MstCmmValuationType")]
	[Index(nameof(Code), Name="IX_MstCmmValuationType_Code")]
	[Index(nameof(Product), Name="IX_MstCmmValuationType_Product")]
	[Index(nameof(MaterialTypeId), Name="IX_MstCmmValuationType_MaterialTypeId")]
	[Index(nameof(MaterialType), Name="IX_MstCmmValuationType_MaterialType")]
	[Index(nameof(IsActive), Name="IX_MstCmmValuationType_IsActive")]	public class MstCmmValuationType: FullAuditedEntity&lt;long&gt;, IEntity&lt;long&gt;	
	{
		public const int MaxCodeLength = 4;
		public const int MaxNameLength = 25;
		public const int MaxProductLength = 25;
		public const int MaxMaterialTypeIdLength = 25;
		public const int MaxMaterialTypeLength = 200;
		public const int MaxIsActiveLength = 1;
		[StringLength(MaxCodeLength)]
		public virtual string Code { get; set; }
		[StringLength(MaxNameLength)]
		public virtual string Name { get; set; }
		[StringLength(MaxProductLength)]
		public virtual string Product { get; set; }
		[StringLength(MaxMaterialTypeIdLength)]
		public virtual string MaterialTypeId { get; set; }
		[StringLength(MaxMaterialTypeLength)]
		public virtual string MaterialType { get; set; }
		[StringLength(MaxIsActiveLength)]
		public virtual string IsActive { get; set; }
	}
}
</v>
      </c>
      <c r="D68" s="48" t="str">
        <f>A.Backend!O7</f>
        <v xml:space="preserve">		public const string Pages_Master_Common_ValuationType = "Pages.Master.Common.ValuationType";
		public const string Pages_Master_Common_ValuationType_CreateEdit = "Pages.Master.Common.ValuationType.CreateEdit";
		public const string Pages_Master_Common_ValuationType_Delete = "Pages.Master.Common.ValuationType.Delete";
</v>
      </c>
      <c r="E68" s="48" t="str">
        <f>A.Backend!N7</f>
        <v xml:space="preserve">		var perMstCmmValuationType = PARENTS.CreateChildPermission(AppPermissions.Pages_Master_Common_ValuationType, L( "MasterCommonValuationType"), multiTenancySides: MultiTenancySides.Tenant);
		perMstCmmValuationType.CreateChildPermission(AppPermissions.Pages_Master_Common_ValuationType_CreateEdit, L( "MasterCommonValuationTypeCreateEdit"), multiTenancySides: MultiTenancySides.Tenant);
		perMstCmmValuationType.CreateChildPermission(AppPermissions.Pages_Master_Common_ValuationType_Delete, L( "MasterCommonValuationTypeDelete"), multiTenancySides: MultiTenancySides.Tenant);</v>
      </c>
      <c r="F68" s="48" t="str">
        <f>A.Backend!K7</f>
        <v>public virtual DbSet&lt;MstCmmValuationType&gt; MstCmmValuationTypes { get; set; }</v>
      </c>
      <c r="G68" s="48" t="str">
        <f ca="1">A.Backend!L7</f>
        <v xml:space="preserve">namespace prod.Master.Common
{
	public class MstCmmValuationTypeConsts	
	{
		public const int MaxCodeLength = 4;
		public const int MaxNameLength = 25;
		public const int MaxProductLength = 25;
		public const int MaxMaterialTypeIdLength = 25;
		public const int MaxMaterialTypeLength = 200;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MstCmmValuationTypeDto : EntityDto&lt;long?&gt;	
	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	public class CreateOrEditMstCmmValuationTypeDto : EntityDto&lt;long?&gt;	
	{
		[StringLength(MstCmmValuationTypeConsts.MaxCodeLength)]
		public virtual string Code { get; set; }
		[StringLength(MstCmmValuationTypeConsts.MaxNameLength)]
		public virtual string Name { get; set; }
		[StringLength(MstCmmValuationTypeConsts.MaxProductLength)]
		public virtual string Product { get; set; }
		[StringLength(MstCmmValuationTypeConsts.MaxMaterialTypeIdLength)]
		public virtual string MaterialTypeId { get; set; }
		[StringLength(MstCmmValuationTypeConsts.MaxMaterialTypeLength)]
		public virtual string MaterialType { get; set; }
		[StringLength(MstCmmValuationTypeConsts.MaxIsActiveLength)]
		public virtual string IsActive { get; set; }
	}
	public class GetMstCmmValuationTypeInput : PagedAndSortedResultRequestDto	
	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MstCmmValuationTypeExportInput{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IMstCmmValuationTypeAppService : IApplicationService
	{
		Task&lt;PagedResultDto&lt;MstCmmValuationTypeDto&gt;&gt; GetAll(GetMstCmmValuationTypeInput input);
		Task CreateOrEdit(CreateOrEditMstCmmValuationTypeDto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IMstCmmValuationTypeExcelExporter : IApplicationService
	{
		FileDto ExportToFile(List&lt;MstCmmValuationTypeDto&gt; mstcmmvaluationtype);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MstCmmValuationTypeExcelExporter : NpoiExcelExporterBase, IMstCmmValuationTypeExcelExporter
    {
        public MstCmmValuationTypeExcelExporter(ITempFileCacheManager tempFileCacheManager) : base(tempFileCacheManager) { }
        public FileDto ExportToFile(List&lt;MstCmmValuationTypeDto&gt; valuationtype)
        {
            return CreateExcelPackage(
				"MasterCommonValuationType.xlsx",
				excelPackage =&gt;
				 {
					var sheet = excelPackage.CreateSheet("ValuationType");
					AddHeader(
								sheet,
								("Code"),
								("Name"),
								("Product"),
								("MaterialTypeId"),
								("MaterialType"),
								("IsActive"),
							   );
					AddObjects(
						 sheet, 1, valuationtype,                                       
								_ =&gt; _.Code,
								_ =&gt; _.Name,
								_ =&gt; _.Product,
								_ =&gt; _.MaterialTypeId,
								_ =&gt; _.MaterialType,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[AbpAuthorize(AppPermissions.Pages_Master_Common_ValuationType)]
    public class MstCmmValuationTypeAppService : vovinaAppServiceBase, IMstCmmValuationTypeAppService
    {
        private readonly IDapperRepository&lt;MstCmmValuationType, long&gt; _dapperRepo;
        private readonly IRepository&lt;MstCmmValuationType, long&gt; _repo;
        private readonly IMstCmmValuationTypeExcelExporter _calendarListExcelExporter;
        public MstCmmValuationTypeAppService(IRepository&lt;MstCmmValuationType,long&gt; repo, 
                                         IDapperRepository&lt;MstCmmValuationType,long&gt; dapperRepo,
                                        IMstCmmValuationTypeExcelExporter calendarListExcelExporter
            )
        {
            _repo = repo;
            _dapperRepo = dapperRepo;
            _calendarListExcelExporter = calendarListExcelExporter;
        }
        [AbpAuthorize(AppPermissions.Pages_Master_Common_ValuationType_CreateEdit)]
        public async Task CreateOrEdit(CreateOrEditMstCmmValuationTypeDto input)
        {
            if (input.Id == null) await Create(input);
            else await Update(input);
        }
        //CREATE
        private async Task Create(CreateOrEditMstCmmValuationTypeDto input)
        {          
            var mainObj = ObjectMapper.Map&lt;MstCmmValuationType&gt;(input);
            await CurrentUnitOfWork.GetDbContext&lt;vovinaDbContext&gt;().AddAsync(mainObj);
        }
        // EDIT
        private async Task Update(CreateOrEditMstCmmValuationTypeDto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[AbpAuthorize(AppPermissions.Pages_Master_Common_ValuationType_Delete)]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Task&lt;PagedResultDto&lt;MstCmmValuationTypeDto&gt;&gt; GetAll(GetMstCmmValuationTypeInput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.WhereIf(!string.IsNullOrWhiteSpace(input.Product), e =&gt; e.Product.Contains(input.Product))
				.WhereIf(!string.IsNullOrWhiteSpace(input.MaterialTypeId), e =&gt; e.MaterialTypeId.Contains(input.MaterialTypeId))
				.WhereIf(!string.IsNullOrWhiteSpace(input.MaterialType), e =&gt; e.MaterialType.Contains(input.MaterialType))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MstCmmValuationTypeDto
                        {
							Id = o.Id,
							Code = o.Code,
							Name = o.Name,
							Product = o.Product,
							MaterialTypeId = o.MaterialTypeId,
							MaterialType = o.MaterialType,
							IsActive = o.IsActive,
                        };
            var totalCount = await filtered.CountAsync();
			var paged = system.PageBy(input);
            return new PagedResultDto&lt;MstCmmValuationTypeDto&gt;(
                totalCount,
                 await paged.ToListAsync()
            );
        }
        public async Task&lt;FileDto&gt; GetValuationTypeToExcel(MstCmmValuationTypeExportInput input)
        {
            var query = from o in _repo.GetAll()
                        select new MstCmmValuationTypeDto
                        {
							Id = o.Id,
							Code = o.Code,
							Name = o.Name,
							Product = o.Product,
							MaterialTypeId = o.MaterialTypeId,
							MaterialType = o.MaterialType,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_dapperRepo.ExecuteAsync(MstCmmValuationTypeConsts.SP_MST_WPT_CALENDAR_GENERATE);
       // }
    }
}</v>
      </c>
      <c r="N68" s="58" t="str">
        <f>A.Backend!U7</f>
        <v xml:space="preserve">  configuration.CreateMap&lt;MstCmmValuationTypeDto, MstCmmValuationType&gt;();
  configuration.CreateMap&lt;MstCmmValuationType, MstCmmValuationTypeDto&gt;();
  configuration.CreateMap&lt;CreateOrEditMstCmmValuationTypeDto, MstCmmValuationType&gt;();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valuationtype</v>
      </c>
      <c r="C73" s="66" t="str">
        <f>"create folder " &amp;B73</f>
        <v>create folder valuationtype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valuationtype.component.ts</v>
      </c>
      <c r="D74" s="28" t="str">
        <f>B.Frontend!I14</f>
        <v>valuationtype.component.html</v>
      </c>
      <c r="E74" s="28" t="str">
        <f>B.Frontend!J14</f>
        <v>valuationtype.component.less</v>
      </c>
      <c r="F74" s="28" t="str">
        <f>B.Frontend!K14</f>
        <v>create-or-edit-valuationtype-modal.component.html</v>
      </c>
      <c r="G74" s="28" t="str">
        <f>B.Frontend!L14</f>
        <v>create-or-edit-valuationtype-modal.component.ts</v>
      </c>
      <c r="H74" s="28" t="str">
        <f>B.Frontend!M14</f>
        <v>create-or-edit-valuationtype-modal.component.less</v>
      </c>
      <c r="I74" s="28" t="str">
        <f>B.Frontend!N14</f>
        <v>valuationtype.module.ts</v>
      </c>
      <c r="J74" s="28" t="str">
        <f>B.Frontend!O14</f>
        <v>valuationtype-routing.module.ts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MstCmmValuationTypeDto, MstCmmValuationTypeServiceProxy } from '@shared/service-proxies/service-proxies';
import { finalize } from 'rxjs/internal/operators/finalize';
import { CreateOrEditValuationTypeModalComponent } from './create-or-edit-valuationtype-modal.component';
import { DatePipe } from '@angular/common';
import { FileDownloadService } from '@shared/utils/file-download.service';
import ceil from 'lodash-es/ceil';
import { Paginator } from 'primeng/paginator';
@Component({
    templateUrl: './valuationtype.component.html',
    styleUrls: ['./valuationtype.component.less'],
})
export class ValuationTypeComponent extends AppComponentBase implements OnInit {
    @ViewChild('createOrEditModalValuationType', { static: true }) createOrEditModalValuationType:| CreateOrEditValuationTypeModalComponent|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MstCmmValuationTypeDto = new MstCmmValuationTypeDto();
    saveSelectedRow: MstCmmValuationTypeDto = new MstCmmValuationTypeDto();
    datas: MstCmmValuationTypeDto = new MstCmmValuationTypeDto();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materialTypeId : string = '' ; 
	materialType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MstCmmValuationTypeServiceProxy,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this.l('Material Type Id'),headerTooltip: this.l('Material Type Id'),field: 'materialTypeId',flex: 1},
			{headerName: this.l('Material Type'),headerTooltip: this.l('Material Type'),field: 'materialType',flex: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this.materialTypeId,
			this.materialType,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this.materialTypeId = '',
		this.materialType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this.materialTypeId,
			this.materialType,
			this.isActive,
			'',
            this.paginationParams.skipCount,
            this.paginationParams.pageSize
        );
    }
    onChangeRowSelection(params: { api: { getSelectedRows: () =&gt; MstCmmValuationTypeDto[] } }) {
        this.saveSelectedRow = params.api.getSelectedRows()[0] ?? new MstCmmValuationTypeDto();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MstCmmValuationTypeDto):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this._service.getValuationTypeToExcel(
			this.code,
			this.name,
			this.materialTypeId,
			this.materialType,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Valuation Class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[(ngModel)]='materialTypeId' name='materialTypeId'
									class='form-control' [placeholder]="l('Material Type Id')"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(click)="createOrEditModalValuationType.show()"&gt;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(click)="createOrEditModalValuationType.show(selectedRow)"&gt;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&lt;create-or-edit-valuationtype-modal
    #createOrEditModalValuationType
    (modalSave)="callBackDataGrid(dataParams)"
    (modalClose)="onChangeRowSelection(dataParams)"
&gt;
&lt;/create-or-edit-valuationtype-modal&gt;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#createOrEditModalValuationType="bs-modal"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ValuationType')}}&lt;/h3&gt;
                    &lt;h3 *ngIf="!rowdata.id"&gt;{{('Create New ValuationType')}}&lt;/h3&gt;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title'&gt;Material Type Id&lt;/label&gt;
						&lt;input type='text' class='col-md-10 form-control input-text' name='MaterialTypeId' [(ngModel)]='rowdata.materialTypeId'&gt;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CreateOrEditMstCmmValuationTypeDto, MstCmmValuationTypeServiceProxy } from '@shared/service-proxies/service-proxies';
import { BsDatepickerDirective } from 'ngx-bootstrap/datepicker';
@Component({
    selector: 'create-or-edit-valuationtype-modal',
    templateUrl: './create-or-edit-valuationtype-modal.component.html',
    styleUrls: ['./create-or-edit-valuationtype-modal.component.less']
    })
export class CreateOrEditValuationTypeModalComponent extends AppComponentBase {
    @ViewChild('createOrEditModalValuationType',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CreateOrEditMstCmmValuationTypeDto = new CreateOrEditMstCmmValuationTypeDto();
    active: boolean = false;
    saving: boolean = false;
    _isActive: boolean;
    constructor(
        injector: Injector,
        private _mstwptValuationTypeService: MstCmmValuationTypeServiceProxy,
    ) 
    {
        super(injector);
    }
    show(rowdata?: CreateOrEditMstCmmValuationTypeDto): void {
        if (!rowdata) this.rowdata = new CreateOrEditMstCmmValuationTypeDto();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this._mstwptValuationTypeService.createOrEdit(this.rowdata)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ValuationTypeRoutingModule } from './valuationtype-routing.module';
import { ValuationTypeComponent } from './valuationtype.component';
import { CreateOrEditValuationTypeModalComponent } from './create-or-edit-valuationtype-modal.component';
@NgModule({
    declarations: [
       ValuationTypeComponent, 
        CreateOrEditValuationTypeModalComponent
    ],
    imports: [
        AppSharedModule, ValuationTypeRoutingModule]
})
export class ValuationTypeModule {}</v>
      </c>
      <c r="J75" s="46" t="str">
        <f>B.Frontend!O10</f>
        <v>import {NgModule} from '@angular/core';
import {RouterModule, Routes} from '@angular/router';
import { ValuationTypeComponent } from './valuationtype.component';
const routes: Routes = [{
    path: '',
    component: ValuationTypeComponent,
    pathMatch: 'full'
}];
@NgModule({
    imports: [RouterModule.forChild(routes)],
    exports: [RouterModule],
})
export class ValuationTypeRoutingModule {}</v>
      </c>
      <c r="K75" s="46" t="str">
        <f>B.Frontend!P10</f>
        <v xml:space="preserve"> new AppMenuItem("ValuationType", "Pages.Master.Common.ValuationType", "flaticon-book",   "/app/main/master/common/valuationtype"),</v>
      </c>
      <c r="L75" s="47" t="str">
        <f>B.Frontend!Q10</f>
        <v>{
    path: 'master/common/valuationtype',
    loadChildren: () =&gt; import('./master/common/valuationtype/valuationtype.module').then(m =&gt; m.ValuationTypeModule),
    data: { permission: 'Pages.Master.Common.ValuationType' }
},</v>
      </c>
      <c r="M75" s="45" t="str">
        <f>B.Frontend!R10</f>
        <v>ApiServiceProxies.MstCmmValuationTypeServiceProxy,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B19" sqref="B19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384</v>
      </c>
      <c r="C3" s="9" t="s">
        <v>43</v>
      </c>
      <c r="D3" s="9" t="s">
        <v>44</v>
      </c>
      <c r="E3" s="9" t="s">
        <v>39</v>
      </c>
      <c r="F3" s="10" t="str">
        <f>"J"&amp;COUNTA($A:$A)</f>
        <v>J14</v>
      </c>
      <c r="G3" s="4" t="s">
        <v>57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56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MstCmmValuationTypeExportInput{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385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MstCmmValuationType: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MstCmmValuationTypeConsts	
	{
</v>
      </c>
      <c r="F6" s="10" t="str">
        <f>REPT(CHAR(9),1)&amp;"public class "&amp;B3&amp;"Dto"&amp;K3&amp;REPT(CHAR(9),1)&amp;"
"&amp;REPT(CHAR(9),1)&amp;C3</f>
        <v xml:space="preserve">	public class MstCmmValuationTypeDto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CreateOrEditMstCmmValuationTypeDto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GetMstCmmValuationTypeInput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MstCmmValuationType</v>
      </c>
      <c r="C7" s="10" t="str">
        <f>REPT(CHAR(9),1)&amp;"[Table("""&amp;B7&amp;""")]"&amp;"
"</f>
        <v xml:space="preserve">	[Table("MstCmmValuationType")]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[Table("MstCmmValuationType")]
	[Index(nameof(Code), Name="IX_MstCmmValuationType_Code")]
	[Index(nameof(Product), Name="IX_MstCmmValuationType_Product")]
	[Index(nameof(MaterialTypeId), Name="IX_MstCmmValuationType_MaterialTypeId")]
	[Index(nameof(MaterialType), Name="IX_MstCmmValuationType_MaterialType")]
	[Index(nameof(IsActive), Name="IX_MstCmmValuationType_IsActive")]	public class MstCmmValuationType: FullAuditedEntity&lt;long&gt;, IEntity&lt;long&gt;	
	{
		public const int MaxCodeLength = 4;
		public const int MaxNameLength = 25;
		public const int MaxProductLength = 25;
		public const int MaxMaterialTypeIdLength = 25;
		public const int MaxMaterialTypeLength = 200;
		public const int MaxIsActiveLength = 1;
		[StringLength(MaxCodeLength)]
		public virtual string Code { get; set; }
		[StringLength(MaxNameLength)]
		public virtual string Name { get; set; }
		[StringLength(MaxProductLength)]
		public virtual string Product { get; set; }
		[StringLength(MaxMaterialTypeIdLength)]
		public virtual string MaterialTypeId { get; set; }
		[StringLength(MaxMaterialTypeLength)]
		public virtual string MaterialType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DbSet&lt;MstCmmValuationType&gt; MstCmmValuationTypes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prod.Master.Common
{
	public class MstCmmValuationTypeConsts	
	{
		public const int MaxCodeLength = 4;
		public const int MaxNameLength = 25;
		public const int MaxProductLength = 25;
		public const int MaxMaterialTypeIdLength = 25;
		public const int MaxMaterialTypeLength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prod.Master.Common.Dto
{
	public class MstCmmValuationTypeDto : EntityDto&lt;long?&gt;	
	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	public class CreateOrEditMstCmmValuationTypeDto : EntityDto&lt;long?&gt;	
	{
		[StringLength(MstCmmValuationTypeConsts.MaxCodeLength)]
		public virtual string Code { get; set; }
		[StringLength(MstCmmValuationTypeConsts.MaxNameLength)]
		public virtual string Name { get; set; }
		[StringLength(MstCmmValuationTypeConsts.MaxProductLength)]
		public virtual string Product { get; set; }
		[StringLength(MstCmmValuationTypeConsts.MaxMaterialTypeIdLength)]
		public virtual string MaterialTypeId { get; set; }
		[StringLength(MstCmmValuationTypeConsts.MaxMaterialTypeLength)]
		public virtual string MaterialType { get; set; }
		[StringLength(MstCmmValuationTypeConsts.MaxIsActiveLength)]
		public virtual string IsActive { get; set; }
	}
	public class GetMstCmmValuationTypeInput : PagedAndSortedResultRequestDto	
	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perMstCmmValuationType = PARENTS.CreateChildPermission(AppPermissions.Pages_Master_Common_ValuationType, L( "MasterCommonValuationType"), multiTenancySides: MultiTenancySides.Tenant);
		perMstCmmValuationType.CreateChildPermission(AppPermissions.Pages_Master_Common_ValuationType_CreateEdit, L( "MasterCommonValuationTypeCreateEdit"), multiTenancySides: MultiTenancySides.Tenant);
		perMstCmmValuationType.CreateChildPermission(AppPermissions.Pages_Master_Common_ValuationType_Delete, L( "MasterCommonValuationTypeDelete"),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Pages_Master_Common_ValuationType = "Pages.Master.Common.ValuationType";
		public const string Pages_Master_Common_ValuationType_CreateEdit = "Pages.Master.Common.ValuationType.CreateEdit";
		public const string Pages_Master_Common_ValuationType_Delete = "Pages.Master.Common.ValuationType.Delete";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IMstCmmValuationTypeAppService : IApplicationService
	{
		Task&lt;PagedResultDto&lt;MstCmmValuationTypeDto&gt;&gt; GetAll(GetMstCmmValuationTypeInput input);
		Task CreateOrEdit(CreateOrEditMstCmmValuationTypeDto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[AbpAuthorize(AppPermissions.Pages_Master_Common_ValuationType)]
    public class MstCmmValuationTypeAppService : vovinaAppServiceBase, IMstCmmValuationTypeAppService
    {
        private readonly IDapperRepository&lt;MstCmmValuationType, long&gt; _dapperRepo;
        private readonly IRepository&lt;MstCmmValuationType, long&gt; _repo;
        private readonly IMstCmmValuationTypeExcelExporter _calendarListExcelExporter;
        public MstCmmValuationTypeAppService(IRepository&lt;MstCmmValuationType,long&gt; repo, 
                                         IDapperRepository&lt;MstCmmValuationType,long&gt; dapperRepo,
                                        IMstCmmValuationTypeExcelExporter calendarListExcelExporter
            )
        {
            _repo = repo;
            _dapperRepo = dapperRepo;
            _calendarListExcelExporter = calendarListExcelExporter;
        }
        [AbpAuthorize(AppPermissions.Pages_Master_Common_ValuationType_CreateEdit)]
        public async Task CreateOrEdit(CreateOrEditMstCmmValuationTypeDto input)
        {
            if (input.Id == null) await Create(input);
            else await Update(input);
        }
        //CREATE
        private async Task Create(CreateOrEditMstCmmValuationTypeDto input)
        {          
            var mainObj = ObjectMapper.Map&lt;MstCmmValuationType&gt;(input);
            await CurrentUnitOfWork.GetDbContext&lt;vovinaDbContext&gt;().AddAsync(mainObj);
        }
        // EDIT
        private async Task Update(CreateOrEditMstCmmValuationTypeDto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[AbpAuthorize(AppPermissions.Pages_Master_Common_ValuationType_Delete)]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Task&lt;PagedResultDto&lt;MstCmmValuationTypeDto&gt;&gt; GetAll(GetMstCmmValuationTypeInput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.WhereIf(!string.IsNullOrWhiteSpace(input.Product), e =&gt; e.Product.Contains(input.Product))
				.WhereIf(!string.IsNullOrWhiteSpace(input.MaterialTypeId), e =&gt; e.MaterialTypeId.Contains(input.MaterialTypeId))
				.WhereIf(!string.IsNullOrWhiteSpace(input.MaterialType), e =&gt; e.MaterialType.Contains(input.MaterialType))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MstCmmValuationTypeDto
                        {
							Id = o.Id,
							Code = o.Code,
							Name = o.Name,
							Product = o.Product,
							MaterialTypeId = o.MaterialTypeId,
							MaterialType = o.MaterialType,
							IsActive = o.IsActive,
                        };
            var totalCount = await filtered.CountAsync();
			var paged = system.PageBy(input);
            return new PagedResultDto&lt;MstCmmValuationTypeDto&gt;(
                totalCount,
                 await paged.ToListAsync()
            );
        }
        public async Task&lt;FileDto&gt; GetValuationTypeToExcel(MstCmmValuationTypeExportInput input)
        {
            var query = from o in _repo.GetAll()
                        select new MstCmmValuationTypeDto
                        {
							Id = o.Id,
							Code = o.Code,
							Name = o.Name,
							Product = o.Product,
							MaterialTypeId = o.MaterialTypeId,
							MaterialType = o.MaterialType,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_dapperRepo.ExecuteAsync(MstCmmValuationTypeConsts.SP_MST_WPT_CALENDAR_GENERATE);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prod.Master.Common.Dto
{
	public class MstCmmValuationTypeExportInput{
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IMstCmmValuationTypeExcelExporter : IApplicationService
	{
		FileDto ExportToFile(List&lt;MstCmmValuationTypeDto&gt; mstcmmvaluationtype);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MstCmmValuationTypeExcelExporter : NpoiExcelExporterBase, IMstCmmValuationTypeExcelExporter
    {
        public MstCmmValuationTypeExcelExporter(ITempFileCacheManager tempFileCacheManager) : base(tempFileCacheManager) { }
        public FileDto ExportToFile(List&lt;MstCmmValuationTypeDto&gt; valuationtype)
        {
            return CreateExcelPackage(
				"MasterCommonValuationType.xlsx",
				excelPackage =&gt;
				 {
					var sheet = excelPackage.CreateSheet("ValuationType");
					AddHeader(
								sheet,
								("Code"),
								("Name"),
								("Product"),
								("MaterialTypeId"),
								("MaterialType"),
								("IsActive"),
							   );
					AddObjects(
						 sheet, 1, valuationtype,                                       
								_ =&gt; _.Code,
								_ =&gt; _.Name,
								_ =&gt; _.Product,
								_ =&gt; _.MaterialTypeId,
								_ =&gt; _.MaterialType,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configuration.CreateMap&lt;MstCmmValuationTypeDto, MstCmmValuationType&gt;();
  configuration.CreateMap&lt;MstCmmValuationType, MstCmmValuationTypeDto&gt;();
  configuration.CreateMap&lt;CreateOrEditMstCmmValuationTypeDto, MstCmmValuationType&gt;();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5" customHeight="1" x14ac:dyDescent="0.25">
      <c r="A9" t="s">
        <v>353</v>
      </c>
      <c r="B9" t="s">
        <v>359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Name="IX_MstCmmValuationType_Code")]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[StringLength(MstCmmValuationTypeConsts.MaxCodeLength)]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360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25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25;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[StringLength(MstCmmValuationTypeConsts.MaxNameLength)]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4" t="str">
        <f t="shared" ref="T10:T11" si="23">REPT(CHAR(9),8)&amp;"("""&amp;D10&amp;"""),"</f>
        <v xml:space="preserve">								("Name"),</v>
      </c>
      <c r="V10" s="65" t="str">
        <f t="shared" ref="V10:V11" si="24">REPT(CHAR(9),8)&amp;"_ =&gt; _."&amp;D10&amp;","</f>
        <v xml:space="preserve">								_ =&gt; _.Name,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5" customHeight="1" x14ac:dyDescent="0.25">
      <c r="A11" t="s">
        <v>381</v>
      </c>
      <c r="B11" t="s">
        <v>360</v>
      </c>
      <c r="C11" t="s">
        <v>1</v>
      </c>
      <c r="D11" t="str">
        <f t="shared" si="13"/>
        <v>Product</v>
      </c>
      <c r="E11" t="str">
        <f t="shared" si="14"/>
        <v>nvarchar</v>
      </c>
      <c r="F11" s="6"/>
      <c r="G11" t="str">
        <f t="shared" si="15"/>
        <v>25</v>
      </c>
      <c r="H11" t="str">
        <f>+VLOOKUP(E11,'Data Type Mapping'!A:B,2,)</f>
        <v>string</v>
      </c>
      <c r="I11" t="str">
        <f t="shared" si="16"/>
        <v xml:space="preserve">		public const int MaxProductLength = 25;
</v>
      </c>
      <c r="J11" t="str">
        <f t="shared" si="17"/>
        <v xml:space="preserve">		[StringLength(MaxProductLength)]
		public virtual string Product { get; set; }
</v>
      </c>
      <c r="K11" s="6" t="s">
        <v>206</v>
      </c>
      <c r="L11" t="str">
        <f t="shared" si="18"/>
        <v xml:space="preserve">	[Index(nameof(Product), Name="IX_MstCmmValuationType_Product")]</v>
      </c>
      <c r="M11" t="str">
        <f t="shared" si="19"/>
        <v xml:space="preserve">		public virtual string Product { get; set; }
</v>
      </c>
      <c r="N11" t="str">
        <f t="shared" si="20"/>
        <v xml:space="preserve">		[StringLength(MstCmmValuationTypeConsts.MaxProductLength)]
		public virtual string Product { get; set; }
</v>
      </c>
      <c r="O11" t="str">
        <f t="shared" si="21"/>
        <v xml:space="preserve">		public virtual string Product { get; set; }
</v>
      </c>
      <c r="P11" t="str">
        <f t="shared" si="22"/>
        <v xml:space="preserve">							Product = o.Product,</v>
      </c>
      <c r="T11" s="64" t="str">
        <f t="shared" si="23"/>
        <v xml:space="preserve">								("Product"),</v>
      </c>
      <c r="V11" s="65" t="str">
        <f t="shared" si="24"/>
        <v xml:space="preserve">								_ =&gt; _.Product,</v>
      </c>
      <c r="W11" s="64" t="str">
        <f t="shared" si="25"/>
        <v xml:space="preserve">				.WhereIf(!string.IsNullOrWhiteSpace(input.Product), e =&gt; e.Product.Contains(input.Product))</v>
      </c>
    </row>
    <row r="12" spans="1:23" customFormat="1" ht="15" customHeight="1" x14ac:dyDescent="0.25">
      <c r="A12" t="s">
        <v>382</v>
      </c>
      <c r="B12" t="s">
        <v>360</v>
      </c>
      <c r="C12" t="s">
        <v>1</v>
      </c>
      <c r="D12" t="str">
        <f t="shared" ref="D12" si="26">SUBSTITUTE(PROPER(A12),"_","")</f>
        <v>MaterialTypeId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25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MaxMaterialTypeIdLength = 25;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[StringLength(MaxMaterialTypeIdLength)]
		public virtual string MaterialTypeId { get; set; }
</v>
      </c>
      <c r="K12" s="6" t="s">
        <v>206</v>
      </c>
      <c r="L12" t="str">
        <f t="shared" ref="L12" si="31">IF(K12="","",REPT(CHAR(9),1)&amp;"[Index(nameof("&amp;IF(D12="","",""&amp;D12)&amp;")"&amp;", Name="&amp;"""IX_"&amp;$B$7&amp;"_"&amp;D12&amp;""")]")</f>
        <v xml:space="preserve">	[Index(nameof(MaterialTypeId), Name="IX_MstCmmValuationType_MaterialTypeId")]</v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MaterialTypeId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[StringLength(MstCmmValuationTypeConsts.MaxMaterialTypeIdLength)]
		public virtual string MaterialTypeId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MaterialTypeId { get; set; }
</v>
      </c>
      <c r="P12" t="str">
        <f t="shared" ref="P12" si="35">REPT(CHAR(9),7)&amp;D12&amp;" = o." &amp;D12 &amp;","</f>
        <v xml:space="preserve">							MaterialTypeId = o.MaterialTypeId,</v>
      </c>
      <c r="T12" s="64" t="str">
        <f t="shared" ref="T12" si="36">REPT(CHAR(9),8)&amp;"("""&amp;D12&amp;"""),"</f>
        <v xml:space="preserve">								("MaterialTypeId"),</v>
      </c>
      <c r="V12" s="65" t="str">
        <f t="shared" ref="V12" si="37">REPT(CHAR(9),8)&amp;"_ =&gt; _."&amp;D12&amp;","</f>
        <v xml:space="preserve">								_ =&gt; _.MaterialTypeId,</v>
      </c>
      <c r="W12" s="64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.WhereIf(!string.IsNullOrWhiteSpace(input.MaterialTypeId), e =&gt; e.MaterialTypeId.Contains(input.MaterialTypeId))</v>
      </c>
    </row>
    <row r="13" spans="1:23" customFormat="1" ht="15" customHeight="1" x14ac:dyDescent="0.25">
      <c r="A13" t="s">
        <v>383</v>
      </c>
      <c r="B13" t="s">
        <v>362</v>
      </c>
      <c r="C13" t="s">
        <v>1</v>
      </c>
      <c r="D13" t="str">
        <f t="shared" ref="D13" si="39">SUBSTITUTE(PROPER(A13),"_","")</f>
        <v>MaterialType</v>
      </c>
      <c r="E13" t="str">
        <f t="shared" ref="E13" si="40">IFERROR(LEFT(B13, FIND("(",B13)-1),B13)</f>
        <v>nvarchar</v>
      </c>
      <c r="F13" s="6"/>
      <c r="G13" t="str">
        <f t="shared" ref="G13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" si="42">IF(H13="string",REPT(CHAR(9),2)&amp;"public const int Max"&amp;D13&amp;"Length = "&amp;G13&amp;";"&amp;$E$3,"" )</f>
        <v xml:space="preserve">		public const int MaxMaterialTypeLength = 200;
</v>
      </c>
      <c r="J13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[StringLength(MaxMaterialTypeLength)]
		public virtual string MaterialType { get; set; }
</v>
      </c>
      <c r="K13" s="6" t="s">
        <v>206</v>
      </c>
      <c r="L13" t="str">
        <f t="shared" ref="L13" si="44">IF(K13="","",REPT(CHAR(9),1)&amp;"[Index(nameof("&amp;IF(D13="","",""&amp;D13)&amp;")"&amp;", Name="&amp;"""IX_"&amp;$B$7&amp;"_"&amp;D13&amp;""")]")</f>
        <v xml:space="preserve">	[Index(nameof(MaterialType), Name="IX_MstCmmValuationType_MaterialType")]</v>
      </c>
      <c r="M13" t="str">
        <f t="shared" ref="M13" si="45">REPT(CHAR(9),2)&amp;"public virtual "&amp;IF(OR(H13="DateTime",H13="TimeSpan"),H13&amp;"?",H13)&amp;IF(C13="?","? "," ")&amp;D13&amp;" { get; set; }" &amp; "
"</f>
        <v xml:space="preserve">		public virtual string MaterialType { get; set; }
</v>
      </c>
      <c r="N13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[StringLength(MstCmmValuationTypeConsts.MaxMaterialTypeLength)]
		public virtual string MaterialType { get; set; }
</v>
      </c>
      <c r="O13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MaterialType { get; set; }
</v>
      </c>
      <c r="P13" t="str">
        <f t="shared" ref="P13" si="48">REPT(CHAR(9),7)&amp;D13&amp;" = o." &amp;D13 &amp;","</f>
        <v xml:space="preserve">							MaterialType = o.MaterialType,</v>
      </c>
      <c r="T13" s="64" t="str">
        <f t="shared" ref="T13" si="49">REPT(CHAR(9),8)&amp;"("""&amp;D13&amp;"""),"</f>
        <v xml:space="preserve">								("MaterialType"),</v>
      </c>
      <c r="V13" s="65" t="str">
        <f t="shared" ref="V13" si="50">REPT(CHAR(9),8)&amp;"_ =&gt; _."&amp;D13&amp;","</f>
        <v xml:space="preserve">								_ =&gt; _.MaterialType,</v>
      </c>
      <c r="W13" s="64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.WhereIf(!string.IsNullOrWhiteSpace(input.MaterialType), e =&gt; e.MaterialType.Contains(input.MaterialType))</v>
      </c>
    </row>
    <row r="14" spans="1:23" customFormat="1" ht="22.5" customHeight="1" x14ac:dyDescent="0.25">
      <c r="A14" t="s">
        <v>324</v>
      </c>
      <c r="B14" t="s">
        <v>352</v>
      </c>
      <c r="C14" t="s">
        <v>1</v>
      </c>
      <c r="D14" t="str">
        <f>SUBSTITUTE(PROPER(A14),"_","")</f>
        <v>IsActive</v>
      </c>
      <c r="E14" t="str">
        <f t="shared" ref="E14" si="52">IFERROR(LEFT(B14, FIND("(",B14)-1),B14)</f>
        <v>nvarchar</v>
      </c>
      <c r="F14" s="6"/>
      <c r="G14" t="str">
        <f t="shared" ref="G14" si="53">IFERROR(MID(B14,FIND("(",B14) +1, FIND(")",B14) - FIND("(",B14) - 1),"")</f>
        <v>1</v>
      </c>
      <c r="H14" t="str">
        <f>+VLOOKUP(E14,'[1]Data Type Mapping'!A:B,2,)</f>
        <v>string</v>
      </c>
      <c r="I14" t="str">
        <f t="shared" ref="I14" si="54">IF(H14="string",REPT(CHAR(9),2)&amp;"public const int Max"&amp;D14&amp;"Length = "&amp;G14&amp;";"&amp;$E$3,"" )</f>
        <v xml:space="preserve">		public const int MaxIsActiveLength = 1;
</v>
      </c>
      <c r="J14" t="str">
        <f t="shared" ref="J14" si="5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6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Name="IX_MstCmmValuationType_IsActive")]</v>
      </c>
      <c r="M14" t="str">
        <f t="shared" ref="M14" si="56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5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[StringLength(MstCmmValuationTypeConsts.MaxIsActiveLength)]
		public virtual string IsActive { get; set; }
</v>
      </c>
      <c r="O14" t="str">
        <f t="shared" ref="O14" si="58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59">REPT(CHAR(9),7)&amp;D14&amp;" = o." &amp;D14 &amp;","</f>
        <v xml:space="preserve">							IsActive = o.IsActive,</v>
      </c>
      <c r="T14" s="64" t="str">
        <f t="shared" ref="T14" si="60">REPT(CHAR(9),8)&amp;"("""&amp;D14&amp;"""),"</f>
        <v xml:space="preserve">								("IsActive"),</v>
      </c>
      <c r="V14" s="65" t="str">
        <f t="shared" ref="V14" si="61">REPT(CHAR(9),8)&amp;"_ =&gt; _."&amp;D14&amp;","</f>
        <v xml:space="preserve">								_ =&gt; _.IsActive,</v>
      </c>
      <c r="W14" s="64" t="str">
        <f t="shared" ref="W14" si="6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MaxCodeLength = 4;
		public const int MaxNameLength = 25;
		public const int MaxProductLength = 25;
		public const int MaxMaterialTypeIdLength = 25;
		public const int MaxMaterialTypeLength = 200;
		public const int MaxIsActiveLength = 1;
</v>
      </c>
      <c r="J16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[StringLength(MaxProductLength)]
		public virtual string Product { get; set; }
		[StringLength(MaxMaterialTypeIdLength)]
		public virtual string MaterialTypeId { get; set; }
		[StringLength(MaxMaterialTypeLength)]
		public virtual string MaterialType { get; set; }
		[StringLength(MaxIsActiveLength)]
		public virtual string IsActive { get; set; }
</v>
      </c>
      <c r="K16" s="32" t="str">
        <f ca="1">TEXTJOIN2("
", TRUE,INDIRECT( $J$1):INDIRECT( $J$3))</f>
        <v xml:space="preserve">	[Index(nameof(Code), Name="IX_MstCmmValuationType_Code")]
	[Index(nameof(Product), Name="IX_MstCmmValuationType_Product")]
	[Index(nameof(MaterialTypeId), Name="IX_MstCmmValuationType_MaterialTypeId")]
	[Index(nameof(MaterialType), Name="IX_MstCmmValuationType_MaterialType")]
	[Index(nameof(IsActive), Name="IX_MstCmmValuationType_IsActive")]</v>
      </c>
      <c r="L16" s="12" t="s">
        <v>60</v>
      </c>
      <c r="M16" s="33" t="str">
        <f ca="1">TEXTJOIN2("
",TRUE,INDIRECT( $L$1):INDIRECT($L$3))</f>
        <v xml:space="preserve">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</v>
      </c>
      <c r="N16" s="30" t="str">
        <f ca="1">TEXTJOIN2("
",TRUE,INDIRECT( $M$1):INDIRECT($M$3))</f>
        <v xml:space="preserve">		[StringLength(MstCmmValuationTypeConsts.MaxCodeLength)]
		public virtual string Code { get; set; }
		[StringLength(MstCmmValuationTypeConsts.MaxNameLength)]
		public virtual string Name { get; set; }
		[StringLength(MstCmmValuationTypeConsts.MaxProductLength)]
		public virtual string Product { get; set; }
		[StringLength(MstCmmValuationTypeConsts.MaxMaterialTypeIdLength)]
		public virtual string MaterialTypeId { get; set; }
		[StringLength(MstCmmValuationTypeConsts.MaxMaterialTypeLength)]
		public virtual string MaterialType { get; set; }
		[StringLength(MstCmmValuationTypeConsts.MaxIsActiveLength)]
		public virtual string IsActive { get; set; }
</v>
      </c>
      <c r="O16" s="30" t="str">
        <f ca="1">TEXTJOIN2("
",TRUE,INDIRECT( $N$1):INDIRECT($N$3))</f>
        <v xml:space="preserve">		public virtual string Code { get; set; }
		public virtual string Name { get; set; }
		public virtual string Product { get; set; }
		public virtual string MaterialTypeId { get; set; }
		public virtual string MaterialType { get; set; }
		public virtual string IsActive { get; set; }
</v>
      </c>
      <c r="P16" s="8" t="str">
        <f ca="1">TEXTJOIN2("
",TRUE,INDIRECT( $O$1):INDIRECT($O$3))</f>
        <v xml:space="preserve">							Code = o.Code,
							Name = o.Name,
							Product = o.Product,
							MaterialTypeId = o.MaterialTypeId,
							MaterialType = o.MaterialType,
							IsActive = o.IsActive,</v>
      </c>
      <c r="T16" s="8" t="str">
        <f ca="1">TEXTJOIN2("
",TRUE,INDIRECT( $T$2):INDIRECT($T$3))</f>
        <v xml:space="preserve">								("Code"),
								("Name"),
								("Product"),
								("MaterialTypeId"),
								("MaterialType"),
								("IsActive"),</v>
      </c>
      <c r="V16" s="8" t="str">
        <f ca="1">TEXTJOIN2("
",TRUE,INDIRECT( $V$2):INDIRECT($V$3))</f>
        <v xml:space="preserve">								_ =&gt; _.Code,
								_ =&gt; _.Name,
								_ =&gt; _.Product,
								_ =&gt; _.MaterialTypeId,
								_ =&gt; _.MaterialType,
								_ =&gt; _.IsActive,</v>
      </c>
      <c r="W16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.WhereIf(!string.IsNullOrWhiteSpace(input.Product), e =&gt; e.Product.Contains(input.Product))
				.WhereIf(!string.IsNullOrWhiteSpace(input.MaterialTypeId), e =&gt; e.MaterialTypeId.Contains(input.MaterialTypeId))
				.WhereIf(!string.IsNullOrWhiteSpace(input.MaterialType), e =&gt; e.MaterialType.Contains(input.MaterialType))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C22" sqref="C2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MstCmmValuationType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ValuationType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valuationtype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MstCmmValuationTypeDto, MstCmmValuationTypeServiceProxy } from '@shared/service-proxies/service-proxies';
import { finalize } from 'rxjs/internal/operators/finalize';
import { CreateOrEditValuationTypeModalComponent } from './create-or-edit-valuationtype-modal.component';
import { DatePipe } from '@angular/common';
import { FileDownloadService } from '@shared/utils/file-download.service';
import ceil from 'lodash-es/ceil';
import { Paginator } from 'primeng/paginator';
@Component({
    templateUrl: './valuationtype.component.html',
    styleUrls: ['./valuationtype.component.less'],
})
export class ValuationTypeComponent extends AppComponentBase implements OnInit {
    @ViewChild('createOrEditModalValuationType', { static: true }) createOrEditModalValuationType:| CreateOrEditValuationTypeModalComponent|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MstCmmValuationTypeDto = new MstCmmValuationTypeDto();
    saveSelectedRow: MstCmmValuationTypeDto = new MstCmmValuationTypeDto();
    datas: MstCmmValuationTypeDto = new MstCmmValuationTypeDto();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materialTypeId : string = '' ; 
	materialType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MstCmmValuationTypeServiceProxy,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this.l('Material Type Id'),headerTooltip: this.l('Material Type Id'),field: 'materialTypeId',flex: 1},
			{headerName: this.l('Material Type'),headerTooltip: this.l('Material Type'),field: 'materialType',flex: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this.materialTypeId,
			this.materialType,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this.materialTypeId = '',
		this.materialType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this.materialTypeId,
			this.materialType,
			this.isActive,
			'',
            this.paginationParams.skipCount,
            this.paginationParams.pageSize
        );
    }
    onChangeRowSelection(params: { api: { getSelectedRows: () =&gt; MstCmmValuationTypeDto[] } }) {
        this.saveSelectedRow = params.api.getSelectedRows()[0] ?? new MstCmmValuationTypeDto();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MstCmmValuationTypeDto):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this._service.getValuationTypeToExcel(
			this.code,
			this.name,
			this.materialTypeId,
			this.materialType,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Valuation Class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[(ngModel)]='materialTypeId' name='materialTypeId'
									class='form-control' [placeholder]="l('Material Type Id')"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(click)="createOrEditModalValuationType.show()"&gt;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(click)="createOrEditModalValuationType.show(selectedRow)"&gt;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&lt;create-or-edit-valuationtype-modal
    #createOrEditModalValuationType
    (modalSave)="callBackDataGrid(dataParams)"
    (modalClose)="onChangeRowSelection(dataParams)"
&gt;
&lt;/create-or-edit-valuationtype-modal&gt;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#createOrEditModalValuationType="bs-modal"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ValuationType')}}&lt;/h3&gt;
                    &lt;h3 *ngIf="!rowdata.id"&gt;{{('Create New ValuationType')}}&lt;/h3&gt;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title'&gt;Material Type Id&lt;/label&gt;
						&lt;input type='text' class='col-md-10 form-control input-text' name='MaterialTypeId' [(ngModel)]='rowdata.materialTypeId'&gt;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CreateOrEditMstCmmValuationTypeDto, MstCmmValuationTypeServiceProxy } from '@shared/service-proxies/service-proxies';
import { BsDatepickerDirective } from 'ngx-bootstrap/datepicker';
@Component({
    selector: 'create-or-edit-valuationtype-modal',
    templateUrl: './create-or-edit-valuationtype-modal.component.html',
    styleUrls: ['./create-or-edit-valuationtype-modal.component.less']
    })
export class CreateOrEditValuationTypeModalComponent extends AppComponentBase {
    @ViewChild('createOrEditModalValuationType',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CreateOrEditMstCmmValuationTypeDto = new CreateOrEditMstCmmValuationTypeDto();
    active: boolean = false;
    saving: boolean = false;
    _isActive: boolean;
    constructor(
        injector: Injector,
        private _mstwptValuationTypeService: MstCmmValuationTypeServiceProxy,
    ) 
    {
        super(injector);
    }
    show(rowdata?: CreateOrEditMstCmmValuationTypeDto): void {
        if (!rowdata) this.rowdata = new CreateOrEditMstCmmValuationTypeDto();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this._mstwptValuationTypeService.createOrEdit(this.rowdata)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ValuationTypeRoutingModule } from './valuationtype-routing.module';
import { ValuationTypeComponent } from './valuationtype.component';
import { CreateOrEditValuationTypeModalComponent } from './create-or-edit-valuationtype-modal.component';
@NgModule({
    declarations: [
       ValuationTypeComponent, 
        CreateOrEditValuationTypeModalComponent
    ],
    imports: [
        AppSharedModule, ValuationTypeRoutingModule]
})
export class ValuationTypeModule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ValuationTypeComponent } from './valuationtype.component';
const routes: Routes = [{
    path: '',
    component: ValuationTypeComponent,
    pathMatch: 'full'
}];
@NgModule({
    imports: [RouterModule.forChild(routes)],
    exports: [RouterModule],
})
export class ValuationTypeRoutingModule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AppMenuItem("ValuationType", "Pages.Master.Common.ValuationType", "flaticon-book",   "/app/main/master/common/valuationtype"),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'master/common/valuationtype',
    loadChildren: () =&gt; import('./master/common/valuationtype/valuationtype.module').then(m =&gt; m.ValuationTypeModule),
    data: { permission: 'Pages.Master.Common.ValuationType' }
},</v>
      </c>
      <c r="R10" s="47" t="str">
        <f>SUBSTITUTE(R9,"MstWptCalendar",$B$6)</f>
        <v>ApiServiceProxies.MstCmmValuationTypeServiceProxy,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this.l('Material Type Id'),headerTooltip: this.l('Material Type Id'),field: 'materialTypeId',flex: 1},
			{headerName: this.l('Material Type'),headerTooltip: this.l('Material Type'),field: 'materialType',flex: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[(ngModel)]='materialTypeId' name='materialTypeId'
									class='form-control' [placeholder]="l('Material Type Id')"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title'&gt;Material Type Id&lt;/label&gt;
						&lt;input type='text' class='col-md-10 form-control input-text' name='MaterialTypeId' [(ngModel)]='rowdata.materialTypeId'&gt;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materialTypeId : string = '' ; 
	materialType : string = '' ; 
	isActive : string = '' ; </v>
      </c>
      <c r="T13" s="63" t="str">
        <f ca="1">TEXTJOIN2("
",TRUE,INDIRECT(T11):INDIRECT(T12))</f>
        <v xml:space="preserve">			this.code,
			this.name,
			this.materialTypeId,
			this.materialType,
			this.isActive,</v>
      </c>
      <c r="U13" s="63" t="str">
        <f ca="1">TEXTJOIN2("
",TRUE,INDIRECT(U11):INDIRECT(U12))</f>
        <v xml:space="preserve">		this.code = '',
		this.name = '',
		this.materialTypeId = '',
		this.materialType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valuationtype.component.ts</v>
      </c>
      <c r="I14" s="37" t="str">
        <f>B8&amp;".component.html"</f>
        <v>valuationtype.component.html</v>
      </c>
      <c r="J14" s="36" t="str">
        <f>B8&amp;".component.less"</f>
        <v>valuationtype.component.less</v>
      </c>
      <c r="K14" s="37" t="str">
        <f>"create-or-edit-"&amp;B8&amp;"-modal.component.html"</f>
        <v>create-or-edit-valuationtype-modal.component.html</v>
      </c>
      <c r="L14" s="37" t="str">
        <f>"create-or-edit-"&amp;B8&amp;"-modal.component.ts"</f>
        <v>create-or-edit-valuationtype-modal.component.ts</v>
      </c>
      <c r="M14" s="37" t="str">
        <f>"create-or-edit-"&amp;B8&amp;"-modal.component.less"</f>
        <v>create-or-edit-valuationtype-modal.component.less</v>
      </c>
      <c r="N14" s="37" t="str">
        <f>B8&amp;".module.ts"</f>
        <v>valuationtype.module.ts</v>
      </c>
      <c r="O14" s="37" t="str">
        <f>B8&amp;"-routing.module.ts"</f>
        <v>valuationtype-routing.module.ts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9" si="0">SUBSTITUTE(PROPER(A15),"_","")</f>
        <v>Code</v>
      </c>
      <c r="C15" s="28" t="str">
        <f t="shared" ref="C15:C19" si="1">SUBSTITUTE(PROPER(A15),"_"," ")</f>
        <v>Code</v>
      </c>
      <c r="D15" s="28" t="str">
        <f t="shared" ref="D15:D19" si="2">LOWER(LEFT(B15,1))&amp;RIGHT(B15,LEN(B15) - 1)</f>
        <v>code</v>
      </c>
      <c r="E15" s="28" t="str">
        <f>A.Backend!H9</f>
        <v>string</v>
      </c>
      <c r="F15" s="28" t="str">
        <f>A.Backend!G9</f>
        <v>4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9" si="8">IF(AND(E15="string",F15="1"),D15,"")</f>
        <v/>
      </c>
    </row>
    <row r="16" spans="1:22" ht="18" customHeight="1" x14ac:dyDescent="0.25">
      <c r="A16" s="28" t="s">
        <v>354</v>
      </c>
      <c r="B16" s="28" t="str">
        <f t="shared" ref="B16:B20" si="9">SUBSTITUTE(PROPER(A16),"_","")</f>
        <v>Name</v>
      </c>
      <c r="C16" s="28" t="str">
        <f t="shared" ref="C16:C20" si="10">SUBSTITUTE(PROPER(A16),"_"," ")</f>
        <v>Name</v>
      </c>
      <c r="D16" s="28" t="str">
        <f t="shared" ref="D16:D20" si="11">LOWER(LEFT(B16,1))&amp;RIGHT(B16,LEN(B16) - 1)</f>
        <v>name</v>
      </c>
      <c r="E16" s="28" t="str">
        <f>A.Backend!H10</f>
        <v>string</v>
      </c>
      <c r="F16" s="28" t="str">
        <f>A.Backend!G10</f>
        <v>25</v>
      </c>
      <c r="G16" s="28" t="str">
        <f t="shared" ref="G16:G20" si="12">IF(E16="string"," : string = '' ; ",IF(OR(E16="DateTime",E16="TimeSpan")," : any ;",IF(E16="int"," : number = 0 ;","")))</f>
        <v xml:space="preserve"> : string = '' ; </v>
      </c>
      <c r="H16" s="35" t="str">
        <f t="shared" ref="H16:H18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 t="shared" ref="I16:I18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:K18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:L18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7">REPT(CHAR(9),1)&amp;D16&amp;G16</f>
        <v xml:space="preserve">	name : string = '' ; </v>
      </c>
      <c r="T16" s="28" t="str">
        <f t="shared" ref="T16:T18" si="18">REPT(CHAR(9),3)&amp;"this."&amp;D16&amp;","</f>
        <v xml:space="preserve">			this.name,</v>
      </c>
      <c r="U16" s="28" t="str">
        <f t="shared" ref="U16:U18" si="19">IF(E16="int",REPT(CHAR(9),2)&amp;"this."&amp;D16&amp;" = 0,",REPT(CHAR(9),2)&amp;"this."&amp;D16&amp;" = '',")</f>
        <v xml:space="preserve">		this.name = '',</v>
      </c>
      <c r="V16" s="28" t="str">
        <f t="shared" ref="V16:V18" si="20">IF(AND(E16="string",F16="1"),D16,"")</f>
        <v/>
      </c>
    </row>
    <row r="17" spans="1:22" ht="18" customHeight="1" x14ac:dyDescent="0.25">
      <c r="A17" s="28" t="s">
        <v>381</v>
      </c>
      <c r="B17" s="28" t="str">
        <f t="shared" si="9"/>
        <v>Product</v>
      </c>
      <c r="C17" s="28" t="str">
        <f t="shared" si="10"/>
        <v>Product</v>
      </c>
      <c r="D17" s="28" t="str">
        <f t="shared" si="11"/>
        <v>product</v>
      </c>
      <c r="E17" s="28" t="str">
        <f>A.Backend!H11</f>
        <v>string</v>
      </c>
      <c r="F17" s="28" t="str">
        <f>A.Backend!G11</f>
        <v>25</v>
      </c>
      <c r="G17" s="28" t="str">
        <f t="shared" si="12"/>
        <v xml:space="preserve"> : string = '' ; </v>
      </c>
      <c r="H17" s="35"/>
      <c r="I17" s="35"/>
      <c r="J17" s="28"/>
      <c r="K17" s="35"/>
      <c r="L17" s="56"/>
      <c r="M17" s="28"/>
      <c r="N17" s="28"/>
      <c r="O17" s="28"/>
      <c r="P17" s="28"/>
      <c r="Q17" s="28"/>
      <c r="R17" s="28"/>
      <c r="S17" s="28"/>
      <c r="T17" s="28"/>
      <c r="U17" s="28"/>
      <c r="V17" s="28"/>
    </row>
    <row r="18" spans="1:22" ht="18" customHeight="1" x14ac:dyDescent="0.25">
      <c r="A18" s="28" t="s">
        <v>382</v>
      </c>
      <c r="B18" s="28" t="str">
        <f t="shared" si="9"/>
        <v>MaterialTypeId</v>
      </c>
      <c r="C18" s="28" t="str">
        <f t="shared" si="10"/>
        <v>Material Type Id</v>
      </c>
      <c r="D18" s="28" t="str">
        <f t="shared" si="11"/>
        <v>materialTypeId</v>
      </c>
      <c r="E18" s="28" t="str">
        <f>A.Backend!H12</f>
        <v>string</v>
      </c>
      <c r="F18" s="28" t="str">
        <f>A.Backend!G12</f>
        <v>25</v>
      </c>
      <c r="G18" s="28" t="str">
        <f t="shared" si="12"/>
        <v xml:space="preserve"> : string = '' ; </v>
      </c>
      <c r="H18" s="35" t="str">
        <f t="shared" si="13"/>
        <v xml:space="preserve">			{headerName: this.l('Material Type Id'),headerTooltip: this.l('Material Type Id'),field: 'materialTypeId',flex: 1},</v>
      </c>
      <c r="I18" s="35" t="str">
        <f t="shared" si="14"/>
        <v xml:space="preserve">								&lt;div class='input-search'&gt;
									&lt;input [(ngModel)]='materialTypeId' name='materialTypeId'
									class='form-control' [placeholder]="l('Material Type Id')"
									type='text' (keyup.enter)='searchDatas()'&gt;
								&lt;/div&gt;</v>
      </c>
      <c r="J18" s="28"/>
      <c r="K18" s="35" t="str">
        <f t="shared" si="15"/>
        <v xml:space="preserve">					&lt;div class='col-md-12 form-group row'&gt;
						&lt;label class='col-md-2 form-control title'&gt;Material Type Id&lt;/label&gt;
						&lt;input type='text' class='col-md-10 form-control input-text' name='MaterialTypeId' [(ngModel)]='rowdata.materialTypeId'&gt;
					&lt;/div&gt;</v>
      </c>
      <c r="L18" s="56" t="str">
        <f t="shared" si="16"/>
        <v/>
      </c>
      <c r="M18" s="28"/>
      <c r="N18" s="28"/>
      <c r="O18" s="28"/>
      <c r="P18" s="28"/>
      <c r="Q18" s="28"/>
      <c r="R18" s="28"/>
      <c r="S18" s="28" t="str">
        <f t="shared" si="17"/>
        <v xml:space="preserve">	materialTypeId : string = '' ; </v>
      </c>
      <c r="T18" s="28" t="str">
        <f t="shared" si="18"/>
        <v xml:space="preserve">			this.materialTypeId,</v>
      </c>
      <c r="U18" s="28" t="str">
        <f t="shared" si="19"/>
        <v xml:space="preserve">		this.materialTypeId = '',</v>
      </c>
      <c r="V18" s="28" t="str">
        <f t="shared" si="20"/>
        <v/>
      </c>
    </row>
    <row r="19" spans="1:22" ht="18" customHeight="1" x14ac:dyDescent="0.25">
      <c r="A19" s="28" t="s">
        <v>383</v>
      </c>
      <c r="B19" s="28" t="str">
        <f t="shared" si="9"/>
        <v>MaterialType</v>
      </c>
      <c r="C19" s="28" t="str">
        <f t="shared" si="10"/>
        <v>Material Type</v>
      </c>
      <c r="D19" s="28" t="str">
        <f t="shared" si="11"/>
        <v>materialType</v>
      </c>
      <c r="E19" s="28" t="str">
        <f>A.Backend!H13</f>
        <v>string</v>
      </c>
      <c r="F19" s="28" t="str">
        <f>A.Backend!G13</f>
        <v>200</v>
      </c>
      <c r="G19" s="28" t="str">
        <f t="shared" si="12"/>
        <v xml:space="preserve"> : string = '' ; </v>
      </c>
      <c r="H19" s="35" t="str">
        <f t="shared" si="4"/>
        <v xml:space="preserve">			{headerName: this.l('Material Type'),headerTooltip: this.l('Material Type'),field: 'materialType',flex: 1},</v>
      </c>
      <c r="I19" s="35" t="str">
        <f t="shared" si="5"/>
        <v xml:space="preserve">								&lt;div class='input-search'&gt;
									&lt;input [(ngModel)]='materialType' name='materialType'
									class='form-control' [placeholder]="l('Material Type')"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title'&gt;Material Type&lt;/label&gt;
						&lt;input type='text' class='col-md-10 form-control input-text' name='MaterialType' [(ngModel)]='rowdata.materialType'&gt;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21">REPT(CHAR(9),1)&amp;D19&amp;G19</f>
        <v xml:space="preserve">	materialType : string = '' ; </v>
      </c>
      <c r="T19" s="28" t="str">
        <f t="shared" ref="T19" si="22">REPT(CHAR(9),3)&amp;"this."&amp;D19&amp;","</f>
        <v xml:space="preserve">			this.materialType,</v>
      </c>
      <c r="U19" s="28" t="str">
        <f t="shared" ref="U19" si="23">IF(E19="int",REPT(CHAR(9),2)&amp;"this."&amp;D19&amp;" = 0,",REPT(CHAR(9),2)&amp;"this."&amp;D19&amp;" = '',")</f>
        <v xml:space="preserve">		this.materialType = '',</v>
      </c>
      <c r="V19" s="28" t="str">
        <f t="shared" si="8"/>
        <v/>
      </c>
    </row>
    <row r="20" spans="1:22" ht="18" customHeight="1" x14ac:dyDescent="0.25">
      <c r="A20" s="28" t="s">
        <v>324</v>
      </c>
      <c r="B20" s="28" t="str">
        <f t="shared" si="9"/>
        <v>IsActive</v>
      </c>
      <c r="C20" s="28" t="str">
        <f t="shared" si="10"/>
        <v>Is Active</v>
      </c>
      <c r="D20" s="28" t="str">
        <f t="shared" si="11"/>
        <v>isActive</v>
      </c>
      <c r="E20" s="28" t="str">
        <f>A.Backend!H14</f>
        <v>string</v>
      </c>
      <c r="F20" s="28" t="str">
        <f>A.Backend!G14</f>
        <v>1</v>
      </c>
      <c r="G20" s="28" t="str">
        <f t="shared" si="12"/>
        <v xml:space="preserve"> : string = '' ; </v>
      </c>
      <c r="H20" s="35" t="str">
        <f t="shared" ref="H20" si="24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5" t="str">
        <f t="shared" ref="I20" si="25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28"/>
      <c r="K20" s="35" t="str">
        <f t="shared" ref="K20" si="26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56" t="str">
        <f t="shared" ref="L20" si="27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28">REPT(CHAR(9),1)&amp;D20&amp;G20</f>
        <v xml:space="preserve">	isActive : string = '' ; </v>
      </c>
      <c r="T20" s="28" t="str">
        <f t="shared" ref="T20" si="29">REPT(CHAR(9),3)&amp;"this."&amp;D20&amp;","</f>
        <v xml:space="preserve">			this.isActive,</v>
      </c>
      <c r="U20" s="28" t="str">
        <f t="shared" ref="U20" si="30">IF(E20="int",REPT(CHAR(9),2)&amp;"this."&amp;D20&amp;" = 0,",REPT(CHAR(9),2)&amp;"this."&amp;D20&amp;" = '',")</f>
        <v xml:space="preserve">		this.isActive = '',</v>
      </c>
      <c r="V20" s="28" t="str">
        <f t="shared" ref="V20" si="31">IF(AND(E20="string",F20="1"),D20,"")</f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B28" sqref="B2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8"/>
  <sheetViews>
    <sheetView workbookViewId="0">
      <selection activeCell="A2" sqref="A2:F2"/>
    </sheetView>
  </sheetViews>
  <sheetFormatPr defaultRowHeight="15" x14ac:dyDescent="0.25"/>
  <cols>
    <col min="1" max="41" width="3.140625" customWidth="1"/>
  </cols>
  <sheetData>
    <row r="1" spans="1:41" ht="16.5" customHeight="1" x14ac:dyDescent="0.25">
      <c r="A1" s="82" t="s">
        <v>364</v>
      </c>
      <c r="B1" s="83"/>
      <c r="C1" s="83"/>
      <c r="D1" s="83"/>
      <c r="E1" s="83"/>
      <c r="F1" s="84"/>
      <c r="G1" s="85" t="s">
        <v>361</v>
      </c>
      <c r="H1" s="86"/>
      <c r="I1" s="86"/>
      <c r="J1" s="86"/>
      <c r="K1" s="86"/>
      <c r="L1" s="86"/>
      <c r="M1" s="86"/>
      <c r="N1" s="86"/>
      <c r="O1" s="86"/>
      <c r="P1" s="87"/>
      <c r="Q1" s="82" t="s">
        <v>365</v>
      </c>
      <c r="R1" s="83"/>
      <c r="S1" s="83"/>
      <c r="T1" s="83"/>
      <c r="U1" s="83"/>
      <c r="V1" s="88"/>
      <c r="W1" s="89" t="s">
        <v>366</v>
      </c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</row>
    <row r="2" spans="1:41" ht="16.5" customHeight="1" x14ac:dyDescent="0.25">
      <c r="A2" s="68">
        <v>1000</v>
      </c>
      <c r="B2" s="69"/>
      <c r="C2" s="69"/>
      <c r="D2" s="69"/>
      <c r="E2" s="69"/>
      <c r="F2" s="70"/>
      <c r="G2" s="71" t="s">
        <v>367</v>
      </c>
      <c r="H2" s="72"/>
      <c r="I2" s="72"/>
      <c r="J2" s="72"/>
      <c r="K2" s="72"/>
      <c r="L2" s="72"/>
      <c r="M2" s="72"/>
      <c r="N2" s="72"/>
      <c r="O2" s="72"/>
      <c r="P2" s="73"/>
      <c r="Q2" s="74">
        <v>1130100001</v>
      </c>
      <c r="R2" s="75"/>
      <c r="S2" s="75"/>
      <c r="T2" s="75"/>
      <c r="U2" s="75"/>
      <c r="V2" s="76"/>
      <c r="W2" s="77" t="s">
        <v>368</v>
      </c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</row>
    <row r="3" spans="1:41" ht="16.5" customHeight="1" x14ac:dyDescent="0.25">
      <c r="A3" s="68">
        <v>1001</v>
      </c>
      <c r="B3" s="69"/>
      <c r="C3" s="69"/>
      <c r="D3" s="69"/>
      <c r="E3" s="69"/>
      <c r="F3" s="70"/>
      <c r="G3" s="71" t="s">
        <v>369</v>
      </c>
      <c r="H3" s="72"/>
      <c r="I3" s="72"/>
      <c r="J3" s="72"/>
      <c r="K3" s="72"/>
      <c r="L3" s="72"/>
      <c r="M3" s="72"/>
      <c r="N3" s="72"/>
      <c r="O3" s="72"/>
      <c r="P3" s="73"/>
      <c r="Q3" s="74">
        <v>1130100001</v>
      </c>
      <c r="R3" s="75"/>
      <c r="S3" s="75"/>
      <c r="T3" s="75"/>
      <c r="U3" s="75"/>
      <c r="V3" s="76"/>
      <c r="W3" s="77" t="s">
        <v>368</v>
      </c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</row>
    <row r="4" spans="1:41" ht="16.5" customHeight="1" x14ac:dyDescent="0.25">
      <c r="A4" s="68">
        <v>1003</v>
      </c>
      <c r="B4" s="69"/>
      <c r="C4" s="69"/>
      <c r="D4" s="69"/>
      <c r="E4" s="69"/>
      <c r="F4" s="70"/>
      <c r="G4" s="71" t="s">
        <v>370</v>
      </c>
      <c r="H4" s="72"/>
      <c r="I4" s="72"/>
      <c r="J4" s="72"/>
      <c r="K4" s="72"/>
      <c r="L4" s="72"/>
      <c r="M4" s="72"/>
      <c r="N4" s="72"/>
      <c r="O4" s="72"/>
      <c r="P4" s="73"/>
      <c r="Q4" s="79">
        <v>1130100001</v>
      </c>
      <c r="R4" s="69"/>
      <c r="S4" s="69"/>
      <c r="T4" s="69"/>
      <c r="U4" s="69"/>
      <c r="V4" s="70"/>
      <c r="W4" s="80" t="s">
        <v>371</v>
      </c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</row>
    <row r="5" spans="1:41" ht="16.5" customHeight="1" x14ac:dyDescent="0.25">
      <c r="A5" s="68">
        <v>2000</v>
      </c>
      <c r="B5" s="69"/>
      <c r="C5" s="69"/>
      <c r="D5" s="69"/>
      <c r="E5" s="69"/>
      <c r="F5" s="70"/>
      <c r="G5" s="71" t="s">
        <v>372</v>
      </c>
      <c r="H5" s="72"/>
      <c r="I5" s="72"/>
      <c r="J5" s="72"/>
      <c r="K5" s="72"/>
      <c r="L5" s="72"/>
      <c r="M5" s="72"/>
      <c r="N5" s="72"/>
      <c r="O5" s="72"/>
      <c r="P5" s="73"/>
      <c r="Q5" s="79">
        <v>1130940001</v>
      </c>
      <c r="R5" s="69"/>
      <c r="S5" s="69"/>
      <c r="T5" s="69"/>
      <c r="U5" s="69"/>
      <c r="V5" s="70"/>
      <c r="W5" s="80" t="s">
        <v>373</v>
      </c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</row>
    <row r="6" spans="1:41" ht="16.5" customHeight="1" x14ac:dyDescent="0.25">
      <c r="A6" s="68">
        <v>3000</v>
      </c>
      <c r="B6" s="69"/>
      <c r="C6" s="69"/>
      <c r="D6" s="69"/>
      <c r="E6" s="69"/>
      <c r="F6" s="70"/>
      <c r="G6" s="71" t="s">
        <v>374</v>
      </c>
      <c r="H6" s="72"/>
      <c r="I6" s="72"/>
      <c r="J6" s="72"/>
      <c r="K6" s="72"/>
      <c r="L6" s="72"/>
      <c r="M6" s="72"/>
      <c r="N6" s="72"/>
      <c r="O6" s="72"/>
      <c r="P6" s="73"/>
      <c r="Q6" s="74">
        <v>1131040001</v>
      </c>
      <c r="R6" s="75"/>
      <c r="S6" s="75"/>
      <c r="T6" s="75"/>
      <c r="U6" s="75"/>
      <c r="V6" s="76"/>
      <c r="W6" s="77" t="s">
        <v>375</v>
      </c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</row>
    <row r="7" spans="1:41" ht="16.5" customHeight="1" x14ac:dyDescent="0.25">
      <c r="A7" s="68">
        <v>3001</v>
      </c>
      <c r="B7" s="69"/>
      <c r="C7" s="69"/>
      <c r="D7" s="69"/>
      <c r="E7" s="69"/>
      <c r="F7" s="70"/>
      <c r="G7" s="71" t="s">
        <v>376</v>
      </c>
      <c r="H7" s="72"/>
      <c r="I7" s="72"/>
      <c r="J7" s="72"/>
      <c r="K7" s="72"/>
      <c r="L7" s="72"/>
      <c r="M7" s="72"/>
      <c r="N7" s="72"/>
      <c r="O7" s="72"/>
      <c r="P7" s="73"/>
      <c r="Q7" s="74">
        <v>1131040001</v>
      </c>
      <c r="R7" s="75"/>
      <c r="S7" s="75"/>
      <c r="T7" s="75"/>
      <c r="U7" s="75"/>
      <c r="V7" s="76"/>
      <c r="W7" s="77" t="s">
        <v>375</v>
      </c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</row>
    <row r="8" spans="1:41" ht="16.5" customHeight="1" x14ac:dyDescent="0.25">
      <c r="A8" s="68" t="s">
        <v>377</v>
      </c>
      <c r="B8" s="69"/>
      <c r="C8" s="69"/>
      <c r="D8" s="69"/>
      <c r="E8" s="69"/>
      <c r="F8" s="70"/>
      <c r="G8" s="71" t="s">
        <v>378</v>
      </c>
      <c r="H8" s="72"/>
      <c r="I8" s="72"/>
      <c r="J8" s="72"/>
      <c r="K8" s="72"/>
      <c r="L8" s="72"/>
      <c r="M8" s="72"/>
      <c r="N8" s="72"/>
      <c r="O8" s="72"/>
      <c r="P8" s="73"/>
      <c r="Q8" s="74" t="s">
        <v>379</v>
      </c>
      <c r="R8" s="75"/>
      <c r="S8" s="75"/>
      <c r="T8" s="75"/>
      <c r="U8" s="75"/>
      <c r="V8" s="76"/>
      <c r="W8" s="77" t="s">
        <v>380</v>
      </c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</row>
  </sheetData>
  <mergeCells count="32">
    <mergeCell ref="W1:AO1"/>
    <mergeCell ref="A1:F1"/>
    <mergeCell ref="G1:P1"/>
    <mergeCell ref="Q1:V1"/>
    <mergeCell ref="A2:F2"/>
    <mergeCell ref="G2:P2"/>
    <mergeCell ref="Q2:V2"/>
    <mergeCell ref="A4:F4"/>
    <mergeCell ref="G4:P4"/>
    <mergeCell ref="Q4:V4"/>
    <mergeCell ref="W4:AO4"/>
    <mergeCell ref="W2:AO2"/>
    <mergeCell ref="A3:F3"/>
    <mergeCell ref="G3:P3"/>
    <mergeCell ref="Q3:V3"/>
    <mergeCell ref="W3:AO3"/>
    <mergeCell ref="A5:F5"/>
    <mergeCell ref="G5:P5"/>
    <mergeCell ref="Q5:V5"/>
    <mergeCell ref="W5:AO5"/>
    <mergeCell ref="A6:F6"/>
    <mergeCell ref="G6:P6"/>
    <mergeCell ref="Q6:V6"/>
    <mergeCell ref="W6:AO6"/>
    <mergeCell ref="A7:F7"/>
    <mergeCell ref="G7:P7"/>
    <mergeCell ref="Q7:V7"/>
    <mergeCell ref="W7:AO7"/>
    <mergeCell ref="A8:F8"/>
    <mergeCell ref="G8:P8"/>
    <mergeCell ref="Q8:V8"/>
    <mergeCell ref="W8:AO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2023-06-10T11:45:49Z</dcterms:modified>
</cp:coreProperties>
</file>
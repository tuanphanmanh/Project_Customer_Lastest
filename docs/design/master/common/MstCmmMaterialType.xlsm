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30960" windowHeight="158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5" l="1"/>
  <c r="B6" i="1" l="1"/>
  <c r="C16" i="5" l="1"/>
  <c r="B16" i="5"/>
  <c r="D16" i="5" s="1"/>
  <c r="C15" i="5"/>
  <c r="B15" i="5"/>
  <c r="D15" i="5" s="1"/>
  <c r="T15" i="5" s="1"/>
  <c r="T16" i="5" l="1"/>
  <c r="C17" i="5" l="1"/>
  <c r="B17" i="5"/>
  <c r="D17" i="5" s="1"/>
  <c r="G11" i="1"/>
  <c r="E11" i="1"/>
  <c r="H11" i="1" s="1"/>
  <c r="E17" i="5" s="1"/>
  <c r="D11" i="1"/>
  <c r="V11" i="1" s="1"/>
  <c r="V17" i="5" l="1"/>
  <c r="H17" i="5"/>
  <c r="T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I17" i="5" l="1"/>
  <c r="G17" i="5"/>
  <c r="S17" i="5" s="1"/>
  <c r="U17" i="5"/>
  <c r="L17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L13" i="5"/>
  <c r="H13" i="5"/>
  <c r="S13" i="5"/>
  <c r="K13" i="5"/>
  <c r="U13" i="5"/>
  <c r="I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I13" i="1"/>
  <c r="P13" i="1"/>
  <c r="J13" i="1"/>
  <c r="O13" i="1"/>
  <c r="N13" i="1"/>
  <c r="Q7" i="1" l="1"/>
  <c r="M68" i="3" s="1"/>
  <c r="L7" i="1"/>
  <c r="G68" i="3" s="1"/>
  <c r="K68" i="3"/>
  <c r="J68" i="3"/>
  <c r="K13" i="1"/>
  <c r="M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<sst xmlns="http://schemas.openxmlformats.org/spreadsheetml/2006/main" count="468" uniqueCount="386">
  <si>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</si>
  <si>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</si>
  <si>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</si>
  <si>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</si>
  <si>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</si>
  <si>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</si>
  <si>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</si>
  <si>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</si>
  <si>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</si>
  <si>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</si>
  <si>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</si>
  <si>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</si>
  <si>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</si>
  <si>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</si>
  <si>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</si>
  <si>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</si>
  <si>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</si>
  <si>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</si>
  <si>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</si>
  <si>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</si>
  <si>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</si>
  <si>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</si>
  <si>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</si>
  <si>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</si>
  <si>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</si>
  <si>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</si>
  <si>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</si>
  <si>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</si>
  <si>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</si>
  <si>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</si>
  <si>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</si>
  <si>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</si>
  <si>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</si>
  <si>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</si>
  <si>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</si>
  <si>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</si>
  <si>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</si>
  <si>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</si>
  <si>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</si>
  <si>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</si>
  <si>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</si>
  <si>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</si>
  <si>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</si>
  <si>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</si>
  <si>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</si>
  <si>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</si>
  <si>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</si>
  <si>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</si>
  <si>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</si>
  <si>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</si>
  <si>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</si>
  <si>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</si>
  <si>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</si>
  <si>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</si>
  <si>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</si>
  <si>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</si>
  <si>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</si>
  <si>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</si>
  <si>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</si>
  <si>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</si>
  <si>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</si>
  <si>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</si>
  <si>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</si>
  <si>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</si>
  <si>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</si>
  <si>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</si>
  <si>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</si>
  <si>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</si>
  <si>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</si>
  <si>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</si>
  <si>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</si>
  <si>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</si>
  <si>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</si>
  <si>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</si>
  <si>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</si>
  <si>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</si>
  <si>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</si>
  <si>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</si>
  <si>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</si>
  <si>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</si>
  <si>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</si>
  <si>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</si>
  <si>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</si>
  <si>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</si>
  <si>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</si>
  <si>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</si>
  <si>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</si>
  <si>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</si>
  <si>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</si>
  <si>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</si>
  <si>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</si>
  <si>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</si>
  <si>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</si>
  <si>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</si>
  <si>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</si>
  <si>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</si>
  <si>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</si>
  <si>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</si>
  <si>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</si>
  <si>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</si>
  <si>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</si>
  <si>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</si>
  <si>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</si>
  <si>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</si>
  <si>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</si>
  <si>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</si>
  <si>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</si>
  <si>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</si>
  <si>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</si>
  <si>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</si>
  <si>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</si>
  <si>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</si>
  <si>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</si>
  <si>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</si>
  <si>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</si>
  <si>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</si>
  <si>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</si>
  <si>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</si>
  <si>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</si>
  <si>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</si>
  <si>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</si>
  <si>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</si>
  <si>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</si>
  <si>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</si>
  <si>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</si>
  <si>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</si>
  <si>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</si>
  <si>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</si>
  <si>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</si>
  <si>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</si>
  <si>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</si>
  <si>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</si>
  <si>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</si>
  <si>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</si>
  <si>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</si>
  <si>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</si>
  <si>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</si>
  <si>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</si>
  <si>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</si>
  <si>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</si>
  <si>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</si>
  <si>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</si>
  <si>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</si>
  <si>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</si>
  <si>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</si>
  <si>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</si>
  <si>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</si>
  <si>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</si>
  <si>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</si>
  <si>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</si>
  <si>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</si>
  <si>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</si>
  <si>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</si>
  <si>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</si>
  <si>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</si>
  <si>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</si>
  <si>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</si>
  <si>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</si>
  <si>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</si>
  <si>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</si>
  <si>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</si>
  <si>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</si>
  <si>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</si>
  <si>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</si>
  <si>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</si>
  <si>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</si>
  <si>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</si>
  <si>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</si>
  <si>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</si>
  <si>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</si>
  <si>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</si>
  <si>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</si>
  <si>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</si>
  <si>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</si>
  <si>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</si>
  <si>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</si>
  <si>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</si>
  <si>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</si>
  <si>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</si>
  <si>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</si>
  <si>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</si>
  <si>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</si>
  <si>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</si>
  <si>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</si>
  <si>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</si>
  <si>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</si>
  <si>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</si>
  <si>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</si>
  <si>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</si>
  <si>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</si>
  <si>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</si>
  <si>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</si>
  <si>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</si>
  <si>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</si>
  <si>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</si>
  <si>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</si>
  <si>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</si>
  <si>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</si>
  <si>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</si>
  <si>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</si>
  <si>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</si>
  <si>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</si>
  <si>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</si>
  <si>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</si>
  <si>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</si>
  <si>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</si>
  <si>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</si>
  <si>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</si>
  <si>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</si>
  <si>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</si>
  <si>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</si>
  <si>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</si>
  <si>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</si>
  <si>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</si>
  <si>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</si>
  <si>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</si>
  <si>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</si>
  <si>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</si>
  <si>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</si>
  <si>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</si>
  <si>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</si>
  <si>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</si>
  <si>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</si>
  <si>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</si>
  <si>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</si>
  <si>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</si>
  <si>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</si>
  <si>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</si>
  <si>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</si>
  <si>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</si>
  <si>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</si>
  <si>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</si>
  <si>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</si>
  <si>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</si>
  <si>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</si>
  <si>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</si>
  <si>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</si>
  <si>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</si>
  <si>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</si>
  <si>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</si>
  <si>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</si>
  <si>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</si>
  <si>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</si>
  <si>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</si>
  <si>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</si>
  <si>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</si>
  <si>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</si>
  <si>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</si>
  <si>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</si>
  <si>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</si>
  <si>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</si>
  <si>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</si>
  <si>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</si>
  <si>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</si>
  <si>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</si>
  <si>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</si>
  <si>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</si>
  <si>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</si>
  <si>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</si>
  <si>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</si>
  <si>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</si>
  <si>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</si>
  <si>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</si>
  <si>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</si>
  <si>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</si>
  <si>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</si>
  <si>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</si>
  <si>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</si>
  <si>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</si>
  <si>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</si>
  <si>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</si>
  <si>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</si>
  <si>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</si>
  <si>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</si>
  <si>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</si>
  <si>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</si>
  <si>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</si>
  <si>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</si>
  <si>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</si>
  <si>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</si>
  <si>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</si>
  <si>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</si>
  <si>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</si>
  <si>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</si>
  <si>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</si>
  <si>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</si>
  <si>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</si>
  <si>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</si>
  <si>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</si>
  <si>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</si>
  <si>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</si>
  <si>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</si>
  <si>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</si>
  <si>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</si>
  <si>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</si>
  <si>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</si>
  <si>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</si>
  <si>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</si>
  <si>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</si>
  <si>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</si>
  <si>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</si>
  <si>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</si>
  <si>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</si>
  <si>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</si>
  <si>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</si>
  <si>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</si>
  <si>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</si>
  <si>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</si>
  <si>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</si>
  <si>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</si>
  <si>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</si>
  <si>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</si>
  <si>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</si>
  <si>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</si>
  <si>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</si>
  <si>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</si>
  <si>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</si>
  <si>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</si>
  <si>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</si>
  <si>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</si>
  <si>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</si>
  <si>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</si>
  <si>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</si>
  <si>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</si>
  <si>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</si>
  <si>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</si>
  <si>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</si>
  <si>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</si>
  <si>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</si>
  <si>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</si>
  <si>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</si>
  <si>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</si>
  <si>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</si>
  <si>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</si>
  <si>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</si>
  <si>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</si>
  <si>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</si>
  <si>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</si>
  <si>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</si>
  <si>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</si>
  <si>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</si>
  <si>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</si>
  <si>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</si>
  <si>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</si>
  <si>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</si>
  <si>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</si>
  <si>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</si>
  <si>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</si>
  <si>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</si>
  <si>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</si>
  <si>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</si>
  <si>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</si>
  <si>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</si>
  <si>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</si>
  <si>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</si>
  <si>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Vehicle</t>
  </si>
  <si>
    <t>Part</t>
  </si>
  <si>
    <t>Engine</t>
  </si>
  <si>
    <t>IHP</t>
  </si>
  <si>
    <t>Ihp</t>
  </si>
  <si>
    <t>InvIhp</t>
  </si>
  <si>
    <t>Inhouse Part</t>
  </si>
  <si>
    <t>nvarchar(4)</t>
  </si>
  <si>
    <t>MstCmmMaterialType</t>
  </si>
  <si>
    <t>MaterialType</t>
  </si>
  <si>
    <t>nvarchar(25)</t>
  </si>
  <si>
    <t>Material Type</t>
  </si>
  <si>
    <t>Material Type (4)</t>
  </si>
  <si>
    <t>Description(25)</t>
  </si>
  <si>
    <t>ZVEH</t>
  </si>
  <si>
    <t>ZPAR</t>
  </si>
  <si>
    <t>T/M</t>
  </si>
  <si>
    <t xml:space="preserve"> Axles</t>
  </si>
  <si>
    <t xml:space="preserve"> Propeller Shaft</t>
  </si>
  <si>
    <t>ZDRM</t>
  </si>
  <si>
    <t>Direct</t>
  </si>
  <si>
    <t>Product (Example)</t>
  </si>
  <si>
    <r>
      <t>CKD</t>
    </r>
    <r>
      <rPr>
        <sz val="11"/>
        <rFont val="Segoe UI"/>
        <family val="2"/>
      </rPr>
      <t xml:space="preserve"> - Local Assembly Vehicle</t>
    </r>
  </si>
  <si>
    <r>
      <t>Import CBU</t>
    </r>
    <r>
      <rPr>
        <sz val="11"/>
        <rFont val="Segoe UI"/>
        <family val="2"/>
      </rPr>
      <t xml:space="preserve"> - Import Completed Vehicle</t>
    </r>
  </si>
  <si>
    <r>
      <t>Local CBU</t>
    </r>
    <r>
      <rPr>
        <sz val="11"/>
        <rFont val="Segoe UI"/>
        <family val="2"/>
      </rPr>
      <t xml:space="preserve"> - Local Purchase Completed Vehicle</t>
    </r>
  </si>
  <si>
    <r>
      <t>Engine Unit</t>
    </r>
    <r>
      <rPr>
        <sz val="11"/>
        <rFont val="Segoe UI"/>
        <family val="2"/>
      </rPr>
      <t xml:space="preserve"> - Produced engine, Local engine, and Import engine</t>
    </r>
  </si>
  <si>
    <r>
      <t xml:space="preserve">Transmission Unit </t>
    </r>
    <r>
      <rPr>
        <sz val="11"/>
        <rFont val="Segoe UI"/>
        <family val="2"/>
      </rPr>
      <t>- Local transmission, and Import transmission</t>
    </r>
  </si>
  <si>
    <r>
      <t xml:space="preserve">Axles </t>
    </r>
    <r>
      <rPr>
        <sz val="11"/>
        <rFont val="Segoe UI"/>
        <family val="2"/>
      </rPr>
      <t xml:space="preserve">- Local Axles, </t>
    </r>
    <r>
      <rPr>
        <sz val="11"/>
        <color rgb="FFFF0000"/>
        <rFont val="Segoe UI"/>
        <family val="2"/>
      </rPr>
      <t>Import Axles,</t>
    </r>
  </si>
  <si>
    <r>
      <t xml:space="preserve">Propeller Shaft </t>
    </r>
    <r>
      <rPr>
        <sz val="11"/>
        <rFont val="Segoe UI"/>
        <family val="2"/>
      </rPr>
      <t xml:space="preserve">- Local Propeller Shaft, </t>
    </r>
    <r>
      <rPr>
        <sz val="11"/>
        <color rgb="FFFF0000"/>
        <rFont val="Segoe UI"/>
        <family val="2"/>
      </rPr>
      <t>Import Propeller Shaft,</t>
    </r>
  </si>
  <si>
    <r>
      <t xml:space="preserve">Local part, Import part, In-house part, Service part, PIO, and Accessories, Lot &amp; Case, </t>
    </r>
    <r>
      <rPr>
        <sz val="11"/>
        <color rgb="FFFF0000"/>
        <rFont val="Segoe UI"/>
        <family val="2"/>
      </rPr>
      <t xml:space="preserve">CPO and SPO </t>
    </r>
  </si>
  <si>
    <r>
      <t>Direct Material</t>
    </r>
    <r>
      <rPr>
        <sz val="11"/>
        <color rgb="FF000000"/>
        <rFont val="Segoe UI"/>
        <family val="2"/>
      </rPr>
      <t xml:space="preserve"> -  Steel sheet, Paint, Aluminum Ingot, Scrap for iron, Coil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</si>
</sst>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1"/>
      <color rgb="FFFFFFFF"/>
      <name val="Segoe UI"/>
      <family val="2"/>
    </font>
    <font>
      <sz val="11"/>
      <name val="Segoe UI"/>
      <family val="2"/>
    </font>
    <font>
      <sz val="11"/>
      <color rgb="FF000000"/>
      <name val="Segoe UI"/>
      <family val="2"/>
    </font>
    <font>
      <b/>
      <sz val="11"/>
      <name val="Segoe UI"/>
      <family val="2"/>
    </font>
    <font>
      <sz val="11"/>
      <color rgb="FFFF0000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rgb="FFFFFFFF"/>
        <bgColor rgb="FF000000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9" fillId="14" borderId="5" xfId="0" applyFont="1" applyFill="1" applyBorder="1" applyAlignment="1">
      <alignment horizontal="center" vertical="top"/>
    </xf>
    <xf numFmtId="0" fontId="19" fillId="14" borderId="12" xfId="0" applyFont="1" applyFill="1" applyBorder="1" applyAlignment="1">
      <alignment horizontal="center" vertical="top"/>
    </xf>
    <xf numFmtId="0" fontId="19" fillId="14" borderId="7" xfId="0" applyFont="1" applyFill="1" applyBorder="1" applyAlignment="1">
      <alignment horizontal="center" vertical="top"/>
    </xf>
    <xf numFmtId="0" fontId="19" fillId="14" borderId="8" xfId="0" applyFont="1" applyFill="1" applyBorder="1" applyAlignment="1">
      <alignment horizontal="center" vertical="top"/>
    </xf>
    <xf numFmtId="0" fontId="21" fillId="15" borderId="9" xfId="0" applyFont="1" applyFill="1" applyBorder="1" applyAlignment="1">
      <alignment horizontal="center" vertical="center" readingOrder="1"/>
    </xf>
    <xf numFmtId="0" fontId="21" fillId="15" borderId="10" xfId="0" applyFont="1" applyFill="1" applyBorder="1" applyAlignment="1">
      <alignment horizontal="center" vertical="center" readingOrder="1"/>
    </xf>
    <xf numFmtId="0" fontId="21" fillId="15" borderId="13" xfId="0" applyFont="1" applyFill="1" applyBorder="1" applyAlignment="1">
      <alignment horizontal="center" vertical="center" readingOrder="1"/>
    </xf>
    <xf numFmtId="0" fontId="21" fillId="15" borderId="11" xfId="0" applyFont="1" applyFill="1" applyBorder="1" applyAlignment="1">
      <alignment horizontal="center" vertical="center" readingOrder="1"/>
    </xf>
    <xf numFmtId="0" fontId="21" fillId="15" borderId="0" xfId="0" applyFont="1" applyFill="1" applyBorder="1" applyAlignment="1">
      <alignment horizontal="center" vertical="center" readingOrder="1"/>
    </xf>
    <xf numFmtId="0" fontId="21" fillId="15" borderId="14" xfId="0" applyFont="1" applyFill="1" applyBorder="1" applyAlignment="1">
      <alignment horizontal="center" vertical="center" readingOrder="1"/>
    </xf>
    <xf numFmtId="0" fontId="21" fillId="15" borderId="7" xfId="0" applyFont="1" applyFill="1" applyBorder="1" applyAlignment="1">
      <alignment horizontal="center" vertical="center" readingOrder="1"/>
    </xf>
    <xf numFmtId="0" fontId="21" fillId="15" borderId="8" xfId="0" applyFont="1" applyFill="1" applyBorder="1" applyAlignment="1">
      <alignment horizontal="center" vertical="center" readingOrder="1"/>
    </xf>
    <xf numFmtId="0" fontId="21" fillId="15" borderId="15" xfId="0" applyFont="1" applyFill="1" applyBorder="1" applyAlignment="1">
      <alignment horizontal="center" vertical="center" readingOrder="1"/>
    </xf>
    <xf numFmtId="0" fontId="20" fillId="15" borderId="9" xfId="0" applyFont="1" applyFill="1" applyBorder="1" applyAlignment="1">
      <alignment horizontal="left" vertical="center"/>
    </xf>
    <xf numFmtId="0" fontId="20" fillId="15" borderId="11" xfId="0" applyFont="1" applyFill="1" applyBorder="1" applyAlignment="1">
      <alignment horizontal="left" vertical="center"/>
    </xf>
    <xf numFmtId="0" fontId="20" fillId="15" borderId="7" xfId="0" applyFont="1" applyFill="1" applyBorder="1" applyAlignment="1">
      <alignment horizontal="left" vertical="center"/>
    </xf>
    <xf numFmtId="0" fontId="20" fillId="15" borderId="6" xfId="0" applyFont="1" applyFill="1" applyBorder="1" applyAlignment="1">
      <alignment horizontal="left" vertical="center"/>
    </xf>
    <xf numFmtId="0" fontId="20" fillId="15" borderId="5" xfId="0" applyFont="1" applyFill="1" applyBorder="1" applyAlignment="1">
      <alignment horizontal="left" vertical="center"/>
    </xf>
    <xf numFmtId="0" fontId="20" fillId="15" borderId="5" xfId="0" applyFont="1" applyFill="1" applyBorder="1" applyAlignment="1">
      <alignment vertical="center"/>
    </xf>
    <xf numFmtId="0" fontId="21" fillId="15" borderId="6" xfId="0" applyFont="1" applyFill="1" applyBorder="1" applyAlignment="1">
      <alignment horizontal="center" vertical="center" readingOrder="1"/>
    </xf>
    <xf numFmtId="0" fontId="21" fillId="15" borderId="5" xfId="0" applyFont="1" applyFill="1" applyBorder="1" applyAlignment="1">
      <alignment horizontal="center" vertical="center" readingOrder="1"/>
    </xf>
    <xf numFmtId="0" fontId="21" fillId="15" borderId="12" xfId="0" applyFont="1" applyFill="1" applyBorder="1" applyAlignment="1">
      <alignment horizontal="center" vertical="center" readingOrder="1"/>
    </xf>
    <xf numFmtId="0" fontId="20" fillId="15" borderId="10" xfId="0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8" xfId="0" applyFont="1" applyFill="1" applyBorder="1" applyAlignment="1">
      <alignment horizontal="left" vertical="center"/>
    </xf>
    <xf numFmtId="0" fontId="20" fillId="15" borderId="12" xfId="0" applyFont="1" applyFill="1" applyBorder="1" applyAlignment="1">
      <alignment horizontal="left" vertical="center"/>
    </xf>
    <xf numFmtId="0" fontId="20" fillId="15" borderId="12" xfId="0" applyFont="1" applyFill="1" applyBorder="1" applyAlignment="1">
      <alignment vertical="center"/>
    </xf>
    <xf numFmtId="0" fontId="19" fillId="14" borderId="15" xfId="0" applyFont="1" applyFill="1" applyBorder="1" applyAlignment="1">
      <alignment horizontal="center" vertical="top"/>
    </xf>
    <xf numFmtId="0" fontId="19" fillId="14" borderId="7" xfId="0" applyFont="1" applyFill="1" applyBorder="1" applyAlignment="1">
      <alignment vertical="top"/>
    </xf>
    <xf numFmtId="0" fontId="19" fillId="14" borderId="8" xfId="0" applyFont="1" applyFill="1" applyBorder="1" applyAlignment="1">
      <alignment vertical="top"/>
    </xf>
    <xf numFmtId="0" fontId="20" fillId="15" borderId="13" xfId="0" applyFont="1" applyFill="1" applyBorder="1" applyAlignment="1">
      <alignment horizontal="left" vertical="center"/>
    </xf>
    <xf numFmtId="0" fontId="20" fillId="15" borderId="14" xfId="0" applyFont="1" applyFill="1" applyBorder="1" applyAlignment="1">
      <alignment horizontal="left" vertical="center"/>
    </xf>
    <xf numFmtId="0" fontId="20" fillId="15" borderId="15" xfId="0" applyFont="1" applyFill="1" applyBorder="1" applyAlignment="1">
      <alignment horizontal="left" vertical="center"/>
    </xf>
    <xf numFmtId="0" fontId="22" fillId="15" borderId="6" xfId="0" applyFont="1" applyFill="1" applyBorder="1" applyAlignment="1">
      <alignment horizontal="left" vertical="top"/>
    </xf>
    <xf numFmtId="0" fontId="22" fillId="15" borderId="5" xfId="0" applyFont="1" applyFill="1" applyBorder="1" applyAlignment="1">
      <alignment horizontal="left" vertical="top"/>
    </xf>
    <xf numFmtId="0" fontId="20" fillId="15" borderId="5" xfId="0" applyFont="1" applyFill="1" applyBorder="1" applyAlignment="1">
      <alignment horizontal="left" vertical="top"/>
    </xf>
    <xf numFmtId="0" fontId="22" fillId="15" borderId="6" xfId="0" applyFont="1" applyFill="1" applyBorder="1" applyAlignment="1">
      <alignment horizontal="left" vertical="top" wrapText="1"/>
    </xf>
    <xf numFmtId="0" fontId="22" fillId="15" borderId="5" xfId="0" applyFont="1" applyFill="1" applyBorder="1" applyAlignment="1">
      <alignment horizontal="left" vertical="top" wrapText="1"/>
    </xf>
    <xf numFmtId="0" fontId="20" fillId="15" borderId="12" xfId="0" applyFont="1" applyFill="1" applyBorder="1" applyAlignment="1">
      <alignment horizontal="left" vertical="center"/>
    </xf>
    <xf numFmtId="0" fontId="20" fillId="15" borderId="6" xfId="0" applyFont="1" applyFill="1" applyBorder="1" applyAlignment="1">
      <alignment horizontal="left" vertical="top" wrapText="1"/>
    </xf>
    <xf numFmtId="0" fontId="20" fillId="15" borderId="5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13</xdr:row>
      <xdr:rowOff>0</xdr:rowOff>
    </xdr:from>
    <xdr:to>
      <xdr:col>3</xdr:col>
      <xdr:colOff>57150</xdr:colOff>
      <xdr:row>14</xdr:row>
      <xdr:rowOff>114300</xdr:rowOff>
    </xdr:to>
    <xdr:sp macro="" textlink="">
      <xdr:nvSpPr>
        <xdr:cNvPr id="4097" name="AutoShape 1" descr="data:image/png;base64,iVBORw0KGgoAAAANSUhEUgAAAhQAAAFBCAYAAAAv0TY8AAAAAXNSR0IArs4c6QAAIABJREFUeF7snXVYVtn6sO+XTgEDERQUO7C7u1vsDixUUFHBQAUEBERCUuzuAsXu7kIMTFSkUfLN79ovmOPMeM7ROZ7vx7rGf4Z377XWs+reTy1RVlaWgsLyXQmIRCISExMxNDREXV29UEq/SAKCnHNzc8nJyUFPT08pa4Xi95uWQpvS09PR0tJCW1v7F0mj8LWFEiiUQKEE/jclIIqPj//9du7fRJbCQZeVlaU8QFRUVH6TVv3/1wxBzlKpFIlEgoaGxm8rawEo8vLyUFNTU/4rLIUSKJRAoQQKJfBZAiLF7/gp+BuN0KtXrzA2NlYedMLBV1h+jQSys7OV8Kavr68EuN+xyOVykpOTldoJoZ2FpVAChRIolEChBAqB4ofnQHx8PCVKlEBTU/OHnyn84b8ugY9AUaRIkd9W1oVA8a+Pa+EThRIolMD/HQkUaij+ZqwLgeKfWQyFQPHPyLmwlkIJFEqgUAK/SgJ/AhQSHhzYQ4J5W1rXLM6Xmn5Zbho3jkRz6eFrFDqWtOnZlhqlDb/6TXbyU84eOMr9pGwMy9SlU9dGmBbR+uI3CpIfX+N49Hle5WphWacZ7VtWQ19DlU9GBUUeTy6e4MzlB6QpilO/XRua1DBDQ/WjL4OCxAenuPlSl3ot6lBMR/3zsz9RWt8CRcbD0xy8lU299i2xLKqL2scGy9O5fvQot6Xl6NPKCgNJPIePniDbvB0daltQREu1oFVyEh+c5eDtLBq3aIpJTgx7TtwkLTPvDyYVhVyGepESNO3QgxpliqKpKuXV7UtcuHiLN1naVG7YlGb1ymOgo/Gpx/K8DGIunOXK3SdkqpSiQetm1K5UCm2Nj/VDbtorrp04w+3nyWiUqESLNo2wNDVCQ/Vbk46CxPtXeZSiQQWrShgb6fCrPEm+BgoN3r+5z+mDN1CtVJOG9atR/Is+SjLfcnHfedIMzWnQ1IpSRtq/ZOy/nUbfaijk0mRuHz/D9XtPyShmSatmjbFQTeDsxes8S/iAikqBPBUKFPr6lKtSh8ZW1ShlqPP3M1SexaPrV3iaoUnlmrUoZ6z798/8C78Qv0/gyf04JHqlKF/NEr2C6SFNf8X1K5e4+iAesUx4oQKRmgaWNZvQqEE9TP6uGfIsXty+S2K2NhZ1a2GsJefdk6tcuHieuEQ9ytdqQLMWVhhrffZBkeWmE//wDq/eSTGpXAcLc0PUv9x0JLmkP3/Kg/hMNMtWoFbZovxhqn7bd4UMFHIQqfHV5vSjMlKISXh6nzuxbylRtTF1LIv+xZNSUl494s6dp2iWq0/jaia/bJ38aPP/t36nALkURKog+nqHUUhzSXp2j0s34inftiPVS/zA2vmBzkty3hN39Th3s83p0LEehp+OFSlZqU85cfgq0sqt6V2rGClxV4i6/JTyrQbR3OKjOVaBJDeV++dPcT2rDAPbViH+xmH2X36Juto3u6Sw/hFRvHxNOnZsh4m2Akl2GndOHuNyTDxyvbK06NJaOa8/FoVCTlbyCy4eOsq9d9kUMa1Fh65NMDf6bA4WzoeUp7c4cfAsrySalK3RlA5trCii8cddWi7L5dHRQySUbErLOiV/2fz8DlDIeXwjEBtrR8wcb7F+XCVUP26Mkgx2uvXEfsV1EjJyARVKtR3FMt+l9KtupFzkea/Ps2S2DX6748iWyFDX1KfSSBe2u06kYlF1hFe9uxiA7SwvIq++QypToFPCgtZzQtk8qQ16mvkbzfX1Y5nguo+7zzOQKRQYVGvFZI9gnDpWRFvtAzlSLe5tcWHDjdJMcxmKsUKfIvqib+fjD0ytv/7Jt0DxZNNkhoUkYh8aSK9qpdD+OHbSRyy1GU/4h24c8reh7PuTjJ0wjaMf2hK2YSmdqpmgpfxtHlfXz2Fo0DsWernSOHklvRxWEfsq/bsN0TKtzvzQbYxvV4XkE4uZ5bqGEzffkCORo2dRiwGOPjgPaEppA02QZHB45TQW+B/kzrN0pHIVSjTqhdPCRQxrUYWi2iqI390g3NsR340XeJWci6qGHuV6TcFvwRRaVzFB84u5+D75LD6zZ3BFrS/zZ9vQuEJxfpUr4rcaCumbK/jPn8Pq68WY6OnM8I5WGCpPkUxORTjhsvI2tYbOx25YW8oW/VWt+npIvgUKac4dVtjOwW/9UeLLd8bLxZH2Wpdx9gwg8urrP4ynjlkVuo53ZNaoPtQz++uTWSF+wzZPdw4+NWDwVFu61DP9j+fy590qkRM7lxO86SZVu9szaVhnTAv2qZRbO/FxdyVo/32ypflPiDT16TDWmQVzptPE7K+akc2DK9sI8FtLlrk1djOnUq+YhCs7vHB1WcyhhyZ0HmfP4iUTqVfs88EgSX1O5CoPloXto2iHacx2mk5z849RNBLe3D1OqOdStj0xYsSchczuUwv1v3BnkmelEnP0Ig/fKag1oB0VjP6NiBx5Bhd3ryV8zSVq28xnWu/qfwGtudw7uo3gFfsp1nMWC8Y25jPi/7xh+//yTTIxqY8ecHr3VYr37EpzK9Ov5CzLTuF25Gpc/E/SM3gNY2qV/CliyEp6zh6PMUSkdiI8Yg6VPm4h8hzexOxj4mgv5P382G9Xg3u7F9PbYQtlei5hY7ANZZTwLSMzNZaV86YT8KoV50MHc8Z/BMOWX/pu+1Q0tKnQbgQRq4Oop5NMlO8gpgdc5nVaDirqWpRpOYD5Ht6MrlsMFDKyXt/Ab95Ilm5/SrZEipqOEdUHz2aVqz21jdVRyMS8vboWh9kL2XEhCYVIhF6JcjSd7s/umV0Kzpr8psjlYh7dCGHq8EUYTzvDhklW/wxQSLIyiI7wZL5bIPdSshi5+iERIyuiUvC1kHDAkQrDV9HG1hv3Ue0RPd6L7RQHstt4si1wCuV0stnnPIghK18zfekKxjUvRUykN9MWr6eZ62nCbeqjlXkb+2FDCHtbhXAfd1qVymRX4DTc97xj7rbrTG5qhEbsBhr1cSCzvg0Bs0ZTXvqAJbNHclzWmbD1obTRu4qDjQ9XcnJQl+iTLf6ARd8FRExsgZHOzw3v/BYo4rZNZ0hAEg7hPnSvavIZKGRPWD7GhhV5XTnka0O5D2eVQLH7UhK1x/myxnkwFYz1EZHHjfVODA5JYK6nK/3qGpGSkoFEKkcke83K2bO4Y2KNw6RumOsLEQ8aFDU1oUjCCUaMmcVljSbMnz6JZiXSWe8znW2PSuDgHczAZhXJPbec7vbh6DUZgeOYPpR6fwWPxYt5atYfD5fpNKuozdngOUwNuUqzYTOY1K0uqdc24uKzmuJ9vfGc0odKJXWQS8U8PH+ApYvc2XfpLhUGLMJ/4XgaWRbns57jp6zrTy/5g8lDoSD1QSSOcxdxXrcj/nOn0r66KfHnw5m2eCWazSYy12YgNUz1/hHtRP7C/NopU5p9Gz9bN06llmHwrPH0aGDOq+gA3LbdpFzL4Qxqa4WeqgQ5KmS9iWWDz3JOvNRjtMs8RnSrj8FfqHsUkjdsX+bOweeGDJxgS9c6pf5zgQthr28esyt8BYGrtvBatzwTHBcxZXBnTJRAIefx0XX4rj6Cdr0ejOzdCF0Uyq9G3SJFMTIy5AvFwlftyc1I4vSeTQT4BXPuxXs6TpjHfIep1CquQJybxZuYU6wN3MgL/bpMWjCVhiU+H/KS9GccWOmDd9gm3pTtgq3dAmb3qJb//tw0zu8PxMPbj1i1tkyePZ+pvWv/JVDkvb3NjqAwTiWbMs5lJo2N/w2gIL/dWdkS1HX00fuzjuc3kvsnthESth/DbnNYOKIhP3cX+s+H/nd9gzw3ndgTW/BcFkWzxSFMaF7mq6YKQHHnYAQufufoGbSK0bWMf0pXspJesGfpJCKS2hOxegYVPimQc3j7IJIpozzIHRjAAdvqxOxdQrdJ/qRr12Sy3yrcB9ZGhJyslIesnm+Pz5tWXNg4CyNJEvEpWaiIZCQ+OoH7/DDK2vgwo0dF5LlSNHQNKFlMm8SjvjQeF0aNYc4sHdsR4g7h5OhIUs2ZbAxbSHnVVI77jaN/4GPGu/gxuXUZHh4OZJb7Rqxm7GLNjFaIUu/jPnkEy++ZERC4jLYm7zkQ7ojrlljst8bg1MZQqV3Me5/KkbU+zHNdwcNMOUODrrJqTLVftmd+oaF4w/L2Y/F8m8uwYW25siMMi0lHWDe2aoGGQsamcZVxezGAbfsXUUNLHZFCzLU10+ixLJXV+9bSueQLpndsxcvOK1np2J1imqoo5K8JHzeIRcndubt9Boqb4QwYHkibFQeY3b4CWmoi5BnnGNNuHPE9Atg7px0PVw1keLAEj8j1dC1rgLpIQfLVIDoP30z3pWuY07UC8gcncLGzJfiJGZOmOzFpQmvK6mn+dPL6caCIY/mYcZ+BIvM0Yyf4k15cxv1YVWxdwhjbuQIG2uJ8oAhNwMnDlf5Ny6Hz0W4ijcdnzAiumY3Gw74P5Urq5X8hikQ83DmbSV636evpx9DmVTBUV5D5ZDejxwVRop8Tc0e04vZya5bfKIO9pyPtq5VBSyHh7m53JgQ9YqTTAgbXVSXEfjQ3Sw5kjt1wapUxRCR/x47FM1h6tyw+bra0ql6Uc37+LFobhW6D+hTJuEliiW4smj6KJhVK/HNAIXRcIVW2f5bXNkx7LMGhtTYRy724pN0M5zkTaF/D7LPJ6adsM3/9ku8BxXJbDy5LrZjiZEPrakbc27cMz72x1Os7idFdGmLwcaNSKEi4so4FYdEUbz6KaYPbo578lMQsVYzNylCiiCZy8Qdev4wnS6SPaUkR0UGeRD0z+AQUcmk2Ca9f8PxlAjliLUzMy1LW3BhdTVXlV016wkvepkkwMDHDpKjuN2tBwbt7FwnzDCTyRS6VrQxIS8vFqt0I7IZ1LQCKD1zaFExAZDyNh0xgSvcvvspFoj/dhPLSn7HTN4jg/XcwbVIORXoCGpYdmGM/hVol8mWaHX+Fdb6h3JBVZty8aTT64pCXpMexNyyUPccvk6FnToXG3Zk2fRDl1SHz3W0iN65j/8GbZBhXpW3fsUyzroe6Ipe01JfEPXtNWroCbb0SWJQvi2lxLRLuHiPcO4DzaSb0nzmNbvWqUdpAnZz3yTx7+pQ3yTno6BsX/F4XEQqy0xN5m5iKWEUdRUYS76VGmBhrkZebg56xBWbFdJCJM0h4E0fcy1QkEk0Mi5thWdEcIx3p3wKFQi4hLekVTx7F8V6ug0HRohiqy5EodCldvjSi7CTevElBpKlJVlIyMg1TqlQ3R4tMkuKf8/JFIlkiNYqZmmNZzlxpHpbmfuDd63hSpLpUqFAGHVXIy0zj9ctX5OqYUrGUNqmvX5KYqYGpmT7v4h7xLluEaemylCtfGo3vaHnE2Rm8jX9OrqYZxTQ+8OjJa1R0TKlcxRJ9tRwSXj3h8atkdIuWplLFChhoSfmQmsCL+HSKlq2EmaEmckkuKQkveZ0uomyl8hiqychJfsuzx3G8zZWjo2eIZYVKlCyuR3bqc46sXobf+ivUnjyf0b1aU6tUkU8LUQkUhyJwXX6Onr4r6GiQQkx8OsWKmVKxWgX0ND6pFhDnZvDs0UNevstCU6sYZatUwvxPTCRfAsWq1TMo/z2gGBTAgcnVidnnzXDnI5jW1ibhfUNWhC+jifnXQHF+sxOldUFIn6OQ55EQE83MCR5UcljPoj6VCvojQvwhiQMuvXC53pDVB5ZRT1cFWd57bu11Y6jbQ5w3raO3RTIeA1pxvYY3a70HY6wijGs8WxdOZP69epzftwDt+9sZN2ohlRfux7NfNSXEZKdcZk4fGy42Wsp1n+6Is18S1H8qy168p/fANjyM3oTx8B1snFjrnwCKdxwNOIpq2460MH7I4B79UB97io3jPgLFE5yadOZSh2AOO7dHo8BOlHp9DQOGBNF9zV7GmF+hfzt3mnhvZW638gU2eQW3Vo5mUACsvxSC9p759PdLImhbIK0tDQpsobmst2lM8Pvx7F41mLMO/Vic2oOjqyZhqq+l7Lw05RYz+g4lt08gyya0JP3SWgJ2J1HFIJZT0oYsdBqDpYH2bwUUoycEUGbEKNS2h3KmZBc83CfTwFSPu+sdvwAKS3Q/6m+lL/AePZIrpUfjad+P8gVAAdkc9ZjCgqul8Fk6lSYVTZQHuyLrOT4TR3O39CicpzUhao49J0pY4zHDmmpm+Ysy/d5uZs6MoOwYJ4bVy8RzegiG3acxZWBLyhgKilkFD3YuYGZIPEOXzKVXo9K8OnqBl3Ijatc24FDwbHakNcbRbjRN/2mgEFonjmfzYkdCDz8FcsjTbswUZzv6tK2M/t8a0n8uZXwfKNy5JK3J1AKguLtvGd77Y6nXbxKjOjX6BBSK7GROrPbFd/89Go6yZ6J1TS4GuLH7vg7WEyfSo5E5eUm3CfNcwUO1Woya1JnnOwOIelJECRRdqsCZ7WtZEbqWk/df8CFPDdN67RhpN4sxgm1VO5uz691Zey6RRkPtGdbOiq+tzXLSXz7h/u1XaJcui977UwRuOoZuw+HYfwQK8Rv2Rfiy7VIWleq0wkSUQLZmEeo0aUXd6pYY/ImdQZz5lgeXH5BOcSqaJbMpIpybGs2YM33qV0Cx1jeUm38GFCHBHI6JR7OYISoiS3pPnUk7S1VeXtrLll2HeJgOCpEKVdvbML1vZZ5fiyIgYBlbDt3mQzZoG5ai+QAbJo/szIfocFw9IniQq06ZxtbMdHamX5lEtof4sWrPUR4l5aJtZEaDPmOZOm0iPasW4cnZvYSEruLKqyxEz1+gVmsAPVsU5cG1h1gNd2RCS13OHgjH1X81F++moFCoUaJ8bQZMmYXt8M7kXt1OSNi+72so5Jk8vXaMQFcfNh2/SoZIh2LFimFsXITSDYewcMEENB7uxM8jlGc5aqQ8TqZMu+n4unfiWWQ4ASHrufA4mVxVLYpbNmbIqJnMnNwBrXd32BYSyLG0qrj52lNZD+Jvn2Sl9wpeVxqNh00FToQuY+WpVKo2zOX4mlM8y9bGsnobJs52ZLh1Qwy/gYp3Dy+xIcCFC1IrSmUeYsPOOIpY1GH4lGm0Mk0gxNOd6HuZlCjfgLHzPZjZtxJPjmzGK/A07eb7YtOyDDkpLzi63p/wM6o4BS+iSt4N1i6Zid+W2yRKQFvXmOZdxjFr4XhMEo8yu/8YIt8p0DSpROdpQex2bPsVUNw9tJoF7vsx62TJ4537OfdSjFGJyvQfNxuH2YOw0JKQkXCPrV5eBO+IJDZJjLpOUWp2G479vPkMqPoZUD6++F8DCh9slt9lyIw+XHP3RzbelzDb1vCFhiIfKPKFqZDlkfDgIDPGe1LBYT2ufSsXVCsnM+UBAaPHEF3ZiRPevZUmZMF88e7uAabZuFPDeRPTGr1iQvs5mM7djO+gKsrzTybO4u4OZ8Z5vcTzeASlLwUwbMFN5m5eS9+C/gl+IfvmdcblQU+iDs2hlDiBM6tOQZOWNCwRx+RhI8jrv4+tk/8RoFAgl8lBRQWVpPP079EXta+A4jrjKw3kxaRNRE5riHrBZp4Zu5Mh3edTPyyKyeXO0L31Kvqt34Z9S1PUC3wvHu+YQJ+Z7/CLWYfehlkMWKvGjl3e1DfT/eRctc+hDi63B7J99wiOj+mPr/5YLgYMxUgvP1xT8f4p8/t25Fmr5QTM7IxO+jteKophqZtA7BsoU8Ecwy+dOn/SWfKfaChGjVuOpd1yBprcw3leMOWGeTJnYGNe75nLoNC3BRqKHwGKNPY4TsbtuRUr3W2oY1kinzDzkgixtea0ziDmz27Ibtu53LAag+fU7lQpmW+jz447zOxJSyky1IlhDVJxs9uC5VAHJvdrjKl+Pt2/iHZhqssdui1dzMDm1TFQyJVORCJpAhvcprAttRGO9v8doBCA58PzE7hPd2T1NQnD57thN6gDZQSfkX+4/AhQxEQFMNtrPY8/6FPOxBCBu0UqKkgyU4l99IIy9QaxcP402tbXZv9yF3bG6NJ//GR6NiyDOOk2oV4BPFCvzegJXXixI5CoJ/pKoKiesZsF3sE8KtKEAb26UVUvi8sHdnIlqSj9baczqG1Vsl8/5VWymKKlLTArrv9HbZJCgVyhUPooxp9bh9f6w+g2GvEZKFIesCHIDa/1J3idqkCclUaeqhZmFVowdsZMxg5pg+l3nQMUKOT5jmeyF2fwWxHMTc3m3wUKQUNh8z0NRcgKDj+RU65acVJeJlO9pz1j2xpwevNq9p9+gZGlMQmPX2HRaSJj64tZv9SXqDsqtBsxkLrlFDy/cIh9JxOoNGAKY5tK2eLtx/m0kvSbOYOuFbS4scMTr333qdh5JNaNy5MXd41DUaeRVO3NAqfJaMXsxMfFmVM5VRg81IYuzS1IjznOtl03sBoxmw7qN/FbEEq8WTuGjWyBgfgZlw9Gcu6VKSNd5lIv9ywhYXu+AxQKkmPPsNJ7HqvuQufhNrQsAZf3b2dj9G1qDJyG18LJqN9bxyIHF56V6cXE4UNoVLMMsmdRuC/x5blRb8aPbkdJyRsuHdjNgYciei9YxuxaEraGBXAkrToePvZU0oXXd04Q7hvIy4rj8B5TnmPBc3EMOo9JndYMHmZNKfkzDmzaxlWNejh7+TKkpsFXqyjx4TlCF40m+F45evbuSYuK+tw+vJ3txx9gVKMNXTu2pIphArt2bOWVbi9CAyahGbMDz4CTtHXyZ3yL0uSkPOfoJj9Cz6ritGw6ojOrcXY7Rt3Jk+hYzZC3jy6zed8hDDs4EzC8BudWu7N801Vq2jgxqk8HGpoL6vr8IstO5W50KFOne/BcpxXDZvalqZGIK/s2svZyOtaeW/Fqr8fFLXOZsOwolQfPYVTT8siTHnFk42ZiS3Un1M+ZKt8wxb8EFHu9sfF/gsOGIAxOLMZp7StmRmykh8kbVs+fpjR5/BEoopg+fikVvwIKKe+TrrOkry1XOnlxcn4BOMklpMQex2GkPcVnbsGh9VNGNvGiTtAOPLqaK+Ugl2Tz5OASRs68ysyzm6hw1pvB7gkE7A2nQ9l8ByhpbiYnlnZhRmRTtl9dSjUKznQRiBMuMH7IcPIG/GNA8cW8Sjz3faCoWAAUdl8AxYNdDOk+l/rhB5VA0a31KqzXbcO+1WegeLJ9Ar0FoHiwFr31s5VAsXOXN/VKfwaK/Q51WHx7INt2D+fE6P74Gozjov/XQLGgbweetvLDf2ZnimsLh6EIkUihVDMJu+SvSDv1LwNFblcOLbehXOZpBKAwn+LHjG6mnPOeypwoDbzXOFPyRgijQhNwVJo8fgQoUtkzxzYfKDy+BopQW2tO6Qxi3qyG7J4yl5sCUEzpTpUCd3wlUExciv4wR4bXT8PVbgvlh30HKBbfppuXixIoPn21iN+y/r8OFJB4bSfz7Bay/XIKre3ccLUfSM0y/3xiqR8BigeHVjBrUQAnY9LQ0dJALskhOycPqXFp2g+fhOOoYTQtb4K6Sgp7l7uwK0YX62+BQqM2o8cXAEWcIQPHdSP5YARrrsjoa2ODdRNB+6cgOeYkoZuPoF61GxOH9aScoapyLQgmsr/OwSbn1dk/AkXO6+tsDPFg52MFbQbb0rtBOXLvnSQocDVX1RviOHcmPavpkZGRiUyWH/2hV8QAfR1NpbO1clN7dprl/y5QxKnRrkd94q9cIKlUe6b3LUn0qq1ck1agXQ04HnUD866TmN63OpmJibx6nca75CQe3zzF0cO7uBCvT+9JzrgMMeXwilBOJ5tj4zqNEk+P4OO3gbcmbVgw1RoLIy0UuclcjNzCjotJNB87lw6KCwQujSC95jAWug7FQpTJ1ch1rNx8GasRC5jcxozE+Le8ePeBxDdx3Dy7l8iTx/hQpAOz3ZxpKrpGSNhuDL71oZClcfXgetyDjmNm7YDPqGb5JlwBMgKXc0LeHB8XW1Rub2S521ZKDHZm/oTWqKc94cCqFaw7msfopYvoV1vwHZApHVRXegTwoEgPFs5vysWwAKL/FCgsORaymLAL6kz2XUGf6gaIpO+5f3wb3h5bKDXYjUWTW3ylyUqMPctK16mc1hqGt6891TTfc/vwRtwXbKacrTfOY5uilv6CI1tXEH5czAwvR4rH7WNpwIk/AsU5VZx8piI/EcT0Gfso2msUdoOaU8m8POo6UnSNjCmhkUvM0Q14+B6i5eIwbFqU+eSz9wkoDoUy12M7dWdtYp51FTSQkvT0MsGz5nClyAj8XGqyxs6RIwbd2eA6HGM9DUTi98Re2IdPxEnazovArvnXvhd/CxQj3ckd6M+BKVbE7PVmnN9jZu/YRGvReZbYzOJE0SHsC+zKgfl2eP2LQOHWx5arAlAs+BooZo20p9iMLTi0iWNkY2/qhOzEo0u+T4kSKKLcGTnzMjPPbabCWS8GL0kkcF847cvmf1x9BIrpBUBR/eORrpCR+/a3A4r72Nfuxf2Bqzk4uznqBeGb7+9uYVBfD1pFHGB82Qv0aRtAp+CtOLQ3/6TFiNkwDmuXLMJurUR3qyMDQvNYt8OXxhb6BRoKBTum1sP7xQh2bBrKadt+eMiHcC50NMUKNBSy9Fgc+/YiqbM/vlPbUVT7n3F7+hYoHm+xY3hQGrNXetG18sfIDWHEn+E/dhyr5D3Z7Tkaiw8n84HCVnDKqY1Rygkmj5/Jh1pz6F/mCk6bknHycKF/0/I/YPJ4z8GFU1gUU4Egz4nUK2+cb9rJeUvA5CFcLjaUBdMbs3+6AxfKDcPDrjdVTfP9Lz48jGTW1EBKjnRkWP0M3O3XYGo9ncn9m2FWJF+GcfsXYefziH4ezvRrWoUiH8nsNwAKSdIJ3CZ7ciGtLGVN33DpQS697Jyx7ducUjq/Koj1+6qPHwEKpQ/F7hhq9RzH8I4N0Ey4zvYVAey8KaedjT0j+zSllJ4KKJLzgeKBXr6GokFp8pLuEOYTwAPB5GHThRc7A4mKM2Lg2I682x+CR8BuXuTKP0ddKeRIpKWolaB3AAAgAElEQVToOcGB+Y4jqFP6RyHr+0AhhFlKpRKUiko1ddRURCjkuVza7EvY9vvU7tMbo/cnWea7lbjkPDTLNWKs/TxmDW1PyQL7yn8GFBr0mNSX7DP7uPiiKM2bGRNz/jK6jQbQzuA+4dtuUK7bJGZ0NeH81pW4+q7hZoYapUqWQkecRmJeMbpOnMPCwaYcCgzhdGoZxrvZUfxxNEudXdh4+jEq6p9D0+UyBcXLt2Wq4yJ6l3tBRPgO5E3G4zK5Hbry91w+sLYAKJwZXS2LTctdcd98DmkxU0z1dcl7nwYl6mPvuoCmXP0+UGS95viOIFZEv6S3QxAj6+drBLLe3mbXmmAOPiuLg+sU1O5vZUVQNJVGuDKrdzU+vLzO9lVBHE+pydzFdlgVy1+U4oR77F8dwIbHpkyb3ZtnmwSgqIG7l51SQ/HmzklWLg/geQVBQ1GOYyE+bL1vjvOGRdQVnCyQkxBzlrV+y3hQZgRe860p+cWX2LsH51jrMY+7xrYs9xlAMUk6d05uY5n/QepPW45dJ0vy0l5ycnswIUezmOI5pwAoCjQUzc3ITX2h1FCEnFVlXsAiKmTdItzbhVX7r5KYlou6dlGqNeuFjcNUBjcyIe7YRtx8omjpFsHk5qW/Wnz5PhSrcFl+jt6BEYyskw8GeSnPOb5yHh5XzHFb1Ik99hMIPPsMDXW1Tx+WCrkI3aI1mLgkCJfR9b8yhwtAsdtzImtSO7FqlT3lPm4l8lwSHh7EbpQ78uHBbBtbMR8olgtAsYXeJpk8Ph7ASMc9dLb3pvi95XjHNeX85rnfmDy+p6GQ8SH5Dj6DJ3CmkQsn3Tor+yKYPJJjjjBjzFzMnTYzvfkzxrVwodLSrXj1Lp8PFOJsYve5MNo5hgWn1lL2gi9DXeLw2LGKrhXyF58AFNEunXE634G9pxeS/6Sygt8RKHIIG1ydUKkt+zbbU0a5MBU82DOX7nPv4rVrE71N4hjfsSfyEetZMakVuurCBE5nq8MgZt5uwOV98+FiIP0nbWPY+t3YNCid72chjWFme2uuNVzCgcXduBXQnwm7jAiPWkGTEnpKO9P7R1vp08+XhvPCmd/XCt0v8ip8f/v/Of/3W6BIjFxAJ9frjPEOZ1ST0uh/5Jq0qziNHceDGosJtOuMScrhL4CiDiW0pdwNn8/4kAsYloW78aVx93WnX5Mf0VAouLVhBnbh8YxfvpRedS0RzqTctyewHeWGant75o1pwyWvQax+UQsn12k0q2iCOgqeHPNnoscFes+cz5C64G83jVdVRzJ7ojWVTYSok/cc8nFg0Rk9Frva066W+WcP9f82UHx4wSa/ufifymLAlHkMq5fNmoXOHHhdDXtXB3o0Ks+/47//786MHwaKPbHU6zOJMd0EHwo5H95cJcLDnR13dBnqOIcRXWqhTzJ7vRax7bo6fadMpU9LS8RvrxG4eAWPdethM+2jhsKIgWM68DYygs1nUqhYvy7liqojFQ59VVVURUWwrNmApk2tMDX40ZTl3wMKOanP73Lm7EPUS9egRfOqFFH6TMi5vsOP8N33sLIeTTOLLM6fvklKZh5axcpQr1kbmlpZolPgG/efAEV0nAb9pk9A985uth+5hlSnJPraZrQaOZTSr/YRtu0GFbpNoF+5eEKCV/NErQZ9B/WlbkULJHcOE7wiEvXWQ5g3wpxoJVCYM8FtGkVjI/FfvoaHirK0alAeNWQoUEFVRR19QwvqNGpI0czLRKzcBY3Hs/hLoNhyFathE7HKPYF/6BksugynZ+tGWBbT4P7+dazeFkcX1wU0/zOgyHvH2b3heG25T+MJXszrkq/C/vDqGpsiAjjwphourraoCkARXAAUvaqR9fYuOyNWsPdeKWZ5OdKsIP9BxtNrbPXz4VBmHWYv7MT9QF+iXlfCJcyRmkUUvLh6hCC3EBLrj8dnnKCh8GDj3RI4rVlGM0PBeVfM82tHCFniR0azGbjP6sqXGTY+A8UUlvv0/xoo7JZj1zEfKE4UAMVUASge7cbd/QitFgQwpZMl2YnPiFzpQ/gFbRavcqVpSXWy3yfy4OYFTp69R8qLR1y/dZNEndb4rHWjVOxWlnhF0sptJRO/CxQrWbTsCJ2Xb2RSo/zw6Q9CtNKSaaxPao6nWxO22s3ijGoD+jW3yDfdi0SoqKqjo12Sms1a07zeF/uaEJeT8opD/lNZdK8aEavcaWBUsCtIPhB/cS02s1bTwPkwi9qqfwEUW+lrISIr8RHb59jiclNMVVMZT3V6cmzdnB8ACsjJeMf2ub0IeN2V7XucKS/K1z7EHg9gxKwTTIzYwKBKSSzo3Y3XHYJZM7+bMtJKkpNCpM8UZhw3JTrSA707Gxg9IZB2fnuZ066ccp3mZsXiMXAw+0vP4UrokM/7+O8JFCijL2o53cLWdz1uQxoienaCKaN7c9xoGvvWLsKqSCqrbDtid8GCkPBwhjQsyYvjfowcPw/VEXuImtce3cSTDBs0krPGI9gRsJD6JXI5FjaV8Z7R9Au+yZJuZigueVJz2Aoqj/IieEZ/zOXPWTarH8tvmOG9Ziv9ahgiOLb/E+VboJAmHWZY8wncr9ie+Z4L6FG1DDq5zznq68YM/+v0Wbka+y610X8Z+TVQ6Kgiz0sg2KE3Hptu8NakG2vDltGvcbkf0FCA5M56ek/0IKPWKLxn2VC/eDbbfSez5EASwxdGML5jNdKjZmPtdoxag+excGxXSmXdwd1pPHs/NMXVbR6dqmgTuXQC8w5lMXK6G+O71ib79hbmOC7ibe1Z+M8aQq0yXxgb/6tAkc3VLT7MdTtMmTEOzB7TlcqGarw7vorxc8P4UNGaxQvG0rSK8S/LjfHt/Pq3gELpdSUn9fIu5rgF8rB4exbOmki76gacCp2J57ab1By2GLtB9Ynb6cEinyj0205mwcyOPN0u+FAIUR5DUbsQQcjul9QcMI2x1g0oVUTGm9uH2RZ9G91qHenXqSEllRob0cf//mJ5fF9DkRpzkiB3N06nWDBq7jz6NSlF8sU9rPBbwU2dltg6zKaHlSEymVx5G6xIpIKKqnAwf9YU/UdA8USdfjMdqPbhPGuCAtl1Aer2G43D/B7Izm4ibPstKnQZS7di93BfuR9xvbF4TO6OYepttoW44b/3Da3GLmDxEEFD4cuh+BKMXexCrewrrPRdwdXMWkycM4U2NYvAhxdcPLKfo7FqNB8wmMopJwlZuQvRH4DiGlbWI7BIPoDbgWT6TV/KrBYGxF3dh7enN+dSrHBY4vznGgryeHJ+L74uHtw3bsPcxXNpXkzOxS1hLPHfgKiVDd6LJv0BKGSZ7zi3PQivoEjKDnFlnm1XSuS94fT2YFzCzmDedx7Bo82JCnEm8EQGg9zXMqZyFgfCXPBcd5eaYzzwH2PBkWBHFu56RbspS1k8qh2aKXfY4u+N3+lsbBb5MqNb+a9MxQJQrPGYxz3jHwGKbKYudcbi1QEWOLoj7+lJ0PQOpF3ayoKZ7sSWHEpo0Fjk1/ey7rI6Q2zG0LycKllvY4j0nUfAaZi8eg0N3u5kkftGajutZ073Sl+t548+FHZzAxG3mUPE4qlU0k7m4s4VzPDaj8VwPyJGlWSjsx0bn9ZkgfdC2tXUhpxUHpzdwqroDDpOtqNX1c9+GcLCEBI03jrky2ibNZS3W8iSGaOoqiUj7cFJQh1dWfe4DP7nNtFR78M3QKGa73QZe5yZI3uzI1aPUj3ncWnlDEy/csr8noYC5LkZxG5zoPn8cwxdHI7H8MYonp7BafoIounLhrX+1NNNYrdzLyYeLopPaDhjGpfg6amVTLJfQE63lUR59EbtzQVmjR3BLtW+7A3zooHxB06tnsMEl+108L9L6IAvwm//CiiUflWCn9fPcRn4fqbMd6fo36Mf8jHn2D6+yicVq/z9CzwmNGJpZCYqKuoglZBTpi5LVqxhWhtLBKVByp2dTJ4wioN3VVFVVQVJLjQfQ2SoB03KFUEVGXe2z2SkUwTPklSVm5JMIcdsxFJOLR2NsZ4mIpmYnS7tsAu+SXaemtLhK1e3GP2cVxE0pgWGSv+Jf6b8IfW2IpcTyycy0TeS+PdS1FVAVSFDnienwWhHljtPoaqJEbLYXYwa74WZbSCze9alhPITTkHytVWMHbiAI6qNCF+5TKmh0PkYvyV9jueQEVwvPQrP2f0pb/KFClsu5dTKsczwOcDzdzLkchESTR2aTfIkYEofpbZB8SGeCJfBeG26RVKmKiK5DLFJNWwXeDG9TxNMi6iT9vAwLvNnsO3kS7LEaohkEkS1exPg6UzfRhXR/TLLWt5r1rtNZlNqM+bajaZ5pX8qbFSDV1c24+K4gozqg3GwH0Z9y6JKO71ClsuVrYtxCDyJZQ875o7rSeUCB9RfPSN+CCj2LMV972Pq9rFlbLeGGBVosBRyMRe2zGNh+FFM28/CaXw/ir7Yw9yFnmw9/RhNg6KYlC2LpliBVbtBTJncmadbAoh6pM/gKba0MX5O6BJvQnaf551EqtQOihSalGvUC3sne/q1sODO9iA2n0+mQf8xDGhVhT/XV8h5dWY1nuuOoN14FDOHd6WUlsA9Gdzcs4ZlHsEcik1AqiasX9Cr2BLbuY7YWjfG8KOzxJ8IW/r0BL4rgrmu0ZI5M6ZRt8B0LYSNClEe33XKTHvK7qAAouNUsJ7lRCuDN2xe5sbSg0l0tF+Et01dHh5ex4ott6jYbTI2dfNY4+lKwJbTZGhqoCpoSxUyFGITOo+fjev8Njza6MM8701klu/L9LnTaJh7Fu/FQRx7/A4pCqU5R1PfgvaDpjLLaQTat3YSHLIbUdPxuNh1QE+ewaU9awhbf5XaY2bQRuMWS2a5sf9ZMhqaaqioiZCJFRQ1a8Tk+QtpX/wZq4N2YthzNs5jvk5sJc98yeltwTgtDOfOewlqquooFDJEmoY06WuLx8JJcGcLK/yjqTLGhVn9aihD8t8KfhZLXAjac5NsdTXUUEEkMqBqsz7M8VlIj7J5XItei8M8b668yKVICRNKmppSFAWWnWfipdRQLMZl/XXUS8K7p+/JyROjY1CRLqMcWbSoH+afMg/nD2hCzDlWuzlx33Qyy30GU1ySzu1jW/H2iaKhw3Lsu1QgN+0lxzevIORQFlMD3KkrekDIQjtct91Bt4gBxc0tMNbRRMu4CW5+gklkN06zZ3EkRgU1NRmCp7K6USnqWjuwZt4AxEK+GfupRMaXpOv0QLbZt/40u5SJraJWMWfBanIraBB/L4G09BxUVQ2p3MQG3y1zaaSVw8tru5g90Y0jL9OQIVc6JGvoGFO/y0Q8/eyx0vvGw04hJe3FTVbMGceSA09RVVdDXSRHRS5H18iMoa7BLB7eFvWcVO7vcWes30Nm7dhL/7LK+DrEmUmcXTWHUY57oMd8rqyeSamCOoQ96u39KOxHelJ57jpc+xfkVFH2Sgg3fUbwjLa47kpCVUVDeaCrmFsxbWkEzt0qoyKXkBQTzazJA9lxXRVNNVXkgFaj/qwLWkanSkVQCFEfkR6Mc/DiQaK20gVBiIIyHrCQc/5TMdb+or8CULw5w/ghI/jQP5LdU/KjPIR8QzfCxmKztySr9/tQ5yeoe78PFO8f4Lt0GaptFjG1XelPDleCIDOTrrIvZCUHrycjK2JF/8nD6Fy/ArrCyar8GJPyOnY32wL3cOG1HOOKLRlm25+GZUt8ivqQC45BJ1eycfVFHuXoUaNVT4aP6kwFQ51PdUlynnNyczB7ouN4Jzej3dDBWHeuh7GOxi9xvvyzw+h7d3nIcgS74iG2HDjN06Qk1NV0qd2sF736tKO8qYGyn7I3VwkKi6J4p+F0r1eOIgUpKBXidM5t9SUsxoCxI4bRtJIxmh/zUMiS2R8cRFzR1gzp3oiS36iwZeJ3XI1aw959t3iSYUi9rj2x7t2ccsX1UVN64SnISr3L8S2bOHgujgyRJR2GWNO1ZU2M9bXyD2S5jMRnxziwdg+n76eiZVafXsP70KJWOQwKspR+koU0jdO7VnEhqyK9u7ahskmRnx6W+7GurxJbqUg4t8Ob/Y80adVjCK1rWnzW4gh25PRnRK4J5qbYkm7W/ahnafyXiY5+Fmj8PVAU4+XVA+y9+gbLhh1pW6eCMjfAx5Kb/ojI8G3czylJxyG9qF9Wj2enDrFrdxTxuuZ06NIUafxT0jXK0ap9bZIvHeJGgjZN23eiTtkiZCY85MThSCJP3yL5g4zydVvStWdPGlQ2Q1dVTOyZSE7FZFCpRSdaWJX+i2yNClJiT7Hv9G00K7SiW8s6GCrBR4E8N42H10+xc98Rbj15TxGTenTo3Y3OLStipPVFavw/EaosMYao6CM8U69Mr25dKFug8PoroJBlvePKkWhuJajQuEcvrAyzuXpkKycfZVO3y2g61DLk5c3THDv/nBJ1O9K9cWkSYi+xf+d2Tt97g3rZatSvUxH9xFdk6VvRrX8XNN6cZ/f2HdxNM6Or9RC61zXi5d3z7N53iMsxb9AtbkbD9n3o1r45FkaqJMZe4sjxK1CpPQM6WqGlyObxtdMcP/cYi1b96FhFi7sXoti84wBPMjUpVbs+dS2KIXv+BN261jQs9YHzRy+iXacX1q0qfB1ho1Agzk7k5rkotm6P5KW0BBZVLNBKf0FcSllmutpjnHyR6MM3MW01UOlPoxwNWS6pr2I4GrWf/WdikKqWonqDrgzo3YyKFrrKCCJx6ltuR+9hy8ELqFatT8eWNUm7d5PUkq0Z1EST6FAfNt8yYsCMdsTu3kNchjotuw9gYI9WGGl+9jf4OJwZr2M5uWcrrww6MXJ4E/SlWby4f5EDh25QvstIutYqiSQrmfsXD3P4dh6dhw+mpqGChDuX2Ll+C7dytWjRsyeWordceAh9Rg/CUjubuBun2L1hPzcS0lE1KUWdzv0Y2rYFpfVUyX4fz+mDa9h+5CXlWo3FYVRTPuaRFXKzvLx5gp0H7lG+a2vent7FiZtvqdqkIyOH96dccT1UhXkrzuLd4yts3babM/feoq1nQO0OA7Hu3oayhhpfnGGfJ65CJiHjzROO793PvvO3yJJKKF7CkjY9BtOlbU0MtFRRiDOJv3qA0Ki39JxhT6PiBdo4uZT3r++waU04l3S74mfbk09ZsYWcI69vsj5sLyY9bRnY8Ov0sgqFhPeJt4haE0H0pRSkBtXoM24IXZpUQq8gHYNcmsObR9HsCNnBhZcyipVvwdBJ/Wla3rjgA1+BNC+DBxfWsSn8NA9zi1C9WXeGje1KZSOdr89IwdcqPZZw/xWIm85hekeLgvkl4clBP/wvGmG/cBwVfkLg3PeBQiFHLBaDqiYany6rKBgIoXFiMVIBq1BBXUMdtW8oV4AKiTjfuUukqoa6hhqq37idy2ViJGKBJQVblxrq6mrfDLoCmUSszCAphKOpqaujpvb3G9rPOjw+vufPLgeTS6VIpFJlGJ5QVFXVUVNX/eyhrJAhFksRCc5tqipfDHB+v8RyERrq6p8d7PKHGKlYjFykhrrQ1z+ErSiQSSVIpTLkChGqampKmXzMZFpAdErHOqlSbiqoCV82ql+/S4AKqUSiHEORSFX5G9Wv2vix90JbJciE93xbz08W9Ld3eQgyksrz+/iHtgnOg8p2iVBT+1aGP7lhX7zuj0Bxi+W2nlyV1WaK0zhaVi2OXCZFKpMr5/SftluRP5+FlPbK30ukyEVCX1QRPleE+a6qJqhWpcgUwtxSy58nSqdJ4f0yZTSHUIeaIJ8CrYFcJkEqExwqVVH7wgzxPYko54BMprw/4et1JYSayZT1yArmh/D19vUc/gsZF7RRyA4qtO2jQiPn9RXW+4ZyXVaZsXO/TmwldEYm9FVO/niLQCb72jlUkJNgahH2E6EtyvYL81wQkIpKvqwF2Yny6xU0FhKJRLlOlHuHqgi5ct7n90tYXKpq6qgXrI389ymFV3AXQ4EclGMpPI9yrCTCWAmPC/4rQufkgjOLMJbC2pQJHfjksJ4vJTEJD29x6th15JXr0aW5ACt5PL97hIjA1SSa9WPBfBsq6EiVaza/rs8LX7jTQVjzwj4o2LKEv6sr95mP+7GCj3sRqqrKtS70RS5SRZIUw/5QwSmzDPPWOlNLTa780hXWzJ/tpcr6BLkJe1CBn5xSbkLbChx1vxwvQbb5msMCeQt7oZo6KsiV45n/9wJZCrLPD0PKl33Bfi6Yz2RSMVKpEDmkjsYXjrNKyFXOR6H+/DXxcX2pF9T9abeS57dBOb7KNVRQx1+E/+X3V4pEWAvKYEFh/gjy+XxnlHLcpQrUNDS+ukNGeFbYr6UiNbQ0voYzYQyEuSJEQn1MsfDlqsmvV4xEmL9/d44qTRKqCP39dA1GwXkhrPm/Pkc/n9v5Z7rGpxxSwl8ELYVYJkJDUxiz/7wU3jb6NzIsvG30P59kP/KG/8XbRoW7PAInOhG2/wa06MfcGbb0b1aVfygA6UfE+t//jUJK7OlNhAX5svO0hDp9xuG8ZCL1i/+cS57++x38+xa8vXWUUFcHVl3OoKSZGVoqYtLS0hCXqMVkpyXYd6ny3S/ov3/zX/9CcOzcG+zNthgzFmx0o4H2P+R49p82vPD5/1kJFAJFIVD8FpP3fxEoZHlP2O66jDV7TvKyXEtmTJvGsDY1+MnXyfwW4/NvN0Ih5f6xVaxYEciJRya0GzCGqdP7UtXwRyNS/u2af5sH5bIPvIo5x7bQdew7fptUfX3KtujAmOE29LQyR/Pb2yl/Ustzkx9zcvtaouNMmLDElmr5txMWlkIJ/DIJiFJSUvJ19oXlDxIQEgQJXxJ6enpKNWph+TUSEOQsqOPy8vLQ1tbOd+b9DYugms3MzERDQwMtLS0EtaWgjlVGPYgEtXuBGvw3bPt/s0mCA6JMlu9IrAx1/a557b/Zwn+gbkHFLZMrL5gTboYUsqcqTZG/tGqFsj5B7qpqX5pdf2mlhS//PywBUXJyciFQ/MkEEA669PR0dHV1C4HiFy6Sj0AhQIVwUP/OQJGVlaW0ZWpqfuHBJBwQCsH3obD8uQS+yGr7f1lMBRl9BTgtLIUS+P9NAiK5XOnBUlj+RAIffSiEr1Lh4Cssv0YC/ysmj5SUFCX06Ov/aFbKXyOvwrcWSqBQAoUS+N0kUOhD8TcjUuiU+c9M2f8VoEhOTlaaZQqB4p+ZF4W1FEqgUAL/OxIoBIpCoPgtZmshUPwWw1DYiEIJFEqgUAL/tgT+BCgyORvsz8tqoxjSyuyrfAgfEu8REbSKa3HJaBvWZsis8bQ21/8i7ElOyrNL7AjeysXXmRhXbMXQib2pKSRF+mQyyOXJxYNsXh3J42wdarTuwdChbTD7ImmVQpbMhZ3b2BN9hUQhsdWQAfRqa4XBpxhlOS8ubOdErAGdBrTFRE/zp8TRfivJbzUUkrhjLA7bz5ukDwU2cyEOXB29UrXpaN2ddrVLo/fNPSOZ8dfYFLoT1WYD6NvKiqJfhgHIc7hzdDMR+y6TkS3+LCMhvt2sDK3b96Fr4xoU19H85MCVmfyQo5t2cPzmU+SGNegxrBctalqgp/HRcVRKwsNL7N+wl6vP31OiWgv6DumMlXlxND8FsGfx4Ew0+3cf52GqOtVad6Fvr+ZYFBMSxXxbEjm1Zjc5lTrSqK4lRX9CRrVva/gWKFKfXmD7ymhkNVrRo2tTzI0+V5qbFsOeFQdINalFl17NKWes94ud2/Jb+20eCrk4npMbdnDo7E0SS9VicL9e1FB/xo690dx+moLKR1kLjnFGRlRr2JYebVpQqZTR36YLV8jSuXY4ijvJOjRs3RYr86+vmf63V3zBg9kpj7h29jbSopWo06TWp4ye4sQHHI7aR9SFWHIkyizeiNQ0qdW2Dz27dcbyu81Q8P7NU44fjObopVtkyY2oUr8jvXo0plppbZ5fj2LPnj3cjDeiTuuu9O3fCgu9z5f7SbOSiL1ygvtxWVg0aE9NqzLofJGRU5Hznte3b3LhcQaGNevTtqYp36bH+YM8JGKQSUFDS5mn4l8uihye3jzHqYtPKdOsJ+1rl/qLOSbhzYMrnDx9G52aXejZtNx31tC/3IL/Ow8Ie504V0hakf/viyIXZ/Lq7lkOHH1MnSGjaWb+c0yNspwMHp7ejNfWKwXnW/6t1SqqxbGo3ZLe/TtQy+TrjU6Wl0Xcpf1sPfCIJpNm0KH8F21RyMhJe87ejauIvBKvzKUhFKWvjJoahlb1sO7ajyYVjT/NDbk0l1f3T7Nj5W7uZKhgWbs9Q8Z0pdKnvU7IA5TB3RP72L75OK9VjGnYuQ8DrZtS/FOuEiFp2mtObtrEgVP3yNapSPcxQ+japMJ3MuXKyc24y/blR6hmO4v6JX7+FPsOUGRxbu8iJk0IoZ7HDVaPrvjpkMt+d5Bp7aay/UUychEIyWA1a7TCZak/45qVVibdyIiNYsZUG/ZcyEKmAiKFCL0OE9gb6ExdM10leDw8MJ+xjmHEvBAjE+4DUNek0jhvohcPxEhbQ3lN7yGvXkzzv0zKezEyobLiZRi0KIxlQxqiq5bEy3gpD6PDOBRjxmD7NhiIylC+jM5XSWF+hri+BYq8i340GrGUR2+yUFP7mP9cpExFrqlflcn+gUztXAOjTzHfEu7t9WTcjGCymzuw3n0cNc0MPgOYPJ1DfnZMXXaAhPfSrxKXyIRUsEZVGDXPh7kDmmBSRIO8d3cJcJlM6K57JGfJBVGhUbsTHm6LGdCssjIjZ8L1zSxY5E7U+VdkiYVFok6xzhNY4zqVJhVNlJvxrV1zmeO5mRuP0pSJTdA1oPG4RSyf0o9qpb64z0ORyKGNS3D3P0yDSRFM79+cL6/7+BkyFt7xLVDI0x4S4elMwN5M+rssYGKfhpQU0oLLE9njNZ2AyLe0n+TG2F5NMPk2re7PatQ37/lDYquce4RMdcR/4zFeV+uG56LZ/D/2zjqsyukWR9cAACAASURBVGx9/x9iE9KhYveI3V3YNXY7BoKCKCWCGGAgBqEoICEg2I3dmJjYgVhgI4jSvet3vRvMceKcM86Z8/u6/vC6ZO/9vms9q+61nue5767Kl1i4PIBjN1MVwaUfMLRMSQ6aZekw2hE323F0rPVBjejblZWL37DTZzlHnuoyysaGPs1LRJH+ilKcn8ieyGWE70uk3ZjZ2IzpraDeFkrajV2sWL6EtUcfUYyqgoVQWV2bXhZzmTXDlhYmv65Bzos4NqzyJWDzGZILhY0clLXK0W7sRGY5WKB/dytLPRay/64xfS0dmO9hRXOjT4u1OOM5h9Z547VmGxodrZntNpfeP5Wo5QrEUM+uHcBvuTf7kyszddZ8Zg5q8ruAQpqdwrXoGG6nqNBhyiAaGP0bnBeybK4d2ULUzms0GD2LqX1++h1AUUj8yZ2EhhzEsP9M5pq3/h2W0r+iB/8/eoakkNTb19m38TyVxv9CvxaVv7CzoOVx53AkS/zPMiAwjImNy/8ljRdnvyF2rQP93A6gKlLjEzejQMSoQ7WmA1gSsYI+VYX9SCgy8jIS2ebpwNwtD+g9fztRNq0+HWLlYrJeXcXTYTIBh5NQU/90ABR+LRWJMGoymBV+PgxvbIBMXMiLK1twmunCybsSBJShrKZN1aEziPaeQS0DFSRFucRtmYn1wm28fAdyZRXUdI1o7eDP/ll9FcCkuCCD7Qv64BL+iCKxDJlcBbVq9bFeHoHngLqfQzMKc27h62xBxCUDfPecZthHOdK/xKSKh3wGKGS8e5zAhjXehO08wdP3qYwJTiDC/AOgKGDzlObYHDFkysIVOA6oiYb4GREuduxU7c+GwLnU185iy6wB2BzTYqnvaoY1M+bVuRCmzV5JOes97HDsjFb6RazGT+Cw2s9ELHOlSdkizq6bhXPYdSYFX2JOTxOUbgTQbrwXRgPc8J0+kIqyV6xxNyfyWT38wqMYUD6eZU7+xLx6SmaeATplNDAd64LfL63Q+4tZhb4GFPmxvnRy3s3wOUGMbl2ZDwet3KSzeLou5ExFcw6umIJpBb0SvvTcZ/hZ23A8JZ/kd8pM8Q9kYvt66JVSlSPLZN8yS3zia+I6w5IW1Yw+0kinP7qEr8t87pXvydIVznSooc+NcDus1t7DbOJspvZvieqLGBZ7eJJUx5rV8yxoZvCe0Pm2+N3QZJrjHAa3qsTz08HMX7mZKr+sYbF5D2pkxWDl4M5N7S7MtrWkXRUlYiLns/JwMkNdgrDp15RymlKS799kY2gwO4/G8DijGPPlO3Ee2ZEqf80h4YtR/CuXh1xK7tNYlrp5cCivHgvnz+TnFpWIP+CHm99hqvZ3wH58f34qW0Ip/neUb1NvL+F8bi3MZ06md7OKJB1dzbKddzDtPYGxPVqgW3pplP82ieiAVey+W8gQ51lMGtgOw9/JjpWLk9mxYimHn+ozaup0+jWr8B83UVpcwLM7cWxcG87OI0fJ1K+FudMC7Mb0xUQBKCQ8PBLJyg2xGHcegdXwtpRsxUqoaZZBq0wZBd3zF0WezslQXwLWn6H26GlMHt4bvZxEzm4NIOx8Gq3HzcVpeGukz2NZH7iRh2qNmepmR+tynwOKJPaHryIgcgepVbpibjUL52HNFAumLD+N2D3B+AWE8US9IxYOs7Ab0ux3qdaLUm6xa00Yse8qYbFoxhfv+vNGlCMuKqSwSIyqhhaav6tuXEj8qe0Eh+5Hv58rCya2/qT0+Odf+H/ym/KiTB6c2obPiiN0WLgGy2+pjR4Ox2PVeQauiWBSk1JxmP/QWsWZyZyLmIlDjCZ+q7xoViq5KinIJP5YJHP89lPFOpRohw6KN8klBby8dpA505eTWk6DXFlTVu1ZQ9sPWFUuJvNlHJ5OtsTXm8da+y4fbwgkRfncPbyehYuiqGG3mjWu/VF7/4Bg1/F4PajDKp/ldK0Kdw6uZNaKPTSbc4goc1OyHxzAfPIMEqpPImrxdCorJ7N/jbNCpM5142XsmstJObGMdjaRtJjii7dFF9TTbuM1x5KDxf3YsGEtnSqAtCiX2ycP4rVsJRcePqS4XBNC959jSM3/0Ijf+PlngOIFPl1t2KJhguWopuzxX4qJzUk2WNYrPTXfZlrdIcQP8Wefe2/0tEQKets3seGMW3IY21WbGFghCdu+P5MxKIg1Dn0x1FRFVpxC1IyxLHralcu7XVGKC2aEdRQDg7Zh26kOZURKFOdcw6HfeB538WXPvN7cCxmDxSYRK/cE0r2KIWrISLkVyciJYZgtiMC1f20KHsXg5TibTS+NGTV1Jk6TulPZ4JMWyF9lqm8Bis6ue5m4dDPmHap9lC8XNO2vhNrguFUVjw0edKlRHiGxMOv+esZO30UbizG8jQ7mZZ3prHAeSK1ypXzrAqBYasHKxEZ4utvStkbZj4ulcCUWt9kJp71iZs53p299NdZNH8kJUT/mzZpM8+pGKEtzOBvmzqx9xbgvn00HrYe4Oy5BuZc9M37pS00jTaTFTwl1smd7vhmr3czRTViLnc9FerouYFz35hirKZGfcgaXqUvJa2mFm9XPVNdMYqXFMk5iQI+O+hzed5IWE1bgOKz933JDUXIoEPMkJpjZnhtRbzOdKe1F7Axbz8tavXGxG0974frwbwITiurIZHwelCnJv43f9KVcljTGbs4UzOobcG/fCpZ/Ll9eCigEKt5Xl6NYsPY45TtNwm6sGQUJl3n8XpU6jZoohOCkBWncuXaLDJVy1K9vyLm13hxKEtRGSwCFJD+NhNvXibvzhOxCLX5q0oLWLepSVkcd5GJeJ9zg/usCKpg2xrSK4VduFTkpty+wblUkl/M0qWeqTGJiKnW6TcThl36lgCKLC5vXEHQkhQ5jbbDpV++PXUnyTG6fOceN53IadjWjRVU9lOUSXl05xOrQ/Yjr9sXVfih6Gdd+WxwsM5G9ocHsO3OdPP1KVGvci6n2EzDVgpxX19m7eQuHz8aTb1CTToMtcRjeApEkkxdJ17l4LZ7kVNAxqkbTNq1oWFOHZxf2EOizhksZxvSxmsrInmY0raROevITrly+SsKzbPTK1qR5u5Y0ql0eVSUZmclPiH/4jFwlNWSpz3knq4JpdS2yMjMxNm1F0xqGFOa8IuHuea7ceUNBoRYm1erTtmNTqpdV5f4HQNHflQUTfg0oZOJcXjy+Qez5a7yT6lK+ciUqqEspUilPs7ZNUM5I5F58EjINTTKfvUCq05gefZqiKUkh8cZVbt1O4r2KBpXrNqFNm5ZUFm4rc9J4dOcWz4sM6dipuUKPJffdS+7euEWOfgM6NdDn5Z3rPHqnQd0GZXl0MZbETKjfqCWtOzT/CHY/XyvzM5JJuHONTO36VFZL5fyFeEQG9encrQMmmlnEX4/l4u3nGFZpQKfOnaiiL+Htiwdcv/2KKq3MaFRJG0lhNs8TbnL3tRKtu7bHRCQmPfEuV85d4UmeFF0jE1p1MKN+LWOyX99j+0oPgvclUHeENb+MGcnAJp9u4wRxsDtHIljsF0u/5d40y73NuQdvqVzVlA7du1BRrzR9Wy4hP+M5F8+e5/bTTMpoV6ZFl460rFv+m67wD4Bi5jlDwtetoZVRqRXkMrKSH7NpvgW7ZeZsi5yCAGEE/ZLzOzxw2VTANLvW7Fm6jgYuW1g+QpAOFxBHKaCYaceTlt5sde3BR8gsl5H97gHhHlPZLR9HtJ85qk9OMMNiJjoW4fhM6kAZFRk57x4QPNOGDfLRXI6YyPMDXlgsOsOU9TuY1NQEZYpJf3kS2yEzEI+LZOvUhhxbMgTns3XYeHg1LXXUkIvzeRwbyOhp+zEP3YF9p3Ik39iD/XA/8ocPZESlp7hHPSBgz1mGfl9Akcmtg7eQN2iCqfptxg8ZhcjyNJsmfwAUN7CqMZRHY4I54dG7lO8ehXrmyOGB9N+0n8lVLjO0uw9m/ttw7V0DNcVqL+fuOktGeRcTfj2UMrvmMsI/i/Bd/nSsrlu6IUjYYtOK1SmT2LVxLOfshuNZOIwza60oLyyWwpVR+j2ch44g62d/Vk03I/PCFsLPQxujW+xNMcXZZQK19TX/ct/lbwEK8+WbmdjuE6AQ6ng1dAr2W1RZHLWQzjXKo0YeR+dPYMklExYEzUF59yzc9shxCvOhX8PKKNSmZZnsFQBFUiOWCIBCEFEr3SSzkq7iY+/AcXkLFq+ai5nJC2aPmEtu9xnMs+xBdUPhWCnn9ZkAps07Tb/li+isdJnZi07R3daVcb0aY6hwvci4tGYy8w/o4uJth9ppf9xPiXD3sKdr46ol7yt+R5jTeE7Ke+EycyJNK0lJuPwM5cpVqFQYi/VsfyoNXY7jsA5/H6AQ+r04jcOr3fHZLri/MtGtMxjnOdPpK6i0fqUh81eByN96zr8EKIbaYNGvDXqlgKLw/XP2rF7G2lOv6WHngtWwBlz0X8a++5oMtbKif+sqFKXdIdw7mEeiRoy36sXTXf4ceqKrABS9a+ayb+0aAqP2cCc5gyKJEjo1mzHM2gnbkb2pqy/mwpYVbLzwltajpzGma4NPC1rJikfeuzc8f5qGSM8I+auj+G89iXab8TiOKwUUha+IDvNl28UsyldpiHJ6ArmaRnTpP4JeHZtjov2tWARBz0DQhVFCVdD1UVwXFZFwehM+606h23o8blP6UObd76iNCoAiOIijD95QxlgfJFUYYOtErzpqJJ7fwbboYzzPV1doNNTtMYUZA6pzVzjV+q/h2NVXiMUg0tSlcZ8xTLUciuqljXguDyc+X0S1jqOYMdeV3roPCF+xip1nbvI2X4aojB61zYYzbcYMzNtWJPH8PkKCQjj3JAuSszBsP5IBHXSJv/yAhuNcMG8h4+AmP5aE7ycpOR+5XBndCrXoPcGOGdajUL67i+DQfeh/C1CI07l7ejfLFwZw7N5TipXUKFNGEy1DfUy7W+IxdzKih7vxWxzA/UxlclPFmA50ZOnMFsRt8CMg6iCP0wuQKqmiZWxK7+F2zHMfRdn38ewMDeJ0hikLfe34SQte3z7DupUhvP5pAp4WtTi91o+QYy+pYJrBxQMJvCtSpWzlpoye5sx0635U/DJkgdRHcWxevYjTWdXQzz3B/lNv0Slfkz6jJtC+fCabQ4K5+rII3Yr1GeqwiAUTW/LyzHZWBMbSdY4XFp2qUPD+BTGbAlgXq4JrwDyqpZ/Hf8EMoo4nkyuXI1LTpV7LQTgsnkkTaRzzxkxi3ysJmpXq08chgB1OXT5OQQFQ3D2yjnmLd6Ld2pjEU5d5mCqljE5FOg+0xs3LgSY6xbxLukDAXE82nbvO2zwZKupaVG3dG6t5S7Ht8KU4l/BwAVCcjZiJc6whEevW0LL0hkKYJzlvn7J57gR2yiaxfZ0lxnIJma9u4D/Vhht17fCb2Ym90wezV3sSURucqCFMi88ARWIrb7bM+gQopEUFxB/bwOyZXojGehHl3p+sK+swn7qfUaGbsGlfcusizs8gdo0VM3ZVYNMZD9KCnJh+QI+d0b40LL3OLMpJJczKjF0abuwK6MyW8cOJNHHgavDYkgOEXEr2s/PYD5+Mnt1O/CY2piAtiVvX3lO1bV2UYxfTyi2OwH2x3xtQCMJUJWJWKu/OM2LAUFQtz3wGKIrZYl2P6UfLM98/iFGdKkP6fcLnOLF8bxELYvYxuco5+puFM2z9dhw7V/woivJ4hzVDnFNZfX89WhtnMTJShZ27fWhZWevjCXPfzGYsvjOK7dETOGUxkhU6Flzy/wUD7RJAIc9OxG1Ib5519cPfqQ+64lzeSzUwUM/lbbYSxmUN0fgObHDfdnnsYqjrWsa3LY+6ihxlGby6fpz5novJaDebDXNHU6OsFkppp7D9xR1+Xsacie0ol3uEyWOXI+k/n+VTulLFQF0BKA6utMV+dQxilTIKkRlB9ElNpEpRQQbpedpMdPRm5uQelFW+wvTBnigNccVtYheq6Jf499KuhGBjv4/OXovpIrvArCVXGew8mzHd6qNfqnJ6c91kZm9QxXalAyrH/fG4asTyRTZ0alipBIRJctk0awT7szszw3UyrWoboSQIEgnMhk/2MnbmSir8FwCFMMGzky/g6+BCRJyE8fMWYzeqK5U+nEy+N4r47Pl/BlAkHA7E1TOYS08L0NUuYf0Uqaoil+aTni2ldc/JzJ45hbYNVdi/0oNd97UYYT2NgQpAcZtQb38SRE2ZZN2X5zsDSgHFNGokb2HJms3k1x+KxdjBmGoXcDl6PXtv52M2bhoTejVHJSeN9DwxZQyMMdDW+NXJTK5gTZSjpAyvL2zAe8MxtNpM+AgopG/vssF/EV6bz5Eu0UVNlq9gMFXXM2XI9FnYTRlInQ+hDb9pdxnvEs4QtDKUuKK6THOZRp+GJhS+/iNAEcixJ1C3SXnePn1FjZ62WPcx4PT6CA5dTqNi3bK8iH9K1d42WLaWsWP1Os4/NaDflKE0MMkjIWYHWw4+pcYwW2x7axDtF8j5dBPGzXOik34WxyO9iLz8ns7mMxnZrjbFiXHs3LqLJN22zJw1E+MnO/H18OCqahts7Bzp1ViPpMv72LjjGo0muNCnzAPW+uwm17Qv435pjUbmPU7u2krMI2PGLZpLK/ElgkOjvwEoJCTfPknI0vkceFeeMfYz6FIOLu+IInjLSSoOscdn4TREd9ezaJYXaY0mMMtmIk2raPI6bjvePhEUNjbHzqoP5cVviI3eSMTpFMxsl+Jhpsa2EH+OZzRg2QrHUkBxirUrA3hRZzI+lrU4ETSHeWtvUrfrSGysh1FOnMSusAgOvKuC61IfLNp9GZPw9mEsIfPNCXvUiAnW1vStr8GV3eEEb76AbodhWI4bQgPt56wPD+F2UWcC19hSJmE3y1afpvvc1Vh1qkzB+2ec2LSKkPMqzPG1R3YmnAXL4jCb68LI1hV4//Qm67dHo9TcGq/xDbmxPRDf8HO0dFrK5P5tqP6ZyrIQQ3H3aAj2M/1INRmK0+LRtNWXcWnXOnz2PqK7awT+gw05GeHMnE0J9Hbxxrx9LeTvHnIgNIgjBfXx8fOhzVeekg+AwuGEJn5+frQyLqBYCtKsdM7sCWPZphN0d9uF32hTKM4i6VwI0+edZfiqrUxqLufh8ZWYz4tjfEAU9l1MFIAi69U1Fk2fRMjZDCqVL3F5C/GBIuH2IfM9IuN2ePuvYWAbPZ6cD2LCtLNM3bKJSc30FbNJUpBFXMRUpoWUITTOi/crHbA/XZ1jezyppVtyyizKzWCzfVvW5TizY103NgwdxfbG7txcMaj0pkRK3qtruAwbgWTSTtbYtEFVJjDVylFWkvHu0Bya/j2A4rMV4u23AAVkxm/FeuwCYl5moqomKFma0NjUhCd3XmK+dT/W1QVAEcHwDaWAotS5/WSnNYOdUlmVEIX2hlmMXK/Krt0+tKj0CVDsd2nGoluj2BE9npOTRrJSz5JLqz8HFEm4D+1JUudVrHbug7GmgMdK2PdKxAM/BEj+tTvM14Ci8NJqWoxdyqssGRqlcRBCV0vlauhX6Ma8YHeGt6qJtkiZW6HTsPa5QGsbF3o1MKGMShq7PD24qtmP5SGudK5eDjUBUKyYzvTQaxiXq4ihljL5r5/x8FkKohY9cXRxYVynZlTQ00SSfYbpg5agPHw2buM7fwQU7+JCsLHbS0cvT7pIzzNr2XWGzpzN6G71PgKKW1FTmBWpjK2fA6rH/PG4ZsxyDxs6N6hUsvFIctnsOoK9mZ1wmj2FVnXKfroyf7TnvwgoJDw6EsmiRas5fj+VhqNns3SWOW0FwPPXdvUfPu1PAYpDAbh4RZGQoUm18nrIslJ4nvSCbOM6DJxii+2I/jSuZIhIJZ29fh7svq/FcKsSQFGcdpsQAVCoNWWSVSmgSDRglGUf3h4JJ+xMJp0HDqJ7w4qKxIXsF9eJPn4D41ZDmT5hCDUNVBWR6oq58LvGkfEydv2vAEVh6n0O74jgZLIKbfqOxqxuBQoTrxIVvJYz2TWZ7mxLt+oyniS+Ir9QgqqWAVVq1qZ6BSOEeFnEgmbFKUIDorj4XJ9RDraM7NMMA1Vlfk++XKy4oQjkWKKI7sPakXLlHMn6nZg+sBwxG3YSL2pI93pijuy/QdV+NswY2pDM18+5cyuBB4nPeBJ/lUuXzvIgrxKj7d1ZNKYCRwKCOfO+Klae9pRPPIbPinU8UW/MlNHdKaclQibO5t6l45x7KKGX9Tx6qlwh0DeK3MYTWOg+gooqucQdXE/Ylis0muDOtO4VePHoEdduPuLp8yfEXz3DxZt3EFXti4unO+24pgAUel/fUIjfc/lQJF4RF6g9ai6LRjZDwPjvH50nMtSfmPzWLF9si8qdzaxatpMKoxcw17IDyumP2L8ukC3nVZiydB59GxijLJeSGh9LlN9qbqj3YN7cTlxb68/R9AYs8y0FFHc+AxQWNYkJXkx4nDb2gSvoU00bFXke98/tJcBrA1oD3Vhk15XPQrBJTYglYskMLmlPwHulDbWVcrh9fDNenruoO90b1zEtUMl5wYmtQYSdKcbByxXjJ3vx8j9FtzmfAYrNqwiJVWXuCkdE58NwtA0nv3U/xvdpRa1qdalQzYSadapjJMon/vhGlq44TGfPtUztVPULIFzi8liLu/c+2rlH4dS7FurKctISbxK10JWTqkPx9WjKRvtZHKA9y2z6oCPEu0gLeHk/lq0H79LPLRxHsy+DmsVZbzgb5kBft4Po6uoiUi7J8hCUP1ErT/POE1geak8TbVXy0p6xxXkovnerYbvAgQZlCnj34iprF0dgaO5H0MKhGJcGZS60nUz4TRGt6pqgIs4l9dFDEnOUaTx+Gh4OU+lcsxwiCngUG8iEabHYbP0MUBRmcXXdVKYGaZYAihUO2J+tyYnoxdT8HFA4tCUiayY7IruzcehItjddwE2fgZ8AxevruAwbjmTiDgKntf0YICy45d8enEOzfwqgkEsLefnwNnv3nuR1djZ16pvRskoKs6b60zdiH5bV4hjWw4tOK7Yxp2+NjzcUdyImMWqllMi4EDSj5zFydQYhO/3p/NHlUcxm69YEpE9md+QvnHMayuLsIZwKE1weGoqNQ5p+l5lDR5E7yJ8VU7v85cGXv7WbfA0oCi740dY6BJOmfWlWRUshWyyTKqNh0IiuPTvSrH55tDVUUZI8wWfqVHx2XCJfqUQyVgk5Rbk5FBs0xXVlCI6DmmCkmcvepZasfFSL2U6TaVnFCPGb60Qt9eZwclkmui1iVMfa6GkoI82Jw2X0HHLMHHGz6Ek1o5LQ/Nen/Zk2/wz9l3nQRfkyroti6DZtFuN6NSl1ecDFQAsWHNZn1nJ71M6twu2EKm6L7OnWpNTlIU4jzHEip5R74+I0XuEz/njB/V8EFNlPolk0O4AHqm1pXjmFM5ce0/KXudiP7UkNwWn8N5Y/AygUMRTRd6nf15yx3VtQJu8ZpzeHs+lYIj8NsWHq+L7UMRZiHt6VAIoEbUYIgKJVZYXLI9TXnwTVJphP6cvzXQEcUgCKXqTuD8FrzX6Spcof5YflUjGFRUb0snDCzXUCLf50+s23AYVcJqGoIJ9iWUkQprogFy0p5MpWP9buvkfjQYMxzotltf9Onr4vRq1aKybYujJzdFf0pWncPLqB4PBoUozbYjHdgt4thKyjElnnPwco1BhgM5zC8/s4l6hOqxZlSbqegGGX0XTSvEnY9hvU7G+DbTc9jq8PwjfqAK/VK1C3Wk1089/w8KWUDuaOuI+txNGAYM6mV8HK04Gyj4/gtcCTrReeoa6pXhLEK5crpMx1q3RgqssChtR6ybq1O5G1tcJjene0ZNlcORBVCijmMbpqKhG+y1l74Sl6VetRx1iP/DdPSZNVx3qxO+25+m1AkfeakzvXEHjkBYOcAzFvVXIazUu+TXRkEAefVcdlsS2q8dsIXHOUnyYsxmVwfXJe3GBnRCAx7xox18ORRkalJ9SUe+yPWM2mJ5VwcB1M0iZ/jmY0ZKm3Q8kNxZ3ThPv586z2ZHwsahAT7MvW+Cq4b/CgpZYwo6Wk3D9PpN8KHlSbgPe84ZT/DHymJpwnatk87pabzkrfkRiLM7lzajsr/A/R0sEPh161KMp4wakdQQSfyMNuuSvGifvw8j9dAig6VqIw/TknNq8iOFaZef6LMJUlEh0VxPrdMSQkvldkDVWq15bBVvbYDW3Em5jNePoepLNnONO+FZR5JAIPv1gGBURg3qzkqqHw/TNiQt3wvlaVxQt7s9fRisBLyegK6fWl/Stop4i0a2OxaA2LLb+MaxFnJXM2bAZjQp4wYMAAKmkJ2YSCTLgeJnXa079XM6pW0EZVVkjKo4NMHmDNsef5aGlroaqQYxeTXyinbDtzosK96V5T9WNQ5sOm7oROM0OtOI/nl3fh4xFBZrPxLPZ0plUFFWSSfJ5eiWTytL2MDBZcHiW3ROL8LM4FTMZpf2W2xCwiNdQJ273abI9eQSOFy0NOYU4qa6d0ZY/ufKJXdmbzpGGEG9oRF/pLCXBQuDzOYT9iKgYOO1g5vsnHg9c/DlBcCJnO3re9cXToiq6ykDIs53LoVCZsU2P9thC66D7EtndP3g9eT6hLLwwUubipRNmMZPbTHtza44r8ahAjLML4OfQgM8yqoy7EWeTGYd1jPA+7r2SfWy/uh4xgUpQIv4Pr6FFZR+Hjz7gVRr8xEXRfHMGcgfXQUhyJvn/5lsuji2s0Yz0iGNOiMloKx5Ug9iNCXUNNkbYqjOfUC2FY26zHeNhwzOpXRkNJODkqIyt4x/7QpaQ0tMFrvjWNTeDQkpKgTCGGok2NsqjKisl8eZolk905p9qFxaucMatbHvXiVAKnDua4aBDublY0qyoE3uVyNngODtFiPLxn00n7IW62C6GvKy4T+pTEWUiessbWlk0FXQmYb45BQjB2y8/TY64XE3s0wUhNCfGbU9hNvgeNogAAIABJREFUXkpuGyvmW//MT+U/S7X7LwEKaepdgpa7EfHQgGmOMxjavJitbovYctcAi4WzGdWtAbp/o47YnwYUQlDmhxgKFSkF6ffZ7utD5Ok8+jq6MHlYW4xV37PXez5bLisx2N6B4V3rUJx8AT/3IJJ02mHj1IdnO0oBhUVPUg5FsOuGjHZ9etGkspbCdSGIk0nFIspV+4kGDWtgpPUhxe2P5sW3AIWMtwkX2bPvCso12zB4UDvKqgvGLeLyVj/CDjyhxShr+jQQ8fB+EjmFEkQ6xtSq14A65ZW5uiuIgI2nEDUdydQJw2hdtyzqHzlj/hygOJooYpjTNPQS9rFtfyzZKuUwLluHXhajKZe4h9DtN6ndfwqDqj4lOHwH78p1xXx0f2qX0+LtxX0EhRynTPfxzBtfpRRQVMXa0x6jhwfxD9jKG/1WDO/dVBEAJ/ADyKQyVNWNqW1qiujNWULDdkNbKxZN+wxQbL1GozFTqJcfQ8C2e7QaacvQ9nUwUs/l0vb1RO1+xc8ebnT8rRuK4jQuHIjAK+o6TSctxmOoqaJzsp9eYUOIHwfSm7J08XRUBEARVAooBtUnPzWe6LBAdlzTxXGFG91LOQ/eP7rERl8fzok7MGdhd275+7L/eU0WRLjTUk9K0pVDrFoYTla7aayYIgCKJUTdNMQlfDXdy6uCvJAnlw+welEQ9JqDp1MvPqcW+QQobPHzHYGRAChOb2fF6sOlgKLmV4BiNmUfRrNk8UHauQcwo38d8lIfsy/Yi7BLBizZsJh2ZUUU5GSQ/CKJRw+f8+7JbU6dPsq9vMYsDPeiRtIuPL0OYLYkjKnfBBRrme97iK7Lt+HUpbIiJizzVTyb3B3Zm98H76Ut2WI/h6tlf8Z+cGNUkClsLJNJAR1qNGxK458+8T8In31wecw8p8OaoJU00yu9oRBE/lTV0FAXKYBncU4a59fOYWboa0YssqCuSDgWCmu8kBV5ic1b99DUaTs+E5tR8ErI8vgsKFMuR1zwnvtnwnCYHIWx5RKCFg+nrLSYtIQYnCfZojVlC6us2qKOlPysBwROsyacsdyMnMjz/cuwcD+J5dbDTGlqoHCr5LyKwaK/I+JJUeycWp/jnoNwOlmXjTGhtNYW8EQRz8748bP1QaZE7MSxy6fssH8coLga0J+evmlM9AlgZufKJB7diLPzSozN/YhaMhoTURY7Zo/Eelchs5avZEK78jw8HsAMt2BMnY+y3r496pnXsP1lAjsK2hHi5U77crkcDJuFx8ZHTF9/hRldy6J8J5x2IzwQdbfDx3401aWPWOlmyf53bVgdtZbedfT5kHX5R0vnf/r5b2Z5LNuMefsvgzI/vSuTw952OBzWJ2ClCx3rlf9UX3khV9fPZtr6LJyWeTKivTEx3uasfPJllodcVkzK8WAGzYyi0jBnfOwHUctIjWuRLlisukir0Y7YDmkPSUdYstiXjGb2rJhrTmOjTMLnO7AiVsxEWxdGtq3Ew5g1ePrvoYFVGPMndqNSzlmmT5/HeZrhYmeNWVUph8LdCT2dxVj3ACb3aY6x5mfHlv8GoJClc2rtchb636algxN2v3SlupYSWdeisZu1ikc6ZszzmEavplW+QeDyn/b6t3//LwGKITZY9C8NypRLyI0/gdui1VxWasLs2dP5uXlF4iKd8VgfS+XejlgPbEziwUBWrTuPST873Gb0IkkAFIqgTHN0bm9gZfgVjDqPY8LYjtQwkPP04j62HLtPlU5jmDSsM4ZKeeQWSlDX0kFbQ/Q7LqFv31DkPLvI2hXL2JugyQDL6QxpW4F3l3azNmIbKdWH4DRrBt1qaymUQxXXw0pKqKjIiT8azOqgDWTXGonluOE0MFEDQYlVroqmji76+jpI31z9/SyP4ECOPhExbOYsGhXGEbnaly1nxbQcPZW5bj9TdG4TodtvUbv/ZH4u/4BlgdtIqz6YuVP6YpR2g81hAUSezafv1HksHl+ZY4E+7Hmowah5C+ms85ztK/049NCIIbZT6d3GBOX0RE7t3UHsKyMGT59Gk6zTBIdFo/QtQDHSnOoZh3Df9AQzi9k4dTHi2YVoVq8O4YG8PTM959Ne5fq3byjkYl5cP4z/kkWclpgy1dmFTmXlXNoaiX/kIQwGTMV3gQ3KXwEKWf47ruwPZYnfFjQ72eEytS/lxMmc2RmB/4EHNDdfwurh5Tka5oH3wdf0muHFONMCDob5EXH4JS0tl7DKohrHg+bgtuURLX5xYtbY3mhl3WJHcDDbk/Sw91yBVefKX7gYBEARuWwe98r9GUCRj533AmokH2aB63zetnZmmVUP0q/tYOWyMN7UHE+IvwVFFzbjdziLoZOm0stUg9yXdzgYupItd/Vx2RBMw1fbcfeIoLp1EC4j22KiiFYvKR9jKOb4kdNiEsucrDHVy+DijrV4br5KG4cQVg0xZvcyR1bFaDJp4Tz6tzNCLSeduCNhbDwrZ5yHJ6MaldwMfSgfszxiDQmP+CzL44tviclMjsPb3pWjupacChrLp2VRRm7afaIWOBOe0ZsjG5zRz4zDc4btV1kecooyk4lZ7cyE9SnMDl2Lc89aFLx/TPhsC5ZcMWKRz1J+rq3Mpd2+zA88TDfPkwSO+4msx8ewMnfgivFgIjwd+UnlGVv8XQiMKWbBrstMbiwj7bQfbSau4afxC/Ge0g/ttxfxcJ3KZc2RrN8USNtyn2z5W4BC+HvGu3fINA0x0i3xCPy75dtMmSmnGTFgODLL8+ywMv1ItpSfehb3sc5sffAC5CqIi4uo2OUXvD2X0N1UR5F+lf34BIvmWrP5XAHKgqNXDsZ9bYnwnEGLimVQlotJjPHFceFK4pJUUVGSgboujSyXscFxEOV0RCiJ8zkVZolzwAmSM0UoySQom5gyeo4f7oOboafxvWV/P5nzV4Di7FI6uh5i/NItWHashu43DoX5z88wb/wUHrV1YaXLWOqU1f5s0sp5f2snjlPmkt1/Mf62PbgdbMnyJ81YNt+W9jU/ZXnIizPZ5zeBuVtyGOGyDLvBLdDNf8i6lY4E7r7H+1wlkErRajEQ97muDGldC101OW/v7MHbezHRsSkUFCuhpKpGxX5TWeUymTa1yiGSFxF/xJsFfuu4/CBfEbCjpFOO9pPcWDipP/VNPmc+BR7sYMzMVZQd6sPM4R2o9teSNiqM/SUPhTLxx4LwWBaNZgdzHKcOpVFlPUUAr1xcyL3D/rgsj8agkzlz7UbTsIr+fzQJ/uzk+WNAoc+9PV4s2fOY5kNtmdy/9UcGSiRF3Drsy8LVB1BrNok5dmOoln2B5cu82XIyHrGWMXUa1EYtK49qrQdjM70PSVv9OfRQhzF20+lW5R07goII3xnD0+yCkutZNQMam41guq05PZoYc3OnP9sup9FiuBUjOtf7Ksvj81bKeHl2HV7rj6HRbhIzx/dTEFvJpXk8OBFNqH8QB24lkSdXQiZXx6RJH2wdpzO2ZyO0v6KolL+/TajvYhYG7CdbWQvtMpqofvRHl8XsFytcXCdhWhT/24AiPYnoNas5kqTMcJc5dNVLZduqJaw48Z6ejotYMqEhD46uJ2DrTer0m8a09irsClhJ4OYYUgCRujrqairIC7VoM9KGBW4/8yI6gEW+G8io0Bd7J3s6lUlgrV8wR24+IVcgclMRoVe+AQPHWWM9pQ+yuGjWrIlGueMUPBx7oS3L4nJ0JKHr42hq6UI/g0RWLfRi953nKKmroKqhgaqSKrra1RnlOp9eZV8SGbgLg4GzmG/5yW+t2BQLUrh6eAteS8O4+CJdEfguSJeraOvQoOsEFi+wQen2VgJWHaGe5WJchjdESS4hLekGO4NWELrrHCkCQZ2SKmoaFWnTfQR286zpWFHKvbO7WLRwBTEJ6RhWqkzVWlXRyc6mbBd7vKxqcSrYk+U7H2FYR5UXt16SI1FBz6QxoyxmMN2qG+W/4tdIiT/POs85xFeyYaXvWMoWZ3IrZhu+Podo4+KHQ7/aFGa84OTmQIIO52IfsJzWas/Z6DOPJZvOo6xnhEmt2lTVUiJPqQEegfOo9PYUPovdiL6cjZKw3isroVGhFma/uOBl1Z2CJydY5DKD6MeG9LVazvrZPT7GbwkxFLcPRTBn4SZErcrzKu4+qZlyVDXL0663FQu8JlO/jJhX907gN8+H/befkCdVRklJFQ3DGvQaboOr60hqaHx5o12c+Zqzax1wPF+eiIg1tP0Ga6S0MIv7hwKZMS+KZl4H8R5U94t1Rpz3nrhNC7D1iWFgyAlmmL7A08GGhBZ+7JzbvZTDRbgqkZDx/ApezuPZntafsHXL6VZdidfXdrNgwSz235CVuMTVtag9zJnweZOpY6iC8P6bez2YsSyCByllFHEeqvoV6WjnS/iUbpQRyRHnvGXfql+YE3Gd7CJNVORSNGq2ZvLCVbj0qPXFwVsuKeLtfmeazL/F6r2xjKotuEhkiFNusMB6Cm9/DmSNVQcF3cG/W74NKPJesGvbDmhqzrDmxh8DvOTyYt4/e8ThY8dITMlBrWoNOncbSKvKBmh8yLeXFvH26QXOHLrMg3QpehUa0q1vZ+pVFgLRSrCPQKeadOsQp2IeklykQdWGbejevRVVPuORKM5L5taZ/Vy8kUqWzJAmXbrQqZUphgI9938Cof5FS/2KevvFBaJiHtGk21CaVtHjW3w32a+vc2DTVQy69KBzs+poq3+gxC55uSz3NacP7+WJRguGd2nAuztHuJRenm6dW5VwaXyso5ysl7c5vCMW5UYd6d6hAUaaymSn3uPKyVhuJ2Ui165Ka7OONKtXFV3hVCpsupJCUhIvEHvyBo/fitGr0oAOXdtRr6qxIhNGscgVZfL4RgwXLz3idbY6VRq1pHPHplQtq1ua+veZod4nEH3iMtqmPWhTrwrfI8HiC0ChIiP+3E4uvFChYbtuNKtlguZnG5k4O5lLRw+QKKtI286dqFNB/4+pmP/Ffv/W138LUFyRNMZWwUNhxNuHl7jw4D0m9VrSrHYlPl/HirJecOnwWZ6LjWjVvR11yqnx5lYcsRev8U6tHM1bmCJ9l0q+uglNWtQh8/4VHqer07BFS2qX1yTn/QtuXYvj2r0ksgtkmNRqSMs2bTCtVo4yKlJe3rnE7Rf5VG7UkkaC6+w32ywn+8UtLtxOQlSpMW0b10G7JOcMSVE2Lx/e4vzlGzx9U4Cmfi2atWlN6yZV0NEsiYf4vMizX3LpwjnOXE9C8pVwsVyuQ+1mbenavQX6Gbd+E1DICjJ4cO0qTzKUqNeuAzW1Cnl4/Qw3XxZQu01vWtXSIfXJHa7fS8GgTkvamBrx7vl9Lp2PJf75e1TLV6V2zYpoZr6jSKsGbc1ao/r2HrHnzvEsryxtOnWlVW0tUhLvcfHydR6/TEdd14ifmraldfMGmOiqk/UygWvXH0Dl5pi1qoGavIjXj25z/c5rTJp0pHlVEYl3r3Dm/BVSCkQY1KxDrXI6yFLfoFm3M6aGBdy7fh/12u3p0qQ00PmDoeQyivLTeXgnjvMXrvJOpotR2TKkP7rOvbQaOC92okrhfa7GPcG4qRnt6pbsbjJpEZkpT7lx9TJx914iVTakap0WdGpfn8omOqgpyxFnv+NJ3AVOX3uASpXaNK9fk9yXieQaNsGstphDIT5svmmEudtQsq9e4k2+iPotOmDWpjG6Wr+WK8h795Jb50/yVqsVvXs2QFNaSOqzeC5deULFNr1oU8sASWEWz+KvcS2xmNY9u1NdW8q7J/HEnjzL02J1GrRuQ0XSiX+jRKc+XakgKuDVo9tcOH2ZpIx8lA0MqN68PV2aNqKSthpFeW+5dfkYsTfTMGnch5G9G3zc1OTiAlKf3OTsxSQqtGpM+r0L3EnKoPJPTelh1olK5XQUbK4ycT5vXz7g/NkL3HuRgZqGFjWadqRTuyZU0P01nYC0MIfnN49z4kUZfh7Ql0rfIFMVmCqTrp7i5PlsOlgMpXG5r74kLSbr+Q32HL+EdsvR/PyTlNjjh3lfoSfDO9T4Yv5Ji/N5GneSo6de0mjsGDrX1kdWlMurB+c4ffwGL/LVKFe9Cd16d6BWeZ2S7Ee5QKv9ngdXD3L27HMylPWo07w9Xc2aYvLBvSmXkZ/xlKsnD3DlXhbF6hVo2aMbHZrWROfrsACZlNzHJwk7nUyfUebUU5D1ypHmvOFE9F7yTPszuE21/4h64duAQuAlLyhASVTmYybDp7khpbCwEIlUhpKqKurqmr9yP8hlYooKihDL5CirqKGhIVCbfrkUCaRNhYVipHIlVEXqCp/Vl0BBWNwKKCqWIkMZNQ0NBT/634glFE3+GlAI10MFRRJE6hqoqgiBlr8uMmkxhfkSVDTUUVP9RL/8CSfIKC4qQIwITTURgi2KZSqoq4l+ZSdFoFx+EXJVEeoKv54ScrkEcWERxUJap7LQB+qofpUyK9SzqKgYiVTQYhChof7rPpCKCykulpRwCIjUUFdX/Uxv5bN2ySQUFhUrNB2+2Z6/YLP+8oZCDXGhEByorKCw/ZWd5SX2k8iVEakJaVl/TzzNtwDFqulLuSRuyLQ5VnRrUB65pFjRL8qqIkRC33+x+8ooLixCIldCpK6mqLdMXKxIzZQqqaCmJqSXSpGjgqpICIgU+B1AVU2tBOQJpwnF9yXI5HJURGqoffhMWBjEYsRS4e+iP7SJENBZLJZCaYryp3oKsQWS0rEjpJiqKt4hEn17rAtBYMVFxRSJJd8YBSXjSk1dRMHLOCJXBnNbXo8pbva0KfuZToJchkT8WVuVhIDJYkVbVBX9q4RMIqFYIlXYVRiDMpkEcVHJHFBSUUVVsLVMilxJBZGamuJWs7i4CIliDJUERQvtEmwtFn6jXDp2RKoKAC98JhbaoCIqXWfkSCVixXeVVYXfKyn+X1RUpFizlFVVFTaWSyRCBykYRIU2oKKmiB35VIp4ees80duPk29qxrgBHdEnlwcX97Jm7Q6UmlqwYO44qoqEukkUaYZCXT9fbz/0udA2VdUP87T0G4o4mmKKioW6l6SbyyRiZMoipO8T2B/iy7b4KsyLdKeRilghYyDMGfWPuj9fAUSZVHHzLFMqeY8QMaCwvViCspo6asJcEwJaJYIdUdhW8SepVDG2xYCamgBUpCWfa6ijIgQxCs8oKtkThBQloV81RCUAVYgFkoiLFGu90H5NYS/47FAltEf4TEVNDeGUXSyWoSoS1sPSANuPphDGbVFJ/yoJvCgainZ+c8+QC/OliCKpEuqKOn5j+ArtLBbqJUddS+PXBy3kyKUSCoqKUFLVREMkSJIUIVNR/wazqvC+YsWep6oIeFaQVyiCO4W9UlgTFLEbGmpfMf8KvxP2SoliH1T0XWmg8+f7iVjYK8UyxfhXF/bKX1HalnxbsF9ekRQNzc9Yb+VSigoKkatqoPG7jLB/vND/UBv9Axv9kC//40H0V3zjf1FtVFJwB38bV4J2Xya36c/Mn+PMxJ5N0Pp7k0/+CvN/v2fIxNw5FsIqXy/2XdVQMHDO97ShpfG/oa/x/Wr5HZ8s592jWDb4ueF/8BEyZYEqXo5YVUT5xj2wc5zD+E7VvssNW17yPfau8WJ7QiXcNi+h9Ud9oe/Y3B+P/j9tgR+A4geg+EdMgP9FQCGojR6P2MSBM9d5W6k5v4weSZ8WtdD4GzNP/hGd93uVkEtIurqfnTt2cO2FIS17DGDUmO5U1/mzGSn/+Bb+YQWF6/g3ibeI2X+I2KuPydYqg0mT1vTvM5iONcujpcim+etLUeZLrp84wKVXRgyZPoKaf1Nm3F/fkh9P/F+xgFJycrKCzuNH+bUFhGuznJwcNDVLGA9/lO9jAcHOEolw5SxWXK8LtlbI/v4Di+AKVFUtcQMIV7UyqcBCJ1w1CulmKqj8nQE+/0D7fKtKAkOnVCq4aQRVXhVUvgOj7T/fFHJFdoyQqqpIkFFRUQRmflcXrpAaK7CjygVvyHd+1z+/A37U8G+wgFJOTs4/c+X+Gxr/R68QNrq0tDT09PQUm4jw/x/l+1hA8H0KsTlaWloKW/8TiwBysrKyFL5bAWQqioKVUkmQ7VWAoB+T6Vs9V2ojpVIb/R81kmL9+DBWFLEDf4MhShmE/5Z3/RMn7Y86/a0WUJIJDDk/ym9a4EMMhXAi/QEovt9A+V9xebx//x4NDQ10dL6Dhvv3M++PJ/+wwA8L/LDAd7fAjxiKPzDxj6DM7z4GFS/4XwEUn8uX/z2W+fGWHxb4YYEfFvjfsMAPQPEDUPwjRuoPQPGP6IYflfhhgR8W+GGBf9sCXwCK4rxHrPHwZMfZh6BUhd6TJmNh0Zsqqh+UPOXkpFwialkoey8lINFtzvg50xnetSH6X/FM/Ns1Kv2hNP8Re4PC2bQvljfSKvSfPIXxY82oqiEqJX6S8eh4OIfu6jPMaiCVdX4t1/yf1kH4/dc3FMmng1iyN5ORTlNpW9UQ9Q9hFdJkdvn6sk/clmU2/THJv4P3itWk1jZnzjgzTPRLhLxAzOMTYSzZn8F4KwtMMw8yw3cnr9LyFFofqkJevFyKWCpDKimmjEkdJs9Zys/Nq6HNS05t2czmbcd5mKlD28GjmTCpP/XK6ZYqysnJS7vNntD17I65RoZKLfpPNmdk/zZU/kjuUsjr++fYErCBY7deolm1DaOmT6Rf67oYCKJmAulVxjN2R25h87FTvM1WprxpXyxsh9OtcSWFiur3KF8DivTHpwnz2krmTz2ZML4PphV0Pgaw5b6+QPiSHWTX7MKocb34yUT7+wa3lTb4ax4KadFT9q8KYduhWF5WboetlTlt1B8TGrWVC/eSS0jGBIei8I+hEU0692fU0EG0qlWBMn8UjiNJ58zOTVxJ0cZswCDa1Db6S82e9fo6p49eRmrSgi692mJcmupa9Oo62zdHsvnYLXIKBdUCOUpqZWg/xBLzcWOo/xvVyHr7kAM7N7Ftzzkyxca06T2EMeP70qSyHolnNxEeEc7FJBM6DxmLpVV/6uh+4uOT5CRz49ReLt1Ko2bnYXTsVF+hUPqhSHLe8vDcGU7E51C5U3cGt63+h2mW0tw8pIXFqOjrKgIS/+UiqHKeP8y+4/HU7juJ4e2r/c4YK+bZzTPsP3gRnTajGd/L9HdIxf7lmvx//wO5wEGSkQ3aZRCV+YyfROAHKcom8cphNu66SwcHF3rX+pJC+981TmFmKue3reZQVnNcnIdT8cMQkReR/vwy/t5bKOpqy5KB1Xl+YQuLNlyg9YRlTOtW6cNqQGH2K46sC2Tn+6asdujGzR1LmBMZh4aaSMFzInDJCGQcYoEfBSVqdRjCnHnO1NMRk518lU1+4eyNTUBq1JTRDtYM79MUww9Pl+bz4s5R1i6L5OyzTMr91APL2ZPp1bDSx7VeKk7j+pEdhKzczv1CLZp0HY6V81haGJWmZMukZD26zPJlIZx+9BgV1ao07DWJubN6Ue07ZRZ9AhSFN5hnPYX1Z4soZ6KNWlEhr9JzaTk9lB3O3VBTVkKcFo+7dX+23ixDOWNd5HnpvKAcDsuDce3fUCGM9ZeU4gwi3QaxbFcyWgZGqAlStJliuth5EzKtD3pKz7hw+TWPrhzi5rNydBpeDz29lnRpUg71v3jD+xpQJG53YkJQGo5BPvxczwTND+ueJBE/K2tCCvtx0NeSarnnmGJjz5HEaswOXotlt9roCbrFFHNj41zGhabgtmwRnWQxOPrs4OXbXJSUiklJek6BmiEVKxoikkspU6EO1vOWM6B5Wc4G2eC5TlAv1UNTRUpqRh51hzuxymk0phX0kbx/TOCiqayPeY2Shi4qxTmkyg0Y6TCfmSPNqKivQcrtfSxetISzCflolCmDJDedjHLNcZ/vzsjO9dEpekzkUg9Cjt5HLJD0KMvISc1AWqcVM5cuZERLU/T/jfX5j8bF14BCmveSPUFL8dn4mPb2c3Ac3YVqAp1jfiJRnrPZdF2JYXaujOrRDMOvaHX/6F3/7ue/IrYquEeQ7VzW7ruGuP0Q5jtZ0zj3FO4+EdxIhnKGJcqEgnicpDiPtCwxNbpOZP4MCwUJ1u8VufgNO1cs48hTfUZNtaFPs08iP/9u/RW/k0tIf32TTUEr2B6bRg/LWdiM7o1JKd5NEXQYvHzZcysTXUNDVOUyBaDoMNQKywljqW/867fnKrQ0/Ajbdo0CFR3KUEimWJPmP0/EZdovaD/dR0iAL9GxcloMnYybpxUtjD5tHOKMZxyO8sZnzVZobcnMuW4MaVi6ccgKeXxpF6u8fTj+/iesXNxxHNhYIRj4W0WS+ZLzWw9xLUWdnnajaPLvcF7I8og/f5C9x+Kp3c+SkR1+D1AUEn9qB6FrD2HQzxm3Ca34QUXy50apXJxP8vWLbAs7TXXrqQxtXeUL4FYiXx7JEv9YBviHMbFJidrof1ry0l6wz8eGiHfdWbvWiVof4sBlBbxJOIi9pTdFI/zYO60B9/cuY/CMdWi3mExg2BI6KtCHjLz0h0S6z8QvuTPnQiZyb+diXCLi0FRXQZyfyatnqWiYVKOikSZymZxaHYfh5j6TqkX38XEcRtQlZcqW1YOCXFKVDZngvoolI1ogkBK+urEPF0dHrqQaU85Ag8KsdHIrtWPFqhUMblIWaXEBcTsX4LBoPTlq1dDTlJH5PgPljhb/j72zjstq29r2RXdjIaiAIGJhd3crdhdgoIIBdiIqoYggomKL3d3dnYhYKEqjKPn091sP6AbFvd3nuM/7nu91/qesZ625xpxzzHuNOe5xcyRkGtYGcj7HHGbiiOmc/qhNSUNNFKJcUhI+Ubr3KMIDp1DpH2BufwUUMVvH0nXGJQb4rmZQIwtUyWSPT28CH1Ul8uAmmhRX4/GqPrQJeIWL7xJG1LNGJeMpy6aP4rDaIHavmkXVYgITIm+o5Z+ec+LkI2yad8HOTKjA+O0UUPDh+VWuv4R8u1NGAAAgAElEQVRaTetSrEBZ34/nF9Jm9Hrshs5nWs/6GKums3+5J0uvmeG7cj09bOOIXLyOfbcvEpVajIrlbajZ3w2v9pXQ/8XI6ztAsX0C/UNSmLw68BtA8YKgEa6EijpwbKkr1hkXGT5yBmeik7Bs5kpw4ERqWZqhgYi7m6bRb2Ui0xf70L26GVmZWcrKo0iTiPDy5EHJ3niPaIuVuQ4qapoYmZrB062MmBhETs3BTBjYAVsTOVe2+RJwKJU+U5bi2tqR1MNTGLHsGtV6jWVEu1qYyePYsmwO+1KdmDXbi7YOWhwJGI3fJejlOpZONW2Qxp0nyC+It/ajWDqxHzpPIpk8ZzPlerkxqFNjSuirkHh7F/6BO1FvP505rh1wKFH4K+LfXdzC77878lDIyIq/TaiPD3vfmjJ22lSc65bkxo5A/Dbcxam3B269W2Jt/G1luV/Rm6LvUXSlTF8uZ9gwwGMY7WpZEnsyhMW772PXsj+9m1XHIB98yTJTOB+5isgbabQa5YlLl0aY/cmuIwCKnUt8OaoEFO50+AWAQpzxgQcXT7Nhyy4u379HloElfUZNYVz/9vmAQkzU4bUs3XydUk2cGd6lRt6XtooKOvpGGBoYFFFqXsSDQysJjTiGZs3+DOvdDHNFAid2hHPwsZhOI2cyoJEln59dYPPKbTzXdmLkjHHULV4QULziYMRywjfvI8WiEb2GeDCxXx2lFok0M4GLe1YRFr6F13r1GTBmAuO61/hTQCFKeMCuFau5lFKaET4TqFPgWT8/O+SIc7LIzBajoWuIgc6fQQQBUOxg5aqDGHecwpzBhaWyf/6Z//euVOSmE31mO/5LjtFw/gpcilIbPRrB/GWX6bJiLcN+GaB4wz6/0USktCJi7UTKfwMoxg5dRG6f5RxyzwcU49chMrWkw2gf/Dw7YywAirRnrJvpQWB8M65s8cZU9oHUz7lKVdDUF5fxnbqccm7L8GxXTjmwGjr6GOmoErPbi56L79J9uj/uTW0RpUWz1t+bQ1mtWbsqgBoGSeyZ04Np1yyYu2guLcvpkPbsJAvm+pHS2J9Di5zReHeFGaNHcMqwD2FzRlJWS8TTs2FM9dtP3XlnWOFsytH5I/HcEc/cTatpbqWHXJTGnR0LmLLuPW7rD+HVpIivg39zCuYDCgXxd49x5pU+Hdo3wExPnRzRMyK6dWNpajN2Xgyllk4Oa/rXJkzuwt417lgbaKMiF3F/32z6zY1ifuQGnKuYfS1hKn21jV5D1tIt9BADqgiCQd/2VM7jXd5M26vBrGVzqFlcO/+3Ci759cDtgClhu/xoJHypIyc5ajuDBwZTc0oE07vZkf7kEAFe/pxK0aVRP3emunakrLle0aWj/w0jfR+hmED/5UUACtlLgoa7/AEoMi8wfGQwiqqWPD/0isaePngNbUgJQ0UeoAhPZNoiH3o1sEHvy+eW9C2BwwZz03I4iz2dsSmh/7XnDzdPZty694xYNJvutSsoN6pP787g5bYQ1ZaTmD60ETcChhARVwnv6e40rmiBJhKengplwpIbdPacTt8aCkImevHGvi+TXHviaGGEQvqR48HeLLpszGyfcVTTSeHG0wxsq1XBrrSpcgOR5j5lyWAvrln2YK5nT5zKGP4bFi36p0XmUMjFxN/YyvSZEWTY9qBPTVWObT2GolEPxo7shZPVf0bD40uP/1zLw41mjsY8PrCExfvz5cvb56uNKhG2jLjL65gdcZKSzUYwrl9jkq8e4V68JjUbN6VqOROkGe+4eOociWpWNGhozc31gRx5aUSfkXmAQvwhlivnTnL80gPSsg1xatySdu3qYl3MADW5iOfXT3E1JgPbus2oW7HUN1/JchIeXCYyfA/P1MxxsMnmzr1XlGk6BM+BHfIBxUcubQll1ck0mgwYg2tb+584ShIT/+whz95kUNyuGhXKmpKT+ohdAYEceqxGl6lTGdjUHsm7m2xcGs5dWQVcZowvDCjSX7J/1UoOXn6IyKQEpeya4jLOBUEg8tPrm+zdtoOTN54jNipN/c4uePSsiWpuEo/uneTQySvExoFJSQeadmxPIyczXpzYxBK/ldxMN6Fh/xEM7d2TlrbavI+5zeGjp7gZnYaZRSWad25L49rl0VdRkPLyHpdvPiRNron0TTRJKhWpW8WY1KRkLOq0o3mVEmSkxnD53B5OXHlFdrYhZSvWo4NzS6qW1ePZXwAKQTXzyY0T7Dl8mniJGVZ2tljrK5Bo2dCyUxNUk+5z+dJ9xNp6JEc9Q1GiOYOHNkUv6yW3Th3j/JUnJKvpUr5GE9q3b4+jhS65H+K4dekc0dkWdOvRguKakP7uGZfPnOdD8YY4NzAn+tIpbr/TwaluMe7sO8TjDyrUqd+W9l1bU1L/+zDP56RX3Lh0nCSj2thovGT//ptol6hLz35dsDZK4+Kx3Ry+FEMp+wZ0792DysXlvI2+yakLz3Fo14tG5U0QRLOe3jjLxRcqtO/TlXJaOcTdOcvhPSd5+EmCaUlr2nTpTeM6ZUh/cY1Vc6YRcTaOsi170Gu4O2Nb2n11EnkRirX4BF2gzfwZWDw7w6G78ZR3qE3nPn1xtMwP7wu6J28fsm/fAS49SUHfqDwtenSldUN79IpwOVkpfwCKtesmYvsl6pofoVACir7LOSREKA4GMHTBRSo3K0P0WRU8NwfTt4ZpPqDwJDC+KVe2TsNSL8+egoR44tNjTHRbhJ3XJuZ3r/C1B7mfEtg5vTfBiW3YtnkK9rqayESfeHg6FPdZFxm+chN97ZOY06Mnb1sEEjGlE0YaKog+J3Io2IOZ563Yd2ARhg83MXzMKpr6b8arlQMaKnIy0p6wZMRAjpaezsWQ7ry9fJIbmRZ0beuEobABK8R8eHWI/o3mUjH0AEE9bH65H/8aoRBCKCKZGjrid6xeMI7g49FkyBswbeF8hnUuh45qFJ5Vu/K4TwRHpjZBK18/4dPDrfRxXkzTVfvxam79td655M1WuncJosfmCwyqXKBu+NdXUPBwpyfeW+TMW+tPLXOdfECRyoZBziyW9+XiqhEU1887a5V/fIp3926ktl9O8LgWZNzcz/ZHejQyv8+e11a4jemFjbH2vyVsUpR1/x1AMdQ1GBvXiVje2UjE65LMnT+DlpXMiIqc8gNA8YaAYUO4aTmMxZ49sP0KKD5zdM5Y5j62IcRvDLXLF1fmkShy4gke1Z9b5gOZObEehyZM5mq5ASz07IajRR6t8XP0YbzGhVByyFQG1vrMQs91lOrpiXuvhpQ2EmJeCp4fnItnwHN6+s2ie21btGSgoSEoIuYtEPGLw7iMX4KiiQezhrfDvviXfJBfNx9/lJQpF3/m0sZF+IQfIibhA+UbD2eKtxvNnKzQ+lVHbD/5Gn+tNmqiBBQLdz2iYlsXBrYWFnJeDf6c5JfsCg5kz30RPaZMZVhXey6HLGJ/lA7Orm50rG2FKOUREYEridGowmDX1rzatTxfvtyd1hbxbApexspdF4nLEoNUBU2zsrQcOArPIc44lVLl+u5V7LieRi3nIfRobP+NrLsCUcZHkhM/odDRJ+f5AUK2nkG/7qA/AEX2W3avDmTL+Xi0DS3JfveQDL1itOo+lD4dm1O+RFHjnqchIpUpkKY948jOtazceY5URUW6DRiF24BGWJpqkPPu5l/Il4dx4lkyBsUE8anitBszgY4VdYg+t5XtB86QJNNHmivBrrUrnu1KcGXfOgLCN3MvLhM1hVBQTAOrOu0Z5toX8+e78V24kruf9bBtNYBJ3mOpL7nG8sVhHHv8DrFUBQ11bYo7NWPo+EmMa+tA7JUDhIUEc+rZZ1QyVLBq3ZuuTprcuxRFpf5e9HfIZPvKRQTtvUaWIFghVUVLvzh1uw7Bw2M4+jH7WLnqQJERCkV2AjcOrmee7xpuJ39GRVUbNVVVVLWNqN7RhfnTXdCI2UXg3CXc/6iJPFcLp16ezBhgxYlQf9bsvUm6TI4wkzS0LajRejgzFrlRITuGnavDOPfRgXn+47DTg/cPz7NuWTjvyw9mwXBbzq9eQvD+55iU+0TUrVQyRBL0jcrRYqAn3oIS8jcV0JNjbrI5eCZHE0phKrrFxZsfUdczp26bdtQoIePUgX08ic9Ew9iKdi7T8R3dguSrO1iy4hLNp/ozvJElOWlvObM1lLWXVZkSNI1S707iP2sqRx/lIkEOqFHcuiHDZ8+gjVkMPsOHsv2pBH3rqnSeHMwmtwaFAMWj4+uYOmsLVDAmKfo18ak5aKobYNegH7NC5tG8uIiEx0eZP9GXQ8+SEEkUqKvpYFa+Kj0nL2Rul0rfrfC/BSgOBOAa9BQ3n5E8XbGAu/aubPMdhG6GEKH4EaA4wgQ3P+wmb8LH+QugkJGR+pDAfm6crzOPM74dlBFA4YgjJeo4E4fNpNy0rXg0isW18VzsFu/A39lWCerl4iyi9s9n+OynzL64gbJXghg49zkLd6+lozDwwpTM/cSxuR2ZdrUVBy7OoawoF7GgF5Wv/SE85+3R+TT0OMOULccY1+DX5KMUNO53LA9xchRbl09j610ZCTGP0Ws2hfVBI3EweMAo+17EjtrCYY+6X5VDM5/upn+nmdQIO8TUlqY8v/qED4I0zPvjzJixmyYzwuhkL8A/QyrUroJO+huio98h0lDw4sRywk6rMNzbE0cTOVoGVlStpsOmvj0JMhjBteUDMMkHFIrPr5jZvQ2xzYIIntQOI0UOGVJNDDVy+JCjirGxIZr/wAbzbwEKlyDKjQ/GzSGRJbNmkVjFE//xnfl4bC59VyYUEaH4EaD4yP4p7vjEVmbNIleq2xTL+3IUpbByTE8u6PVlplcd9o2dzt3Kw1k0rhMOJfMmWdaL40wZHYDhwKkMqvWRBZ7bsOk/idE962FhkBfniz0+n/HzHtLRfx59GlXCuMCHS1b8LVbMm8+BVAe8prnTtnpZdP4BO/8Zy+Pzu8ssHjeJdddFDJjpi+eAVlgZ/zsiuz+JIL657GcAxdOjoUxZuIprr7Ix1BMShfPKvMgVYqQaJrTs7MZY1z44lVdwcOl8dkfp0WvkGLrUEQDFA1b5L+ephhPDRrbnza6QfEDhRomXkQRuPoVB3V4M6NCEUjoyos/uZe/N91TrMozBHeqiK0rnc44UbQNjDAVV3m/6ryy8pVAojyXfXd6I/6YT6NUd/BVQSBLusT54Pkv23AWTcpQyUEGcnsanHD3q9R+Hx+g+VDX7cdGxjLe3OHNoBztPPeDJ608Ur94Wd4+RdKpuifgvAUUoJ16oUKWWJUnPX1GiqRuj2ptyZtM6TjzIwtrejBf3nlO23ShcG2pxYst+7ica07BbEyy0Urh/bCs7Tsbh0Gs8nh312B+8kktpFgyYPoGaGgkc2byMgy/U6DpkFC3tSyBKfMGJA7t5ILNhhKcXZeL2sXTBIh4YNMXdw51Gttq8vraPTTtuU2WwN13M49m94Qy55RvSplV5JO/ucGLXVi7FWjDMZya1pddZuWovRt8deYh5e+c4Kxb6cQ0Hho8dSS1jOfeP7SJswwG0WrgROHcM6o82smDaUjLrujF5ZB/sjeXEXt5O0PLd6LcYw6iBTTDOTebOiV2sPhhN1YHT8elkxK7w5Zz8WIlFSzyxFwDFg7OsXhrCWzsXAkbYcmrFdOZujqZWt5G4DmyNUW4sx7asZ8cTLUbP92NUizKFZknys0uEzx7Oxri6jPZ0p7WNjBv7NhO67iwmbQYzamg3rFVfsm19OBfTnAgJGY9e9F4WB5+j5fRg3BoLgCKWU1uWEX5JjalLxiG7sJqZvjdp6uXFgCZWZKW+4MSJ80jtnJnYuRz3964mYOV5ak/2w7W1ExYmfxyHCZGdR8dX4ekdSrajC94zu+KoKeXxqUj8N16jqttyQvtbcHjFJBafzWTIlFm0L2+O6HMKN/auZWesPlP9ltPCqvBi+FuAYn8ALsue4711JfYPVuC55CSNp2xkckM562aO+0GEoihAISUj5S6+zmO40caPc7Na5nVKLiEt+gyTh0zAfNJWJjd7zdD6fjiF7mJRx7zxEcq3Pz/iy9BJt5h8eSu2lwLo55tAyIHVtCqXB/SluZmcXdSeiUcbsuvWYioWeGVBsPPtjUjGjVlETtsFbJvbA/N/IPfsO0AhqJF9TheQLHy8HU6/8QdoO3sz/sNUGFPBmdjRkRz2qFMAUOyhf6fp1Fp9lDGODxnVdDK3BRVRaRapqZnompZAUFpV1bRj8dmd2FxdhsesSBLEUkRZH0nPAiNTE2VovUTVXoRtn8S94b1YKgCK4MKAYpZzG141zQMU5roFFen+tQ3iZ371twFFbgeOBblinXmBoS5BlHEPYmIHe57vns+UVfcZtNiPiq834romianfHXn8CFB8YN8UdxbEVvkOUIS79+S8bh6g2DN2OvcqD2dxAUCR/fIE3qP8MMgHFD4e27AdOJkxPf4AFG+Oz2fcvAd09J9fAFDISHl0hODwjVx9oY+z+zh6t6pGsX/I7j8GFJnc3BLOkuXbuBGfQMkWbvh4j6R5pVJ/men/M+P7d675GUARdTiY6cv3kqZlTTXbEsiTYrhz5Q7x+g70cB/LiK4tqFDCCE31D+wPms+eKD16uuUBCnHKA8IFQKHpxDC3fEDx0oQ+w9uRcmINYYdfU6FeY2ramClBQXZiNBfuvsW2xUA8hnfHzuxnQZacuEvfAwrxh9dcPXuI28mqONRsTGULEySJz9i7PoJT78wZMs6N2sU+cO3GEz5midAyKU3V2g2o6VAGXXXB6eWSnZVBRnYGL64fYu3mc2hW68UUz16UyvyxfLlEOPJYGcqJlxq07tOYlOvneatVh2GdinNhx15e6deihV0WB/fdpWzH0Xh2dyAh+hEXzl/j0Ys43sc+I+rxfd5Ky9DbYybz+lpwLGQlFz5Y4bbAkxIvj+PvF8bdzFJ0bl0bY201FLJsXj2+xdMPhnQfO5s2mrcJDdpIttMw5k1zpqRaBjcObWDN1htUGTyT0c1MeXLzOqfO3eNNUjyx0Q94/Ow1ujZtmLRgFg24XTSgEKdw9dA6AjbdpNKAOUzrXgldNUiNucz61Ss4n1kDn/ljUXu0lWX+e7DqN4/pQ+shT4liv8AguKXHKJ9ptHI0RU0hJSXqMpuWh3JNtSHTpzXn7urlHP9QiUWB+YDiYQFAMdyG0yt9WXfbAM+wxbS2MkFNnk30pYOsWLoe1dZeLPBojVGBRZAUfYm1CyZx3WAYgUtcsVXL4N6JSPwW7cVxtD/efWuimvmGk5GhrD4nwtN/CuYvDuC3/CwtphUAFJECoFBn+tLJ6N/ZxMTxwbyzrE27ug5YliqPtWMl6tSviqWemKhTW/BdcpQmC9YwpqgcimNrmO1/mEbzIxjfyh5tFQVpr+4TuXAahyVtCZhbh0jPCexKs2FUz4boCuq0cjEpbx5w9nYKveetYULLwojiLwHFkIV5ORRjKxP1BVDs2kZrjWg2+nix+a0ty0LcuRfgid/7oo48igYUn1Pu4NvdnZtt/Tk3q8U3gMIT84nbmNz8FUPq+VM9bBeLOvwBKF4cWciQSTeYdHkr5ZWAIvF7QLG4PROONGDXLT8clXdXIBd94sHxMKYtPYRa6fbMCJxMfQvdnzjO/DveMe/ar4BCYLZ9W1la/ukFXq3rE9NiHdt8a+LftCmXmi7n5Ly2aOQnRaTcWkvvQavpvnY3I2tKObfjIgkKFWRJlwkJOUVN11k0LQsKVXMaOrfFKP4+F688JUdNTuyVSHZcV6Hb8MGUN5ChW8yBlu0qc2ZCN+Ymtufk+rGUFnI1BLJl6l08nQcj7RVKgEsjDHX+M+WZv0/K9GRAaCqT1gTSqUIBlofsJUtHuLBHpz+b5/bF6tPZfEARyMTO1TGU3sNv+CSuylvSte5blh7IYeai+fQslEPxI0CRy1l/d2ZcKYZ/oAf17UopQ2XyrFf4u7nwtNwwZo1rwPFp4zhl7MyiSb1wtMxzEx8e7WHi5PXYjZjGgJpZ+E8IQb/9WMb1a/b1K//JjhlMikhg8IKpdK1jj55KLnd3hxK0eifvTRviOmoIrWtXxFS3sFzw359uP/7FjwBF0t0NzJq7mpRSXWlWLpHjxy5RuqMXk4d1xeEfOHr5s3f6GUAhHHks2vsIx3ZD6N+iBvrSVG4f3MLaHRcxaDKU8a59qG6lB4pU9gsRiqf69FYCCktEKQ9Z5R/CU82qDC0IKEa0JvFgOH5hh0kUZO7VlWROkEnIEZnRergnM70HU9PyZ3NbigYUgqR5bk4WIrkq2rp6aKsLEuoibu1Yyqo9T6jSpTvFcq4QvHwnr1Nz0S5XhyFjvfHo3YyCauSCE8t4fY11S8K5r1KRkTPGU1X65C+OPPIARZcxfRFf3ceZZ3KqVi7G+8dvKdmmP/XUbhKx4y42HUczspE2h1YvI3zfFUSWlalq54jRp9fcephClb6jmTXAkuNKQFEGtwXjMY85ht8cX3Zcf4OOjgC6BGcHMrEMQ8sGuHnPppv1W9av3oW8nhvz3VuiJ/+cDyhuUmXwFLoVe8Oqxf7se52JlWN9HEuakvHqITHJRgz2mUlDbhUNKLLec2b3CpYfe0vXiaEMr5MXZs5KeMDu9WEceV0Ob5+xqD/ZTuiK49gP8sGruyMZcXfZuTaUU8lVmDHfk6rmefEmUcIjDkYEs+WVJR5TuvFq83KOfajMokCPvAjFw3NELA0h1m4EAUpAEcD2KCtmbZpPTV2lUDuJTy6yPiiQ6HJD8Z/RkxIFQllJTy+zYdEMHhV3JyiwN2aSdB6e3cGS5Uep5RGERxsbROlvObcjjJWnshi7WAAU+1m8/DytpgXj2rg0uWlvOBW5jJUXVZkeMp+q6kmcP7aNzVv3cuHmSxTq+piXc6RFX3emuzXh4/lIFgQeoemCNYwuElCsZX7QJbqFrmWIUx7LIzc1ltOrpuF/xxqfuW3Y5zGSsBuJGOtrfS1pLuimqOuVZ/i8UOYNr51Pt8xb4QKg2O83iojU1sqkzII5FInPDjNhuD86LuuI6G+ZByiCnuO9azvdSucQe3cbk4auxKijK/aSw6x53ZBL3+VQFAUo8hI5Q12GcsTai1NLe6KcjULOxYMDjBsZQPV5kbjXjmNM60kU844kuH/ecY1MlMX9HTNxC0og4PQaSt9YzqAZt/CO3EhPxzxfL8n5xN6p7Vn4ojtHj3hRGgXS3Hh2zR1H4NFYHLqPY8aobpQvaYLmLyJkfusv8wFFFqd8J7EkqhzBq6ZQIT9ZJ+vNfvpUGYmGxwa2zm3F4TEVmf6sG9v3LaaGiVCzIJdLoW70DBexdk8EHex1EGeLkKGCJG4H/XuF0nXtSfo5CgmXqmjpaqMqOC2RRIAyPN7tzcwdCmaE+VLDTAs1NQ20tdV5sLI3fUNzmLdrE84VzRBE8t6dD6DzqH109duAd/vy6P6HlPO+BRSfLwfQbPxe2k8JYXIXJ0zygU1uzDHGjPQgq30wS91aUDz5eCFAUUxXRvKZdfSfvoZEaQaJ0qosDfGjR/2CSZk/AhQKnu+Zyki/O3Scu5RhLStjqqXKhweRDB+7hlK9ZzJ9UEMeL++N3/VSjPOZSXunMuiq5XI7cj7uEW8YNn0WfaursnriMK4bdmeq13BqljVFTfyOLbMnsCTGniU+7jStZMT9PcEsiTiERu3huPRuTw27Euhq/bMRoaIARfbrKwQsmM2BjIp4jR9H+0pyDi6YTcR5Kd2mzGBw55qY6/xDK6MIZPFTgGJ/gaTMDnUxUpORmxHL0ZBA1ux/S223yYwc0JzSOh85GDCTTZfFdBo/kT6tKpL7QjhrXsW74s0ZN6kdsTuFIw8T+ri2I/nIWnbfUaFFz140djRHXVWBODud1LRcDEvbUbmiNSZCmOCnWlGAQkHSo/NsiTyBuFwj+vdvS1lDDRTiD5zfHMS608k0GuhOt+oGvH+XSI5Ejqq2IaUsdHl15ggnbqZTt/8gOtezRgMp8feOstxnHbHFmzBp/igqiR//JaA4/lKDHhPHYfb8MJF7T5KQa0bpck50HtkL0+jdrNp5n/LtXehc6gUrNu4jy6YTo/u2pLSBCq8u7GVF+FlM245gxkBLji0PU0YoRvlOwDzmKKGh20kyb8yw3k0pZqAKUjEZ6R/IlOph7eCIRtwZVq3ZC/XcmDemAKDYdpsqvUdgn3GCkP2vaT7Um161SqEhTeLc1rVsOZJODwFQKH4AKKRp3Di8gUWrLlJ+wAwWDaijTKBLe3aZNSFLOS2uh998d9QEQBF2HPvBPnh1dSQn5RkHIkLYfFGFkf5z6FpFyMiXkhh1nohFwdzTbMOcWU24udyfvS8tmLbOl8amYmIu78V/zibEzT1Y6mLN6ZXzWXNTD88VIXS21QdpBlHndxG4cBMmXecy36NZoaTFPwDFWIICe+UBinM7WBJcAFB8fMvZnXmAYtziaRSP2YvPvD3UmBaKd7eKZL1/zI6lC9n4yIqATbOpri8hKT0XhTibjNQ0PsTc5siBSM4nlmXKqmU4vN7NAv9DNPNdw6hGhSMJeUmZq5jpt5c6s7cyq5M9qkhJe32LVVO9uKDWm6U+TmzynM6t4s7MHNEMIx0VVOQysj+nkvZZlXJValHVxrTQF7koPZ6zERMZf0SboFUhdLLPyzmT5Xzk8cEgRvkdovuy80yuLS8EKJzLqiL+9I4LK+cyZPVFzI00EdsN4cx6L0oXSsosClCgTK484uPMrJvVWbMnhAbmqkhzP3MjcjrDgt8xZ/NGupVNxr9PUy7b+bJ52TAs1OWIMmLZONUVn1eNubx3OvpROxk+dBZWXnsIGlxDWWIg5/1FPHuP5G6jIK75d0CRE8uueeNYdimbLp4BDG9RgRJm+r88z7Cgy8kHFHJeHp1Bd9d1WHWbhZtzRfQ+v+FE6CK2vbPHb3skfZ2MSTrhS5PhK3Hs6YlLx5rCQcORVRIAACAASURBVCz+i4PRbOPDRn9XLPXyCiMp0dKLDbTrFkqfTRcZ5qTL9+Uh5NyPdGd8pDqL1/lTt8SXpEwQPd1Lt76TSLXtythBHbGQx7I+eBEPtduyYtViGpY1KoI18lOe9G9f9C2gkGfcYUanvuzItqL7sME0syuNVnYcV7ZuIPKOLhPWBDO4kR3arw99AyjUUOR+4vDywYxfdpY4k1asD1+Ccz3rAiyPHwEKkLw9j4e7N9fFDgzo253KJlkc3RzKuRRLvBYuonvd8mReX8MwrzDkFdrSr3NTTLKesmF1BJ/K98Fn1hjqWOtxZd1svMKv4NiqD10b2fP56WnWbDmObe95zHHrhE7sEeZOm88TgwZ079wGx9L6yqMFuVwFPeMyOFQuh9k/UETsO0CRk8DBFT4s25NIs7GeuHSvj4WuCp+fnGLubH+ui6rgPsuTLrVtEPaH/0T7KUAhsDz2RVOz+2iGd/zC8pCR9fIqAb6BnP1giZuXB84NbHi6dSZzVp9UHgv0bG7H+yt72Hr4IeU6ujPDow2vlIBCYHmMoOTLnfivPI7IpgWd29fEyhDi7p3i+P0UqnUcwYhujdBKf8P7D2KMS1liYaafXwCuKMsUHaHISbjLppDFRF7OpGaHXrR0MufjvXMcOHwZavTBc9IoGpbV4Q/5HxVUVGVEn4kgMGgD7wwa0dO5OVYqSVzbv4vzbzRp5z6F0T3ro5V0+68BxQt1ekzyxkl6jw3L/Nl4Nod6g8Yza2p7Mi5szgMUHVzpUvoFfkEbeK5bhxG9GmP04RnHdu/g0D0Z7cdMx2dYOc6EBbDldjat3afR0VrMxU1hbL2WS92uPWnsVAzV9Ldcv3CKaEl5Bo7zoFLaaVau2YtKUYCi3wjKfz7GnJW3cOg4lIG1jHl/9xzbIvcSr1MfT59ZNNK894McCikJj84SHujL3nfGdB84gFqmcP/kAbYcvoFlBzcC54xG9RtAQe4H7pxYxwL/dWTa9GJ43waYSJO5e3Iv+259oKG7Pws7mnB23ULmbY/Cqa8HnW1EXDq4nWM3U6g52Jelw8pyKmwaMzY/wqHDQAa3a4ROxjNO7drLVVF5Ji5cyIDqxQtttAKgWL9oBo+L/wygyGZcwFxsk4/j4z2Fx1ZDmNizDp+jz7Bt8wE+2g1gZZAb8mvbCNz2jFodnalvo01OYgwXd0dyNtWOeeuXUj52B9Nnh6DXbQ4egzpS0/IPnZy8HIpwPKYu4VPlrozq3YNy+hk8PLFHmTzcalY481rqczxkOj570mg1xJUWNUxQy0zn0eXdnHhlhrvPYpwrFtbekYszeH5xA+OGLSCpYQ9G9euEna6cD89vsm/jXp4Zd2LN7oVUV//0DaBQA7mUD69vEeDVgyWnxZTqOI1rEROx+AlAoRBn8fZcOF3HhGDRZiSuXWrDuxuEhYYjqT2etcsmUUYtg3Nh4xkeco+uoybRpUZx4m7sI3j9CepN2ETo2MYoPj5j2QQXgu/qM8nLg+pmWVzZv4Y1p5Px3nSOMfV0uL5+MmPmbqHsAD+GNSuHvoaQywUKuQYlbCpTxd6c7DcPeZCkRdXaFTH6BX7065GHNPstB5cHEbB5H+8yFajKFJjY1KD7mGlM6F4HQy0VZFkJHAh3x2/ddRIyNZSZzhbNeuA9dQqdK5mjUaDYhDz1Dus3X6Vq71HUtNAosg5Fwr0DHL6vQtueHbA0+FIBU0AjWdzaP4e5wbt4HCfARgXGDg0Y6DULt2YOGGr956R4v9PyUIiIOhbB4tBtXI16h0RIdJPJ0TcuS+dRHozu354yJvpIo/cy1C0AS/dgvLrUoFj+1+PnlyeY6ebGpkQnQsKWKiMUul/iT9JYFg8Ywh2roSye3BPbkgUWgTSHp+fDCAhZz+XHnxGJQK9sZTqP8mJMp/pYGWujyEnm7A4fgtcdJ+qdCKlEneK1WuE23oMe9StgqqNGbvw9IiMWsG73PeLTpahqGGLTbgDe7kNobKfD+YjZeC+O5FW6OkYGOgjF3vJEEVUp49SXOYvG0qSSpTJU9ytbIUChIefWHj8WrrxM6TaujB7SAYeSBnksIGkOMRc2Mtt3A/IqvfDyHEJNa/M/2Tx/XS9/ClDs92fRvhhqOLszokMdjL+UL5DlEn1hDb5+u8i2dcZr4iAqKqIIX7qMjcdvk61fiuq1HVAkJmNWuT0jR7fj9Y7lHIkxoK+7Oy3LZXNy20Y27DzCw/cfEMtU0DK2om6bPrgMcaa+vSH39oSw40YKNXq40qNRRWUdh6KbnLiL6/HbeALdekOZMKgDpbSF0GsOsddPEblmNXuuPSY1Rw5qJtg36MKo0YPpWK88ugK6/KblfnrLxX2RrN6wm7tvkpHJNDApU4m2fYcxpGcbHErqk/tnSZkfX7EvbDnHXqjS02sazU2S2RW8gOCz6bT2nM/sfhWIPraRFdvuU77jaMY21ePY+nBCNx3mVZYELQMjTE10UXyWY99mKDNmOZNyIhzfgPUkGLdivMd4WhV/z7a1Eey//ICkLBlqmnqUKF+bHv2H0b9HfXJu7SNs5V5UG7gyb3xr9OWfuL5/A6s336DasKl0t0gkImAJW688QqyugbaJGUbaWmgr9GgzdjbtSr5nY9gujDtPYc6wuoUouzJRGo8vHSYsKIKTD18hVddFR08fHQMdylbrypy5Y1B5tJ3Q5cdwGOaDl3MlVBQy0t8/5XjkKiJ2nORZWo6SHWJo6kCrTr0YOsqZauZyXtw8ztKFQRy8FYdpeTsqViqHavw7dOuNxd/FhjPhviw99J4yNY14efkRaWJNStnVY5CLO3271Mbsm0hvYtRl1vlO50mpMQQF9sVcks6D09sJWHqUupOC8GhnS64Qodi2grBjmYwPXkw9nQT2hy9k8dpTZBuYY1utGuU0M3mbacPckFmU+3ydiGX+bD8VS7ZM8DkamFaoQWch0bdnbXLenMdvxmS23NWlwwgfIqa3/epfhAjFgyNrmbFgB8YtHUm8doNXiRJ0zaxp32MU7uO6YaMjJ+nlNTYvXcHOi3dIzJKjpqaFcdlqdO3rgtuQ1pT+NgFRISMz7TVH1wYRvOUMbz5mo6amgipalKtcn+FTptC7sSMaOR94sm8RLsExTN61l15l8/il0px0HhxehvvEZbyvO52bG7wolR/ZF44wEp4cwXPYIipM3YRPrwLpkQoFok/vOLphMv7rLvEuXRM1FU3KNOrE6Mne9HIqqcyV+RR3i7VBk1l74BVZci3UNY1wdHZlrucIapTSUfrBuDu78Avw5cjVbITCLDpm5WjgMg3/Ya3Rz33CHNeBLNn3BD1zS4y1Vb6qIauqG9J8mC/B09rxOnwIo0+VYvm2IGp9w/j5VzxngaRMOdkfUnl0/zrP4z8DulhVrEplhzKYCVmVyiYn58MrHt25z6vEXBSaptjXrIFD2RJ/fGV/6YVMxOeMHDT1jdAuwgkJlwnnQlki0NUXaKWFHZUkK5HnD2/z9HU6uQo9yjhWxbFCWUyFAlj/uSj3d6W3ldGXnHTevXxBVMwb0nNyUFHRoLilHRUr21HCWF/5LvLPcVy78RRd+5o4ljZVnnsLTSHN5NW9y9xJ0aVWzRqUKSZcn280odzv1auk6dpSvWIZ9LULh7CluR94++wuUTHJfBJpUsLGAUdHW4obaufbT07up3fEPHrEi7h0RCqGlK1UGQdbS4x18kGdXMynpBiePIghLi0Xdf2SlK9SifKW5uiqS4h7epc70XFk5UoLfbkoFCoYmJenVt1KlDTR++Vhs0KAQl2FN48v8SRJhTIVq1HewhTtAswSaVYqUbdvkKQwx6FKJUqb6hcBWP+V5fDnv/kRoLgpq8bYqa40dTQjPS6KJ+8yMLWyw9bCXHlc96VJMpN4cusRKTJDKjg5UtpIjeSX0Tx5+pLP6oZY21hBZjoSLVNsyluQ9fYZ7z9rUM7eHgsTDbI+JvEi5hkv45LIFiswKl4G+woVKFPKFB11OcmvoniVnIu5dQWsSxr/yRgpyE5+xZNXCaib2+BgbYHOlwJcuZkkvX3Bk5iXJKeL0dAribV9BRxsi2PwzXz8+mJCEbL0VF48e8rzt/GIZTqUsLLF3sGGkqZ6yg8NgTYq1KG4U0QdCrk4k7iYZ8RnCuNdiVLaYuKeP+RFigQLh+pUKKVLevxrYmI/YFDaHgdLAz4lxBL1JIq3qRmoGZlRsqQJWtmZyHRK4VC1AqrpsTx++IhkkREOVZywL6lF6rtXPI15QXxaFho6BpQqZ09FO2tMDbXITn5LzPM4VIqVp6p9SdSF4kTvXvHidSomNpWxNVcj/tVTHj2N4aNYDf0SJSlppIPi8ye0rapgpS8m9vkbNEpXooqNWQGAKzBr5IiyM3j38hkxL2PJQgdN1Uyirp3m3gd7vOZPwpa3xDx7j6FNNRyt8s7E5TIxGakJPI95yvO4D8hV9TAvaYujQ1lKFtdXRn0lWenERT/h8fN3qJqVwrpMScRpiYgNbalkls7h8AAi75kzcsFANGKf80GkgaVNRao42GCk9z0TKPdTCi8f3yNdpwI1a5RFWy7mY9Ibop6+x8yhFg4W+sjEWSS9iSEmXkqFmk6U0Jbz8f1rHt9/QrJUHUtbO8zUson/qEql2tUwVcsh+e1znjx6QVKWCFVdPYrZVqCyrS0l9DWV/vRF1G0ev8rAzLomTWqV/QrIhM354/uXPIpKwMTWis9vnvImOQcTC2ucKleihLkQwlcgl+aSFv+WqKgo4lKzUNPQori1I1Uq2GBupFPkB4fAfMj4kMiLpzE8j0tSfhzq6BhR1r4S9naWGGppKCmdn+KecD06A8fGjSmTH4VAOGL4+I57t+8Qr+1AxwaOfE3rE/72KZ47159g6FifqmUKpr0KH2gysj+85un9B7xIyAVNU+ycnKhgXRL9/JpEClkuH+OjeHD3GfGfFegYW+JYsyo2JY3zfYoCmegzCa/vcf/eO9JlmphZlqeK4FeMtZDnpnLryhVi4jNRK7S3CiEKLSwd61DfyZKM6ItcitOhUct6mP/siemfuMnvWB5ScS5iqcAVVkVDU/Nr8uUfzkOOVCxCLFWAqhqaWprfgYFf48oVyCUiRBI5ih/15dc86E/v8iO1UblMilgiyQ//qqCuoYGGegGwI5chFktQ0dBEXU21wOYs8PbFiGSgqfxbQXSkQCIWIVdRR7PgvQr0UC4VI5FIkSmEZwrjo/YNwJIjE4uVY6hQyRvDws9XZgEhEYuVtQNQVUdTUyN/0imQSsRIpLL8qERh06gUuvbXGr/wkYcmwjyUyPP6LyyIQhhSoVDOQanSBkK9jF8Qq/uJ1ym6UuYCLny0ot8kVzrULo/AxJXKFaiqqRdhd6HfYoSl86XfCpkUiViCPF/HRSiAJdStUFcmREqU46ymrp43PsJ7SyVIpFLl+Kiq5825Lw5DLpUUevafvZJCLlWOszCmwrMK2lcu/E0sQSZXKP+uoa6B+g8+Cv7wCwX7JugYCL9RQ1VFoaw4Gf/0PBtDtxCrV4PRs8YVrl6pUCAr+K5CwqRUjOCG1IQ1IgB0mVRZTVZFTR0NNVUUchkSZf0LudIPqauroiLP8xXCs4UvfIlEjEye928hibzgb/J0c/L6KLy78m9Sad56UGp/KJDLZEilMqWdhTmmXPNisTJsrPrF7jIZCjUN5bGgVCpFRS3vWX80gTZ6hs0RO0m0asTALs0xV/1E1OWDbNh5juItxjLLqwclVfOepSKMaYH5LIARwTZiiUzpk9XUNdDUKLDmFcJmmv93NTWlPxD6qVBRR5oaxYHwQHY8sWLGhjlUVRf8hlBjJs9vFNUUcjlSqRgFGmhoCrYpaId8fyWMl3I8FKgLvkNFJc9+YnG+XxKizXLl34X1q5y6+X8X1gaC7TWF98y3vXL8Bb8jjK8GWpp/HJ3njYMUiUSOmkbeBi9cl2cHjUK+T7BVnl+TKxkGX/3jny6E/HkrkSoJ3oIGh2CfP3xK3vPFEjkaWlpfCzcqPw4VMuV6lqCOzjc5ZsL7Cv5fVbB1Uf5JIUcqESGRKlCoFL2PKhRSJKK8daCiqoGW1veRfsEeYpFUmbeotMkX2ylkiEViJMIa/u79hWs10dTMS7oWSVXQ0tb8JVHe32qjf7GR/JYv/4md9hdc8t+oNirNecjy0VMI33+bXKdOzPTyZGDrqn8cYf0Cu/zX30Iu5eHxCEKCAjh0R406vUcye8Foav0r+hr/lcZQkB57iz1r/Qjd95BMqQYaKjLkmrqUrd+FUa6j6Fwzj7X1q1tW/GP2r/BnR7QFM7f4UudLGOpXP+j3/X5bIN8CvwHFb0Dxv2Ix/DcCCrkkmVuHT3Dl/nPSzexo3bIFdR1KF6F38b/CxP8znVDIeB91hfPnzhKdbECFWg1p2aoWpX6akfI/0+1f+VS5JIfUdzHcunKdRzHvydbSwsSmAnXqNqFaabNfrj/0pe+SjGSib13mcYoRTZ1bYPFnimq/8oV/3+v/rAVU4uLi8kr5/W5FWkDY6LS1tVFV/c+E1f+vDoNMGV6WKkt+q6mpfeWS/2+zh0gkUvZPXV1ZNBeZRAj9ylAIoVL1L0dH/9t6/T/bHyH8KxzVyOQqqAlHQULI/n+2S//hpysPVZRHF8KxhkJFRXlkIswh1byM53+oyZFLZfnHEAWPEf6hx/2+7f95C6jk5OT8kzP6v9rAKioqJCYmYmJigqbmP6D1+l9tnV/XecHOubm5SsVRfX19Jaj439iEHIr09HQlwNTVzUuJFs7ivyQJC2e4/+j+8L/RKD/TJ2ED/cNIyP9PGkmg2BbMBVIoJa3/aeebNz8VBai+PzNgv6/5bYF/zQK/jzz+wm5xcXEUL15cCSiEje93+2cs8N945PHPWOL3XX9b4LcFflvgv9MCvwHFX4zb76TM/8zE/g0o/jN2/v2U3xb4bYHfFvinLFAEbTSHbJEEFdTR0tX5XsFT4FTn5iBWUs600NEtTKVRdlQhR5wjyKHLUVXXRkeogfAvvIFcKiInR4wcNbR1hSJLhSMEwt/FUpTRA9Vv6lj8C48r8iffAgqBZpMjVqCprfUNXVaOJFeQi82jEKkqZMowPho6aH1D7ZRJRORKFGgKNCQk5OSKfxiSFEKWmto6Siqa8iRWqbcgUCaF/9dSUtwKB04UyMQiRAIVURhDHa0i6It5fRUpaWqaaBVB/ZVKJIgECqtA3VPXQkvrD3rir7Jtwft8CygEemxujkRJG9TQUv8jZP5lfmXnIlXaRqAV/iuz6++/xbe0UaEuiyRXhFgiRa6mjpZA0UWO6At1reAjhBwLTWG8hHf5mWcLFGKBhidQTP8BarZAD5QINElV1DQKnK8LdDOBdizQ6L7E4/MpeML7/UzflZQ5gYIp0OE01FFIxcq5JJXlUTWF+VaYGp9HjZQrKbLCWv7ePnl0RpmSIlqYlvkztvxXrhFyHvKotco5+BfUZLlMoqRzo6aJllAN7nf7RRbIyz0Ri2Woa2l/twf8qw9R0nGF8gcKdbS1C+9PAqValCtGoaGFjoYqgi/KEcvQ0NEtpIEh3EMqEu6hhq62BjJxLtki6Q/rJAm0Ti1tQYYib49U7gO5UhSqGmjraX8vdijso7k5iKQCDV3Ya7/fR5V9zc5BolBFQ0sbLSXVt3AT5Qj7dd561NDSQfsfTM4tAChkJMdeZOl8f07eTwKMqdNtICPGDqSW6ZcCKDk8urgdv4B1RL3PQl2zHB3GjmFYjxaU0cmvtSBL486JzYQs3cOjD1kYW9Slt7cH/RvaY/A36gVkv79ARPAG9p1/xCepMfV7DWLoiD5ULyYYXvB0CqIPreTAYxP6jnPGSl+Qiv717VtA8e7kEmZs/8jAmRNoUs4MrS8Plb0jcv58doobETLRGYvsu8zxWcwby4HMH9sVa3O9/IGWEH0khOm703DxGE2VtL14Bu7hdVJGfufzEri+NK3itoycGYBznXJof77L7g1b2HHoBu8z1HFs2ZUBrgNpZFsMvbwykqTEnGbjyq0cuf6MTHkxmvQfzKA+7XAsYZi3GGTpRF09wLqwXVx7noBmscq0G+FK/7a1lEJsAn88/fV9toRvYN/l23zMlmNYtgl9R/bFuUkliulp/SMJdd8Cik8vL7BqYQSvzRoxfFRPatiYfS3UlBx1hBX+B5BX7cjgAa2xK/ELSrz9xNT5FlDIRC/YtXAZmw9fJcGqIRPGjKCudhRhEZFceJRQ2LHo6WNXpwU9+/anRTU7zP5KnUeayskta7n83oC2PXrT0EHQcvhVTUZC9HmOHrqGVvlmtO3YiGL5KULZsVfZtG4VW44/Ilua9zwVTV3qO4/Ebdggqhb7qz6IeH39MJEHLqFZrTNDuzcl5dIGVq8M59Lr4jRyHsTosc5ULCA/L/38nuvHIjl1JZayTfvTvkM9Sv1RJYic1DfcOnqE409zcWzfjT6NbYXCgD9ucilZCalkZkswKFNSqUPzt5s8k4fnDrLn0CMqdHOlXzObP5n3Il7dOsWuPRcxaDQEt06V/hEa6N9+h/+GHygUSLIy+RibhIZFSYxN9QvXRMn9RMyV/azZeo9mU2bT2d70l7xVzscEzm1cyP4P9Zg9ZwCWXzCgXETq64v4zV2PqI03y3rb8Or8OrzCzlBzsB/Tezjm7zNycj694UBYIFtSarJualvuRs5i2qb7RQIKVXUtytbrzJx506lskEvCk4OsDNrG6QdxoFuO9m5uDOzVBlulKxM+CtN4eHYrIUF7uJ+ajUmpWvSa6E6/5pUxygckkowYTuzYyKrVJ4lXaGJTvT0DJ4+hc4W8ysFyWTavLx1loX8E9xKTUVE1o1z9Pkye6kzd0qb/yH75FVDI0y4w3nUip9+Y41TFAu3sNO48jMG6x0I2ze+GsZoqyQ/DGegSwkfDCjiUMUKa+IprsXKGzQllRs+qCLVSYk6tYMyUJWSZVKeCpR6pL5/wWFYWv+BQetSy+LkiWBmx+E8exKbrEuwqVsBQmsbtRy9x6D2V5VP6YkEMe/fcITr6Bq8TTXFoYIGZdVv6NrFGR9BB/4WtaPnyVCavDqBTxcJqo0HDXVgh6sjRpS5YZ15iuJs7x16UwD0wHI8u1TBVUuVE3N00jf7hicxY7ENr3Xss3XyahA/ZqCiyeKKslGlDjcrllNVHtUytcHYZR1NrVfYsncjKQ88xLl2eYlq5PI1+gUnDAfh6u1C9rDmS97dZPNub41FSSpUpg05OMg/ffqbpkEl4D25PWXM9Yq9uZ97CZcRkmFCmtBk5Sa95lmPKSK/ZDG5TA/2MB6xa7MvO+58oVqIkRhpSkqJjSNS1YthsH/o3roL5VxT16wz9LaCQ5iRyelMQAetvYtPPk8mD2lLBVBtZ6n3CfH04+taMfmPG0bWRI0Zav3bMf/RW3xe2ekTomBlsuhCLWbs+TB7Ri9Lxh5gZsoM4SXEqWJkrhaCErH5xZhrRL+IxrtKZKZNcaFPd6k+rjSokCexa6suR18b0HelO++qlfo2xJTnEPr7I+hWhHHmYScdRUxjdvx0ltfNuH39jO4FLw7gcr4lNOQs0BXCroU21Fs5069Qe2zyxzB+2Ty8vs2bpItZcSKX9qCl4jeiKJOoouzavZufxJMo278tUH6EOxR+FwSUfX3Nk/WL8w3YiqTGMydOm0ad6PnKRZRN9eTtB/gGcS6+Em/cs5Vr6M0Ah+RDLuW37uJ2sR4fxA3Ey+xcApyKHl3cvce7qS8o07kobJ4s/eetcnpzdwcrVhzDp4M3swXUKld7+NQP3/+ddlNoWt86xee057Ed70qu2VSFAkScOlqc22nXFWoZWy1Mb/XebUm3UfzRrkluxdl1htdGEp4cZN3QROX2Xc2hMJaL2+9Jp/Gq0nAazLHQx7SvoK6tGC8qh62Z6siShGVfWuBB3dg3BB6LQUFchO/0dd649wrBSI5ysjVDIVShdrRkurgMolnKd6R4jOR9fgkoVy6LyMY4H77JoP24hvi4t0JLk8uLSZiZMXUiKblUcyhjy8W0MzySlmOEfzJCGZZGK0jm9dhbTQo5iZlcPK0MJr6OjSbNqwcawQKoXV5BwJ5JJE/yJ0XOgioUB8qyPPL/zFLWmPVkatJA6xj8VKv1bpv4KKJ5sGkWPxTF4LAmmQ2UTVOUijvn1Yt4dW7Yc2E6zkjns8mjNvCe1WeI3HscS2ig+v2TxmJ48cJzHjiA3LBXJhI1szYrU5vgt8KCauTZCpGHexDm8bhDACd8uGGl9KeGiIOGuoOUBbXt1LKTlkXB8Jl0mHKDuBD/GtqqMnmo2FzdNZ85BOTPC1tC/ShanV+8g8shOLiSWpGn9+jQZ0I/B9cuh+4vDjUUDihQmrw4sElCEijpwbKkr1pkXGTFyLjfeJqNfuSf+gdNpZFscLdU8QNEvPJHpi3xwrmFGZkZWXnU3aQprvMbzsGQfvF3aYGWmg4qaJkamZojur2XUlAi0W41iTLdmSnGoh8eC8dn8nA6eixjdsSoJuz0ZH/GMBkPG06dJZYxVkjm4cgEbX5Rl2kxvOjhqsn+hGyufmNDfzY0WjpaQeocViwO5X7wfy7wHoB+1lYl+h6ja14VeLWv+P/bOOq6qbWv/X7q7G1Gxu7u7O7BFRDFQDOxWFFEEFRXFFlvs7s6jolh0dzfsvX+ftcHmeLz3es5739/r/Ot4WHuuucYca85njTnG86CnLEtGyEXWLdtFTitnFo3vTlXjf2OB/gu3/D6HQkxO8mv2uC1l//NihrosZEhTA67vXo33qRjajHJidK/mmGko/S1Iu6zhls2UuYI7WTYMcx5Dp3pmRFz0ZtWx51Rsb8fAVrXRKMU64oIsnp70w+9GOE2HTcahTyv0f1A4JACKw+tWcC5Mm0Hjnej6CwBFbnIMt08HsCfgEu9jI8lTNqTXaGcmD+1SCigKCDy5nXUHnmDZuh9jutcqsa2MDCrq9P+DMQAAIABJREFUWmhqaPyQY0OcGc6Ffb5sPxDAW7EhHYdOYubYvhiQRdK7W+zdfIAPKrVxmDeZRoZfAIr0UE5t82b7wTMkGzak25AJTB/ZHEGMvShLkMrehu/2Y0RoNWKwwxQm9637Q0CRF/eCwxu3civZFPtlLjT54l4/vzoKx7Y5ZOcWoqCqiYbKj6IcpYBi6ym0u81m0W9A8dNmFuenE3TFn9Ue52i2bPOfqI1uZ+n6O78cUJxYPYHtSWUDikmjVpH/EVCcdKPftP1gqE/DfrPxmDcEQ7nPgGJtbCvu7puFriiV5Mx8ZCTFJAXfYYXrBso5eDK1i7U06Kygoo6mCrzaO4VRmyMZscKdIbWMKcyM4Pim+ewMqcWWHetoop3Egdndcf9Ql2Vus2hooEBm9H08Fi/nVaXZXFw/FKWIm8wcP56XthNZP6M/RrICI6s/sxfspZxLADuHmXJ2iQPTL4pYv2MNdfUUERdl8/7qRlxWPmHgjlPMa2v00/P0sxeWAgoJKR8e8SxWhQYNq6Iizicu5Q92DZ/EKaWe7D65mOoqIkIf3SZGoSINqxtTlJdLeNBxVgxwA4c1+Lj2QC3lHvbdx6I0Zhse9i3RVJRFUpRJwOIhuNyvwbmAJdhqftwAxLw6PIM5RxVY6L2YuoYf1UaLubqsL5OuWuF3YBkNTbSRk5GQ8vYEY+xWUmnaNhb1r0rK88O4L9pJYBZYdRjJgsn9sBEUFn9xJca/DyhuMmb8BhQaVyH88GMqjpvHXMeOWGrL8kcpoJizahkDmn4pXx7F2tEjeGw+mlXOfbExEpCw0MQ89ZvOtAPpOK2cR/d6FVCTg+zYO8xxXERBsynMG9uMu6vGsje5PnPnONC4krFURjr42hamrb5B+ylzGVJXxIZp80isMZzp9r2pZKyBTHE2VzfNYtkVRWYtn0Zj/ULeRWRjWqE8ZvoaUh0GceFrVg2fyQOzgSx17kcdy6+V+37W2X50XZlJmZIiUl6dYtFMb8I1m9OpBtw48wLj3nY4julOVUP1r6hwf8U4ftTHn2l5PCzV8mhdVZvAAA/WnHpLvX4TGN1ZkC8v7VEiJvLaNhbuuIRJBwcmD25K1KWD3I1SplmnrjSsqE9xZhgXjp8hWq4c7TpW5/medZwN0SwFFEZkRgRy7uQxTt54RkquJnXbdqPv4I7UsjRASZRH4NXjXH6VQZU23Wlbx/IbATcx8YEPOLH3AjHqxpQ3TuL63SBMW4zEeVjXEkAhSeX6Hm/8rqXRYpADg5uZSWnAVVRUpHTIP2z5qdw/txf/ax9Q11AhMT4C1ToDmT2uP2YqSLU8dq3fwrPiStjPm/INoAghYIsPpx8EUayjj75VU0ZPdqSOHqS9v8tR/6NcexGBSNOIhl3tmTqgHsUZEdy9cYjDp64TGgm6JtXoOGgAnZtZEHxmG2tWb+Fphha1e43Acaw9PW0VeP/4Kv7HT3E/KBU98xp0GNifbu3rYawoJi7oPpdu3CMmX46CD69JVG1Au4Z6JETFYNlqAD3qG5MY+YRTAbs4eyOY7BwtbGq1oP+ovjSvZkioEKH4AaDIT4vl4YWD7D5+nqhCXawr21JBSw4Z7Rr0HdIV2dj7XDh3myx5FeJevEHepjfTpnRCKfE5l48f5uLNVyTIqWLbsAP9+w+mWRU98pLCuH3xNM+zrRg+ugdmypAS/pJLAWdINO3I6A5GvDgfwM0QBeo00+b2nuO8TJGhacteDBw+QKpv8m1Lj3nL9fNHiNRshA0v2HfgIWrmLRjtOIRq+okE7PXj6PUPWFRvzTD7sTQrJ0fY8xscP/eamgPs6VRVn8KsRJ7fOMX517IMcBhOBcV03l47zIHd53ieUYSeSQW6DxxLt07VyH5/jXUzprP7QQrGDdrTd8IclvSt+WlYnyIU667T0nUCKvdPcfxpLLZVmzFozDia1TAsCe8X5BDz4jq7/A9zIzABDe1KdBg2hH49mmBcRgBTiFD8PKBwZ/Squ9TvXIlXp2Ox893M+Gbm5JZGKKSA4sAczL9SGz2Pi4MbFWbuYWkf24+LAHnp0RyYNZgtWX046ueMlYo8oqJs3lzditO8cwz22svwKvHM6T2UlO4b8HXpKF3ri3KSuLBxOrPP6eB/2h3dFzsZNWUf3Tz2MKVteeQlYnLTPuDtOJgjGtO4vm0ImYFPCMrXpVmDSqhK2eSLSYs4Rr8my6m56RSefcv98iXz85GHQLoikUMx6wMb5o1h5/1kUnJrMHXlKpz6VkBFltIkLnnyA/2ZusCTRyEpSPQG4LZhJp1r65ITvJceHTfTZdtBZrSz+pRAE7TXnv6LMtjweA9t9VRKQ70SXh5xZvY+MUu2r6Ge/kdAkYTfsH6sYQi3t4zBQL3E6UXpb3Ht04vEThvwnNKOgpdXORusSgPdN5yPNGbg0M5YfQIrv85O/wmgGD1uA+XGz6ZS8DE2P5QwZeF8etQ14Z2/qzRC8T2g+DP58kzOLnRicVAFNrlNoH6FkpdIkh+Ht+MQHujascClMSedZ/LAZhgrnXtT1aQEjGS9O8PMSRswHDmHYfUzWDF1F2YDpuE0sBlmmiVfXcGnFuHs/p6+bgvp19gWVQnIycmWgjMxyU8PMnnuTnS6TWfGsLbY6P5qrVGkHBQ5OTloamqipPRF/0VZPD7uzYoNR3gZlUn1zuNwcR5FkypGKP5MhuCvcwV+Sm301DqW7XuIcYPe9GpWFXU5QVdBlrykCM7t28OdaDXsZs9geNdyXPdazvEgVfoJ9MsNLChIfomv+ybeKdRkxLhOhB/x4mxwCaBorfcBX8+N7L3+jmJlVVSRUCBSoGr7gUwaO4RG5VR5fuEg556nU71jHzrVL/cNoJBQmJNFanImEhVVst+cwGvfFdQaDf8MKHLCObzVHb8LwcgoGiBKCydbVY+GbfoyZEBX6lQ0oOygShHRz87hu/ccuRZt6FOtiFMnz5JTuT+upYAi90dqo+khBPhs4uK7VLRNdSnM1qCd/XR61VTh1cUDHD57h3R5DfKzcqnYwYFJbbW5dnArm/0vEi9WQ0NRHlFONgrm9eg7yo4KaVdZu2ozTzI0qdVrFE72AyifdIV1Xvt4mihCU1UZucJC5Awq0n30JKb0bUj8gxN4eXpwNUyCgYoRldp1palFDveuBVLNbg6DrBLZt9GNvQ+iUdbURlFUJFX8tWzUi4nTHdAPP43P1pNlRiiK0sO5cWQbqzYHECOjjJaSErmZaaTmyVKn61iWzR+Pwjt/3Ba6E5hvjJGmCXW7D2dUWyWOe3lw8FYsqrrqyEkKyMuRwaR2L5yXTaGRTDiHtm3ianpVlq2ejK06xLy8zg7PzURVGM2q0TZc27oK90Nv0KsoR1ayPMUF2RTmKVKlxzhmzXGg9jdh78QPD9i1dibHosyxUYsnJCyXgoJijKvVopqJGu9fPCcuLY2MAhnq9p/NGueupD/0x33TLdq4emDf3Jy8lAiuHPDC9448rutmYxByltWL3XiRrYOqMhTm5yKjZkZP54UMKJfChqkT2P0kHcPaLekzeQlrBtb+ClAEXtjOzHl+FFibICvoIGUXUpieg1qF9kzzdKOPlYioJ0eY4+rNw0w5dIX5FYmRKGnRYux8lo9o/p3f/quAYtz6t0xY40zkjpVcVevKdvdJGBe8x2/+VMoGFGeZ5rCaijP2sKxvpdLnEZGV/II1g8Zzu+lSri7rIt0LBT2O5KCLTBs9FyvXAzi3CGds8yVUcj+Ee+/yJZ+Uhbm8ObmU0QteseDmHqzvejB0SSirj+2ga4WSiHFxfgYXlnTD9XZbAu4sxUbY05FDsVRbRlycyR9759F/zXsW+R9lVO1f/2H4fZVHWihn92/g6gdZIp9cIspsMBs8XWhmqvrpbCv99Rn8T93gZUgiQU8D0e01l01z+qIesYuO7fzot/sQzq3MPgGKD4fG08clnrWv91Mn/hU3b7wkSw6iHh3k6EMZeo4cjLUaaBhVp2NXa47Z9Wed+hjuew9DpxRQSDJDmd+nI+GtPfFy6YSGKJcssQo6ijkkZoG2nhZKX4lw/Zqd5D8BFKPs12M9xROHmulsWbKQQEM71rgOIO/SCob6xP0LgCKNgNlOLAuvzvZV46htY1AyFwVJ+Ezsz03Vwcyf1YgTk+bwrPpoVk3uQWVjNakBcoIvMNvRHa3hrgyrn8byqf7Y2E1nQv8mmApKVkD4+aVMWRpI9zWLGdi8Gp/XGDEJb67gudyDxwpNmTltLK2rm6H0TbXNr7D0j8pGMyOvs2ziTHbdzWHgglXMHNUZa93SQ/9fcfOf7ONnAMWbcxuZvWobD8ML0FZXliohCjkUYkkRcnrWdO05hjGDu1DZophT65dy9LUaA8ZPpGdDCwqSXrB1jRdvFGozenwXIo54lwKKkWgGHWDDsadYtBpA/zZ10VEQE/HoAgF3Q6THKyN6NEWtMJWM3GJUNHXQ+mHyrJio27tZs+ciao1GfAIUhbHP8Fu/FK8LH9CpWJeqxirkJ0QSEplFuS6jmTphGA0FnfNvWnb0HxzZuZN7Scb0HT2WGoW38N51lNwqA/4FQLGRiyEy1GlsTcKbYDQbj2RiN12u7N7NlfdiKttqEvT4HZadHXFsrc3D89cJSlCmYsOqqOWH8ej8AQLuplJ36HSmdVXjpNcW7qSYMtTVmZqyUZzc68P1BB0GjhhOA3MtitMiuX3hNI8zDBnsNJ2KCWdYv2ItQbrtmDjVngYWCkTcD2DP4SfUGOHKAKssrp66T5ZRNWpU1SUj+C7nThzhj+SKjF++gIbFD/DZehyt74488gh9eBav1T4EadVngv0gbNVEfLh7lq27T5BXZygeS5yQf7mHlfO9KWg+HuexPbBWFRNyyx/vbZex6DmRUd1ro1KUQdDts+w++gSL7s4sHGjEya1eXEqrxqq1ztiqCYDiGts8vImsaI/7WBsub57HysORtBo+haFdG6GaH8PtE/vxf5DN0LmrmdSlZMP62BLf3Wbr4nEcTGrBlGkONDYq5MVFfzZtv4JBD0fGD22HYUE4pw9t53KsLe7rp6Hx7jhuXtdpN2cDDi0EQBHO5X2ebLkjh+vayYhubsF1yW0aTJzGqHblkeQn8ezFS7Boz5Bm+vxxdAtrt96mwfRVjO5YGwvdz0eqotxUAi9sZfrcLcg1dWb6lPZYyuQTcu8s3tvPYzbQjQ2jLTixbjbeL1SYOsuZ+sZqiHJSCbxyGP8XxUxY7knX8l8fWf1LgCLAHXvPD8w6sI2qH3Ywwy0A2zFeLOumzs75k3EvM0JRFqAoJivpGSv6TORhx9VcX9iuxOziIlLeXmXGiGkYuPjj0iaUUY3dqL35KKu6WpZekkvw2ZWMcHnMzLv7KH/LnSHL4/E+tY321iXvZHF+NtfcujD9bDOOPHbjC9F0xKIsnp/ewsyFuzEc5sGmKR3RVf4bcyg+OpRQFpmVkUJ2gQyZbw5iP3YbdWb64TGh8acvQgEJCdLkefkFBAYsZdq6OOaf8KObxjk6t/aj355DOLc0/QQogg+Np7dLAp5vd6F9eh1T5u8lurCYwtx0MnJBU1cHRVkJJjWH4HPQmWdjB+ChPpb7XnZfAYoFfToS1no9ni6d0VdV+FuqDb5dLL8FFMEHpzFsYzIuW79PyvQca8/GvK6cWy/kUNxEABSWTuuY3tWWuEvrcfG4Qpe5a6mb4I/jjnhcvzvy+LMIxc8AioYcnzSXP6qPYdXk7p8ARW7wBWY5rkFz+ByG109j2VR/ytu5MKF/40+AIuLCUiYveUm3NUsY9BFQSIp4f2M3a3cEECOyZYjDWLo1qYTOn0lY/+Sm/GeX/TmgSOKytxdb9lzjTWYcyjX7ssB1Ml3rWqH069+HHz7FzwCK16c9WbjtIiLj+jSvbgFxz7l29grvZSoxcPIkRvZoQTl9IRchlYD1SzkWpEZ/hxJAUZj0gi3u3rxRqMVoh1JAEaLNoLFdSLqwjQ2HXqBnW41KplpSkrX8lHD++JBF3Z72uIzvTyWDn40clQ0oirPief3sPm9SxJiWr4a1nhrijAjO7dnO2SAl+o8fRRW1SM5fuE9CRh6qxhVp2aIBcmG3Of84gTq9xzKoTU1yA4+x3u/fARQKdLRrQ+qDK4SI6zC0iyF3j58kxqAZ7a3TOXbiGVZdJ+Dcx5bwZ3c4deIyz8MTSE+JIzLkLTEiSwZMWcCSIaZc2OjDzRRLHJZPxSDkIu4r1nEzRpnGDaqgIeh+i/OJCXlPnNiSYS4L6az6nE1ee8mvO4Yls3pjIJvJw9O78D3wkBoj5jOhpTqPLp/nyKmHxOVkkRwVTHB4DGo2HXFZPp+mPCkbUBQkcvukLx7+z6k/ejkuXSuiIishJeQ+u303cT29FouWOiEfeACvtQFY2i1lzvAGFCW84sQOb04E6jF5qSutbDWRFReT+v4++zdt4lpBfVxd2xO4w4sLadVZ6T61FFBcx3edFxECoBhjwxWflex6qsV0n1W0NddGVpxH8L1z+GzwpaC5MyundebLPNuEN3fwW+HCQ80xeKy1p5x8Js8vHWC123GqTlzLzEF1kM2I4PIBb7ZcK2DqmtkYBJ9ktdd12s7xlAIKwS8v7xcAhTxz181C+9VhZjq7807JhrpVzNDXtaZSvSZ06t4SW61igi7vZ6XHWVou92VCc/Ov3sGSI4/tLHQ/R+tl23FqVwFlxKRFvOTQ2vkcSW/FmkVN8HeezL4wTXq0qYWyrFCVWUR6fAjPwySMWrmdGUIewxftI6DYkdSB7X7TKP+pyiOPT0mZgzZw2qk6QQKgWP+BWUf86awSyrH1c9j4RJ3l610J2eLMqqiyjjz+AlB0WsP1BW2/AxT6LgeY0SaMUY1XU3vzke8AxUiXR8y4s5/yt90ZsiIe75N/BSgkiLITuLhnOcsOBFKpqR3TZw2n5hdJ0f/h0v3Vz0sjFCJyUtPJkahiICQCll4izgxlZqtGvO/oy/6VPSE5lWI1bXTVP5+npjzazaCeK2l14DxTq7xnWPvZVF9ygMV9qqAoLROVcM9rGCN3q3Pwuic2GWG8eB1JoayID5d98Lspi93USVTVFaGkaUG9RjZcndmbuSEtObvfhXIaJeMpSHyAU28HlIZvYtXoJmj+TRvbXwGKsEPTGewVx7St6+hV1UR6FCRtRe9xH2vPGc3R7Fo4APP0q6WAYi3Te9RBq/gdPk5TOBVfg/ZNktlxWcQCt2X0/yqH4s8ARSE3109mzlU1lnvMoEUlU2kWuSj7HcvtJxBma898p2Zcnj+B80rdWD7LjhqW2lK7Jf1xkGmuB6g+bg529fJZM20tCu0m4mzXDkvpV76EP/bNYdaeFMatmE33+hVQKUri6vY1bDh6Hyp3wXF4P5rXLi9NTPs7SnMF85UNKCQE3/Rm0cr9yNQYSedKSRw7chrlRo7MGT+Imua/PmT3o5frZwDFq5MerDr+iupdxzKsQ13UizJ4de0w23cGkF+5D86TR9Okoi5IkjnhsZRjQoTCcSI9GwmA4iVb3Lx5o1iT0Y4fAYUOg8a0J/70Vjy2XyFdXhnB9QVpcYGvQSQxpu3Q8Uxz6k9N05+1R1mAQkJxQS6ZGbmI5JXR1FKTRvwQFfLkyDq2Hn5F9Z4DMBY9xnvjEcLiM9Gs2Ji+netT9O4ah64Ho2VsiYGGAgWZSUTFJlCsbE1Xu/E4OgyiCkHsWreFZ6JKjCsrh8JHiFAo0MvJjuIHx7j0KpuKFQ1JCU3Bqtsw6onu4nvoGeW7TWBMQxmO+Xjif/0NqtWbUqdyVTSS33D9dgjl+4xj/jALLnj7cDNVABRT0Ht/FveFqwh4loimriqSUnlriUQePcsmjJrkTDuTUHZuO4K4sQNLndqhJv4IKB5RY8QMumi9xcdtI/ezVbGt35LqxjqkvL7Pk/eyDF42n2Y8LhtQ5MZy9ehm1p+NoPu0jTg21pK6WI6QOLprM2dDy+G6zAn51wfZtPECtiOXMbN3VTKjn3F4+yYuxVVj3rJp1DIsWZXzY15y0teTA5FWOLv2ImTXBs4nV2fVOmds1WWkeQTb1noRWWmsNEJx1WcN/kEWLNi7jHrSxUpM3Kub+Hm486GiPWvm9uXLugkBUOxcNY9Xhk6sXzsQvaJ0Xl4/hIfnOepPXc/UTjYUpAuJsj74XM7GyU0AFAG4rb9Ou3meOLS0kB55XN7jyZbbsszbtJQ6ymk8uXuJY0eOcvZGIAVFcqgZWdOgxxgWTetB/r0DrHA/80NAsXT9LXpt2vmpyiM/KYxLm11Z+7ICy5e059jkCfg9y8BYX0Wa4C5EBWVk5FHRqMxw16W4DKnz1bFHblIkJ9c44pPQhu07ZmL7MYAhziMu6CTODh5ojd/LloFGXwCKg/QxLyQqMICFI1eR2WAQVZRuczCmJTf3f5tDURagEJOTGsIWx2EEGEzhwiY7hDiyRFRAzLOjODl602zVfhzqxjClkxOak/ewcVQd6byLCnJ4vN+V8ZvS2XR5C0aPNzF89g2m7t3HkBolpbRFeckcmN6ddfGDuXTCGSOJmLzEl/jMmYrfa0XaD5+Mc79WmJto/W1lzaWAIp+rq1xwu6vCMp9lNLIQNvFi4h5vZ2iHpZjO9mfn7CpsHzKamxYDWLtoOOYaAoFGOne3zGTUjNdMvnwMx5pZLOndmpsV57NztQMVNOQRpb1gxVg7dipN4IGfA0ZKsoikL7SYQP/puB6EhdvWUN9QETkZQXRJhjd+I+m9NoqpvjsY29gaJbliXp5YiN38uwxdu5ep7a1Q/RvJOb7cVL6NUGQ99qbTuN3UGb+UOXbtMNMs4WVIeXSQyVMWozDUG7dRrdCPP/8VoDBQFZH04CgT53ryJjGRaLl6eG1cQ7/GXyZl/hmgkBB5ZjFjVtygydTlTO7RGEM1WcJu+zBx7hEqDlvG7MENeb91GAuuKDNm/nwGNBF4PzK46jufOUcyGT9vAf1ry7J79ljOi1szY9ZEWlQ0QibzLb4LpuOX2Ih1i8fTvLwMN/d44HsmCMOWoxjYpQW1bfRQ/aukvP8Q5pYFKFJeX8Z9xSruKTXAeeJEOlSUcMVrKd7n4mk5dgbjBjTHTPuf01j5WUDhduIt9fpOYEzXRmjJSyjIiuXWDk82HgukQr9JOI3shI12Lmc85rLjRhYdJ89keKcaZP1xnJVLd5Bs1YXp0zsTdlg48tBmkEN30i7swP9uAc369KN1dUPkZIX6/SQiY7PRsqpOw7qVpFG7n2tlRygSX99m366TpBvUY+jIXlQ2UqUwPYLzfh4ceFxEp1GT6FFLjdjYZPILi5FT0US9MJrr545x7OY7ioXXWgYKBUARn0ixUjm62jkyYfzAnwIUF4IV6Dt9Cibh59l3+DQfUrWwqtKY/pMGoPXqCFsPP6dCF3t6Gr3Dy+8EWRV64DS0A2bqIt5dOYDXtruYdndkwTBzzntv5EaKOeOXz8A45DKbvPYQqd6IEYPbYSzgLnEeaUnxJOVoULleAzTjr7PN9xg0dmDJxC8Ahf8TagwYg23GeTxPhNNqtCuDG5kilxfJuZ0+HL5RxNDlC2gm+RNAIUrjyfm9rN54HoOeziwf2x5dBRGxzy+zcYM3j5Xa4LZ0InKvD7Jx8wVsRyxjZq+q5KcEc9bPm52XMhi6ZClDmloiK8on8tklNq7ZQphBb5bNbszdjas49EafGVvdaW+QR+Dl/axyO4JCx5mst7fmis9iNt2RZfw6b4bWNkKSl8rTc/vw8D5NucGLWezYjC8PsT4DikmsXzvgM6DYUAooOtpQkBbJtcOb8bmcy+TVczD6cIKli/ZRefom5g+qQW74U/xWLuVwZDU27HClgiiBdwkidLQUyE9PIyvuHdcPb+dMuDEzt26kesRRlq05QcsVO3BqbvVNhCKVwPNbmLPSnyrT/Vhh1wAVUQHxr2+ybv4SAvVH4TWvGrtdZnNLpRNzHDuiJxQQSYrITY8lNAaqtmhHw4pf8y4UZsZxc5crkw9kM8drHcMaWkmPJ4syk3i4fyUztj5kqO8lJlUv/gpQ9LWSpSg7jvt71uHoeRyxnByiGuO4sXMmZl8lZZYFKJAmrF51H8zUK+as3+dNNxtNCnMTuLhlBi7+RazY7Uc3szg2jGrPSe0p7PKaSmV1yEsOxGumI1sz+3DTfxoab08wbowrSiO2sXlKBzSEypJ3p3Ae4UJ0Nz+uLWpFUfIzfBfMJiDBkr7jZtCniQ1mOp+rq35urfjXrioFFMIC44GdnScyje3o2doaldwEHhzdz11RM9bv86KHrQp3tozEfskr6g0ZTBNbHcTxrzm59zTFLaex1XMilTXhhs8Uxq+/SYMew2haXpP4V1fYfSWcESv2Mr9fDZRLE0QEpPxinxPOB+RZ4beGRkYfkzKhIOwqDqMceKHYhD6dGqMvjuf0kYMklhuE7/o51Db957L7vwUU4uzXuNnZsTNSjaadO1LbXA+FgmQCL57iTooVs7086NegHIphp74BFHJQmMG17VOZtOIEH7TasmOrB/0al5PyTUhb8Z8BCiiKf8rSGc6ci9KhVesWlNPM597FE7yRr8fipfPoVNuK7BeHmTrbjVj12rRqUhut/HBOn72CasNRLJsxiloW6jw57MZc79NoVG5F0+oW5EU+4sSNDzQbtYjZw9sjen2URXNW8EK+Cq1bNaGcNFlWglgkg45pTVq1rYu5vvoPORT+NRcsufpbQCFKD+WQ51J235fQdeIkhnasg4GKDFkhD/ByW8XZeGNGTpvOwOZV0Pkrkqh/Z0Bl/OZfAhR9JjCmmwAohI7E5EQLxxkrOROmyqBJLgxpU5WIgBUs3HiSLNOmtKlnRdq7+1y7H0KFLuOZNakjYZ9yKOyxTjjL2o0BxKrY0riBLfqqEhJDnhGYLEeLfg6M6FKPwvDnvInOw8S2OrYWuj/4CikbUOQnv+aIjwe7zoVjUq8F9Stpk/W1hFnSAAAgAElEQVT+D+4+DsOozTCmTh5BXdOvFyRxQTYpKcmkZuZLRb8EQJH0+hK7Ay5SYN2FyWMGU81MF5nEp38ZobgQLE8/l1nU5RV7PFez/Wo2zUZNZ7FLe1Jv7C0BFF3H0dcykrUeW3mcY0n3DrVQzYrm4Y0r3H4rR1fHOSwbb8stH3e2XY+h3rBpDKynx4dzO9l5KRrL+s2oWV4LmZxE3gYFkqnbkFFOE7GJPY+P73FkvgMUj6lhN56q2ZdY4nEF7Yad6VBZg+QPf3D54g3SNRszdclCWqq8ZMvWY2XkUIhIfn+XXRtWs+ePAhp3aE8VTfjw5Bbn77+nXBcH1i6agOw3gEJSmM7La/tZ7baNcLVGdO9QAw1RGu8e3uFRpCydXFYzr506N/euYZ7fPcxbDaSlhZigR7d5+i6dWkOW4jHKiis+c5m/5zlWLTrRvk4NFHKieHbzPpEaDZjpNp+elXS/Ojr+lwGF+2Iqpl5j5axZPFBoy+AOVcmNC+TWlfvklu+Hl8dE5J8ewd33JkZ1WlDFTJGi9BieX79EoGxj1m5djnnoYVznupPX1JEJY4bRo6bxp7fvYw7FtDleZFZpTpemzTBSyJVWHN54A/3XeDGtoRI3/FawaPcbqrQVkofVkc3PJuLNPYIKKzNtyVI6leYZfOxYUpRN2P1DuDjO571la3p3bIypkpis6LfcuXST7MrD2bx1DpXlMr4BFHIgLiY9+g82zh/J8uMJGPWYy/3t0zH9CUAhKcoj5sEBRk9aTL5tb3o1r4wk+Q3HT15Ct+MsfJePxZAs7u9diKP7Wap1Gk4LWy2S3tyWRgF7um5j5YgG0qNIv0UOrL6SSe/BQ7DVyCfwzmlOf1DFze8IQ2rIcNXbhamr/DHoMoUe9UxRlishhBSLVKlQvy0dmlqR/vIiFz6o0blPKwz/opDrZ5bRT0mZovwEbh/ZwxqfXbyIykSmWIXyjdphN8mJIa2roSEvQ17qG45s3Iz3kXPEpxciI9GjXq+BjJ8wmrbVjFGUkSEn4QUHfRewY+dTogtBWb0CrRycmDWyB+V1VL6i3E35cIt772Vo0KYJRqpf0P8W5/H6xibWrfPj9qts8opUKN+yMyOdpzCwvrAB/12B9+9N9p2Wh6SQsHsBbNnmz9l7r8nIz0NGIoNZufr0dXTErnsLjDVVEH04yWgHTywnuDOtRx0MpHU7kBt1l1XOjmwOtcXTy10KKD5FW4ojWDtmVEnZ6NQvy0alMS/Cnx7CZ6MPF+7FkJariGmtZvSf6IRdm9oYqysiyU/j4cWNbPM5zN136eQVaVO1Yw/sHUfTqZYNmkpy5Ka85dxBD3btus6b+Dxk1axoMGA4k0b1o56lAte3LWKm2z5CsmTRUiuliRXcUCKLdZ3hLFk9kRbVzL6pIPgZV/vxNV8BCrli7vkvwf3ASyp1nYj94PbYGKiWHLeI8gl7fIyVKzaTWq4n06eMplEFw78thPflqH8KUJzyYE3Ae+r2cWR0l4algEJa10boI3/WrtxDsmknJk8fQy2VaA5t9GLH8ZukaVnSvHVNiqKjUK7QAftxnYg4Wlrl4TCRtuWLeHD2KHv8T3L3TQTZ+SJ0LarRppcdw/p3pralKs+Ob+bQw2Tq9RlDvxaVvvry/Nr6YqLu7GHtnkuoSqs8umAkpF8I5eKB9zi+dzf7Lj8gMjkfRTUr6nXsyzj7vrSsYYHKTyTkxj85gufO4+RV7s+scf2k5Yw/qvIoTg8lYMtGBEDRd/os2uolcXTjCjbfSKPjlOXM7l+Btxf2sO3Qc2y6OTKxjR43D+/Aa8dhXsZno2xoipWVAXJJWRg3HoLrggFk3t7BijVbCVZsifM0F3pZpXPy4B78L9wlOCELZXVdKtRtw4Ahw+jZviZZTwLYsv0ENB7HkgklEYpHp3fj6/+IGsNnM6hcBvs3rsfvwm3SJKpoW1pjrqWCXJaIJqPn09Uihr3bjqHZZRYLRjT4ithKVJBF6LPr7N66laO3npElo422iRG6aoroW7dj3pKJyAcdYtPmi9gOX8qMXlWQkYjITgzjzun97DhwmgfB8cjIaWNi3Zje/frSb0hbbLUkRL68ia/7Og5efYNmjVo0bmhLfvBbZOpNxG2kNVe3rMT7UipVWpnw+vxt4vIUqFS/I6PtHejUogra36ylCW/ustttPq+MJuKx5nOEYp3XBepP9WBKh9Ijj8M++FzKYZL7CppqJHNljzfu3seIVdOlXsuWWMkl8SrJgoXr5lE+9yWHfTex/8QTovPykVdXx7JRO4YOsseubVXyYu7iuWwG22/K0M5+BX5zO/ERtoryUgg878eCVQEYd29E4u1r/BGSgaF1LQaOdMJuQGtMlSWkRr7g1C4/9py7wbu4LBSVVLGq3YZ+g0czuEdDDIXEii+bcByQHsPtYzvx2XOOJ6GxICNBVVmbGs27SsuWO9Qph3x+GkEn1+Lg+YGZh/zpY1WyjosKMnl3dTuTZ7jxvsZsHvlNx+QrQHEOl/GrqTBjN0v7fKzykC6kFGbHcydgNZ6bAngRJUZG3oC6vQfg4DSODrZ6UtmGrITXHPdbjO+uh0TkyaOqYUPrseOYNqoPVfRUpJUh8W8vss17BUdPRZEhJ/hSPbpNmYZLj8ao5L5msf0w1ga8Qs3ADE1FiZTGX/h0lZHVpr29G15zOxLia8/Ec8ZsOrSGOr+AXuirKo+CrBSC3wURlZKLDEoYWNlgU84M7U9MhGKyEqN58z6Y1OwiZOU0saxSAStjfVTkS7+yJUVkJAXz4U0UKXkSlNQNKVelIma6ash/wxEhLsonvwip3oTcN38T5ScTGfyW8NgcCiXKGJUrj7W1KVqKpRTf//ke9lM9lCUOJirMJj4qmvCoOLILCqRndToG5liXt0RPQwBNMkhyEwl8FY6yZSWsDTQ/a6KI8ol6/4LgdCUqVaqEkbYKnxjJJXmEvXpFhpIZttZGqH7D+ikuzCA24j3hUenkFMqja26BVTkL9D7pqQilgQlEBIcQnZhDEaqY2JTD0twIDUEPQ3hiSRHZaZGEvY8kIaMQORVdzCvYYG6og7JcMYnh73gXnkBuoejrpFcJqGpZULmaDXqav57m/CtAoSBLQthLQlMkGFtXxExf86sSUVF+GmFv35CKNtY25dDXVPnbcjv+GlCs4rGoFk5zxtGqih7ZieGEJeagaWiBmYHWV/z8wuIY9iaUNIk6lhWsMVCTIzUmgtCIaHJkVTExM0Q2L5tiBS3MzPXJS4gkKVceE3ML9DXlyc9IIToygujEdPKLJajrGGJuaY2JviZKcmLSYsOISStE28QKE70fR5Hy02IIi01BTssUK1P9TxTy4oI8UhOiCI2KJS27CHllXYwtLbE200XtJ1loCzLiiYhJQKRmTDlzI5TlhLP/R+xev4WnxZUYO/drHgpJUS4JUVEk58lgbGWNnlIxCZGhRKcXoW9li5W+ElnJsUTHZaFiYIGVoSo5yXGEhoaRkJGLrJoWunrqKObnI1Y2wLqCBTLZcYQGh5BaqI5VeVusdOVJT4ohPDJaSj4kp6SGnrElVuYm6KgrkJcWT1R0ImiZU8FSoHkvJiMxlqi4DDRMbbDQlCEpJoyQiGiyimVR1tFFV10JSU4uykblMVItJC4qAXmDcpQXkmY/OU4JQVZaUgqp6WlkZGVJ9X5EOVHcu3Sal9k1mb3UhQpy8URFJaFqWpFyhiUVWhJRMbkZSURFRhCVmIFYRgUtPTPKWZmgr6sqjRwW5+eQEB5CaFQiaOphYqKLODONIlVzrFQSOLPFnQMvDHByH4t2fCyZRfIYmFlT3soMjTLy0Apz0ogJDSZLyZLKtkYoSorJSokjPDIZTavKWOmpIKzbqfFRRKUUY1nJFl1FMZlJcYS8DyFNJIeBuQXacvkkZ8liU7kCGnKFpMVHEhIcTVp+EbJKyuiYWVLewgJdFXmKCrKICX9LSEwemqaVqFPZ+NMHgqBdlJUcQ2h4MhpmBmTHRUg/ZjX1TKhQ3gZ9rZIcO7GokKykWELDw0nIKEBOTgFtY2vKW5ujo/5ROuJbTCEiLzOFqLBIopJSKZZIUFJSx9jCGiuBsl1BTqqdlJMYzquIHMrVqoWRysd9TkxBdhLv3rwhVdGaJjWEo/nS/gW9q5xk3r0ORdW6BhWMSubzUxN0nrJiCX0fTExyIchrYlGpApamBiV8EVKpj0Iyk0MJfhtFcq4EJTUDrKtWwFxPo9Q2EiTFOSTGvOPDu2RyJHJoGphTrpINxmoKCHvFm5cviUrJK6N4QQEDq2rUrGRATvgfvEhQolaD6p85c35qZyz7ou/KRgURHpEQukTQDfpWeKqkE7FYJBWNEjLNZcss1RTCKmLEAiISxIf+Xb4AQUBF6AQZZGVl/1R05T94/r/86Z+qjUokUl4CiVR3Q0gAkv1GoKzEBkLm3LdkW4KojGC/sp5J6LPkef+khEH629K7ltF3iTMKtv+R3SSl1whXf23bj78t+fWXL0EJY+LfNQ9fH3koIhaJpIlVsjJl+6AgQPXRv341mdmfOUVZEYoNTku5EKVBx3Ej6d+2Hha6GsjKCKF/wSe+n0MhIVDwGuG9kI77ox9Jn7Xk31LbCxmXUv8SzP7Z90t8p+Qa4Xrhuo93Ef4mTPuf3fvrRU1S4iMf7/vVXAt/K+nr33r3hGf65H+QmRRJ0IOz7Nt5gQzTFkxeNImGBl8fnQh+9+WzfvdvwS5fjld6j9Ixltpa5gvbCf9d8nfBRqW2FcK9wn1KpXI+zYH0pfneHsL9Su4pzJVwScl7U2IWoc+S/wcl8/PV+D7Zs4ioZ7c4sGUPH9Rs6di+MboymQQ/ucmpG2+o3H0ycyZ3R1/+63t9NR2f3ucSX/h2bZDOu/RlKPG5kjHJkJ/wipM+azkYZMHCPUuooyx9zM++V5ajl9pNeKaP9/loh2/98GNfUv/7tB6WrGtCaL3Mv5fO4Ve2l/68xK8FW3+7X3zp1x/nqSw7lKx9oi++xL9fe8t85FL7lq7k361xn9br7/a6j3tAGXtcqT0EMbs/X8qFfbTUv36wj5a4mAxyZYogihGLBN8tsftn3yjdg79dx0um6tO1Jeu9oLn3az7Uf8uX/wWk+C1f/peY65dc8L9Rvrw47yUbJ7jiE/CY/No9mD9rKnbta6L6D+V0/BLD/92diIt5eWE7Gz3XcuqJPI0GOrBguSP19X9BfPXvHvsv6V9CVuwrLvhvZsvhu8RkFCMrJ0Fe24gabQcwbuhAWlQx+OU5ScLQc2IDOenjzsEgcxbsW0YDlX9G8+aXmO13J/8rLSAjEgknK79bWRYQEF9UVBT6+vpfszf+NtcvtYBgZwFQZGdnf2LKLPnK+u9qwpiSk5OlVNQaGhqIi1MJuvuQwA/RZGuY06B+PapZGyAcS//3jf5/ypZiksNe8uzpUyLT1bCoXIP6DSqjryxf+iX9PzWuf/C+ogLSEyN4/eI1IdEpFMrLo2EiHB/WwdZY5/Nx8S8ckhCpKM5NIzzoBaHpatRpXQ8DOZnffvkLbfy7q+8tIBMbG/t77fuBZwibnLCByMn9Rvd/5wtUXFxMUVERioqK/7W2FgBFfn6+dHzCOIXYYXFxkbQMWqDXlpeXR14IS/7DhFt/57z8ir7FomKE+RVLhCNSoTRcCAP/HzOSRIJIaofSozypHUrzmn6Fkcvqo/SeIolMyb3+j5n87zLr737/3AIyeXl5vwHFDzwkISEBHR0dFBQUyjwT/+1cv8YCwkadl5eHmppayWb9X9iE8/f09HRptEoYp7QJ59alY/1vjKr8t5jxcz5Jydn6/8n2ha8Iz//P+IuQV/FP3ev/5Kz+fugvLPA7h+Iv3OF3DsU/8778b8yh+Gcs8/suvy3w2wK/LfC/wwK/AcVvQPFf4am/AcV/xTT8HsRvC/y2wG8L/NsW+BpQCElnceHEpWYjgwr6ZuYY63xBzCoRk5EQTmSywFPxMc4rRlnHBEtT/U9cAeLCHBIio0nJK0ZJ3QBzc31U/mUyKgnZSbHEJaaRL1HG0NwcAy3lL84BJeSlx5OSLY++sR5K8r+m7OVbS34boSjMiCc6RYSe2RfcDtL4ZSEpMTGkSDSwMtFBUZRLTGwcIg0zTHVUPwmlCel6wrijU0UYGBuiWpxOeFwKhUWiMiZRgqyCMkZmlmirCVwdwm+TSIhPIbtYHm1DY4z01FD4RGRRolyXmZhAQmoGRTJqGJoaoaOh/FUplrgol5TYeJKz8pFT0cbYRB91FcUvbCsmIymZhBRhXKCoboiZsTaqKgLd+t/TvgUUhTmpxEWlIKejh4G+domuRGkTF+eTGB5HgYIa+sa6qCn9Aoq3n3isb8tGkeSTGptAcloWhUoaGBsZoC6TR3xiMtl5RV/3qKCApo4BBjraP/cuSIrJSEkiq1AWLV1dNJR/llb7Jx5E6ib5ZKZlIZFXRl1Hg49krZLCHJKTk0hKz5aWNgtNKPHT0DXEQF/gmynLTcXkZaWSkJhMVn5xqY9IUFDRQN/ACBVySEqMJzNPAU1dfQyFRMQv5lMg6cnJTCUvX+A60UP1W+E/sZiinBzScwuRVVVHV6OE7v7vbcIzpZGanoeytgF6Gj8SXpOQn5NBalom8uoGGGh/1kP6e8f4/1PvH8/BvplZsYj87DQSU3LRMDH9ZeKE4mKB3yKW1GJ1zMz0+FyYJaa4IIu46GTEWiZY6SpRkJVEVHI2miblMVT9gmFESLZNiCO5WI1yJtrkpkQTkZTzp7kqyhq6mJmbIhTbCD6fHh9LQmo2YgVNTCxM0VH78uWSIC7IJTEqhpS8IhTU9DG3MPxackIgycpJIzYyjmyRHBp6JlKdji+55wQ+i7jIGFKzs0FGBU09cyyN/z6l5i8ARR5BD47j5bGdp+HZgBLlm3Vj2OSJdLMR1A2BwnSOrhiE+/lUae1qSZNg1dEJ97kjsFaTQyYnkouHN7N1zx2iswtQ1S1P67FTmNSzEXrKP78hJb08iNfmY9x4HkG+SImKrXoyfLw97ctroyBbLK39DjqzhVNvdBkyoQ8WysrI/g37yreAIuqCO/OPpGI314WW5fSlynbSJopkz7LlHMtrjveMPphkP2XJyjUEqfdk8eyhVDPWLC0NKyLorBfzjqTgMGUiNdKOMW19AOEJgs2/b4oGNoydu5p+Da0h6hK7/A5x7vZb0vLAvE4r+o0dR/faVmgpCaUFBYQ+OMh2v9PcfR1NvliNah37MWL4QBqVK9kMJHmx3Du/n537LhMUnY6CpjkNBozCvm9bKgqU2jIFRD69xa5t+7ge+J7sIjFK+jXpNLg/Q3s2w1rn19NuC0/9LaDIibiP39ot/CGuxrAJw2hWzbRUXVRE2P2DbPa5iUbjfgwf2Ipy+n/fC/LljHwLKEQFwRx228D+Mw9IMGuC88QxNFR6hc/Og9x+nfANoFDEpEoDugwcRs9mtTH7QmCvzIkvTuLSbj/uxKjTacBAmlUx+IW7Rz7BT89x8uxTdGp0pUfXZnwUKs0OvcVeP1/8r74lT3jNBEChqEqj3g7Yj7KjVlnDKMri+eXd+Prt51FE6Y8AvcrNGTp6PNUKH7FvxybuhOvTrI8d4536UkXr85wVZ8Rw78xeTl4JxKTFUPr27YiN9ie1JjJj3nL92FEufIDG/YZg16riV4Rh3xpGUpRP8odIUrKKMaxZAV2VfyMnR5zNy6unOXYqkMp9xzK4TfkfgJgCQh5d5siRm2i1GIl9z+pfMWX+won7/68rgeQpOZmIV5GoVLHFwvhLUjCBGDeDD7dPst3/KS1dF9HTtkQI6z9teWlxXN+5jICMxsxfOALLT2qjBSSH3WTV4t0Ut5/B+kHlCbnuy8zNV6ncZyELxzSmpOBZTF5GOAGb17I/sT5+rp3448AC5h0ILNNPZOWVMG/UnQULXamhnsP7W75s2HqRP8JSkFXRo15PO0aNHER9QwWBTIOi7BhundjM5t13icoU9lEbWo+egGPvlkjxgEREbuxjDu7awf6Tz8lCHqOKDejqOBWHFuWluiSiohQeHT2E57YjhGbngKwKepU74uA8hG51yv9ytmPpWiEpzQwqiDjNWIe5vBHXo0PL8qhlxnLp8jVUW7qy02MkpgqyiDPfM7tPS66p9qB7IwtkikVSAiKj2p0Y1KMZeorFvDy2mnFL9qFfozONbbWJeXmTq2HgsnYn9q2sv/hS/4FLJP3BrCkTuBChS8sWjTAQxXDx8k20W09g3WJHbOWC2OV7mZdhr0hI0ca0si4mtQYwoUsV1D7Rlf2nLlfy++/ly52x807CZZsHPaoYf1YbLQ5m3Vh7NuV347wgX551izEOTpx9p83wpRuZP6QJBhrCwlbA0z2uDPGJZ/7q5XTVD+PghcckZRQgI0nnbkAAsZq1ad+iOtqKcihoGtK69yDq6aThu3I2++6nU7VOQ6zUcnh05zYFFbowf85UmtkaUxx6jTnzlvAsTZc6taqjnhvOjUdBVOoxmdnj+1LJSIX3l3cwb80usjSqUqeyKTkRz7kbmkNvpyU49myCasp9PJev4GqiOjWqVMZAqYiIR/d4kalCP9cVjOlQD6OPdG6/xsTSXr7T8shN5t5xH9Zsv4x6Bwfmju1NDWN18iLv4LHSnQc5FRk53oEuDSugrvjPULF/T2z1Ei+nBRx+mkmlvnZMHNQB9feHWbj1NFmaValna4qyrJDVL0t+WiyPHrxAZNYS51mOdG1k88MXWlIUy+G1Kzgbps1gRye61jX9JdYW5WUQeOc82323cjNMQu8Js5k4tAsmpft71N0DrPXeSVChKfVqlENZKDSUV6RC/Ta0at4UizIETUU5sZzZsRa/00/RqNSYioaqiItFqJtWpFmr9phLIrhxajcHA4LQqNuTGUsn0uAL+eSitDDO7FjNGp9D5NcexrRZroxoZFbyvMU5vLqxj3Vu7tzJqsk410U49671KaJSllGKkkO4vP8Ij5I16TV1NHX+HalmSQHRb5/z9Hk0xnVa0qjyjwBdPq+vHWLzllPodJvNopENfwOKn/RWSWE24Q8us3P7VapOdmVwgzLky89tZ8n62/Ta7MfoWl9qo/7kTcq4TCpf7jYe3+QO7NjhQoWPH6OC2uib0ziNXEX+IG/OTKrG6xPL6T5lK/KV+7PSaw2D6gpjEJOT8pYd853xiGnN3Z0TSH92gkO3w6WR5KzE91w6cxfdpr1pW8NQ2P/Rr1iXXj07oBF2kYnOrryXrUnbRlWRTX7D5ftB1B2xBLepvdEW5xJ0fiMTFvuhWqk9TSrrkhh0n5thxTgs3cLkLraI8+IJ2DCXhXufUbd1Dyrr5BP44CavZSrhucWPdtYQem0zU+dspKBaF1qWN0CUGcvTC1dIqNyZNd6etDH59V/gnwDF631TGbo5ntnuK2htq4VCUS5nl/Rm7tNy7Dt7hDZGchTEnaV/81nYLNjFnK6COlsJw5kQ2tTSUEM2NxKP0e05IBqIxzJ7qumrkBP/ELfJs3hUfT7XPAZ/EbKSEHVvD/73ZehrPxgbzc8h9/AAF/rMvkXXxesZ08IWDZkcHh9ZisvOBJw3+zKqrhxPDh9nx75tXIk2oUOXTnQc1p/eNU2/EB/7953ty19+CyhCDk1jqFcSM7atpfuXgEIUwvox9mws6Mr5deMol32TseNX8DI1hSKTtri5LaNDdWOU5Qt4tmcOQ7bEM2fVMvrXN6IgL49ikQQZUTw+zhN5bjKEueO7YSUshLLyqGtqkflgE46uBzHp54x9z+ZYqIl4d30r8zY+puWkZUzuVY9I/4nM3BdPR0dn+jWviqYkhUvbl7PpiRYuC13pUV2Rw4vGsS/SmlGOY2lV1RRxaiC+K1dxU7k7nnNHoB18mNkbb1B/4Cj6tKqDjpKE7KhbrJu7iYRGE1k0sSfVTb6hkv0Fpv4+h0I43gnl2IZFbLueSPeJyxjVTJez21fjez+fvuMnMKJzAwxUyqbV/QVD+q6LspgyPZ1WcFcANy5j6VTHhJDzG1h17CWVO45kSLu6aEoFeQTu/1xenfdjy/k31B44kfH9WqMjyadILIOComLJsZVEREFBIWIZeRRlkjm2vgRQDBrvRNc6JtIy1aLCAvILChBLZFFUUkZJSaE0xCqhuLCQIpEEOQVFFMo4AsyKDeXi4UMcvPqIpNxksmW06DTUiSlDu5R89ZDPi+O+rDv8ApuOg3HoXhO5UqZIRRU11NRUpRwb37aClEB2e23ldqwBAx1H0shSVcrcKIxDVU0DBYpIDb7Nno17eKtYE4d5k2lk+Jkpsyg9lJPbvNl19CJJenVo328M0+3boSfA74xQrh7cys5dZ4jVaUTfsZOY0rcu/4+9sw6rMlvf/4fu7k4D7EBn7LG7uxVEQVDs7sTC7sDuQEWxW8dOkC7pzs0GdvyuvbHHmTNnjnN+53uO67r4j/2+az1rvWvd64n7VlGQIBKVIRSWIhLJPhNV1NXVUFVWpDDxCQfXbeZ2tgUjF0yimbWBnPpeRmVdWipEWCZGSf7/6qi8lwyQiMspKxfJwZ9UVIZYooSSgmw+ylHW1EVHQ8abIaZcJhcglJXAKqKiooa6hkwluQJQbNl2Fn0ZoBj6DUAhLzEuQ1giRIQiyioqqMhE92TzqK4KYpH8/TJmXUl5GVJU0ZCFOZG54GVzXoaMDF9FTR11tYq9UsYKWV5WhkiqiJq6LCQqo6AWUS5bH0qqqKsqIiotk68xNVUlyoRCysQyeml11GXv/EaTSkSUlZYiVVJDRUGMQFiGgqIKGhqycHNFXwSlZSipqKGhLtP6kSIWlVFaJkZZTV1uf9mZICovpUyE3Mayfslc/MKSUsrEEpSUVVBX10BZWRGRIJsXwYEsX3eJRvPWM6ZVFTQ/q28VC7J5dXEnCwPu0n3jTgZV06VYUCa3vYaG2heVdzJ7lApL5POrqKSCuoYGqh8kIeGGsmUAACAASURBVL4aqxxQ+HuxM7M1u3ZPxOmjh0IGKM7jM3wZwv7rOeddjbAgf/pMPoqqjQGOTbxYP38UNloyQBHB7tl+rEppzr0DUzFRKCKvuFQub5AZeZP5U9bi4LWRKZ0ckbn0ldQ00VQu58mO0YwOFOC7bhXdqhohLkji/PY5rHtkzYa962hqnM3ucR3YntmWFSt8qW2sRl7yEzbPmcsts9Fc2eqOavxVJo3wIennmazx7YixShnJr84wbeImdLyOcGSUI5eWeTPtniYbN86hmoEGkrIC4h7swnfSZTruPMeCthbffZv8CCjyEl4TlqlKjRr2FCfHEv7uBUFzNhJu14d128ZRSVOR3EeraTPoFIM37KeDVRECsRQzW2csDLTkC7wk+RojOo/F2Hsv/iPc0JIpi0qKCVk8CO/LjgQFL6Oantp73QUJbw5PYNoxJeZtXUI90w9qo0Iuzu7JxF+rcejgPGqaViiLFsZcwH3AbKy8trJoYB3ynhxm5aqzZJQVo1q3N3Mm9sdRv6If37P9K4BixOh1aLZwI+vUDfS6T2TGuC44Gynz4jNA0afR5/Ll71g1YgiPrEey3O9zcbByHm71Y/KpciYtnylXFtVQVKA0/RGzRk8n182b2Z6Nub3Ig6PFzZg7wx03J2P5hvjuzm7GL7pI47EzGVi3nIAJ8yms786EkZ2oZKqFgqSEO9umMee8hAmLJtHESoHEVAHmdraY6r9XdRW/Yv6gaTyx7s/i8T2p/a1r6r9o9G8nZYrJjbrKypkreFVWlXqOCjx+lI5r/6F4DmqFs+F7wbB/8d1/9ue/Jw72UFwLn+mjaOGqz+szq1lxLpz6vbwY3q7hJ358aRnh5zezcO9NHDp74dP/J2LO7eN2vDrNu3SjUVVTyvNiOHfkFInKzrTvVJvXBwIIjtGtABS19El6+YCg06e4/iySPKEGzg1/oXv/njR2sUVXQcCrS4e5+DqXaq170aaew1ceEAmZ4c8JOX2LTG0zrHUTuHjjFWZNhuI3uGMFoBBnciVwPYG38mnQeSBtXLQQKaliamGJsb7O74YZCmJvsGXTPiKpS//+7TFXE6CmZ4SFmdnH3I+SpEcf1UY9Zn2p5SEb95mtWwh+HIHEwAh9czeGjBuLmylkhd3g+JFT3HubjkjbiHodPPDrU5ui1FAuBR/mzOUnZGRL0TF2oHHXXnRt6UJySCAr/bfzskiTmp0H4+nhSUcHMU9vnOV48FVeJxaia+rIz5170r3zL1TRVyL59R3OhVwjtlCKYkIUAtMmNKljSHJcEvatBtC9niHxYbc4cvwIt54kU1amgUXlenQb0o+2DZ1Ivv1HgEJEfkoUV48f5vjlu2RIdDG3tsRaTxUNy4YMHN4NpaTbnD5xmVzUyH6bgLZLX/zGt6Qs6jbnTp7izvN48pU1sXL5me49B9KhkQPirGiunz3FkyJ7PLx6Y6MOWTHPOX/8FBnWHRndwZJn544REiqlZkM1Hhy9QnSRCi61W9Jv6EDquZj8xpOS+y6UK0EHiFSrg63oCcfPvEHbsj793QdR2zid44F7uPg0DfNK9envMYb21XWIe3aVI2deUnegD51rmlBWkMaTKyc4+0qJweNH4qSYyq9Bezh07B4xJVJ09Kxo2XkQvXo3hYQbrBo3gcMvszGp24punjNZ0q/2x0+yAlDsZsGqK7j59EXh/mWuR+RjYVOD7oPdad/SBS0FWS5BFm+un+PgqXM8TyhEXceCBl360K9vJ1x0f8sh9M8BilWMXP6Apj1rE3rsDa3XbGR8W2fKPgcUh2Zg/YU42EUmeS7Heco+Fvao/H48UgS5ceydMIhA6WCCdnhjrqqApLyEmDu7GTP5OF0D9jOyegpTugxD2Hc7W8Y3Q0Om2VKSw40tkxl/UpV9FwIwfr6T4X4n6bvxEGOaWKGIlLL8BLZ692KPghfX9g2jLCqUWKEe9Ws6VOSISEUUvDtG+5+W89Omc6zp8aVU/J/dB//o/35T5SHJCmP9LA8CH2aRnmOPx4LVzBpWHXVFBeKOjKHx5GvUqd+YorS3CCQKWNfphLv7MNrXt0EQs4+ObbfSadsRJrey/RjeeHtgFL3n5RLwaD+tjDTe5xJIeX3Mj6kHpMzf5U99uUy2rKuZ7Brck5WKg7i7eQTG2hXJUJK8CKb37EJa23WsG9cacfSv3IhXo5puDPfTTejQuRkWWqrfXSTqXwEUw0etw2HMLOqmXWTTlVT6T55Dv8YORB/95KH4ElD8nnx5PufnjGVBeGU2Lx9DPSdT+TilwlQ2eg3ggcEgZk9qSJDfVB46DWHZ+G64WGjL7VYUGcwUn7UYD53B4Pp5LPHbi3WfiYzt0wgr3Yo4dcy5+YxfEU6P5fPo08gF3S9AmZCYG3uYuvwCTn0n4tu7CTZ63zdBUNaH363yEBfJ1Qb9V+/n10QB9buOwW9sf+o5mfyh2/t7fBxfP+PPqI2GnlvLvF3XUHNqQsvaTmgoykivFJAl894LuUCEwIaRkyfQt7UlV9Yt5ESYFn08venawIayzJdsXbGetyq1GTG6Awly+XIdOaBorPWSzRu2cvZ1HoZmFhgoi8nJzMWoRmtGug+hWVVDou4Gcye8AOfGbWhczZov76CyTbeAnOwilLS0KQw7RcC+S2g1/AxQFMZydKs/286GIlIxQqkkgxJ1PVzqtaFfv540reeA1jc8FOlPT7IqYCNXI5Uw0VWlsDAHbUtXWnXtR59OTXA01eJzQDHqW4BiyyYuRRZgYmOIIE+FpkMn0Lu+Fi+CD3Li4hOEWjoUZhfg3NYTrxbaXNm3lcCzTxCZ2GKmp0hJejK5yg60HTyEOtKnbPLfzOMCXX7qN4qRPX9BL/YMa3adJVFqgp2pLgpFueSLdWjYfSQ+A1qS/+Qka1f5cyNNhxr2rtRo2hRHjWSuXX5FjSEz6GOZzL51awmOLcfSzgoNaRE5admoOrbEc9JoLJND2LLtzDc9FIKMCC4d2sjaIw8Qmdhgra1CRnwMkSkF1Og4iiXzvFF5e5Als5YToeJCLQcXav/SiTbVijmyca0cENhVskRdWkxWUhZYNcJj9kTa6qRyZNt6LudWY9kqPyprQfKr62xfvYHEyh6sHOnI1S0LWXIgDKsaZuipm6JYnktqYg5GTQYwadpYGll8uUoyIu+zc/k4jiQ6UddemeLcMnLS0pDoW1PJ3pTinExKBDnEJmVg09KHNVO7UvTkMMs33KTVjHV4NrWmJDueKwfXsvWOMjMDpmMYcZYVi7aQZuCMuYEqgpx0soTKNHOfxfAaIgJnTWT3nWSsmnejj/t4Jrav+gWgeB2yg0kztlFsWxVrC100ykVkxsVTaFgbz+UrGVJFkei7e5m5OJA4NWsqmeqjWFpIbo6QSt18WTC6EwZfbVn/HKBYyaiACLwDppN9YClni+uyevU0KivEsnv2+AoPxW8ARTATPP2pNHkfi3p+UBsVU5j1Av9+Y7jbaDHXF7Wr2MfFZWS9vczEEdOxmXaICU3jGdl0ES4rj7Kim2PF+VcmIPzsQkbMfs2sW/uxv7eaQQvjWHFyJx2cKrI6RMJCLi3qwPRbv3Dq7iIqfbGByXIq0rmybjrjjwhZdnA3Pat8f/r73wAKmfvlVvBBniYrk3D3ODdEjVmxejYdKxtwc4EbHTen0nbgcBpY6EDxO+6cukiqmydH1kzCOnMvrVvtpve+Y/g1t0Tlvbsg6thoekxKY1XoAVwjb3H82B2ylBXIDLvGjVApTTu2lssnG9o1ZpBHPYIH9yFAx50H6wdh8B5QSAtimd2zLfHNA1g3qT16EiGFaKCvUkx2IegYyBQXP5EMfa8D5V8CFB4B2PmuZUyDUvYtms0NaVtWzB+K9IY/g7emMX3ZIv4coMjhzDQfFsVXZ8eyUdRxNKlI/CnNZMvY3tzS7M/sKQ045TOT59VHssy3M1XNK8ISxTEhTBuzAt3B0xlSP5dF4w/jNGgyXr1/wlKnIoYWH7KQcQte0WnFAvo1qYb+R0BRSuyDM6xaup0kmw5M8h3Cz5VNPymnfi8j/xGgAApiLjHXezr77hXQc/YyZnh0wemvxMX/xf7+GUDx9sJGpi7dxq+xArn8u+zmIAMUEmVF9B1r0bPHcAZ2aoqdmZCzAQs5GaZF768BhWptRnh+ABR69Bs9ANXnB9h4LpKq7frSp3kt9JTFJD65zImb4dg168uw7s3Qk+RTWCJGXVsPHc0/CgVJeHdnLyu+AhSlKU/ZtWYh224lY1f/F+rb6SFMjuTR81h0f+6L39iRNLOvAKqfmpSIS5tYtCqAFwo1adWoPqaKhcS+eMpbgQldR/vh3bkByumfPBTfBhQbuRSjgFuTyqS+CUOt3gB8OhtzJXAfNxJVqVlFixf3wrDr4IV3G1NC7z4kPFURYwdZ2C6M+yGHufhMSOOh05nSRZuz67dwJ9uKQTPH41oexbE9O3hQbM3Q4QOpY6WDOC+JuxfPci9Nmx7eE6mefZm1SwOINmuLz8Th1DFTJubeafYefUzNoTMZWEXErzefkaNpg6WpMqlh17kQHESEoBa+i+fQUPyQLdtOofd1yEMqIOJeEAGr9pBs25IJI7pirSEm7vFldgYeJdO5F2sWjEXp1T6Wz92KpIU3E9w7YKVaStiVA2za+4hqA30Y3KoqqpIion69xP6DN9Bp7s3sIbaEbFvPpa8BxZoNJFZ6Dyg2z2FFUAbtR0+izy/VUC/N4OH5oxy4/I72E5fj18Plo7KnbE4zwu+wbeFoThe0ZuLkUdQ1FPL66lE2bg3Bouc4xgxoikHJO0KO7yI4xoYlARPRizjF8vU3aPkbQKHEjNW+iG9uZersq7iM9MGzgys6ymWEx0SjZNOI9q7aPDu9jVVbb9Ngsj8j29TE4rOEXbEgh9chW5kyZzs67ebgN6oRFgrlJD67wuaNR1FvO5+AMXacXDaT7XEWzJrmRU1zLSTFWby+fooD9/MYtmAtPV2+PDz/IaCQ5VD0X8e5sdUJO7MSj7VRTD2yi+pJh5g59wB63ReyerAVB2aPY+WfBhQiCjKfsqTHWB61W8GNOS0rPiNJOdnh15g8zA/jiYeZ/Essw35aQZ3Nx1nW0fb9vwiIDl7KsEmPmHT3IM53VjJgSRobgrbT2r4iAUokLOL68g5MCG7E8cf+uH78SGVhqUxu7FnDvNVXqDVpA0uG/YzB36A59Fu1UXE5JcUFCEWK5EedYczAJdiO3c16v6YUhl3iXoIEG5ca2OlpoiAq4sUJf3yXvWbC6aP0MbpCpxbb6LHnGH4trD56KCKPjKbn1EzWhQViFLyOiZN3EKushKg4h5wiMDAxRkksxqbecDYfHMOTUb1ZqTaCBxsHfwQUkoIYZvdoT+IvAayd2A6jr0vL/sXD4vd+/tukzAkM2pDNlJ0r6FTls6RMcSxr3d3ZXNaZ86s8cCi6yXCPAGzHrmZi5yrk392Bz9Jj/DTan2aCM3jvSWP60oX0aeSE1oeaPdHveSjyCJoxlkUxrmxf5kkdp/eAQpjJ5rG9uaM9gNlTGnLaZzpPXUewbFyXT4AiOoSpXqvQH1IBKBaPP4TDgIl49fn5E6C4sBDfxa/p6r+Avk1c0ZPFYouz+fX8NtYdvw8mDRk8fCC/1LZH+zsnvX6w++96KMrjOOW/ln3n3pJenobQqgkTp/nR4+fKaP+b2dD/DKAIPRfAgt03UHNqQau6jiimPeeyzA1bZEU3b19G9miOvaEWyorZnJEBirfacg9FFzdruYdi28oNvFWuxXAZoDixgeAYA/q5tyfzwjZW772PqpU9tiYVh3pZfirRSWJ+6uPNVN++uH6Wl/DHn8O3AYW4JIf4yFBic2Vl0Q5YGWgiKUwiZN8WTj+W0HnkEJxUwjl24jqpOQK0rFxo32sQratqkJwQTZGaBfbWlugoiUl6fold24MQOLZn4vThOJa8+hjy+H1AoUL7oW3IvXeJcGE1ercz48G58+TYtKSNdQZHTz7DrpMXft2diLp7icOHg3mZViQv80tPDOddqSW9fOayYIAlIRu3cCvbFs/F4zGJDmHF4hVcii7HpYoDWsoKcnnozOR3FKi7MHLKPDoZvGHLxoOU1nNn/uQuGFPAw3OB7Dj0kBpD5zCmoSp3zhxj77lH5AIl2cnEJySibNOaKYtn04gn3wYUwnRundnOmqOvaTLan/Ft7VFVkJIX/4gD2zdyJbs6cxaORfnNYdavCcJ+8EKmD6xHWcorTu3eRFCEOX4Lp9HUQVOeY5Mf94gjmzYSkl+TqdPaERq4npDc6ixdOf69h+IGO9asJ+EDoNiyjL3PDJmyfTktLLVQEAuJe3yJrQFbKXDzYdnkThh8tljS395l95LJPNEfxerV7tgq5PHy6iH8/U9T3Xc1U3rVRJqXwNXDG9l6Vci4FdMwiQnCXw4o1uLZxBphToLcQ7HlthKz1k7HKPoc86av5GGBDk4W+ujpW1PVrTld+3WkgbkSYVcPsnRVMM0W72BMk28kZV7cwbyVl2m1dDfeLe1RkUooTA7lxOpZ7E9tyPJ5zTjq582et1J+rlsFNUUpSETystC4LB3c/bcxo9uHsEPFYCuSMr3YlS1LypyA42c5FGnhwfjKAcV6grxdKwBFQBRTjx+mo048F7YvYPElAbOXzCX9yDSWJzT7kx4KEYWZz1na24tfWy7nxrzWXwCKScMmYjb5EBObxzGi0TJqrT/Oss4VYQlZqX/UuSUMm/qUaXcP4HBnFYMWJ7P2zA7aOHwCFNeWdmDSpaaceLgUuZ9HKqEk+Q0Hd/qz7VY+zTsOx8u9K06Gf6Hy6U+cse8BRRnpERG8KzOiTg3Lj8p3kuJoJrg1JKbTTg4t70DWs1BKTBypamfwsdY199l++nX3p+Xe8/i4xjCslS8OMw+ytG8teYIOlHNj5SA8jptw+toqbAveERaaQLEixN3YxM5rMHTSKJx1VdE2sKVGXXtuz+zGtFf1OXVsFpV1NeRuIWHqLTy6j8PQYzOLhzREV/37Z6h+y15fA4rEE1PotSYB303r6F3T4qN+PcIwlrl7cNnEmz2zemCVe/U9oFjFxC51MJQksn+mHwfCzahfPZdj95WZt2IxvX/+PIfi9wBFOXc3jGNasCJz1szgF1dreXxcVPCauSPHkVZjNLO8mnJ97iiCaMOCGcOoY2cot1vqk/2Mn3ESN68ZDKpXxkq/JUiajWbC0PbYG8kS48p5uGcGM44W4bN4Ch3qOaGYE03Q1nUE3o7FpG4HhvftTANX67+V7+GbgEJczPML61m6/hLGjUbQwTWHY/uPU1KpH1N9B+PmaPTdQ1x/9M38GUDxJmg1y06FUbvbGEa0d0OrNIu3d4PYueckGSbNGeMzkhY1LFGWZnF61QJOvNKkj/dYuv1sS2n6S7YsW0+EWm1GeL/3UMgAxcjWpJ7bzsbDj5AaGKKrqoBICkpKMnlmcxp17c+wIe2oavq19+D3RvMtQCFFWJBFcnIuStpGWFoaVniipCKeHgtg27HXVO/eHwfVMAIDz8vr8rXtatFryAg61LBGVCrFwNISY70KjoiihIfsWb2NV1Rl1Ewfqove/ENAERKjSg/fIfDoFBeeZmFtb0phmoAq3QZRs+QW248+w6mTF8PqlnFs22bOP8vEom4jalSuhFrqC0IuvcW2mwezB9sQsmELt3JkgGIcRhHBrFqyhqtRQqws9EEsRiqTfVdUw9i6Hr0HD6W+zlt2bT+B9GdPFni3QkvyAVA8osbQCbTWfsPWVXuJULWkRr2fqGKqQ+qzm9x9KaLPojk04fG3AUVJCtdPbmFNUBztxq/Ht0lF2WNR6nOO7dnE+ThnZi4ai3LoETZuukTloYuY2t2FwuTnHNu5kZDEKsxcMpk65hWxJkHSS05vDeBYiiMTZ3YlaudaLmRUY+n6iVTVhqTn19m2YgNJ1TxY6e7ItS3+HAqzYs6+JdSXV2eJSX55i10rVxJf3RP/6T34vH5FBigCl83itakPAav6YFSex6sbR1m97iL1x69hfFtHSvMSuXFsM1suFzN2+TRMos6wfPV1Ws5ax+hfbCjJiudS4Fq23lNizuZF1NPK583TW1y4cIlrd8MQFJUiUdfFudkA5k7rD48OsVgOKLbj9U1AIUvKvEnXjYGMqG0mt0NJRiwX101lXYQLSxa25MQ4H47EKFHFVg9RuUSupyMr1dTWrUx3T19Gdqn2Rb6IICuRcyu9WJfUhJ27ZuD6oYpZLCDl1Ql8vdZj7nuEDT2NPgMUR+hhLSL97WWWjZ1PpE1LKqs8Jzi3FTcPTv8qh+JbIQ9ZDkU8O8b256jWKIJ3eMjBnFQkJOHJIcZ47aLtqoO4105hQnsPlEftYYtnQ/l5LAPN93dPwXt3Kbsub8L46TaGTjrPqD2HGS6vOpFSJkhlj093thQN5foxHwwkYrLCr7F27nIuF5jTdbA7wzs2wuZv9O6+BxQi7qyZxMLgQvwCVtKhhhGK0mLCL6xm2LCd1Jp/go1jK7N/+CDOq7dk4YKxVDdXR6EkmSubpjPhUD5z9h2gl3MWy/q15qTeSHavmEhtc02KEm8yd/RILlvO5tamIRhrqLyv05Xw+tA4phxSYP7OFbiZfcihgNjDXrRf+JIhqzbi17YWOorF3Aycwth1EXisPciYppZofLjV/wnU9K/8y9eAoujVTroN3oRFPz+mjeqJi4kOyhIB8VcCmTB1M6ZjN7BwYBMMUy98AShMNKVkv7zEzNmLuBeZSLzaz2zetIJeP/0ZQAFpV/wZMu8sLsNmMKl/K2x1pLy8sJpJyy5T12MFE3vXI26PBxPPFNNv4gyGt6qNnjSD05um4n9NGZ/Zs+lRU5mDszw5klMdv0njaVvTFknGEzbMnUJQWVvWzB6Fm3khwTtWcvRhIc6t+tG99c9UszVAXeXvdQf8FlBISHocxMolG4myaoHPGA9a2MOD3f4sO/aWmt298BnWFgdTzX8DydH7i4RE8oXaqEjwkoCxS/lVVBPfGbKkTANkgGL56XDq9fRiZMeG6ClDeXEGj45sZvXBBxi3HoHfyG64mou4uHY6Wy9n8suYaQzvVIvsBwdZsngfxVV7MHlie+KOyXIo9Onn2Z3iKzvZey2P+l370LqeNeoqUkqy4wiNykbPuQEtm9TETPvP5rZ820OR9fYeh3YdJUnDlX4j+1HHQZfi5Dec3r6Ws1HadBvlS3tXNVJTshCWi1FW18bUXJf462c4HRJOpa5D6dvRDQOFfCJuHmVT4GWkNXriN7YfloXP/jGgiFah18TxWCdfZv/BE7xM1sKxTksG+/VC6+Uxth17gXMHD7qaRbB6xwkKnbszcVhHLDWKeX5+Nxt2P8Ghpy9zB1lxccMGrmda4rloOrZJ19m8dhcRCnUYPLgjDsaKMjROSlw08bna1GrRCovsW2zfcRJ++gpQHH5Cjb4jqJR7gVUn4mjhMYvhTawR50ZwctsGzjxSZdiiOTT+PUAhLuDF1UOsXHsc1eajmOfVAzsNMTH3zxKwfguRJh1ZvsAbJRmg2BxC5aGLmdLNhdKcOC7t28COc+/oPGURw9pVRb28kMi7Z1m77gA5zv1Z5leX25uWsP+VNr7r19LJQsDjs7tYvvY8el1mEOBuz5XNc1l3s4yhS9fi3sQZhcI07p7cxZrAu9QZsZA5w92+yLWRAYo9y2bx5jeA4gL1xwdUAIrcRK7LAMUVAb7+M7GIOcOCebuwGb2eRUPrURRxh02LFnMhtyHrt0/AMi+CJwlSnJwtkRblUpQexc0j2zgTacKUXVuomXCchf4nabRwN+Na2H/xPctDHhe3MXXxfuw81+Hv3gZ9BMQ/CsZ/YQDJlb3YNKkKe6dO5mJZY6b49MLWQObMEZKfGs7TCDH1uvSipavxF5eP8sJ07h6ai++meEasWMaoNnXRVRQjzIzl6o7lLDgaj+eBINwrlX8BKHraKVIuyOLpya1M9N9Oeoky1Pfm9u7JWH2RlPktQAHlRVnc2TAC95OqLNyxjkG1LSnLj+NogB/LruqyInAXbcxS2TqmA7vK+7Jr/XQamKmSF3+PFdN8OavmwdXdXmhEB+PtPomC9kvYMa0/ZiplxD3azwSv+YgGHufcZDcK466zdt4iHik1pu+wIXR0c8ZUTl3w97X3gEJK+rOdjOqxgNTKLWlUyxTVsgLC7lwm2rA7W3cvpIWtBk8P+uHpdxmztm1wsdKEnETu3niOSa9ZbJk7GBttMY8PzMRz6RnMa7ehmqUWeXGPCYkQ47diF+PaV/6M8VDC64PjmHJYkQU7/an/GaAoS33EtNGDCMl2olldV7Sledy/cwNJA28CF/tQxVTju1dz/NmQh0QQy/oxQ9j0tIQq9evjZKyDiiifuIf3iVOrw+yApXSoaYtSzBmGj1qDjfcaJneti4nsdiAq4tfDM/Gevo/Xui3YtW0NvX52+CLksWLoUB5bj2D5pN44mX26cYqyw1k7ZwwHX0hwda2JuWY5r5/cJdOqPcvnTKJFNUsE4cHMmDmHF8VWVK/shHZ5GveehmHTbizzvPtR3VKD0OD1zAw4QoleVaramVKeHsbt6GK6jpmPX++fyf91P7PnruRFmTX16tXESl9WlSOLwSli6tCYHn1aUMlK/4u46/dYnl8DipL0l+xZvoTgWCN6+nrTs6krBmqKFCe9InDtYg6+UaLnmIkMayuz7b/HW/WnPBRnVrLsTCT1engzslMD9OVdkyJMj2T/+gUcfiako/s0hnWqR+aVNcxZc5hEFSfqVbNGmBHDy9fJVG7vzmSfdsQdXc/5KF36e42iSuFN1q47RlixLk6VLdFRk1KQGku61Jz2g0cxoHV1cl/d5nFMEfZ1G1G3ktkfcCHIAEUg/nsvofXTMCa8r/IozY/i7Na17D7+HEUHFyrZ6iB4F0VYvADXru74jemDq/HXjJHlxD8+w5aVW7j3ugBSYAAAIABJREFUTh3nulUwpIC40Ajy9aoz2HccA35xRZr6BzkUuTGc3rKBkGhlek2eRgPlcPat8WfrlQKae0xi4YRfSLu+ny1Hn1Op42j6OaawdtV6biRr4Fa/MuolWbx98ZgXcep0GjODRb41eLB9BWvPhuLUxZuhrV0puH+EXadeo25fBTvZZag0n9SUdNScWuHu64Fl3Dk2bzuNws+eLPSReSjyeXg2kO0Hn1Bz8BhqCa6zaPkpypzdcLPXID81mkcPniPU/5nx8+fSXDuUbVtPViRlDv+8bFRMXvwTDm9czfarCdjXr4edpgJJES95GJZC5c5jWDnPC4U3h9m48RJVhi1iSg9XpOUFvL1zgjVLN/BcaEcDNyc0xUW8e/uWOIExfWYuw6+xGrcPBzBtYwiaLs2pb6VMakIEMQmFVO8zl1Uj7Lm6ZTZz973Aon4DqtvYoFicQfTrWEpt2zBr5SRa2X5JLCIHFEtn8sZM5qHoK/dQvLx+hNUBF3GbsIbx7ZwqAMXRzWy+VIzvmoVULbiD/7QpXMmtTKufnZEWpRL6IpRy2y4EBPii/vIESzeeRsGqFrZGSogEWcS+ekaySTs2rpuFScxJpk1fSLJTHzxGe+HR3OnjliKr8nh9cQcTZ26hqGoNajlURkdaQlp4GKEZZnhuWoVHdWUeHA1g7ob7GNSsh6O5CgrlQrJTY8nVbsjkxbNpZvnlHiEVCXj3NIgZY6fxSMWFJg2qYaQsQZiVSOizULSbebFu1TjsySP0zAo8AiKZeuw4vezlNJcUpIayZ6EHs/dFYdB1Fr/unISldkXymVRcSmpYMBM9llNp6j4W9fqUZCoVlZL2Mghf3/FEazWleQ0bJHnvuP3kNc69F7Btal8MFAp5fnoFYxftR7taW2pba5H37hW3okoYMncbM3tUR1qQzLFVY5l3Iha3pm2w1iwjPvQe9wWV2bZzFx0ciwlaNpFJ606h07AvLVxN5KE22V4kLtemVus+DOjsQtadA+x7qcsQr57Y/Nn7yB9s+B9zKKSiLJ5fDGLN1j3cj0hFUWJEzZbt6O85gs5uDmgqKFBaEM2lzZvZEHyTmJR8lBTtqNWhL37jevGTkzHKCgqUZEcRfGQF+3bd4W2uFF2zGrTzcse7e0usdGV1wx96IyU/4TkvEqG6Wy0MP2fRlJQR8+QA29bv5PrDTPIkhtRs25EhXiPoJMte/5xq+nucZn/wjN+Ig0lFJL+8xqH9Jwi69Zz0/DxUlFRxdGlCjxHD6NqyvrwyRRQTgt+UHVgNm8vottUxkvGtyvIo016wcd4kNsY4sHzxHLrWs/3kbREnsWX8eF5Y9GOmZyfsTD7je5C9NyyYAzu2c/FaNCnF2jj+1Jw+nsPp0dAFQw0VJGWFvL67l33bj3HreSrFmFOnc1eGDu9L06rWaKkoIcxL4FbwNg7uCeFZXDEqhpVoOmAg7n3a42quyO19/sxZd5J3BRI01JRkzGeytEJEZUo41B3EnCUeNHKx+KqC4F+fhC8AhZKYX48vZWNQJNXaj2ZwtyZYG7ynW5aWk/T6IutXbybdvC2jPYfQwNHkD5kT//Xe/XkPRXjIVjaGxFCj4zAGtKyD7od9TCoi6XUQm/0PkG7cnJG+g6mlnUXw7h0EHrtEjr4dTVvXR5SShLJtEwYN/oWk87u4GqtNt6HDaWoPr25e4PDxIK6/iKSgRIxlpbq06tqfHh2b4WKhxstzezj1KJs6XQbSpZEzv88fKiXl4TE2H7+JRt3ejOrVClM5TiglO/I5F48f4UDIHaJTS9DQrcxPnbozbEgH3JzNkBGyft3KBZmE3Qpm/8GTXHkRTbFQG2vXZvQa2ptebepgqaeO4LOy0a9zKET5CYTs282NeCU6jvahiWEO53evYO/9PH7xmId3JzuibhxnX9Ab7FoNY3gzIx4FH2JH4BEeJ+ahauFAFWdL1LIKMKzZFZ+JPRA8PsTq9bsIlzbAa5wv3RyLuXb6BIcv3iI0MRstPWNcf2pPj159ad2oEoUvL7D34EWoO5gpw5ugKSnk2ZVjHDz1HNc+PvRwKOLMnq3sOn+DtHJ1jCpVwdlIB+V8IbX6TKC1dRon9gej08qbCX3qfAHmZFIEKWG/cuLAHg5fuUe21AhTe2sMlGUstI2YscAHjZggAvfcxLHPFLzaV0YBMSU5STy9dpZ9R4O49fodKBljX6UpPXp1omPnhtjqSEh7+4hDmzdz+PILtGvUocnPrpRERyCpPpRZfSy5snUZW64XU7eTE6HnrvOuUIE6zboyeNgwedWOzlfzmRn1iKMb/IkwHs78uV0wLC8g9H4Q23Zep5bHfDya21GWn8zdc4HsuylgxNzpNNDJ48HJvazfdJR4JV0atm+DrVIWoelmTJg/AUdhJOeP7OKorGw0vwgFYyOqNGnHgB6D6NLAkZLUp+xcN5s914poNGwxmye25gNLibgkl7fXD7NywyXMOriReusyv4ZmYFftZ/oOGU23jm6YqUgoTI3g6onD7Dt3jZfxWahraFH5p4707DWATr/UxOhrHCyVUFqYwdPLJwk8dIE7YbGIxCL09cyp26Irg9wH0sjFCkVhHpEhW5i8IxavbVvpZF2xj0tkhFz3jzFz4VreOHtxbe0YzN7TckslpWREXmPBlE3Ye69jagfnzz4ZKeWCHJ5e28z2TSd5HCFArGVL4769GT6iH41tZO4VCcVZMVw6sZrAXTcJzwZd8xq0GzWMUT3bYK+vhowvJDPuLkd3r+b48bekiLWwrdaIrj6ejPqlFspFYawY78OGkHC09AxQUxS/Z7eWUFZqRMcxi1gxpQXx+ybgd9GUgP3zqPEdCIe/SMqUlBcSFRZKYkYhoIm5oyNODhZoflx0UoRZ7wiLjiersBRFJX0snStRyUb/sxI+CcW5cUSHJpAhkKKha46TqxNmOp/rcFTYV0ZEIqPwVlT6LSW3VFxAUtRbEpIKKEETS0cn7O1M0VT6ezQ7/qyHogKBlpGVnEhsYiqFQiGKCioYmtli72CFrqZaBemMIIu34e9Qs3LG1lj7E0OopJy0mFeE56lSpZIzpnqfQj0ybYjEt2EUqFniZGOChupXYQZJMekJUcQnZFNYroqRtS0ODpboqqt8dOeJSrNJio7hXVoB5Qo6WDo5YGNphKbKBxtLKClIJiEygdTcUpQ0jbCr7ICFoS6qiuVkJEYTlZCBUEby85nMtFSigKa+NVVc7DCUzeX3OqXfP+cLQKGiREb8GxLywFzGc2KojTwd532TlBeQEBFOjkQXWwd7jP6G/nxreN/2UCzjsbg2PjM8aOZiRHFWIgmZAnRMrLAw0v0C6EjK8kiIiCNPpImVkx3G2soUpL4jPi6RIiUtrGzNkAqKKFfSwcLSCGGGTA9HCVNLa4x0VCgvziMlKYHE1ByEIik6RubY2tpjaqCFsoKYvLREUnLL0DO3xsJQ6w/nSJiXSmJaDkq65tiYG/GRbFRUSl5mCrEyLZ6CclQ0jbGys8XGQg/1z0UCvjCQVN635HcJ8meWilTRN7XG3t4CY9klQpYDlfyIfQFbeSKqgvvML3kopKISMpOTyClRwMTGDkNVEZnJsaQUlGNkXQVrQ1WKslNJyShC3cgKWxNNBHkZJMTFkporQFFbH2MjXVSFJYhUDbF1sEJRkE5cbBw5pZrYOlTCzliVwuxU4hKSyMgToKKuibGlPXZWFuioK1CSl0FyShboWeJgZYASIgqy0khJy0fbwgErXUVy0xOJikukoFwJTSNjjLTVkRYVompij4lGOekpmSgZ2eJgrvuZ215McU4GiTHvyBOVISkroUSqSnlxEg9CzhFFQ6bPH4eTYjpJSTloWjhga/z+IiEjOivKJSkxnoS0PKQKmugb2+Bob47B+5JvcWkJ2e/iiHmXhoKeMVaWRpTn5VCmboGVWirnt67i8GtzfANGo5/0jkKRImY2jjjZWX5zPsuK80lNiKFY1ZpKzqaoSEUU5aaTmJSDjrUzNoYayLR0cjOSSc4RY+3kJCe/E+RkEBcZTbZICTM7W/SUhGTmKWBX2REdJZktk4mT0aGXlKGgoYGRtT3OVlbIonSismJS30USm1SEjkUValY2++gBlUrK5XMfn5iLjrUpxSkyrakS9EytqFTJCf33uXSyA7YkN52YuHjScgVy4jJDK0ccba3RVf8dciIZqBAUkBwXT2J6DuVSCerqOljYOmJrXaFNJXuuIDOR8HcCbKtXw+TDs2T02IJcoiPCyVS1oaGLLR/z1aUSygTZRIUnoGHriqPJ1+WZEspLMokPjyQpsxSpqj52VZywkWlAvf+uZCRqgrxEYsLiyCiWoq5jhqOrE+Z6FTmFFeenkNzUKKIi0igQy745G5yr2sk9uTISq8jQUN5ll6CoIP1sL5cikahiZu9CtUrGCN694XW6KjXqVuUbdB3/9C7/Q230H5jsh3z5P72m/tIP/i+qjYoEMurteQSFiak7cDBDu/5CdTuTb7JJ/iWj/Df8SCohM/4lD64c5/CRxyi4tGfCfG/cTD4xZf43DPP3xyAm+cUdDm3eztNSY9zcqssF5N5FPOfXsCzcevsxzb01H6VLvqMxBKmvCdqyiiNhNszZv5D6Gt/7GvAdO/vjUf8VFvgBKH4Aiv+Ihfx/EVCIS96wxWcGG0/cI792F+ZOn8jQ1rXQ+g6xyP+ISfkenZCU8/rSNtau9ufMI22aDvBm3lIP6sgrjP4XmpTijGhuB+1h5/7LhCbKvAcq6NhVonn7QQzv0YE69vp/S2KxIO0N57av4ViYDbP2zKPuD0Dxv7Dg/r+OUUEoFH7m2P7/2pf/uJcrKCiQmpqKoaEhqqp/b3bsf9zg/40dktm5pKRE/qetrS239XvNun9jL/7xq2R9ys3NlesTaGpqIgvLxT5/RUR8GsXaZtSoVg1nK8MvwjP/+Kn/5f8hlZCbHEFYaCgpBZpYOFameg0HufDd/0yTllOUm0r02ygSUnIoU1ZG29SKylVcsDfS+UJu+nvaRCwsICU2kqQCDaq6uWLwuyGr7/nWH8/6X7aAQnp6+g9A8TsrQHbQFRQUyA8PJaX/oQ3w3/xFyOxcXl5OWVlZhZiQktJ/JKCQmUXmSVFRUfkIemQgowL8KMiFij4lHf+bjfif/Lr3NpJbSW6j7yy485889vdjlnVRKpEgeZ+YJLOBomJFCOLvBM8fnv2/ZvP/8CXxX9s9BYFA8ANQ/AGgSE9Px8DAQH6I/Gh/jwVkm51QKJR7KLS0tP6jPRR5eXmoqanJ+ynfrGUH5AezyCtifrTfWuBzoPV5gtj/mK3+7Wvlg93/h23+P7bE/n8P90cOxT+YgR9Jmf+eJfp/MYfi32OZH2/5YYEfFvhhgf8bFvgBKH4Aiv+IlfoDUPxHTMOPTvywwA8L/LDAX7bAl4BCKiLy5UMi3mUDujhUr4GrvdF7VsoCwq7/SmxxmZwn/VOTIBHr49q4Hk5GWl/EkGUEKBFhmVjWqYmh+j/JHyEtJy3yDW+jkimS6uBUozqVbWUJbx9eLiU/KYy4LDWcXB3QVv0tl8VftspnP/zaQyFICeVZfBmONVwx01b7lFAlFRD78iUJEjMauNqgIc7h5cs3lBlXp6aDCRoqH0q2JOQnhfM8oZRKLlXQL3vHozfxFAvLf9tdqRQlDV2q1KqHjZE2KopishMiiYiIJ7dUDQvnKlR1NENT7RMLnEQkIDn8LdGJaZQo6uNcrSr2svrmz4gcyoqziX0dRkJmIcq6llSt5oyZXLDqG7FtcQHhYWGUaNhRycYM7W8xG30HQ38NKAS57wh7FouihR2VnKzR+WyMYmEuEY8jKNY0wqmqLQZa70mvvkM//ugRX/NQSCWFJLwOIyYxA4GOKa5VKmOimMfbyBgy8oRf5lOoq2Ni5UBlWxsMtP5Egq9ESEpsNBkCFSzt7DHV+5qZ518brKgkj7R36YjVDTCzNkX9/fKUCLKJiY4kJikbkaTiHQqKSpjaVaGSsyP6v9MNGQNgdnI80VHxZAtl4mJ2VHZ2wlBblfy0GCIiI0gvUMfM1okqLrbofZaUKSkvJjslgex8CfoWDpgYa32ZqCgupzgjg+ScElRMzLEz1f7HPChSWedlISnZwP5CzoZURF76OxKT89CxroTDZ6y1v7W8RC5ElZCYjoqpE5Ws9f9x//616fsv+7VUTuYknyf5fH1qMs6fwsx3RMbmYFa9Jja63+c7EJeVkBrzmnelxtSq5ch7Tio5C2ZpUTpvXsYgtqyGm50ORWlRPIvOwKxaY6oafwh9yxgni3kXHkpsqRGNqluRHfeSJ1GZKH1rHwV0zOyoVbsG+ipSRKXFJIa+IiopB4m6KS51XLF/L/onH72ceCuLyOevSMgrRdPQnpp1K2H82d4hlUooSo/jzfNwskQqmNhUoWZ1WzSVv7XepYgFKdx7EoFFteZUMvp7cgI/AxR53Du3i/WbjhOeVgJSNSxrNWHA+KkMrmuOosJblnT05mRKLu/3mfezLkUqccJnxxpGutl9Zsw0Tm2cy4lnpvgtm0t9U9V/ii479tYGVm0J5mlEGkKpKtZ1WzDQezy9a1uiqlRCuUSFyAubCXpjymCfbpgoaaCh8f2T4n4jDnZhCTOO5jJkzjRaOJp83IgRJ7Jn/nyOC5qxZVovLIsfM3fBMp4ptGLuvNG42RlQoRZbRui5tUw7ko3XhLHUzDvFuJUniUuXkYl91aRS1MycGT13Fb0aOCAIPcKWHSe5+TSWAqEiJlXq0cXdm0FNXTGS0U+LS3hxaQvb9l3ieVQGpVIN7Bp3YOTI4bSsZoW2qiKivFhCTuxg3/G7xKQVoaxtgmunQfgO7kpNa4OvKhTKSXp8jlUBu6HxOMb1b4Gj0Z84DP/Cdvc1oBCmPCVw9QZuZFozwNedNvUc0JLvNUJeh+xi694nWLYayuBejbEz+Hv69PUwvgYU4tJIDi8JYP/Z+6TZNGGSjwc/qb5i485D3HqT/iWgUFbG0L4arXsPp3/bRjga/oONsTyTkN07uJOkQ4cB/WjiKhMA+l4tn5e3T3Di/BusfupFr05NMHnfnYLI6wTu3MbhaxGUiN8DClVNGvUcg+fIodT6RjdkRGORDy9x9OAxrj+PI18oRt+uBp36DWdAp5/Je3SQbZs2czvOmKa9huA9rg+u+p9o+UT5ydw5s4cj5x5i0ngQAwf3xNXkw5yKyYl/QfCBA4TEqvHLoJEMb1n5D5lRpaVFJL2MIDlPgn2jmphr/4VDSFLEq2tBHA96RdWengxs6fQHsKSU6F8vcfTwTfRaDGd0j5p/QHv+vebwv+Q5EhFFKUmEPoxC160eVW0Nv9TyEOYTefsU2w48ocWshXSvYvRdBl6Sk8K1XXM5ld+I+QtGYvtRbVRIZuxNFs3ZjbjNNDYMdCb66lb81l3CvsN0Fvq1RSYFAxIE+XGc2rCCA2n12TenI08PzmLa3ucofiPpWEFZFbufurFg0SxcNQp4EuTP2sC7RKXko6CmR9WW3XH39KClo44cTAhzYggK9GfnyVdkFpejrmdJvT4eTBnWDXtdRTnhVm70DXZs2UrQzRgEUmUMbVxo5j6Bmd3qvj9rPphKikSUy4P9a5i79y59V11hdP2/JyfwI6AofHOAQd7zyDfrTtfWldEuTObsif3ku/ixd5MvjprZ3N5/jtDCEjnrluzWolSeS0igP4+Ve7Hr8GraOFYg89zENxzbvYkdh46QY9mFPYd20MTys9v8+3GKRULKyhVQU69gl/zY3t3G09uX+2XV6N2mKWbiRM6ePkJxtZGsXTKZmhph7N4czNOYV6RkG2BTyRirhgMZ38kF7e+sQvob+fLD4xi0MZNJ29fQxcWCj6XdomhWuXuwuaQTIQGjcCi6xUjPcZwNVaPnzNUscm+DlZ46CpTydN80BmxOZ7b/IjpZZ3LpXii5RWUoiHO4sn8fCfo/0a1dPUw0VFDSMsCtZXuqqSSwcv40Tkap0bxpcyppF3P3yikSdJswY9YMWle3ouztGcbN9idWqSqtfqqLniCK4Ct3MWjiwUzfAdSwVufNmfXMXn8GJftGNK1hT3HcPYIfx9Ns+EL8+rbA+rPDWZD+nN2L57Du0HVcvPewwqc7Vc3+wub8J7aArwGFpCSHF5cCWbzxNGVuA1jg1Z96toZkh19kuf9aotUaMtLdnZa1bNGqQGp/e/sWU+a6sfM4Eyam3sAhjOjaGKVXB1i46wpiywY0rm6HhqIIKYoIc5K4e/kmWTq1GTN9HN2bVPl0K/pGz6XlKRxbuYTgOH36e42lY13L7zI+QU4qD66cJnDvHh5nqNPbexZjB7bHQn6+S0m4fYBVm46QpFGZpm6VUJfd8pVUsa3mRv26tTH/jA3+Q4cywq6yfcNagiOk1G3UjCpaRbx5cIdoRUf6evvR0VHK82vHOHT0IYou7Zg43+cLYqvy3DjO7VzByq1HKK7el/GTZuDezL7i8WWFPL8WyOoVa3goqIvntDn49aj9GTPvb81SnhVJSOARfs3Up9fkUdT9KyRa0jIy4iN5G5mBUZU6VLf/XOT763cKCb12lM1bzmLQeSrzhjf8ASj+5GqVlhUSd/8C27depeaEeQxs+Fv58pfBO1m49jbdNu9hxLcQ7Z981+f/ViFfPoodWW3ZtWsyzh+cvJISUt+ew3vYMkr7ree8T3VCTy+is88WpHadmLNhFaOayNammKLsCHbP8mN1SnPuB/oijLjKxWepKChIyE95zalDlzFtM4wu9S2QihTQt61KyxYNUXpzgmETFpFr1ZpeTWugmPGCkyE3seo0m4DpgzFXLOT5iaV4rjiLXZO+tHE1Iu31VU49SqPnjO3M7lMdChI4tHwSSy6k0q7HAGoYCHl+6yTX00xYsvUYfWp8YueUgY93jw8zfcx0gqLKmHUxhZlN/1ZAISX8xBx8D2Qxfv4smlYxRrU0h6MT2jHrRVUOXjlKc2MFygVCyj/wMSsokH57CyNmHafBhABm9mkop/xMfXqVNct28kSiirn4LffzXThwaAeNLL4GFFISbm0n8I4i/X2GUUnvkwcj+ogv3ec/Z8CqAEY2dkWPAh6dWojv2kg81+/Co4Ear4JOsW3nNi6nmNKqU1d6DO9NBxdz1D7naP4LC+3rn3wNKGKOTmDg+kwmb19FZxfzT4BCHEPASA82lnbk4poKQOE+eimRZQIKVOswZ+ESuja0Rku1jGf7ZjBgaxozli2iz082KIpFFeVkoiTWjRnFU8uhLBjfDQcjTRQUFFFRVyPj+ho85pylyvApjO7SFFvNciJubWPaimvU81yEX8+GxOwdzfRThfTw86Nv05rolmdyefdiVt1QwHfOTLrVVOHg7NGczq6Gh7cHrWpYU57zkp2L5hMsasmq2e40rGQqB4VSYToX923g3PXXPHrzCqf+K1k4qjNVzb4D4fs35uVbORRlhclc2LGINeej+GXIXEb9rMe5Pas5Fq1B/1Fj6NuiJgbfGUD+0ZL5PXGwB6UueE4bResaJoSfW8OyU6HU7OzJ0Hb10VOSIFVQQCQo4FXwdtadeUX1Xt549WmORmEGBaWK6BkaoqOhIldIzMnMplRBAwMdIec2LJUDin6jx9KxjoVcdCgvN4vMrHzKxCroG5lgYqSLmiycJpXdmLLILRajqWeInrZM1O3Llp8YQfD/Y++sw6pou7d90i3dpYCUqNjdjd3dLSoY2NiBimICdovd3d0FSkt3d7P3/o69sfXJ1+c53t/3OsfBX+w9e2bNPfecs+61ruvwUc48DaZQlElmsTwt+05i6uBOGEguayGvTmxn48lg7LoNZ2K3mp8kkGXk5JGXk/s+yyjM4aGfN76Hn2PUfhij+zXHUKGMiEcXOXIjCO26XRnVqwkyyU/Y67WDd9LVGDd/CvX1PgtblWVHcnb7Fg6cvUmGVjWaOg1h2lgn9GWhOCOcq0d3cvDINVI1atNtmDNTe9dGjjIK8tJJScukoBDkFSuho6eLViU50sPus3f9Fu5nGjB4jivtxHLxyjKUFuWRlppGZm4JCkrq6OjroqkmXi4TWz/nkpVTQLmUDBTlUiRQppKqDMXFJShp6qOrroh4OTE7K4XUjALKy2VRVtNC30AbFYUyAm8dxWfbuQpzsGFfmoNVXAORqJyC3EySk1MpFsqjpKqCioyIchTR1tOCklyys/NBVpaS3DyEspoYmeogJyomLzOVjPRciqVkUNXQRk9PByVZaQRlxeRkZpAvUMDAQCwVDWXF+WSlZ1KmoIG+pjwFmRnkFsugqalEdmoyOSWgpaWLroHWDw3+yksKyc5Mo0xOC1WZIpJSspBW0MTQSA9FmVKy01NIycxDQUULQ0MDlOUEFOVnk55ZgIqOIVoq4nFcRn52OhkFUugZ6aEsLaI0L4vUpBSyy0QoKKqgZ2CAupoiJTmJPDi6lXU77lF3+irGdKqLmcbnsSE2Bwu4LLYvf0D3jb50MyojMaMAVVVNDEz0UZT9mFoQUV5WSFpSEum5xcjKqqJnZIj2byyRSIBi9UR2prVl1+7pWH7KUIiB4gKTR6yieMAmzk+qRtDZ1fSffRJVSx20q/bHa6UrNtpCCsRAscAVz8QWPDw0B0OFUopKBUgJS0kOucbcKZ5YuexgQU9rRAIR0jKySAsKeLB5FJNOyDLPdw3dbQwQZUdxftdCVl9XYc0+H1rrZeA7wYnDZb3xWuNMLT1lsmKe4LNoPucVBnN990Tk3l/BZdQMCjstY90kJ/QVS4kKOMW8SR4IhhzgvFvjDwNPSH7iSzYvX4V/fCGPAkOZuC+Euc3+mRfDT26jWdFvCclUwdFBn6hXj3gRHsj9XZcprDWA5StHUFnp6xqI8rRnLBo3lQeqQ9nuNRprbUUJmcU8vMjhkyFY92yN0jMPJp5X4uDh7TQ2VPxGwEXsNjqFmRK30S/tyws559aT2W/rcOLQAuzEZHcfAAAgAElEQVS0lSUTY3HcLUb3mYb2GB9WDq1PwatjrPO5S6EogxLLbsyd2Y/K/4Cnw38CFKPGb6JSh5bkXb5KWZMxzJ/eBzsdefz3z/kMFI2/tC+PxXPkMJ6ZjMLDtRcWn9ZtS3i42YVZF6WZv2YubaqboiAF5RlvcB83jeQaE3Cf2IRbi8ZxWtCWxfNGULuyFjKISHqyj6nuZ6g3cR6D6xSzznUFZU0m4DqiIxY6SpKMydNdc5lzrJDJK9xwqmOJklQJIWe2sf58KA0bV+fJ5QMU1J7GglFdsKt48vz07cdFmWIDuYdsXbaKeym62OgJCIsSUn/QCEb1aSqZeP6d3ETF6f4WUDwtr8HkueNoaa/B27PrWHM2hLq9JzKiYwPUP05UJXm8PLWFVUeeYd/HmUn96hF+eh93oxRo1b0Hje31Kct+z7mDp4iRtcKpWy3eHvLiYkSlCqCopkjQw5ucOnOBp6Fx5JfKYeTQiM79+tG+rg06csX4XznI5YBMqrXvR7s6Ft+Yg4nIiHjH3StPyFDWQV8+nLM3X6HbeBiuH9xGKU/l6u4N7Lufg0OLrtQzElIiq0QVa3uqmIp9dL6PtigrkP1bN3M91oA+g3thLpNAbEYJKmoaqKhpoq1nhLmJDoKk5xL78tcCG8bM/9rLoyw7gjO+Plx6FQ6aOqhq1WTQVGcaGUqT/PY6x4+e4UVkNmWK6tTqOAbX3tVIj3jOmTNHuHI/mNx8UFI3oE777vToUIes24dYs3obAQXK1Ow8lHFjR9PaKI/7F05x7tZDItKKUdIwpGab7vTu6URdY0USAu5z5twVQjNLkUqIQ2jWkmaO6sSGxWHRYTDdHVUIen6ZAyfO8io4A4FADh1ze9r1G0i31jXJePQ7QCEqJuW9P2cPHuHS4zfkiJTR0tFGR0MJTauWjBjRHdm4Oxw/dIHUcjmyo9LQduzHlEmNyXh5hdOnL/IqIpUiaQV0zB3p2HUgvTrVRDbzPTfPnORlXmXGTu6LqRKkvX/Feb9TpJo6MaGrMa/OHOGifxGW1UU8P/+EuCI5Kls3oNeQwbRsZMW3LhOZsYFcO7GPICkb9Euec+F6JCqG9nTp35+aWumcObSP+6G5aJlVp8fI8fRqaED8i+scPvmGOsOm0LWmHiU5yTy/epxz/tIMnT6ayoJIbh725ejldySXgrKqDnWb9aD/kE6opj/Gc7IrR95moFurNT3GzGPFoFqf5pcKoNjN4tWXqTa8A4LnD3geW4SWrhXteg2ld68m6MgJKMyK5cGpE5y4dovw1BLklbWwb9mFvoP609j4e1XWvwYUnoxe85x2Qxrx7sgjas5dz7ye1Sj/EigOz8XkK/vyS0wf50HVmftZ2svmw/kIKcyKZKfzYPyUx3Bx21i0ZJB4o8Q8PsgEl720X3uQMTUTmN5pLFKjdrN1YkPEj/7y4iwe7prNpP3l7LqyGd2XvgyfcYmRO/wYXV+8DimitCCR3ZO741MwipvHJqEjNnUsTubCqjnsjjdjRhc9XN3X03trMAta/DPz+HddHoK0QDYvGInv/QzSM/UYvHATqyfURfGrNYlCHnhOYcL+VKb5bmN4Q8MPBX0iirLSyMgBPTNtgrcNovtRBQ78FlAcnorbYSkW71pDPb2PJlmp7BzUC0+5oTzYOkLi3CmZzHPCmNurC0ntNrBhajuk4vx5mqBIVbUYXqVp0bxVXckSwc9Wq/9PgGLE2A1UcV5C09zbbD75hjbOCxnZxp6o419kKL4CihjWjhzOM7F9uWvvL+zLczi/wJklYTb4rBpPXUu9igdpcTJbJg3gkfogFsxswFmX2TytOoxVU7thZ1hhfZ4fdgm3yV7oDJvDkLrZrHA5gGn/aTj3aYzRB4OhyIuLmeoRTE+PRfRpbA8Rl1i3ZD85DQYwsZ0ue1fOI85mMvNHdcX+XwUK8YUvIvyeH2tW+XIrooSm/afgOrY31c01/xWH0S/J6c/Ylwde2IC7zwWKtapRz8ZUYhgkzjIJCtJ5/egRmUoOTJjhSrfmulzxWsrJIGX6jnemWwNTStLe4OuxmWA5R0ZN6ETMic1cfK8mAYp6Mk/YvGUb95LksbKxRV++TGICV25Qh0EjR9CupgEJr+7wIiof81pNqGVl8E3aXfwWnk9udhGyKsrkBBzHc/9VVBp8ARQ57znis4otp99QKqONTHE6xXIqWFRrTp8hA+nY3AHNb5zihfGP2LzBi1NBYGWiQ3LoC+KzS1HVtaV1t8EM6dsaG0PV33UblQCFz1auhhdgWEWbvHQBDQZMY2BDVZ6fPcDp6+8QaVUiOykDi/bjmdBciUt7tuN3PRx122qYaYnIigwmMleLZgNH0kI9nB1rtvI8V4OWwycwoLUjZf5H2Ox3kyJdOxwq6yLKTCA6uQiLVgOZOrwrJa9P4LXag3tZejSt04Q6DWuhURLG5ctvqDFsDj31Y9nr5cu9DFUcHMVW4unEhr0nX6MRY2Y7UznlGj7bzvwgQyEiL/4tZ/ZuYNvlELTsalNVXZaYgJc8DUrApusEPBZPQi7wACvmriZSvT4tatfHsUFjaugncGDLRh4m6+FY15pKolxigsNJlbNlyJxZ9DbMwM9nI9ezqrFy/TRsVCDB/xbbPDcTZz2atWMsueG9mGX732Ja25aqZpbIl6cT8iYckUNnZs6bTmvzr5EiNfQh25c7cyimKs1qm6AsEJAQHkRCkTJVrC1RV5BCWuxMHRBMpdqjWO/em+KXR/HYdIfW8zYwvrkpRRnRXDvghe99WeZvnIXau1OsXnaAcrv62BipkJsqNtvKpvbA2UxqpMixFXPZeSOCKk5DGDBkJMOaVvkCKDJ5e2U702dvIc+0Ho61TNGRFhET8Ib35SYMX76eCY7yvLvhw/y1xykyr0/dKnpQkE50WBwqTYay3GUgRt8wxV8DirWM3RDK5M2LKTm+ggPRxixet4y6yrHsXuBSkaH4DiguMm3caglQLPsEFALy0t6wuv8EHjRbwe0l7SXzuEhYSkbQdaaPmoWxmx/Tm0cxquly7NcdY3W3ilgISwsJPb+MEfMDmHf3AFUeeDJoeQyeJ3bS0bLi5MqL87m2vCOzbrfk1MPlWJWXEH5zDW7L39BmzWpGKT+kxYCF9PIN/ReBIj+FF3fO8TZFjriHB/CLsWDZmuX0ra3/Od2Z9QznXoN5VX0Jp1f3R1/pRx0WIvy9B9D92JdAISDy7jF27LpCkow02VFPeREJtZrURVNWBr2qbZnk1orrw/rgVWkMjzcORvMDUIhyI3Hv1Y7IFhvYOKMjmlLlFEkpoCpbTK7Y1VRVWeIO97O3vwwUxU5c/lBDMWKMF+ZTNjCpiQwnls/lVHptVqwej8L9dQzzTWaOeMnjTwFFJqdnO7M8pjo7Vo6lloVuBVCUpOHr3Ic7ygOY71afU5Pn8br6KDwmd8H2w2J3YcRVZk1YjdqQOQytm8UyFz8sh8xkUu+GGKlVPB1irixlyhJ/ungupbeVNOe3reROpiODxw2lqX4CS2a4Em87mfkju2L3Ly55fLyWWYEXWDh1PgefZtPZbSXuE3pgo/+DxfyfffG/2d+fAYrgS1twW+bN48giNNSUQFBKabmAcmVVqtRpzuDeQ+jVsi6GWoWckQCFCn3GTaJbfVNK0/zxXbOJYHlHRo7rRMxxMVCo039sX3i2n80X3+PgNID+rWqhpVBO9NPL+F0Pwqx5f0b3aY2OTDGFJULklZRRUpD9neyNkLj7+1jzDVCUJr3hgPcK9j1JxaJ+B+pW1qQ4Lpg79wIQ2jsx3XUMzcyVKCoslizRScnII5/2iq3rV7HpWjTVmrWliaMtOoJC3j57wqssJbqPnMSkno2QT6vIULwS2PCtfXkFUGzhaoQ0DVvZkxQQgMi+F1O76XJtz0Hup6hT106B53ffYdppIlM6GhP27AVvo4tQ1FanODWQxzdOcjNIitaj5zK3hwbnN3lzP8OY4Qtdsc57y75t23hSZM6o0YOobaZJeVYMd8+d4kGiCj2d3aiVe5ONqzYRbdyFGXNGUEMbgm4fY8+RZ1QfNp9h1aV5cf8l8WXqqFcSkhB4m2vXLhMrqo/LcncaCp/hs+0U6t8ueQjzCbp7As8NfuRW687skU4YKoqIfnaNnbsPEmvSBc8lzsgEHGDNoh3ItnPFbWwn9GVyeHZ2F95HA2k4ZgaDWlmjJMwn/PFl9u29iLDOaBaOsebGtk1czarGKk9XrMVAEXCL7es3E1t1DGtHWXDDZyHrL+bQ3XUOfZvaoiRI4+mFI+w5/Y7GkzyY2b+G5A3445Yacp/tSydyvrATs+ePo7ZWGW+uHmLDhguY9JvJ1CHN0CyL44Lfds4G6rLIayaaYafx2HSL1nM3Mq6ZiQQorh/agO8DGeZ6TkV02xe3ORcxGzSW0Z3Ey5RyJKTFoVKlIc0tlfE/v501W27ScK4XY9rao6X0eX1fUJjJ28u+zFq8G72ey5k+ogGG8kKiXt/Ad/0uihrMZv1US04sqXgLd58zHkcTDUQFqby8epyD99MZtnQLA2pU+upu/kOgGL6S4v6bOD/ZgaAzaxmzIZxZR/fhmH6KxbN8KW05kw3OdpxcMJU1fxooyslNe8nyns4877CG2+6tP6Q+y8gIuYnbcFe0p/sxs1UEwxuupZbPCVZ1Mq0AirJC3l9ayfDpT5nx4DBW99cwcGUqm89sp23liisoBopbqzsx/UJjjj9dgX7ABRatWo2gwVrcJzdEPfQATfovps/2UOY3/ZcyFOJWFEFZKQKRNNkhZxndbwaao/fjO7MFKh8e2Ek31tB94lmG7D+GcwOj32iT+RFQlBN4ZhPuSw4SKysuVIsjPhOMzM1RRIhxzf6s9h7G0/F9WCMzjIdbh6H1MUORHca8Xl1IbL8Rr6lt0Vb+Z4pKvn0mfVeUecSVIZszcNu5FiebL2oohJFsGDWGHeVdObN2FJXz7iAGCjPndUzvak/JywNMXrifqv3m01rmCtP2pjFn1VL6NrZERe4DCJX/foZiqSRDMYE6lh+AojiFLZP680hjEAtmfMhQWA1jlcvXGYpZzl5oDxdnKHJY4bIf0/7Tce7T6HOG4sISXNaE0nfVNMziruB18Dk2rQfi1MgW7ZIQNqzzJNG8H5MG9qCJY2U0VL5fn/9Pn+W/pUMhyH3H4TVbOPEwjRJREllKNox0nU7/Vg5o/kvFmB/P7c8AReB5L5buuYOyTXNa166KbEY49y+c52GiEu3GujCxXzsstMTFuekVQBGsSt+xk+ha30QCFOK3y2DZmowY+yFDEaFJ/9EdSDm/Da9DT1AwqYyZjqoE7ktyUgiPLqVe73HMmjoQB8NvE9i/dVV+DBTiyTs6PIi4fNCvYo2pthqC7AQu7d7IkUf5dBw+hKpyIZw8dYeknDLkDavRrp45CS+vcztFm6GTptClbmUqUUbUy8v4bjtBvmlrps0ejVVxwJ8ACjmcRnQi++EVAvIs6N5aj+dXblFo1Z62hvEcOvGSyp0nMr2rOYF3LrH/6BWCMsuQFZaRnRBKZJ4W3SbOY/FAI65s8eFuhhnjlrugE36ZNcvXcS1SgL2NGSpy4ir5UtITYsmVq8qQaQvpqhfKtq2HKas3miUzOqMpzOXp+b3sOPyU6sMWMra2NDdOHOTA9QAKpOWRKkgnJiYKgU5jZix3pzEvfgwUxcncPbUNrxPBtHRei0sbUwno5cW+4PCOzVxOtmPBMmdk3/mx2es8VYYuZfaAWhQn+HNy5xbOR5gyc+VsGpmIHxoi8mJecNx7I+dS7Zk514mQ/Zu4kunAyrUuH4DiNju8NhFj9REoPDjgr8fcnR40FXfOiEqJfXUdX88tpDtOYtXsrnzZN5ES/IA9K2fxUms8XuuGYyTKxv/mEdauOUONqeuZ2cMeQVYsN49643O9gKmrZ6MTcZbVm27Teu4GxjU1oTgzRgIUPvdlmLdhHgZxN/FctoF78eXoa1VCQ9MQc4d6dOzTg9ZVVQm7cYiVnhdpvnwHE5p+X5QprqFYvO4GHdbsZUJTY6QRkZ8Swtl1c9kZVZtVS1pyzMWZvRFyNK5ZGQUZaaSEZRL7+Zg0eQYv3caCvvZfZa8/AsWu9Hbs2j0Ni09d/UUkh1xi6oiVlA3awsnxthVA4RXOrON+dNZK4PaeVbgfS8J5wWwKLi9jTXSzv5yheNh0BbeXtv8EFOniDMXIWRjPPsz0Zh8zFMdZ3a2iOFmSoTi3nJHz/Zl7bz9VHqxj8LIYPE/upMMXGYrryzsx625rTl0dwcP5k/EK1MFthgvVdKE07CzD5m6nzbwzzOhogamp7ie79P90/v74/Q9LHsVEPnqAf54Bndo78NHyXZgfzJQaTYnpvZODHt3RkBFHPZvTC4cy73ltzhydj3Ul+d94E/oRUIjITYogODiOImmIvLuV7deFDHebgLWaHCrqJlSracaDRT2Y/sSeI8eXUV2rooaiMOYKw3rPxXSSL0sH1/lKl+BnBeNH+/kWKBLOzKH76hAmbPRmYG0jVD6mgPMDWDJ6DA9Mp7FzdneMsq5/AApPpnetha5UMmdWzWbzEylsq2Rx8bUqSzxX0KfRlzUUvwUUZTzxcWXmqRLcPBfSoYaZ5BqVZbxgzig3sutNYv745txdMlLStrrQfQz1quhIaijiH+5m8qILNJs8n8F1yljvupD8BmOZMbILFrrKSFHEg21zmH8e3Ob2I/WiB2uOBSKvYYCmqiIyZblERLynWMkYxyZdcZ07iRZ2Zij/5LWlHwJFUTr3Tnmx9sAbbNoOx6laDsd3HCJRuwMuM0bS1Nbgp98QvzeW/gxQvDu7Do/TIdTpNZFRTg1QLc0g/OkV9u4+wXuZ6gx1HkWHupVRFAOF5xKOvVGg96TJ9GhSmdKUV2xdvoUwxVqMnvwhQyEGilHtSL6wnR1ng1E1M0dPVRahpNNKGmm0qd26Mz26N8NC5z8BCiH5aXEEhyQio2WKnY0xSpJ+dgEvjnmx7cRbqvccjINGLGdP3yU5uwQFQzvatrQn5/VdXmZbMGyaC62rVIB+fuwzdq/x5rWwKmPdXXEUBP4hUFyJkKfn1BHIvTrD+UexaBrqUZYnRY3eA7HLucm2o6+w7DyBoTUKOLxjBzffl2NdvzHVLMyQinnBuQtvMek2mgVDTLmy2Ye7mWKgmIp26EW8Vm/lUYoidlZ6SH/yXpFF08CB9l17YCvrz44dJ6DhOJZMaoPKJ6B4TvWhLjRXfI33luOka9lTp7YjVbQViX18g1svS+i7zJ2mPP8xUBQlcef0NtafDKPV5PVMa2VQEZ+EV/jt2syFOBvcxUAReIQt3lewHracWd3tyEv058QOMVBUZo7HLOobfYzra05sXc+ZNFtmLOhMyDYvLiXbsnyLG9XUIO7lDXw8tpJYcyyeo8UZCg8OvTNk/l4PGlaSAVE5cW9usn31epIdnVk1pxs6Xwx6MVDsXTWft3qT8fLsi3ZZNgG3j7Ju4yXqunjh0t6CkqxYbh+rAIrJHrPRCT/NqjU3aDl/I5PaVqYwLYrLu9ez7aECi7Yvo45qPqEBj7l37yHPXkdKCkXTC8rQrdmD+e4jkH99hBVrL0iAYuJvAMWS9TfpvGE/Y+tVxK8gJYLz62bgG1mLVcuac8zFlXMZejS01UUovjkk+inyqKqZ07rvUPq0qfpVEWpRRhwX1zuz5n0ddu5aRI2KFWIoLyDhlR8Tp/hgOeMk67qqfwEUR+hlKiDj/X02ui3irmw1rORCuFfSkdsH53xTQ/GjJQ+RpNZjr2t/9jOEs3snoy8lrqEoIurhXsa4+NFzw0GGV0/GrfMQygbtwmdqM0ktlLiG4s62GUw5IsvBKxvQerWTES7HGbjtGBMaGUpgs6QwBt+xfdgrO4lry8yZPaAfJ+IMqWWli5RY6iM/kVfBMejaNMap/zjmzxqA4U9O6n8AinIeb3Jl1uE4xq7eRP/m5igUp/HUbylj51ykjccpPEbUREH8WpQXhPvgATyvvZLjC5xQ+82uih8BxZfTtZAAPxdmHoKlu9dI2sg+1nwlnHWj1awbdFmwgbl9mqAjSuf01inMPZSB65aDjGxoiOIPxTt+Plp8J2wVeoh+vT2Q6TCSGS7DaGiijXxZGgEndzBz6THsZm9lQb8GaCRc+hoolKXICXvIcveZXHgVTaxiU3y819K7YZU/kaGAjPubGDTnEPrdXZg7ohvWlUp5cHwF872f0nLKeqZ0q02832ScD8TQccIcJnZriHZJLPvXzcDnjQ4zFi2gq4M8RxdPYOd7Q8a7uNGrkRUlMXfwXDifh2p9WTejF1JRd7j9KpLcIiFIyyBXmMj1a9fI1qpLp47dGTjYiWomOpKi0J+5fQ8UJUTcPcqqlfvJqt6ZKeOH0MgE3hzZiPvOJ5i2Hc60cd2wM1bnn5Fo+f7s/hJQ9JzIqM4NUBfLgxRnEnBuNyt3XkOufj/cxvejlqkM1zfPZvPFGBqPms/Y7jVIurObFauOInAcgNv0DkQdEy95aNB/XG9K7+xk18UkqncZQtfmVlRSFJIT95bHbxLQtG+OU+s6GKh+U+DwmxfoRxkKERmhDzm4bS8hAiv6jRtJEztN8sKe4rdtEzfTjOk/0YUOdoqkp2ZRUi5ERkEFLU1Z/E9vY9+FIGz7uDKmeyP0pTJ4c3kf63fdQKZ2P+a4DcO80P+PgeK9HL1nTKNy8k327zvE4/cKWDfuzOiZvVB4eYRtx95g1WkMXfVDWLvtBLnWvZkztjtGUmk8PLaVjYfeYd9vGouHGHN580auJRsydsl8qqbfw3eDL/7FDgwe1QcHMwUoyuB9wCsC01Rp6NQV86y7+O44idS3QOH3gur9R2KZdRGPY1G0HefOxBam5Me/lNQ3XArUZNzyhTT+LaAQ5PPu9lE81++l0HEQ810HY6cqIvDGMbw27yTRoherl0xC5hNQLMOtuz1l2THcOLQV72OBNJ20hPG966JWmknAjSOs8z6DoPYo1jo7cMd7GbueyTB+3WZ6mhdz79gW1vrcxqCXOxtGm3PNeyGe13Lp676WSe1rIpsXzbWD29h0IpAWzsuZO8DxKyiXZChWzefdHwDFLQlQFDJl9XxMos6x2N0H7WGeeIxpRM67a3gtWsX9spZs9HVBK+klt4MFONatgaZ0HrnxwVw/sJWTwTrM2utD9djjLPE4Rn33vUxvb/FVJqFiyWMbM5fsQXfwKtZO7IWhfB5Bt4+zwmM7BQ3d8Ha25NDcaZxKq8X0GSNwMJFFVFZAYuhj7gYIaDZwOB0ctL/ab1lBGk+PLcN59Us6L1yKc+9WGMsJKIh/w5mNnqy7ms+MU8cZaFryNVCYS1NenE3g5X3MXLqSoCwlFBpM5v7umRh/VZT5I6CA8sJMnm6fwIDd2czcuIkJLaoiTHqL7+qpbA+wYOMeX5rrpLLbpSsbkpqzecMS2lupkfz2MkvmuvHcZDqXvUcjH32NqaOnEll7OnsWTsCyUhFvr3njOtML3SlXONhfkZN+frxNLK3QxZCSRpT8il2n72PrNIUhPTvRu2cTfq8Z+u/M75+KMtMCjzBzoDsBleyws9RErqSQuKDn5NgOx3edG3VNVCVCPcWRVxnZeQp67sfwHFATud+sWxDhv7UPXY+psP/wdpoZfd/lEXRiHotPSzPbayGOup//L0h7x7KZQzgSrEYNy8qStcO3wQFotXdjy+wRWOso/iWRrL8TmI/f+RYoRCXx7Jk+ltW349CvaoepuhLygnyS3r0j36Q1C9YsoKWtMdLhpxk51hNj5w24dauDrrL47aAE/9NLmTzVh2cqzdmxY50kQ6H8ackjmtVDhvPCZAQeM/tgaaD26dDFrUXbV09h+910jAwqo6kgJPL9O0Q1+rJspjNNrPUojb7DssVzuBOjiJmhMUplmfjHplCz5zTmjO6BrZ48Ebd3475+BwklhpjoaSPIiCQgT4VBU9yZ0KUelaSKyC8srWhjlZJGJsufpQsXEGc5Brdh3ahtqY2C3M9XJf0WKDIi7rBtpRdP86wZNHUcnRpYUklOmpKUcPx8VrLrXjath01mXM+mGP9kFcnfGi9/CijOrGHV6TBq93JmtFN9ND6szJVlxHBsx1J23k2iad/pTOjdjKKnO1jouZt3+VrY2ZghW5JOWFASVm2GM31KRyKPbuJimBoDnMdRvewZPpv8eJooQttIHSU5ISVZ6RSpVKXbiFH0bmVN6tNrkgp8q0ZtaGRv9DvZGyFx9/awev81lBoMZ/pQ8bq+eAklmut7trLryH2yNYww0lOmJCWe+Fx5GvYfx+QR3bDS+FZETEBS8FX2bPfmxusCNPVNUCGPpIg4irQdGTx1CkPa10Am5cVvA0VWJKe9N3H5vQx93ObQSD6cA+s92HI9l5YTZrF8SlMSbuxn65HXVHWawBCbDLy9NnExqBhLW1MUy3OIff+OsFglOoybwzLXurzcvQ6vo88waD2Kod0bIh14gb1+TyhU10NHo6J9Lze7BJ0anRk9ZSjaYefw8T2JVONxLJnSDlVhDk/O7mX7gefUHOpMPcEjlq/xI0WjMtUMFSnITiDwbSilleoxddFCWqqFsNP7JBpdZ7NwZIMvYi8kLyGAszu82Hr6DcqWNhgoyZAWE05IVBo23ZxZvWgiUm/92LLpCjYjl+HWq5rkTTn8yXm812zgbqIKlnamKAuKSItPJEfeksHzFjGurhwPTm7BfeMJSvQcsTdRpSA7ifiYXGx7zsNzdBVueC9k8aG3GNSpjqlKJQT5GSTH56Di0J25S8fT2Ojjq3nFqE8JesDuFfN4ZzgJL88B6JRVLHl4rr9EveleuHa0lGQobvptxedKAVM2LMOh6DnrF8zieFQlGjlaoEAhcaERlOi3Y+1GV1SDT7FiwyFyFK0wUIfy0jxSE+Ios+jG+lVTqRRxlnmzFxGh245BY12Y3rnap1tQ0nnhi7sAACAASURBVOVxaScz52+jyMGeKup6SItbYxMTSBXZ47xxGYOspHlxzpfl628gMKmMroYUUoJSinKzQb8VM5ZPo6He10vk4hbthLfXWObqxuVsbRyrVUVTRkB5TjJxEcmYdZ3G6sWjMBRkEXjagzEbw3A7dpI+lcXzuJCC9Pcc8RjPLO/XqHRbwJNdMzBSrXjLErd3JwVeZNooD6zn7GNZH7vP87iglPSQG8ye4czTvKrUsjBAmJfK29hk6g5fiecEJzSkCgi+5o3L0k0UajTAWk+J/NQI/AvUmLxoC87trSAvkYvb5jB333MqV62PrnI5qVFvea/ZiJ2bN9LCXIbc7ByKyoQfVhBElAQdxmn8epzWPGZeGx1UleWIue6N73MNJs0eRpWfoA/4RZdHDu+uX2H7gUM8DUtBSqiFQ4tW9Bw0gHaOpsh/UP/KCbvEgvlHaTDbg0F1xAqav/2q+v7EXGbcUmLRkjk46nyrlCkiN/4tgfFgW6saGgpfPqRExPkfZ//OQ9x/kUK2+FjatKff0AG0stZH7gfta/8JNPzed783BxOSGvSAkyfOc+VRACk5OcjJKFDFpgFOgwbQobEDGkryCGLusmzVYfR6uzC4mQ0aihXv0aUZQRxYu5L9cSbMmjmFNtWNPmdbBEkcWLKUEL0uTBzUChOtr1PYaeE3OH7oADfuvCe5UIUq9ZrQfcgAOtaypJKiLKLyYkKfH+XYgTM89E+mUEqP6h2cGNivG3Ut9CXy32V5yTy+uY+Tfjd5E12AnJYlDXv2Zmi3lljqqX+jlAnkhuC9YSPJ5n0Z2aUpVf4NpUwZIa8ubGbv1Whs2g2ld9u6GHzoSBGn9tJCb7PLdy8puk0ZMqg3juba37Qk/zOj4Y+BQovIewfZdycOm5a96dbYns9JAxEpIdfY63uCVPUGDBjRC3vVLG4dO8TRc7fJVDaiQfM6SGWkImtUh+49G5F04ygP41Ro17sPDc0g8NEtTp+7zP2378krEmBgUZMWnXrg1LYhlnpyvLtyhEuvs3Fo35MO9ap8VWz3dUREpLy5wIFLT1F0cGJgx8ZUXNYysqIDuX3hDCduPCIiqQhlDUvqtXWif9/W1Kis80PBJkFZNhEB97l27Cx3ngSTVCqNgVUDnHr2pVPrGhhqKFEU/+w3gaI8L4G7J4/zOF6aVoOHUU8jh1vHd3DiZS6NBkxhWEtjIh9f5OT1MIyb9KZvA038b57h0JHTvIrNQs7AnKoWhihlF6Jp345hYzpQ/OYcO3f7ES50YMCYMXSsUszDi+c5feMhIfGZKFXSxq5ua5y6dqNZHQvyA29x8vQdqN6DcX3roSTKJ/DeRc5cCaJq52G0NyvkytED+F27R3KJPNqWVbHQUUc2v5RqnUfR1CCdy6duo9JkCKM7V/ta46G8kOSI15w9foRzt5+SIdREVyx3XpqLQL0Rc5dMQT3uBieOP8as83iGtBRX9gspyknm3cOrnDh9hYdB8YiktTCr2hCnLu1o3a42xsoC0sT73b+fM3ffIm/pQMP6dpTHRSOy7smkjppc9fVg+91SGveyJ/z6AxLypanZuCN9+/Wlfk3T79tGo/25sNeHSO0+uExpi0Z5HuEvbnDoyCPsB7jSv6ExpXnJvLh+klNPiujrOhFHlVxeXj7Ozn1niREqU6tlKyor5PE+XYtR00ZjVhrFjTMHOX32GVE5BUhpaWHVqDW9nHrTwdGUopR3HNntyfEHOdTo6YbHhOafWp6FxTmEPzrPjv330GlWjfgHt3gZloGpXX169BlKh3aOaEsLKEyP5N75Mxy/cpe3sRkSrQurum3p0rUHbZrYofFd8k5EaX4Gb+9d4MipmzwNiaZUUIaGugGOTTrSa3Av6lnoISrJJeruAVYeiWXwilW0NqxY6xUXSca/voCn117CqgzioPsQdD50kki6NqIesWH5fsyGLWJcK/Ovbj8xUAXe28O+ved4FVqAQMWURj26M7Bfd2qJAU+slJmTwN0LW/A7+IiwDCFqBtVoPXQAw5yaY6gqi0goIDv+FWeOeHP2TDBJAmXM7OrTafRwhjSxk2iSfLWJBBS/v8g49920nHOMUY7yCAVlBB9byOJbOizdPAO7n1Cn+Y2XRwlRIYHEpuYhhTIGFhZUMdX+ahIpzUuSqMfpWdthoPZb9RMVp1KQFExgmjQ2tlWpJP9XvTyKSIkKISY+jyKUMbKwwNxI8x/p5PhrQCFBUHJSEoiMTSavuBhpaVm09c0wNTVARVxdLwWiogzCwhNQMLTAWFvlcyZHVE56TBChWXJYWVRBt9IX2RZRCfFhoeQp6FPFWAdFuW+T+aVkJrwnNjaD3FJ5dEzMMDfVRVn+c0W/WAY5OTqS+JRcSqXUMLKojLGu+leCX6UFKcRHxJCUVYKMig7mlmboqiv/2MujLJ/oyEiKlY0w09dC+buR+nMe3l9lKOSkSY0OJC5fFkNTC/Q1lL8CBpHYr+S9WL9eBWNzc7T/Af2RH53Vj4FiFc8ENZk8Zwwt7HUozIgnLqMIVW1D9LXUvmptFZblkxAeRVaZAoZVTNFWk6cwNZHYmHgKZFUxMtFFWJBHiZQK+gaaFKcnklkkg66hkcQTQ1iSR3JiPHHJGRSXiaikbYCJqSlaaorIICAnNYGUnFIq6Rmhp1FRe/Rbm7igMz41C2k1PYz1tD5PQMIy8rJSiIlNJDO3FDklHYzMTTDSU/1ddUrxBJuVGE98Qgq55dJU0jXG3MwEjQ9FRmKg2Ofly0uxDsW8r3UoxCCckSQ+Vyl0TEzQlBeQkRRNSl45WkZWGGjIUZCZQlJaPopaRpjoqlCcl058TDTJWYVIq2qio10JuaJ8ymTUMTI3lrS8xsXEkFWsiJF5FUy1FSnMSSM2Np607EJkFVXQNTLH2FAXZVkRRTnpJCVnQCUDzA01kKGcvIxUklPzUNE3w0hDhpy0RCKjY8ktl0FZSwdtVQWEeTnIaJqho1ROanI6spommOmrfVFXVk52YjSB/qFkKyhJBLbKhDIUZEdw5+x5EpRbMmfhRCpLpZGUmIWSvjkm2h9fJISUFeWRHB9LTHI2IiklNHRMqWKmi+qHIiZRaTHZSXFExacipaGNkb4WJVkZFCvqYSSbyAVfT/zeGTFt82S0EmPJLZPGwLQKlU30fihsVVaYS3JcNIXyhlhU0UVOVE5+dhoJiVmoGllgrCkW+CohOy2RpCyhZH4Ri+uW5GQSExFBpkAGfTMz1CgkJVuEqWVl1GSFFGSlEhsRQ3pRKVJKymibmGNpoIfYGkgiSJUYQXRCPir6lthbfj42kbBMcu1jE3KoZGJAUXI0SZlFqOsZY2VpjsrHJXeRgNL8TKKiKsaEWIhN28gCcxN9xK4EP9xEFZ4ayXFxxKaIvWuEKCqqYWBmgbG+umTOEatMiu/p8IQiTGxt0flYYCj+bnE20RFhpMoYU9fahE/2NCIhpUWZRIbFo2Rig/lH0vicp6C8NIfE96HEp5YglNfA3Eb8nPjCo0YMFflJxIRGk5IvRLGSARY25t94eZSTlx5JZGgSOQJ5NPRNsbIS1/X96M4XISxI4U1ILDpWdTFTrxDDy00IITRdHtsaVqj9hLq4X26jf/A8/GVf/nOA4Y/28n/RbbS8MIBNk9w59jwLq54DGTuwG41sjT9PLH900v8L/xcJSAx+wNUzBzhyOhT1et1xW+L8lfT2/99hEJIUcI+DWzdyO1WJavZWKEqVkBIXTkiygJaD3Jg5uCmV/mz5y18IVkHSW856r+VIkAnuB5dRT+nfqjb6Cwf566P/X0XgF1D8Aor/igH9fxEoBMWh7Ju3gh2n7pJm155Z01wY0sqBf6mj+b/iuv3hQYjKCbyxiy2bNnA5QIMW/ccwc+5gqmv+hPzqH/74f8cHCjNjeHrVjwOHr+IfnkKRsgIalna07tSfQR1aYW/8tUbCzzrqotRQrh3w5VyYIS4bZ1Ljo6Xsz/qBX/v5FYFvIiCVl5dX0WPza/suAlJSUqSlpaGuro6c3L+je/G/ehlKSkooLi5GWVn5vzbWIpGInJwcFBQUUFJSQiTIJzYohMi4ZAqU9bC1saayvsb3dSj/qxdVct5CiX15WFgYKXlKGJhZYm1rKimw/d/ZxH4XGcSGRRCbmEGJnByq+kZUtayKsdo/B1aCkjxSY6NJylfEqoYVlf7F2rP/nWv760y/jIBUenr6L6D4jTEhBors7GxUVFSQlf0HcpK/xqIkAuI4l5aWSv4UFRWRkfnvTM2KgaKgoEACPGKokBy7WAtCUpgskvS/iz/za/s6AuLrK46TJEoiISJxnP7XgiQlhbSU9GdLe5EIoTgW/2ggxHGX+iDvLPzfi/n/2hj7LzhfqeLi4n90SP8XnON/dAjJycloaWlJHiLiifHX9s9EQJydEC97qKqqIi//E/qX/oHDFBdligFTDBNiyPy1/YrArwj8isCvCHyOwK8aij8YDb+KMv+d2+X/Yg3FvxOZX7/yKwK/IvArAv83IvALKH4BxX/FSP0FFP8Vl+HXQfyKwK8I/IrA347AbwNFdihHLz/HutUgHA0+akiIyI0L5drtZ6Tk5yMja0r1pk1oaKeJzA+WAwrTgnj2JAXr1s0xVPlr6ooisbPe00c8948gR6SJQ+NG1HUwRUls/CI5XRHpYY8JTFSmRkMHNBR/z13xb8eHbzMUuRGPuPmumBrNG2KuofxZZ0CYS8DduwQKzHBqZIdaeRK3796n0KARLWuYo6b4sQZDQHrYU24GFVG7YT30ikK5eP8tOQUlFUsqEhGLilUosXiJnJoO9Vp2wNZIAwWZImIDXvHiZTCpRQpUrlmH+rWs0FT+rAdSXpxByNNn+IfGUiitg0Oj+tSoaoiK/MffF1GQGYv/g2cEx2cip2VB3Sa1sTTSlJjqVGzlxAS94NHLILJyxUZR1ajX0AEjLZUf9q7//eh+/ua3QJGfGsaTW/4ITeyoXcv6q/7rsoIEnl99RZ6GGY51bdCrJDbb+ue3b3UohOWZBN1/wpuQaHI1zGncoA6mMmk8eeFPTGreZ9E3kQiRsgrGVtWoXc0WQw2VP5YLFxYSEfCK2FwFLO2rYfanfTr+XBzE4kSRITGUqxpQxdoclQ9lK+W5Cfi/fsGb0ERKBRX7kpKRw7xaPerUqonet3Yhonyi/V/z/FkQ6QLhF8uC4noSVcxsq1NFv4SYd2+ISlemsr0j9RvaofPpfgBBSS6J7wMlPfk6FtUxM9NC4cv5pKyIzJhowpIKUTazwMFM84+VcgXlIBSCrFzFPfVXN1EpKTGhBIenoG1dl+rmGr+zBwFZCe8JDI5BwcyROtZ6v6sB8lcP5f/7z4uEUFYGMrLwTf2URKMkNoSXb5Op3LQFNtrf+JD/zeCInTmjXt8juNiEli1qUOnj1CcqpzArhgd33iCwbELHappkRb/m+qsYzBt0peEnu3cRZcU5hD5/iH+hET2aWpEYcJsrr+KR+ziPfpzLxfe/FGiZO9CqVTP0FIWUFqTx9sEj/MOTEKiYUK9lYxyq6HyaX0UiAfnpUTy7+Yjw9CJU9W1p0qYelbXE/ksVm1hAKzUygIe3XpJcLo+xdW2aNndA+7MgBoLyfF7cucaLsBRkpLWwbdCQhrXEXkL/zPZjoChP4cqGhczZ/5xxu58xoY6s5AYuiL7DusVbOfsyjJziAqREWhjXasyY2RPpW9u6wuvjw1ZWGMa+tXM5F1KZeRtWUk9P4S+oGYp4c24Za3yuE/g+mUKBCoaO9eg/xY3RTa1QkMkhI0vI+2s7uRykT59JbdGR00NfSx7pn1w8/i1QxJxbguuBDEavWEBbKz0+dWKVR7NjzlwOFbdij/sATPKfMmveIp6VNmfhypm0sNahQiyzlLenVuNyMB2XOdOplXOaUYv3Sx5A4vEnEE+CiAu4pBAJylExtmPqyi30bWBB6pPtbNp2iievoskukUO7ajWcRk9hXKe66KspICrN5d7JdezYf5OAiDRKRSoYNWjJmAnj6VzXCnVFGYpSgzh5YAtHTj4hIqUAGWUdqnbsy8xxAyXKcPIyRQQ9O8uu7X7ceBpOQaEU6vrm1Os3jpmD2mKl91kO/GcOyW+BojjZnz2eXlwM16Df9Al0b2KDuti/RZTLkxOb2Hb4LdZdJzCkV1NMP+pb/8wD+sG+vgUKcdvofvdV7Dp5lwSrNsyfMYmmsq/x3LKb2wEpSH+EX3EBnoI8GkY2tOk9khE9WmP3B/brorIULm735nacGl2HDKWlg/5PO7vy0lSeXN3PsYvBWLUayoAeLdH74GGdHXyV7d6b2HctlGKh2HxMhLS8Mi0HuuA8fhQ1dL85DFEyN3f6snHDUYJKy7+AKCFCgT4t+o6gnWMetw9t41qgNq0GjmG62yAcvmgbLcuJ586J7ew/cQ/NJkMZMXowtcVa4JKtnLTwJxzfs5fLMWp0Hj6eMe1svxIM+zYwwqJsIp8EEJMFNu0aYKL2pUH3nwyjKB//m6c4et4f2x7ODG1l8TvQWkLYwwscPHgDjTbjmdLH8YeKon/yl/+3PiYoIycmgpd3gtBs3pxaVl9alYGgKJvg20fZsvsZbZatpq/d1///u8Eqykzgqs8cjmQ1w8NjHJU/vm8Ji0l9fwN3N1/KnBaxc7g1YVc3M37VOcw6zGLl3D6YSoamkMLsSI56LmV3SgOOL+/B831zmOLzEHk5WUnxscSkTFoKySuwlAzWrfqzavVibOUzuLl/AZv2vyAmOQeBgjbWLdoxZvJUujvoSoQT85ICObh1CYfOhZJaUIqiugnVew5iwcSh2OkqIBKUkRhwjo0bfbn5IIZckRxaxlY0HOnCqmGtUZYRUV6WyNUj3mzefpnw5DxkRKoYVa9Nz6nzcWll8XdD97vf+wFQlBN2w4c505ZxPlLA8mspuDUWA0Umx1wGs+xWLt1HD6eKmgzC1BDOHT1MSuPpHFjhgrWmLMLSIqL8n3D8yH6OnzlCukkfDhzeSVOj74GiJDeFtFzQNtRD6YuWprKIy4yc6EqISgsGtK2LpiCDy2d2E2XYh00e7jTQCOeQz0UeBT4hIk0X6+pGmDcZwOQOtqgo/NwOge/sy/1cGLwljRnb19HVzhClTy/171k3egzeRZ257DWWKvl3GTVuGqf9ocv0layY3JUqWipIU8LL/XMY6J3MgtXLcDLN4c7TIHIKS5ESZnB59y6iNJvSp30ddFXlkVPVonazNlgKg1m+cBbXUg3p0LwJ5qplPL1xlNeiGsyau5Autc0oenMQlyUbSVWvT7v6DmgUx3HuykVENYfi7jKSOmYKvDq2mnk7b6Jr15ZG9maUxj7m1P1Aavabz5wh7TAs8WfDysVcj9GhQbN6mGvKE/nkLNeiVJm0YCl9m9mh/g900H635FGaQ9CdY6xc60e6TUfmTRtOE0st4l+eYu2aHWQYtGbU6JE0tTdE6V9qwPleKTOAjc6LOBsC9QcNYXjXxuB/gOV7biBlWp+mNSwQW7iIt5KcZB5fu0GklCWjZrrSr2U1VH8HfkVliRxbu4KLURoMmOiMU22j/3gCEJaXkR73nrtXz3L0+CECslToM3kRUwd1wuDDJBl5ex/rfE6SquFAqwbWKIp7A2TkMLWtjWMNB3S/MzQtIPatP69ehpIhEFUk2EqyefvoGo/DBLQdOYOBLXWJeXSWw35PENm0Y9qiyV8JW5VlRXFuhyfrtvmRZ9sdZ9f5jGtnJXnLF+/r+ZU9eK7bzKvyOoyfOQ/XnrV+V7WzLC2EizsP8ihFm/7zJlBH72+81YrKSIsLJzQiFU2rWlQzVf+d+BcTePMo3j7n0Owyi0UjGvwCij85WsUvQZH3z+O96RqOs5cztLHpV98Ue3n4X9zJ0g336O69h5E19f7knn//YxL7co9x7BDbl++aidUnoCgiKfg8k4avoqT/Ji5MdiDw9HK6Tt5GqXELZq8Tm6zZI4eA/IxQds93xTOxBY/2TqU04j63/BOREqvWJgZwZN9l9DuOpkdtA4kvkqapDU0bOVL6ah/D3DyRsu9L38aWCFLDOH3xLPJNZ7LVfRymctk8PjAfZ+/7OLYfTgtLVdJD7+N3N5CWU3zxGFYPqawwdi6bwtpHQgb1GYhFpWJCH57kZJgMCzafYGRtFZKe72KC6zrK7QbRpakZcoUZ3DqzkxCdofjtcsf2axuXnxLX74Ai+/11VqzYRkG5gNN3X+DqF4lbYzmkpeLYMX4e/rY9WTC+G/rKsohyE7m8cSqTTiqz55QvLasok/D0El5rDhGupolh4TOuptly8PAOGht+CxQiom57s/2uLMNcRmKj8dnrI2T/OLqviWDi5o2MamKPGnk8Pb2MiSufMXjtXpwbK/Ly3DG2b9/NnRRtmrTryqBR/WjvYPSVxPTPiNC3QBFxdBqDNqUxc7snXewMPgOFIAKvUWPYUuLE5fUfgGK8B1EyInLyzXBZspT+LaxRUyzj1f65DPRNZu6qZfRt/GfsyyH2ykpGLbtBvQlzmditGSbKAkLubWfmktPYD1vG9H4NCds5BverQgbPmMmA5tVRK8/gyp6FrLhYxPi5C+hVU5a98yZyqaQOUyZPpFV1EwTpb9m5bA7Hchqx1n0c9rxj54EbVKrZic7t62NUScSbfQuZsfE+rRZsYnzn+uj/A/myH9VQiApTuXVwLR5+b6jVy5XhDdW4ss+Hm9kGDBk3nq4NbVCT/xvp7L85MP7Yy0OTT/blX7iNSt6zC3N4dd6HtUefY9djIpP6N0cqKYKUfBkMTM3QU1dEWJpHXFQM+VKVMDaU5prPai5GqtN/vDNOtQwl/0+IiSIiNpmiMkUMzapgUcWASkpyElvqrMRoEjJL0TAyw1Bb9ZtlFRFZUUFcOHSCq29jEUinkpgLTXpNYurgj0BR8P/Ye+u4qrL3f/uiu7sVlFIxsLu7uxsDVMTE7kRFDMDuDgzE7hY76e7uOpxzntcBxxHHcZwZZ37zfT6uP/Xszdr3Xnvta9/xvgk87svms+HU6TeOST1r/YUQl5CkNzfYs+cw4Uq1GDl2OI0qa1H8jV4egqwIzm7fypELt8nSsaZuq/5MGdcTE0lT0JQPBBzdy9Ezd8jQrE7nwROY0scROVEBaSmRhEbEkZUNiqq6WFSxxFRfieRXV9i5wZv7GQb0njqJLvWqY6ElR15WMuFhEcSnFqKsrkdlye8NJd1qJW2lk4lLTKVIShZxdhq5Im2M9BQpLMhHzdgKCz0VBEUZxMeGEB6TSYlAAU1dE6rYVEJXTcz7G8fw2XYOzS6zWTS8/m+AQtKMKi0pipDgSHJESmhoa6EpJ6JUWgOLKuZISeTw41IQyStQkJqGWNGcag4WyIuySY4KJyYmhTwpObSNLbCyqoy2kiylhTkkxkaTJlDF2rZSWdiqKDeduMgYClVMsTFVIj02iqQcOYxM1UgKCSa5EExMLbGyrsTXhDOL8zNJiImgQNEUbdlsgkPikFExwdbeGk35AuIigwmNSUNFxxQbWxt0lEXkpCUQFZOBtpUdZhJpbkEhaQlRxGRIYSU5TqaUvORYwoPDSSoWoaSqiZW1HSb6qmU9OK7s8cTrYCA1neYwokdr6pj/Gl4qaw52cRdLPe/Sbb0XrRSTCUrMQVvHGOtqdmj9oqstFlKcn05oUDAxqfnIK+hQ2c6aykYaXw0/lQHFmonsTG3Lrt3TsPrlO1QkAQp/Jo1cRdHATZx3rsb7s2sYOPcsmjYGKGu2ZfX6WdQxliVfAhTzy4Hi/uE539G+nLL+ITc8hzP5khZrdnnQ3cYAYWYUZ3fOZ5mfkKW7d9DBOJXNTl3xUxqB75rJ1NRXJCs6kC2L3ThW1JtL+6eiGHIO57HzkOm/ho0TuqOvVEz0Sz/cJ8wjq8ceAmY3IuyKN2vPpDJ4qhvN7XUgP4YDk3qw6KU1+28ep+W3onh/cY+sABTi4ih2ublxXq4Fy7vK0995NSN2hzGrqeRln0/kq3BKDKtgra/8MSxZwkPf8fTZLubwKV+aV1Ik8dk1zl6KpErnZsjeXcRoPwUOHN5OY6Pfdht9fWgy0w5Ls2zXWuob/NK+PI9TU3sxP7wZ5w/MxFJTqWxBFCfeZ0LvCSgP38rqUY0peOnHlv3PkJZOIs2wPbOm9MZM0hfjLxri9w77O0AxatwmdHt0RXDtPHFV+7Bo5lAcjJV4fcD9TwJFEbc3TGHOdSWWeMyihZ0JkveoMPsDS52cibYdy3yXplydN5EL8p1Y6j6UWpI4M5Dy7DCu7keoOX4uQxwL8ZjqgUxrZ1yHtaOStoQMBDw7MJfZ+zMZv9KddtZqpCbno6mvS37kY24FvuDp7ZekS9syfNpoWjiYfvrq/pGm/r2kzPzEF+xeu5Jz78FApZDUfF3ajxzLkK71MPwrruy/MenvBoozQTj2nsjoTuXtyyVDkJfGvcNeeJ55i+PgyUzoV4f3x3dyI0yBtn370byGISWZIZzec4woWWu69anH+yMbuRCmXgYUHW2kCLxynmN+F3kenkCBQA4D27p0GTCY7s1qY6xcwosL+zn/MoMaHQfQqb7VF3FSMZnRwTy+85IcZV20xG85cfEx2o2GMXVo53IPRUkSF3Z7sv9OJlUdW1FVPY9iOVXsajfEwaYSGr/0MfiGDYvTgzmzx5eTzwS0GebMkPb2qMlCwTeBIpwzvj5cfBWJjJYOiqp29J8yiWamssQ9D+DEyfO8iS9EIKuMQ4exTO1pQ9ybWxw9cYSrj8PJywdFNV1qt+1B3+5NKLx/mDWrt/EyT5nqnYYx0dmJVjrJXDxxjPO3A4nNKEFJ3QD7lp0ZMKAvLatqEPviJidOnOFNcjEkpCBr3ZpWjhpEvoukSpdR9HKQ5+mtk+w+dYH34VmUCuXQNrWhbd/B9O/ahNzA478PFBIBtDcPOLz7EFeefSBPrISGliZa6soYOnRiglNfZKOucWj3CeKK5ciJApWpuwAAIABJREFUy8ao0RDcxjkSfduP46cv8z4mnSIZiVu7Bm26DmHIgCaoZIZx5cRRnuRY4jx9EBZKkBLyFL/9x0g2787kXmYEnjrAqcdZWFQr5enFFyQUyGBm5UiPoSPo0q4WWl84dNOj3nDhyDZelFRBv+QJATejUda3oUPvvtTSzuT8sYM8DM1C07Q6XUe5MKJNZeIDL7HvyHPqj51GrzoGFGcn8sj/MKefSzN6znjMCz5wdrcXJ6+GkCoQo6iiTc2GXRk0pg9GeU9Z6zyJo2+z0KnRjO4TF7N+qOOnFVYOFLtZuMofy95NKHr+mBexBWjpVKJF1yEMHdkVcyUBuclB+O8/wOmbj4hOL0ZOSRubJu3oP3IUHa1/26T7zwHFOsZ4PKfbuDa8OXAR43ErWDGsPuKMPwsUIvIzwvAdP4zTei5c9B6ORCNVkicS+/Q4zs7eNFt1iHGOcbi2c0Fl0j42jXEsg9PS4hye7J/DBN8cvK96YxDow/BZN3DZe5ChtSVhIDElhckcmtqDjSmDuHp6CgqJ4UTnKFLVXIXXN89y43UQr64EodV8KPPn9cPkH6jO/wwoRDw/6sqs9VkM37maYXKXse+2kOF7I5hdBhRf7iJi0t+cY6brKhLqu7B77mCM1GUoycsmr1AaLV1V3vgOpMexikAhLCmioLAYKRkRr4/OZsFJKeZuXkNdfWmkZRRQVclk56C+rFccycMtw9BSLY9/irPDmNu7E7FtNrJpantkE4N4na6MlVo8r1JUqdugBjqKcj88Oe/vAMVIp41UnrSSDuJ7bNh7jdrDFuPcrTYxp+f+SaDI4txcF5aG2bFt1XjqWOmVX2dRCt4u/birNpj5MxpwZoo7gbYjWT2lG7aG5ToJ+aEXmeW8Hq3h7gytm8Vy14NUGjQd574NMVYrj11EBixhyop3dF+zmP5N7NGQnLw0nzt757D+6H0Cgwuo3HQUKxaNpLGNfhnM/Ojx+1UeAiIfn2T1Qo+ydtXtRs9mhlMv7EzVfzg8/tE1fQ9QvPf3YsGW06TLW1DN0qgs0VVGRprSggw+PH8Dho2YMN2Fjo20uLhhKSffKtN/ojPdG5hTnPIS39Wb+SBXk9ETOxN9cjMXwtTKgMJBcAuvzbt4XWRA7Tq1MFQoJuL9G1IUqtB72Ei61rUg/f0jXsfmY1KtLtUr6f3Gu1BaXEhBQQlyCgqkPTvC2v2XUWkw/BNQiDKCOLR1JVvOvkYgp4dUfhJFyGJm04Sew0bSq33dP/BOFfD+yhE2b7+MdJ0+TB3Xk6q65c/vHwKFz1YuhxVhVlWX7MRCavaZwrCm6jw6tZezt0JRNNAiNSaZyu3HM6G5MgG7d3PqdhwGtRww1Sgm6cNT3iYp03SwE51M4tmzzpsn2dq0GzuBng0rk3bvANvPPEHZthF1rAwRpkWX5WdpOfbAdXQ/pN6cZMOqVdzPN6dd87bUr2uHXPZrzp9/icOI2fQ2jGOf116e5OtQp15l5AriCH71mnTFujjNd6Nq+g18tvl9xUMhIjPqGSd81rHvbgKVG7fEVkOaiCf3uBkYQqWek/FY5IzcuwMsd19DjEFzOjVrTs1aNTGXD2LPRm9eC6xo0swBDWEWoa9eEZRnyMBZcxhmmcdRHy+uZlZjpacbNioQ9+oG2z02EWs9Fg8nK65uXcSyA2+p3LA2tWztURSk8vLhCzKMmjNz8Ww6W1cM5aQE32f70okcjrahdXN79ORERL9+wtvYUixq1sLCQANlUQoPHwUitBqA14ohlD4/zqqNN2kz34vxzc0oTI/iyn5PfO/IMHfTTJRfHGXZkqMoNGxLPUtN8tPieBGcgH2vqbg0V+KsxxK2BQRRtfdYBg0cSJ+6v4Y9hAUZvLm0nWmzfcmt1JCmzawxlBET/uwRj5NUGbJ0I26NlHl2zpMFXgGoNehIIysDyEvhw4t3FNh1Y/kMJ6p8oW7+p4DijAdOXiG4+i5H+vwKvJ8qMmPtOlrpJrF7/pQ/4aEoJTf1Bav6OfOw5SpuLm5bvuWIBKR/uMb0kdMxnHmEaS0iGNV4FTW8TrC6a3mnUknzvZDzyxnp/pzZdw5hec+Dwcvj8Ty9nfaW5SE9SaLptZWdmHG1GScfrsS27MUpoijlAzuXOrHpZiaZuer0nOrB+unNy2DmR49PQBF3/zAL1nlj2GUDM8fUQzt4D7bdFjH6QDgzGnwBFIJcot9dx2uZN8/ybZnmOY+utvpfVHqIeeU9kB7HPwcKISG3D7Nt/00yhKWkhz/hWaQUNRs3QE9JjFalFkxy78j14X3xVB/LQ68hvwJFTgQLercjovlGvGZ0RFdeCoGULHLSpWUJwrJy5YmjP3r8aaAo6vwph2LkWE8sJm9kcgs1AtbO4mCYOXNXTUX9iRcjtiXh/t0hjwz8ZruwPLoGO1Y6UdvyI1AUp+Lr0pdbygOZN7M+pyfN5UWN0aye3BXbj0l/BeGXmTVhDWpD3RlWN5NlrkewGjoD5z4SoCj/fI6+tJTJS1/RZc1SBjSthqbEjiIBsW9v8TI8g4SQR5y8HkrVjk7MGNoWS/0fL+r0+0AhJD7wDCvcl3PqZRYtJyxgvnNfqpuo/3B4/KO18z1A8SFgMzNX7OB5vAh9LRXEhTlkpGdSqKqHQ8vOjOg3kM6NHNDTzOOM51JOvVeh7zhnutc3oyT1Fb5rN/FBvhajxnUi+oQEKDQZ4NSX0ge72HT2A3Yd+tOnZS205EuJDrzM0esfsGw9hPEDO2KsJKZUKEZGVhbZTxU7X7sqEbF39/0GKEqS33Jq32aOP0vFrGYzahhrUJwQzO2bT8g1bY3rNCcamYhJTs6gpFSEjIIy2noG6GqolsuN54Ry3NeLQy+k6eUyjSFNK31y/f8xUGzhcrgsTTrUIPHlU4ord8elmy7X9h3mSZYBDexluX/9DeadJuLS0YQPD57wMjgLWW1VitOCCLwdwJ1gKVqPncOC/voEbNrK7XQzxi6bimXaI3w2buVhngnDRg6ilpkWpZkx3Anw42GSOv0mz6N+4U28Vm8loXIf5s0fTXUtAc8uHmTnkcfUGD6XYQ7SPL4RSESuPOoaIhI/3OfWzRskStXFZfkCGhOIz7bTaHwZ8hDm8Pr6UdZtPoGo3lDmOHXFVAkiH/jju303YfqdWbPUBdnXB1i7ZA/KXWazwLkL2sIEbhzxYbtfFG0muzOkjS3KonyC7/mzbftx8uyGsmRidW5t28SlzGqsWjcVaxWIf32D7Rs2E1N1LB6jLbnms4iNlwro576QQc3tUBGlce/MQbYdeUytMcuZM9SRzzNMUoLusn2pMwEl3Vi4fAr1dUp5em4Xq9f6YTZkHrNHtUVHGI3fnk0ce6HOfM+Z6ISeYfWmG7Se48W4ZqZlQHH10EZ878owZ70r0re3M3PmGfT6DWd4W0lFngIpWenoWDekuY0K7y/tZZXnZZou9mZCK6sKyf1lQHFxG7OXHsBk0BrcxzTCREFM+JMrbPLYQkq1yXhNt+HE/OnsjjFh9gwnHIw1kYRLX1z14/DDNEYt385wx4peij8EihErKRqwifOTqvP+jAdjN4Yy6/gBGmRfZMXs9SQ5jGPD9AZcWDSFtd8d8iglJ/UZy3u5ENhxLTfnt/4VKIKuM3PEVHSmHWFGq3BGNPSgts9JVnUqhysJUIQFrGTE9MdMv3uYKnfXMmhlCpvPbKdtpXJolwDFjTWdcPNvzPHANVQr+1cxpXlpvHl8hTfxIhKen2LfU2VmrFnDmCYV81X+aP/7nv8vB4q8cLymDsPrgzHTJg3HXFUaqdgrTFx+mFZTdjChU23qOFigJCWFIDeVwHPb2Hn6AekaDgwfOZx2Te1Q/83b/OtAEXRlNxt8LpAiFpEd+4b38VLY1HRAU16MrnUHZi/rx2PnvqwqHcBt3zHof/RQCDM/MLt3L9I6e+E5qTVakrjxvzB+k5R51I0hm9OYucODLraf5VCIItg4egx76MWpVSOxyL2JBCjMXdYzrVt1SoNOMmOmL1ptJ9FG4y7uhzKYs3JpWVKOitxHEiqNxmPUCJ6YjmL11D5YGfySNZNLwGIXFr+1ZPMaZ+pZfSxLK4zHa+IQnugOY4FbA85Nm8GDSkNY5doLO+PyY3OCzjPTdQuGI+Yw1DGblVN3Y9RnKi79mmLyMbsy7NwiXNeH0nfVQvo0skX9CzArzYpg2zwX/JLrMmeJM82rGf3wpLPfA4qi5Mfs9vDm8gcRSrKJxBXp0Hv8NIZ2rIv+LxmP/8I6KHuoRSLS0tLK+nioqalRWvAKT5eVPCp1YPIcJ1raa/HuvCdL9t1Bo1pr2jvaIJcbw+NL57gZXEzDYVNwGdyJqjoKIE4rB4oPqvRzcqZbfdMyoNjmUe6hGPkLUIRrMWBMe5LOb2PjoSfIG5tirCmJT0hRWpBORGwJdXuNY5brYByMvhf0vg4UpYWZxIQHkVgki7GlLebaqpRmJXJx93r230qnzdDBVJUL4viJGyRklSBvZEenPkPo36YOWgqQ8eYKW7ccJFa/OVPdhmOv/atP9fuAQo4uo7uS8yCAZ+lGdGiqx5ubjxBW70Ir3QgOnHhGpS4Tce1kwstr5zl45jphuaAkLU1+Qihh6cp0GDeTRYNMuLTFh1vp5oxbPgXdkADWLPfkWqQQOysjytuIlJKVkkierCWDXRfR3SiUHd5HKK3nxJJpHdEQ5fD4/F52HJYAxXxGOgi5dPwQx+4FUyyjjEJxLgnRYRSq1mHy8vk05unXgaIwkVunffE8HULbKRuY3MKobLXmxT3n2K7N+MdZM2/ZJGTfHmGz1wWshi1jdn8HCuJfcnLnVi5EVWb2ypnUMyrf7/JjX3DSxxO/RGumz+1K8F4JUFRnpYfrJ6DY4bmZ6Cq/AMVqDr0xZu7eVTTSkMQ3BMS9vMH2tRtJqDGB1e490P3seU/+cI89K2fzUm8inhuGYijI4tWNY6xbd5Zarp5M62qDIDOGm8d98L6ax6TVs9ELP8uaTTdpPWcj45qaUpQRXQYUPndlmLtxHmYp9/FZ58214DTkZRXQ1DbGolptWvfoSSdHA6KuHWLFugs0X76DiU1NKzzN5SGPnSzZcIPOnvsYV9+w7CWZnxyG/0Z3fEJrsHJZS45PnsS+CAWaVDMu/9AQCynISSM+VY4BC31ZOKhGhZyiX4BilyQpc7cblr/EykWFJAVdwHXUKsTDfDg6pmo5UHiGMuvEUbrpJvPg2Hrm+b6n/ww3xPc34hnVlHvflUMhJDftNeuGjOdWvcXcXN65PPFYWELqu0tMGzufSu6HcWsSxZgWi6m68hgeva3KgaKkgA9nljBqSRALb+6l0oMNDFkSysrju+hStfy5Ly3K5eKSjsx92J4ztxZRfuSvQyJDkBVymfH9xyPus5v9i9pVgMkfsY2WAYUo+gqD+/TDP8EIexM1REghVZDC2/AEtMwc6DxiJsvn9sNQmE7AluVsu/wBrerdGTWqGw3szFH8qmvga0AhLnN3RUYlUyINoVfXszlAzLgFU7HTlENRRR8ra30eLO/N5GsW7DnpQT19lbJy07xQPwb2X46t23YWD6iF6g+u5vg9Y34JFEn+8+m87AVj13szvIE5qr/AQOYz5o0Zy3ObOWyb3g2jjCsfgWId07rVRk8uneubFrHsQgpmxtncCtZh+fqV9G30PUmZpTzd4Ybb4Swmeyyja+1KZXkMJYn3cHNaQFGTKSxwasb9FcM5kNaAeYsn0tBKHzlERN3wwWXFDdq6zmewYyleU2eT6jCG6eN6YGOgihS53Ng0mwWX5Zi3fCq1lFO5/ywN64Z1sbXQQ6Gs+iaLo66j2PWuEq4ebrSrbc5fKMT75nr9GlCIcmIJOODBRv9YGvcYS5caeZzctJ230g2YOHMi7WqZ/ZoU+yOehj84x/cAhSQpc83HHIpRnRqgLsoh+s1NDvoe4nm2OX2dnejWzAY16XTOeCzi2HM5ertMplczS0qSnrBp6VbClOviNPmjh+IjUCSf38HuS1EY2lfDQlseSUWaRK9EJFTDrnFrOrZvgIX291YzfA0oROQkhBL4NBxpgyo41qmKetnaFhB4zJNtp99Ts/dw6hqkcv1qIKl5AuR0KtG4TSfa1bNFTTaPZ/578D71FuvOY5nSr16Fe/M9QHEpXI7ermNRfHmGM7dCUNDRQ1qoQr2Bg6iSepltx55j1WU8g+wz2bdjD49S1anfrCm2ZgYUBz3g9LmXGHUdzfyhZlza7MPtDHPGL5+CTvAFPNdt53muLvVqmKMgXd5LRCJ/oKJdhWZtO1BJ+JwdO05Cw3EscW6Dyi9AcSSQGoMn0UjmCZu3B5RpEzSra4+puhQhty5y+WEh/ZbNp8nvAUVREnf8trP++DuaTlzLzPblLuy8mKcc3rGJ80n2LF7mgsy7o2z1voz18GXM7GFHXuJrTu7YwtkgY2aucadxea0iOVFPObZpAwGZDsyc35F32zzxT6jKUh93aqqJiH56mS0rfUmtPZ51YyUeilUceG2A+24PmmnLgLiE6OdX8Fm5iawGrqyc2QXtL4Bi76p5vNGfhOe6fugIsnh98xjrNwVQ19UT13aWFGfGcOO4Nz5X85m82h29UD9Wrr5Es/mbmNTOkoLUcC7sXMf2+yos2bWMehrFRAa95Mnjp7z9EENuSjwRcQlIV+rIgpUuqL06xvK1/rRY8XtAsYPF66/SYf0BnBtJqp3E5CUGc2rNDPbFN2TV8iYcd53OxYIqdKhrjhSS0vtyOR95JUMade5L16aWFUKAhemxBHhNYvnb6uzctYJfHBhiQR4xj/czcdoOqs85x+qOqhWAore5iJzYQHznLOJ4ug5VFGN5LtOVG/vdvyMpU0xhVgwHp/dne34/Th2Ygblcufch9KYvo2f5M2TLQYbZJeHevR9ZPbaxfVZbVBAjKEzjqpcbrv6anAzwQOvlbka67KPbptNMbWVads3FuWF4jurPUVU3bu/sT8Kti9xP0aPvwGZolgGTiOKs10yr15HILls5srEP36pd+itbahlQiDPDOHPuPGEppeXnkJFDJu4+q/ddxXGAOyN6tqdLu5oEH56O+8brGHeZwfi+rbE1Kt/AxGJZVDTUUJL7PMPna0BRgZd4dXQS0w9Ks3zXWurp/5KUCSmXl9Ju8kkcXZYws08LDEQJ+PnMwOOyDHN8dzLQ0fDji+6vXPKfO+ZLoCiOOMXQ3gvJrteHiRMH06iSHnJFybw5vZcFXjdovGQrM3s6ohF3oSJQKMtQGP2ctUtcOHA7jATlZvh6r6NPw8rf4aGAzCc7GTltB7LNRzJ1aHfsNQq5e3I1a45E0HWGB+M71yLx9CzGeb+i4VAXxnZtgnZRBIe9lnAixpLZi2fR0V4BvxWT8H6mSH8nF3o1sqIw+hZeK9YSbDqCdbOHYpB6mSWrDiCq1oMRQzthoyVFQuAp1q3aS56DE3NnDaZ2Jc0/Fmb6c2Yu6+Mhabylrq5e3nhLlMe7gH0sW3sOqRb9cBvXhzpG8MFvO/M2Xka5QX+mTumPYyXtH+4t+b2pfy9QrPYLwvGzKg9xaQ6hV4+wbKMfeXadmD55KI2slLjj447n6SAc+rkxsks1Eu8fYoPXeeTqDWHmtA5EHpeEPDQY4DQAqUd72eYXSZV2A+nZvhp6KmJSQgK59yIBg1pt6dK6DtqyJRQLRMgpKCIv9y0hua8BhZjM0Hvs9tnJ8xxTeo0cSjNbLXJDHnJ07x6eldgyzMWVDvaq5ObkUyoUIS0rj4qaBmrKCkgXxOK/dwvH3ojoMmYqA+qZVAhJfRdQhMnRZ/o0qqTfYd+OXdx4L0u1tn1xntETqSeH2XbsJVW6jKWrYTAePsfIsuzN7LFdMSyO4eqRHWw7E0Htwa4sHmbK5S0buRClybCFc6lZ8pJ9Xtt4nGVF/9EDcKyqDnnJvA18SFCmFs179sQ89QY+O04j9RugeEqNAaOonHmBFUfDaeM0D+dmRmSF3Gefry93Io0Yu2whTaR/x0MhKiDo7ik8N2wn3rwj01yGYqcu5v2VU3jvOEJW9X54LHFG+t1Rtnhf+ggU9pTmxHHzmA9eBx5TY8gMnHrVQ700g5dXT+B94DqqzSexxsmaW94r8L0nYPDSFfSwKObOiZ347H+Ceb/5eI6x4Ir3QtZcSKez20Kc2tZEoSCCq4f3sud6HJ2mrsatpz2f5+aVeShWzePtl0Dh9REo2n8OFAVMXjMfs5jzLJnrhVzPxSwe1ojs91fLPG3PZNri5TsFzeiHXHiRR60GjbFUKyE76iX++3w4E2KA+35vqsUeZ/GKQ1Sb7otbVwc0PkvSKg95+DJ98U7Ues5l6egeGCvn8vb6adZvPY5Sh4V4jjXnxIIZHI6yxmXaaOpUVUWmKJfwl9e5816adiPH0s5Ws8J6LC1I46nfWlwW36Sh6yzG9W6BmaKI3KiXnPfxZuczeRaeOkRPw4KKQGEhg6g4j7DbR5i20J3HccqoNZ3CvV0zMFb5KLkolOT0XMBt3BqqztjPst42n7YUia7G8/3T6L8xjOFLVzOuhR3i5BfsXD+X0wmObNmzgQYa6Rya3ZeVb6xZunouHW20SHjlz+rFa4iuNZezGwYjG3uH2WNdeGE2jI3zxmKrXsjza77MX3wIu7mX2T7UnCe73Zm68wP956xhUGtLFLLjeXjSg7nrn9HV4xiLh9gjXZRHbrE0auoq39R2+d7tvDzkIRYhEJQgLAc7kJZB+tU2agxYycDtwcxroYx8zlPGdO/GkXdSODZvTxUdGURCSQc7iSKeCX3dXelqb/hZHoWYV1v60vWECgcObaeZyZdVHmJCAlaz/pIMLgtdqabzWVlpRjDrF01g39MiqlSyRk2YzrvwaCp3n8XqKf2prKnwj+RLfM1oXwKFuDSJkwunsfrCG5TNq2CurYZMSTYJ7yOQse3CnOVTy5KCpEL8GOXkgYmLFzO7O6JX5p4XEXx5Da5T1nNbqinbtq0v81Ao//IAlUazZshwnpqNZPWMvlgZfiYilRvDoU1z8b4SioZOZXTlS4iMjkCt/hDmTR5FPUtdhHGPWLt6AZc/CDA0MEWxKIXglGIa9ndl6pAOWOnJEXP/GKs8vXmfrYWJnjaCjCjChXoMc5nLiHa1USsK49jm9Ry8Hoa8gQES/aHcuDBSlKszxm06vZvZo1Wu0PVDR0WgkCXulT9b1+4mSKo2o6aOok1tc1RkpBBmRHF65zo2n4+k4YDxOA9qSyWd34gj/NC5/XKyPwYKTd6e8WClXwiOvV0Y07k+v2huSUqsz+5bw5bzodTsOgGXwW2ReXeE5Rt28ixdFSsrM5TEWYS9S6BSy6G4Te5IxNFNXAhRY6DLBGrLvGa39yHuReSjbqSFijzkpadRomZDr+Ej6dm8ComP/LkTnE2VJh1oWs2swouiokFExN7Zw5p9l1FqOJJpwzoj0ZES5MZx+/hudh++RrKcNoZ6yhQmx5Ms0KTloPGMG9AOi98RISlOesMhL2/u5xgzbPpkWlpWrEn7JlBkRuDnvYmLYTL0nelOE8VIDnmuYNOVHFq6zGX5xAbEXN3P1qMvqNp5AiNq5LJ7sw/nXmZhVsUYJUE2MZEhhCcq0Gq4G0vcGvP20EY2Hr6PTtNhDO/ZHOWIa+w7fJt0RU10dZWRKikgM6sYk1qdGe0yEM1gf7x9TiHdeBxLprRDVZTNozN72X4gkJrDJ9NE7jmr1x0mWs4Ae2NF8tPjCQ6JQKjiwNj5C2mlEcou75Nodp3NwtENPrO9xD3/gYsHvPE58QiRYWWMVGRJiwonNCEL605jWbloItJvJCGPS9iOXsbM3tWgtJDoF1fZuWkTV0NFmFYxRVlURFpCGgLt6gybNZOh1eV47L+TJV7HSVWpikMlDQpzUkiIzMSquzvrxlbmms9ilh75gEk9ewxlFSktzCI5uQjjBn1wmz4cR8OKz07y+3vsXjGXt0bOeK4biG5JFq8kOSAbAqg/3RPXjlYUSTwUR7bifTGPKV4rqFnyGu/lczn0Voo6Na1RlCkkNSycXK1WrN08FbXgs6zyOkiarCVm2jIIC7NJTU1H0b4XS+ePQjnSn0VzFvNWpSWDRk1iem+HTwnXZSGPgJ3MWLADQS0HzBVVkRIUkZ6QTKGGIy4r59LDQprXV/biscGfLC0D9HWVkS4tITszAyXztkxd5Ex9vYo+VbGomOSQO3jOms/pGLC2q4quvJii9CQS4wqo1t+NxbP6oVeSybszqxi7MZgZx/3oV0my90k8DbGc2+jM9PX3kOo0nye7p2Ok+itQJL67wNSRq7CZs59l/ex+ffyEArLC77Jonhs3E3Wwr2SGdF48H1KKaTlmKQuHt0KDAsLv7GfW8vUkyFXH1lCVnMQwwjHHdaEHI5qZgaSkft9yFu6+jKppfUxVBCREB5Nu2pata1fSwESa1A/+rJi5mvvZmlStaoh8YQZx4eHI1B3N+qWTqa4jRXjABryfa+E8exxVfoAcwO9Lb0dfYcraEzSf5ENvW1mkE27iunAHcVkfJaI/mUiEUGjB0CUz6VnDqEJiZtRFD1Y9UGDK1InYaUu0LCpua7kJ7wlOlKJKdWs0FCp+UaUGBXDsmB9P3mSQL1alSsOWdO/TgwaVtJD9J7Ivf+cV9NvmYGIyIgK56H+NO8+CSM/LR0paDuPKNWnXuzstalujpiBHafwjtvicRafjaHrUs0JdoTxIJ8gO5+y2LZxJNGTs2BE0sjFAQaIAKRnCVPw2biZctyVDezTCULOiCzsr+gH+Z05y90ks6YUKmNSoT4dePWhub4qqRG5VVEL0K3/O+F3mWXAaRWhi07QtPbq2o4aZTtnfERak8vL+Sc6fe0RQQgFyGqbUat+N3m0bYK4jCS+Vkhb2nisXznD96Xsy80HX3JbG7TvTsakDBv+QzHUFoJAV8+bqXo7fScS6VW86NamG7i/15kB25GMynHiuAAAgAElEQVQOHzhOqqYjvXt1ws5UIv3+jzBEhZP+MVBoE/PkDKcfJ2LZoCNtHKt+krSWnCgj8h4nDgaQouJA974dsVHL4f6Fs/hfe0S6vC616zkgm52JnIE9bTrUJuV+AM8SlGjasSO1zaQJfXafS1du8Cw4lrxiEVqmtjRq1YG2TWtjpiVD0O0z3HyfjXXzzrRwMP8GUIhJe3+DM7deIm/dim4t6qBVFqIXkhMfxsPrF7l07xkx6cXIq5nj0KQN3Ts1ws5U83crawpTQ7h+/jpx0ma069kOK82KG/i3gEKYl8zjSwG8SJaiYY/eOKjl8vDiCQLe5VK76zD61Dcg+sVNLt2LxNCxI11qavLhwVXOnL/M+8QcZHQMsTAzQDm/EPWqTejVvwUlH65z7MQ5ooRV6dZvIC0qCQi8cZkrd58SmZKHnLImljUa0a59O+rVMCU36CGXLz9GyqYdA7o4oCguIOTxTa7eDqVS6940Mynirr8f5+4EklYig7qZBWY6GsjlF1O1TT8cdbO5fekBKnV70a911YoVNqIiUqPfc/W8PzcevSJLrIqmjiqC7ETylOrjvsQV3ZT7BFx4jknrQfRsKEmWE1Ocl0bw0zsEXLrBi/BkhNLqGFvUpnXbFjRpWg09RSEZMR+4evoUlx8FI2tahVoONkinxCGq3I7BTZW45LuGnXfEtBlSh/gHT0kplse6VjN6dOlMTXuj36yRrNggbpw6RIxWB0aNaIp6aT6Rr+9z7vwzqnYfRZfahmUl0G/uXeTSiyI6jx6CnXIBb2/7c+zUNeJFilg7NsBSuZjoDDX6Og3AVBjH/Uun8b/6isTcIqTV1DCp1YgO7brQxt6QgtQQ/I/vIuBZHratRzNreINPIVVRcS5Rz29w9PQTdOpZEff4Hu9jCjCoXINOnXvRsoVEp0hIYXYcT65eJODmA0KT85GVV8LUvjEdO3WkiaMlH50Hnz3PkjBCNiGB1zjnf49XkfEIRGKUVXWwr9ucLn064WCsjagkj7jHp/H2T6DHjFk00ivfx0WlRSS9v8muHSeIMu/Bukk90Pq4XYtFAjJjn7Fnsx/GvSczqPEXeSGCAsKfnODYyau8iy5CrKRHrbad6dm1HXZ6imWxGkF+EoHX9nHy7HNissQo61rSuGcf+raui65ETVEizZ30jivn9hFwPYpMoTwGljVp1X8gvepWKvM2iIR5hN6/zbEzp3kZlYm0tDpWjk3o3KM7zewNkBIKCD2/ho2Ptcugy/ofBQpJT4jIJLTN7dGX3I3CNN6HJ5Rld1ccEgeHMsZVK6GvplDBrVSYFkVkljQWFma/uvW/e98vJTsxkoTkfIpQRN/UFCMdlV+lfb/7PH/vh1/vNiqiMDOduKQ08ouLkZaSQUPXGAN9LRTkynuNiIuziYlNRV7HGD0NpV8hSCwkJzmKqBwZTI2N0VT5rIJGXEJKTAwF8toY62kiX5Y6//mQ6LvHkZiURb5ADk0DI4z1NSr8TiwsJDMxjuSMfASooG9qhK6mSgUIKy3OJDUuibScEqSVtDA2NUBDpaLXJzcjifikVAqLQVVTH2NjHZQV/pl+KZIrrAAUcjKkJ4STWiSHroExWqoVvVtiYTFpcVFkliqgZ2hUPve/d5u/6+jfBQpBDVzmjqOVvR7F2SkkZxejrKGLtrpyBdARScSNYhLIFsiiY2KApoocJZnpJCUlUySjjL6eFsLCfIqlFNHWUaMkK42cYmk0dXXLxKsk9eoZaSkkp2VRUipGRVMXfQM91JTkkRaLyMtMITO/FGVNXbTUvq3JUpKfQWpGLtLKWuhpq3/m7hRSmJtJUlIq2XkCZBW10DfUQ1dT8ZteQWFxHunpmZRIK6Orq43iL5D80bL5sU/Yu8GHFyJbnOZNocFn6pWSpLTstFRyS6TQ0NNHTU5IdnoSmflC1PVM0FGVozAng7SsQhTUddDTVKKkMIfUpETScwqRVlZHU1MV2aJ8SqRU0DPUR6Yki+SkJHJK5NEzMEJfS5Hi/GySk5LJzC1CVl4RLX1D9LQ1kZcWU5yfRXp6NijrYqirijRCCrIzSM8sQFHbED01GfJz0kiITyKvVAZFTS20lOUQ5uUgpWaIhkIpWenZSKvpY/hZvwVJDkp6dAiBD1+SpW6ItakOMmIR6TEvOH/6POk6HZm70AkLqSzS0nJR0DYsEzkrH2JKSwrJSE0iKS0XsZQi6loGGBlooPjJq1lCfnoK8cmZSKlpoq+tTnFOJsXyWmiLYjjnu45jb02Z6TMNo8wk8gRSZc+UkV7FEMAvD0BpUT4ZKYkUyupiYqyJrFhIYV4WKak5KOuZoKcmX5ZEmJuVRnquCF1jI9TkpBDk55Acl0C2SBpdA0OUxIWk5YkwMDFCWVYCR9kkxyWSWSRASlERDQMjTLQ0yhRPhaXFZKXHk5hagKKmCZVMtX7taSEqpSg3g+SUPFQM9CnJSCA1uwg1LX3MTAyQ//QlIaK0OI/E+ATSsovKKp009U0x1Nf8Rpm7GJGgmMyUZBLSshGKRSgoqKBraIqOVrn+ESIhRdkpxKYWo1/J4rNwjBjJmk+KjyVDWhdbc/2Pyb7lyRsCSX+a2GTk9c0x+nQ/f7GyGFFpIenxUSRllCCWU8fY3ARd9c8gXHKOogySouNJLxAjr6qLmYUBagqfyQJLSkJzEoiLTiNXKIu6jiFmpjrIf/bBLekJkhwbQWJ6HlJSSuiamGKiJ8mdK59nfloUMVlyWFiZovwDNtGf3Ub/4FXys335d71r//aP/i92G5VUeWxyXsCRx6mYde7PxGG9aV7Dgn8pX/hv2/xfOYFYSMyra5w/sZcTAdHoNerNrKUu1NP93gTSf2WW/+AfEZL09hb7t3gSEC2DtVUllKSKSUuJJb5QjY7DpuPSux5qPz6KSH7CW876rOXoe1MWHFxGva9JY/6DV/7z1P97FvgJFD+B4j+x6v8vAoWwOJxTazdz+MIDEiya4DLeiX7N7fksOvOfsO3/00mIS/lw6wA7d2znbrgeTXsOYbxzT2w0fnSd0P/Tq/zmHy/KiuP5bT+OnbjG69AkCiSN4qpUo2X7vvRu1Rgbg38mB6goLZw7pw9xLVKPUYvHY/cx7PrftdTPmf1ft4BUVlZWea/sn+OrFsjIyCjTHJCVlf2sNfNPY/1oC5SUlFBUVFSm8SAn9+9ojPzZa5DkL+fm5iIvL4+ioiJiUQGJYZHEJaVTpKxN5UoWGEuSdH+A6/DPzu0/+3uJzdJjiY6OJj1fHl0jMywqGaJaLgbxPzLElBTkkBwbTXxyFiWycqjoGWBuao7eP9jZTliST0ZiPKkFCpjbmKP6L+ae/Y/c2J+X+YUFpDIyMn4CxTeWRWZmZhlQyMjI/ASKf/DxkQBFcXFxGVBI4O2/OMo04PLyyoBHAhRlbeZlZMqktaXEkuRkIcIygYif43MLSEnJICMrg7SURDdDiLCsOux/bEhJle0h0tKStSKpjCtfL//ccpFYWAppScWetCRPQfi/Z/P/sSX2X7hcKYFA8D/3bP8ZwyckJKCjo1P2VSol6c38c/wjFigslPSZKCiDN4mt/4tDkpQp8VhJYEJV9R/o/ftfvOifc/ppgZ8W+GmB77TAzxyKPzDUz6TM71xJf/Nn/xdzKP7mJf88/KcFflrgpwX+f2WBn0DxEyj+Ewv6J1D8J27Dz0n8tMBPC/y0wF+2QAWgEBZGcOXgQyz7D8amrIf17408nh07RV7NHjSz0fwbqpVCYh5d5n2+GU1a2KMq+y254L98jX/rwHIPhT4SNeiwOxe5HlhE42GdsdVTK6uhrjjSuHvwPBHSNnRub8zzOzd5GZRAiVBUMVwiFCDQt6dP147YGcny7mYA4VJWNGtYDT3VX7U8hFnB+J17goJtE1o4WKCuKIMgP57nt+7x5HUYOWIdarZoRoM6VdGRaBGUTUZIdnIIj67c5XVUKtIalanfthm1qxqj8kmOuYCE4Nfcu/6QsNQStCtVp3HbRtgYaVXo9Fd+bfl8uHmdJCVbala3RFv1n8lv+BIoJOqCN88/pNCoOk2aOGCkqfhJ46Q4K5RbZx5TqG9LgybVMdT49f/+1s3+g4O/1KEQlaby4vINHr4MIUPbinYtm2Mll8SNu48IjcviU4RMEjNXUcHcthYN69ahsqQ2/o8mKsrjw5MHhGcpYle7zmeN4v7owO/7/8LMKN6/DkOsWRmb6lafyhYFmVE8fnCHh29iKPoYDZWSladqnRY0a9KQjz3nfvNHSnKSCAt8wKNnQSSVqlHZwZFGjR0w01IiOegBt2/fJjRVAxvHRrRoVQvDz5IRJXLE0R+eERaTi55NXaytTcpUUX8ZoqIcEoODeBtXiLZNNepY6f6hkJmouBixoBQpZaWyvIU/PcTFxIe84sXbePQdmlG/qu43TlFKWvQHnr8MQ9GqIU2rG/0ruih/+pr+oweIJbkkBYVINlkZ+YoJ2eLSQlLCX3E/MJaq7bpQ429XxIgozE7kybnLREhVpdvQZvzmzooF5KYGcfHgQ5TqtaJplVxOnLhOcnZRxX1c8lxLy6Jq3wqnrvWQyY7m1rUHyFZvR5vqBp/WgEQ3JzXkPqfuptGoazdqGSshFpWQmfCe2/53eJ+Ug7K+Hc27tMDBQvdjKwFJvlE+se8CuXHxIbGShn3WdWnVuTGWn/Y7MUJBGm/v3uHOvbdkSWtj16Bp2fOl94UOjETTRChI5M7hiyi1GkFD839mH/8IFLnEhiSSnv+c3VP9aeQ5DxtlVewszVCqsPMJyU2NJjYzhQtzPCjpP5PONdTRN7DGWFtSBfH9K1ZYlEBYZCav/HYSWFCTXoNqoqVeFWsTFWT+Q9nIvwKFFO+OLcVl2WXqz/fGvUcttL/I0M4NPsnk8WsQtFzMqhGaeC2Yw4kHSagoyVdU9ywtpqhqB9YtnUt7GxmOL5rEVdn2uE/pj52h+qc+GYKoswx38kajxyzmD22KiWI+V4+sZteR+4TG5yAQyqNhXZP+4ycwpGUtdFTky5oKHdu9mZP+L0jILgZpFYwatWPSxNG0qm6Birw08a/PsXP7Xm7cDyejUCKaokOVzgOZPbYvDmY6n0SOxIIs3gb647tmG6ImM5k2sgNV9f+Zcr8vgaIw+TX71q7D75083aZMYmDrGuhKJL9LUrhxeCM7jofh0G88w3o3w1TjD1/P378wv/HLL4FCWPieHTMWse3UfbJrdWHhDGfqlT5kyfqdPAzLQ/0zsTChrBQKWmY06Taccf064WCq/s05iQVJ+G1Zz9VoDXqPGku7mpIuiz9giEXkZ0Vz8+w+Tl0Nxb7TSIb1a4fhx9ua8cafTZ7rOXI3GhkFFWQkrQLlVWje34XxY0ZQQ++3cxDkJ/M44AgH95zieWQmhVJyqJrY0n7gUIb3bEnRi8Ns8VrP+adKNO0/DvdFo6il/assnyArmmtHNrP76E3Um45izPhRNDb/2DlVLCDxw22Obt/BxRgduo6dxMRO9l+B+V/nJczPIPhuIBEZ0tTo2gwL9b8gASjK482ts5y88Brr7hMY3KJyBdG+ilYoIuiOH7v2XEKz/RRmDXL81/rL/IAV8f/2FMISMsKDeHDlNfrt21PfWr/CfISFGby7coC1Pg/o7LGFwV9bgH/qCkTkp4ZxeqUbXs91cN++lb42n7U4kHTtLEjn5bk1uK19QfclWxmgf5N+o5YTX6KOtpL0r8mtEqCQlUevgysnlgxCJvo2i2d7oDhwHSsGOnwS5xIW5/A+wIMhK4OY7ruN4bXVyYp9yZ7Nyzh1JYYcQSky8ppYtuqC25TxNLPUQlRaTNRzP7w2buPB8zQKpaRR0jCkWp9RrJjQDxM1GYSCfJ6eX4eHdwARcfmUSCugZlyZ1uNnsLBPQz5VCYvFFOVEceWMD5vXXaDzthe4Nf5n9syPQJHKnQN+XH77kBv+UVh3aYuJTV3cBrVHT/lzShCS8OwiR/3vcO3CHcTV21PN2ogufYbSoora1z0V4iJi3r8lX60q1mbqn6S5S9OecnDnZW4F3iay2Ipatc2o1mYII5qaofAbhcg/tWJ+6I8/z6HIj76I24ipvDWbyLZ1Y7A3UPusSVYhD7yn47wziJHrtjPKNplZE5wJ0ulKvyY2aH0uKiMSItS0oGnDepir5rB75mgCZLuwZNZQqhtrfDpnScRJ+gzegGbfhawY0wrl0KNMWrCJHJMWdGzogDapXDp7nFj9TiyaNYkm1mq8OrqUubvuY+LYgSb25ohTX3HS/zY6baeyZHwPrJXTOLDOHd8HOWWyzTVMtUh+e5njDxLoOH45k3o0wEhdivSoCB7cucKFy+e5dCuQWk6+rJ7YHVuDfwcoEErkac+ydtVOovSb4OY2jlY2WkTcP8q6jccQ2nXFafRg6lrq/vrg/NA7/9uT/VYp8zVeLou5ECJDo+FDGdq5AaXP97Ns7w3kLRvTslYVlKTLc55L89N4evUyL/IMGDZ1KkPa1kT1G2JGYkEix9et4EKkJgMnONO5jqTL4t8bEhXE2OA3XL1yAf+A8wTlqtHXeS5TBnfCsOydW0rYtX2s33aGXIPatG1kgxzicml5awdq2Nuh8xU9qowP19i80Yeb8Rq0bNsMS8VMnl6/RYjYgqFurrQ1L+H1rVMcPnwfgVVbXBe5UF/v1xMJMiM5t3M9XjuOkmXVmTGT5uDcxa7spSwqSueR/042btzGa6l6jHVzx7VX7W8CRUnye8767uVusi5DF02i/l/5qhULSIuPICwyDS3LGtiYfAsAi3h34xjevufQ6jKbRSPq/wSK71yq4uIcQm/5sXHDJeouWMvophLZ8c/g8GMvj6Wed+nuvZtRNSsCx3f+mYrnLMrg9SUvXOb4UXPSNja4NPqsjbdEyfgDu2eNZ09GPXy2LcU0ZBc9JntTrd98OlvJVqyWkbzoLWrRub4l+SHXcXddhuJwbzyH164AFG/OLKXHwnfMP3CQUTVkebjfnUm+T2jQcxTNLdXJjnnKsXO3MO+/lq2u7VHIDmPvMmc8AxUZPLg/VqqlRL24wKE7yQxfeZg57Y3JDbvOzClTeKzUEqcezVETZ/Hk8gEuJlvjtX07XaoqIhIWEvH0KQFXz3DxcgAPgjJw94tjTtN/pjT/I1AUEvX0FtvmL+BUsiz6hvUY7e5C/yY2qFZwnYjJjfvAyQ0r2XXvLUmFFgx2m8SwHs2ooq34dQ+FOIGDixcSbuvKrH7VUPoIC6L8RG4d3onPvpMEZujQqtcgRo3qRWNLnX+1V8cfLciKSZnZnJk7jLlXZXH32UzfWiafRIwEac9ZPXk8F2T7471qHDXl3zFxzERKOmxk5bCmGP9OUyWKEtkxw4kAOQlQDKaa0WdAEXmKfoM2oN5vIStGNyd67zjcL0oxZs4s+jWxQ00qnwcnVzF3Vyh9py9mSBN1jriPwb+4EdOmTaCZrRFS+dEc85jJlneWrFwxBUfpl8yduY7ChsOZNqoP9oZq5MY/YN3MuTw3GMJKtwHUtCjlyvq9HHsZhrqBHK8fXkOv01IWO3XFzuAvfO39kZG/lN6WxJckoySDx6e3sHzbbSq3G8vABqpcPrCf17I2jJjgRLtaFqj8M567r87496S3nwhrMmmOEy3sNClrX342CMfeExnVsQEaH+cnLsnnzQVfVh56QJVuE3AZ0BxBxCuis2SxsLbBXFcFYVEGIW+DyJbWxspKhZvb1nIhQoMB413oXNuoDEpCP7zlTUgs+SWKmFvbU6OGFXpqikiJBSSHvyMsqQg9S1usjL/sCCsmI+wN5w6e4mZ4KvKK6USlFFG3+3hch3T+CBS5PD7qw1b/GBoMGM/EbjW+w3UvJvLWATbu8kdYZwgznLpiIZvF3WPeeJ59g33vKcwe2BS55Cfs2+DLM6ENY+dWlN4WZEn623hz/MpDcrQrU6NRD1wm9KeSMmVqj/5H93P60mOyNWxoN2A8U/o4IiPIIS7mLS/fhpKWAcoaRtjWdMDaXJWEJ+fwWe/Lwww9ujpPpGfzhtjry5GZFMWr12+JSMxHVdME21rVsalsgIKUmNyUaEIjYskTyyJMTyRHyhhLU2XysnPQtKyBnakGRbmJhAQ95W1oKsXFEhljKxwc7THVkSXoxjF8tp1DUwIUw38LFKKSfBIi3vD0/2PvrMOqXNaHfS8W3V0qYgCCgopid3d3b0RR7G3X3iq2WFjY3d2NjQ2IGISEiIR0r/6utcB21znbfc75fs6f61rvvDPPO3HPM0+EPidTpoeppSUW2gqk6pa4VHNCLec1kZGvkWlokfM2CYWhM/UbOKElfkds+BNeRr0lR00Ty7JOuLm5UcpYE2X49LiIF7wVm+Be0xlDdSjITCLy2UvyDR2o6aBPUsQzYjM1sStvSFxwCIl5AspVrIKbexW+FVusMDuVmMinZOuUx1L9HcHBr9AwrEDNOtWx0MklIuwRTyKTMbJxoIZHDUoZKshIiuHZyxSs3WrhaKmrCkn9NuY5ESlquNWujrm6mMy4F4Q+CiehUIa+kQWVq9fCsZwp+UnPObF+KesOP8Wl/xgG9OhIcxerD/NPlRzs/FbmrbxJuyWL8RDHEBKfiaV1earXroWtSclaIZdSkJ7A48fBRL3NRUvHCmeP6lSpaP319aJCSnrcfZaN8OaW9SC2rJmCcwkvyiV5xN7bzaRJa9Dvu5kAHzfSb2+h14x99F9zhzEev3Gyl4lIf6kEigXoDl7L8oGfA0X4KV+6zApnxu7d9HPIJWBkR47oDGbLstFUNtMkPzWCXUt+Zl1kdQ7umYP120uMGzYFQU8/Vo5sh5mGjNToaywYM45HLvO5trQtsSd86TfnBv3XbWd0Y0c05PlE39/JyGFrcJp+gvUDHBDnvmSN1wpu6ujgZl3A3iNX8doWwYxG3+dg+NGGIiOMhdN3YVLFmhfPU+g+fR6N7HS+VvOJszi9dh0v5cZkP7+FZZ9FjGhh/1n88M9WY0Usi/t052mt1WwaUw89ZRIrVZERfXkfBwKT0JZEkFquF1O8mmP2HfNF/Il97au/fOnlkXJ/LQO9duDos0KVqtdcX3WOIvbSGryn76PqhNVM7VoT8/wHeA8dSW6jRczrXw9r5WwvKQoFqGtooqWlgZoomc2TvTitaMH0Cf2obKXMI1DsQy6JO0F/z7WY9Z7LAk9XLk314iCtWTprIFXtTFSLfXbkWSaO8cem33SGt9Bg+Yh5SBr7MOWnVpRVHSflvDwxn3ErIxmyYhbVcq8zdeF1Wo2ZTP+W1UoyhxZwZv5Q1oSWZ8qcUTSqokPI4RvEaZrgWl7CpqXzSHUeyyzPDjgXH2X/9vJbRpnitJfsW7mYPXfS0BHmI9Z0pNvI4fRoWRWz7xgU6Fsd/OPkYCYqoFh09BlVOngzuLU7RkI5CoFAlePj1v61bLoUS70h4/Du7kbIrjVcjNKhbb8BNK9qgzjjBfsDdvFK3Zke/RoQcWAVZ6MNVUDRuoKIm6eOsOfYRYJjkxGJtLB2qk67vv3o2bIuZQ3lPD69kxOPMqjWoQ8d6lT4kGCpuC8Kst9EE3zvBQWGlhiJH7P35G2Mag9k/IASoBC/5fTWley8lopd5XrYaWVSpGVI5RoNqF3NGUvDb59qkoJPsmHjYRJNmzBsWFecdDO4eiiA3bfTqN93LKM61UCQpMzlEUCwzOmrXB5KoDixYT0Xwt+gaWaCukZ5uo0ZR1N7TeLvn+LAsXNEpsuQoUHlVl6M61ie6PsX2H1wH9dCY8nNUUNXzwK3Fp3o3aMJsod7WbRoA4+z9XFuO5Bx40bQ1CCO47v3cfJ2KG/SROgZWuPSpDV9BvShnas1rx9dYs+efTx6K0bxLgPtym1p565LRGg0jl186FlFjVvndrPtxAUiE7KRirQwsXWiec++9O/eHFHoUTZsPPlNoFCIs4h+eIXtm3dyKTRSlezQ0MQEY10dytToyLix/VGPOcvWdbuJLdIhPyUXu8ZDmerlxsuL+zh4JJDIN2nkqaljaluZJh0GMeSnllhkR3F67w7uZDswcaYn5XUVJL+4y4Etu0kq15OpvewI2reJPTfSsHeFkEtPeJMnw75CTdoOGEbPznWx+mJ/TIsJ4dj2FdwtcsJWFsK5yzFomjrQpltnqlrkc+HYAW4/T8GgVBW6eo3Hu4OzCuA27rxPPZ9Z9KllQ1FWIrePb2P/QyE+c8Zhlx3KwQ3LORH4ihSJFG1dE6rUbkdf7/44yEJZNGI4e58UYOJci87jF7NukMdnQPH0/FZmzj+BbVsPCsIeERyTibmZPfXaD+Knkb2oZCAhKyGEQ5u2cfhWCK+VOUG0LXBu0ITunsPpWf1r7Z4o5y1Xt05n1t4CJm4KoL+72YcsoudWT2f+hSJm7thDj3JSXt/eQs9pe+ix5DKjaml+ETtEgIa2DloCSQlQ+KLeezmL+ldHXS4rnnniXMLPLKHvgghm7t5FT/sIJrbzQeG1mU0jaqs0GUoICzuxmJGLnzHrxFZc4vcyePQpBm/Zg1ctJWApkBSkc3JuX+Y+asC5s+N5uWI0oy6YcvLsCpxVsdsVFOW+Yn631oS6r+LQkvZoFMRyes111Bp74C64R6efFtFjwwtmNf4+6/hHoMhK4NrTAmpXMeB52Av0XRrgZPF5si+VdCS5hIfGYlDaHuHbO8To1KSesznqnxlQSMhISCS9UIpQkcDGn8cQ6TaDOQNroi1Uw9DCGksTHdIjX5CosKKCehQP08zwqFkRg/8yw8wvgUIuimXFoH6c1+3KEl9vqpUyQl2cyqEFY1nyyIaFy6fQxMkarbS7jPDy4W5+RWo6WKP7iQWnQiGgQt2O9OzYAFvNHHbOHIx/kJRKlR2Ls2oqiUMgQJ4VzbnrcdQd588STzsODhvNpbIDWT2pK842xXEQRAm3mTl8FopOU/BuI2eR1wZMe0xiQr8GlC7RiiRe82PUtNu0Wz0X97SLTHi9wegAACAASURBVPWPYNDkSXRrXAmDkiRDQWsH4XvaiBGLJtHavQxqhRIEmhqoZ4cyfcIEEhxHM3NoR1z+YaBQTpLE4KPMnTyXI6H5dBo7j+nDu+BoU5Lg5m9Hm9+u8M8AxfMzq5m99hip6mWpbG+JpqAYKCT56UQ+j8GwfDO8xw+jaU19zi+fx9FnuvQc4UOn2naI3oUSsHgNLzSq4jmiHfFH1pQAhTeVci+zcv1eYoT2uLtVwlRdTmJUOG+wpkPfn+hStwLZ0cE8e1OIbSU3KtmZfZ7xUpXnSIpUKlcF40q6u4uluy6iV3vQB6CQpT9n95r5rD/zHIWuLepFqRRKZFjYVadtX096dqxHGb2vDRxFGTGc2bOFHadDEVqUwUYnj/j4dMzc2uHtM5C6FU0QvfkjoFjHxWgR5Z2tyUzIplJnHwY3Mibo8HZOBcVjaGNKcsxb7Ft5M7KxHhd37+X03bdYVnHCXDOP10/u8uStNo0H+dC1QjI7lRqKLHNaeo2gQ3UbEq/vZOeF51i61aeKrQnSrBQiXr1Gy6UlY4f3R/PFMVYsXERQYTlaNG9NzZpO6KaHcPJkMK6DptO9VDL7NuwmuMgcV1cb5BlxhD9+RJp2LUbOmYpL9jU2bDyO0VcaCilpUffYu2Y5B4KzcWvShAp6AuJC73Hl7nNKtR2J3xwf1J/tYv60ZbyxbUa7pg1wda2MreQJm1ZsIla3Go0buKArzSY2LJTQZAO6TJyOl6uYgxtWczmjMgtXTsBJD948CWSTnz8Jjl4s86rA5XW/4rv3OQ4N6lC9kjNaolSe3n9EnHY1JvnOppubciP9WFIj7rBp3gj2vXamdfNqWKlLiAm9T3BkNnYe9alkZ4GWNJl7d4PIte3EmsWeEHqIRauv0XzmarwblaEwPY5Lu1cScFPIjNUT0Xq4m5m/7MegQQfqVzKlMDuZl9GpVGw3ghENtDm9ypd1J17g2GM4/Xv3pLP7x+ycsoIMnl7YxM9TN5JfsSFNmjhjoZCS8PQ+N17I6PqrP9ObGnLn8CJ+3RSEfZP2VLM2RFqYS/zzEFJsmzJv6lhcPu8mCmkB8cGnmD1+OXoD/Vjq3RhDxKRH3mL+1Lk8qzCc/UsHYCbPVQFFe+/lmFTrRHUb4SdAIUBT15T6PYbQ2d2G7JdXmeQzlseaHjRwsUKtBCiQS0iLfUxgnBULdmyjm90DvBrOwXbhftb2dFAJXy4pIObKGob/fIEhJ/dRM3Yr/X4OZfaRHXR3Ll7rpUU53Pbvy5h9Fdl/9xeifvHi5/Ca3Ds+k/eKY3FBBgGD3TlhMJ/D2wZgppBSVCBFXUcdcdhO6vWdR4+AiH8AKL6xjkrSorgRGqfa35RRAs0da1G9rPGfML5M5sicpRx/mQyKHJ7dvUOWqTs1HS1QQ0itPmMZ3rEmhhrfISPO37zBfB2HQkbogamMXR1L77kLGNTYAcWbK0wavhBRi7HMHdGOsiY6CFKDGDnMhwuvNLGzNPqYohyl9a4Q17aejPZsRzndfHbNGsTCs29ValDDTzJLyQuSCYkqpNWUDSz1LMP+oaO5Un4wqyd2+QgUb24za9hMZEqgaC1noVcA5r0mMaHvR6B4e305o6bepM2qOcVAsSaKwVMm0b1xJfRLQOfuukHMO2mI92IlUNh/vFNMD2aaEiic/lNAUUT0taP4+a7mXGQmNftNZKZPb6rZm3xiv/I3f/TfqO5PAcXZNUxbtouXWTqUsTBEkZtMXFQ8WTo21O3Yg59696KZuxOmBjmcWDmPo8/16DHch061yiB+94SApf680KzGT8PbEn9YCRTG9B7WnaKbm/E/8QzHZl1oV0v53RQkhV/nxI0IKrQYzKgB7Sn7/n7lD8UhJ+HWzq+AQqy0bFdu4GHp2FTywMXGCHHqK25cvEaScR18JgzDw7KQVzGJFIikqOsaY1fOAVNBImcPBLDj9ENyFQYYCcXk5kK5et3wHjWIBg5miP8QKNZy8ZUGjdpXJyX4Hrk2rRne0YLAvQd4UmRPXSe4fvEJdu1GMqpNKZ7fucejZ+8QGOogznxF6O1L3IkS0NRrGnP6leLC2g1cTy/D8Pk/U+bNdfyXryYox4Y+fbrgbGmAJDeFh4FnefDOiF7jf6W+5Cb+SzeQ6tSXOb8MxUk/n/und7B5331cB81goJuAe1fuE5muQM9IQUrUI+7cuEmKsDo+82dTj0ds2Hjsa6CQZhF8aS9+60+i13QEM73aUlpbQez9s6xbH8Bzw1YsmjcK9bDdLJu/G+Nus5nj0xb93Fec37WWbedT6Tz5V/o2c0RHmkfU3dOsX7OHJPvu+I5158ZGfy5mVmaR33gc9SAxLJBNK9bw2sGLZZ7lubJhDv5XxAz4dT79G7mgI0kj6ORu/HcE4tT/V2Z71uHTTCKpL2+xae4oLsq7s2DpROpYFHH/+BZ85x/GbvAcZnu3xVQcw5Etfuy8r8OsFZMxiz7JEv9Amk1fzfCGpVVAcXnvKgJuCZm+fDzqQVuZMu0oRm160auRIwZaWuSJxdi61KWhkz4RV/ay0O8sjeZvZmSDL1J9F6Tz9Pwmpvnup9xPK5g1rAE26gpiH11k9cLlRNsPZc0UVw7MGMv217ZMGDUQJzMdFVBEBJ3h0P10flq0Ha/app/PCoWc3JRI9vtNYfcrd1YGTKeaQQGhp9czeXkQnRavZXyzcgjESqDYTNuhi5BauGFvLCyxoVBGOxWgpWdDh9EzGNa0HNkRV5k4YjiX00uprsiUEVGLaUFKzrt4IqTO+G3fSle7+wxtOI9Siw6wtkfFD0ARe3UNw8efY+DJ/XjEbqHfxKf8cnQ73St9BIo7a/oyend59t77lWglUDyvxYPjM3hvKy8uyGTjkGoc0/Xl8I5BHz1YlFdCT3ZSr99/EChybq+h44xDKiJTAkW1YetYPdDtT3hhpHBqyRrORKUgUOQQcu0qGeZ1qF/FGiFC3Lt5M7hNVZU24r+9fCuwVUFcIBOGTKao1XR8fdqTeGwik3dk4+k7h151K6CvqQapQaorjzeOXgxv7Ya5nrpKhioVmFwNI5uyVChrha48ja1TPTmQXplBvVpRzkwXtRINhSTlBjPmHqP8oEUs9HTk9HhvThp2Z9W03riUGInlx15lms8i9HpMw7ulgGUj/NBoO45JA5pSpuR+Me7CIkYvCKXnil+onnWFacsf03X8ZHo1rYyRyhRYSuDyISy7acNY37E0dyvz8d7xPwwUOfHX2LB4HXdTzLEySOLFWzktBv2MV+cG2P6GCv57jak/AxThp1bgu/cuVjU60LGuC5p5r7l/9gTng9Nw7TkSnwHtqWShDYo0FVAcea5Pr+Ej6agCijA2qoCiKkPeA8UrE3p7tiTp9EZW7AoCMwvVWJIjQC7O4W2qGnV7jmDquH5U/S2fzq8E8m2gkBXlkPwmljSJJtal7bE00EGWn8bVHcvZdvEtjfr2wV4tnF27z/Mmswjt0m507dcHF/Fzjpy+hsC5CW3qumKiJiYu+AaXg15j16w33gNbYZoZ/AdXHsVA0WFYF/KDznAvyZgmtS14eScU9ZqdaWQUwa5DjynXfiSjWlnx4Oxh9p68TrxYGyMdPSQpr4hIFtJ06M/82rcU59ds4EaGHcPnj8U88hyL5/lxIaKQcmXMiq8UBUpvlwwkes4MmvALnWyi2bz+ILLaw5g3vhUG8pzPgGKAcwGndu/i6IMY5HrmGCgkpMZFk6vhxAgVUDz8NlAUvuXa0QBWnnxF67GrGNWw2E0m720Ih7at40x8BWb4jkY9/ABr/c9RcaAvU3pWIf9NKIe3ruX8awemL5yIu1XxlWnBmycc37CSw28rMGFmR6K2+3M+owqL/MaVAMU1Nq9YQ7zD0BKgWMK+Z6WYvWsBHnrK9VZGYtg1tixbQbzLcJZM78KnjjspL26zfdF0wix8WLm8L5aSbJ4EHmT5ilPUGLuS8e0dEGUlcP3QejZcysNn8VQsok+wxP86zaavUgFFUXq8Cig23FRjhv8vlM8KZlfARs48jCY7T4yBUSnKV6lB8y7d6NywHInX9rLA7yyNfwMows5vYd7K63T034Gne7F9RUFqDOf9p+D/woUFvk05PGY0OyKgWnkz5Kp1VqFKcZ+Wa8CAORuY3fej18X76SAtzOTJmQ1MXXKZDst28pNTPjsXjOdIRjM2rJ9AZRNNUAHFFrpN3EKDUWvp5azx2ZWHmpoOthWdKGumQebLQKaMmUl2ozGMaeWEUC5X3lyrtA+v7u5i5q4M5uzcQQ/7MMa0moLehJ1sHOxaDBTifCLOLWf4L/cYe2In1eJ2MnD8Dcbs2kX/aibFGorCHC4v7cWUy9U5fnkqEUu8GXe7IldOzcde5TyhQJSfxMq+9blWzo8jq7vzwX/lvwEoCl+cYeG+e8hLAs7bt/RiaGN71P7QP1RCdlIKmUUyhCSwYexIIqrOxnewh+rKQ9/UAjMjnQ8eH99rA/g76v1mpMyidxyZ782qKFcW/9KBqzPH8bBUPxbMGkwVa4NiH/nUIIYPHYmk3SoW9P+dza8oiU2ThnFBqz1zJxUbZb5XKotfH6dnbz8MlV4ennV4snIQfmEVmeE7iSaVbdBSkxF3LYBRvpdoNPoXfmqsx9Zx3jyx7s20Cf1xLWWEUJ5D4LppzDinxqylk6khu8u0qVux6T6J0b2bUNpIC0VBDOsnjuG4uBm+0wdTu6L5R2O8/yBQiNOiObp1ARvu5NK29xg6Vi7g2PLl3Ml24aeJY+mggre/4Kv8bw6IPwUUJ0qMMruXGGUKRSRHBLF/7UZuvDamvfcoerR0xUQjnZN+v7LvoYAuo8bRvXFFRPG3WOW7gVjjeowY04Y4pYZCCRRerUk9vZlt5+MpVc0dR1ulnQ3IxIXk5WviUKcZ7VrXVmnG/lz5FlAoyHnzkqC7z5CaO1C3ThXMdIQoZPnc27+SzadjcO8xmNq2Wdy6EUx6vhQNM3tq1XMm69Zpjt/No8OEiQxsWF61YSc/vcw6pYeOcV3GzxmBs/jpHwLFhVcadBs/HN2nJzl6+QlyXXN0NC1pOKgvZd+eZePBECq2H04vhxQ2B2wnpMCW5m2a4lzKkvxnN9h/6AFW7b2YNaA059es52aGHd7zx2EeeZ5VyzYRnG9F/VrKE7Ka6tRYVFCImp49DVq1pbz0MZs3H4G63swd2Qy990Cx/yGufX2oKb3Nqi2X0XVvR6valbHRlxF+6QRnbhXQ03cW9X8LKESp3D65Gb+9IXgMW8C0Dk4oz7hZsffZHeDPxQw35vqOQvjsAOvWX8RxkC+TOzuTlxTO8a1rORpmyrjFM2haXnlKlZP56h57V63man5Nps1sRdhGP04llGdOwCxqGMmIuX+G1fO3kFVrFMu9ynFlw0J2hJgyeZMfzW20QVbIq/tnWbt0I6IGE1k4qQ3GnwwaJVDsWDSLp5ajWenXAzNJFmHXDrLc/xw1x61kXMvyiDJfE6gEisv5jFk8DYuo4yxYdIa6M9Ywrk1FCpMjOLFhKVsfmTJ/61xqGIiIjY0mIjyMFy/jyU5+zfOXz8g2b8rc5VMxDz/I/KWnabxAqaH4hpfH+c384neepgt3MaFpWSVKk5P4lP0LpnIovQlL59blwPifOVvgSMdGlVShDgRyOeKiAsSYUa9jHzrVt/9aoykTkRpxi+Wz5xHpOo75rcTMm+BPKZ/VzB9UC9UeXQIUvWbuY8DaO4yu8UdGmQvRG7qW5X2rfXif0m00/OwCukwPUxll9qmQypL+XQhxm8/Ohb0wV1cmj0vh0tqpTDqjy86jftgnnMTbazHO0/Yyr5crGgo5RRkRrB41mD2aw7mzpR+Ruyfz0+p45h3ZT1dHA1BIyY69wvBu4xB67mb32Fof+/zfABTIxCrV5vsi1NRC669qFUqMMsNqrWbzZ0aZf27p+0//69uht+Uk3tjIyDmB1Ghuw9Vj4bScsYzR7ati8t5QsERDkVJ1AuM7uWOhOh28LwoUcm0s7EpjrpnJtsnDStxG+1H5C7fRHv1WYtRzNgs8myIPWobX/IuUazeYvq1rYy5P5tTWZZxJrsiUX6fRxs2EG/5jWXgukxZ9h9CuVgVkyY/Z6r+BOPv++E0diLPua1bNmMbZ9LIMGNCX2uUNSXpyitUBZ7HtPocZg5tT3vwTC+D/FFCIs3l4IoBFAYEYtR7MpCEdcbESEHV2J/P8jiBy6cjIcQOo52CJ9j/EFH8KKE4uZ/Hxl9ToOhLP9u+9PAqIu3GMJcv2kFSqMaPGe9LY2ZD7m2ey7MAT7Nt40ru5E2mPTrBx21X06g5gyoTWxB5SXnkY0Xt4XzSD97HpZCSlG3ShQxNnzHXh3atgHkSkY+feijYNqqAtyiArX4qusSnGet+wf/ow/r4NFFnRt9myZj13Usxo06c3dSsakh8bwpnDx4nWrsagUaNoVdkEqUSiugZFIERDPYfb+9axdu8DLBv1pE+bGphriYgOOsvuYw8xbdCPqWN7YZMb8sdAEa1B94kTccq5w86AAM49UaN6u/6MndQR6d29bDwUSsV2XnSwjsRvwwHSS7dlTL+mmBQkcOP4Pnaff0ONAeOZM6Qsl9eu4ESEJt0mT8FDM56T27ZxJ9WWzn27Uq2iEYK8VF48eURckRWNO3bCOvESGzYfQ1BnOHN9mn8CFI9w7e1J+exzLNwTQaMBPzPQw5j06Acc3rmH+29LM8x3Ng2Ej7+toVAU8ureGVat2MgL49qMHNyVivpyIm+dY/v+0xS59cZvzkjUnh1g7foLJUDhgiwviVtHN7Ji63XKtPNmUDs39OVZPLt5mn0nHmDZZhLzB5Xj+sZF+F/OpMOkabQtLeLB+YPsPfKEsr1ms9KzLJc2zGLhySSaDZtI/waV0SiI5/bJwxx/lEfXyYsY2abiZ7Y2xRqKmYSrgKLnR6BYXQIUrT4FigLGLJ2NXcIZ5k1fSlGTSUzu6U5u9G32BuwgTLsV6zaMxTj+LieD3uHsUZuKpgpy4sI4t3cTZ+PLMGv7GpxfH+YX323YD1vG6C51KWvy0WBQZUNxPoCJv25Ap+0EJvZsgaV2AZFB59iy8zJWPXxZ1M+a4wtnsiuqNJ4jBlC9oj7Cojxiwm/yMF6HtoM8aVTuW7l3FBRlvyFw83wWnC6gXRMNLtxRZ+am5bQpX3K2LwGK7pO30XLKLga6fm2UKdQwonQ5c0SRgUwbNx+dQWtZ8YXbaPjJeXSe/YyZu/cw2EXBuaVDmHpOiM/MSTR3NCEj6hYbVq3jXbVJ7FsyEP2MUJaMHcYpcWN+nTQYJ2MpkUFHWOp/isoTD7BxcCVSHu9jmPciFM3HMa1fU0zlqdw6voaVJzIYt+0oI2sXazaKVSDfvvJQKGRkvY0nExPKlDL5t92dv3/obUUyBxf5EuPgw4Suzmj/F8WY+DOw8lu5PGRZz1j183QOP3pKQdnerFk9mbrlzPhwYE65w4hhPgQmmeJYyhTtL9xvFQobOo4fTTd3Qw5M9eSssANzpw7A9RN3P/Grw3TrtxLjHrNZ6NUMW1ksm1bO5mjQW7QMrdESZ5OYr0aDPqMY3acF9qY6pIVfZOWqFdyNkWFsZIw0J4132qUZ6DORfk2rYqolIvTiNlZu3k9CnjEm+hrkpL9Dal+Pn8cprzvs0P3UmD/9kcqGIs5xLL94/UNGmZpqxN47jL//fpKMGuI1egANXGzRVh7L8xI5t8ef1ftDcOo8lFED2+NgUXxi/97lTwHFiWUsOh6Je7eRDG1XG+P3sixI5dLB1azZH0y5FkMYNaQ9+rFn8Fu5iVtxCmzsS2OqIyIuIpHS9fsyblQbYg/5czbSgD4+PnjoRrJ3y24uP0lGzVAPJbcW5eUhtHale//BdKpXnjdBxwh8no1jow40drP7wsvjU+nISbi5nSW7LqFbezA/Dyz28pAVpPLgzB627zlHVIEmxkZaFKVlUqRdhjYDhzKwS0NsvwqeISHp2XX2bdnGucdJaJqYoqcuITs9B40yteg3zIvu9Z1Q/J6XR2YMx9f7cyFaSPfJ02io95p9K+ez5nIWzUb9wpzhNYm/tJP1B5QaihF4uovZu2Ejh4NeY2Rjjo6iiPTURBJThNTpPZpfJjYm6og/K3YGolO9D1692mDx7jY7914ktkiIgaE2asrDkliNCrU7MGRoTwwjz7Ah4BiCesOZO7oF+vJs7p3cwaa9D6k6cDxN9Z+zwm8n4fkalLXSRZyXRWJCEgLdCvSZ/AstTKPZuuEoxh2m8OuQ2p8szAoK02O4dnQr6/ffIFPTGAs9TbJTkknIyMex8QB8lUARvp+1ay7gNMSXyV0rI5AVkfj8Frs2ruVscA6G1mboICE3swgDew/6jR9NVwchIZf2sHDVXl5JrHCpaKYymk+JT6NM26n4DbVX2VAsOBRF6VpOGIkUiApzyM3XoFLzvoz07kFls8/dB1Oe32bbwhmEW49ipV9vzCVZPLl6AL+V5/D4eSXjW1dQaSiuHljHhov5jFm5gOryF2xfOottQQU4upTDSF9AzutY0g0asnTVBIyiz7HCfy9xhcaYG6mhjH6ZXyTHqkZ3po3vhXbceebNms09qQe9PScwva/7xxgOqjgUm5nyyxbkHu5YyQSICwvJychFv1xjhs0aT0tbAS9vHWTVqiPEynQxMtJEKJNRIBJhVqk14yZ7U8Py25oFhTSf+MfHmDVyMWECXVw7TcN/VnfM3p//lEBxaxPthi1FaF8fJzO1L7w81DE0q8nIJT6Uf3udqWPmoj04gFWfAkVRNmEqoHjO7F278appQGLoaeYtWMDTdDNsLU0oSk8mw7ACPlPn0reeHYizCT61nrlr95Cn4Yi1oYK01HconFqw+NcZ1CqtiTgngeMbZrPqeChGVpUwFOSSmJqNXfuRLJswkNIlseE+AEXodur186VrQCS/NimGNuW1aWDATC4L2zB5VPuvo4b+xUX1+wMFIpKiIinQt6ectf6fuC75iz34zn//7eRgIsLP7mXvlWDMaw9hcIeqmOlrfHSzzYlm7+593Hv2FpFU/lUrFQoLWg4dQttqFoQe20GY0I1ObepQykj3w+YoffeIDZuvoFujA10bVsJUV420V9e5cPYKj16mUSg3oGKdJrRs2UgVYVNLedciyeFV6HnOnrtH5Nt8BLo2uDZrQ5uG1SilumYCWV4Cj2+f5lLgc95kSjG0dcSjTTtaVKuAic4XroF58Rw7dJA0q+Z0aOD22/E0/s3v8JnbqIaC8MB9nHmYRaUm7WniXhHjT4xVC5KecvLQcZJ0XWjbrgWOpb6MufBvNuY3Hv8toLgvLY5D0cTFlMSQi5wPTcGuehMauJZD9xPFVO7bYM4evsxbTUdad2yKg5GI4MBLXLr5iDR1E9zcK6OZm4maaUXqN6pC2qOrPE3RxqNJU1xLafD6+WOuX7tBSHQieSIFxraO1G7YjIY1nbHUh6i757kTlUOFOi2o41zqd8J7K8iIusOFu8/QLFePlnVcKXYIUlCQmkDonatcvR9KQoYIDf0yVKnTmNZNqlPOUu+b0SLl4jwSXnxsW75EDdNSJW2rUQkLQy0KPzHK9Jr5eRwKWcE7Qq4FEv5OjRqt2uBsUEDwtbNci8qnSotutK5qRuLTIK4/TMDCtQktqxgT8/g2Fy5d43lKNuomVtiVsUSnoACdMjVo3akespggTp+6yGtJWVq070KDcvD07nWu3X1M3Lt8hDrG2LvUonnThrg6WJAd9ZjrN0KgQkM6N3NBS1FITGgQN+/FUKZee+raynh09RwXgh6TJhZiUKoMZcyNEOYVUKZeR6qa5nDv+mN03FrTsX75z9XrCgmZSTEEXbrMzeBn5KKLvoE6OckxpAlrMG3eeCwzHnItMBzr+p1pXeLmKCnIJv7ZA65eu0Hoq1RkQkOsyrjRpHE9atYsj5GGnOzkWO6cO0vgw0iEtva4VnFA7V0iktIN6OKuzvmAJWwPUqf9sHq8ux9CmkSHCq51adeyGU72pl9dA+QkRXPn7HESjZrQu6cH+rICEl485NKVp5Rr2ZvmlS2QFGTw8sE1rj8T0bx3Nxx0RUQ9uMbJM4G8lWlTvqo75fTEvE7XoV3fTpQSpBJy4zwXAsNIzhOhpqePrVstmjdpSZ1yJhRkxhF4+gCXQnJxqNcTn141Poxd5dh6E3aHUxfCMK9hT+LDu0QkiTAv60Krlu2pW8MeLeSI8t/x7PY1Lt26y6vUQoQaOthUqk3rFk1xd7b5nbkgpyAzgcs7NnMtWYtmvUbQqcYnViWyIjKibrJiywlScz5q6z8uEerom7gxaMYQHAqiOLrvNBr1BtCrrt0H2colhbwJPc26k0l08BxKw/J6yERZRDw4xonTD4nPBG2jMni070ibem6oFMQKOeLsOO4GHuL8lRgypOqY2VWmQeeutKpiqwrsppDLyE96zLlTR7kdkoFITQ87tzq06NKR2raf0oSyPhnihDss3nKO6v196ehUvM4r427c2bWYm8KmjBzSnC9MV//yQvoPAMVfbtN/1QO/l21Ukp9JenYBmsaWGOlofJ5fQC4iMyOL/ELx55HVSnqnUGhgaGaCoY46hdnKcMXaGBnooiH8eNZWknx6ei5quoYY6WkVG8MqpBTmZJKdW4QULQxNjNHX1fgM1BSyIvIys8gtlICGHsYmhuhofh4aXS7OJTszl3yxAk1dQ4yN9ND8lvZILiE7KxOZuj4GejpofJJj4e/8UJ8BhaY6eZmp5Eo1MDAyRu/L2CRyGXmZ78iXqaNvZISu1icg93c26ou6vgUUq0Yt4Ha+Az9NHkaraqURSgrILZKiqaOvCrn+qeZEIZeSl5FFoVSAromhql+ygnxysnMQq2liaKCHXFyERKCBnp62ylK9SKqMsaCPtqYQ5fMF+bnk5OYjlYGWnj6GBgZoK72lFApEBbnki+Ro6eqhq/37MpGJ8snNL0KgVmIXqQAAIABJREFUpYe+rvYnY1eBRFSgalOBSIZQQw8DQwP0ddV/J/S0cnGTUpBX0jYFaOvqY2hooLoilUlEpEffZqf/dl5quOE9awy1LD+x91A9m0eRFHQNDNEWyinMyyZfIkdH3wQ9LTXVfXh+gRh1bX30dTWRSYrIy8kiT+XerK2Sl1AiQqzQRN/QEKGsgNycbAql6ugbGmGgq4FMXEROdjb5RRLU1DWKf9fTUX0jqaiAvPxC0NTDSF+ZG0aOuLCAvAIRmnqG6GurIy7MIysrC5FMDQ09XfQ01ZEXFaLQMkRXQ05BXgECbUMM9TQ/kZUyiNILgm7cJ92gDFUdy6IjEJEUcZfjx86TX6Yz02cOwU6jkLy8QjR0jTD4BOrlMgkFeTlk5xYiRwMdPSOMjbT5MFXlMsT5uWTl5CuFjqGeDpLCfCRCXbTzozkZ4MfBZ2WYvmU6FUXZFMoEGBgaY6T/bXsb5bfKz81GqqaPkbEuQoVcNR5y84rQ1DdWyUG5kYkK88grkqNvZIy2ujKOQhG5WVkUyIvr11CIVNBrYGykimQrFReSk5lFvkSGQEMDHSNjjHW0VZtu8djJIjtXhLquCeYmHw9Vyo1VUpRPTq4IbQOlO2gWOQVidPQMMTEy5ONyqUAuFZOTlUlOoQQ1NSF6Riaqfv6R9lIhk1KQnUa2RA0jM8vPg+UpFMjEeaSmZyOVlXhtfLYuCFAT6mJqZYKWQkR2Zg4CPWOMdT/RiCj7oDQQzZFgaGqmSn+ghHe5tIjcjAxyixQItfQxMTP6SpOttL/ITMuhUK6Glp4xZiZ6n+8zCgXi/DQyMouQoIG+iSkm+r+hjZHkk5Keg66JNYZaJffEylD8me/IQx9zU2Wo/X+v/ACKP5Dfj/Tl/94A+7NP/y9mG5UWPsF/5Gz23U2ldLue+AzqQWPXsmj9g9E7/6x8/2P/U8iID7nKqUPbOXw+Dqv63ZkyzwcPpRHI/4kiJfnZDXatXcnpVwIcK1bEUK2A1OQE3gls6Dx4PD+1dy02APybizLK6Mn1SznwojSz98zHQ+ePtta/uQE/qvs/J4EfQPEDKP4rBv3/IlDIxfGc2bCdk4GPeWdTg0H9+9G+rqPKvuFHea+KkxJ15xj79+3jYYIJHm260G9QGyoafJ/Qv/+NchfnpfD8/kVOnL5BeMw7xOrqGNo5ULdFZ9rVq0E50+8jC1FGPPfOHeN2ghm9Jg7AQXUy/lF+SOD7SUCQkZHxLT3O93vj/1jNmZmZGBgYoK7+Y5f4np9OLBYjEonQ0dFBQ0PjQ8yO7/nOv1q3Mo5IXl6eqn3a2spYEiLS3yaTlpmDWMsQaytLzAx0vp0k76++7P+j/xfmvCM1JYWcInUMTS2wsjZF+ztdnf13ik2gcvHNepdMWkauCih0jE2xsrDE4Ks0039fDxTSInIy0sgWaWBZ2uof84b6+3rwo6b/NQkI0tPTfwDFb3w1gUBARkbGD6D4zqNaKedPgUIJb++DgH3nV/+l6t8DhaampgoolBNHqK6OUE0NgUKOTCZDJpcXu1T+KCUSEKjus4XqQtQEyiixMmQyeUnwof8rQhIgUBMgFApRU44Vld2ADKlU9l3loJxXAqE6QoECmVT6hXfC/xXZ/+jnPykBgfx91Kp/8q3/I+9STsiEhAQsLCzQep8B83+k7f9LzVTK+f2Vh1Ib9N8qa6VRZnp6ukqLoq//Lb/2/yWp/2jrDwn8kMAPCfy9EvhhQ/EH8vxhlPn3Drjfqu1/0Ybin5HMj7f8kMAPCfyQwP+GBH4TKBQSCXI1dYS/c9cpF0tQqGt84rrzvtMKZBIJUrkCgZo6GhrCr13OlK40YokqJ4FSbaz+ibvkh1rkUiQSGQrUUNf8wi1T5VorRRniQaki/8No4P/i9/gSKN6/s1iF+6lpdrFaUaZQQ0OVMVWORCpV6sRRL1FzftYvmbLdQpWqXCKV/aaKX3l6F6pkXPyuYlWpUn0pQKhRom7/om/FWSVlIFAr/s9XwlF+H6lKPY+aUNWO3wqnrpAp1bLKv6mhbMv3Kl8ChbKfym+vzIyplPVnb1a6ckmkxWNH47fb/ne39Uu3UaXrl+qby5QZRdVU41AN+bdV2arv+O3v9e12Fl8PKL+zUvZ/HO7+L/ZWoaxfmWtAqRYvVsOXDLDiqxtlnz6pUk05joXC35lnxe2Vqp4rVu8LS+pVugUWq/eVfRF+o57itijfp7we+dYwU143KeWvGtMlc+Ev9vgv/10ulyGXKRAo+/IH71TIi6+8BMrrnW+sZX/55T8eeD8gUcpWOa6Urr5/m+mNcg2RKdcQ5bz9fH1RKORIJcVrt9KNX7nmS+RyhBqaX8QXKa6jeM1XK87mq5xTv1GUY1td46P7tdIlWJn9VxlxVl1TuXZ8Wf7kPqrcq5X7wW/so+9rlUulKATK8fn91vFvAoVclsrN3fvJrdyXDjUtvznBC7Kfc37nVUp388GjlHJRL2m2PI/453e5fPY+8bki9MwcqNe+FbUqWqH9/k+iZJ7cvU3g9adkSIVYO1SnQZumVLHU/zBgxFmR3Lp8kwfhrymQ6eFUrxENGtbETl8Zc6F4qXsbcpXgN7rUaemB2R/43f+r8/NLoMh4ep4j9/Kp37kNjhb6qgAjqiLPIOjECe5LnRjUtgYmoniOnTxNunkDujWvjrn++1DIMpJCL3PoYS5NWzWndP5j9px7QGpWoaoawYelXaFaYDUMrWjWpQ81y1ugUfSax7eDuPs4koxCdcq41aRe47o4WBhQbMCtzKD3nKDAIIIj31KEES71GlCvtis2Btqo7L/kBSS9CuXm5XtEJmeibliWak0aU7uKPSZfyVAZ4vYKEVnmVK9dFVszvT/06f5X5fwlUBSkvODqyRtkGDnRqJkHZT+Jhpn7NoyrZx4hLe1Gg/quWBt9Hyv5L/vyJVAopCk8OHWR2yGRZJo50rZFEyqoJ3Llxh1eJmR9/riOMolQFWrVrotzGQv0/mhSy3IJD7pJZKY2VTxq4WjzIc3PvyriT55TBkSKICwkCqFlJVyrOmJQYnOszJ9y50Ygt8NeI5IVPyJQ18LBoxlNG9WnzLeaoZCRnRLHg6DbPH4WQ4FcDzvXmjRs4EEFc11Snt/iWmAgL1MNcfJoQPOWNbD9JByrrDCTmLC7PItOx9y5Dq6uFTDSeL+8KpDkZRD79Alhb8TYuLlTx9Hy9zcWhRxRdh5isRQtUyM0/2q6AGWnFUUkPA/mYegbrN2bUtfZ4nficEhJjQnnwaOX6Dg2oIkyHsnf8JX+b1ShQCYSUZCeg9DYCF3dz+eyQlJAclQw14PiqdShC9WtvwjY9C8KSZyfxYvbp3mcX4EuXeph+mG4Sch9F8HZYzeRuLZnQC1LUl/e5EDgc8o37EMHd5uScaDMv5FG8NXzBOXa49XBlbigoxy6HfehRcVrefE6ribUwLxidbp260RpHQnZb58QeCGIsLg0BFqWVG/ejLo1XbBQhZBQAnY+b17c48r5B8TmiNAzqUDd9i2o5WiLjmrPUSArTOHZw9sEXn1CukID6/LVqN+2GVWt9L8Yqwqk4hSCDh8np2IX2td+34d/UXi/89hXQCHKeM31y7tYNms15afdIuAnJ9Q+o3M56XFhnDy0inVrb+N59Bkjamp9mOApz86yfOlybj3JR6AjQFokwLhOO36dPJo65ZQRDcWEXVjHkrVHeZUsRyhUIBHo4Nh5KPNH9sLOWBM1UTpntv3C+v3BZIjVEEgkyIxtaTNsIuO71cWEZEJCXhN+4zB3o81p1rc2tjZV8XAw+3Zwpn9Dbl8CxauDP9N/zTsmblpGh0rWfHDtlr1i5dBhrBe14+zyYZTLu4Xn8FHcKarPr0vm0b1u+eIspIgI3jWD/huTmbnYl8ayS0xaeZT4lFxQiEmKeUW+pgVlbM1QBofUtqiA18xFdHYzIeyMP+t3XiH2nRiUmgodU2r38mJsn9ZUMNdHlhXLke3L2H/6CamFChTKwES2jvTwGsmAljWw1NciLfom2zeu4+KteAqUlC5Vw6BKQ3x8htOq+vs2grwomxchl9m2ajWvTDoxdfIQPCpYfBb3/98Q61ePfgUUqU/Zs2wZB4NltBw5msFta2Kjp4EiL4EzO1ex48wbPHp7M7BrfUr9h4BCVviUdT7T2XgmFHm9bvwy3osqeVeZvXwbwUkCrE30EVKsBZAqJIjVTajRuj8jB3aihr3p78KZQpLE4RULORdrTG9vH9pWt/l7xC2TkP42gotHtnM88BXVunrj2a8tyrxRypIWchy/Zcs59jgdIxMj1cYo0NSlbhcvPAf1o4r5183IS33OhUO72Xn4Ngm5YrS1tdCzKEP9Nl3p16kFRJ5i07rlHLstp3qXocya700N84+BlSSZsVzY5ceGXZfRbzSckWOG0bS8UQmoi0kIu8yudes499qSbqMmMraj60eQ/4ZUZHnveBp4h6gMdWp0bUF5o4+5If60EOV5hN88y4nzz3Do4Emvhva/AxRFPLt2iICNpzFuN4VfBnn82zkR/nQ7/8f/qJCKSIt8yrWzj7Ht2IX6law+k7OsUBl6eyu+q27Tae0WhlS1/Ft6nP/uNSeWjmTLuxZs2TqBCu8JUF5I8oszjP5pMUW9/Tnl48LzkwvpMmkXZdrNZLWvN25WSuiRk58RwfZZE1ie1JjbAUN4fngeM3YFqzT2ksIsXsckoW1bntJmOkoqx75OR2bOnkgFcRS718xi74UEitTUEUgUaNm70G/MJDybVkJdJiEl4hr+fksIDM5DoKOGXCzEtFYLpvw8lqYOpsikBTy/uo1la/bw8o0CDW0BMoEe5doNYPGYQZQ1LumQQkFhRjzXL+3Gf+EWyow5Q8Bw1+92MPwEKCTE3X/AmSunuHrzJjcePKHTihC2DXH8oG5VSHIIuXKNE5fPcvfuTe7GFrH4dAQj3wOFOIsjvgOYdUFEv+HD8SitR2ZUIP6bz+I4LICNIxugkRnK7BFeXJDUxGdgJ8royXh5cy/rzyXjvXIfo5qURhS2i/7eC1HUGsDAljUwJpOL+9dwOasay9csplmpJI5tOsWle4E8S7XAzb0iLq36MqxpRfQ0/96zwddAMYF+/u+YtMmPDs5fAIWnF2tF7Ti/QgkUN/H0nkbgy1yqdJ/E4ulDcLU1Ql2gBIrp9A1IZsZiXzpXlPHkZTz5RVIE8gyOrVpGlFlLBnerj5WBBurahji4uWOafoMZU3yJNKxN9zaNsTOQ8PDCLk5F6jNixlx61Xck88ZKxi06gl719rSrXxUjaSKnDuwi2rAFv04bSb0KulzfNJ1Fx6Op2qIrjaqURpz4kD0HLqLfeDRzR3TByUaPzLhX3L15mTNXLnMz6B4GjcawfNYwapc3/24nr69tKCS8Cb/EqgX+hAgrM2rcGNpUMebl1Z0sC7iMcb3ueA/uShVbk2LNyz9QvhUpc/WoeVx8rU/zoYPp3aIqeXe34rvnFkaVW9DawwldNVUWLaT5ady7cIJbiTr0GjWOQW1qYvg7nshKoDi0YkEJUIyi3d8AFMr8E9GhDzl/8QJXrl8jptCIHj5TGNOvrSqXhzKNfeTF7SzfegFF+fp0bOSMuvJ8JVTH0s6BiuXL8RW7KQoIPbeN1euOkWZeh/ata1PGSErMo1s8fC2lXjdPOrubEvfwFHt3XCanVGNG/zqKWhafAEVWLKc2L8d/62EyyrZi0IhJjOlaFWWTlKewoBObWe2/lReadfAcN4WxXav/LlCIksM5un4rN1MtGDxvPHUt/4UgWgopWalvSHibjUGpithb/t7JuIhngQfZsPEUxu2n8uugWj+A4k/OR7kom4irR/BbcY5ac1bi3cDusydlylweqvTlt+m8buvfCBTxHF9SDBRbt/38GVAkKYFiyCKK+vhz2qcyz08sovPYbchsXeg7cTEzBtTDQE1OfnoE22aNx+9tY+7sHI8wJZzH0e9Uh4iMhGC2rtlPqW6T6d+gFAqZAn0rOypXKsu7y8sZ8sthHLr40KN2OWSZURzds51Y695sXjkFB61MLqwcwbTjaXTzGkldO10yXt1h666zWPdcxtZJLVBLfYrfJG8OpjoxelhvymqLiLh3lI0nX9HP7wiz2pRGLhMR9/Ah56+c5tLNG9wPi6bNgutsH1rld6Pe/slP982/fQIUKezxXsihPCl1q5pxalcAFcbfYKdnpQ/3h6LMUJYMWk5I6TI0KZ3Okq3XmH7wKT4lQCFJC2Zit67ENVnKhmk9sNUVIs+PI2BcP/zedeb2gQloPNpIr5HbaOi7lakdq6GvrkZe4jXG9xpOQot1HJ7WlMjNAxiwU4bvTn+6uNigoSYj5sZaBo09SIs5O5jS1proS/tZvWobQRm6uDfrifeoXtQtZ47G33y/+q8DxQ08vZeTaW1AariYztPnMryzB+Z6ckJKgGL6Il961iuP3vt7E2kiyz0H8rCUJwvHd6G81XtPAgURh2YwYm04nafPYXCzqphoqZEcdpgJP2/ApNMMpg+sw5PVQ1j+xJYxMyfSppo9umoFPDy8mMlboukzeRa9qsOmyWN4bNqRiWMHU7OsKYLCNxxaPAn/5+WYN2c0TauYErr7ADsvPUCttDlZEVd5Y9WFuRN/om5Fi38QKJSHgFyentvEfL9TGNTpRzcPXS7tO8Ybq9oMGz2IxpVKEob9OzPgLzz77Vwei3ggU+by8KKxszFPTyxn6emX1Ow+kiGta2P04eQjJupcAHN3XsOu/QjG9GlMYcRDXmWoU9HFlXJW+sgK0wgPCSNTzQLnSkbc2LSMszFG9PZWAoU1RRmJhIcGExr5mjyRNnbOrrjXrExpU33U5RISXwbzPLEQ20puOJUx/UKbpCA96gkndh3l9ps8jAwziU7MwbXtMMb1LwEKRTZB+9YTcD6JOr2G4dnKQWUPoYy78S0bJ5Xo5Imc9F/JtktZNB89Ec9WldBXV5D2LJDNu46TadMIH88eWOU+ZteKAB7LnBg64/NcHpKsGE5sXM/RwAfkm9jhWL0dI0f1o6I+5CaEcGr/Hk4FPiHfuAJNuw9nbI8aUJTOq8hHPAyNIC0D9IxK4eLhTuUKJiTdO856vwDuZZnTatgIerZoTDUrISlxL3kQ/IRXSfnom5TGpaY7rs52GAoVZCfF8DwihkypAGnKW3I17alUTo+cjCzMHGvgVtaQ3Mx4noTc5WlkKiKRDualHahRrzoVbHWJ+gOgkBZkEfPsEfeCn5Ih08fM2gpLpe5apxTVa7milvWK8KfRiIQaZL1JQmhenRbNXFDPe8OL4Ec8i0wkR00TK3sXatTwoIKNHpLcNKKehZEgMqVOvaqqRHT56W94FhpGrpEL9V0MeRMeSsQ7dcpW0CHqXjAJeQIqOlajZp0aWH6DaAuykokMf0y6djksBIncux+DlokD9Rp7YKufS+i9OwRHpGBi60SdhvWpYKZGWkIkweFvKe3egMq2+kiLckmIfEL4WwE1G9XBUlhIUsQjHgSFk1AoRd/IEreaDXCtbENRYhiHVi9k/YkXOPUcTv/ePelUvdSHWVkMFFuZt/IGLX1/oUpWBMGvs7CyqYhH/YZUKGVQfLEgFZP1JoKgB4+ITMxBS8cKlzq1cHcrj+E34nnlv/sLQHFyKQN+vYR9DRty0v4fe2cBVXW6rvEfm24QsMAARUXFDrA7sAPF7kSwuztQUVSwu7sbEUVUUFRQQUERJUSQrt13/TfogOPMOHPmzD3nXr+1XGtG//W9Xz37jecpy/Qty+hga0JOYUBxeDZW+gV5bnIxieHXmTpmObbTDrCoh21Bf5SIMz5yYYkLi5/XZce+ZTiU0EWWl0LgsWVM3PSGKTv20dM6gZX9uhBcdQG7lw3CUhfyUt9ycOkE1kTU59LJ+Ri/OMKIMWuxnbqLZQMaoCuohr4PYOHwMQTXXoPf2i6o58VzbNp6TqXkUKu6GbfPHKD0iAscHFvjnwAUn/HffoNM+9q0LJ/I0B590Bh+i4Mj7b4CCklmJFf2hFDMqTl1U49j338Tkw4/Z3xdQWcCMt+epHeHlTisPcK8TrYFug9KHm8byoBNahx4uAXtMwvpsz6BTSe20MrGpCBUksOeEY3YljWaM7v64z+1J4s/d+LGHlcsDQVefZB+fsLk7gOR9N6Ex+hmiMMvceD8O0y0Y3mr54DriM6U+pqn8CdOiT+49F8BFMNGe2E5cAi6vqcIENVk9lxXmlQ25cWhWSoPxa8BRQwew4YQZDWMVZN6UeEroMjh5ko35j0sjseaiThWKqk6LBQ50awZPZyXZYYyz70RV2a6c8usF8unOlPNylhlt9Tnp5gyZRcVRsxmQN1sVk3ajHEnd9z6NaeMiUqFhhcn5jPV5wODVsylW8OyJPg/5HWmOlVqmnF7xzxOpzVk1sRhNPqnAYXwdRnRnPRay65rUcjl2WiY1mXglLF0bla5UJz97xvv33vSD6mNnlvP8uNPqNCyP31b1MRQIz9JUcgDCDqzh8OBibQY7s6I7nY82L6GcxF6dB86ko51LZEkP2f3xm1EatozYGhr3hzfyKUoIxWgaFMuk5unjnDwnB/PYz8jk2phUb4qbZz74tKpBbbFRDy+sI+zj1Ko1dmFzg4VvlEbVZIRF83zp2+Rm5fCMPMeO4/7YdBgEJMG5quNIo7j3I517PGNp3TlBpTTyyZPywBb+wY41q9JWSHH6VsDKWI5s3EDB25l4zR5GkNaVkBTTUnKK3+2e+0mSr8urtNHU1kc9gfy5d5cfZmAXnFTUJamy7gptLPV4m3AGY6e8eVdNiotBbu2o3BzKkv43fPsP36Me+Hx5Gapo61tTOWmHenj0hbNZ8dYtXIrj9MNsOs4iIluo2mqFcGxA0e4+DCcpHQp+voW2Dq0oPegAXStV464oAvs2Lmbhx9BNyMPgxrtaWuvTmhQBHZ9pjLAXsmts7vZe+kW0R9zkYs1MTIvT9MeLgzq3xHCzuKz7dx3PRTCofjy3iV27DzI7ZfRSESG6OnroaOhTtl6PZk1cwQakafZtG4H0fJikCbFusUwpg6pQuiF/Rw9d4/3n9LIEalhZG5Low4DGTayE1Y5UZzavY3b6VVYsHQ8FfWVJDy/w94t24mtMIglA63x3+3JtuufsK2ry6uACOIzJZQqXZ22g8bS37klZb5x3iRFBXHYewm3su2x1X6F7623qOmVoUVXJ2qVknL70jnuv/iAlpkNnUfNZnLvGsTdP86G7fdoPmUlQxtZkpfynlvHfdhzX52pq2ZSLiWYA15ruXI/ls8KBVo6BlSp0xrnMcOwF71g1bgxHHyWTbGqDek2cRVbBtcrAijCruxiztITmLWoi+R1KGHRqRgblKBeh0EMdx9E7WIKUt7cZ5/Pbk4HveBTqgQdrWJUqNuQbiPGMLBRxV/N2z8HKNYyan0Y/ab3IcxnNznt3NgwuRt6Wa/ZPW9ivofiG0DxMfwSk0evxnbafpb2rFzQHwVZn8PxGjaMq7Yzub6ul8oLp5SL+Rh6HveRq6ix+BCuDT8wrtV0Ss05zIZ+VVX3yiXZPDs+n5FrPrDm1i4sH2xk4NwQ5h7dS0+7/PCgNDeF07M7szyiK5euzqS0NJnAg7fJqFQVhzLJTB4yFLHzWY6Or/lPAIpCO0VSAM6de6Ix4nYRQFFkLwnegE3/LUw+9DzfQyGC1PCddGi3h977jzGpmeVXIanIY2PoMTWRDRH7MDwwgz671Tlx2oO6Vr8InZybWpuloX05dnowt4Y5s85wBPc3DcDUID9JR5nxlnk92vGuxQa8prZHK+kdb6UWVDWM49F7EZXsbSmm8/sCRn/l2PlXAMXQkZ7YuK+jT/EXrFl/COMWbswY0pykC4vovzXhTwCKVM7OdGXpu+rsXDmKWjYFCWLiJHzG98Zfz4V5MxpyZsJsQqoPZ6VbZ6oUJC/lRF1lxlgPjAbNYlC9VJZNPILNgKmM6+1A6YJMvJirS3BbHEqnNYvp26QaJl9CCJIE9i+bwLGUhsya9L8DKIQxS3pxhvkTF3A0KIMeM1cxZ1Q3bP+KG/uvTIBC9/wIoHh50Yu5XieIV5SicllztET5gEKSncK7D58pXb0DY8cPorG9DpfXL+HkSz2cR7vStWEZxEnP2LraiwjNWgwb05GYk5sKAMUIrJMusXbbWZKNq9G4nh3FNOV8ePGY11lGtO8zjF7N7ch+/5zXCbmUqGhHxdKmv+NNUvDh7j7W7L+GfsPBXwGFLOk5+7yW43MlAg2TshgqM8jJy0PL2JqWfYYyoEdLKuTLkv7SlFkEnfRh446riOyd6O1Un2KaEt49vsXRA35o1OnJnOXjsZe++ANAsZlrUVJs7S1JfZeMdcfRDGtpyt2je7n06CMWZUz5EPEB6/ZjGNfcAN9jx7j2OJkS1apgqp5KZPAtgt6q03TIRAbYp3FwvQ+BqcVxGjuedlWMiLi6i4P+sVRybElNK2NkqfGEhb1CXr4Z48cNwTDyHOtXrOKBrDKdOnWhYR0b1OIfcPpMCPaD5tDb8hMn9xzhuawUVe1KIk2K4FFgAPHq9ZiwZC722f74bDvzHUAhJTH8Lns2eHIuSp2mHVpRQV/JuyeBXLzzBPOWI1m7aDyaz/ezdLYHCeU60rNDC6rbVcTw8z02r9/P59LN6NCiCnqyTN6GBPMgUk7rCbMY20DEqa1e3Eitxop1k6isD3HPbrF9/Sbe247EY4QNN70XsPTQK+xatsChZg30pJ94evcOz/OscVu2nH71CilrAp9e3WP70rEc+lCNrh0bUkZXwdsQf24Hx2Ll2I76VctgIE8k8M5NYg3b4eUxDs2wE6z08qP1nI2MbmpF7ud33Di4ga131Zm9fjIaD3Yzc95xzNv1oV2N4ogzE4l4G0fZliMY4ajPVe8VbD4Zhl2/CQzo3Y121UsWAhQphF3dzpRZPuRVbke7DrUoLZLy/mkg1x5+2e9FAAAgAElEQVQk0nrWFhZ2NMF//1IWHAqnTufu1ClthCI7lcgnD3lrUJ9FC6ZR06IoFP5TgOKsB6M2RjJ97wZMAtax5GQc/WevYUD1PPbMc8fjhwGFjMykEJb3GM/D9mvwm98qv58KKZ8jfJk2eDLmUw8zrWU0Qx1WUcv7JCud8kNACmkOUZdWMGRqENPuHaLCHQ/6Lf/IpnPbaVM+P0dIlpfFrVUdmXKpMSeCV2H3xYpKOXkJgYzuPwhxn3P/C4DiUwDOXf4AUARtwGbA/wag8GTj1A6Y6f0zCpO/AhRHJ9N/UzLThKTM7+RQbBE7cVmVQ+GPACjKTtjAlHYlCN4zn9VXcxm3aD5lIrYzYsdHZv0q5PFbHor/z4Aii7ArR9m4Zjd+bz9j130ss9wG4iAkiP5DuRNf1uUPAYpLXsz1PEp0nhkVLU0hLZZXz8NJVC9F8z4DGOHSi0ZVrTHSTeOs5xJOvdSn9+jxdG1QBokAKDw2Ea5Zk2GjOxJzYhOX3pjQd1R3snx34HU2HNtmHWhZo5xKwTElKojL995Qoe0Q3Id2wcb0m8P+NwHU9wGFJDmSWxePcz0iHUu7ulSzMkWWGMX1s+d5JarOSPfR1DPP4PmLaJWSrZahORWr1aAU7zi3bxdHrr1CoqNFMSNjjDSUxEV/wsKxK9MWuGIv+wFA8UaTlt3r8+lRAMmmrRjRxQK/IycIpwpNbaVcv/yUsk7jVB6KVw8f8jAkhjwtDfJS3xH2wJcH0Rq0GTWHxQMsubbZB//ksoxeNoVSMbfw9NjAg4wS9OzennIm2ihyUwgLvM3jZGP6TFpACwJVHoKU6oNYNH8wNloZPLywlx2HH2I/eC5D62gQdCuQ0Pc5aOgp+BT1mPuBgSRr1cd92XwaqT3CZ9tpjL/NoZClEnxlPx7brlGqyxTmDGpOcS0FsU9u4LPFmxCt5ixf4op62EHWrziMeZ9FLBjTCu2U11zcu1nl+ek/bxE9HcugKc/l/ePrbBU8P8U6smiKA4E7vbiWUp0VaydSSQAUobfYsX4TMQKgGG7DTZ/FbLmtZMTKNfRtYIOmNJWQq4fZuO0Clj3nsnhMUwrrjn6KuMuOJW7cFLmwet0U6hpn8ujCXpYsO0b5ESuYP6o1htlvOL/Xkx13RcxeNxPzqHOs9vKj1ewNKkCRJwCKQxvwCdBgzrrJaAXtZeasY2g7OtG5kQ2GunqCVC7WNR1wtNbh9c1DrFh3mWZLtzOmiVWRWSvPSSHsynZmLz9OVVdv5gxpQDGkJDz3Z/PylYSYuuA1uw6HZrhzIL40rsN7YqWvofpF//7Zbc48TGHwit24NiuazPlHgMJt6Epy+3pxwVXIofBg5IZIZhw/RGv5A7wWL8Jf1Ib1C3oS4DGR1XE/6qEoDChW4ze/9U9A8XW0vwMoMt4cp1f7NTTZcIQ5HSt+9VA82TGUfp4K9gV7o3N6AX08k/A5sZnmNsYFIY9c9o9yxDttJKf3DMB/ci+WpHfh5q5xlC4Iecg+P2Nyj37k9fBizdjmmBaS+P0Xf3j+7u3fAoq3x6bQzyuRKdvX0bUwoJBFsW7ECI5ounBs2UDKZtzKBxSua5nSpTbaH2+z2G0eCTb9aF0mjFVns5m3cim9i+RQ/BagyOb6cjfmB5divYcbDrYlVb8+FTkxrBs9lFDLwcyb1IjL0ydxu7gzK6b2pqqlUX7I48UZpk7ajrUq5JHFykk+FOvijptLM6wKQh7hJ+czZct7+q+cS4+GlTH4D/JQJL2+yMYlPkRIK2NdIoEH4Z9xdJ6Iq3Nrypn+hez9f2Gy/AigeH5+PcuPPqZ8s370aWGPdtpbAs4f59z9WGydhjF2UIH3SJnMWZWHQh9nAVA0FABFqMpDEa5VM99DoQIUpvQd3ob4C9tYv/cOEn0jDLVF+TTKCjHpOcY0dxnDtAl9sC/1o+ydv+GhyMvkc1ISOWo6mJkXx0iQqpakc2f/Orafi8axjwtWak/Yuv0sMZ+yMLSujcsod4a0syf7bRi3/e4RGh2LtlFpVV5BeHAQ6eZ1GTt1NFUkfxTy2My1N5p0Gdub3MBzBLzTwaFucd4+eolBY2ea6IWy51gI1p3GMa51Me6eOcThs/58FJlgZmyKMjma8A9KmgydxIL+llzd5IN/igAo3DF7fYnVC9dw6Xk6JUsaCWQuqsobSa4EneJ1GDpxBh1KRLJz63EUDUez2L0NBorCgGIWLrbpnNq1i3OP3qNuVoZiGko+x7whBRtGLp1HY4K/Dyhy4vE95YPnhXc4TdzE+MYmqhmYnfCU43u8uRhtw+ylrmi8OMpmr6tUGryE6b2qkRn7hBO7NnP1QxXmLp9GrRL5izI37hlnt23gaKw1k2d3JWqPF1dSqrNyXQGgeObHjnWbiKk8QgUofH3WcPilJfMPLKOermrXID7Mn11rPYiuMorVs3tQ2EeRGB7AnpVzCCs+ng1rXTCXpvHM7zjr11+k7kRPJnasgDjtA7eP++BzPZPxq2ZiEXWWVRtu03rOBkY3EwBFDDcOCIBCxDyvhVTKecHRvbs5f+cZ7+JT0dQxp0INB9r3dsa5jR2Jdw6xfO0lmi/bwbhfAYovSZn+dNuyh6E1S+TbISmaa5tmsP5FFZYvackJN1f2huZhW9a4gNsBFS+IBEuGzF/LzL41iuQUCYDi7OpxbE9qza5dU6n4JUFakUvCSyH84IHW0J0cGFIuH1B4RjLjxFG6lczm+Q0f5sw9TbWhEzGN2s/2uGbcPVQ0h+L7IQ+5KuSxYfBwrledzQ2PHqqwpFIuITHsAu4jllN94SFcHT4wtuVMrOYfxtMl388gAKTQEwsYueodq27tzg95zHvK/GN76VHFSHWNNDeVc3M7sSSsMxdvzOFreut/q4dCmvSIid2dSeywji3TulFCVx1FTiy7p/ZjxfsO3D05HY0gb5xdD9J+1W6mdKiOnoaI7MR7THceRlSzDZyc247wrf0YckSTNfvX07FSCTRFCt4Hbmfw+H00m7eLmV3tCjTl/4XT4Qdv/RZQJPkup8usW3Sau5Kx7etgrpsfZsmOvsmssdP52GwxG8a3o3jStSKAwkIvhyf71zPTOwDNYuk8SizPGs+V9HYsnJT5W4BCycujsxjvE0mf+Qvp36w6JloiksLPMnXiRgycZjF7sCMhnkPwCrdm0tzJtK1RBh1RLk9Or2Xa1pf0mjaXvrVh67RJPC/ZnakTBlKrjCki8UdOr5nG+qeWLFrsRkt7q18y1P+XQx7ZCeEc9V7CgTAF3YbOoEfVPM5sWM7F95b0H+dGr1bVMFFtkv9M+yFAcW4dq89GULfnOIZ1bIixhoLUmMec8PLk3Et12g53Y2CnupjrZnB+3XwOPpDT2XUSfVpWJifSl/VLt/LBojmu7h1498VDMdKJ5Ms72HnhLaVr1aFyacN8XQxpNmkZmtg2bEsXJ8c/AbC+ByiUpH+I4N7dZ+SZ2NCoSS1KGmkhz03hzqH17LvxEYe+w2hQOo27d57wOVOMjnlZ6jdtRQWNj4Q9j0a7YgPqVrXEEAlvHpzD+5AvOrV7MnlEV4qlPv7DkMfVN5r0nDQWo5fnOX7lAVmiYhgbl6fNiP5Yxpxn27EQKjqNobd1LN6bd/FCWYGuvTpRvVxJMp5cZff+exR3GsG8gWW4sskb/89WjF4+mRKR19iwxofH6RY0cqyKkWoXl5KbnYNSx5pmHTtRQf6YnTtOgsMYFo9vhf4XQHEkGHuXsdTK9WPdNl/MW/Sha3OBR0NCyIVDnPbLwnnp/N8GFJIkAi/sxmPfA+wHLWJmjxroqytIfh3Abu/N+OfWZfGSfECxxfsalQYvZXo3O7ITX3J292aOP9Jl3JJ5tK9mippCRlLEXfZ5eROobMTcma14unUtp9+VZZ73QhxMpby+exbP1XvJbezOuhHW3PRZxq5gIyb5eOBU3hilNJtXd8+yacN+NFpNY9mktuQfR/ktH1DM5XnxCXiudcZMmkao3zHWbbxCvUnrmdjWBnGqkCPhjc+NHNxWzaJ41BmWLT9LvRmbmNKlErlxLzi+cRX7X5Zm5fb52OtkEh2XSEL0S548iyIjKY6Ip8HE6jViufcSSocfY9ma8zRbvpPxTcp846H4rPJQzFtzAcdFu5jR0Q5NhYzU6BD2rZzPpbx2rJ3fgMOTJ3Mh1ZoubYQzRXVKI83LJlNsRvNe/enapHwRQJGXGscNn8nM9zdj1dbltLPOL+MWOFFeXPNhyrLztFh1njmNNYsAip7lIOdzBMcXLMLzfjIlTDOJNnXGb9+MIkmZ3wcUSvLSEzi70IWVkY3Ys28hdcx1kInTCDq1Gvf1z5mwdR/OFRJY2rc7YXWWsntxX4QqVXF6DEdXuLH8qT0XTi/C5Plhho/bgP3svSxyro2OwAUTF8TSESMIsFuG34aev3ie/lsBBeIUjs53YVGADiMnjKG+pT6pUX54bjpKiQHe7J3YAq3PQcwcPYY72i2ZPLQrVvpyXt09wPpjUQxae4QpbcuR+3g7LuM80Ws9mmFt62CslsaNQ+s4/aESqzetpUMVU77y3vybz5JvAYUs4Rau/ScRZtaIfs4dqVrSBA1ZJpHXj7Lz2nt6LN/MmNbV0H9/8RtAoQ7pb/FZPoE1B+4RX6wVO7auo5eDdaEqj98CFJAVfoYp01YTW7oVLk5C2aiMR1d3czRExPBZi+nfrAqffVfj7nEJiya96NK4JibyOM4f3MkTjSbMnzWBZra6+G6ZzpqrH3Hs5KwqG5XFP2LvvtMoG4xj2YSeVC1diLnofxFQKHKTuXNkIxsPP6FM99G49WuLrZmIGL8TrFq/h7gSLRjjNpyW1S3R+4cwxY8CilVnIqjbYxzDOwmAQvXbgYSgK6xft5UI/TqMdB1Du1oWPN2/iNUHHmLWtDddm1Yi9dlVDh0LwKTJYGZMak/0cSGHQqjyGIDBi5PsOP0Cs9qtadXQBmNtJalx4TyPzcW2QXvaOdohSovjY5oUo+KlKWGq9zu15t/3UKS9vc+eDV7citahWfeu1K1gTPb7UG5e8uWTeSNGTBhNGzuzb1ackrd39+O56QixZk3o3b0RFjnx+F86z+MMM5zHTWRg8yrI44P+GFBEadJr6jSq5jxkn/dmzjxSUK/HcKZOdSIv4CDbjj+lotNIupaMZJ3PEeLMmjG8WwMM8hJ4cO00J28m0nDwVBYLv8y3eHIsVEoHtyk0M0nD79hBbn8woU2XdlSx0kVNnEL063AS1crSqktXzGOu4LPjNGoOo1k8vnUhQPEIe5fhVEq/ysp9z1W8HT3s9Uh595Tzx04QmmLN2CXzaaL5hK3fC3koxcSEXGPLem+ClbYM6NsZGz05b4J9OXzmJtTtz7pF4xEJHgpvwUMhAIqqyHMSuX9uN54+lzFu3I8+bauiI88g8sFNzt6MoEKvmSxyseL2jpWsPR9Ls9ETaWspIdT/AqevvMTGeSHrh5fjhvc8lp+OodHAsfRsUBn17DiCrl7mZqQGA+ctZljz8kXmyW8DisvUEzwU7b4BFGsWUD7hCktnriC59ijGd7Mn50MIZ/Yf47VBezZvccfo7R2O33yHdZ16WBcTkffpDXdO7OHqR2sWbN9A5fcnmb94G+b9FjK+ZyvsLX+BOKqQx9WtTJ3vg2arkYzq0hQzUS7vHt3i8OnHVB62jMU9zTm3bhF7npviMrAHVay0UZPkkBAdQliSKV0HD8fRqqg3U56Xxovr3rjOPkiJLiMY2LYOphpKcj6+4c7Jg/hlVmblXm+aG2d+AyjUEVRcPz6/xoypEzjzWEzxjjMI2DmV0oWqPL4PKEAuzuTVuRUMWXaFOgMn41y/PLLUKE7t8yZUvxvbveZhp5fCpdXDmXtVyqAJrjiW0SXlbSDbdxxHr9NK9s/uiHriE1ZOHsP53PpMG9eXMtpiIh+cxOvwU7quOMmyruV/Wae/BSiUCjLiwglP0qJqTVsM/wZ1++9Tbws5FF17oTHc77eTMoM2UmHAFiYdDvta5SFUDMQ/OcuKlct4HK2FnqE2eel5qFdvweK502lWsRjqamIenV3Pii2HScw2R0dLQVaOHMv2Q/CYPBTrYlqI8j5xwnsGW08/QaJuhqZMTIbIkJbDpzGzX3PMdP+Z/AlhRH6l5aHIIGDHSjyO3eFDrghDXU3UpdlIctSo2GYQU9wHULW0CcrIcwwb5UmZ8fkhD4uCUy/p8X6mTFzAmYw6+GxZqwIUel/LRvMBRbDVcFZO6lmoygOQpHLrqAfeh26QmK2HJgqyFFrU7D6cqUO6YFvcCHlKFIe2LuH49XCylPqIxBLyjC3pNtyV4U4OlDDSISncl61b1nE75DMKTW1keVJE1vUY5+pK5wa2GApsWl/aF0CR+g9XeWiqESUcUt6nySnTidFj+lKvonk+94D4M3dOb8Fj920s2wxnwpBuVC1p+G8jail8ev4ooFh95hV1eo5luNMXQCFgijQCzm7Ba5c/5o0HMX5kd8wT/djs6cOVp8kYWVlhVUKHj+8SKOXgjNuYDrw76cWlSKHKYzyOJjGc2LefcwGvyJArUVcTkj1FmFVuRN+Bg+hYvyzRt45y5Vkq1dr0pG3d8t9UeRTpiSop02P/dfQa/lLloZSmEHrjFHv2niE4NhN1LXXkWXJ0S1Wnx4ih9OlQHwudX+862Z9ecuHwfvafe0CqQFWNFLl+aVp1GcQI53ZUtNAlJ/ZHAIUGvabOpJlRLEc3LsPregptJixm4fBavL2+n23HnlLBaQzD6sOJHVs5cO0ZCj09dLTVkYqzSEsSUaf7GObPaM27c5tZvf08EtteTBjWh8p5j9m7/yyP4zIRkm+EShSRnhk1WvZi6MBu6L26gM+OM6g5jCoKKA4HU2PwZNqaRLHFYzt3YzMwMRY4KRTkpKWjoW1Fz4nzaVv8Lbu3ncJYRWxVlIdCnBbLg8uH8N53gchMOQY6eojzckjPlVKhYR+WLBqHeiEPxbRudqgpJCRGPeTErq2c8I9Gqq2FtkiEUqZLuZrN6Oc+kvZl4YX/CVav3cXjj5pYV7bERF9EalwiJdtMZ82QcqocilWn3mBV3wZlYjrZOTmoa5fAodtQhg1xoqJBUTKUxPB77F05l7ASrnh6FPJQeF2hnvv6bwBFNm4ey6kres3hDUvZdvkdpuWsKG1phjwlliSdhqxYO5Vi726w2Ws3obEK1HUEOQYF6vrFsGvSj2mjOyGKucHyBbO5nmhLz7FzWDG04VcvqUBsJVR5zFy0D40GNdBJSSclNQuFTJ3ydbsyasZoGpkpiH50gU0bD/LoYx4iDaUqJKyuq491/e64TRhKDfNvSF8UUtI+hHJo7XL2PohFqaOHkSYoc3MQ6ZWm9bCpuA1oin5eKi/PeTDKM5Lpx4/Ss5zwZCWS7CQCDy1g/JITZDaZTdCuqZQqAiguM2X0KioWqfLI95zkJLxk+7rpnLiTiLpeMdTEecjMytNnwizGdbRHUy4hPuwaHquX8CBShK6hHtJsCVp2jZk5azrt7SyQS7N4emUrKzftJi7DAj1dyM1TUrylC+tmjKGCaaF9vABQjOk/iLxCSZlKuZTwEwtYdsec+eunYvc3RJC/Dyiy3rB72y7UHScy2LHE9/n7Y26zeN9dWg6ZTZOyGkWot988Oc+F08G8zZBhYG5H895daWZnie4XPYq8OIL9TnH1+huSZRqUrtKA1j2cqFNKoN7OjxWKU0K5cf4c954mkS03pGrz1rRp2xRro7+Rz/0HvBvfEwcTp8cSfPsOtx+GkZSVLVAJUq5yPVp3bIFd2eJoqYuQfwrl0JHbmDbtTsvqVgUsmaqOcff0Lq58MKV7r+7UKm+G1hcaZkUKvocO8t7YgS4ta2JuWJSGVpYRRaDvRfwfxJCco025Oo60bN+CqiWNVUl6wiaXHh/MrUs3CIpIIldZDPsWbWjVrA5ljHW/Um9/iLjFjYuBvIzLRNPEhnrt29O8dkXMdLWKlhPJMgi6doKQ3PK0bd4Q60L01z9guj91SRFiKw0lz/0Oc/1FLvbNOuFYvRwGXznOBRNGcu30Gd6rV6RVu5ZUtvy9ioY/9Rm/e/FvAYp8HopRNLcrRkLYLW6EfqJMjSY4VCv3C5MqAnXCS26cucF7ZTladGxBZTM1Iu75cePOQz5pmFG7QTU00pORGZSjoWNVUp768yJJhzqNm1LVUofk6BcE+PsTHB5DRp4Cs7LVaNS8FQ2qlcdER05U0A0eRGViXb8F9SuXQsXi+92mJPVNEL5B4WiVb0CL+lW/kmxJ0z4R8TiAG/cfEZ2Yi46JNbWaNKeVox2ljH7jiUoZqbGR3L3ty4PQKLK1DLGt15i2jRtR0cJIlSeVGxfEvgIeipHf8FAI/BuhAXcITxJRq1UbKhvm8izgOvfe5lK1eRdaVDUh4WUQ90JiMavWhJbVzIh/GcT1G7cIe5+KhkVpbGxKoZeZgZpFdVp1boRabDBXL10nOqc0Ldt3o5mtFpFP7uF7L4jI+Ay0DIpRsUZjWjZzwNbSgNQ3T7kbGArlG9GpaSW0lHnEPH9I4KMYSjdoj6OlGs8Db3Dl7gM+ijUxKWuDdQlj1FJSsajTAXvzLB7de4pO1dZ0aFCuUIWNoMcgJjX+Pc+CAgh88oJ0pT4GhiI+v4/go7I2M5dMomR6CHfvhlO8gROt7fOrHBSSHBLfhHHH348H4fEoNEywtK5HqxYNsbcrjra6kuzPCYT4XsU38AWUqUCdWpVQfIwh18IBJ3u4snUN+4P16TWxJcn3gvgk0aVSnWY4tWpMGfNfE35lJr7l4fWLxBs2pWf32ujLc4mLDOHW7ZeUbdGTFlXMkOWm8jrkLgEREpp174KtgYz3oQ+5cvE672TaVKnbUFVyHJWgSdtenbDSSCPi0S2uX3tETEYeGgZGlK3XhA5NmmJXQo/sjFju3TjF9aA0yjfszqietb+CYSGsF//yAVd8IyjZwJaEoABexOZQokINOnZwomYFc0QokeVl8O7Zfa753SEiLhMNbYH+vSntWjXFrozRd39wKGRiPr17we3rd3j0KhqJEvQNLLB3aE7r1g0ooa+Nivo7zJcjfkm0HjaUml84uhVS0mOfc/r4Cd4Wa820Aa1/IX1Tysj4+IIzR25i3nognQryPr4sRaVCQkrMPa6cu07ImxzQLkF9JydaNq5FSdWWr0Qhy+Rd6BUunLnPm3QwMKtEs56daVq9LPm4RYE8J4EnAWe4fPk1yUotSlWsR6ueTjQoyJ/7uvQFbZKMaI7uO4C09iiGNrXM5+6Qy4jx28HeZyYMdetH+d/eMH54E/0+oFAqkEgkoKH9y2H37SMVMvIkMjS1dH4tDqaUI5NIkSqUKg5zLa3vlHMqpCqufblSDQ1NLZW4StEm8JlLkUrkKgEXTW0tNP5m0qofsdJvqY0KgjVSgRJcoVCJZmkIwjWFRWaUclX/1DTySYEKFyQo5BLEMvIJg4r0SYlMEHpRU0fzN4SYlArBJvmCNIJg2rfPzp+M0nxRNZXoTL6wWNGCCDlyYXxUwkeCeJsACL9XMiFQc0vz3/U7AmI/Ysc/uqYoU6YWUkkecqUgpvOtjfIXnLBJyxQFwmnf2PeP3vVX//17gGKD6zL8U6xwdh9Gp4aVMNHRQK5UoBLTEn0zp5UCp75gTyXqBWRRKrG3gjEXbIwgCCYIiamrqxa8XAka6hoF9PfCeHwRh1OqRONUgmQFQyeIE8lVa04Qs/p9/6XqvXJ5vjicMNcKGeWLAJ0gdCSI+wmCRn+49grEllQiYMJ6UI2bMO+V5GWlEvviFge3niDGsB7j5k8owpTJF6EmgZRT1VcK5p3w//nzV6GQIZflC3UJc14QcFIJEApiTMLfaYhQEwS6VHNVAzVhDxKE21TigYKd8u8RbJ3fL+G6Xwi7vtpDTePrXqSyp3CtcF3BNwj3C3uWSENd9XeCeJ5STfjG/LH5Iij1izllJL8NJ+BGAMkGVtSqUREDNTFxL+5x6txN5LY9mTV9EOX05Kr71dSFbyo0GgW2kUoFYSeRyh6amoX3kwJRNpWYVf5YCt8trH1p0kvO+azl2MsyzN+3kJqainwxxd8hKlPZVSZFSb6oo2o/UQkS5otzqeaB8E3CeAgCh5qCtpLwV/m2FfTbhP1cTVkg3Fj43yUSlWCkMMDCfZpf5uiXPgr9FwnnReH5WNA/mUIlfiUIzUkL/lvYt74VDZTJJKp/V4kqCufKHwq15Y+bIOQoCNAJAl7CvvyL3ITwfuGdSjS0tIpqyKiEHYX5oI72N2ecUsjhkMgQaWgVHc9fTnkUMgkSqZAgrIGWdr4di7aCc1RYpoLIpvZ3BMSUMiTi/Dmp6q+wDr63wQlnulQKgn0LnbWqb5Cr5b//r26Mhe77KV/+B0b8KV/+N8yyH3jEf6N8uSw3lE3j5rL/znvM2/bGfXh/2tatgM7vUGr/gCn+b12ilPM2+DInDm7n5PWPlGvpwqyl46lXSMvj/1aHf30oJIYHcmSLJ2fCMrAobYm+upi0tDSkJnb0Gz6WPq0q/0546q9bJzvhOee816gAxbyDS6n/VXjorz/z550/LfB7FlBTKFQFaD/bdywgoNwPHz5gYWGBtvY/o2j5/3EgBDt/ARSGhob/sbYWPBSfP39GV1cXAwNDFJL3XN9zmCt3Q/lcvAZ9nXvRtn7Fn4Ci8CRWynnz4AJnTp/iaYIpNVt2pHff1lgb/A3+1f+SxSLPS+Ft2F0uXvInNOoTUnUNjMvZ0qhtV9rUqUoJ/X9PVrGQu/H4xkXux5vSY5wzNvmSxD/bTwv82yyglpqa+hNQ/IZ5hYNOOECEQ05wg/1s/x4LCHYWi8WqP8JhLbis/xOb4BLNzMxES0sLHR0dQUCA7PQMsnPzkGnoYGRgiP4/mDD8n2ijX3+TMr98LzOTPKkIHX0DDA31/nbNnf90Wwiu+tzMTDKzc1GIRGjq6WOyCAkAACAASURBVGNoaISQ4yrMq39HE96Zl51FrkwdQxMDNL8b1vx3vPnnM/+/WkAtOTn53zOb/49YVHBNGhgY/Mcecv9HzKzK2RH+CAf1fzKgyM7OVoHLfI+VGiJ1UUH+iRBrVaD4Nx0O/83jrKYmUtlJlQimVKjs9P9u01FTQyT6MleEnDoh30MhpCP8G5uaKldExVny/9Hm/0bL/nz09y3wM4fiD2bGzxyKf2bp/DfmUPwzlvn5lp8W+GmBnxb477DAT0DxE1D8R8zUn4DiP2IYfn7ETwv8tMBPC/xlC/wmoMhLS0WiZYCRXtHcAblMQnpqOmK5DDU1HQyMjDH4JntY4CbPTE0jR6pAQ9sAYxP9X8VM5eIc0tMyECuEuKoRxoY635TNKJFkZZCRlYsMTQyMjdEX1EQL1cRIczPIkYjQN9T/47K2v2iibz0U8rxM0rIV6Bsbol2kREdOdno6OUptTI300FBISMvIQKltjJFe4XIjJdLcLNJz5BgIuRmKXFIyslXlfr9uQpmcJgZGJuhq5ZcHynKzyMjMRiIXCE+MMBCeXbjeSKkgLyuTrJxc5GhhYGyI7jclSQKhSXZGBtliGSJNXQwN9dEuUqr1y5fIcrPJk6mhrafzAyVYf9HI8DUp08jISBVOkElyyEwVSGb00NfXLTK+QjllVmoGUnUtDAz1ipRB/fUv+OM7vy0bFXIocjIyVTkUcnUdDA0N0FaTkJGVjViqKFq+pa6Otq4+Brq6XzVufv+NClX8WywToaOnh/bfTA0r2FCcm4dCpIm2rvbXcjhh7WZnZZGdKykUlhDG3wADA2Ed/5GdFEhycpEKpWj6Qq7EL9cLMX1xTjZZWXko1LXQ09dHT1cLkUC8k5tFVnYOMqUmevrCu3SKlLEJ5W3ivFzkSk10VHk23xTHCWXcYjF5Qnmfjg66f/yhBR8mrLu/pjInlJoKBFViKejo66v2g99sQtleXi65Yhla+gboqkoyf7Y/Z4Hvj5UwDpKcTLIl6hgWM/xFOuDPPfxXVwtzTlgLCtU5WIijRyhzlWSTmiFBRziXNAU14TQyJOoYGRvzCzegEGqSkJmWiUzbkGK6amQIZ4RY/n1uJ0DbwATjgrmvlEnISk8nWyJHXUsfEyEPpnBJsVA+L8klIzX/HNX+3jmqVKpsI5wZMrTQNzZSkTF+tykVZH9ORc3YjG+O/R+25HcBRV72O67tPoS43gicHUp+7bxSksLjm75cuRtCmkQMamZUaNASp/Y1KWesn78sJamEB/ty+VoI8Vli9EzLU9+pM61qlsOgYMHJMt5y388Pv8AI0qUiLGxq0NipA47li309OLLiH3Pjyh0eRcSRp9DFpl4TWrRuShULPdTV5KpN4EPwZR6+N6SZkyMW2lqo/eFm98N2+Xrht4Ai+ckZDgVk0dy5G9VKGOWzNwpNkcztY8cJlNoxqpsDxcRvOHr8NPEmTXDp4oilsW7BBinjw6NLHLyXSfsuHSmbFciucw/5lJb7XUChaVyKts5DcLQtjigtggC/Ozx4+pa0PBGl7OrQpHULapQxQ1fYYJUykt89wu9GIKFvPpKHAbYNm9K8SX1szA3yN3dpOm/D7uPrG0TUx0w0jUpRvVlrWtSrQnFD7SKbuFyWRuity0Rkl8axST3K/lPEVtra5Hx8wfVT14nXqUDLDs2wLW1SoC6qJPnNQ66cD0FUoT4tm9egtPE/U4HzLaBQSBMIOHUB/+BXpJlVoUvHNlTSes+VG3d4+SGt6HhqaVPcuioNGjeldsUymOQzkf12k2fwxO8m4Z91qN24CXZWhRUX/vw8LnqHjE/vnvHoUSQ6VjWpW8+ugCIc8hJfctv3Ov5PPyARlpmw0jS0qeTQnnatmlPe+PferSA7LYaQgIekqFlRt3kTrL7olcmySXz3nHv+93gSkYBM2wSbWg40bVqfCoYywh/c5PrtByTJLKnfsh1t29pT+FW5SVE8uefPq0+aVHFoin01awy+nMlKKekJ73hy7xHRUhNqNG1O3TK/Jm0q/OUKSR6Zn1IQKzUxLWPxlw4hWU4yz4MeEBYjp177NtiVFBg0v98U0kzePAsiKCyJKi07Uvf3DfmvDvD/rfsVcvLS0kj5lI2xrRX633BLyHJSeXXvIn6RhnQb250yf8c5oJSTnfyOWxcukm3biZ5NK34lihOot5Mj77DrbCT1eg6gRTl1Xvnt5+hTNdr17kdTW9N8+wusmKmvOXPwIp9tuzDaUZ1zh4/wMCr9u4BCpKlNxeYuDGpvj7Y0jcjHvly5/oS4DAm6pmWp16EjLWtXzCehEwBqxnuC797C1/8l6QoNLMpXp1HHjjSpaJa/jysVZH18xs2rtwl6HotEpEe5mo607NCa6uZF90yBN+Nz/GMu7r+F9YBZNP+qLPbnptKvAEXah3CuX9zF+pXbsFsQzK7hlQtIPqRE3vRhwcrjxCr0MdZTR5KaRrLUhA5TpzGtZwuKaSmJCzrBopWehCYaYG6iSXbKZyQ2TVkwbw5tq5ihrsji/kkPlm+7QhrmGGtJSE3NoljzQXhMH0VlC21E2XEc9prB1kvRqOuboivL5JNYg0aDpjN7UBtKqsfxMPA1T+6d5WG0Gc2716ds2fo0rV7ib/+1+i2giDriTv/Nn5i63ZOudqV+YUKURbF2xAi8cztx1XM05TP9GT7aFd/U2sxdu5LBLewwUkFXMY/2z6SfdyIL1iylleg2i7dd5UNytsD7SnRYGOk6llQSmP8EimCz8vSfOJdOlXUIPL6aLccfki7XR09NTGqugipOw5gytAdVSxsjT3rJ3i0rOHnnPQpNfdTFmaRpmuE0ZCIjuzbC0liTT2HX2LTZm7vhWWjraCPLyUBSsiajXN3p7lgZY538XVqc/omnDy6yY/MmPpTqy8IZI2hQ0aKIwM6fm2q/f/W3IQ9xUjgnNnmw504KjsPcGN29CWWNtZGmRnFy+1qO3M2mWf+xDOzcgJICZ+4/0H5FbKXioZjD7huv0G3ai9njB1Ix9SoLNh4kPM2AMsWN0FDL/1UlE2fxOQtsm/fBdVQfGlUq/ru2VEoTOLZmGZejTXAZ74pTndJ/Sw8V0lwS3oZy/vhOzt2Lw8HZjTEDOlKqgHY38dFx1q7dxNVXYkqWNFN9o5qmLrU7DGRA355U/VbK48tXCYJNCdHcvX6Eg0evol/LBfdp7tRWSVnKSY15wplDOzl+Mwwx+mgqxeTplaRF7yGMaFeLuMBT7Nqzh8BXOrQYOpW583tRWMg6LfI2ez2Xsdc/ifr93Rk7ajB1i+ePuzL3I0HXj7Jxw34+GDdlzNyFDKxf7HftlR0XQeDF2yToVMJpSCvM/4J1JZnxPLh2hcBXcloPcqF+2d8GffLcj9w+uZvdZyLpMG0pgxoVlen+C6//f3OLPDedt3evctEvjY4LR1DlG6KXvJQYbnjPZM2NUnj6elLv7ygSU0j5HBXIqmkzSWq9gi0TW/EFLgoKvK99N9DV3ZfBWw4zzUGTa2v64OITT8/JK1k9sTuWhhqgFBgxb+LebyZv2nhwc2Iptnt4cPVZMiI1BRkJb3gZk0uFmtUorqeBmqYONXtOZXb/BqSHnmf5yrU8jtPFzEQHcUYq0nINmT5rLp1rWKhUgB+f38Iy71MkSy0opi8nPSMHQwdn1s1xw85cHVlGLKe3zWPjyZdoGhVHX5lFUo4atftPZ9nITlgUrHnBK/n+xUNOHvFk5/7HjDkbw6T6f216FQIUeby6FcDpG2cJePCYoNAwOq19zO6hlQqy2BPY4tKZLVm1WDptFLamuog/RXDKczknle04um8FdUwzOTjdmSWBxkyc6U7TCsYkPr/C6pU7MR6wjUPTWqORdJ8pw8bxwKgdc8a7UMFIQuj1naza8wTn9WeY2aE8ucFb6DHKG4su4xnTtTEWfOL8zuUcfV2G5Vs30qncJ45vPsbl+7d5/dmcSvYVqd11KONbV0K/sBbFX7NJkbu+BRRvjk2mv1cS07avpXNh+XL5GzyHj2Sz2Ikr60dhnXWH4aPnEPA2FcvW41k3bxx1rIuhKRITsn82/bZ+ZM6qpfSsrsuH+GTyJHLU5J84sHgeL4p3ZcLgNlgaaSPS0qV0OWu0Yi4ycfJakq3bM6R3B2yN8rh3xpt998QMmrOcQa2qkXxtOePXXKdsG0FMqAEmkhhObPfigbwB8xdMpkUlHa5tmMaaa8m06j2Q9vVsyIsJZIfPfnLrjWOFuzNVrfRJfhXBbd+rXPa7TdDTEIyaubFu7kga2pgXohT+G4xb6BG/zqEQPBF32bJqBTdTyzDGbTrda5ny9NI21hx8iE2HQYzv70RFc4O/heHtR3rzPabMja5L8U0qQQ/X4fRobEuinw/LjgRR2qEXPZpUUylLqqSyMz5x9/RBLr2U0HX8JIZ1bogR+UyxAiumiplPYNIUWA4Roa74xAnP5SpA0XeMK061S+UzhMrzGSCVwn0FDJBfnWRfmTI1iobBCjonTk/mZVAgFy5fxT/oPrGyYvQeMw23/h0pqdpcpIRf3s36fbcxqN0Rl/b2aAllCCJ1jMxLUbJEcfS/g90EeuSYsKdcuXSFW4F3CHuXTK1u45gzzY2a5oKwZzrBF3azce8VRFU6MLBLE/SzIrl44hhPc20Y5j6FjrYiwvyOsH+/P1oOQ5k1tzeWhQYlPeo2u9auYefNKEo27cLgoYLoWFk0UJIZE8K5Q5vZevQO6jZOjJ23iH71BOQj2EuGwN4p2EtgEP3CLJr49Aq7Nu4iukRnZi0bhI1QhaKmhuA+F1gTBcbHwtfnM0YKFSpKVYREITBkKmRkZ6SRnqukWMmSGAty70p5wTuF6wRmSw0VS6ci9yP+p/ew53wk7SYvZZBD4d4VdLQQ22g+K6YINaVSxZCpYgdVyFXMn2pqQr8UKvZEDSF0IlTOyGQqBlBlAWuvcL0KbKmYLwXmzF8YQPOZUPNZOQWGT+FegZ1XQ6RExchJPtuo8P7vNdV3qNhG1VWMpBK5oqCfwrfks+vKBL2ZL/NTKdhOYM4UGIXzQ7dfvkuBwEwpPEepYoaVCkyrFDBDCkyYaiBO/YDfrmV4nFNj7nlPmhsL7My/hKkEQHFz60zWXLdkww0PairzWZrzGVKLhpYEhmOZwG6pEDRFvrAEf6eXKkBxn1Uz5vK51VI2u7fgi89LOMwjfb3oMfEm/b0PM62BJjfWDaL/pheUqtGASfPXMqq1DRpKCanvfZnkMoPXbdcSsKAJsdHvSMoQI1Lm8cp3L6uOvme0oFZrpaeq+DEuaY2VoZRzKwYz55o642ZNpmVFYz6+8GXzxj2od1zF4YVdUPv4mKWuY7gsb8LCyUOoaJjLc7+DeOy4R/vVF1jVzYqkR/sZMHIVWm0nMK1vS0xk8Vw/uJYdD/RYduAwLtX1kYtTeHj2Gid9r/DkWQghMdksu/QOt7o/siP++ppCgOIj+0Ys4aRUi3aNrTjpsw4r11vsH1GlYPDiOb1qN5/q9WJUqy9/JyPkgDtdVqSz99JuWpmEMb5jD9K7b8N7WntMhYkiS2T/JBfmRrYg8Mxs1B9swtn1CN03HsG9VQVV3FGe8ojJPQYS6ujB2YXteLG5LyOOG7Lx2CZalzdBiJQkPd5Nn2HbcJy7k7k9KvE54CRr1mwnKEUL+3YDcXPvQXULQzT+5lrrvw4o/Bk+xpO8CsWJf/yRVm5LGefsSClDJU8KAMXslUtxblRYvjyOdcMHEmw5nBWTemBT4ou/WM7zg9Nx3RbDoGXL6dOoMkaaamRGXcJtvAda7aczb1hjgj0G4hNlx/SFU2hRtRTaIikvz6/DbeMTuk+dR786Srwnu/O6XD+mu7lgb2mMSJbM+TXTWP7QgkVL3WlTw5wn+w6y90YIhnblSA+/yhsjJxZOGYZjRYt/EFAIk1VM5K3dLF+xD3nVPnSpo8PVk9fIqNQa9wn9cLT5a67qv7ZUhEo/BcnJySquDIGbRJbzDE/XFQTJazFh9kia25kQdnYdHhciqNtrHEPbN8T4q1texptrW1m8xxerjmOY4NKcnOeBvErWpHLN2lQsZYg85xNPg0NIEZWgenVz7u5Yw6W3gtqoK061zEmLj+ZZSAgvouPJkWhRsmJV6jSojU1JU3SQEPviIWGxOZSuWpdq5cy/8YAoSX79hDP7TvEgSU4Ji0wi3iZRufVQJg50ygcUijTuHtzMtuuJ1O8xFJfGlqqDxsDQCH29ouGwwjYUXK83D5zkTOA7LCrrE/v6ObKy7Zk5eQI1LQRdtDec3raBCy+UdHWdSc+GZdCQZfDo/C48j4RQocs45gxuRHrICXw2HiWlkgsz5joX8VCkR/mx23M7N1+lY1alHLbVuzNuRHvM1cVE3r/K2TPneBT5CZlhFXpNnE3/ukakJb0l5MlDnr9ORCzWxLh4GWo4NsDWXINnZ3awaetx4os5MNhtGJ0d61BcPZ3Xzx4TEh5FcqYS4+LlsHeoT7UKVhiJ8kiIDufZizfkKdVIT0hDv0RlrC1FfM5QUKlufcroS4h7F8qDR094H5+LSEOfktZVqe9Ym/KGudz9PUChkJH+KYYnDx4Q+iYeuRBzNzNVhYmNy9emsb0FH9+84FnkR1Xe1YcEGRXsm9KofnFSo8IIefKUd4lZyHUMKF2hJg3q1KJ8SR2yPsXwLDiELPPatG5og6ZSyufY1zwKfoVR9WbUNBfzMiiAD7JSlDZN5WlwJGINQ2zt6lOvgT0Wht8gSIVU5YkKCX2OZvHySOJCefYmm5Ll7GncpAa62W+543+f92lKSlWoRZNmDSmtlUP0i2CexWvSuE0TSumJyMtI4uXDAKJFtji1skMtLY6X9wMIehlPlpo6JqZW1HFogl1FEz4+9WXriqWcCtOi2zRXerVzolGFXwJiXwDF6svFmOXTl6x7T4jLUaNUmao4NHWkXEkDRAJNdk4qUU+DuR8awecsBXrGpanRpBG1KpfF8NuUlj8DKOprcsNzJNMuyqhtIyFDqz2rtkzC3khZBFDcX9L+67IRVEdDz67FddNrFh7YSXvrAv+HUk7Wp1AWu/QgsvF6di/uSTF1QYwsntPLXZn7sBKXzi3BOOwgw8Z40WDpcRZ2q4K6kDv36SlLhgzmWoWF3N3QmbDtYxm8NY31F47QqbweKGSkhJ/CpddCrGefYusQO8QpT1nZ34Pnle1wqpjB0o3nmHwkkon/uofiM4EH76Gs15BGFlH07dQT9SJqo79OiFHkxXFkmRtLg205cnAZVbLP0KWdB808jzK7g83XBJJnu4bhsk7G7uCt6J6aRx+vFLYd96KZtXFBMpiYg2MasunzSE7v7Y//pJ4szerBrZ1jKGmgo8rNkKWEMa1HHzK7bWL9uOaIw69y1DeZ0noxhFGD0UM6Ucrgtze9v3qI/CuAYtjojZQZPg6LOye4mlEGt7mTaFOtOOGH8z0UvwYUvyVfns21Za4sCCmD55oJNKxYQnWwK3Pes37sEJ6WGsy8iY5cmj6ZO6X6snJyL+ws82XI01+eZerkbZQdNpsBdTNZNWkbZt3cmdC3GVbG+WyFEafnM2VTDC4r59KjYTmS7j8hVqpP1eqGXPKaxvGUf1httDArqTiBy1vXsvXEI1JyxRiWb8WYGaNoW98a/b8jVvonJsaPqY2uV3koLB26061xNQxEwi9MNYQ476NLR7gYmk37ke4M6WyL/+YlnHqhT+/R4+naoAySpGdsXeNFuFYtho3uSMwJQb7cUAUoWlom/Q97Zx1W1dK+/w/dXQIiKraiIih2F4rdYoutKHZ3U2IndidigwqIYmMiCoIo3R2bHb9rbzCPnnrPOd/z/l7nuvxH1l4z65k1s+554r65cPQgRy6F8iGrCDmRIuqG5WnabQBOvTpSy0SJJxf34xeWQV2HgTg0suJr8UAxuUnvefMqASUTc1TTrrP5kD/qjT6rjVL4gTM73dkb8AHjSvUxVcmlSFmTKnXsadGsIVUtDFD+Tv5iSUEab59GkYUOFfUTObh7F2FKTZnjOkUGKPITH7F3iw+Pc60YO2McjSuUbp5x906yZetpiusOZPaMnvDoJFu9j5FV/QeAYsMeHuaoU8FKA6GoGkNdxlBbPY2gsye5du81xfICUrM0cZg4n57l07l+dh8HLgYSmylCQSp1oaQlU2Lt1bk+Cb6b8NhzmWRNKzo6jcPFqT0KkZfYud+Xp4lZiGXJsHpUb9aRAU6DaFdDnceX9uHpvZ9E+XJoSjSp1qgN1XQ/cCdciNOcmdQVvuC4zw7OPYqhoEjqZRKjZmBFO6exjO5Wk9eX98ni7r/0UIjJS43i5un97DwawLucElSVVRAJixDKqdPEaR6rRlrz6OxOPHyuIq+qj1hemls1mu62eZzZuZdrj95RKPUOIIe6XhVa9RjBqOGtUXwbxA73jcTXnsimuV3QEOcRfusMXh4nsBy+jnF1sti/ypVjby2wqVXI6ydJFInE6JvZ0H2CC04dbdD5ElMIC4i8dxF3L08yTBqjkRHO01fpqGpb0rZHJ0yKIvEPvMP7pEwwtGbozOWMt1ch4IA720PVWb51BY2MlMmMfcahdQu5otCLvWt7knj9IJs2HeZVJgjlpfor6lRt7MDIiUPQfHqU+bNXcztVhZptuzFm+hLGtvzs4SkFFDOZvy+Lpt2NiL0fRbpUnVPJmCaDJjJ+VHcqKuXy5vYRvDaf4lFiNvJiqRdGE8uGrRg2Zhyd65T72tP5hwCFIv5e41geVpWZgypz1OM41WZ5sLifNYIvPBRfAYqiXJ6eW8ukjW9ZeGg3XSuXHR5lYZIrjOm6FMulR/HsV122VqRJoC9OLWH0mmhW3diLxd0NDFn0nCXH99KjeuleLy1S8FvkwNKnjlzym8SDhYOZEd6EUN8FmMjmUIIgN4ZlPVoT3mwXR1d0RCEvhsCTEZh2aUHV+APUGeDBpMPRTGv0BzbGLy79sXx5t94ojg78sXy5IJlbJ3eyZvN1qjuvYOmIZhDlQ8f2e+l74ATTWpl9quyIPDGOXjOS2fBqH5oHZtN/nyKnTrthW17jU3b5+Zk2LHs6gBNnhnJ9ZH88tUcTutEJPc3S5BFJTjQLe3ckppUXG2d0Ri0riXiJIZU1knkVL8GiagV0flCp8OdMU/qr/wRQjBizgUpTPHCqFMuGNVsR1HdmwfjOZF9axuA/BCgyODtnEivfWbNrzRhsKhuVJsAWp7J9Ul8C1QeycFYjzkyez+M6o1g7xZEaZQliBW+vMnv8OrSHzGWIXSYrpx6l8pCZTOzTGDNpnA+IvbKcKcue0XX9MgY0r43ux4/GR/lyKaCYNpKm/7iHonQOMl9fYLHLAg7dzaXP/LXMG90Nq/8DLYjfAyjCL25knsdhovK0qVhODyWpzLicnExeOzVfQp1GvRg/uh92NRTw81rO6fDfAhRS+fKRmMedYb3PVYotGtO5hQ3GyiW8fRDEgw/Quv8oBrSvjzAlmg/pxeibV8TcSOtXvElimXz5+gNX0bAfxrQyD4Uw5Tn7Nq5k2+UIVAwrY6RaQmFeLoUSPex7DWP04K7UNPj1BFhhTBBem7cSptL8E6DIjQtlu/d+Xgrr4jJ7NA1MS++REnaarRuOkl6tD7MWDEL5NwDFHi8fXlKR+nXVefemmDbDJtLKIIFTh04QnquGuVYuj8MFdJq8gA6akZw/cpaX+frUqFsJuawI7t+8xvNMSwZMc6W1yl22eR8i1qA9E2Y7UaU4itN7t3Mzszzdu3Wgqp4i6dHPCX34Gh273riMak/i9Z2sXrWH4rr9cOrZgWrmysTc9sXvsYghc1yomBLKiYOBCCo1oKq5Eqmvb3Mj6CGiqoNYuWwghXePsOvM618CCmEOLwJP4u7hQ6JZM/p1boJucQYPr/ty7nEijUcuwWNkXR4e3cCqrf6YdR7D4I4NsTBS5a3/DrxPvsa662DaNTBBkhXPo+v+3EnQYejCJXTSjmKX+wbifgAoxltnsnvJGHY9MaP7wM40qWOFICWCgPNX+WDcjpWrZtGkvNrnLVRYSNRdX1Ysmscbo94McrTHUJjG7YsnCYqSUL99F9raVUaS9oxTZ64isZnK/vlNuXvAnW3fARRXFXqxY34L/N3msf5CFt0mDqahuQY5aVE8eJNBiyGz6KgVxSGPxey5rc7I9XNxtGtANePPSbdFGe8J2DaFqVvfYte3P51a1UZPkMmjq2e58FqFSes3069yEruWuHAwrjLDnbpRTVeZvOQogi5fR2AzjDXTB2LyxWPyBwHFNc+xrHhqw66do4jYMQPvUBMWeC2mqUYYrv1m8rqDO78PUBST+vY0Q9p702DrSdZ0Kc2OFJcUEHVxNcNn3GNGyBGq3HJj0KokNvnupH3F0qODsCiPG2sdmH6xBWduufJgymDmZTgSfmJqWQKzhJL8FNz71SeoymaOb+zzOfFZWrH0cCt1nLz+eUBRmPAC/4DT7N4XjI7dAObOHk0tAwWyXu/GocNe+uwvAxRlJS6Rx8bRa1YK3q/2oXVwNv18FDhx2g07i8+Awne6DSteDOT46aHcGNUfD81RhG76GlAs6NWJ92282DC9EwbqSn+y2OuPwYtfAIpjrgzelMasXW50rVHuc1KmNIditDNbi7ty0UOaQxHICGcvKkz2YnqX8rw8vIL5x+MYtXAJNWL347wribm/CHn8yEORie/cSSyPqfMLQLFtYl+CNAayaLY9ZybP43Gtkaxx6fYJUORHXWHOBDd0PgKKaUepPHgGE/p+BhTvLi/HZcVzHNctpf+/DVCIMnjke4hN3qe4G5uGZcehzJo6ghY1pSGdPzaX/+nVvwtQXNjIwo0n+CA0oVp5A8iJ4/Wzl8RJjGg71JmJg/tgV9kUVaV0zpUBin5jJ9Lto4fCbROvFOsxclyZh+KtLgOcu5F5dSebz0dSvUU7mtY0Q6qzmPP+Cf533lKp3TCmOveiYYreHAAAIABJREFUqsHvTU79PqAQZLwl+PI5gmIKqdSgKfUrGiFMCMf38EHu5lRi5JTx2BtlE/YkkpwCAcq6JtSsa4u1lfkn/ZIfAYodUkBRYs3kOc7YfgEotngdI7N6H2YuGPibgGK35x4i1Rvg2NmE+5ceoG8/gE4WSZw6dwPFWm2oWvIE38BsOk9dSJ8qRTy9fY97rxIplBOREfuU+3eD+SCqzdj5KxhR/QP7NvoQY9KXRcs78953L6vcj1Fg1YLererI1rUgK56HofdI1rTDdcE4NF4cY9MWf6qNXMqMwY1QzIzi4qHdnHkswmnubBqqphDqf4dX6cUIS7J4//wWIU8i0ak3nHVrhiF+dIJdp38JKMTZb7l8aDPuF1IZsmgVI5paoiDIJeLWady3HUdoPx6PsfV5cGQr287E0mO5OyOalCPl1W32eGzmkUIzVq6cQC0jqdx2HhFB59i44RAKLacypZMaR93deV97EpvmOpR6KELO4uV+vMxDkcHeVdMJEPZirYcrDUzVKM6KJ+j4dracisRx0TpGt7T8fHoXFhJ55xzrlq1F3tGd1VM6oJEdy1UfNzxPJzJswwaGNzYnJ/YJPuuX4y9oz841jjyVAQoNlm9d/tlDsX4RV+V7snNxa25vXcXyA+FU79CaZtVN0dLWR8PEHBv7xlRWSiV43zLWnlNj5UVvGn+jfVLqoXBlyWl55hzYQ5/aOsiVFBB9z49VC7xR67mE6e2zmdZ/Dsn1euLc0VpW1SMszOZVyCWCsuuwccdamlt8AZY/AYr5ZLRbyaYp3+RQ3NhEbxd/WQ7FjIaKXPMcw/KnDdh3bC6mb/yYOdONrEYurB1uyroRroS3c/v9gCL6DEPbb8Bm80nWdP0MKCIvrmLEzIfMDDmMVbAbg1cl4n1uJx0qfQEo1jgw/XJLzga78sBlMPPSuvLi5NSykE4ZoOhrQ3C1LRz37sWnNOL/G0AhJjk8FL/Du9lzO4n6jkNwHdqXqsYqsuSZ3OjT9O28Enu3oyxyrF4W8hDxYPtIhmxW4NC9zaj6LqWfWxzeJ7fRzupjKWAee0Y1Z1f+OM7sGUjIzL4sSe3M1X1TsNAqDXmUpD3CpecwxP02sW5sS3TV/opU3t/+xHwLKN6dmEF/7wRct3vSo7Yp6h8/aiVvcBvtzEk1J44tH4xF9o1SQDHJnendbNDOesgq1+m81O1OW4sINlwsZuHaFfT9KofiR4CigIC1U1h4x5D17tNoWs1UFh8X579l3ZjRvLIcyUKXplye48J1/V6snDkA6/I6MrtlPD+N63QfqjrPZYhtAWunbUKry2RcBrfBQle6gES8OLGIGdsTGLZ6Pj3sq6H5b/FQiAXEvziL+xIfEjUbUrtCCtdDo6nTbTwuQxyoalRWqvzb0/iXXPF7AMULXw/WnH5B7S5jGdGpAcrpEdw8fYgTge+waD2AUUO6UstcG3lJGuc8lnPqpTr9xk+iu70FxSlP2b5uExHK9Rg5/iOg0GOA9HTstxMvn5vkqaqjrogsmVOanCemHO0GjWHKuJ7UKvcx5+a3Hvd7gEIiO+FkZOQgUdJET18bZemBQFxI6BFPdpx4RYO+AzATP2LLttO8S85Fu7Itg8dPx7l7MwzK4ivfAxQFSWHs27ybB9mWOM+YQLOKUhetmNg7x9m87TySBoOY49od0W94KHZ77uaNdlNGjLDm4f5TxChVoX55Ac9fpmPvNAjNlyc4GJBLl6nz6KgXxclduzh95y0KJhUx1dUg730EMVmGDJyzmGFVP+Dj7cM70z4sWtaBmFM7WLJ4FxGFyuhrKcqSCqV7mkSiSVW7brjMHYLWu8vsPnAP21FLmOhQleIvAcXMKVim3GLX5r3cz5DH0MwSA7kCYiOjkbPsxJI1w5H8AFCIUl5wZp8X217os3C1G21lBSAlfHgewM6t+0muOJDV4+rz4ORu9l3PYejiZTjWUuf902ts9z5AarWReM3q8ukUmvwyhP0b3HhuNgjX3mb4ua0ntuZENi3oKgMUL4PP4Ol2gkqj1jGudiYH1i3ksc4YPDc4YSLzfGbz6uYp3Lf5UXnMGuY61vzs7RIW8Ob2ebzWbsN02EbmDaqHKPM9149uYltACbM2rKJVBQ2yP7zk+Ibl+Oa3ZOvKrjzZ78bWEA2W71iBvbEyme+ecWDNQq4q92K/e3+KXgSy9/AJboQ+IzYhBxVVY2o0bUkPp2H0stXm3t5lrPVVZeWljTT7LqCQJmWasiHAiwayskoRGTFP2LHQlSdVxjOvazHTes4kXNkQEw05BLL5lZOWMKFXvj1Lty6m08dyz1KXAOlv77J+9lwSW61g27TPVR7i4iwiA7wYODcU553Hca4lKAUUTxqw7+RSqgkzCT2ykAXb39J9Ym+e7t1KTJt13P4yh+KHIY8SMt77M6HrfMrNO4SXUx0ZmBMV5xF2fCFj3BNxv7EL83ubGDLvPnOP7advLV3Zgi8pTOP0nG6sftOba75jub94GNPC6hJ0YTkWslilhOLsNyzo1pF37XZzaEmHz2HR/wtAkRlzCx83D67EaWPfbQQuQ1thpPpZu74k/Smz+/bidZOlbJ8zEAsdZYoz37Bt+lC25vQj+JALSmF76D9uJw0Xb2Nej4boKMuRGevP9IGTSeuynaOzWhHlM4JBu/NZ5ONFH+sKqMoLiLixkdEzztF52T5mOFRB/R9SzvsWUKQHu9HD9SItpy9lgpRfQsbdUELmy8vMm7KE3C6rcBvTDqOUK18BCiP1El6f2c5cz7PkKGfxLLMaHt5r6dPky6TMHwEKiDqziLEbwugyeyHD29siLSOOe3KMmbP2YNJrIbOdGvN88yjWPTRgwhxXHO2qoE4ed06sZsGBDzjNWkDf+nLsmu3CXe0OTJ80AnsrY8R57zi2bhY7I6uzfMlEWtWWnn7L2v9pyENCVuxj9nutwS9empg4kx41BPhtXMGhp6r0cp7MYIcGGP6DqpW/F1CsPRuBbe8JjOpiL+N3yE9+ybmt7hy4k0vzIZNw7t0cU818LnguZF9IEV0mTmdQuxrkhF/BfdUuks3aMXlqZ96d2MRFmYeiKxmXd+Nz+QOVGjXFuqKuLDtfWJRFahpY2rbGoWMjKuh+nTXxY1jxfUCR9e4FN66FkqtlRZuOTbEwUEGQncTNgxs4cjuLFoOdaVqhgAf3wsnKL0ZF3wxruybYVq/AR3z/PUAhzInFz2cjJx5m027UDAa3rIGSIJXgU9vY7vcWm74uzBxgR8bvABQRms2ZMqMdb4764Hc/GiVNY/SMbRji0omE81s5GFhI18mTsfxwCs8919Fp3AcnxxaYa4l4cm4fB3w/0Np1ASOqvWfPht1ESwHFiq4k+Prg7nGWosrNaWNrISMnkrqZszLyUDK0xqFXEwqfnWXPwfvYjl7CxE6fAcXZMDEDxvYkN2gPW65k0XXcBNrVs0I9+zUnd/hwP6cm89xGwMMfeSiiuXJkMx4XUhgwdxVDm1ZAWZjLi8ATeO88haTxBNzG1JMBiv03cxiyaBmONbVIigjBx2sLj+WasGzJeGqZqiMuziM88Cxbtx4p9VB0UOPYqmU8M3XCc91oTGXcKTvx2HGPpjPcGFs7g71rpnOdPqz1dMHGQI2izPcEHt3NtvNv6bpgDc4tvvRQfAYU5YZtZL4UUGTElgKKm0JmeK2ijYUUULzgqNdyzhe0YttqR57vXYenXy5Tdmymp5UK758E4L10PS8sR3LIsy+CD++Jzy0iP/4Nz1/HkRMfQUhgEAU1R7PN24mkA0tYeU6J5Re20VL76wzKUg/FdJack2POke30qWIIgnyi7vixdvlmVLsvwrVNBrMGLianQV96NDIrrW6REvxlpZFDNfqP60cD0y8AuURIdvxTti6cwVWlbniucKZ+OR3kpZwYyVH471nCcn9lVh7aR2vt1K8ARW2lErLeP2Sz6yLOZRYjSUxFY9Amgpd0+LQkpQSJ38+hEJOfFs66kX24bTWTPSuGU1FLkfzU1+xb5cLm6GZcPDEfzfCTjBm3FospW1nt1AIteSGp0TdZOmYyL+29CFjRlleHpjPAI5LZh/cxpJ45iqIC3t7zYfSobditOI9HP6vPW8TfCyhu0a9bHxRGB3LYuWZplYcghSMLh7Hw0EvsRiygTyMpB4MU9UhLlnSp3aIhVXQEnF87gpl+eQwYOZqG5ppkRgWwZf816ozfw9YxjVHNfMYSl1GczrFmklNPymuKiQg6wPYb2UzdcJTxzU0peXkYp/HLKKg7kOEdbNEmi6vHNhJY1IQNnmtpXUXrdzD2/dYp7ff9/VtAIUwLZdbgCQRRnZ59HaltooOSKIc3V05y4n4+Q929Gd6yJmox5xkxxguLiR7M6G6DkboCFCVx2G0SyzZeJcawPXt2etKncSUZ01ppECyW9cOH86D8SNZO74PVpyoPKJLmQsxezDMVO3p3aoGllogHV/ZzMdaQKfOW07epFdm3NjFlzRGUanemSxNrWZmQ38nDxBh2YfGscTSrrMotnwWsOPWa2q160KJWeUoS7nP4dAD67VxZOrY71Uy+IOeRAooVkziW2ViWQ9HsH8yhKMmN46qPJzvOx2A9dDLjerfAUluR5Pt+rHPfwgvF+oyZPBYHu8po/kPg8ncBinPurD33mga9JjCqqz26MnQmJuN5IN6entwtsmL4xCn0aFyBl8eXs2rPTdRsHOnSvDrZLwI4de4+Rq1HMmdqJ2JObORilA4Dxg/DIPIcO44+RrVaE5o1rIiWspjcxAjCE8XUbOFI1+Y1EafE/IEcin2s338N9cbDcC3LociJfcgBLy8uvyihgYMDDarokPfuKTeu36XYqhPjJ42mZZVfZbZCGBOI1+ZthKk0Y7arC/WlPBQleTy7fgjvPadI12+IYxt7NPLfciPgGvHqtkxwcaVbPSOSfg1QRN5kt+cuXmk0Z/oyJ4puHmXLpj08yq1Mt2HjmT6yCnf3b+VAcBFdJ07EIvY46/fdRs+uJ33tTchODMf/3BkexhszdPZynG3S2efpzrXcmoyePZrq+W84v/8k4aKadOzYAGMtOUpyEomKeY9c+Rb0792IpMCD7Dr0QAYoJnWuSnFGFBcO7ebsY5EsLJUVuAfv68V0cxpIfYNC3j0P5uSJIMRWvVjpNhL5sNPsOfWajtNXMLTJF2WjwhxeBp7C030PieZN6d25KTrFGYQF+OL7II6GY5bjMaIO90/sZt+NbIYsXk63WnoUpkRxeZ87m05FYN3NiTb1TBBlJ/LoxlWCYtUYtmANAysmcdBtDttfGDB4zBCqyCVw+/Jpgt8o0X++B2PrZLBrmTM7IywZMLI/jSsYkJvwmpsXbpJo0pblKyfT0OyLPUFYyJsQX5mHotzwz4Ai4Mgmtt0oYab3ahmgyJICCs9lMkCx070vH85uZI7Hecr3nEZ/aQ7MsyDOnQlGufU8DixpyaNTBzgfpUQr+9poKQvJjXuB/8ljRFsOZZvHUNKPLWPGrtc4Ll3JwKZ2VDf5OofCf+sUpu15S7NRw3G0ro5CYRpPr/lxKVITF4/VOJZPYOushQSX2DOgd0OMNKUhjyzehT8h2bANLqMcMf/kbpauWQlFOQkE7FrGvF33sRkwkm62lVARFZP95hG+J89Dm+lsWOOMUX4y1zycS0MeJ5ZRW6U0ifJV8F5cXRdzO1YZ21mHuLWo/VeA4ok0KdM7ikWH93xOykRCSUE6AZsnM/14At2Gj6VZBXUy395m77GrWAz2Zse0NiikPMdr7jj2f6jE5FEDsVAVEHn3BDuvxjHK4wxz2xqR/eIsYybMIb7qQCb1aIy6MIPgs1vxTazF5j07cahcmpQvazJAsYU6gzcw8Ug0rmVJmRJREdFhd0lSqUJD6/KfyL1+9PX8flJm6h2G9R+C/LDLn3koEv3p034EAclizMuXl5WpSUuypa45QWFtZh70YERDC7Iir+O+dgnXH2RThCLyKGPUqjdr5kykgYW2TPkuPMCb1Z57iHgHAjlFFFS1qTFgEl4Te2GiqYScMI9re2fite8WydkKCEWKKJpUoNvkuczuboeG8j8T7pA+3S/EwSSFPDrqidt+f14m5UhRAIoSEcpKetj1Hs3UMX2xMtJCHHWBCS6bMXdezRSHehhKAYWs6uIM81yXciLbmo2eq+jZ0BL1T4DiPRvGjeexuRPLJvegkvEXiFlcxH1fNzbuPsfrDwIEQkXkdU1oPnQiMwe0o4K+BuLcBM76LGX/6XvEZ0pr1RVRq1SHQeMn49S2PoYaymTG3GHvdncu3Igio0AO5JXRt2uP6+SxtKsrHcsXiQmCJI66zeBUZkNmTBzyz/FQKMkRGbwXr23nkavVn3Eje1K7gk6p21Wcz+NLO1i78yK6TYczZVhPaptp/yNcFL8HUIRf2IjnhSjqd3dmaEfbTwyUUtKyx5e34b31Chp2Towf2wezrFC2b9jKmaAIFIxMqVzVnMLUTMzsujNmVHtiz27n6lst+oweQ3OjZHwPHODo1fu8z8pDLBahqqFLJbtOOA0dRDubcry+dJDzjzKo22UAXe0r8+P0SQlxdw6x4egN1O0GMWlgR0ykF0tyeB3kx/5dx/AP/0ChEOTFahjXbMrgcSPo08b68/P8YEcRxt5iy47dPFVpwrTJ46lbRoSVl/yaK6d3cvhEAO9SJYjlldGqXI9ew0cywqEJBmoKvwooct4Gs3/zfl6r2TNp8Wh0Xwew3W0Fl9KsGDtnJWOaynHtyG6OhhTSaaIrTeWesm/TNs7ej0CgrCKju1aVrlUMaCNNSu5lyI1961h1+CkV2zozZ2QnVN5cZdteP54nZyEQlqCsrIZJVVs69xvGoM41iQk4zL4Tj7EZNo8xHawozozmyrH9+D0R0d9lJPpvr+C5fi9hWQUoqqqhqqGGfL4YQ8tGOC8Yh0HMVQ6de0PbKQsZ2OhLojIJ+SlvuXFqD9sPXyE6R4CSijryChJEclo06T+d1aPqEXZ2P4eCchg4bz4O1fVAmMv7pzfw2bKXS2GxFIgkKMqro61nSfOufRk2thdV5ZK45+fDYvfjJBQpYl7dCmM9NQozimg6YhnDa2ayd8Vk9kWYULOWAh9eJiAQyVG+enP6jh1P33a1+CqQJk3KDL3EFq/dmAxez4y+1ogyPxB4cjt7goRMWbeYluU1yI4L59TmtVwqaMZmj6FIXt7Ec407fveS0KtojmUVSxTTYhFUH8WWhR14e3kvm3zOE/Uhj2IlkNdQw7hiHTr2n8TkTpa8DfbBddEm3mm2YPK85UxpX+nTGyjjqdi9gKVH0qjVTo3I2x/Izi9Ax6AqbfpPYOyYjpQryeZV4CE8vU/xNC0HgaAEZSVl9MvXou3g8Uzs07QM/H9+sSUlRaS8CMJ7gzeXnyRTLBGiLCdCVV4No5oNGT9nMV3rlaM4J4Ubmyaz7kU9tu1fQE3Zd1pEUWYkp9wWsOBYGFXG+nB9buvPgKI4j2d+nszcGs1sn810qvjZylJ+k7TIEDa5LeByaCYCOWXk5dUxbd6FBbOm0KySDmJhMRHBPqzz3MLzt3IIFRRRUtOlSm9nNroMloV1RIIcgg7PZ91Of1JzVBGhiLKBGW0nLWBF/8ZfV2xJRBQ/3knj0dtw3vOMSWU8FOKiVA4vnkigwQg85nSlNLjy4/Z9QJH/jiP7DyNvN4YBDY1LaUKT7uO2+wLpeYJSUhcpEUkptEFYUp7uk4fRWkr5KSckOeo6l48H8TxVhL6FDZ36d6Z+eWm+RNlJXJLN67u+XDr/jA9FaljZtKRzz5ZUkoYPyi4RF78n9OIZboZ+IFNihF2nTrRtZY2xsjQd7Z9r31MbFQtyeHX3Nv63HhGXmYmighpV67WgbfsmWBhqyejDRWnhnDpzG93GXWhe0xSNjx9qYT6PLx/kXKwWPbo6ULeC3md+dnEWwadOEq9jS6dmddD/1p0vTOFp0AVuBr0mLl+TGk1a0rZDQyroqH8KUxRlRxB6+Qq3n8SRJ29Ow07tadGwOobqymUf3RLS398j0C+Qx9E5KBvVoKVje+yqmaOl/E0xtiiXxzfP86zAgtbNbKlgoPG3fbi/IrZSEPP85hGCYuSwaeFAg6qmn1zqMgibF0fQ+TNEicrTom0bqpvpldFy/73vxfcBxRrui+oyee4YWtXSJzk8hKDwVMxq22NX3QLVL/BZSV4MwWcDiCk2pnGnltQ0VePDgxACbtwiWcWYRs3rQXoyBUpmNGhYjawXd4hIV6Vuo8ZUN9OkICWae7eDCQl7Q1aBCLNqDWjeqg3WlU1QVygm5lEwD2LysLRpSoOqJr9CJy0h+91jgh9HolTBhub1q6P5EaMXZhMT/oBrwaG8ictHw6AGjdq0pLltRXR/hydInBlDSOhdEhUsadm8KaafDrcictNe8yjwBrcfvKdQzZz6LVrRvHEtymmUnpSSpTwUG46R8Z2y0aL0aB6GPCBFyZLmHe3RyormfvA1IgXlaNauOzX18njz+C5hMQKqN2tHfSMxMc/vcPVGIJHpInSsalDLwgD51CQULJvSpkVF0iJCuHjpHoW69XDo3I6aOsW8Dgvh2u3HMuZa3XIVsWvRmSb1qqCnUsT7V4958Cwec9t2NK5mgLAwnYgnD3gZL8GmVWsqKGbyJOQq/nefkaWoh0Wtmlipy5GXKcCqWWsM8qN49DKVqs06YPMlq6ZERGF+NonRbwl/fpf7z6MRqBuipSEkJuwlqjZDWT6hOWkvH/LobRE27dpTw6i0JEEiKCD57TOuBwbyODIDFS1Latu1olOzGhjqy5IJyE+J48EVP269SsS4vh22NY358CwS3fqdqK0YycH1iwhV7s1wJ3OeXL2PUNOE5p260aJ+FVS/3WzFJaTFvuJ20D00bRxpXc8USWEWUU/vcO+tmBaOHamso0xRdjJPQ67zqqQSvXs0Qb0ol3cPbnH52i1y9C1o2toexYRXxEhq0KdbAxQLUggPDeK6/yMSRRJUzcpj27oLnetWRV1BSG5mFNd8z/DogzpNHPrRze6zh0fqaYi6d4Wg16rUb2nAfV9/3udA3eadcWzfGD3ZeytBGmaIfXoL3+t3eZ9WgKaeMbZtetLarjo/ihZK9TxSYp4TeC2ER9EfZCRv5cxr0rh9e5rUKS/bD6W5R1EhZ7mRaEbfwe0wLttGpVoc6ZG3OXThDsoNBjCxXZVPG5QUECSGB3H+Tjpt+/ehuv4X3gIZa3YxKTHBXDl5gxfJYnTM69GxXydsLA3K1rU0ZJNN1MMLXDobxnuBBpXqNsOhd2uqaH88SkgQFcdz/8pJAoI/kKVgTIM2HejY0Rajb3k3JGKE8ffwPh5C4wGzaFZG5CopyeHW8V281GrDsB4NPrGF/jEPxd+7L/9X3f2nfPk/M13/jWqjUmIr70kruZ5kiOP44fRoYU05vc+VS/+M5f77e5EIi8lMjefZzaMcPhKKapNfMmX+9z/lrzyBuIB3T+9wyfcO8tXqY13JBHmpJtL9G1y+8x67wTNx6WP3uaLsLzRGSkQI+9ctIkxnLF4bBpUmZf5sPy3wJy3wU778Nwz3E1D8yTfrD/7svxFQiAqfs2XiAnZfeYliy97Mmuws00P5hwqQ/qCF/72Xi/KSCL18hF279xIaqU2H0bNYsKAnf416yb/3uT+NTFJMzMNr7Hbz4EasCHUtNeQQUCSvTmVbR1zGOWH3N4mJpUTc5qDbYh7rOOPp+RNQ/Be8Lf/qIcqVlJR8Tzf7Xz3of3JwCQkJGBoaoqz8tUvqnxzD/0JfhYWFMglzKaX1v9XW0jBfenq6jHpbQ0MDcUk8Nw8c53LIM1KNrenXpxftG1T+xMnwvzBvf8UzigrSeBLkx7nLgSQJKtGiaw+6d7P5zXjtX9H3v+UewqIMop4Gcen8LV7GpSPW1MbSrhmO7T+Gi/+ekeYmRnLn8jli1VoycJBUX+Zn+2mBP28BuYyMjJ+A4gf2k9YpZ2RkyD5yUlGbn+3vsYDUzsXFxQgEAtnHWmpr6cf739akY8rLy5MBHlVVVZnAkVgoFWySsmFKxZwUvivK9W97jn/feEqFt6TCZxLkUJBX+KEw1b9v7H/NiKRrQJquUCqsJVUmk0deURElmSiY5O9bD1LhLpEIcZkA2V/zND/v8r9qAbn09PR/3879L5mNn4Din5kIqZ2lYEIKKv7tgCI/Px8lJaUyQCETEv2q/RuB0D8zi/9ZLzKSoS/bp6Tv/+y+/02//oUNZIOXgom/7ym+6vN/0OZ/n2X/N+/8M4fiN+b9Zw7FP7Mw/htzKP4Zy/zs5acFflrgpwX+OyzwE1D8BBT/ijf1J6D4V0zDz0H8tMBPC/y0wJ+2wA8AhYTs+A8UaZhgItN7+NxEJYUkxseTW1iCvIImJuVN0FX/OmFRKFVWjE8ku0iEkro+ZmYGqH3DcVCcm05SYioFIgU09YwoZ6zzSZ20tDcxualJpKTnIEAFAxMTDHXVkP/CNSqtdc4sUETfWA8Vhb9HKepbD0VJTgoJmSL0yxmhqfIFJ4ZUdjYpiUyJJhbGuiiJC0hMSkKkXk5WSqhUJpQmY2DLTiUhS4ihsSGqomzikjIRCMW/nESJBHklVQxNzdFRV0ZBTkJBZhqpaZkUChXQNjTCSF9TFmf92CTiEnJSU0jLykUop4aBsRF62mpfxfZFggIyklPIzC9GXkUbYxMDNNWUP3GAfDmQoux0covl0dTVQvVv5AD5FlCUFGaREp+BnLYeBgY6X82vWFhIWlwqAiUN9I10Uf+WP+NPL4df/+G3PBRIislMSiE9O48SZU1MjAzRkCskJS2DvELh1+EQRUU0dPQx1NH5xVr4bq8SITkZ6eSXyKOlq4em6l+bwyMuKSI3OxexohpaOpqfeDwkJQWkp6eRkV2A+KOrXU46/4YYGOj/dgWLREh+VjZFQnk09PVQ/bbeXSaTUERedh4iRVVZ3wpahhwsAAAgAElEQVTiEvKy00hLz6JYrIqugSGGUj6XL/cdQQF52dkIxMpo6uqg+uXak14nLKEwN4/cEgmq2jpof6/jXxha+oDSf39u75CIBOTlZJNbJEHHwACNX3kPJRIhBbnZZOcK0NQ3QvtnKdAfXKUSqbAKyP1yriQyCu0UMvKVMLYw/iV3xh/sqfRyCSJBIekpqYg0jDDRU//8lkjECAoyiEsuQMfEDH01yM9IIClfARMzc7Q+afRJEJXkk5KQikDDGAtdOZITEsnMF3z1HftyeJqG5pgaSpWCJQiL80lLSCKrUIiSuh7lzAy/fsckEorzMklOSCFfrICGriGmJrpffUeleV756ckkp2YhkFNF39gEY33173I5SSQC0t8lIF+uouyZ/kz7LqDIzQjnzMZdlLScxag2Zp/JpkQZhAVf47TvDRkxiKKyCQ0cHOneoRmWOsqyDVRcmMqjoPP4nr9LbHYxmoZVaNarN92a1EJbRV72IEWpEdy4fIFrgc9JEyhiWtWGtn16076m6acPb0b0LXzPXOPe81jyxZpUa9Kart06UddcG0V5ISKJPLG3TxIYpYdD/1YYKKkiI9D8i1mvvgUUyaEH2BaQi8MoJ2zMdD+zjYmSubRnN9eL6zNrSBuMCl+x0+cAsTptGD2oA5UNPvITCIkJOcbWgBx6DexDlbwgPA7dIDGj4JfbnUSMir4FPUe50KaWKeLUMPwvXuPW/dekFylhYd2I9o4O2FctV8pwKS4hISKYS343eBQRRyE61GzRDocOLakhHauCHOKiDMIfXOfyxRAi4rNQ1LGgQUcHurRogLkMsH0eRklxCvf8TvK8oBLtOzbHqtzfx0j5LaDIT3iK7/4zRKtUxaF3Z6wtDctsLSThRSBnTtxDubZUw8KO8noqf/W0f3ctfQsoxIIP+O87xuWQp6Sb1Gdw3+7UVnrLSd8rPInOKBUf+thUVChXpS4t23SkaR0r9KUKX7/WhFncvejL01R1GYlOvYp6f2Z9/+A3RcS9vsetkAg0rRrTvFk99Mo2wcL4J1w6f5Yr92MoEpUuJzlFVazb9KKnowNVfnUYIrJTX3PbP5gMRSuad+5AxW/LBiRFxEc+ICQkHFXLRrRsZYN2cRphN305c+kmiSUVaenYg549GvJlVwVJr7jjf5lnCQpYt+pEI9sa6HzcuCXFZMS+ITQghDclhjTq5ECzyr8ulCYqyiczPoVCOVWMK5v+Cqvoj81ekpdM2K2bPIwR06xnd+qZ/bhPsSCbV/eDCX6URN0ufWhWVf8vnM//v28lEQkpTEshMTEPY+sqaH1zeCzJS+NFwDEuhuviNHcIlf4cPvzaiBIReUmR+B07Rm7t/gzvWOvTOyIRFpD08iqeB8NpMXwCXaoo8PziZnbeFcto4DvVNSpl9ZWC6/SXHNhynNTag5jZVpEjO3Zw82X6d5O35RWVqd11LBN7N0RFSh1+y49z5+8Rm1WEhqEVTXv0wLFZXfRUpKp1YgrSIgm+eoHLAc/IEClRzqo+bfr0olMdc6TnV4lYRFbsXc6fucydsHcUKGhTtWFLuvTqip25VKDvc5OCiYToWxzfdpWaE9bhYPXnPqRfAQrpxCVGPefy+U24ux3EbvUL9o2q9unhk5/vZcqsjcQWGWNqoIEoK4HIAm1GzvPCpWst1BSEvAv0YdaKjUSXVMDSQIXc5GjidW1ZsXItPeoboyjM4sa+hSzYE4KSbkUMVUpITniH2MaJbUtnYG2mikJODNtWjWd7YDYmxqZoiLOITs7Euv9CVo3vjoVKHHdvRxIWcorQaBPa9mqImUUj2tQ1QeVL6ui/YJ19Cyiijkxm8JYUZuzwpnstqZ5JWSfCSNaPdmZbfleueo+lYm4go8ZO4VKcFbM83RnXqR76atIdsJiHB2YzaEsyi9evpK1SCGt8/IlLKwBJAVGPH5GpZkmtauZoKMqjrF+BAZNn06myPFd9FrLxXDhyakboKhaTkJqKaevRLJjghI2lHqKkMDa5LeLsw2y0tA1QLk7jfaEKbYdMZ0r/NlQ0UCLhwVnWe23hQZwCBjpalOQkkKRmxViXOQxqXRd9dQVZ9UJuahwPb59h+8bNpFQexap5Y2lcxfCz6uBfYNsvb/EtoBBlROG72wPvc9HUGzKJaYPaU1lPnYLUFxz0XsW5F8p0GT6VgR3qYaT5nWPwXzw+6e1+wZRZ+JSNExaw70Y02q37MGvcQCqnXWTJxmNE5utiKT0tyEkrQOQQFmQTn5SDaeM+uEweQTtr019hsgRJSQLH163iYrQOgyZNpovtX8PKUFKYy/vIB5w5sg3fe+m0HjKLSU4OmJbpiiXePYqb5xZuvgNzM0OZl0BOSY36HQYyoE8PapRRaX9rXnFJMckfXnPj4gEOnQpAr/EoZs50oYFUy6Oslfb9kHPHduAbmkzTgTOZOqIrRoIUHvif5sD+fYS8UqD5sOksWNiXMrI+2a+z3gSyx30ZO/3f02CwCy4Tx9PEvNR7Ks6PJ9hvH+s9D5Bq1A6XpSsY2vAHAy0bS17sM26cuEqceh36TnLA+E+8LyW5iTy47s/dKBGtB/SlgcXXm/SXtxQVJhF4wgefs5F0nrWCoR+pCP9Ev/9rPxHlZ/Da/ywnLmfTx8sF62/AeFF6LP5bZ7P+ejm8Aryx+yuceVK10cjbrJk1i7R2a9kytd0nlkhxcTZvrm+gm8t1Rm45zIwmSlxd34/+3u/oNGE5ngsGY6WjIqUxJSPWn8kD5xDTzp0AV3P2bvAi4EUGcojIjH/Ds+h8qtvaUE5DEXllVay7T2FG/wak3zvG/OXreVVgQUVDNfLTP5Csbc3sxasZaC9lJ03n9rG1LNp+CaF2VcqpC0lLjqO4Vk+2r1qITTkFSjKjOeDugueVZMzMLNGUZPM+KY2KveazyXUAHyVahEW5vHkSwvGD6/A5HYXr+Timl2l5/NF37QtAUUj4lZscuXiGe4+f8iwiHAf3x5+1PBAQsLYf067qsGDpfNrWNaIkOojpQ4eT1t6bwx7DKSdJYcfEHqyPqMayVQtwqGXAh0cnWDRrFUXdd3B2cReUkm4w1mkKL6s44TnLGWu9Iu76uTN37VU6rL/Kyp6VKbi1jnbjDlJz9ELmD+xAOXEcxze6silEm8U7d9G3cgqHPXw4d/cO0Vn6VKhciSaDJ+DauRaaUpnAv7B9CyjeHndl8MZUZu50x7Fmuc+AQvQWr1HObC7uwmXPMVTKC2b0uAXcfp+Jju0wPJe60rS6EcoKxTw+MI9B25OYv2YFfRuZUJRfiFAsQU4Yx5apk3liOogFk3tQUVcVOXmpK0uHkmeHGTF1CyUNB+I6vA/WugXcOLoSz7NJ9JnrjnPneiT7zmf0hrvY9B/PuJ6t0C94wwGv5fil1mLestl0rKmC31oXvEJEMrXOfs2rkR/tj9dqDz5UHcv6WU7Uq6BFcvhLrl0+z6WbITx79Qzd1i64z3fG3uqfAxTSKcxPCGP7+iUci9Zh3MTZ9LM15P65TXj4vpCpeY7v3bZMgv0vnPBfudX3qLc3TFrFrTwrRsweS2cbU95e3MDqU8+o0XEUTu1t0FYQykpKizLi8d+/hSOh6XScOB3nXk3RFORTJJRDVU0NFSUFpBz+hQUFiFBCVSmTsxtWczFGlwHjJtHFxlQmyVxUkE9eQREiiQKq6hpoqKvIqN6lLtqSwgIKS8QoSXUkvhOeKspK5entIM6ev0zok4ckyxnSZ+xMpgx2oJwMUAh44beHDUfuYdZ2AM7dbVGVhgTk5FFW00BDQ/27onwiQR7Rjx9y/twFAh/c5U1CJvV7jmf+jCnUMyw1qLTvZ7eDOed3mZDHD0hTMKTbqOlMH9YVE2URguIiokNPsGubLyX1nJizoB9fyGeRHXWTPR6e7LsRhXGzjvQfNIWRHaqghISst/dlAMnnbCjKFTsxZv4SBtkZSFEZRUX55OUXIxLJo6SshoamOsryYuIenmOX917emXRj9rKhVNNQR1lBQklxEXl5+QiEoKSihqb0esVS6mbp34qKS5C68YTFApn0tYyASiBBS18fDWV5RKJiCvLzKCgSIYciKmoaaGqoQnESQWf2svd8JB1dVzC08ZdPV2oj6fwXFUrHW4REXlFWnqwgEYOSKhpqirL+iwViFOTFFBYKUVbVRFNKzy8qoTA/j8KiEsQKCqipa6Khrloqey0UyN4psYIaWhpST54EoaCIgoJiFNQ0UVOQUFSQh1BOFVUlMXm5+YjkFNDQ0EJNTfk7nj+pG7+YgsJiFJTVkRMWkFtQIhuLlqYqctJTeW42BQIxqmpaZf8nQlBUQEGJHJpaGjKXvFgklPUrDWdra6nJVDxLCvPJzSukRE4OZSVVNLU1ZdcWpL7l6o4leF5SZu4JN1qb6H3l+i9VG5XKl5vjeXkN1QuzKRCCmpoGWlpfuvelYy8iJyePYqEERSU1tLQ1UVH8zmlcCiiiQlk7ewHpbVew2aU1H+XIJIJsIq9vpNfUAAZvPcLMRkr4ewxj8OaXGFery9h565nqWBsVOQGZ768zbeBs3nRw587SduRmZ1EoEIO4gGd+3szb9Y7pWz3pWEkDabWwioY2aqJMTizqz6J75ixes4hutQyIe3yWVcs8yGi2gtPr+qEYf4d5Y8ZzW783GxZPoo5uAfcvbWbRmtM0XHadrYMsSQ7ZRg/nTZQbupQ1IxwwEsZybuc81p4rYt5hP5xttRAWpXHrmB9Hr13mdeRLnsYVsMLvHVPs/tye+gWgSGTPsKX4qRjRp2MFDq5bitG4AA6MLlMbJZ87x/bxRq8tg1uYEh+fQGrCU/bNW09Wl/l4z+2NbvpdnB0GozDyABvGt0Bb5i3I5PScQUy7Z0PwpaXIh3jRf+p5Ruw5wWh7c5kbnqII5nbrze06y/Fd5chTz75MuGTG7tNeNClXGirIjThJvwHrsJ61k6X96iF4foE1K7dyL0MR686jmTG1K5YaUinxv7b9eUARxKhxG5GrV5G4O2+oP3Qx04a1pLyOHE8OzJUBinlrVtCv6Zfy5R9wHzmMB+VHsWZaLyp/UhsV8dhnOtP2pzDebTU9bCuhoQCC+EBcnJchbD2NhaNbELpmCPsS7Zi3fBLNqki1HEREB2xh4ppgHFwXMriBCO+pM0msM5KZ43pTo5wmcmTj7zWbxdfVWLDSlY71jXjsc5D9QS8xs6tJ1rNzvFBpz6JpI2jyD6qNls6imLi7x1i5ajNppl3pWluBgCt3ULDrybSxvahvofeXz/evvT0/Ege7J6on0/JoXUuX574erPctlS8f6WCPzkd8KywmMmAny/YFUaHzGKYMaEHmIylPvxLW9o2pUV4HUX4i94NCSVUww9bOjDt73GQeChmgqKtLckwE9+/d58XbePJLlDGtWpdGzeypZWmMhryAd2HBPHqXR4X6Talv9a2Wh4TUiMec3n+GZwUqWJrl8+RlLJYthzGtTG0UcQaB+zexMyCVBo6D6dHAAJG8EnpGxujLNvfvW6c4O5ZrB05y6XEKlvV0effiETnGbZjjOpl6Mg+FtO8wzh48Q1iOAhblBURExGDc2IlZI7qVCpNJ5YIenWSb9zEyv6PlIQUUPl67ufk2D8OqZlSo3pXx4xwpp1DIq1uX8D1/ieexGQjUreg1ZS6DbTRJjQ/nzr3bPI1IorhYCR1jS2xbNKeWmQpPzm5n045TJOo2ZNCEUfRpY4+RXCrP7t3lwYs3pOVJ0DWpSP1mzbGtVRl95WI+vHnK/YfhFEjkyE7MQcusNlXKS0hKF1O3ZUsqahYRHXGX4LuPiU0oQF5eA7Mq1jRt3ZTqhiXcObMXnx8AComomNQPbwgNvsXTqHhEytoYGOiiqayIfvVmdLA1If5VGA+ev0dRUkhskpgatu1p3diIhJcPefDgMTFJuYjUNDGv0oDmTeypbqlNXuJb7geHkmtij2Pr6ihLBKS8e0lI8HP0G3SiYbkiwoL9iS42o7x+Og/vRlKsqEm12vY0a9kQM4MvcgdkS7KEtA9vuHvvEQomlSj6EEZYZC7lKtWjVWs71HOjuH4jiNgMCWZV7WjXqTWVNAqJfBTC/fdKtOvZHgsNBQozkwgLCiBKviZ9HOshSXnLo5vXufsykVw5efT0LbBr0QabOmakPL7CxuVL8X2lisOkMQzo1pc2NT8HxD4CirUXdHD16EZG0EPeF8hhVqE2Ldu3oVpFA5SkeilZiTy/d4fbYeGk5YlR1zWnfqs2NKlXFX1pGOHL9kcARUMl/L3GMPeqAo1rlvAu25ZV2+ZibyT/FaAIXd7pUw+iYql8+XombYxi8aFdOFQqC5dJROQmPWZBv/6kdNnOrvmd0JIdFlK54jmVaVeM8b20Ft0n+xkxcRcdvc4wq70lcogpznmN27CBnDKcxe2tvQnbMobR+4Xs9D9CK6l4h0REfuxVBnedhuHUY+wcU5+SjMesGOjOO/sm9K2eyYzlh5l6OJKp/7mHIotnV16gaF2fWipP6Ne1N4qjAzn0Ub78C2MXvLmCx/ZDBD95SVyyDXO2LGNoy/IURB+he+eNtN98nNkdLD/lQ7zYP5r+qwvZ+XgX6ifm0X9rPj4nN9DMUksGFqSKnccm2eGZMJLTB50ImtKHVYL+BO1wxlizdLcRZYYzu3dvMrpuxGtSG4rDr3L2vpBqOlHczbFi6JAumGv+uwDFyLHeWI6ZTqWwkxyPUcN53mwc65Xn9dEfAYpY3EYO575Uvnzal/LleVxeNoklzyuxae1EGlYxln1IJYXxeE8YwkOjISxybcz5GTO5XWEwa6b2pKZZqfs1J8KPWVO3YDpiLk62OayZtgeTXtOY3L8Z5jqlybSR55YwbUMU/VYvoneTSuQ+f0M62lSylOOspyvHM+yZO3UkTf9xQCF9NTIJOrABb58rRGUUYdGgH9NmjKRlfXO+3QP+Wij5y7v9HrXRl+e9WH7oNkY2nXGwr4WGgpSqSR5xfhqhF04QGKNAj4nTGOJQiRteyzj1Up3+EybR3b4CxalP2L5mI68U6zNqYhdiT23iYpSWDFC0MvrAcZ/dnLz5glyJEkpyEiTKOtRp14dhA7pjW16VF1cOculpJrU79aejbWXKohhlDyIhPz2JuNgMVA2NEcdewOvAVdTtvwAU+e84tcMNn4D36JjWQFuUSqGSJjUatKBD+1bUsfrCI/eFeYRFWcT9P/bOOiyrbH3/H7o7BBRFFBUTsbGxFRuxxcDE7u7AAkRFbOxuMcHuQlEREWmkO19443dtUERnnDNnzsx855yf67r4i3fvvdazV9z7ifsO+0S+vDamKh/Z5bONF0rNmTNt0mdAISSGJREXnYqyngHSOH+2HriIzGYwc0Z8Cyi8Nx0l40eAwnM3L7K1qFRVnQJRZQZPGktdjSRunD6G//MIpIpiElLV6DxhHj1M47l0eA++V56SJVVBBYE4DSo260G/ni3IuLYdjz1+JGtY0WXoaMY42pEfdAof38tEF8ijqqAgJI9QrnYr+g11xsFGh5d+e1i/fjfxShUwUjfBunFzKqqGc/+1mMELZlIrP5B93j5cCUlFSWDWLcxFqmyEndN4Jvavz8cr+9l1NvRXPBQSMuOC8Tu4nV1nHpMlr4bg1c9JSyZTTpPWIxazbkRdnp30Yd32S8jrGKOuXYX2PQbTtnoCB7bu5u6HdJQ01BAEqSTygpjiUFwndEU94i4+a734VGc8mxc4oCnN4e2dU7i7HaPyyLWMrZvF3uWTORhmRD1rCQkRBRQUFiCvVonOY6Yypk9zDMoutKI8Qh/5sX7tWhIMG6BbEEV4VBYSOW1s7dtRXhLN4xevSUzLIEvJnH5TVzLTXoeAvevZdl+NFTtX0sRIhbTIV+xfvZDrCr3Yva4nURe3s2HLST4pCAn2Qo6tFKPqrRgzexzGwSdZPHcNd5OUqdupFyNd5zK85dcQYEFaNP4+05m7OxnbTvqkhCaTVyCmIFeROr1GM23KIKop5/D6+nbWeJ0lSqyIuqISQtaxZuWGDBk/hT6NzL8NQf5bgEKRax5jWPHSmkUutTm61hvd4W6scm6KLO6rh+IbQFEgAAo3XL0+svDgrq/y5cWJkX6M6rqKqquOsqFPiaCYtDCP4LNLGbkslKU3fan40J3BS0NZdXw3DlYlCnxC6OLS0s4sfNyFi5cn8nTeYGaGteLpmTkYFoeBZBRlR7OyTwteNvLhyOquKOfF8eJmHKYt6mMctoPaA9xxPRTO1P8cUJTZIZLu0a/7jwFFeuAxvPaeIig6n9jkQuo7TmXp6A6oxfnSsYMvjvuPMbWVWWm2adiJsfSanojnO18098/GaZ8iJ0+tp0H5r0JK52fVZ9nL/hw/PZSAEU6464zi4abB6H0GFLKscBb16UB4a0+8ZnRGS5RNGtqUU80gLlWGvokB6oolSZ9/ZvtPPBTDXTywmOzJyNqpeC9aTZzlIBZP60PetRUM/lUPxY8ARRpn5riyMqoOO1ePpr6lUck4Rcn4uDpyS30AC2c15tTE+QTWGYnbJAdqlCuZZHkfrzJ73Fq0h8xlSMN0Vkw5QhVBvrlvU8y0SoKNUVeWM2n5K7qtXU7/FrXQ/WLEwnj2r5xYAiim/h8BCgEUfbjKsslz2fc0D8d5q5k9vCuWBn8wDfk/mBy/B1C889vMrDW7eBkvRzl9QZ1VWpycXiSTIFHVo3X7wYwb1ovaljLOeSznVLAGjmMm0KOxOYXJr/BZ58U7ZRtGjOlC1AkBUGjTf8xwjD4eZo3vdZTqdGVAl1ZUVBfxJuAsl15l0ayfC8O6NUE5N5nUbDEa+kboa5W4vH+9SYm5u491+6+iUQZQiJNec2DLKrwvv0FJvyomGlCQnU5yphL1egxn4ui+1DFQpEhcojYsJ7CDKiqhWGbdiSNu47HFm0CVFmUARdleSIi8f4TN+y8iq//vAYrdHnsIlqtKg/pqhL3NpPkgV+yN4jhx4CQfRPpU0k7ncVABnSYtoL3Ge84dvMAHcXlsm1VDPuMt96+c51FsOfrNnEt3g9dsd99DlHFXpi4chFHcY/Zu28IjSU2GDelHPRNVkoIf4Hf5AXJ1ejJ9fHdSb+5k9Upf5OxGMmGIA1X0RTy7fITzLyQMmT2JigkPOHHgIQp17KhjqUpi8E2uXL5HtnkfVqwcTOGTo+w8/f4XgEJWlM7L64dYs/EA+fV6MaqPPUaFydw+d4gjd8JpMGwRG0fW5dnhTazedpsq/acyvmcz9JVyeXzCg82X42kzeAI97CpAaiR3zh3nwlspjrNX0dskmt0bPIitNYHNc7uiIc0h+O5pPDYep5LzWsbVSWfXEhd2vDZn4KiBdG5Wi6JPLzl18ChByk1Z6baQ1halkrEgyJc/OsPyBbMJNXXGdVhnzOWSuHJwO6ceZ9PY0ZlBnWwg8TE79hwl22osh5a14cn+DWx7qM5y7xU0NlImPSqIg2sXclWhD9vnteDK6rm4B4gYOHskduY6pCcEc/NlFHYDZ+FgkshJzwV4B6gzeecyOlpZYqL9tbKwGFBsm8SUrWE0HTKOQX0aYFyUyt0T+9j/KIcRq30YUj2JLbPHcDy7PlMnOlO/nDrZMa84ve8oidUH475wBBXUy5wevxdQbBVCHopccx/Dile27PKdSPTeqaw8DVO3rqGT/lum9ZvJ+w4b+F2AQioiOfwUQ9pvwnbbSdZ0MS8BFEV5hF1ajfOMx8y4e5iqd9cxcHUSm8/uoL1FyUe3oHp6Y20Xpl9swem703k6aRDz0rsTfGwyJWlmMopyk9joZMOtKls45tUXnS9LUypB9Myb2oM9/n5AIZQdigoliAsy8d/myqSDUjxP+9JJ9SKd7XfQa88xprUpX+qhCD06lj5zk/F644vmoTk47ZZx9ORGGpl/BRRnp9dnZfBAjp8Yyk2XfqxXH87DzUPLAIowFvTuQoy9Jx7TOmKgLsQv//r2i6TMo9MYsjmFmTvX063GtzkUnkJSZmF3Lm4YhUXOLQRAUXGiB9MdLIk8tZap24Jwmr+QuknHGL8rkbm/CHn8CFBkcG6+KyvCarJ9zRhsq3wGFAVJeLv2467WIBbNbMzpSXN5Zj0Ct8ndqSGcBkIeQtgVZo/fgN5QAVBksHLqQSwGzmCCowAoStLkIy8tY/Kqt3RfuxSn5jXR+QcBCqkokUfHfdmy8zKv4xIxsuvH9KkutLMxR620FPevnwfFi1oqJSUlpZjNU6BjF9RGPVxX80hcl0nzhJCHHsF+Xiz0PEas1Jhq5sbI5SQS9vYNkVIDOo6czPQhvaljpoM8KZz9DCj6jZlA9y+AYv1m3inV+wooPurR36UzSRd3su1yNLXb2GNX3QRFeRlZsW+5eicU81YDmDLGkRpG35Z4/9gqvw4oRGnh3L12hscJctRu2ZkmVctRFB3EwW1buRJriPPEcdiZZPLiRShZ+RIUdMpRs14j6levUPxFXbyp/YWAYpf7bj5oNKBXVzMenX+Eum0vOpsncvrcPdQbdMSq4AmnbmbSZcpinGpICH72hLuBH0nKyiI54jXPAx+RqGiD6/wVOFePwXfTHiJMHFm0rCORp3exwv0sUuvW9GlRHVVFOQqz4nn24AnxSrWYNH882iEn8fa5Sc2RS5nqVB+59DD8Du7i9AsJg+fOpZlWOk9u3+dZRDJZmSlEv3nAk3dRlGs4krVrhiF9fpydp34JKKTpH7h4wAuP63mMWb6WgfUNhXI5wh6fZ9OWg2TXc2HjWBueHt7G9rOfcFzlxqCGRiS8vcOODT680erI+tWjsNAUKr0KCH98kS1u28lrPJnJDloc37CB6NqubJ7TpQRQ3DuNx4YSQDG2Vhq+a2ZxR2kwGzwnUl1TDnFOAo/O7MbT9wVtF25gfNvKX8GpOJ8P98+wfuV61Pp6sWpcSxTTo7m+z51NJ5MZ7bOJ/rUNSI9+zUH3ZfjltcVntQOvBEDxSJ3lW34PPv4AACAASURBVMsAinWLuCrfi51L2vFkhxsrDj7HsF5DWtSyxMjYDKPKFtg0rE8FuWRu712G21k1Vl7aRDMh3lumFYc8ts1gxQU1lp7cQ5cKSiApIC7In9UzVlDYeREzOmQwqd8Scpr1Y6R9dZTk5JCI0gm+78+NBAs8dqynjcWXLImS0E5xDsWs+aS1X8nmSd/lUNzYQt8p1xnsfZhpDRW45j6a5a9s8T02j/LRASycvIwPViPwmGDJRpeZBNuv/32AQiYiJfwsQztupN6mE7g5VCoFFB8ursR59gvm3D2I5d0NDFoVh8eZnXSsXOKLFABFwOouzLjWmrO3pvF06iDmJnbh9cmpaJcCikTWOzbgfo2tHPXoRWka8d8PKPKJfRdNoa4ZlU20Smvsk5/uxqnjOtqevMQU6xAGt5tP3RWHWdLb+jN3QBEPvYbjvEedY/c3oXJxGY5rPrL+2A46WelTku+UhY9zS/ZJXTnt48SDuY4sjGnLpf3TsdARlPegMPERE/q4oDRwK24uzdH5k+vyf7T5fg8oIk/MxMkjhinenvSuY4r6l7ktCmHtKBfOaQ/n0JIBVMgMKAEUrhuY3r0+hgVv2Th7BrdEdrS2+IjPdQmL167E8Zscih8BinxubpjM/FtarFo/k5Y1zFCSA0nWe1aNGcfHqqNYOLE51+ZP4IpGd5bPHkQ9c93iTSA58BjTZh+g5ph5DGmQz7qp7ih3cGXK4HZU0hcmYhEvDy9k1p4URq2aS/fGVmj8UwCFOI/wp4dYveokogr2NK6awuXLzzBrM5LJLr2oZSrUa/997fcAijfnNuJ2piSHYmTXJqhlhHHn1AEO+r1Fp2EPhg3rXlwCqihL4ezGZZx4o06/ca70bFoRUdJLtrltJkTZhpHjP3soBEAxqgMJF7azyfc2ueraaCjLlZTkC/oPcia07TecMaO6Y23y26WSXy31a4BCRmFuJsnJ2cira2NoqP3Zw1jE06Me+Bx7TZ3ejlTkJbt3XyA6TYSKeT36DZ+ASw87DD7HV/5aQLGLUO3mjBpVj+e+xwmRVqCWmYT3YXm0Gt4flZeHOeCfS9cpc2mr/pr9W7dzLjARXQsrLIz1yIt6R0i8On1nL2KYVQx7Nu0m0lQAFB2IPLmDZct28b5QHQNNxRIOjmJ9DS2qN+zCmKn90Yi8wq4Dj2gwaikTOlVFVAZQDJoxHtOY62z2PMCbQi0qWVphqlxI+JsQ8k3asNTNGdkPAIUk6Q1nfD3Y/lqX+avX09ZcWLmFxAT5s9N7HwmVB7JaABQnduF7M4uhi5bhYK1O9KtrbPfcT1L14Wyc2Q3tz27txLd32ee5kTemA5ja14wL69YRaT2ezQs/hzxun2Lj+hNYjhIARTr71y7kubYL7puGYCJsx6IMgm+eZOM2P6q4rGFO9xpfOUHEeYTeP4+H2zZMh3kxb2A9JGlRBBzdzLYbYmZ6rKKNuQaZMW856rmMc7mt2bayGy/3rcf7rhpLd6yimbFyacjjmkof9rsPRBr2hMMnT3Dj9jMiPmUDShhXb0j3oWMZ1rYcTwVAcU6VlZe8aP5rgMJnNuuumuJx3ZMGgvNCJiE14gXbF87kVdVxzO9WwLTeswhRN6GchjySYo4VOeTk1TAq34rZnnPpWLaUV1pEWvgj1s2aS2yLpfhM74Dm531RKsog5MoGBi9+ytidxxlRvaAEULy0xffEUqpLM3l1wY2Zbs9oPqwbH4/vJbrdOu6XzaH4YcijiPSYm0zsMQPdaQfY5GxTbHsh5+LpofmM3ZyKl78Ppk+2MnTuPaYeOMDAukIJspBnkcSRGT3ZGNOf6ydH8XS5M5MfVef6xTVYqgmdlyJKC2ZWdwcSuu7hwAL7r+XSfz+gSOLwzAU80rFn2vjeWBiqQm4S9w4tx3XBC8ZeOIlLnWyW9OnCk+qz8F44nOpGauQmBuI+ZRSHFIZzd894FF/vp/8od6pN28wSp9YYqUtJfH+OiYPnIBmwlwOT7Ig8PBZHz1im+ngxpJEVmuTy4tI6xiy+ST83Xya3t0TtTy4P/b2AIuPhJnpOOI7N+IW4Oramip4aCtI8Ep6fY870tcg5bmDNiNYYJl7+BlAYqcuIvb6fmW47iMjPICyvDh5ebvRtVjYp80eAAiIvrmDUmju0nLKQ0V2aYaomIfyRLzMWHqXKoKXM7N+M4O0jWXFLmeGzZtC3eU00xekEHFzOslNpjJy7EEcbBXbPdeWGnB2TJ46hVQ1TJBkh+K6ay8HE+qxZPI4WNUy+HtL/pyEPMWnv77F1rTu3Cy1xcZ1Et+pirmxexZabeXQYOYERveww01b9WzxVv9dDUQooeo9nZLcm6ChCYUYEl3d5sNUvknpOY5k4sD2VdArw81jAnltZdBw7iyGda5AedJENK/eSUrEjk6d1JvK4EPLQpb+LA5nXd7HPP5mabTrT1NoIJQUZoqwkYhNEmNZuhn1LG0zLuIF/G2b9OqBIC3vGuVPXSdesTtc+HbEyUUeUGsO1fZs4+aIA+2HjsbeS8f5dJDn5RShpGWBZvRZW5sbFce+/3kOxixDNFkye3YmIY7s5dfsNEjUzzCyaMXxyW6LOeHPglohukyZQPvoo7r4PMe8wApfuzTBQzOLBke3sPReH/fSFDK8WzW7PnXws14dFy3uQ6LcXd68LULMr3VtaoaEifPFlkZSQgkynOm0725L17CS7Dj6hwaglTOhkVQoozgRKcRrVnczbu9l2V8aQaVPpWMsM2adA9m/ZydPsWsxbPwJ+5KHIjuT6ka2sPx1Jt2krGGlfDfWiTF5cP8zm3edQbDWRjS51eXJiF/tuZDJk8XIcrLVIev8AXw8v7uXbsHj5JOpX0kaWn07gtRNs9TmDTpdZTGyrwJGVS3hhMIAN68dQQRLHzSPb8NzzilZz1jOmVhp7V03lirg7q9yn0cREkwKhqmL/TnZdTcBx2RqGN6vwdY2J8wm9f64YUJgM82L+F0BxpARQzPBcRdtiQPGGIx7LOZ/Xmm2ru/PG140Np9MY67MFp+rqhD+9hOdSD0KtXDiwsS/5ER+JzZdHJT+N6Kg4Uj8+x+/cBVIshuLtM4Lk/UtYeUaBJed9aKv3bV2o4KG4vm0ai0+Lme67HaeaJigUCaDoDKtW7abcoBVMapnEvCHLyG86iiHtqhZXtAgVH2nxMaRKLek5xIGaRmXCqDIJWZ9es33xdM4UtGHt6nE0qWSMkrSQnJhgLm5bwsYnhqw7tJvm6onfAIpaSmJy49+we+ECdgR/gpQc9Id6c2dJh9JlKfkRoEBKXuoH3Ef34KrBOLavGYe1gTJZsa/YvnwqvmmduXJoFmrvzzBu9BK0nDexcWQH9FWKiAv2Y/6YWXzq6MO1hS0IOT6XvsufMX73fkY3tURFkknwLW9GTjxM+w0XWd2jxPtR4gL5S0Med+jXvS/yI29zePSXKo8C/JY6MntvIu3Gj6dlVR3kEl9zbN8eIquMY6fHLOqVy+eaxzjG7/uAQ/9xtLDSJSXoPFvOPKHd7EOsG2SDWtZbVs5wYXe4GeMGO2GpKybo6i4OBCmwcPNxhgn14x/OMmjcLGJMujHKwQ59STLnDnkRpNWNTRtW0qKSRoln429o33soJNmBLO0/mhPpenTt70jD8gaoipN4dfYkfiHqjNuykQFNrVAJP8fw0e6YT3BnRg9bjARXhiSLi17jmLPmHO8NOrBnhzt9m1ZGQ3A3FO/GUawbJlR5jMBthiNVSqs8QBJ9h9lz53I314o+ndtiqVXEfb+93M2qwvQFK+jVyILcp7twXbaN3PJt6dnSFl1RJCdPHyWz6gCWzBhNEwtVHh9cznzfh1Ru1J029SwpjLzDoUsPqdJrPguHd6FK2UUlAIoVEzia3qw4KbO51WfClr/A7t/zUOSlhXLOeyP7/TNpNWEKwx0aYaquSPYbf1a5beRBZmVGTB5P75bW6P5N3qrf5aE4u541Z0JLPRS6n8mX8sIescndjcuJhgwbPRmnNjX4eG41y3dcguqd6dbamozX1zh9LhCz9qOZM7UTEce98AvVpv/4EZjGXGTb3vuIzRvTvElldNWkZES95lV0EbU7ONK3XR1kiR+JShFhYG6JubH2b3hvpMTc8WWtkJTZ1Jnpn6s8smNfcmTTes48TqdGh240rqFP1vvH+N9+gbJtPyZNGEHTSr/tBRFH3CrOoXih3II50ydjU4aHomTaSIi6f5hN+y8gsxnK3JG/Mynzw012ue/knUZzpq1wRnznKFs2enM/vSp9Rk9i1jAL7u/fyv47IrpNcMUi9iRue26jWqcz/ZqUIyPmFZfPnCUotRKj5i5ndMMM9rtv5FJKVUZMd6GWXDSX9x3mWaYF9p0aUV5XjoL0GN69C0fOwp5hQ1uScusAOw8+LQYUrl2qIUoL4+KBXZx5IWHAmJ5k3d3LxitZdHDsSwODfMJe+nP8zD2Uaw5i1dqRKAaeZvfJ93ScsYKhzcqUjUpzCb13hk1rvXinVQ+Hbu0wKkjl8aXTXAlKoeWk1WwYXosnx3bhKwCKJcvoXlOfgtRw/A+643nwCeb2g+jQuAKytBge+/vzKM2EcUtX0Lf8J464z2bzUxV6DXOmhlI8d/1O8iBSi8ELNzK6djo7l47E+40ZvYc60qKKIZnRb/C/+JDc6j1ZvXgMdUtqij/vUfmE3juHxxpvTIYLgMKm2EPhf3gz2wKKmOm1mrbm6mREv+WI+zLO57Vih3t/Pl3Ywtz1x9FpN55BtrqEvwrg7LnHaLWbz77Fdtzb782REFW6tGiIgaaYnE/vuHXuLHGVB7PJbRApJ5Yzw/sNnecsZ4B9U2p+IVEQSpLTornuPZHJO97TaMhgutWthVJ+HE8v+xGQXIkF7svpZPKJ3fPn45dYi179mlNeW0pRfhofnj3ik3En5k3pR0WNsoeKwEKZxJ19q5m1/iLlew+jX4taaApMsm8fcvbkbQx6L2LD6oHoZSZydeOokpDH8eXUVgGBzTf82Qlmj5/OxTB5Gs86zL3F7b8BFC/PuOHqGcbCI7txKEPEJi5I5+7uGUzYGUjrvuNpX12bpLcB7LrwgEbjduA5uhnyae/wXjQez0Atxg4fjpVOAW9vHmT/0xxmbLmAa1Nt8kMv4+I6lSDtzkzu1xadokSundjKXUkLfHZsp6152ZwRAVBspfYgTyYcDmfa56RMmaSAsGf3+KRajWb1KvItJ/YvD4Jfp95OecS44WOQDTjFtsFVS2lCC9KfsGXaWg4+e0taTgFKctpUsG3JmFmzGNC4UjEBVm7MEzavn83Jy1GkiuRQUTekau+RuE8fTlVD1WImxthHe1ixYRsPnyeTJVFGp1wFGrvMw31EW7SK6S6lPD0+m5XelwmNzKNAqoaBdT0GTFuIa7saqCn9fY7uX4qDiXnn543bjnM8e/+JXFEBinJy6OlXxH64KxOFahNdDSRhl5k+xwcT52WM61AHA7WSPgu8D8unLeV0ljVr1iyiW4OKqJUCili8J08lyNSJeeO6UcmoTDIUEOLvwQbvIzx9nUK2SBltCyu6jJ7O5B7NMNVRLXZV+h9eyrZ9/gRH5VIkU8dIeD+TJtGnaXV01RTJiw/i0C43jp55RlSqGAVVXSq178c8V2fsqpuiUjYvoTCRk5vmczajIRNdnGhU2eAvCzF8AyiUFAi5sQNPn2vo2DkzenAnqpb7Et+UEHbbl9WbT6FY34mJzr2pXUHISfjr2+8BFO+vbmPLlQhqd3FmgL1NsYfi8ycAIbd34uF9FrkaToxzccRC9JJdm7dy+PJTRBpG1KhfG5W8PEzrdmDo0LZEn9/DjQgNejgPp1X5TC4fPoDvqeu8iUtBJJaipVce27Z9GDa8H82t9Qg6u5tTj9Ow7TmYns2tvqvyKGsfGZ8eH8P75G1U6/djTF97jIvTL/KJfHSNQ7v2cebhW5JzJSgp61OlSSdGTRhG92ZW/KtUWHH0A3b57idIqTETxoyk9i/4pSTEPj3D7pP+yGo74tq/PUafdymhbPRHVR5ZEQ84sv0QH9QbMnq2M3of77LHay1X0iozfPoihttKCDixj+OPRHQY5Yqd0jsOb9vKoYCnpBXJoWZojIG6KuryBrQaOJExvcpx76AXq/Y8wsRuILMmOaIfcxOfbUe5HxZDZl4hahq6VLWxx3HIUHq3q0zY9eMcOvWKeoOn42xvSWFGJNdPHubKKyl9Jg7FMCaATau3cSsqEYmSBtrGBmjLKWNQwZYRs1wwiLzJ8YsfaD1uFn0bmn4zYUXpsTy4sA+vnSd4FZcOqtrF/BXy8uo0dprBahdbgs4f5sS9LPrOmEn7arrFXAZxIfc55L2L03eDiM8qRElJD9NKdenStx+DnbtQUZpE4LVDLFm7h5CkAowFj1KVCsilZWM7aB4DrFLxXTmFgx9MqWaVz9vHERQpaFCzYTecx4/Gwc7y20NEXED4k2vs3LIP4/7LmdizFtKMWO6e3sv+u0WMWzkXu/JqZMWFcma7O9fzmrBh7SAIvc+29Rs4efMdcoZmWNvaYpgXT76FExvmdSDu1iE8fA7xLCiZXHkZirp6VK7Xgj6DXRnb0pgPDw4za/EmwqS1GbFwHTO7VCm1nygjjrv7VrD2VDrVWxTx8HwwaflizKo0pvfQiYwcaoduYQ6RT86ycd1ebn+MJTuvEBVVDSrWaE7fUeMZ5mBTSlz19dQvJD3sET5enpy6HUZybnZxVaKWhhHVmrRm4vwFtLbUpTArmVvbp+P5rg7u22ZTo3gtSRHlxHDJaymLjr7A0nkz52e0+nprUQ5vL29l4Y5IpvhsoF3FMnu9VEJW3Ct2uk/nsF8U6SI5lNXLUaPnIFZMHU0dE1WkkkJin51g7YaN3H6SRg7K6JarRIPh09g0piuaigKoEfHy3DKWbDrNh0gRInl1jKxq0XPaMhZ0tf52w5RJKHy5F/tJexi6+QFj63/etfKT8J3tzDXDcWxb0vMb9tpf23F/HVDkxXHh7HnkazvRtY7BN5oE+RmRXDp/hQ+fMlFRr0xLhzbYVDYqPlS/tKyEJ9y58IB3KRJ0ytelnYMdlfU0ytA6FxIXfJ1bV4OJFalhUbcZ9u3qYViGn18mTSf4jh/3n8WTITOgftvWNLOpXMwe+XckY34Zy6+qjUoLiX3znFuPXxOfkYmiggpVatnRpEkdjHRUiscpTQ/jyrUXaNm0pqGl8VfQICkg9ME5rkSrY9+6JdXNymiYSLN4duUKCVq1adHACl31UlL4ku7IBAKhGzx8GEZ8rgZVGzWleZMaGJTh3ygqiOPNnVs8fRNPrrwJtm2aY2ttXkZ3REZOylueBjzgdVQ2yoZWNLNvSg1zw1/qoUhyCX4cQEiBKY1ta1Fe99c54P+Mo/wbQKEgJfjeGZ4mqVK3cStqmRtSViZBkp/CixuXCBMZYdusGVVMdEu1KP6MvvzoHj/koRDXY2JxUqYBKWHPeBqWjrFVPWpXNkGlDNIR5yfw/No9IvO1qNeqCVYmGqQEB/Lw4VNSVIyp37AGkpQEsuSNqFXXguzQQMLTlalez4bKxhoUZSfwJvApT4I+kpkvwbRqXRo1aVQ8fiW5ImLfPuNNbB5m1jbUrGTwjRbGd7sH2XFvefo2CiXTmthaC+vq8y8keSREBHP/0Qs+fspDXa8qts0aUr/mr5eMfm8raWYsL16+JEmhPI0a1Kesw+vzJCYrLoTA4I/IjGvSuLZlaR7Sb/FQiDJieP38NWmKZjRoXg/N7BiCnt0jusgIW7t2VNbKJeLtS97Fiqls2xRrIzk+hb/i/v2HRKRJ0a5cjWpmupD0CWm5ejRpWJGsyEBu3w4kT7M6rVo2xUpPSnToK+4+CSIuNQ/dcubUa9KKulZmqMuLiP/4lqB3CZSrY4eNhS6SggzC373mQ6IM68ZNqKCSw/tXD7j3LJhsRR3MqlejkqqMrJRczGyaop8fzduwVCxsm2Ndlqa7WP8kleiISGLiwwgNjaVQTRcV+Sze3H+Oks1Qlo1rSWbYa95Gi7BuZodlcf6TcG6JyIj/yKOHjwkKT0dFowI16jWlZYOKqH9Gf6L0ZELu3+BRWBJGdWyoW1mPyNdhaNVsSWXJOw6sW8wTjcG4jrUi5OZzxOpGNG5lj62V2S+BulRM+qePPH/yCo2abWlSwwhZQRZRIS95FS2hYdsWmGspIWg1hbx4wMfCCnRsXx+NwjyS3gVy485TcvTL07ipDbLYECKklelsXwslUTZRb55y//ZLEqSgampG3WZtaWVpgjwScrNieXTzKq8/qVKvRUfa1DEpPQeE0FR00F2eRqhSx86E19dvEZslo2bTttg3rVWaJyAVF5Ac/pLrd58Rm5JfrE9Tr0UnGlqbfSUo/G5CC2Rj2QmRPL73hJdRccjLy2NsUg3blq2oVbGkRkIiyiPq+TUeJhvT2cEOgy/fu5IiBK/f2RvPka/RhcHNvoYYBECQHPaEGy8yadq1I5VLeeQ/rxKpmKykIO5fukNwkhRt09q07WZHVUOBO+jzq5eKSAi9yc3LQcQWaVCpZmPsO9THWOXLYpYhlWQR8uAC9x58IlPBkDotW9GqSdVSkq7S4cpkSBJfss/vBTbdRmErJNMUs4fn8uLKCcLUGtOjXc1/+UHxU230X5xAP+XL/8oj+uu9/xvVRoUqj00TlnMtVpdOo4fRx74+5oban7lV/h67/S88RSYuIOVTBM/9D3P0+HO0WoxkznfU2/8L4/zhGKQ5fHjiz/HD/sjVakrjqmbICtN59+wGAc9TaTNqPuO71/0Nj9Mft05SyD32rV3EC53ReHoOotwfv9XPK39agJ+A4ieg+Ecsg/9GQCHJf8uO6UvYfvoBWbYOzJsxmcGta/O9Y+kfYeB/cCfEWZ+4c9YHT29fXsZb0td1BrNnd+fboMA/eAD/addkRcQEBbBn4xrOv0hHLAg7KcqhoGdKA/v+TB7pRN0yOQP/6ePKXp8c+pAjHit5pePMGjenP6Rp8mf25+e9/rstICcSib6IFP93j+Qv6n1CQgL6+vrFvPo/219ngYICQV8gD01NzX+srYWQR3p6OqqqqmhoaCAtSuDBqfPcePiaJKOadHfoRps6FUsrHv46a/1v3Vmal8abR5e46P+A5KIqNO/YiY4davO9UOn/1qi/HY1UksunsBfcOH+TlxGJiPX0qdq0Fd1atqKK7u/lF/n3LZSTFMGzG1eIVW1Cz162X3kJ/v1b/bzipwWQS0lJ+QkofjARhDr/jIyM4sNDUfHPkLD7OeN+zQKCnQsLC4v/hMNaQaA9/gc2gR0yNzcXJSUlVFSETV4OeQWFz2q8QrxSgqSYwOBn+/csINhRHgX5koQTQXZZIpEKsmT/HzW54vi8YIfSHDGZtNgOUoF05C9qwtoT5rCcTIpYUKf62X5a4D+wgFxWVtZfN1v/g479Ey4VFltycjI6OjrFh8jP9tdZQCQSIfwJLJT/VFsLgCIrK6vYgyL082f7aYGfFvhpgZ8W+GqBnzkU/2I2/EzK/HuWy39jDsXfY5mfT/lpgZ8W+GmB/w4L/AQUPwHFP2Km/gQU/4jX8LMTPy3w0wI/LfCHLfADQCEmJfwj+VoVMf9lIXnpw0TpUYQmiqlkaYm28ld2iMK8NOLCY0jLl6CsaUjFyqZoq5YV85KSm5ZATFQCORIFtA1NMTc3RE2hTNG+IOMaF0t8YjoFqGJcoQKmRl/0BUq6kJcaS3KOIuXKG6PyF/FTfO+hEAhoIpPEGFcqj46q0tc6bZmIpKgokmU6VK1giLIkh8joGIo0K2BhrI1yKbWnjLzUOCJSijAtb4aGOJUP0UmIiiQlgxL4PL7ETGUy5FXUMKtUBUMtVRTkxGQmxRMfn0JukSK6JqaYldNDVUnha22yOJ/UT3EkpGQhllPHuIIZxvqaKJWxbVF+JokxcaRkCTLFupiZm6JXfP/vGT6EviaQXqCIrqEe6mV4Qv7wjPvBhd8DisLcVOIik5BpG2Jioo96GTIzaVE2nz7GU6iqQzlTAzRK667/7F59e7/veShk0nySo+NITM1ApKqDuZkp2vJ5xH5KLCZG+saaSkpo6RlhamSI5jdr4Qd9lhWRnphAZqECeoZG6PzJpSOSwhzSUzKRKWuia6BTrA0jNKkom8SEeBJTsz/rHQhzUh4dIzNMTcqh8a8if7JCMlNSyC9SQtvYqFQ0TCD6yc/OIiE+gbTsPOQUNNA3KodJOR1U5IrITPnEp4QUCqQaGJqYYmqq+42ctKBlkJGaQr5YBR1DQzTUlctwJMiQFRWSk5ZORqEcGgYG6H9RK/utKSGVlqy1P5izIxOLyEhLISNPUDs2RUf1x7k/MmkRORmppGaK0DY2Q/9fGvKvncv/dXcX3pNUAgq/zGWTigvJTokjMUuJClYVKCsa+sfHKUMsyiUx9hNiLVPMjbXK7PUSCrKTCI/JRr9iZQTOvaykSKIyFahoURld1S8rX4akMJuYiDhE2uWpaihPTEQEyZki5AWyouLtXtDl+ZJ1IIeOaWUqm+qhgIzC/Aw+RcSQmidGWdMAcwszdNW+LkCZTEJeRhIxEfHkSBXQNjDBvKLxN6KJMlkh6Z9iiYtPo1BODcPyFShvovOrHDUyWR6fQqJQqmiN8becir/bjL8CKCSkxQdyYLk7hV1WM6O7RRlCqjL3LUjixq5VbH6twbwVy2lopFj8u6KcBO5fPcyx/dcJTi5At3xdOowYzKA2tuipKxZvsjkJL7l4/Djnzj4ktlCFyvWa033kEHraVEL588GX8P4KR/ee4eajd6RLDbHp1AWngb1pamGAopyI/AIZH2/6cjXYgF4jOmCspo2mmsI3JFy/2wq/8cPvAUVcwGZWnsnAaaYrdhX1vxIXSeI4vm4dZ0XNWDvRAdO8V7ht8CRMtzszxvbG2kzrM/lSEaFXt7P8XBrO41yolXWFWR6niE3JKcESB8SuTAAAIABJREFUZY4hmUSMWrkqjJy9gq71K1IU/5ALR89w9UYgcTlqWNm1otfAPrSpVQlNgflJIiI86CqnD57nTuBHcuXKYdu1G069O1G3omEx6BLnJvPi3nlOH7nCi4+pKBtY0aJfX5w6NqOSodY3HAr5ObHcPurLi9xq9OzbkRoVdP8epkwVFbKjn7B/0wFCla3p69yHJtXKoVK8CEVEvfBj//ZbqDZwwLFPSywMSwTk/ur2PaCQiMI5476NY5cfEV+pGRNdhtFI6R07fI/zICTpc7KmkGUoQ6qpScWajenm0Jt2DYUF+9sns0ycys2jB3gUr4l9r940tfoF5eQfHq5QURD5+ibXrgehY21Ph45NMfxcxJQb+ZCjB305fjOEfLGQdgrySmo07TmSYYOcsP6tbsgKSUt4zfUzV0hRsqZDvz4IhI4CmMhLj+VJwHVOnvPnTVQC8qpmxcRDvZw60MhchddX9rH78Hmi8mvQbchwnIe1xLDMCHNiAwk4d5InUUo07NKLVs1tMPhSeCUtIDnsNQHnr/G20IRWffrRocZv14hI8nNIifpEPqqY1qj4VSTp37BqUXYcD6/7cee9hA6Dh9CkYql24y/uIhWl8fL2ZS7di6Vx/1F0rFV2dP/GQ/8//KlMUkRuYjyforMo17AmOt/pLhRmJfLsnA9Hnxng6j6R6n9GTrdMXKzme8hnO5m2o5nat34pD4isKJfYFydZ4PWCDtMWMsBagafHlrPmhpghExfSp6lJCRiWFZGd+AKv5T7ENZjAuh4qbF29irNP4lBRUixOOhbW1xdAIaegRLOhC1ng3Brl3EQeXT/M0QMBBCfloW1Wl07OA+hv3xhDdQUEMJEd/5YrZ45y5tRDYotUqFy7OQ6jBtPb1hJB6kog5Ur6cJOjvicJuBtMhoIxNu060G+YEy0tBEGxr00myyUy+Dq7Vp/EZuEB+ln/sR21DKAQ1AZziA5/jd+JDaz1OIu9Zwj7Rlh93RhLn19AVIAPI4fMJsisMwfOnKKjufC1XkjIlU1MWLyZTNWalNdVIT8pjLeK1VizfjODmpRHqSiVC1snMdc3ECOTquioyEiOeUdytb4cdl+CbQVN5DLCWD9nALsfy1O5vAkqkjzCYiKo1HsRW2YMxEI9mvu3PhB47wyPI01o26se5Sra0am+CSp/smjYL+TLD09i0NYkZmz3pEdN068Ma+IPrBfky/O6ccVzDBbZtxg5Zgpn3xkx2cOLKb0bFR8icoh4tm8OA7wTWLJuJW2VH7Nq58ViZj45WR4fAgPJUDWnZpXyqCvJoWpUiUET59LeQo5TXhPxuhSNtnY5tJQkxMZFotncmdXTx9CkiiFFsQ9xWzaLi6/FGOgboirOJDQ1j+aD5jDHuStWRspE3jvIknVbCUnTxFBHB4HZMAxTxkxfxKhODTDUVEJSKCI1IYbHd46w1dOHrNoTWLdoLM2qGP5tgIKcOC4d2ITbjmdUHTiWmSO7UcNQnez45+xcvZSAOEP6jZtD71Y10SsjNfBX7re/ZMoMwmvCfHwDwtBo68iccYOwTPZjqddhQrO1qGiiV/rlLxblEBOdiI5ND2ZMH0fXBhUp49T7RbdlhZ84tm4VfhE6DJwwka4NzP7joQnVE/lZ6YS/f8jxfV5cCMyhi8tiJg3ugmmxDWXEPjjE+o3e3IqSp7yZAUoCxFVSo2GXgfTv2wsrvV/rhozCvBzio95y9fxu9p+6jVmbicybNZn6RgLOTeW530F8th/nXa4yBgbayLLTScjIpWLHgUwZ1Re14Evs3bOHu8EqtBo2nQWLHKlQ5lGZobfYuX4Fm/1Cqec0nhlTptP6s2yzJCuK66d3sGrjAbIrdGHm8tUMETSBfqNlhz/Db+95IjVscZ7b6w9xXhTlxPPs9nUehUlp7eiIbfkf65xI8hO4dWIPe858oPOsFQy1Kzu6//jV/k/fQJyTwpvzh9h7OhPnffOxLaV1LRl2sTjY1tms8zfBI2ATDf+MgjxBvvzDA9bMmkVKOze2TrEvpeaWijIJDfCk5+QAhm09zMxmSlxb349+7u9oNXQxHm4u1NJVAwFgR11n0oC5hLfbgP90c/Z4enA1MAF5OSmZ8R94HZ6LVQMbTISPbUVVGjpOYYqjDQm3djNl0Vri5GthYaBMXlosH+XNmb3SC5fWlSA3ket7FjDT5yZ6prXRV5UUM5jGV+rEQa+1NK2gTGHKB7yXDMPzViE1LCqiLM0jOjYcnc5zObhkNOYC/pVJyU1PIfTdPfZ7L8f3WjKL/eJKtTz+3YlVBlDk8Pz4RfZcOMu7iBjevQ+k07pA9gyvVqrlUXJzKalRt9k4ezX3QkMIVbRl/6mTtDdXgvxoPEd3ZnNKG7w9VtCxhj6JgceYPn464c09uebWB9WoiwwaMo0ku+nsWDCWGrqFPL/gxvhZe6i/OADPgdXJubaAFtMu0H62O0sG2VNOmsARj3EsOZ3PbJ9DDK2RwqF1Phy/d5+PmXpUrGxF2xETmNa5VjHF9J/ZvgcUH49NY5BXMjN3bMDBugwdseQjHiNd2CLqymX30VTOucOosYu5H5uBetXurF0zB/va5VFVLOTF/nkM9Elg3poV9LOz/OwWlisWB1s/okQcbM00R6oaa5SgWKF89cFWBszai06nCSxwcaSmroibh5ayaPcrOk3zxNXBhk/HJzNm53vsXeYy2bElhgXh7Fo7jd0hFZizdCEOtZQ5sXw8W9/oMnrKHJxa1qDg4zXcFi3imeEg3OcOp6GlNnEvnnP27GmuPQwkPOI1Oq0ns26+C02r/H3iYMI7lKS9x3fjMnyeFDHUdSb9mxjzQJDSDoin7bBpDO/WBJPvpIz/zHf//b1+rOVRh4nzxtC2ph5f1EZtBbXRro1LtTwK0j9xddcGtl0Np6XLNMY6tkQ9L53cQnk0tLWLwzYyiYisjCyK5JTRVMvhvNca/CJ06T/Wla71TZFJCsnOyiA9MxexVAFNbV30dDU/h9OkFGRnkl0gQUVTGy015V94bfJT43ly/SrHzl3n1YcgMpSN6OUyi0mDulCi/1RA0NmdeB4PokZPFyY5Nf6GnVGYh7/WJCKB3vcex49f4NG7V0SnZVO32xjmz5hEPUPIT3nH6e3bufFRjp6urnRpYElh3GvObdvA3hdSukxYyHQHa+KfncDb8yiZ1gOYvaDft4Ai7Ca7N27i0N1wjJq0pGefiYzqZo2ysB+FPubU4R0cvvwcZXN7RsxdxMCGBsX2zMlOIy0zD7FYHmU1LfT1dVBVkBL9+AQ7vPYTZeTAzCVDsdbTQU1RSn5uNmnpmRQUgorwewOd4lCfsO8V5OWQk1OATF6OovwCUNRAXRUKxTI0dfWKCc2KCnPJzEgnK6cI5JTR0NJBT08ThcIkbp/ey97zH+g4bQVDm5YRB/tsVMF1n5Ml9DcXqbxQSaSKokyCnIoWetoqiHJzilVeFeUl5OSKUdPUQ19fDVlRPllp6WTnipAqKqGho4eejhZKcjLEhfnFc0qirI1hMXW+lMICoY+5KGrpo60sJTtDcIdroKEiJT1VINZSQlfPAG1t9V9Sb8tkFInyyMzKRlFdB0SZpGcWoqqph6GBFnJSEekpSWTlS9DQNsBQXwsFmZi8nAyyCuTQM9RHVUGuWGciOyOdPDQwNtRCXiKmIDON1IxshGChiqom+kYGCLp/glDYJZ+lbLqqzqwDq2ljblLs7f7SBEDh7zOHddfM2HBxBRYZyWQXytDS0kPfsAwtv0wYezbJKenkF0pRVtbCwFjv10OmAqAIe4jb7AWk2q9gy+Q2pXTVssJMPgR40XuKP4O8DzOzsRLXNg5j2Ja3GFlWZ+C01czp3xh1+ULSowOYOmA2oR028HB5p1JvhESUw8uzbkzy+siCgztxsNQq+Z+cYNIY9s/qhdtHWzZ5rsGhpg5xL86xcM5c3lafz6XNzihHBjDVZQKvq7uyf+UUquvmEXjRk8lztmIx059Do6qR4L+ODq77aDBtCxtHdUS3KJZzPtOZuSOcyftuMc1OE3FBAld9jrIv4AbJqTG8is5k6dkIJjf8YztpGUARy87BK7htVp2hXcuzee50tEdd54DLF7XRkgcUpofhu2YeV3KaMtTqNa5H0vE9eYL25soUxt9mRJeR6E86yPrhTVAvdk3lcnHpIFz9rQi4thL5mxvoN+sGkw8eYpCNCUqCG1sSxbKe3fC3WMDZdT157ubIlDtWHDq9hnr66sVfxbmRFxncZzFVJvuwbGADJKFXWL98J88yZFh3HsWccZ0pp/HLTfSPmeXrVX8cUNxm5NjNqNrVJs7/BRV6zWDumI5YGCjwcv/cbwBFWbXR9SOceSKojU7tW0ZtVMyTHVOZcSyX6RuX0rlupWLPSGHKY2aNnEtOk4ksHNOKOyucOZrVnEWLx9DY0gjBqRZ9dyeuy65gP3kBg2zFuE9dQGbDUcwc2YMqxhrIkcdt7zksvChj1soZdKpvzPNd+zn2NJZqbeuQ9PAgj6WtWTB1OHZV/15AIbyF1NfnWbPck/cqTbGvKuHhvRCMOw5mknNXqpdRY/1P3/Pvuf73iIOVypf3EQBFiXx5MQwvzCPk+k5WHriHZefRuA5oRvyt8zyNU6FxW3tsLPURZ0dzy8+feIWKtGhtxbN9G/H7qF0MKLrU1iI29CW3bt7maXAk2SJVLGo3wr5jW+pblUdTsZD3D65w730WVZu1o1nN8t8pA8pIfveMMwcu8lHRkKpm6dx7HIJp8yFM/aw2iiSFgH1e7ApIpX5nJ7rU1kasoIyhSXmM9XX5EVYXZURy7cBpbrzPxbqxHiGP75Cg05I50yZRzwiKcpMICf5YrMlTs05VDITJK8vmyfHdeJ14S+3+45nbz5bfEgfLDLvJHo9d3I0qwMiqHMYWHRg7oTcV5HN5ffsi5/38ef8pkwJlc3q5zmOgjRrxES8IuHWdR0Ex5OUpo29WjZadO9KgogpPT2zGc8cZ4rXr0We0C87d7TEljke3bnLnqaDRI8OwQg2ad2xPC1trjNQK+Rj0kFu3n5MtUyAtNh3dyg2pVVFMdIKEpg4OVNPK5V3gDa7euk9oZA5y8tpY1GpEB4f21DODh2f2sucHgEJalE/8x1cEXLnCwzeRiFX1KVfOEG1lBcrV60TflhWICLzPzSdhKMnyCIuVYtOqNw72xkQ+v8udWw8Ijc6gUEMbyzrN6dDOnnpW+mRHB3Prkj8ZFdoy2KEeKrIC4t4/5+rlpxi16EebCnnc9ztFcEElqpRL4U7AK/IUdLBp3JZ2nVtRudx3qrWSQhLCg/APuINChZqIIh5yLygd8+rN6ObQAvWsd1y84EdIQhEWdVrTy9GBGtr5vLl7hZthyvQe3gdLLQVyU2J44HeGN/L1cRnUFElsCPf9znLjeQTpMgWMylWhZZfuNLOtRNLj06xbvJxLH1VpOXQoQwe70NPma8joC6BYc14L15X2RF66Q1imFMtqDenYuzt1rUxQFfRSUqN4fMufaw8CiU8Xo2NQBTuHLrQTNJgENeiy7d8BFI2UuO4xhgU31WlbR0JgqDmLdy+nXQXFXwCKL4/4oXy5EGqJf8rsvsPId9rB9mlti0F9UUEaN7ynM/mkGscub0Q3cA/DJx+m37YTuDYXwKkMUW4EW0Y5clB5Ivd29eeJ5yjGnlDjkP9uGukIa05CXsJdRnR2QW3MYXZPaEhR6lNWDNxCZrdOOFnGMnLmbiYd/MCUz2qjv2dfLPubMoAil+iXcShbVsWk8AH9uvVBcdQtDpYFFOJcnhxcwvy9SUzcsg6b1wux80wuBRTZH/bh0MmHbtuPMaOdOUqflStDDo2m7+JMvF/tRuPIHJx2iDl40p0mFTU/x+xlnJpii9vHoZw4Mphb4xxZqzCUe97OGGiWsMRJM94zr0934jt64TW5HQVv/bkcqkEjgxAuRxvjNLAL5loqf7rq5H8CKIaP9sRywkLqhB3H50k+w2YupG+TSnw4+q2H4l8DikwuLprIspBqbHMbS4MqxiVfnwUJbJ4wgIe6g1k0owlnp8zmcdVhrJnSA2vTEvdrTuglZrl6Yug8l6ENM1g1dT8VnKbh6miHmXZJHD/84jKmrA2hl9tiHO2qIolJIE9eE0O9PI6vm8yxtCbF8uX/F4BCUMB8dnITK90P8Tw6mzqdJzB/xnCa1jD+WwTBvtljpFJSUlKKOSi0tLQQtDw8XFfzSFyXScXiYHq8Pe/BigP30Kvbgc6NrdFQkENO+KLN+MTNk8d5lqxD/+nTGNCxIv4bl3HqjTpOE1zp0bQioqSXbFvtRYhSPUZO6EbUqc34hWkVA4rmOqHs3byV048ikKlroyYvIU+iiGWL3owa4kRzSw2Crx3mclA6NTs40rFB5e/yAmSIsjNJS81FVVuHnLcnWLf/KhpNhpUCCll2OMd83PD1j0FFtxLStDBylbSo39KBHj260rC66VcRsTKGkRTlkp6YgVheHW1REN5bt/FCuXkpoPjlpiQhJ+Etx/bs4nyoCv3GTGKIXcV/DSg8dxOYp4tFFXVycyowYNI4bDUTixU/A4JiUFSREZuoTOcJ8+luHM2pPT7svfoaiaoG/4+9sw6rKl/f/ofu7lBAUFEM7B5bsbtbBGywuxUTUcHGwBYbFcfublEMujs2zd6bvd9rbwsdZ3TmzJlzfu9xXRd/sfaKZ8X3s57v89y3mrSQvLxCzGp3ZlA/F0Q3drB251nStSvRccgoRnarQ+bdvWzcfZlsNV10VJUQiUvRtqtH7+Hu9GtgwvOQHaxctpV4ZWusjO2o0aQx5RTDuf5cxOC506iU+4Btvn5cjipCV0cNcUE2hVJt6vcez/SRTYm9sIeAk+++kaEQkx3zlKPb1rH9dChSAyO0pDITrnjSFfRoO3YZPiOq8+jIJrz9TiHRs8TYsiptu/WjsXk4m1Zt42GaBD0jHSgpoqBIA8cWg5gxqy/6cbfZsnw9SdXH4jevM9qSfF5dP4bPisNUGLkSj5q57Fw0nsAwXapUlpKTpoiwKJ+iUiNaj5rC5OFtMFMvUywvKuTdvbOs8vYmTrcqeuJUUlIKKCpWoFKjFpSTJvP8bTSC3BzShPp08VzJoi5mXN6xmi231VkSsIwGpmpkxTxnz9K5XFDuxs6VnXgT5MsSv1Pk61uho6KIsLgENYt6jF80jfLhR1kwewU3U1RxdunO8LHTGdb08xSgzL780pbJTNuWhFNzLQQJQsQiEYL0YmxbD2PeojE4qeXy6ORq5q89S56eMboqKpSKi5EYVWHQhBkMbWr/hZEffwoolLng68GS59VY4VWbfUu9EXVcyroxrVBM/TJD8X2gEJIRHcyI9iupsiaIVd3sPn2QvA1ewvC5ocy5vge722sYuDiG1cd24GL/XhNHXJzPhaUuzLjWllOXJvBo6kCmJ7Th2dGp6Ms/bKSI8pNY0asB92ts5tDqzmiVZBP1OgfjKjaov9xEtf6+jNsfhde/DhRlHvu0W/Tp8jVQiEl6HMz8eSsx6LGehSMbkHFoFI02ZBB47AitrVQRvNlO+3aB9NlzGK/mlu+zD0BEkAfdp6Sy7vVutPdMp+9uZY4eW00da61PRYDBU2ux6Hk/Dh8fwpURfVirN4q76wdh8AEopLlRzOvZlqjm61g/xQVDJQnFCqpoKpdQUChFTVP90/7+LFX90fr/ElCM8sV24gbG1iti26xpPDfsw6IZAxFd9WbQluRPUx7fB4osTswYx9LY6mz3dqNWBZP3QFGSzpZxvbmm2Z850+pzfPxsnlYfyYrxnXE0f1+mWxh5numjV6IzWAYU2SzxPIj94KmM7dUQS533n8+xvy5mwqLndFq1mH5NndD/mNkWJrNn6fj3QOH1nwIKKdmRV1gxaRaBj4roPX0xU4a4YGf0zwtL/UiG4nWIP9OWbOJORAG6OhoolAoRlogQqaiib1mRbj1dcRvQiUrlRJz0XcyxMC16u4+la/1yCNOfs2XVBl6rOjPCvQOxR2RAoUc/92HovtzFyj2XMfhlEK692mGjWcKzkAMcuB6Lc3c3RvVsjgHFFIskqKhpoKb6ufPnt/e3hPibgb8BCnFqKAe2rGDTuVAUDSpgrq2EMCeNxBQRlToMZ7LnYJyNoKCgWK4IKisi09DURENN9VPhtjj6Or7+m3iq1vTbQFEqRJAZxfUThzlw9h027QcxYXh7rLWUvgsUO3x38lrJkQZ1NXj9PJX6fcbRxiyRoD1HiZNaUUE3k1tPC2g3YRatNN9xct8FElUcaNqqCopZL7h+Kogrb3XoPn0h/W2jCPDZSqxFD2Yt7ofy07Ns8F3PS+1GjB0znLqWGiQ/v8bBwyHk2bsww7MvedcDWO69H832Xswe05NyqqlcPLSTE09KGTR9HNbJdzl2IBT9Bi2o46hO8otLnDp+kVSjDixcMRTJw8NsP/72N0AhFWby8OxOvH0OotHWHa/hXTEvSuH83s1sCwml2tC5+IyswaP9spqie9QYvZCZfRuikh/Nma3L2X6ziJ6ec+jbyg7Swjm3N4CAG+l081rOIPsUdq7xJcFpLH4zO6IlySfs5nF8fYKwGbaS0dWy2L5wFDvCKuDmNZ5+7ZwpiX/Abr+t3CioysJVC2lbqUyBq7iIiLsnWDxrBhF245jnNZBKKgkcWb+cbeeTaOQ+gykDmqKQeI0VqzaRZD2Mg95tebxnDZvvarJ40xLqm6iSHfuCfSvncl6pB1tmNiFk2Sw23FDCY8lYfrE1IDPhBadvv6FeT0+62xdxbvNsfEPUmX1kDS1N9dEoUysnA4qLm8fjuSmSFh7zmTiqMeYlaZzf6cfaswkMWLSJkdWz8Zk4mBDF1syfM556ZpoIYh+x128zLy16smnpOCrolAGnHwUKWQ1FfWUurHVnyfNa7Ng3kZxD05i2JYNR/hvobvWGqX2n8vbDlMd3gUJSQnrUMQa3WU/tzUdZ3qHce6AQFRIR4s2wyfeZcusADjdXMWBZGn6nttHG9v1HtwworqzswOQzzTh2cxKPJgxkVlYXwoImoi1PwEjl2UKfvs5cs/fn8IZevPdLle2glJJHm6g26B8CCokgjBXuAzmp7MKKmSMor6FE/Nk5DNidwUq/rXR0Lo9y0gE6t9tGlx2HmdLC+lOG4u1Bd3rOzmJj6E60DsygT4CEg0d9qF/uY4ZCwvFJdfB+M5AjQUO46t6bVWpDue1fJkMhCGd2z44ktl7POq+2GP3NbXS/BxW/Kco8NIlBfhlM276aTo5f1VC4jmKbqAvBq12xzb/G8FG+lB+3lsldHEm5sB6v5ZdoO2UudQQnGb8r/U8ARQ7Bc8axOKIKW7xlGYoPQFGcysaxfbmlN5B5UxpywnMGDysPY8XELjiaf8hQhIcwfdxaDIfMZHBdAcu89lK+32TG9W70KUMRHbKIid5hdFuxgD5NqqL3XwQU4oIErgRuZdvh20SnJ6Ph1AHPSWPpWM+eTyD2dxLkH2zrR4Ai7Mx65vifRKDtILd/VhAk8vLBQ94JDengMYWJ/V2oJIMhacYnoOjjPpYuH4FitR+vVWp+BopIA/q5tiX59HY2h8Tj2LAhNax15N1AJdnR3H4Ug03zAXh59KOq6Y9Wp34bKITZsTy4cZ7QXHVqNmtPXVsThAkv2efnQ9BLFQaMdaOBSSa3boeSVSBExcCaWo2a06R6hU/tpH8EFOLiAjKin3Ll/CmCb8RiVrMDI0b2pGY5PTkgf2/KI2DtDsK169GraznunryJcrWOtLVO5/SZexg26USFvNsEXRbQwXMefZ2khD26x8Vbz4hOyiA99h1hr19QoFuXMXMWM6xSPDvX7yTGvBfzFrUl+uh2Fq05RWnFRrg4W8hrlyTF2bwOfUWWuhMTZo9FP/wkW7beoLrrQib2qo4kO4Kz+wI4LgOKmTNorJ/DvWvXuf40krS0dBLfPudlbCa2TYax3HsIksdBbD/2W6CQZL0hOHAD628qMGHpSnpW1QZpCdFPQ9jov4dMx2Gs8ajFgwNb2XEmlb7LltPX2YDE0Kts9dlOuGl3fJcOxFxe5Ssi7skFtnhvIL3GGCZ20+e4zxpiq5YBilvH8V3zHig8nLIIXDGTu9rD8Nngjq0ilBZl8OTsHtZuuUmDGWuY2Nb+c+ZXXET47ROs8V6HQX8/FoxogEJ2HFf2rsfvVA7jtq2ls70egvgwDq5bSHDBL2xa2pnnMqC4p8nijWWAYtVcziv2ZPuidjwPXMXigGtIrByoV6kCFtYVqVy7JvVqV8NMKZPruxax4pQ6S0M20Piruqn3Ux5T8Q7RY/nZAJrLRkmpkNS3t1jtOZuM5jOY1l7A+N6LKazfjb51zRGVSpGWFhH36j53U23w2e5D6wplimo/AsW0OWS1XoLf1zUUV/zo7XWZQZsO4FVHkQtr3Vj8rDa7g+ZQLu0+Kz2nc1e3G2um1sB/9EzetFrFncXtP71dfn/Ko4SMqFMMa7+Gar5BrOxi+wko3p1ewvBZz5h5fR8Vbq1h4LJ41hzbjkuFzxmKi94uTL/UipNXPHk4eSAzk9vz7Ohk9D8BRTIre9fjbtVNHPLp9tm75Z8Girw7q6jfYymKTh2oX06FUokCuVF3uPC2mAaNu+M6ewZdrMIY3mEq9rP3s6RvdTTkNRQl3PAZysiDRhy/vha1X5fQZ/ErFu0PoEtVI5TlNRTpbBjcmkPqkzjh34t783sz800jTu6bSUUDDfnNXJx4A4/e49EZtgnv4Q3RlVXr/APL10ARe2w6vX2imei/jl41rfg09Vb8muUjXfnV2J3AuX2wyrn0ASjWMLlLLUwUItk6YypH4yrStHICgdcV5V0evRvJXsYfRnB5Uea3aiiKubnOkxkX1FiwagYtnazkHQKl2aEsdJ9IfFV35o1twuV5owlWas/imUNxtjFAESmpD/fhOfsIzqNnM6hOMWsmrYTmY/Aa0hakcOq0AAAgAElEQVRbI1m7pZBHgbOZsT+X0cum06muw+c+7v9whkJakkfYjW0s8T2HRrXetK6SSfDBc6jUGszEMf2pY1Om4OofuBd+BChkNRQrT72hTq8xjHBpgHZxMo9CDrH7wHXEDm0Z6tqXBpVNUCWDkz6LOBKqQe/R4+jWyIaStCdsXu7PW7VajBzzIUMhB4p2pJ7eyoY9NynSMUD3k96BFKnEhKY9h+A2sgtVP0Dk90PxLaCQUpKfTUpKDgqa+pibG6AqzzCKeXzYly1BL3Dq1htbxRcEBp4jPluIqlUNegxxZ2SnhnxMGP0eUMh0JKIeX+dU0CFuRoup6TKAYX1bYS9L039Yvg8UAbzVbYL7qDo83n2QF8WGVLJQIC5eSptRfeHBXvZeLqDTxBk0UXzItg1buBAjxLZKDRytTch/95QnEVI6T53LsIrx7Fi/gxiL3nKgiD22ncWLdvBOooOp7kczLilSqRb2zm1xndAX7djzBOy7Rx3XhYxt50DJJ6CQMHDyKAwigvHxDSJB15Zqjk7YqAl5/egxGboNmLdyONJH3waK0rRXnNzty9YXOszyXk3L8rJ3m5D45xfZvjGQFPsBeHvU4uGRAHZfzWXI/EV0dtQk7vlFtq4LJK3SUFZP6/IhrS0h5dUNdvv68tpyAF69LAhetZJox9FsmNcVXUkeL68fYc2q4ziMkgFFNntWzuWhjitr1w/BUta6XpLDyytBrN38K5XcvJnexfFzd5e4kHe3g/FdsQWLoRuYNaAGpVmxXD7ox+arYqauW0YLay0E8S856LuY4MLmbF7WiWe7V7PxhjoLty+jsakqWTHP2L1sHpfUerFn/SCUEsM4HRLM5Qs3CIvJplQoRMXUgbYDPfHqZc+TXYtYfkqNpSF+NPkmUExn5XlzfM6vp76Mq6ViMmMes3n2dF5WHMPsTsVM7jmNtzrWWOqplJH6UcXQrAmTfWfQvmKZVkqJiKyo+6yaPpPYhnPZNtWFjwkMSXEOYedWMWzxU8YGBDHYofAzUBxZiCN5vL3sh+eMi1Tp24bkc0dIbr2SWz8EFCJyEm7g2X0i6qMD8XerK29BFZcIuL97JqMDCtlywR+zh1sYOv0i7jsOMLyOrJ5E1qWZyl6vrmzIGsrlA8N5tGIY46/YcCbEB0ct2YWVUJz5FK/OfRD0DCRwerPPdVb/NFBk39mKh/cRMgrfG8jICr4Lk9/wJEFElWpNGL5kDaPrK7G8X2uuWk1g/fxhVDHRID/tMWvHjeWE4Thubx2J4ptDDB6yFJPR61nUvxlmGhJS3hxj3NBlaLrtYefo+iQeGUvPpW9x9fdjSIOK6EjzeX7WG7dlTxnuu5MxLWy+SHl9/wX619f4GijyH22ms/suqgydzdg+zahgpIWSuIC0R8FMnbkWvSHrWTKkGUYpIV8ChaYSOfePMG6BN0+Ts0mmLuv9V9Kr4Y8ABcSfX47bgvPUHD0Ht06NsNIQEX1nB5MXn6X6yEVM7t2I8B0jmRcipt/UyfRs5ISOOIure5ayNKSEsXPn0LOmMoGz3AkprMvoca40r2qBWPCaXYvnciy/Cavnu9Goktnnr5H/JFBIRaQ9P8/KpX480anP1EketHEs5fK6Faw6Fk+j4eNw698C2w/A+dev8I//8keBYsWJN9SRdXl0el+UKSlJ4touP1bveUaFHq5MHNmJSoZCfl03h+2XMmnhOolB7aogeHUGH+99COw64DnZheggP85G6tPPtQt5V3Zx4EY+dTr1pGUtS9SVpRRmJRGXVIiRgzP1a1fCUA35VISikvI3Wr3Lnue3gEJCxusb7A08TZpudXoP7IyjmQbCrFjO79vM6ZfQfsQ4OtbQJjUpg2JRKUpqWpiYW2JmqMtHaYBvAYVUXEzci8vsD9jOrVRj2vZ3o19LJwxlA4OCIkrKyigrK5H6+Aib1h8ip/K3uzwC1gbwRrspXjM7EndkJwd/fUihenkcnJozakJTwoM2sfd6CZ3Gj8Y05iC+B5/j1H0CYzvVREOYxKU9Wwg8nUKbyfMYXimeHeu28s6oG3MWdyf74l42bLmIep3e9G9fDT0NBUSFOSQlpCDWsqVBk0qk3DnE9n0Pqeu6gLHtK34CihNPJfQd0ZGM6zsIeKLD+JkzaOuggyDiNjv9dvGkoBqzVo9A+jiIgG9kKKT5cVwO2sLKg29oNXYOrm2qoCEW8PTSYTYGnkGtxUR8R9XgwZEAAq8IGDx/MZ2r6JIRfo9A3/Vcyq7MzEUTqGOjA0VZPL14hM3bQrDoNoexzeHAknnc1+nOitUe2EgSuBK0Hb8dr2g1Zw1uTlnsWjqRs8IOLFzpRX0zHUoy3nF+XwB7rwoYuGwlg+pZfO4YEhfx7vYpfFdsxnzoBmYPqPkZKK6ImbJuGS3LfQUU3l14FbiSVYdTGb5pPX0raxD54Bz+SzYR5ejGvrW9KI6OJKFIDWM1KYKMVFJCr3Fg7wHiTPviv8uD7D0LWHwM5hzfSCsTjfcfoh8WedvoZi/mHi1h/NZN9HUyR6U0m1dXj7Fi+QFsXVcwtlEqc0YsQ9raC48uVdFRV0RSkk9KbBTpkvK06fwLtnplHKWlpeSmvGLHokkcyG7AysVjqGtjgqpUSG7cG85smo//Gxs27NlKPfXUL4DCSUVCUUYEh7ynsfDKK9RzpJi7buH6/Lbfz1DIBOCyovEf3YnjKsPwWzWaaoZq5CQ+YdvCGRwW9+JS4ATUws8wfuQM6L2GNW5tMFITEv/6DLPdFpHbZwch0xoQfnIufWZco/+WPYxpVAGN0hzCrvoxYnIIPTYGs7BDmdbl3wUKWaeQkFIFZVTLCCj+3lvz20qZaTfo06UXiq7XOfChKFP2UsgrLPlEdkqKCkQeGE27rdls2nOMLlU0UFUs5ObWqYzacIMG3d1xqWZE3L2j7LgYQf8lQczr7ohqcRS+MzxYc1/C8EHDqW5QyO0zAYTEm+K9NYie1XVQjr/IEDdPnqnWY0S3dliUxnJo7xbS7IawftUc6lhq/mMFeV8DhbTkDav7j2B7hJhmffrR1N4CtaJ4Hhw5yY1kW6YGeNO9ti2qkacYPmot5catZUrX2h+qiMXcCnBnwsIgQnXasHPrWno1svsiQ7Fq6Pu20RVTepfp8pDlgx8wd+YMTifq06l9B6rqFnA5OJAwpbrMmLcAF+dyCF8cxmPOGpJ16tC1ZSMMCt5w5GQIqvVGMG/SUGqVU+fZUR9m+Z1Gt5oL7erYkx9+haArodQfupRpA1tTXjYqfVxkQLFkLAezGzHLcwRNKv5TXR4q5KWGcsh3LYduKdJ9phcD29fASEUBUew9li9ezulIfYZOHs/Ats4YlVGP+3E8+PNr/hBQnFzN8hPvqPOhy0P/g35VadJz/H1WcOi1Cv3cxjPUxZmk86tZtOkYBdat6dDUkZzQCwT/GoaNy2hmerUn6vAGzobr0m+MG7Zpv+K3KYQMwxo0a1ENCx0pya/ucje8hHpdhjG4c12kyWFEphZhYudIBYs/EiGTEH9jt7yGQqPhMCZ/6PIoSn3Jka0+7LuUgE3jdjR2MiL7xQ0u3nuLcYsRTBozlNqWfzytIo6+Jq+heKLalBmTJ+JsAkVprznsvxT/U6GUb9aHTg0roaUkRlwqgx997JyqU6OGDXl/BBThVwnw2U6YdhMmLx0Bd4Lw817HlUx7+o6fyozB1twM3Ejg9RI6jx9PhZRTLNt6EWnFFgxoZEV2+H2CTwfzrrgy7tMX49YgnwO+qwhOsGWI1xjq6STz6+7dXIkxoEnnZlSyUKcg6R0PH71CqVInxo1uT86NfWzf+4A6bgsY51KJkqwIzuwNkNdQ9B/dk/zbgawMTuOX7l1pZFzMyzvnOBryBMNag1i0whXl58fZefQt7aYsYUijMm2j0iKiH5zBb/kq7pba075zeyxLMrh95gRXIotpO3EJq4c58eBwALtlQLFgEV2qGiLMieVGkB+rAq6hW6cbLr/YIU2P4s7Fa7xSqILngoV0NYnnqP8M1lwX0a7PUKppJHEl+CRP040ZMscHt+rZBCwYjt9TY1z6dKdZRUty455w4fwTVBsPYfn04VQ2KiPCJgOKWzKg2IT5MBlQOMuB4tJ+PzZfFjF1gzcty2uSE/eKg2sXEVz4C9t8+5N+bhszV+1HWncIQxoa8e7+Rc5deImhyyx2z6nPpS2rCXihRo+2LbAxKiUv7iXXz10iq9JgVi/rRfrRpUz2f8wvExYwxKUZNeQiCu8XeQ3FxvFM2PqKaj170Mm5FhqiOG6fCuGpYi3mr1pIC6Mk9i2czr5QU9oPbE9VCxWE2Uk8uHKRZKuerJw7HDudL9uiRQWZ3D+8hqne+1Fs2pNBbeujJxaQ8vgmp868ovLIpaya2wUtQSrnfVxZ8rw2u4IWU01N1lBRQvLLEGaP8+DQcyl1ph3k9vw2XwDFsxMrGLcugnkHd9CpzHSLuCSXRwcW4LrmPNU7utKlpikJT06z99I7Ok7fyZLBziCIYvdiT5ZfEtBvqBu1jAq5f34vweHqLNoezGBnDYpjrjNh7HiuiGoyrn83zEXRnDi0lXDD7mzbso76ZmXegXKg8KfawPWMORDF5A9FmVJxIW/uXCBOozrN69l/0Ub+rTfot4Ei4z4TPSYi7X2A9f0rfKVD8XkzCSem0mdfASv8NtDMQuW9UmbGS/b4zyTgRARZsmJJHVNqDvRimXs3yum+V8rMfnWcNb4+hNzJoECsiIF1ZVqOmcuC7rXQ+CCx/O6CN0v9j/L0XT4lElUsarVgqNd0Btezlis+/lPLb83BpMTc2c/6zUe5/TwSQUkJCihjYOZA9zFjGdG1OSZaGogjzzNz7nbMBs9jVKtqGGq8b0sqTrqPz7Q5HM2sxIJFM2lfuxwaH6c8ShPZOmk6r8x7MtXNhfImX+qfJtzfybrNgVx7nEJeiTJGlWrTzX0SI1tXx0SmvFhayMPglfjvDOFpRC5CqQblGnfEfbQ7Ls7l0VFVRJwdTvD+Vew4fJ+o1BKUNY1w7DyMaaP6UKu8oVxh7TNQpHJy40KCc2szelgv6tga/jPCVqrwImQT63c/oLzLSEb0/IXyBp9BJ/nxUbx99lHi0Inxrr2pbmPwH1HK/FaXR/jF7Wy+GINTu8H0aVED3TIzc3EP97Pe/xi51h0Z7dabyopR7N+2lf1nb5OlYkiN+nXQKSrAuHIz+g78hYQze7gWrUXnIYNoZifixvFDBB4O5klMGkUiKVpGFWjasR9DB3Silq0mT09s5djDTJy7DaNb40r8ftmqlOSHR9l+4iZqzr0Y0a05pvLwikl+fptjgTs4euMJSblilDTNqNqsG+6ufWntbP1Nyd6yz6I4/h679+7npWo93EYOxclQSsbbq2zZ6MfeX1+9T21+WqQoq1eim9tYxo/viOIfAEVu9D2O7DxMhGYtRk4ejGH0HfZt9uWCoAKDJ85kgFMJV0/s4+gDIa2HjuEXzShOBGxl76+3SCmRomFigbmBLlpoUreXG6O62/AwaDOrtt/EsHYvJnr2x1LwkN2bdnMlNJLsQoncNqBKgw4MHtqftg1MeXvhOIdOvKDGgAkMamEnH9CvHA/iQmgp3ccNwSL1DltWbeXC2ziEyurom5tjoq6JrnEl+nqNxDTuJsdCIvnFzYtudcy/eIWJ8tN4cukYm7cc5EFMCqjpoKurAYpq1OzqifeoOrw8G8Sx27l09/KkVUV9eZ1FWvQzTu7cyZFLd4jNEqKoaoB1xYb07deb7r2aYirOIuzGSbx9AniSkIeRgxM1q9mjkJxO1d5T6O2QQeCyyQTF2lG1ci7PbkbJW1ZrNO6Gu8dQmtWw+PKZFxcT/egyu7buw6T3PEZ3qookJ4nbp/Zw4JaQUYum0tBSg9ykcE5v9+NKYV2WeQ9AOfYpgevXs+/8E6QG5jg1aIR1cRI55p3xntWOnEfBbNyyk4sPkyiRgoqOHnaNXBg0xIP+tXSJeXycuQvW867Inv5TlzGla6VP8SuR7X//KtafycepWTFXDz8mS6SCZeUmDB85lj5dqqMhLiI57Aqb12zh/IsIcgpLUVbXwc65HcM9RtGtif1XbdbySkjyEkLZv2Mzh08/Iim/UH7/amqbU7uNC+OnTKSWqSbCvAxuBkxj47tqLF8/hcryRIdsCiKNazu9mR94n/JD1hDk2fQzUJQUEHZ+K4t2xDLOTwZhZd71UlmG4x1Htsxgy9G3ZBaBmq45tfp6MM+9Lw76Ssik3DPf/IrfuuWcvJFBsVQZA6vKNHOfybJ+DeRT4pJSIdHXNrBo3R4evy1GrKiORbVG9JsynzFlgVZ+uKUInwfSaeo++q25wijn94cqKUohcNpAzpuNY+O8XnxPr/fbQFGSwd1bd1G0a059O93flbMuiH3I1Qgh9Ro1wlRT8dNLvVgQSejd58TkSNA2rUi9BlUw+kojQpDwkCcPY0gXqmHhUI06NWzRLDuaSUtIfHWbF28yyZPqUbm2M062Jih/aEX9zwHF+/m5nPgonr6KJCM/HyVFVawrVKeyY3l0Nd5DkyQviUeP36FpX5OKlvqofTxuqZCk13e5l6xK7Ro1KCebMvk4iEsLefvwAVkattSoaI3Wb+pERKRFPubVq0QyizUoV8WJapWsvhBmkYhyiHv5lNfRGRQpGOPoXA37ckZfQJgwL453T18SkVKEin45qjs7Ymms80Ua8f3dVEzs66fECw1xrGgrb+H9a4Ks379aX3h5KEH0i+u8zdPEoUpNbExkIj1lhiFhPpFP7xJXooN91WpYG30s7v3+fv6VNb4vbGWMIPEdb5LyMLCyx87C8IvjLhUKiHj4guRimdx8FayNNCmIiyQs7C05qgZUrlQeUXYG+TL9AjtzChMjSM5Tppy9A+b66sgU+mIi3/ImIpH8EgnG5exxrFIJMz1NuXhQRuw7YjJKMCpvT3nTr/QDvjrxwowY3sakoGxkQ0UbCz53BorISY0jLOwdCenFqOtaU7lqJezL6f1QVlBakM67iEhyFI2pXMkBfTUpRVmJhL16RURy7hdTMTIhH1mGwtaxKlWrWpEjAwqZsJXjb6c8ZANu9LtocpWMqFTNHo2idKLevSRDrI+DUy3M1ItIiY0kNr0Ui4pVKW+oSFZKNK9CX5KcJ0HLojzlTbSRZqYi1rPHsZIZRamRhIaGU6RuTfVqVbDSg4zkaF6+iiRNUIyOoRkOTtXl3goqUhGZSTFEx2VhYOeEvbk2EmE+yXHRJGZLKe/oiLFaCYnRr3n5OppCJR1MbMphLhOOysrHoEJVdEVpxCTmYVbRCZuyXUpSEfnZ6cTFJJJZlENWWjalKhqIBDHcvHAHJechLBrTgpLkaKLTRNhUqYqF7sf0vJgCQSpvX74iIjEPVQ0zbCpWoXpFI5Q/SCuICwQkhj3nZUIOhhUqyvVnEqLj0ShfHaP8F+xdNZ/HOiOYMbUeyU/DEKnpU7VGLewtviGLKpN8zkgi/G0k6ja1cCynh1RYSFp8BJFpEirXfK/pICoUEBf+mqRSY+rWckCjtIS8+EiePH9Lka4JVas4UJoaTaLUnHq17FAWlZAZ/47QZ2/JkoCKkQkOTrVxMtWRi3GVFGby5tlDIjNVqFCtDjXtDD+9i0pl+48K5W2KGvbVTIl5+pjUfCl2VWtRu3K5T+vJBuHcjBiePH1NmqAEDW09HGrWo5KVwe+DsmygFaTzOvQN71LSUVBQxNCoPJVq1MT6g/a7RFRM6rvHhAn0qdfQCd2P73OJmOLMSG49eYeCdX1aO31OCchksXMS3/A0vIAqDepg8ZX6p6zeoUgQS9iDp0RlSdEyrkDdBk6Y6nyelpEp3+YmP+fp/QjSxOqY2zlRt5ZMKPHzy1IqEZL89hbPXmSQr6RPxZrO1Kxo+k3BMlmR8YX74dg36MjHchJZ4WrEw5skqTvS0Pn7EvU/3Ua/M8L8tC//V4bgH//t/0W3UVmGYt24xZyP18XFbRi9WtamnInuF34oPx6B/901peIiMpJieHTxIAePPEK32QhmfqWU+f91dCS5vLpxioAtwSjVc6Gtsx0UpvHs9q9ceVVCt/ELGNXe8bdf0H9DUNLe3CJwxTye6I/Cd90gvsyb/A07+LmJ/6kI/ASKn0DxX3HD/18EitLi1+ycuYStQVdJdGjD7BlTGNnO+fuOnP8VEf/vOQixIJ5LB9fjs3kf7wqq0W/cZCZN6viX/DX+e87qzxxJKclvbrHPbwl7L0STnV+ERF0VHduqtO4+Eq9BXahoXKa26c9s+jvrZoQ/IMhvBaH6A1m0uDemf+O2f27qfy8CCsXFxR+9U//3zv4HzjglJQVDQ0NUVctUAP/A736u8uciUFxcTFFREVpaWv+1sZal6LOzs1FXV0dTUxOZI+izS9d5GBpOjqE9vzRrSm17c2TGrz+XH4+ApFhAVOgdbj54TpbIkpoNG9OoocMnM6Yf39L/3TVlqemspEge3bhDWFwGpfr62DjXp1lNZ8w1/l0TjVAom456eJs01Rq0aOn4ya/i/24kfx75fzICCikpKT+B4neugMwMKTc3Vz54KCn9HCX+XTeqLM4ikQihUCgfrGWx/mjp++/a51/driyToqKiIocembiUiqoqKspKKEhKEYqEiEslnzqh/uo+/td+J7v+SsqqqKgoo4hELpssEol536D+P7IoKKCoqCyPgZKSIgpSKaXi93EolZlG/ZsWBUUllFVUUJSKEQrFckGvn8vPCPzVCCgUFRX9vIf+ACg+Zihkg8jP5d8TAdmAIstQyAZrmUeGLNb/jUAhO6acnBzU1NTkmZT/xmP891yhn1v9GYGfEfgZge9H4GcNxXdi9LMo8/s30d+xxv/FGoq/47x/buNnBH5G4GcE/n+JwE+g+AkU/xX38k+g+K+4DD8P4mcEfkbgZwT+cgR+ByiEpEVEUKRnh41JGXkcaSkZca+JSi38tENZL6yWiQ0Othaoy7UWJBTlZpAQlUBWsRg1LWOsK1hhqFXWWlyIIC2F+LgUCsTK6BibUc7GHO0y0p5SSSFpcQkkp2VTIlXHxNoaSwtD1MtIrhZmJpCep4yZtalcZ+HfUbr0dYaiJCueqDQx5jbW6GmofO7nlZaQGhNDmlSPiuVMUCvNIzomDqGWlbyP/bMYlxTZcUelibAoZ4W2KJ03MalyKWPZ8cvS/7JFlk6XSiUoqWphXcEBY10NlCkmKzmZpJRMCkVK6JlZYGlpjLbqe+0L2VIqyiMtPonUTAEiBU1MrC0xN9YvEx8JJQXZJMclkZFbjJK6HublLTHW0/qGW6uE/PQksotVMDQxRFNd5d8SY9lxfw0UosIsEqKTEWsZY2lhjJba5xqW0pIcEqJSEGsYYP7V//7yk/ADP/xah0IqKSI9Np7kjGyK1fQpb22FnmIBCUkp5OSXfN6ibA5cVRUdA2PMzUzR1VD7vkCYVERWajKCEiUMTUzR+5vN8GRqfFkZAqSquhga6X0SNJMU55KSnEhyZh6l8iIGKSgooW9qjZWl+Xc7WKSSYnLSMygSq6JvZormJ2EvKcWFAlKSkkjPykdRWQsjc3PMTA1QR0ROeiIJyekUS7UxtbTC0kJf7mHwcZGZKWVnpFEgUkXPxAQdbfUyMZQiKSlCkJmNQKSIrrEJhl/39X/j+krFpbIHDQWVv+YLJFMPzs5MJ7tAipGlJfp/4C8k00DIy84gM6cEXTMrjLR/TqH+wCP3eRWJBIlIjIKqyqd35Md/SsRC8tITSM5VoVylcshsK/71RSp370xJSESsa0V5U50y7/pSinNTiYjPw6i8HeZaCghSoogRKFLe1h5DzU/CQoiFucRHJlCsV45KxgrERkWSmlPyXo9FQUGu8SSVyKoOZH8K6Fs5UMHKECVpKcX5mSRGJZJVJEJVywhrO2sMtT+Po1KZDHhGCgkxKeRLlNAxNKecrTk6H8Qh5U+vpJD0+ASSUrIpUVDH2NIaKysj1L8RI6kkj/jXcajZOmH2pabiD4fzt0BRWkxK4kO2eM2lpHcAywY4fFbKFGazd1ZnZh1NRkNNWf4wiorzqdFvARsWjcJGSxmhIIbLJ3ayY2Mwz9MKMSxfl26eHri6NMJMW1U+IOUk3SVoxy4O7b9GTLEmDvVa0m+SB/3rVUJLJm4lFZPw6hTb1+3j3PVQMktNqd+9J8NHD6KVgzkqFJEjKOb1uc2cfmFM3/FdsNY1xlDns43yD0fgOyv+xhzs9GIm7s7CffkcWjuYfBYEKo0lYNp0AoWt2DNvANYFD5g6Yy5vTQawbNpQatoYfPA7EPHy2Aom7EvHc9YUagtOMnJhIDGpefKbq1QsBmT+BopISkVoWVbBa/lGejewoSThGge37+dUyD3i8jSp0rw9A0YPoaOzA3pqykhFhbx9dJJ9Ww5x4f5b8rCgUe8+DBvSnfr2FnKzNmFeIvcuBrF32wnuvktD1bQKbYcPZXi3llQ00/ssbiUTsMmO5cLODdzJq8bgET2oYWv0/YHwLwb+a6DIibrBxoX+vFSrxdBxg2lR3RoNGbDKhFbuB+G/+jyajXszYlh7HEy1/m2gU/Z0vgaK0uK37JmzjO1Hr5JUuQ1zp0ygidJTlq8L4NqrVNQ+KgvJ4FBXhwrOv9Cr/yC6NHbGUvuPu4akojTObPfnSrwOXQcNo2W1v6uhT4qoJI/wxyEEn36EQc1OdO/RErMPXYl54VfY6r+OXedeUixRkhvMKapp0WLARMZ5uFLD5PcvsERcRHrCI07vP0aKSi16jBqGk9xvSUpxQQqPbpxl9+4gbj6OQVWnPPU69mDwkB40Mpdy65gfazfv511edfqN88RzYnvKKgPnRt/l9P6dXI9Qo2mfIbRv0+DTMcsUYpNfP+TMgVM8FVrRfqgr3Wro/+GdKC7MJT0inkKpBlY1K3xXUvhbGxMKYrkaHMSFlxK6eoyheYUyNt9f/aC0OJ17544txUUAACAASURBVII4cjGGX0ZNoWftn4oPP/qqkJaKyE9KID48C8tmzuiXGTBl2yjJSeTWvuVsuWnG/APzqP531M9LRGTHPmWz90qyGk9lyYhGn5RnpcI8ou/swn3hLbovWY+7szI3tk1g8hkxE+f5MKSFDWoyppCKECTeZtGE5UQ3m8OeQZp4T5vKnquxaKorI/sYl8nPy7xsFBVk4K5Iq/EbWDW+HaqCeK6f3sGOjWd4lpqPfrl69Bg/kmGdmmGlrSr/bXbiI07s2cn+PVeJFWlgX6sVfSe5M6hhFTRkw7NESOLrswSs38PZS8/JVjKnbsduDJ84knb2Jl+IW4lLcogKO43PpJ00WHeFkc5/jcrKAIWUwuws4iIfcnDHKtbtuEG3rWHsGl4RpQ9fzZLct0zr3JAQSUuaVDV+X4ksLMK2+SBGD2yPiaqYZ0cXMWr+HjQr/oKjuSaCmCdcTdZm/rqdeLSsgKooi/1LBzPvSAzV6jTCXKOU6Be3CNVtyaFtPjS104PMF8wd3Ysj0RY0qFEZbWkO9+7fR7vVVPYsdqeCZhTnTj3l2aPLhCaZUa9NBUwrtKV3k/JoqP69sty/sS8/6Mkg/3SmbPOhSxULND7uThyBj+soNhZ34te1btjm32CkuyenX6gydMVmZgxsipWODKhKeBw4kwGbU5i3aglttF/hf+AyqYIiFKQFvLh6jQytStRztkNbRQF1w3J0HT6GRpaF7F7kxvZbedg5VMFUQ0TYs4cUOvbGZ54nTR3NKY64xNyZ07iVakDFCnZoCVN58CqGqj0ms2BMb6qYq/P2wmZmrthJuoot9tbGiNPecj9JkYFeixjfownmuqqICgtIT4rk6q+B+PsfQNJgAmvnu9PQ3vgfAwpEOdw+vpHFq86h32kk00f3wtlCC0HMLdYvWsZDURVcJ3rhUqcCP/Ax+qPvrj9c7zdKmUUv8Bszl3034jHt1J9JI3piEX+S+X5HSFKwxNHGFDVFqbwbRFyQzduXrxHatmba9In0bGz/hYrm1zuWipIJWr2Us9H69B8zjo61Lf/lc5ABan5WOm+eX2Pfjs1ceFNKzwnzmTjQBXO5RYeUuJv7WO27lcfZulRysEYFCQrK6tRo3pXOHdphK7OG/s3BSijKExAb/oTTR7ax//R9HDpPZu60iTgby1R983l58yAbNgYSmq5LxQpWkBtPaHweTi6jmO/RieKwc+wP3MWlR6U0HOTFnLm9KON2gSD8GttXL2HdqTAce3gwbfJM2ld67ysizo4k5LA/S9cdQGTXnWlLljOwbhnnyG8csuDtHY5uOkykbmPGLulHGZukH46zuCCNF/dv8TRWQoMOHalmrvm7vy0tSuHa0Z3sOhVO+ylLv/Ty+OE9/m+uKM5N40nQNvwP5zP2xFIaan+ZUXpvDjaDVRctWHfJlzp/LeH0ZXA/2ZfPIKOVNxs9W35qqZUKBby7vIHuEy8xeON+pjZU4cKa/vRZ+4J6PSfhu3oydc005RbqWbGX8RwwnYg2a7gypQKHd+zgSmg6asoSMqKecydUQO3Wv1BORxmpgiI1O7szwqUyUSHr8Zi9EYltc6pbapKbEMa9ZBXGem9lSkdHpPmpnFg3npl7nlGlTgustETEvX7IM5W67NuxhTb26hSlv2LlxN4EvDTgl3o10ZLk8OzRHYQNJnJy/RTsdBSRKXYKUlMIe3GBLWuXcexRIcvPJzOx7l+718oARR43Nu/FPySE7BIR4WH3aL74PruGV0bxwzRDUcIperWYT+3Vx1nYrcJvpJol+VGsGNqGfcqD2LVuJvUstMiNvsisUa7crLiEm+sHoRl5hD6DZ0NPbzZO7o21lgIR1/0Z5eGDlddpto+oQWawJ23m3qXv8k1M71IHXcU8LmzzZMKmOMb5H8StdiFn/LYSeO4czzMNqOJUl44ebrj/UhHNv1kE4GugiDw8iYEb0pm6bQ2dq5h/BorSSHxHjsK/pCPn1rphJwMKj8U8y8oFgyYs9JlPh5o2aCqLeLJnFgO2pDBr+RL6NC7rNpqIz8ghPLQeyXLP7tiZaX+6qulXVzNo9jHsBk1nxmAXbHWlPD65gqlrrtFwtA+TetYido87Ew5n0strDqPa18ZAmkKQ7xTW3NLGa/4culdX4eA8NwKTKuI5dQoda9tSmnwX37nTOKfQlbVzXWnooEfMzRvsO3SE2+/iyUgNQ6OBBytnutLQ/p8yB/vwuVwQy1G/Jaz7NZnO7lPp39iUq7vXsv+xiO5jpjKgdQ2M/j16P998mr4tvb2cB6U1GT/TjeZV9fjavlzvw9eSpDCLm/vX4XPiBbUGTmBs3xZo5meQJ1REV18fbXUVuaFQTqYsNamGnnYhpzcslwNFP49xdKxlgUziV5CdSWZOPiJZilPfECMjPdRlU4VSCYW5WQgKS9HQ1UdP67cy6fkpsVw7dZKDZ28SnxlLnoohHYd6MWFghw9AUcTTY9vYcOwNNXuNYkKvOj8EkKXF2Ty9eIE9B88SlhpHRl4+jm2GM2vyeGoaQ2mezOFyF2cf59G4vxtdmzpQFH2HbT4ruJlXkdFzFtLZUZe0J0fYvP4QWZX6M+0rpUxBxFV2+vgTdC8O4zr1cenkjlv3mqgqSEgLu82xg7s4fiUUFaumDJk2lwH1jJBlTAQ56WRkFyAWK6GmqYORiSFayhJi7gaxzW8vcSadmDxvME7GRmgqlVKYl0N6ZjZFQlDX1MXI1BAdDVUUpKUUFeQhyCtAqqCAsKAYBVUdtDRAKJKia2QkN/kTluSRmZmOIE8ECqpo6xlgZKyHqiid68d3sSs4nHaTljCkYVlcen+7lYqKyc1KJz0nD6mSOhoa6nKgU9TQx1hPjeL8XAQFQpQVSsnNF6GlZ4KpiSaS4nyyMzIQ5JcgUVZBR98YI0OZ3L8UcUmh/J4SqRlgZqQlb8stKcwjOysPFT0T9NUkCLLSKUYbbXUxGTLZbwUVDIxMMDDQ+a3qq1SCsLiA7JxclLX0kBZly6dxNHWMMTPVQ0GWYk9JIbeoVH58siktmWx5viCLnCIFTMxN5FPjpaIS+bkWoIOFmR4KYiGFWWmkZ+Uhc0dS19DB2MwMLVUFchNfcnbzIvwuajFl1xJa2FphXGbKSAYUl7bMYNUFS1YHL8A6I41coRRdPUNMTI0/6cLIvupl070paVkUCiWoquliYmGMruz6fv3EfwSK6XPIbLUE/4ktvgCK8Msb6OF5iYGbDjC1vgoXfYYxcmu4fPq4nesSFoz6BR1FEdlxl/HqP513bddwt6x9eUkeoSfXMM4vggV7t9HO7uMcg5SinGi2T+jEptwuBGycTxNLdbIjr7Fk6gQuGozn0nZ3NCLPMX6kJ8ktFrJ73jAsVYVE3A5g4thlqLie4tSE6sSfXUjHycG4rNjFkt71UBPncHP/LNyX3GPotivMbW2AuCCBw8s2s+v+U1RVCngYlsi845F/B1DEsbX/ckJrN8XDxYD57qPQGHmJvR/cRmXxzrq/ilaDTtB/7Q7aWhRSChha2GFtZoi6igKFCZcY2mE85WfsZ0X/WqjKTbyEXF4xCLeTFoRcWYXypRX0nv2AOUG76eFo8gFKUljdqx2njKcRvLYX95b2Yuqjmhw9Nh9HXU15aqYo+Qoju07GzGMzSwbXQxx5Dt+le3mdL8Kq1Qjmurv8xi/krzHWl7/660BxnREefui1b0Tykauotx3NQq8eOJip8GzvzN8BilhWjxjGA5nbqFevMm6jYu5snMj0YAlzfOfQqmo5ZOOoWPCcOSMmkVFrNHM8mnF14ShOiFuycPYIatsayeOW9CCQCXNO0mjcbAbVFrLGczGiZu5MHtYBWyPZF5WQuztmMetoEZ5Lp9KhtgmPtu3lzNt86nZ0JvbCJi4VNWG253AaO/zDQAEURF1l5bxV3MtzoIGNiOdPUqk2xB2P/i2x0f9j58u/4/qX3cYPuY2e8mHF8dc4dx/NiA710FOSygcgSUkhby8FsOLAXew7ujOuX33CgwO5Hq1Oy67daVzFFFFOBMEHjhOn7ECHLrUI3efL2UhdOVB0cNIm7uVdgoPPcPHBawRF2lRt2JJufTrSyMkOPWUhLy4e4dfnOTi16UqbOrbye+TzIiHt1UOCD18m3dCGyuYp/HrpMYYNB+P1wW2U0nQu7F7HzivZ1HbpS/uqOoiVVDEytcTM2OB3s3/F2VFc3HeaB8lK1Gmix6OLZ4nWbML0SROoaSLzWMonJTGZfLE6xgYa5Gcl8PLBLUKOXkdk3wqP6SOobapOynfsy3eu28GdRDFm9obomTfHfXw/bFTyeHr5NKd+vU5sZh5FCpZ0HTuTfjXViX9zm+CzR7h0LxyBQBNzu5p06t+TJvZq3N67Cp+A0yRqVaHD8NF4Du5OBWkMV0KCOXnlPrFpEqwc6tChXzfaNXHGQlNI2L2LBIfcQiBVIi0qHaPKzalbQUh4YiltBg2ipl4+z+6e5siZszwNE6CgZEyV+q3oPagbDWyUuXdyFzt/ByhKhQUkvL7PqSMHCLn3BpGmBTY2VhgoK2HVsBeuHSvw5vavBF8PQ01aSGiEiMadRzKkqwWRty9w9tQFnr1LoUjHkGqNOtKjRw/qOxmSF/GE4EPHyLDtjufghqhLioh5cYMjh65i7uJBlwr5nD+wncdFlXEql8bZo7fIVzakWZuedO3bkcqWel/6XJQWEx92n2OnzqDsUB/h2yucvZFExVoyI6/2aOU+48CeAzyKKqBKo24Mdx+Ms14+D349RPBLdUZOcaWKvjJ5KVFcOBDAA8WmzJrQBnHMCy4d2E3w1ZckS5WxtqlOh77DaN3IhuRbe1gwawmX4zWp3rkXHhNmMrzh5ykjOVBsnYH3KQ3cZjfk6f5gXqSLqFmrNT1GDKV+VQs0EJOfGsHNkOMcCLlFTFoJxpY16TikD11b1MX865qWPwMU9VS46OvO/NsGdKgp5fI1FWYH+dDVTv33gaI4j+cnVzBuQyRz9wV8dhuVihEk3mVKL3cUhu9k85hG8viLi/O4tXMq4wJLCTy/AcPH2xk26STDdx7Cta5sclCKsDCJgDE92CZ05WbgYO6vHsGYM8acvLIRJ7k4moTirEeMaTsA8ZC97PZsiDDjHssG7URlZD/6mb2ii4c/4/ZF4PXBbfTPvkPLZChE5KUXoGykj0bmLfp07omy6zX2lQGKyD3DabrwAb80aUP4w1/JFEqo3d4VV9ehtKltSXH4Ljq0DaDnriC8Wlih8sEQ690hD3pMT8cvbDfa+6bTd4cCh4+toW45rU8EfHJSLZaGDSDo6BCujOrDGo0R3PUfjIH2+9eiRBDJ3J4uxLVch9/kdpSEXuNahiUtTF5y9JUWnXu3pbxO2cLPPxuKb6//rwDFcLd1OIxfRqO0o3ifjae/50IGNXcgMuj3MhS/BxQ5nJo1jiWRVdm23J1a9ibvibo4nU3jenNTewBzpzXgxPiZPKoyghWeXXA0f0+8BRG/Mn3MGgyGzGRw3WyWeh7AbsBkxvRphKXO+9xgTMhiJix9SdeVC+nb1BG1/EJKldRRV0pnv/d4Dmc1YKbniP8IUMgegje/bmTW/PVcep1N86ELWDxlCLUq/DMOo38WKF4F+7J4z010q3agQ30HNJVkAk2KFGXGcP7gEd4VlWP4rMn0am3JxTWLOPZKk75jxtG1YXlK0p6xefkG3ig7M3JsR2KP+XE2Qod+HmNppP6MDavXc+pxKmoGBmgoSMkvLsW6QSc8Rg2llaMBry8f5fyLHJxad6VNbZvfeD+UCksoKSlFSVWFtIf7WBV4Hq0GQz8BhVQQwYHNK9h1KRpUjBHEvyRPRYcGrfswcEAfmtQoJ5+G+3qRFRyWFAqRKqqglHaXDR/tyz8ARdn101/8P/bOOqyqrevbN93dIYqt2IXdrcc4BipioaIgiqJiK4qFImKhglhYWNjd3d2CgnRtuvZm7+9aW1Sso+e855zne9/HdV37r71i1przXmOO8RtHWL/aj3UnY9At0woXN1ecfquGvprSTwHF/XwjypXTJFNkTh/30dTViefYrlDOPUtAU1OB6DglOrhOp4vBK7atWcmmcy9QN9BHWZJLekoaenYdGDykB6q3N7E0+AjxWhXpNNiF4V2qEXNyLf6bryIxMEVXRZHCgkJUrOzo7ezOsFbWPDoazPx5q4hQKIWNdSXqtWpOaclTzt6VMHCGJ2VTL7JiwXIuJSpirK+GODOV9DxlavV0Z5Z7e+LPbiFo/8uvLRQyCcmvrrN1+QKCTr5G09ICLamElNgoEqVGdPFYwLIh1bm9ewXz/PeQr1MW63LV6di7D3XVbuHrvY6neXqYm2lSlJ9DZroCVo0GMGuxMxbRV1i7KIC46q6snNEVbWk2Ty7sxW/RLso6L8alRiYhc1wJuqtO+UqQn6WBOFdERq4m9gMn4e3RHWv1Ek4JklxeXj/C4nnzeK1aHj2FLFITM8nKzcOqRiNsFNKJiE8mOyOJhBw12oz2w39AGU6HLGHtFQ3mBflgb6pG2tsHbJk/g1NK3Qle2IH7m3yYseo4ShZl0VVToDAvB7F2dcYu9qZqzB7mTFvIuVg1qnfpxfAxXgy2LwkU0ZwOHI9n4FtsG2iQl6ECBblkJGWgU6cfiwKmUF9DsBB6M3HJGRRLWaMnt5JIyNO0oJ/HbFw72JVIkPc+02jq62ss+hkLRX1lTvqPxOdBLQJmNGHTLC8SG8xg/cSuKKec/baF4rtAUUByZDiD2vlRa8VuFnYt/X79E+fy6tB8BnvdwetSKLaXluLoE8vy8CDa2RZv/eVnc2ZBJzxPtiD8/HhujevPlKROPN4zHh15F8oQkuz59qnNlUpr2LW8B9pF+WSJCtEw0kJ6ew3VBvjjti3y7wCKEq990mX6/PY1UFxd2hHHoCjK12tERSNtFArTuHf8NKI6o9gRMgXbpFDatdlI7y1heLSw/Bg18GqXCz0nJrL82SZ0tkym70Zldu9bQl3rT0Bx0LM23g8dCNvnxJmhfVmm68y1FY4fgUKWGcmM39vztoU/yz07YqwhePv+PdDwR3f5HwHFcH9Kj13BhMZKbJk9hmNF7Vg40xkuLWbg2gSmfLXl8T2gSCPcawzz3lYjaOEIapctBoqCZALdenNBsx8zJjVg35hp3Ks2jIXuXT8BRcRxvEb5ojtwCk71RMwbt5Nyjp6M7t3wE1Acn8tY74d08fXGoakd+h/atTCeLT7FQOHxnwKKIlJeXcBv4nS23smj+4RZTBjUkbLGmv+KI+afBYpnR1cx2SeQSy8z0dZQhcJcsjKyKFDVwqZWIwYNdGVQ91bYmOYS7j+XvU+16D3SlW4NSlGY/IC1vit4plqLoSM7EbVbAAo9HEYOQvV2EH57blK+8zCGdG6KmYaUF2fD2HTsAWU7DMWlbzsstX7Wf0jKu0ub8d3yOVAUJjyQ+zGtO/kMTasqlDfTRZwczePH7zBuNpCJk4bTwERGRmaOXBFUUUUNbR1ddDTV+RB8JXlzAf9Va7in1hSvbwBF2utrXL54lquPY3n4+CWKZZoxaswIOtWwJPkHFooN/iE8V7ajSSNNntyMpmYPV9pZxLIrdB8JquUor5PAuVvZdHCfShudN5zYd5U0rfLYNy1HUcJdTu8N5eQTTXpMmsOQSu8ICdjAG/PezPTpTc75nfj5BxJn04nxIwdQ2VCN5BfX2b0jjGjjZkyc4EThlWAWLw7DqPd0Zrv1xDj/NUdCg9l3twjHyW6USbnPsYMRmDRsgl0ZJd7dOc7uXUeIN+jInMWDkd0JI2jvi6+AQlaQxNX965gfcJjSjl5MHvobprnxnNgcgP+Oy5R1nMky5xrc3haA78a7NJ60lBl96pAffY+dAfPZ/kCV4bMX0qe5DdLkSI5vWYP/vue0HO2Dc/V0Ni5dxjs7V1ZO6YyWNJunl/bh7xdG6cGLGVUtjaA5w9n8qjqes6bi2Kk6OdE3CPFdzr4oC2b6zaXre8/a94ckj9fXwvGeMpUoOy+WzhxORcVIdi6Zgd+BSFqOX8zsoc2QRp9l3szFvDBwIHRxJ+5tWUrgNU3mrplHAxNVRFEPCV08gxNKPVk7tRFHFkxn5UUNxix2p215fTITX3D8+ksqtxpMl7L5nN84h8UH1Jl3dCVNtD73usxPi+bUGjfGB72j66QAJo9qiGFOIqdD/Jmx8R49ZqzEpa6I+S5DuWnlwMLJzlTSVSY76RV7V/lyVqUNq3wnUUW/xPvzZ4Fi2QjmPqjDxu0eSA/NYdSSR/y+KIhBlV4zua8nL77c8vhDoNjLwDYB1Fmzm4WdbT4CxesjCxjseRPPy9sof2kJ/ecnsPLAetqW+QQUZxd1YsKRZuy7NJ5b7gOYmtqVp7vHof0BKHKSWNqnFhfLr2Lnil58dIkStoMEoHD8F4Ei8vJWzsdp0ahtJyobaqAgzeFK0BQc59xlWvhu+pqeoWvrQLqu34ln61IfLRTPt42g18x0Vj/cgNb2KfQNkrBtzzLsbT6knZayd1xdFr5yZPcuJ8679GaxykAurx6C8UcLxUum9uxKXLvlLB/XDqO/OYzue1DxbaBIYWLQErpW/tqHYr2kGweXDKNM9nmGDPfHxs2PCb/VJPPaejymb6OWy0waFx7FY3PKN3wovgcUGRya4Yb3i0qsXeRC3XKm8sVUlp/Aatd+XNUbwIyJ9oSP9eJmxUEsHNuNKhbv/S+yXx5lktsyjAZNxaleOj4eW7BxmIBb78ZY6r4PXYs8PIexi57RY/Fs+jSuit7/R0BRmBXBgRUBhJ58QVpeLHlmjRgzfhy/N62K7t/sgPsjPP2ZLY8nh5YzK+gUijb2tKhRBsXUV1w7cYYH2UZ0cfXEpVdLyuipgCxFDhR7nmrRpyRQLFnJM5Wan4AiwgCHYW2JPbSe1ftfYFGpMrbG6ghBxpKcRB6/ElGt4xA8RztQ1axEiPcfVubbQCHOSuDp/Zu8zdegUs0GVDTVQ5z6hr2BS9h6NY+ew4dSXS+aQ0eukphRgLpZOVp27EGHhkJfFK83PwCKj8USi7h9KJgl6y5h1XEUM8Z3pvAHQBG8bAOvdBrQ53dbru85Q1GF9rQplcKx47exaNWD0mnn2Hkmk07jZtCnahH3Lp/hwNHLvIxLQ5QQy7uoSIqMGzBq+lycKkTLgeKtRW9merflze71zFm8m0zTKtiXM0AshPJJcoiOekeRSQMmzHDDIOIg64KuUMt5Nu49qiIWfQKKgV6TsddN5tyRwxy78oTE1ExSoiN4k5hHhZZOLJjvhPQ7QFGU8owDWwJYeUMdT58ldK0gvJeFRD04wZrVm0kuNxBfl9rc2rmekGOpDJjnQ88ausQ8OsPaZSFEWzmwfHZvDOWvs5TY+2cJ9vUjqpIz43oYE750KVHfAQoXOxGbF0/llu4wlgUMlTvCyvLTeHB8B37rTlHDw5cJHSp+8qWR5PHySjjLFq7EZOAKZgysB6JozmxbweojOXis9qVdWR0y3j0lbLk34TnNWePThftblrLmmibzvgEUG+Z15tmu5cxedYAkVRMqWltgWaoa9m1a0apJTcxURFzY6M2iA2r4fBMoBB+KSSw6YczSE2toKKyvcqvPDQI8J/G2wXi8Ombh1ms2qZWa0aaCLvkSKQoyCSnvXvA8vyr+G5bRvpzOp7fmR0BxdiW9Pc4wcM12xtVV5KQAFPfrsClsJqUzHhM4yZ2DOU1ZOLUpIeOm8Lz1Eq6W9KH4A6BIeXOQwe19qbYsjMXdbN8DRWEuLw7NY8i0B0y7uBXby0sZMC+apfuC6Vj2/XsvbIuc9OmE17k2hJ8Zxy3PAUyJbcf9vZ7of7RQxLGoVwOuV1vDTr/ufKzxvw8U+bx78pIcbSvK2xiiXGweSL8bSr9ei2i+8TDuVSNxbjcGywlbWOBYB03Bh0KWz+mFjrgcKsWhM4tRPbWAPjNv47UlhF41TOVWDFlhPH4D2hNu5EX4st+55dOLCXdrs3vbdKoKjkQKkBN1ihF9J2MyMpD5jvXQ/oOY7x8tDH/m/y+BInq/F719I3Bd6Uef2jZoFW/rSHMes8B5JOetXNkwpSeWotPFQLGUCb/VxkQjhtBJk1h3U4/GddMIu6bKHF8fejcq6ZT5PaAo5NpqDyYdgimLp9C2uo3cPFeYco9ZLp4k1RrNTJfGnPceyZ7C1nhPHUIdWyMUFaTEXt3MuDkHsXcVfCgKWDbeh/xGI/AY0olywle+rIBrwVOYtq8Ad7kPRVk+5iL6D1sohKRRd4/6MWftOaxautGzqoiwtRsQlXVg/NihNKpo/FE/4c/06V8992eA4nG4H4sPPqder9EM6WiPHlk8O7+XoMCdxBs1Y8joYbSsboGaYirhft6EPVSj1+gx9GxUmvyE26xZuIqXGnVxHl1soRCAwrk9SYfW4b/xArk6+nJNCjlQSiWIJUY07T2E0cN7UK0YIn9cv+9YKHJEJCaIkGroYSb4RQljWybh7m5/1u55RNXfelOah2zefIR3okJUrWvQy8mFoV0bYlTszvItC4Vgrk1JSCJbooqxhSm68ne3iHdXw1i5NIyc2n3xmtkf1R8CRTAvdJriMqo+dzeGcitDg7KmyiQladLZtQ/iKyFsPZNLl7GTqJd/kVV+a7iaoUXNxs2pZWtF9uPLnLuVQbsJ0xlc8R0bAjYQJQeK9rzdE4S3dxDPxVqY6mu8t7jIpEgkapSp1QGX8f3Riz5JcOh16jrPwbV9eQo+AoUUx/FD0Hi4i4V++8irWB/72vZU0CzkwYVzRChUY9riofA9oEh6Qvhmf9Y90MJrvi9tSquBrIDo+ydZv2YrSeUHsMClFrd2B7PpXCZOs7zpWlmTdw9Osy5gE/HlB7JkUjcMhe0oWREJjy8QErCcF9aOePQ054DvYt5UcmHFrO7oFWXy6FwYS5eGU2HEYgSg2LJ4Oje1nVm2fBBWSsKjRTw6GDR+ygAAIABJREFUs4tl605SecQCJnWtXAIocnl55SD+i9ZiMWgFU/vXoCgtijM7VxJ4VsLE5fNpaa0l3y7b4T+Xg7ktCJzfhXublrDmgiqzgxbSxEyV1Dd32egzizOavdkS4IRa2juuXDnJ8X2HufooTi5HUKhuQtP+Xvg41+L+pjks+q6Fohgojpux9FgADQVLnQALEbdYM2MKzyqNZmrnAib09OSphgWWhurvrZsyGRKJArqmTZm8agZdKhp9BhRpb26yxMuLN/WmsnZiF/SLo0cEJ+THhxczfNFjxmzYRb8y2Z+AYvccqijk8OZ6CO7DdmDSswVZV4+R1GYxl707fLy/oKvyXR+KuKt49hqFzCmYNa6NUVMQYEHEpaBJuG+DkOMrMLmzjsGeh3Fau43hDc1REHwosmLZMKYH6wtHcnazE3eXDmbUUVP2HgmghuAdLjhuJ9zAvdtACh1D2eTR6FO//vtAEY1vl+7sN+jPKp9B2BqoQ24Gd3YvZEpoMlM3baCnbSa+/VuwX3M4K3yGUclAnfzU2ywaNY7TZb24umIAihH7GDxgKqoD/Jjv1AwjdRkpT8JwGb4C0/HbCBpam6SDHvScdoveS1czVFhwFfK5v9+b0Sve4LYqmBFNrVFX/hf2O4AvgSLvYQhdhgVg3cuL8Q4tsTHQQFFaQNKNPUycHYi1SyDe/RphEHf0c6DQVEL84gQjJ3hx6lk8mVpNWb3Gl98b/gxQQPzZJYyYto9yg6YyomsjrDSlRF5cx8QlF7EfPQ+PnvV5s3U4U8My6TZuIr83rowOIs4Ez2XJRVXGz5pG9xoq7Jg+jLDkaowc40yzyhbIMp4S7O3NEdrhP3Mo9uWLt1OEof+fBAppITE39jLbZw0Rtl2Z5zGUpuUVubhqIQs33KPygLGMGtKBCiYaPxWJ8ONF9sdn/BRQCE6Z+59Tt+dohnWxR08+CaVzK3Q1i1aeRr/jMMaO7kV1MwmnAmaw9lg8jYe4069dFTIfH8Z/8U5yKnZjgmcH3oSt5EiEPg7Du5N7bjO7bkpo1seJzvY2CAa67OS3RMSko2tVheqVbdBUEFMgkaKsqoaqkLDsu1X6FlDISHx4ksCVocTo1sHJuS/VLdQRp0VxYlsQxyLU6Tp8HL0amFGQm0+RVIaCkjJqGhqoq6r84ZZHXspTdq9dy8nnynR2dqZdTQsUCpK4vmcTITueU6n/GDwFx7yfAIrnWk0ZP60bcftC2BR+kXTVMtRo0IGRbvY827GGrRcK6OLqgnFkKMv3v8K+3yTc2toizRS2AoLYcjSV9uNnMKRSDBuWr+W5fhemzOlJ1vkw1m28gG6zwQzvUQdDLUGzJZWot1HkqlpTq1Ypos6Hsn7bLeo5C3vuFT4Cxf57UvoM7kjS+RA2vrRkyjQvmlpIiX96mc1rNnI/vxbTlwyVb3kEf2vLIzeW83vWs3DTPexHTGJUOzvUxBncPxPGqq3H0GnnyfLh1bm5O5jNZzMYOGsuXavokRZxhy3+fhyOtWLCHA/sS2tDfir3ToaxNuQcFfrPxaWJhNC507mk3om5viOxFb/j/O5gVm+JoMOspYywSyNk3hgO5LRj5vzxNDDXID/lNSdDg9h5VcKIpYvoXauEIojcQnEA/0WBmA9awbT+Nd8DxY73QOG5fD6tSn0OFGsXduPppsUs3BaFw4rl9Kukzpt7x1g5O4jYmq6E+vUk++VLYsS6lLcwQCE3lZg7xwlau4ZHOj1YsWEMWdvm4L1bjFfYStqY66Iud/h/fwhbHqcDxzI1LIuRAatxqG6GkiSdZ+d2s9A3nFrjljGyQRwznH1R6TaDiX1ro6+piLCov3v9lDiJJc2b18VUs+RWipSspOds9vFgfWQV5vtMoGFpXZRlErLiXhIeMJ1NCdVYs2kVtZUTPwMKO1UZ+RmxHPGfhOuWs6jlaVDWNZjzM9v+GCiQkSeKJsi9I5tzexHg546dvjKZCfcJnO7FIa2hnN8wEtXIE4wb4o6o/UKWu7XHQLmQxKeH8BztC8NCOTS2FpFHvek77hAdl21hbHNbVIuyeHpyGcNmXmPQhnCmty6hhfI9oJAJUUHZFCqoo635jWiYL+aYbytlJl2S+1AoOV9gWwmnzHs7RzDM6yJW7X6nRQ1TiiLvEr7nIqYD57Jm1kD5Indn+xyGeu/Atmk/WlU1IOr2CcIfZDLOfwdj2pZFRRJP8GxXFhyMpm03B6rq53L95H7uFtmxMiiYNuW1UE6+yZiRLpxLsaJLh1aYS6LZv/8Qqo1HsmL+OCobaXwdzvTj9eAvnfFVLg9xFOuHOeF7V0TV1p1oWMYM1dwY7h4/zTMaMjtwFh3srFF+fYAhI5ZRytUPz251MCkerI/CxjFsyibuq7ciZN0yejW0RfODo5skCt/Bg+Rho4smlIzyAETPWDxjIrvu5dGgaSvKa+dw8eRR0qzaMGvWJJpXtkTy6jjjvebwJL8UTRvVRS8ngiNnr1O64xhmjHGgsoUmz46sxct3M0UWDWhSozRZETc4+SCBLq7zGdOrKRZ6JQSXBKCY58ZOUUO5U2aTCv9WlIcKWe/uEOLny+HnpgyaMpYezSqio6SALOURKxfOY9tNKT09xjO4UwPMi7/Y/1IH/4mLfgoowpeyKPwFdQSg6GyP/gdBxPRXbFi+kM1Xsug8fCzDutkjOrcC7xU7iNWoTbP6Zcl6dY1z199SocsoprgLQLGCI690cRg9mspZZ1kesIPnEitq16+EuTYkvLjFvXhFWvVzw7mbPYWRN3n0LgfLqnWwK238uXf+Z/UUgGITvptPotlwEOOLozyEKJNDG5exfu8jNCs1pF5lAzIf3+LG0xQq9XBhrIsDVY3/WOFR8uY8/qsCuavaBK8JY6klCGEVZnDnRAgBgXuIU7OjsX15VJNecuv6IxTsOuM+0Z02lQz/2Cnz1TmClwXxTLMp4+cPQ/nmXlb6+HIysSyOntOZ5GDGhc2r2SIAxdixVEg9woKAcERG1ehUx4LMiIecP3+ReOXKDPWcy6gmeexYvpCdzw3p5TqG9mXEXNoWRNjtAqo2aUAFczVyEyK49zQC/Tr9mDTmN9IvbyUo9Cb1BAtFxwoUpL3mcGgw++8W0d+1DznXtjJ/23Oqt2hJLSMxr+5c5tTFV1jY92PWImfUHu1nw54XtJ8w73MdClkhMQLM+S7icLweTZo3wVySzs3zp7iVpERXN298B9txMyyYTWczcBKAoqoBkqxYrh0MxGfVYSTWzWnd2AZZShT3r94m0bQR4+fMpqPuW/YHTsfncAr12/5GJe1Ubpw7R2SeGY5efoyoLiJ41hCW39KhWceW1C1tTnbsY67feIPpb64sGNePMtolfAsEoLhcDBSDPwHF6e0CUIiZGLCAVqU0SY9+wg5/b7mFIti/P+lnQpjks4FUm070qm/Em0fXuX7rNSYdprNxqj2nVy5g9ZU8WjS1x8pIRl5CBPev3Yf6zvjO6kzcnvmM879A9YFeOPfuSuPyn4TL3vtQuOMe+IQKHZvQuFwNNMQx3DlziRjL9sxdPJ1GWvHsWzKJ5ScLqdepBZXNVRGnx3P32iWyqw5m1RwXbEvseMi3EHIzuB++gkmzNpBo15xezWuiV5RF4v3rnL2TSnO3pcwb2wKVjERO+g1n7oPabAybSzUhjqCoENGrs8wcN4wN18XUmbiTKzPbfAYU9/cvwi3gNTO3b/gU5SG/NIeHB/1wnrUZ8/o9aV3dlPgH5zj0II1hPhuZ2K0K0tw4wnw9mbXjCa26OVLdKJ/b5w5zI9uG5SE76FJRhYKEu0x3d2H/W0N69+iCmSSKIwcOkFvdiZCV3lQpqSkjB4rVVBuwHNftkYwvjvKQibO4e3QXL7Ub0qNNtY/iXt+bNr8NFKk38Rg9Ftnv2/B3KPtRKVPYsz+6ZD4rTlwgOlWIszagQtshzPDsRz0b3fdfKdlvOLh1DitCbhOXLUXTsCwtR01iUp9mmKq//2rKjznH+tWL2XY4mkyJAmYVG9J9/FRcm5b9KFGdeDeYxf4hnLsnIr9InYotezBk7Bi6VDREtXib4U+sBX/51K+Tg8lIenqaDeu3c+zSfVJz85GhgkX5uji6u9CreR301FURR55k6qwNmPWfjnNrOww13tOvOO0p62ZMYOu7skybOYX2tUuh8QEoimIJ8pzCE4ueTHDugI3x5/qnohcHWLd2HYcuRiHKVca6Tiv6jh5Dr3q2GAie2LICXl5ax5q1u7n0OJV8qQ52nfoy3NmJpuVN0FRWQJYbw4UDK1i36SxP3uWgrFcK+34jcevXgcqmOnxm+ClM5EDgXA5l1MZl0O/UKWP4j1kDPlPKVJFyY88SVu15Tc3eLjh2boBFibCu9BcnWLpoLYmmLXFxGSB3Uv07xPF+NEh+Bihend7AutNvqdpuAL1b1EC3hMhO8rMDrPTbQYxuM0aO7kctvVTCNwWzef8Z4pWMadiqETqZaWiUqk/vfs2JObqVC2+16OLoSPMKStw7fYCt23Zz+WkUWQWgZ1WdDr8PZED3FlQwVeJOeCD7bqdSs/sQujeq9Acvv4z423sJDr+CWs2eDO3WHBN5MJUM0asHHNsVwrYTl4hMKUBZ15b6HRwYOagL9uWNfugIK4m5webQ7TxWrceIIU5ULfbnyxfFy5UiN27fx+3IJFQ0jancpDMDnPrRvrYtwvD9o7DRrLc32L0xjAiNWgwZ74hx9HW2rw/gbFY5HMdM4fcKOZwP38a+m/m0HuRKG4NEjocGExJ+krfZRWhb2VJWkBzOk1Cx0zBG9KnAo/AglgSeQqtKD9w8BlFB9oKw4A0cuvaAxMwi1A2sqNuqN4MHdKdRZS0end5H2IHHVHdwo38LW8QZ0ZzbH8apx0V0cx2KbcZ9tiwPZP+d5+Qqa2Jqa0spHQ1UVM3o6uqMeewV9h+PoKnzOLp/oZQpyMm/uHaS4DWbOPvkLWjpyyXRBUXmim1H4zOiLk+O7mb/tSy6j3WnlXxBlZAR/4ozu0LZfug4T+LyUNIwoXyNDgwZ0J3W7ezQFWcTcfs0K/zWcP5VCiZ2dWhctyJ5LyIp9/sEepVNZsvCSRxIqkbtahlcPfaIIi1zGnZ0ZNTgXtSw/UJxtCifN7fPsnn9Nox/n86oLlUpSo/j6sGt7LgmxnnmBOwtNciMe8XhkNWcza2Hj09/1BNesm/tSjbsvUihUSnqt22JZXoEsfodmD+1kzz8dGPQBvaeekEOCqjqGWHXoS/OjgNpU1aVmCfHmDdnKfdTS9HXYx6ePSt/fF0LhOfvWMqaExLqdZBxPOQsSYUa2NbrgNsIF9o2tEFZKohM3WHH6kDCLt4hOUuKiqYBds364DJiAM3szL6eQ2RF5KZEcjRsM9t2nOF5ajoKCkroGJShRc9ejBo1kLLaKhRmpXBpwxTWvLRjof94KhbHa4vz0rkV5se0tWcw67+EXWObfAKKghyenVzP3I1RuAbMp2WpEnO9oPWRFc3pHXNZHnKdmEwFtIxsaTl8HB4O7bASXCakEnJirrJp3UI2739LtoIyZuUb0GWsFx5tKso/JoToq+SH2/H1W8Op25mIlTQo37gLgzwn0rvSFwp1siIKH27lt0mhOCw5zbCa74sqzU1k82QHTpqPYdWM3pTYFPrmdPltoBBn8zbyDRhXoMyHzdHiy6XiLKLfviM1Kx9FJQPMS5XC3ED5s4gLaUEqcZExJOfKUNc1o3RpMzS/cKArzHxH9JsUsopU0DO1xkaIdy6Rp0PYYxVild8lZJMv08CidGnMDARv8n9nq+NDa30726iMgoxUouOSyc7PR1FRGUMTK0zN9FFVep9TRFaQQVR0MqrGlpjqaXwuaZ38hkiREtZWlhgIOU4+VElWSGJ0FHkqRlia6hfreJTsNxm5adHExorIFqtiKOQ8MNZBpYT5DyGXQnwM8SlZFCroYG5tiZF+iefLHXzS5fk+kjMLUdQwwqqUGbqa35AtF/JJJMQgkmhiZmqEltqnnCE/Wnz/7P+fA4USye9ekCzWwMT8fR6YkgwpSPGmvosgVSzsyQtt+CnK4M8+98+c/12gKLRj1JQRtLYzozAzmaSMAjQEcSFdzc/LLSkgOTqG9EIljKzMMdBRQ5yeQkJcInnKWpiaGiLNzSJfQQ0DI13E6clkFiihbyyI77wXvhKlJsmFefIlMnQMTDE3M5GLYgnCVtmiJNKyJWgZGGOgo/6ZtO6X9RRnp5KYloWiliEmBrolfFGk5GenE5+QQHqmGGUNQ8zMTeVhkJ+9nt9pOFlBNskpKeQqaGFmaiKXAP5wCCJLyYnxJAnPVdHBxMwMEyPBMVuGtKiI2Fu7WbtyN1lV+zP5C2GrIkEwKimVfEUtTC1MUBFnkZocT45UGCPWaKuIyUxLQZQtRdfEHANNJXKz0kiIiyU9T4qagRFGOqrIsjIRqwk5VXSRZKUQF5dEobI+lhbmcjN4TmYa8fGJZOaKUdfWxdTCCiMddbmwVU6GICqWi6aRBcY6avL+yEhLJT0XDM3M0FYpIiMtgfj4FAoU1dAxNkRfWUZuVh7qRhZoFGWTlpGPjokFhlolLD0yCTkZKcTGJJEn7IaLxQirW9qb2xzYfxaFWoPxdm2DUlYqKVlFGJhboPcxlPN9+oOk+DiS0vNQUtHDyNQCSxP1j3OytDCfzMRY4kS5aBqbYaKtiiglDWVDCxQT7rDFdxb39IYzd157xG9ikahoYmFVSl7vrw7BBJ6TQVJiCiqG1pgZaCArKiRLlExKlgxTa0t0VBTlCsqi5AQypNqUsjZBVSahID2VmNhECtV1sDQzpSgrGZFMh9LWRihJJeSlpxD7LoFsGShraWNiZYOZ3MwuQ1KYS1JcFMlZihhZlMLK+JPcvlR4foown6lgaqlLSkwUmfkyjC1tsDYpsXDKzfci3r2LIzNXgqq6BqalymAi9O93JwJBDTqHpJhEEjIy5XlEtLSNMBXy9giObMJcXyQhM+kdCXnqlLa1+JQnQ/DByUshMjoJmV5pKll8MoHIBKG09ERiUgoxt7FBV67V/flcL/hqJETFkJQjRV3bFJsyFnKhr4+HAB7Z8byLTCKzSAVdEytsrAw+9ysTxm1yJFExWRQoamJaqjRWRt9y3pYhy0nhWVQSxqXtMC3mGzmUREWSoWKKrbXBH1g935fqV7bRH6wov9KX/5kl96+f+78x26gk9wEBbt4ceaNBK+fB9GvXgLKm+ij9bPTmX2+u/1NXCk6bidERXDuxnbB99zBu6czUGX0+k97+P1XhLysjzeD+ye34+25H2rA3vZpURTk7mutnjnA1VpNBk+fh1ML2H7HCJT2/zOZFM7mrPwL/5QP4lWHk//RI+8cr9wsofgHFPz7IfuYB/xuBoij/GRunLyB4zwXiSrdkysTxDO5Y6/OviJ+p/H/5OeL0GE5tX8WKoO1EFFSl96ixjBvb+b9ocZORGnWH/SG+BIc/JEGUi0xVFcMKtekyYBSjurfEWvef2dRLeXWL3auW8MTQgVmze/F3paD7Lx/S/7XVVygoKBDypv46vtMC8fHxGBoaoqqq+lXa3F+N9ve1QF5eHsJPS0sLNbV/MUHHn6iCsOUhEolQV1eXl1NWlEnkvUe8jIonR8ecanZ2ci/1kjtQf+L2/7WnSgtzSIh6xpMXb8iUGFK2chUqV7b8oQPY/6UGE0zgOalJRDx5zJukDKQ62piWq0y1MmU+Ofb+AxUuyEoh6uVT0lVsqVG91DfTWv8Dj/11y/+jLaAQExPzCyj+oHNzcnLkC4iS0j/zhfB/dFz96WpJJBKEnwBuior/f+4ZyGQyCgoK5GNBRUXYA1dEWVUFFSFEU1aEuFCMuEj6p+v+6wIFlFRUUVUWfLGKkIjFiMVFgj/if9GhgELxuJL7kgmZnCVixBIJgsbWP3UoKCqirKKKolRMYWERsn/XRe2fqtav+/6HWkChqKjoHxyu/6Fa/U2PFRxwBB8KY2PjXxaKv6lNv3cbwTohwJuurq68rf9/PAQLRWpqKhoaGmhrf8oE+/9jWX+V6VcL/GqBXy3wb7fALx+KH7T4L6fMf2dI/m/0ofh3WubXU361wK8W+NUC/zta4LtAIZh3QeGbCbiE/97/DwoKit8+RyotNlkqoPjNeDMZ0mJb3vfuIZj9pH/0HJkUqex79/97OuAroJCXCRQUFb4KNZLJpMg+lkeGTPo+dfVXoa4l71Gijt8r8Wft86M2kSvKlugfxfdhrF8e78sq78Fv1uXj+cK95P38z9pCvwSKD3UQnvutZ8vk4+sHZf97hsDHu3wZNir88akd37eRPElw8Zj98vHfq8v3ivnhHRNesH+i9T+9w5/fvWSdPpbtW+P4+wX/4Zj5WLfiOebzOeVbfS6M6fcP/O5YLB6r/1R7fau6f6aP5OcKdfjG3PE3D9X/utu9Hz98Z635q83xYR79xngsnoc/zM3yd0Y+lr98V4vXOfn7I2hDvJ9Pv3t88Z69n+fez9M/Xke/PVf+cB0tURjheXxnTf+ZVvwmUMhk+SS8eEWBYXnKmJaMWZVRkJNKXJQQ85uLVFGIpy+Ljbkhah+EAuQx1Um8exNHRoEEVU1DLMuUwlinhLqlNA9RUgLvopPJlSqgbWiOlY0F+uqfdA6k4kwSY+KIS8pAIlPF0MoaC3MjtFQ+LZC5ydEkZqlgbmMml2L9JybdL4EiPzWKiEQJFrY26GuofIr1l+UTH/mGJJk+lWxMUZNmEvnmLfmaVpS1NEJD5YMPhoyc5GheJ4mxsimFjjiJ51GJ5BVIivtLGBSfJk8lVU2sylbAVFcDJWkOKQkJxCemkSdWRNfUHAt5boQP0scyJPkZJMTEyzUGilDH2NoSMxMDNFWKpZhlEvKy04iLjictOx9FNV3MrK0wMdBG7at4xyIyEmJIL1DDyMwILUHv4GdG1V8450ugKMxJ5V1kHBINQyytTd9rLRTfV5ybRkxEAhItQyytjOX6GP/G8SVQyKS5JL2JJi4lgwJ1PUoLsemKObyLjUeUXfB5kVRU0DEwxszUDH0t9c8FxL65UolJi49FVKCEkfyav3cbqDA3nbSUdFDXx9BYnw8yMUL+lPjYGOJSs/jgDqKgqCTXirG2tED7B8WQSvIQJSaRJ1XH0MIMzW91jVTQjEiU63VoG1lgqq1EelIsMfFJ5Eu1MLG0xsrK4LP065L8TETJSWQXqqBvYoKuoPHxiXoRNC7Sk9PIlCiha2KKsdYPxoRMSlHhe/8EZfUfSwp/q4ukknzSk5NIy5FhbGWFfknRjS8uEOL5s9KSSRblo2dhjfGPGvLfGND/a54hQyYpQlIoQUlD0EP5fBaSSgrkOhBxGaqUrmyD1t8ySQlzaRZx794h0SlFGXPdEnN9EXkZCbyKysSoTDkstRVIT3hNZJoCpcuVx/jjoJchKcgk6nUU+Xo2VDZRJCoigqTMD3PDe/j4gBiCD42eeTnKlzJESSYhNyOJmLfxpOcXoaKhj6VtKUyEdaC432RFeaSnJPIuKpFcqSLaBmZYlbbE4GOeKxlScTaJsXHEJYgQK6hhZGGFhaUJ2t9IXSEpzCDmeRTqZWvIlXj/yvEVUAge13HvLrLIyY2iYYdZPazKRzKS5CZxce8qVq7Yy7WoZCRFRdTqMYbZU8fSsJwhKgoK5IueEb7Rj5UrT/A6Ox8to+p0neCJZ7+22OiooaAgJT3iJGsDAtm66wYpRUpYVmtBvymTGdWqOrpqSigUFRB5cxNLFm3hxI0IssVaVO/Sm5ET3OlW3RINhTzS0nJ4sNefvfeNcZrcmzKGZpjofj3Y/kqjlLzmS6CIDPNk4KoUJqxdTJcvso0uHzGSwPzOHF46nDLZl3B2GcNDo0GsXDCGhuVNitO5F3J36zQGrktgxqK5NErfjuP0TbyMzUCBIvJyBFBTRV1DVT6ANS0rM8l/I05NypD36gBrAzay/9RDErOVsG3cHqdxY+jbuArGmirICjN5eH4TawJ2cOr+W3IlhtT9vR+jRg2idVVB/EeJgowIzuwNZl1gOHejUlDSr0DLwSMZ4/QbNawNUS22JgniUZmiV+z1n8fFrPqMGutEvfImPxQ2+avt/SVQZLw+i9+khVyX1WTklNF0qmeLlhA+Icnl8ZlgFi86jkGbIbiN6EIls88VRf9qGX503VfCVnmPCXTzYsWOCyRV68LCmZ40VbzGzIWrOP0oBQ3VT4JvUg0NSlVvQp8hoxjQriFl9NX+EM5k4nj2+C/k6Bt9+o4cTafaFj8q3s/9L4j75GXw+PJudu2+ikkjBwY6dsKiOLAm4+kR/BYtYN2Rx0gUhDEoQ0FNmzaDJzNxrCt1vytUIIgP5RH7+hK7graSqNUIJw83ahl/WSwZBamvObRpOZuvZdB2mBcjm+hxbutyFgUE81hUmX7jpzNjencsS1ya/uo8u9Yt59gTZVoNdqVXj1ZYqxevHEXZRN27wPZ1O7gjKUuvMR70r1si5fY3WkaclUbMo9dkoU25xlX5KyOoQPSGE7u2cuSehD6eE2hb8QtVyRLPLcpL4OL+zWw69Jr247xxbFiydj/Xdf+tZ8kkBaS/ieDV4xRsuzbGROVzWBSkt8+sm8KS05YsO7GUOn/H94WQbTTiOr5eM0htNZcV7i3Q/LCQF2bw+twqfvc4w4CVW/FsoMzJZQMZtD2PaX4bGNO5klz5FVkhouizTHCcyqt2vhwdocVMN1dCL8XIrRWSgnzy8otQ19aSZ+ZWVtemhVsAayd3QUX0iqNblxGw6gQvMgvQMbSj6zh3PBw7UVZXTa6CmRp5no2rV7Ep9CopiqpYVm5BX6+JuLerjbaKAjJJLm/v7GDJwhCOXnpFnpIuVdv0YMRUT/pUsyghgCWjIDuNp3e3MXdEIK1Dn+Je/69RWQmgkJKTmsrr+2dYu3Ipm489oO+6J4QMrlBMhFIijvrQe+gqNJt0p6N/BObnAAAgAElEQVR9ZZRSHnNo+wnUesxm85Lh2GhIuRLsifOCA1RpN4DG5XVJeHiGbVdTcPfbxuTfqqAijmf1xIH4nsmic4+elNct5O7ZfZxLL8+6TSF0qmoAcVcYPciJK4XV6dauMUbSBA7t20t+jWFs8J+EncZLtgad5v7L+8SkGmFb3RDTmg64dqyIltrfG43x7fTlyUxcv5SuVb5OX76qoDPHlo3ANvsSw0Z6cPi+hN+mrWLuiHaUNhAU2Qq4u2Uq/dcmMH3RPDqbxbHv9B3SsgpQkGVwcfcuYnTr07FldQzUFVHVNaFp557YacbhN9mNPS9UaNy0GWW087l6+jDRes3w8ZlK2+qlyH1yAI+Js3ilWJmmDWqhW/CWw8cvYdpqFD4TnKhmrc2DfX5MXroDZdvGNLQrRe7bWxy6EUP7UXOZNKA11gZqFOZkk/jmMeG7gli/5RCarcbjP2sk9mWN/xFxHeE9/cqHQpbHw9Mb8Z67lXz7/kxzGyhPd5/+/AQL5iwnwqgJ7uNcaFbZSp6N7984vlbKfMhK11nseZBD1b4DcendBvVnO5m17gj5RtVpWKUU6opS+bZXYUYCV89fIl6rNp5Tx9O3ZZU/LLcAFGHL5suBwsHFjc5/A1BIJYKiYDx3Lx8lJGgDV2LV6O85E/f+HTGXiyJKeXthK0tXb+OtUhnsa5ZDVTC4KqtSrnZTmtgLEuhft7Rc9S9DxMsHlwnbup495x5Ts/dEZkwaS80vgEJakM6dYxtZ7Luce8r18ZjmzYhW1sQ8usaRPVs4dDaRSt1cmTaj12fCVhmvzxO8ZB7LDzymbNcReI734jc7HTmUSVJecGR7APNW7UFW/ncmzlvwQ6AQPT3PtlWhvDZszQSfAdj8hQEkKBlGPHnIiwQpdo0aUdbwG8qSxfcVgOLCvo1sPPiK9uPn4dRQSBT+6/iZFhBnxHNj2wr89uTheXAJTUvI8AvX56cJ2Ua98D1phf9pP+r+XUDx+hqLJk8ntfU8Vo1t+RlQvDqzgp7jTjNgzXYmNVDhpN8Aei+9S5UOIwnwn02z0hooyIHiDB79JvOynR/nvew4c/AgdyLTUVUqIu7RecKvpNDWoReVjFTl2+Xlm3SnS31LHuzyYbj3dmxa9KdZRX0EAbJ9V+MZOHcDcxxqI82KYctcF7zD39Ghd38q6ebz6PJRTsaZsnrLTnpV1yIn5iZew504kloBh+5tMJTEcfLgPuJKOxC2YQHVjJTkYCJYQu+cD2O5/wrORcrwPRWLe92f6ZmvzykBFBkc9l7GohPn0bM0I/L+WepPvczGoZVQkuNUEiv7NCEwuw/rt0+moaE2CmRyZd00Jh7VZfna+djrv8W7d3OOW3uxZZkblXRVEKfeZs4QR7brjedOsDOqz0LpO3AOJm7BBAxvjb6qEimPtzLIYSYqzjvZ5laf+F3D+W3+S0at38ToJuVQVxZzd9cUHL3vMDRgG+7N1Li5dSuBWzdyJsGY5s070mu0I7/XtPosC91fa5LPr/rrQHEBZ5dFvMjPJFtWmSnLFtGjfjl0VMQfgWLqwnn0aVwy22gCy5wduW01jPnjemBb4ss75thchsw5QV13H8b3aIK5tiKvz61g1Ixwqg1ZwGSH+rwKcmLqUQUGz5hNvyaV0VMScXyNF9MPFjJmxkx61VJmi9cQwvObMMlrLC0rmaOY+ZjV0yawJb0ZAbNH0qSSAS+OHGbVpu08ySxCkvkCpRqDWTB5GA3L/XM5M77plFmUxIm1PiwOvU/joVNwam7MocClHIw0YOjE8fRqWpl/SO/nm0Pnm9LbYxZyu6gWblOG07yKHo/C/fA9VJy+vIM9QtZg+VGUx8N9K5m//QoVerrh5tAGndw0sgsV0NbTR1td+b2UsyidQtTQ1crh4IqFHCkBFEWFuWSIRIiycpAUKaGlp4+BoR6agiVEJiUvU0RGXhEauvpyKfUvOSvz3UsObQ0l9Mxd8hWz5F8srfu6MnZAp2KgyOF22DpWhEdQr/dw3LrX+Lh3+0c+NJLcZK7s28u60OMkkEdefi6lmzgwdfyYz4FCUiBPgrV903aO33iOWEh/PmwioztXl8NV8t3dBAbsJLViPyZ9Ib2d8focIcsC2X8rFqOaNWnRdhguDvXQUJAS//Ai+3Zs5siVVyhZ2jPAcxr96xtRJM4lPT2V9IxcJEWKqKprY2BsgJaKjKiru1m3aivRpp2ZMNOJakaGaCpKyMlKJ1WUSZ5YhpqGjvx8HU01lGRS8nOzyMjKQQgMLswrRElVGy0NKBCDjoGh/L4FeVmkpqWSnStsYaqgqfs+J4eaJPkHQCFIPOeTIUohLSMHqZKqPFxdRUGGkoY+Rnqq5GdnkZlTgCJF5OQWoaVnjLGhOkV5WYjSRGTlFiJVUkZL1xAjA33UVYSv4Dz5mJKo6mFiqIUiUgrzshGJslHRNUZPtYhMUSr5aKKhKkaUkkGRogp6+sYYGOh8rakik1GYn0NGZiaKGtpIczMQZRaioW2IqYkuilJBXj2ZrHypvBzGJgaoISFHGJv5ihiZGqGupECRuIAsUSo5aGNuqoOCpIDstBRSRTkUooCauhZGJsJWpyKZsY85FOjNqlMaTNg8nzalrTAqIV3+EShOWOB7cBbWaankiGVoaxtgZGKEenGuJJkg750lIjk1gzyxFBVVbQxNjdAT0h98+cYLFoCfBIqJDVQ4tWwoLiFRWFpoUKfvPBZ7dEBfUVwCKJZybW6J9OUF2Tw6sIwxK18yZ8t62tp+sH9IyUuNZOXItuxSH8XmNROppqtAbtI9/MaPYqO4P5dDx6L18gAjh06gqN9agj07oycTk/hkH26DJpPaK5QzU+oTudeL7lMvMDB4H1Nal4WifJ4cm0df90P0XHWcBV0sKMyKINB9PhtfxlCpjAYXrj1jWtgrxtb/a6tnCaCIYr1TAMkduuHSUoHRfRxQHnqW0A/ZRuMO0rGlBxVnnMCruZi4eBFiRVUMjIU8HdqYWxkgjT1O/46TqTR7O/N62cnzWghfPZf9HRm63YB95/1QOTGfvt5P8QkLonMFw+IcFyJW9W/JDg0PDq3sx+XZPfB63oRD2ydRVldD3tkFSVcY1X00WkPWsHBwQwpeHyBg0WGSJZko1+3HHNduGGn9sRn5rzTR/wQohrmsxKRnB5I27iOz8SB8pg3AzlKDB1unyC0UXwNFFEuGDuam9VAWeZTMNirhUoA7U06q4e0nZBa1ku8vF2U/Y66zG++qjGD66KacnjWKw8qd8PFypIaNgXxBSbq7g3FTd1LbZSqOdQpY4rEYxdajGTewHaXlX1RS7mydileoiFHzJ9Olrhl3g3dwMVGZlt1q8DBsIQczhGyjQ2hc/l8GCqGOSbfwm+TDsSg9qljk8+oFtPEcx5BeDTH/mM/gr/Tsn7/mZ5KDPZanL39C9a4jGNS+HrpK712qBOtAxOkNLNl1nXJdXXDtW4/7W/w58lKDro6DaV/bksLUp2wNDCFC2Y6+js15tSuAI6915RaKjnaaRNw8y7Zt29h/8T6iHF1qt+6K43AH2tathKFyATf3B7PnRip1ujvRo2kFPv9elpL49BYnD95AXLoKFfQj2Ln/IjoNBuJRnG0USSLHQvzZfDGDuh360rqSlvwdNza1wFzI5VLCx6lk6+WLIjkXdooXOfrYN9bg3N4dPFFpzOTx7tQUso3KDwm5b26xaeMW7udbUMNcgTvPorD7zR3332rKgeKPkoPJgcJ/AzeSZJiX00NDvxHD3QdSVi2T2ycOcPDUdeKzs8ktMqHr6Kk41FAj4tEptu0IIvzME9LTtbCqYE/fUUNoX0Wd8+t98A05TpxGGVr0H82sMUOoLHvFoZ1b2Xz4PK/jiyhTtQm9Rw7i9/YNKa2Zz91z+wndeZw0mQoJLxIwq9GZplUKePxGQg83NxoaZnL97A6Ctu/g+j0RCkpm1GjelWFjnGhTUZMb4RsJ+Y6Foqggm8j75wkNWs2ucw8p1LGmXDkbTFWUKd1qGBP7VeHByTBCj9xBXZbHnWdi2vX3xN3Rhhcn9xIaupfrT2LJ1TOmTisHBg8aQqu6xqQ/v0JoYAgJlQczz601mtIcXt48RtDaQ5TqMw3HypnsWb2IS7k1qVcunp0bTpKpYkyHbsNwGtGf6qV1+ZC78H035hF57ywhoTtQrtqSggcHCTv+jqqNeuE+rid6GTdZsSyQyy8yqdHGiQlT3Wmon8GFPevYekeDiQsmUdtIhYyYZ+xd48t5xY74e/dA8voa+1cFsO3wPd6hhG25ejiM8KBn2/K8PbWGiZ4+XE3VolSjjnjM8sOjlfXHIfgBKOaHqzJwfGXOrtjO7YRCGjTsztAJ42hZxxoNBTGZcc84vn0ja3af4HV8AaY2Deg71pkBXZtRWvsLMb0/AxT1VTjlP5I5t8zpVQv27EplwpG19K+oQ8ZHC8UXQJGfxYPwRbitiGBGaPCnbKMyCRmxlxjbYyxaozexxvm9qUBSkMPNLV6MXp9F4MlATG+vYdCk07ht3oZjTSFll4zC3BS2efxGQNpAzm0bys1Fg3E7V4bjJ5ZQXm7GlVKQ/ojxHXuS3nsTWz2bUphynaUj9mI50ZnuaudpPMAP120ReBRnG/2zs2QJoHgf1SE/ki/Tp+vvKDuf/wQUdwOp3Gc+jQfNRuP+Bo5ce0OOREb5ZkOZNNGdzo2syH+5gQ7tNtF7yy48mlvK94WE4/UuF3p4JrL8+WZ0tkyi70Zldu9bQl1rrY/Jkw541mbeQwd27RvEmaF9WKbrzLUVjhgUd7QsM5KZPdvzpuVyVnp2QPL8JrfybWlt8oQ995Vo3qkppbTf+x38ncf/BCiGjFhO+TGLaVd0gpkhd+jsOhvnDlV4u3vanwQKEeFebsx7W43ghSOoVdbkfU8VJLPWtTfnNfsxY3ID9o2Zxr1qw1jo3pXK5u93hXNfH2fyKF90nabiVE/EvHE7KOfoyejeDbHUeW8bjDo+F3fvh3Tx9cahqR36Hz5thfTlPmPYlWbPFI+h/xGgEMoXc20TkyfO58C9dLp4LGL2GAfsLP+i19D/YHD8DFA8OeTP7OAzKJVuQsuatmgoSZChSF7KW04dOEmyenXGzPCge3Njji+by54nmvR1caObfSkKkh+wdvEKnivXZOiozkTtWcmR1zo4uIymHpdZtGAVp97IKFOhDAbKhcRFx6JargWjXV3oVMuMiOsnuPw8k/KNWtPYzorvJxoX0pdvxnfLCbTsB30ECln6S0LXLCLo6DPyxJpkJbwiS0WXmk26M2SYE+0bV0Rf5Y/fMMnbC/ivWsM91aZ4fQQKYbKL4sz2jey6kUeLAQOonH6K9YefYdfdA/ffavwcUCwP4UGBKRUqaJCWrM/vbq7U103g0I5QLr9OQ09LRuQ7RTq4zaCD5iM2Bixj7/1MrCuUQYsMYl+/Is/InoGjBmMRsRO/wH3E6NSip4sLjvamPNkfwJLdzzGuXJVSOkpkJieQrmBK12HjGfNbJR4eW4eP9woiVatSu2Z97JvXQTflFifvFuE4dRylYo6z3CeQp4o2lLfR4/+xd9ZhVWVv+//AoRukxMTCDqxRx+7WsVAxEEVFVBRFUVExAZFSERVFEbG7Y8yxOzAQFGzpPHDgxO/aB1RUHMd5Z+b9/t7v7OvyDzk71nrW2mvd+4n7Lkh9wfMXqVi1GcuiGX1IPreJdXtjvg55KAp48+AMa3wWseVWDlXrVsdQls2zh/d4lmtIz0mL8BtZlxs7Apjvv4N888Y0bNyUdl3aUzbtKF5em3lvYEMdG1MUWUkkxLxDo2Yf5gZOpcr7S6xZFsTr2s6s9OiOrjybh+d3s3zZDqwdfBhXJ4P188ay8rKI6nWMMdYvgyzjNXFxaVTpPxWfWfZU1i0WRpbm8vTKIZZ4efIAGyqaaaPIyeFl/FMUljWpqCNCqq6GPPslD+IzaDjUl7Vja3Bmkx+rL2mzIHQRTc00SE24y2ZvT06I+hA2vx2XV3syZ8N1KjZpioW2grTkF7wVl2L00kBaiU+xdM58Dj3Vo8VwexyGOdGnWCxNyKE4tdqVScFPKGtrgpFJeQwKsnh+7yE51j3wWeNNa4P3nFwzjUkr71GhiS0V9NXIzUgkPlFB90mLmdm/MZ9Fy38IUAg5FE4svNeAUO+ubJvryp3STmxYZIdu6jlcB00npuMfBRQSkp7txr59ELYhO1narTAYJ+jdxB5ewgi3a0z7bQuVLyxj8OJ3rNi/lg4VCz8dpHnZnPbuytTDLdl7YQrXJw7BI6Un0TsnoaccQgUFOYks71+fc1VXsT34FwwK67FAKV8eQu2hAUzY8uyvABTFVtrE3xjQ8wtAcXcNlTu5kmNcnWbde9HK2gxF4isO7NjK25oj2BY+iyqJUXRst55+m7bj2rrMR0DxVAkoEgl+vBG9ze4M3KDKzj1+nwOKqbYsvC8AimGcdhjAcv1RXF5h/xmgmNO3E/FtAgly60wpnb+v4qD4nlMyoEhm2tplJeZQrJJ044gyh+IcI0cHUH5iMFPbabF3kQubXjXEe7ELWlf8GRb6lplfhTy+5aH4NqBY7dyfc0pA0ZS9Lh7cqu3A0ok9PwKKnNhjzBi3DMNhM7FvlMaiyVupNHQq4/s3+wgo4o8uYNKC+/Twnc/A/zhAISUp5gzLps4j6kYW3aZ4Ms2hO1XNP6kN/g8wwg9d+kcAxaMjK5mxeDUXYrLQ09aAAjFZGZnkqelRvXVXnBzG079tY8yNMtkXsIDdD3Xp7+RMryblyBcAxbJgHqnXx8GpKwk7BUBhyKCxdsh+C2Plkac07j+awW0boK+u4PXVg2zYfxWzlkMYP7gz5fT/KJwuGVBI3txm69oA1l94Qek6zWhc2Zz8V484d+Y6sjp9mTZ9Aq3KqJKRkY1UJkdVXRM9IbxSTO1V+rwIUGh+AhTy/EwenN3Jxh1XMGw8ECf7psSfCGXtocfU6lMEKPi+hyIsYANPNGrTtoU+dy7GUaP7WLqUecXWqAOkGNTCRvsFJ69k0nnSbDqbJXLlzD0yNMtQpXopMp9f5tiuSM4+NWLgDC8carxiY9AGnlsMwHNRL5JPRuEXFElevX64jeiFlbaIzBf32L9zO9Gi+kye5oDiahh+fnsoPXQec8Z2wTAzlsORYey5JcN+xiRsJM+5dPYV+jVrUcYwl6eX9rNjzzFSzXqxwHcE3NzJut1PvgIUitw3nNsZypLQ32joPJdpg1pjIE7k0u41eIcfxazPLAJG1+NGZCD+kfdoPSeYad1rkP3sFpH+S9kfb4bb4gV0rWdGQcY7Luxah1/4bzQY7sXYpmLW+/nzqpYzK2Z2KwQUF/YQsHwHFUb4MK52KmFeY9n+phmzF3vSu3l5xK8fsH3FciJuqDN1+VJ+qf/RzaT0UMRe2svCOXNJbDyfAE97ykiesS94Pr47n9JlfjCzBtUn9/lF/Ocv4YZmLzb59OBOhB+rL+uwIGQhTcw0SEu4R6SPJ8dFfVjt8ROHl8wh+LQGTosm0L2OOXnid9x6+IryDbrSwjKbCxu9WLpXh8VHAmlaHOAocyhecHK1C9M3JjJ4UTiug6qjk53K1d0hePgfp5VbIM7NU5njMJF427H4TRyAmYaCvPTXnNywnB1p9QhePpt6psXenx8GFGNYcNeWjVFT0DmzjGGep2ntsZZJzd4yY8BUnvwQoNiDffsAbEN2fQUohrtdZ/rFSCqfX8aQRe8IFgCF9ZeAotUnQJHcjehdrp8BimX9G3Ch6soiQFG0BP7jgOL+Wmy6zqH+1C2smtAOUyWck3Nr13yGOx1izIH9DC9zjp5tV9Fj3Xbc2pX7CCgeR46hn2caq+5vQDdqJgPXStmy21+ZZFfoxJCxa3IjfJ4OZef2YZwe2x9fNXt+CxmJaZGHQp4Rg0ffHrztGEjA5I6Y/G8Bim1TGLoyialr/OhZPClTGkfAaEfWFvTmwLJRVMw+WwgoJixnas/6yB9EMdF1OWWGLKSd6gmmRab8QMgjg4NzJuD1xIbV3mNpVNm8sNwo7x0rxw/istFQ5rg1Zd/kGVyrOpylk3tRoyh7LjvmMNMnBGI6XAAUGSx23US5gVOZMKA5VgaF37Bxh+bj6v2I3j7zGNC8Job/QR4KSfZDIuf6sOdaKvnqr3glqoHz1GkMa18Po784Afd76OKPAIoHBwJYsPkiZg160btFdVRe3eTwth1cTrWgj8sUHHr9hKVQ0qhIVgKKXQ91GVAcUPiu4JF6PRzGFgGKOGMGjerA64NrCIy8hrqpUBIpokDgSC7I4k2KiOYDxuE+YRC1LD/EYb/bkxI9FNLcdN6+fE6KTAurcpUw19NEnvOeI2HLWH80kY4jhmKtFk14xBFeJeegV74OfYc5MbhjI4yKPMZfAwoFaTHnCAsJ5XpORQbY21HfQs7tX7ex7dwzqnV0ZHyf5pQuZUjq7Z2EBG0j3cbuK/lyIeQR5r+ep/pNsRtUmavbjiMu35bW5VL49fQdrLsOpMy7E0SezKTb5DkMqCXh0tE9bIo8ypOkbHKzMkhJTETN6ifGz1rAsKov2BC0nvjS/fH06sDzXWuZ67WJFyJTKptrUyAQCCsKSEsXY1StAzPnjcf4+WHWbriMreM8JvS0IT/tE6AYOsOdxtovObQ1gu3H7pCSV4A4JZH3GVCj3TCWLB6G/OaOEgGFLCmavRsDWHXHCI8lfnSqIIxfPi/unWRNSATvrQfjPbYB17evY+OJNIbOX0ivOrq8uHuSNYERvKs8jMCZPSl0OCp49+ACG5f78rDCMKb0teSA3zISak1gxcyuhYDit70E+G1XAoqxtdKI8JnNTUNH/AOHFwqySdKJPrUTv9DDVBvvjXu36p+SsaW5xFzcT4D3SiyHBzNrsC3ytBf8GrWC1cfymLpiKW0r6pH58iE7Ar3Ym9OSkEUfAIVuEaBQLwQUvp4cE/UhfHEPnu8PZYZvBE8zVTE1NMLCqj6dBvWnb49mWInSOB/uhfd+TRYdWUGLrwCFkJTpju8JCwJOBRcmZSpkpDy7RcjMKUTXcsGjaw4uv8wi3qQKtcw1yJXKleX5uRkppOk2Z8VGPzpXKSZ1/gFQTJ9FSvtFnyVlyvMzEJIy+085zbDVUUy2VeWE/xgW3LFl4865WIvjifIczdqnNVg0rwfb3WfyqK0vl4rnUHwz5CEh+fl+RnRaRq3lO/DtbV3oocgX8+TgQkZ63GXWhc1Y/+bHkAUv8Nuzji6VC997obT6xMJuzDjTjv2nJ3N96lDcX3fk7m43jIrmRkH2G7x/acLVOiFsW96bj37efxxQJB+nf2sXqvpdxqujKRrKBspJvRGJfd8lNN14BLd6bxjb2RHDceH4jvwJPXVVhFrZIwvtmHSmGseOLkLtnB8D3M8xMXwDg23LKMsUZXnxLB3Yk5MV53DAuy/Xffox6UI1IrfNo56ZASIVBRlxR3C0m0vFiaHMH2SL3j+0mXzpoXi5byb9fZ4wOmA5do2s0S+q55Vl3mHRmPFcqzSZ1W69KJ16sghQ+DG1ZwPMdFI5MHsKSw/l0aB5Hodv6bNg2SL6NyuelPktD4Wc6+tccdspZor3LLrUt0ZbVYXcxCvMdppFVlMXZo/5mQuLHdma0Zy5Ho40rmKOSEVGwvn1uC4+TiuXWQy2lRI4ZS4Ztg5MGdVT+ZUvJOqcXzOdeUdUmLpwCp0bWPMxmvi/HPIQ6sAvbZuL16ZL1OnnxbB6GWwM8OaxQS/cXcfSpk7pj6D1e1voX/H7HwIU+5fjs/8xDX8Zj0NXISlTxqubhwnx9eeWwhYn14l0b1oRTdVU9i2fz447GvwyfiJ9W1Qk7/V1Vi1dxVPdhox2LgYoHDvx/tBagjaeJ0/fCEMdNSWJj7AgyhUWtOhrzxiHHtT6w8XjJXkoFEgyU3n7Lg2FthGWpU3QVhPe33xu7Qpg3e5oavYcRAW1B2zYcJAXSdnoV6xH/5HODOvaFONvAgoZsec24bPEm13X09HUFKGqkJMvEZOTV4CmgQ39nacz3c0ewyffAxRhPNH/mXHOTbkVvpFLiVDeTJusDFN6TxpAzpm1bD4tpvtkN+qkHifQezWPNSvSultvGlctR/qNo+w9nsDPrh6MrPaS9UEbSFACik7E716H1/wwYmR6WBprK8nhlPaV62FdvzNjJvVDN/446yOv0HDUfJw7V0HyEVDIGTLZHtUr4SwNOIZB2+60/bk91XVzuXpgDzczK+Hu6wDfBBQP2bcpgFW3tHFf5EvnSlqoKCTE3zpG6OpIUqoOZenY+lzfGcbGM5kM8/SiRw1dXt47xZqgcN5UHIzv9D6YaqkqN9I3d8+wISiY2Ir2uPaxYJ+PN8+qjSV4Xh8MZRnc+3UHy5fvw2asL0610tjkPYureg74B46gnJoq8txU7p3cSkDYr9Qct5Rp3WyKAQoxMRcPEOAditXwYGYOrossNYFft61g9Wkp0wIW06acLhkvH7A1YAEHxK1Zvbg7dzb6seqMGp7rltLSUpPkuJuEL5rHaf3+RASNQCc7ncePLnE4aguHfotBkpNJplSdev1ms2pGK6I3zsd7v5YSUDT/BqBYetSUZUeDaK6nJsQISIy5yqq5s4it5cLMrmJc+07nsV5ZyhmpF+qjqAhjrIGheSumLp9Ol6rFSo2F6ofn11g+cwYx9aez2r0npkXhPpk4mXsHvRm3/Cmu4Tv4pWx6MUAxn5qiXF7d3Y5rv0CkHVsgj75IegcfLngVS8r8nRyKzLfXmTnQgZx+q1k7uS2aqgoKxGmcXu3G1H3aRB72p9TtMEZM3kG/FZGMb1keEQpy0+MJHd+fSC0Xzq6x41aQI2N26xJ1ZBWNTDSUcyPzzQWce45BY3QUG5yLZV7+44CC13h37sQOU3vWeY6gvKngzk3hfNhcZq5JwWPvFkbUlbNiZEvWifsS7DuZOiaaSN7+hucEN6McaeEAACAASURBVO7YLuWCbz804g8ycuhk0jt54T++K2ZaKry+FobTlE3U9NjDyqE1ST/mTo9pJ2jvuYKJ7WugK8rjYoQ7U7dk4b5qAyOamqNVAjHHX7FpfHmPLwGFJGYrvYcsQru9M+6jelCplK5SWOf1qXDcvbdQa/o6Zv3SBKPXh78AFCJ4exXXyRPZfi6GDNO2hIYup99P1uh+yHqSfgtQQMpvwTjOiMCk91Qm9WtNGX0Voo/647HmLh0meTOxZ31ebxvP5E0v6DDOHbtWtTBSTeLgqrmsumPBzLkz6VFLg90LHAmLLYvjRGfa1iyDSvJNVi5czHn9XwjyGEGjSiafqgP+FwGFsJHFntnIvKXhZDQZyXxnOxqXU+P2Rn/mrTqOWRcnJjn1pXZZ/Y95OH/H+Be/5x8FFN57H9Ow73hGdW+KoRJ45/Jo3wYW++9A1nQwri5DaVRehdMrZrPyYAINh7swpHMdMm7sYrnfTqR1BjDdrTPPdwghD6FstC+S85vZfllKG7vhdP+pPFpqCsTJ8TyOT0XXqjr1qpdHS55HnpC9rqWN5gcisxKNUnLI492d46zwXUOsVj0cJgyjYXk9ct8/5lDEes68t2DAuMkMbPb75Y5feyjkvH98iYMHD3L1aZqSVVdFWOwTHvLwRRqlqrTBfsRw+vT8GdXo7wOKR7o/M3VOXxIPhrN+6zHeUpkm7Xvh7NyQ+5tD2HxeQvdxTpjGRhB8MIGmg90Z18oKcdoTDoWHsu20mJ5ucxlZ/RXrA1bz0KgL7vP7k3dhL+vDz6HfciRj+zXESFsFaU4y8fHPScMK2wbliT+9mbVR12nkOA/nzlU/Aoq9t+UMGNaJxHMb2BRXnhkzptLUooCXD84QFryRJ6otmOc7EsXNHYSVFPLIe8dve9azOPQstYa5Mql3E7RyU7h1NIqAracw7+1B0Kg6XNsZxqbTGdjPXUCPGkakP79LVKAPO5/oM36uO22qGSLPSeT64ShWR92gieMSnJrksmHBTH5VacfcZS5UzYvnVNQqQnYn0me+H061UglbMI4d6a2YtWA6rcrrk/MuhkPhq9n7QI8pAYvpWUtI+is6PnooVhd5KOoVAoqthYDCLXAxbT8CCi8loAj17sPjCB8Whj+il98qRtTU4Nn1AyxfGE5ak6lEenflzY0bxElL81OdMmgjITn6NOv8lvCbWjcC100hd9s85u/IY9q2lXSwNELnAxNbUcjj1GoX3KOSsPdeiWPTCigkqdw7upklK8/TfpY/jo1e4znKB5Xuc5k9zFZJ0CaTZPEm9j6xuaVp17oRptrFQ4ZyslOfsmXJVAKum+CxeBZdqpsp1/qs+Pts9ZvDflkrQjf6UUv+/jNAUUsD8nOSORPuySjvrUjz9Kk+OZxznh0+mlH2LUCBgryMV0S4dSXwdTv8/WfS0FSV7NdXWeYxi4vl3DgTMhzN56eZOtqJGFsPQmb8gqlKPq9ubWWKWyimE3ez06k6r09684vLZhrPXs+c7rUQSXO4uXc+zoFPcQk/iNvPxp/G9VuAQqgey8pAoqqDgV4J1TBfrC8lU2+XlEMhuMbPejLCeRuy8o2oU9kY+dvHXDoXg6WDF2ELR2KtLeLRYT9GT1sOFVpTr6IB7x9d53K6OT6rwxjStCxqKlns9h3PrHWXqdKoPRX0JURfu8Tbcl2JDPWlYVltRJmxeLnYEXVblQYNbTGWJXLu0h2s+80k1HM4ZQ0EPod/5viKelv6nq2uI/A68Qzjmg2oUdoYjdxEYq7fJrNCb7wDPGhZ1RzV2ANfAwrg2VFPRkxezVX1lqwvAhQ6fwBQIH7N2oUTCT36nDLV6mGlncedW3fQamSHt6czjazNkb64wtyZUzj9TJ0qNjboil9z+eFbmttPY/aYXlib6RF3LoLZC/x5IS+HjbUF4lePuZWizegZCxjdrQmmArr/cPxvAQoNdTLjL7JqiS8X0msxzn08nRpWQPgAIzueyMB5rDiRTMex7ozt3Zyyev9MPs2fBxQCpnjDjpCFhB55QUv7KTgNaI3k6hrmL9vAvSxLatewQpqSQPTTJGp2H8M05848V+ZQCFUezjSQXybAbw3nXqhSvko5TLQVpL56wiu5JX0cp+DY3Za026e4HJNJpaZtaFq99A8nZcpzX/LrlpUErT9DhmFFqgmby7MY4pI1+HnkRCY59sRa//d5XkrKofjqTZVlcvnQGtYefUydXpOY0K2e0iv2vSqPMP8wHum0YOqi0Wjd2k/QwoUcfleJUTO8mN7XhFObQth8Lo/urq5UTzuGj89mYmSmNLAxI+9tPPfvPSBbtxYjpngxvo2UnUGLWHNVTqeRkxnazJQHe9cQciiOUtVsKGuihiT1Dc8Ts6jcYTQe43uQemETayNLBhR2LnZIr2zGa+UFjGrXpoqBnDdPH3H73nsqNB+Ip+8YtKP3s3734xJ4KKS8f3yBDf5L2HQ9iyp1amIqF/Po/i2e5RrQe4IXPiNqfQEojFGI33Hz2Hrm+0bxSr0aDWpboJL5nmePEhDV6sr0hZ600Yrj4Lp5zNz8iEr1mlLRMI+4RzFkqJrRf4ofY2qnsW7eKPwvaVD/pxpUMDQiL+k5cQn51B05nXnje2JVPLv3BwHFfnFr1gcOJedcBK5zA3mq1oA2tU1IfhfPi+dvMG0/iw0eLTi7aiH+B2KV0vWljKAgI5GEZ+8w6+hK0IzWPNvtjfPSA5h3Gofz6FH0rPuJ4KQwKXMyk0KeULFVecrqVkKj4D1xd56i0nAIS/zcqKfyjmOhHszb+ASrBvWpYCJCmp1CbGwM+q0nETLHkfJfsJvJ8jJ5fHQdUz0CeGBUg7b1K6MnF5MW94gHb1Xp77FaCU4UGV8DCsFDkvniIktdRxN4NgPbadu4OKf9HwAUgnMlj5jTYYyfthix+c/Ur2JMSuwdrqcaMjtgDU5tKlEgSeNoyHTcg49TsVFnKhtKeHz7JgmlfiZywyp+KqumDMn5u9kTekFC0xbNMZG95/KV2xh3mUrUMhdKFy8D+wagEMI7pzcGcsegC+Psmn4KkXxj+y0ZUKTcwGWMM6KBUQQMqlyM6jSPByfXE7p4LSdfZSMV6dJysBezx3ekirleoaaHNJkrB33w8z7A3RQpxmWaMWTOTEa1q4lBEbWzIvMBO8MWErLuNq/zNajcrCejPKbSt4ZpEZsk5Lw4zEpfP3acekVGgTEthjgydsJwmlhof5+2+C/EGiWJg+W8vc+u8E1s3nuGF2kZoKpFzabdGePqSLu6ldBWV0P6/CTTPcKxsvfAsX1NTLQLF2JFzksivFxY9cgKj7kedKlfDu0PgEL2mnXu07lr2R93hy6UN/08Ji5JvMSW0AAi993nVYY2tTv3x8HFkbbVLIqoVGW8e7iLdYFr2XfpBVlyK9oOG83o4b2oW9oQTWFDlqZy92wYqwN3cjEmFQ2z+vR0nsDIHs0ob1hYovvxKEhi78p5HMqozziHfthWKPXPEFuJpJzZOJvVp9JoO2wyA9vXp5QSTRQe4lcXCVrkyyPNnxjj7EAzG8u/jcHzj3gorkrr4uLhRJuaxsScDCP0xDNqdx7KgDb1iuLahXfJSjjNau8wolXq4TBxBM3LKDi7ZQNrt+wlXt2Kzr3bopH0Elmp+vQb1JrXRzdxJl6P7kPsaVNDj/jrvxK5aRMHLj4gJVtOmdqtGGDvSL8OtljpS7m2J5Rd11No0HskfVtU+6JstHhPFLy9vpu1ey6gXb8vDn3aYFYUssh7E8e5A5tZu/Mwd+Kz0DWvRye7EYwe3Ibq5t/P0ZC+ukp4xBaiNRoydtQIapREWCnL5vbJKLaejaNaRweGt6+uLIP+PUCRlXCFHeu3E6tlyyi3oZi/ukLUOn/OZdswfNIculVM59yeSPZdzaXNyIl0tcrm/J4NrIrYzr1kGaWq16d+VQs0EhMxazWK8SPqEHM0DN/le8G6DxOnjaWh3lsObwkj4tA5niWKMbSyoUO/0Yzo35GapRXc+XU32w/ep/aASdi3qkh+RgJn9m/n+AM5vceNpaY0hp2rgwk/cYV0dWMqNqhPTUN18rI1aO80lrJJF9l9PJaWDlPp08Ci2IAIFMm5vLx/iS1rVrPz3H2khhaUsS6LZn4eZZqNZIFTI6KP7WD35Uz6uLjSThnvV5CX9oabx3ewLnIHFx6lomlgTaM2A5kwvCsNGpRGQybh9YMrhC9fzp5bLynTrA2dfq7K66u3KddrOgMrJhHh48EJ8U80a5DBkc2nkRpVpPuwiYwd1FlJdPfZIcvj+Y1ThIduwfSXeTj3rK6sCrl0MIItl6SM9pzGT6W1yXobw8ENwZzMbYr3Qnv0Ul/x68ZVrAjbR3rpqnQd2BOTVzeI1uyI7+yeqLy6xa4N69gQ9RvvUUHHqjwt7cYxsV9PapjKefvsNL5zF3DuuSUD3ZYys1/Nj82SCM+P8iXkpAbt7QzZ57+VBLEWtp3tmebsQANrI6W7X5wSy/FNoazaeYLnyRK0jSxp1c8F5+E9qV2mJK5UBfk5SVw9tosNa3dxPjYBkUgdi7L16O0wilGDO2OiBvlZyVxYP4uVj2rhu3IyVYsAmFAK/PBoCJOX7cBoUBB7JrX4BCgkOTw6Gcr8TQlM8Pembbni75ZA2Z3ErWMBLPPZw+0kMLZqzBCPaYzsVB9jYSlUyCnIeMiBTYsJDrnOG4UWlRt2x2HOVAbUsihcxwUZjNe/EuK7lK2HX5GtVoqmfYczzs2JFmZf1IApZOTf30IX1w0MCzyLg0BBIyQ15L5n4zQ7jlu4EDK3H8V8VSXusiUDCrkMsTgHFQ1dtDW++CJRyJDmipXEIHIVVbS19dH4sj5NUYAkJ488mRyRmjY6uiWUc8rzEGdLKFAIhDM6aAmU2581UYE8PxdxbgFyRGjq6qApUC//w8e31EYVMinivDwl/bgKqmhqaqOuoaakVC0cCSm5uRJUNLTQVBMVE1ArpCgWF4CWphbqn2mQCMQ4YmQq6mhpCvocX/phBE57Cbm5+RTIVdHQ1kZLcG1/dppcSWaTJ5EiF+6j/eUzCidafq7gHpehqqalpPlWK0nATaGgQJJLASKlpHiJ5/xF4/EZsZWGOhJxFvmooamljbroC50WoV252eTJVdDQ0kZDsO9f1I7fu03JxFZLuJpXk9HTHWlXp7SSgz9fKsx7DdS/DDsIpEDiXPLlCtS1tZTtVkjzkeRJkKuooaGpgUIqzHdV5VwSuCukclBX10BNCcYVFOTnI5FIkAn3EOaWpkYh8ZyQ2pwvIV+mQKSugcZ33hW5tID8AimI1NEUiLGKdVwukyKR5JFfIEdVpIGmliYafzTEKJciyc9HJoyd0LYSB0aBrCD/k53UVJBJC3h9bQdrQ/aSVXPwV0mZAilRfn7RWiBobyj/L0GmEKGppYVIRY40Px+hS2oamqirqSD0MU+YvzJQVVdHU4iBSwuQoaFsmxBWE2wvU1FDS1O4RlXZDkleHgXKtUtdeW9h/gm2lxUINpMh0hDsIeQryCkoyEcqA3VNTdRUFEgL8skTxgcR6prqqKsK77sMVXUtREgpKJCjJjyruG6OIp/0xLe8SEhF01KQENBFJBfz7OZRwjcfRdR4NF7jO6KD8Hw5Gppan72LCrmMfEkeecJzVNXR0NJCszh5hNBOiQSJoIWhqYWGSEU5j1TUtciIu0SEz1xuGznh59cfQ7Gw/ojQ0tb5Rn6SArlUmB/5qArzT9AoUsiV/c6XKgrHQlUFQWSqID8PqUKEtrbADyRcV0CeWKIk3xLsLWihSFFDW6mlUvh7rli4RhgvNTS1tdEoWtyE++VLchAkj9Q1ddDSKPbOC8/PlyCRqqClpUZ+njDmisJ9pTDZ7+MhrNu5ucLvwtxWQ0tLRzlXfu8QmGAL8vLJFWymAmpqmmhqayL6sPAqCtf0PJkq2jrCOH84BIHIAsRiCahpK3lcirVE+Q4IYyb0s8S1VV6ARJyLRJi/alro6Gh82l+KbiSQ4eXm5Cn3USHUqa35+bsszFuh5FQslhaOq87v7KOyfLLEEjR09IuV0AprVg4FqppoC5pR31ln/5Uv/46B/pUv/wd26pKot/+Zx/7QU0qi3g6eMJc9DwqoP3goI/t0oF4Fcz7qwP3Q3f97T5ZLMol/eJMT+yPZfzyBSt3HMWtO/8+ot/9PW0eeyZ1jUfjMDSWjRjs6NKmGKOcNd65cIa7AmklzPenXtOzfApoFSudNPp7cMhxDYOAQivtN/k/b/N/O/S0W+BdQfMesL1++xNzcXPmF/ndLeP8tI/z/yU1LpN7+D2v7V4Ai7xEbPRaxbtc5Xpdvzczpbjh0a4Cuxj/hL/kPM87/oDkFaS85EbmCwHVRPJPUpP94V1xdu/EXyaH9D1r2T12qICvxMSd3rGL1prM8fpuOipYuZRq2YsioCQxtXQ+TD0Jof3GTkp9eY8dKXx4YDWa+Vz/M/+L7/3u7/y4LqEgkkt+VZ//vMsfnvRUAxJs3bzAxMfkXUPyNE0Gws+CGFECFvr4+6urf5nj8G5vx3VsLgCItLU2psaCrq4dCnkvK67ckpWaSr2VAaUsLTA10vnJLfvfG/9UnqChDD5mp73ifmKKULy9lYYG5ucHvJJX+3zSYNDeb5LdvSM7KRa6phYGZBaVLGaP1UeD6r++3TCImNektuaqlsCpjhNq/u8Ffb+T/ojuqJCQk/DuFfmfAhY1OU1MTVdXvRY/+i2bN39BVmUyG8E8AE4KtBR6A/8QjPz9f2T41NSEeqoKauhoiYW4o5MikMmRyuZLM9t/jByygooKqSISaSIiLK5TzQLDlf5UdBRuoqiISiQpzpxRC/F2mzNFScib8TYeKqqoyl0BVyI37b7P532TT/+bb/hvy+M7o/5tD8c+8Hv8/hjz+Gcv8+5R/LfCvBf61wP8fFvgXUPwLKP4jZuq/gOI/Yhj+bcS/FvjXAv9a4E9b4JuAQijhEUrZ1D7WfQmlMQXISnRFqxa5fouS0YQyHqlUWdqmoqqG+mdlk4VtVbrzpIXuPMHlpvZZ+WThOUL5WqEb7ov7F3VXKCWTyVWUbsKvKiz/tEk+v/BLD4XwTKFMTKRW5Jr8eLoCmdBnoeRP6bottIFCVbDh52WPwj2EUrZCF6+cAqGP33DxC/kFQvnah9LA4nYTqakh+rKkUll+JUMqlytd8spzviwJVRS1VWl8VWU7VEsqG1VS4n8YI9W/NSn1S0DxoZ8qqqKvx1co0xJsiyoiNdUSymv/osH/4jZfJmUqSwmFMZfJUagUhkFUhXEXbPaln/qDW1/1j85VBXKl7YVwwN/QR4VAKy2EZwrv/zGNVAjdCCEH4bciV7swB4VxUM7XP5BvKrRbuFT1s74W9kcQFSs+14VzhPdX4AkQniuUzAr//2peK+Sf2luSDYUQgdAngTJbVXg3/5458PldP4xR4Rr2+88stLcwL4Twztcl4f9Ee/+vPqNwHGRylPvQXzb0yn1MqNkU5v7nIe/C9UmOqnJ9Ldqr5CqFa0DxBhTdQ6EqQlm1XLQvfmskVNXUP5UUF+2jyqVcuP6b+6i0aJ34zj6qIrxbxff0L1shlEYLddfqf5p9uERAIZflEn/9OjmWDahdUb9ogDK4/+sVnudIvrKFQmFAzeaNqWKqi4qigKyUVzy++4S32QVoG5eleh0brIx1PjZSIc0l5VUc0dHPyZCqYVKmCtVrVKCUjlBJUXh7mSSDl0+e8DThHbkKXcrZ1KBKRQulhocQZxWO9JcPSUjRoFKtSuiVYOy/4vX5ElDkvHnArWf5VK5XCws9oRb5A7rJIe7OXeLlFjStVR5daSq3795DbFyD+lVKo/uxblpO+qtH3HqeR7VaNTDOT+DK/XhycgtKaK4CkZYB1es3prypHiJZNu+ex/H02WsyJGqYW1ehaqWyGAs8H8p2CPK0qSTEPOX562QkKvqUt6mGdTkz9ASuAaWimBRx2jtiHz7lVWoOIj1zKttUpayFIVpfcBcoFFJSnsfwVqxFWesyGOkK9eR/z/EloMhLf8XD27HIjMtQpVoFjIS5UfRoSVYiT27FIjGwpIpN2c9++3taVwRw5XKSk5PR1tZWJo8qZFnE34sm9uV7cvUsqVW9Kmaq6TyMieN9eu7nttLUxMSyPJUrVMDM4Bt158UbL8/jTdxT3ovVsapYEQvD4rR2/9NeKsjLTObNy0TQM8WqnEUhC6nw3uUkEfc0hthXKUoODOEQPgrMK9pQrUpljL/TDFlBDu/iX5At1cKysjWGAmOVMO3ys3mTEMvjZy/JzhM0FAr/bmBpTbXK1qimx/H4aTxZMiMqVLWhWjXLz4i5CnKSefsigQyJNhblKlDKRLfYoqdAKs4m6dUbEvNFmJYtTxmjogd/y1RygbtA4LVQQV3Jg/Djh1zo68sE3qYrKFutGhZ6304mFvgCUt694MXbHMwrV6fs9wz54835v3uFABSlUgrypajpaH+12QmkYEnxD4lN0qJWs1oY/ZnB/NJ6gt5MThqxDx+Rb1adOtamn/gl5FKyk55xPTqJMnUaUsVYhcS4m9x7L6JmfVvKFokuClpXBeJkHtx8SI55LZqWVyX69m3ik8Qlgk8hn8W8ii221a1QkxeQnfKaJ/ef8DarAC1DK2yEfdREt4jYsZAMLfXNc6LvPyNDpoaJVSWq16xEKd0PzMEKBIrvV7GPiXn2llwVPcpUrY5N5dJKna3PDwX5eWnEXL6HTv02VCrGyv0jE+srQCHNyyE+Zh+z7CejM+ECG8ZUL/p6vcNU24FEvkz9mCQkbOy52enkKmqz5Pgu3FpVRpZ4i7X+c1kReYu0AikaOpY0GT0DH+cBVDHRQhUZSfe2sWjJSnafiUMik2NYrjbd3Bbj1f8njLRFqMgkPDi6lDk+u7jyJBGpVIUyTToz2mMeDs2t0RPlkJGRy43tfuy8b46jux3WBmaYGGp880v7R4xS/NwvAUVs1ESGrHqP29ogetUozUf6d+lTfB1HEyruzrFAJypmncVhzAQuq/dj9UoP2lS3RFO560u4EeGO3ar3zF+2iBbpEQz13ELM6wyl2FpudjZSVU10tAVSIBU0S1fHzT8ch58rkH5zPT7+ERy7Gk9OngzTGj8xwHUWYzvZYmWggUKSxqW9fixbtZ/rT5PIl6pTqU1fXKZMolejShhpqpKfHM2uDf6s3HSGZ4lZiLRNqdPPCY/xQ/mpsjmaRQhJIFVKT7pL+NI5XCxoh9vUUTStava3MVJ+CSiyn58nyGM+RxKtGTPbjV9aVcdAEJuTZnN1rz9Lg36jfI8JTHLsRFUz7T87vD903Vdlo7n3WDl+BsHbzpNSoxtLPd34WXQRT58QTj1I/Yx8R6GqgpF1PXo4TMKpX0dqmmn/7iamyH/Ldt9FHH5mxOAJE+jW0OqH2vrNkxVyJLnJXD2xkYgd16jQdhSOw7phVQQU0u7tZdnSJaw7FoNcVLgwqWjo0Wa4O9MmO9P0m7WcArtfDnH3jxK+JoK0Up0Y6zYR2yLl6/x3d4latQjf8KO8zRWIqApbWL2zI67jHdG6uRaf4LU8SK/KQNdZeHr2o2yxTqTHnCUieCk7r+XSznEqI+17Y6374esjg8eXjrI2IJw7oto4uM9iWOPf5/TLT33H08v3SFExoV63RhTTmfzDdpakPePI5ggO3yzAzsONDtVLogUtAmq57zi7cwMb9jyly/SFDGtRvHd/+JH/lScKBIdJ0fe4efU9dR26UVbzc7KqvNQETqxyZ9kpSwJ+DaLR5z//OZsJaqNPL+I9bTpJHbxZNbk9H7g0FfkZxJwKpMfkXxm5cgvTflLnuO8A7DfmMHlZGHMGNShcRxX5pCacYqLdDJ51WMbx8Tp4Oo9ny8X3yo8/gYBQWMe19fWUIplq2vo0HxfE+pndUU+6R2TwHAIibpMqkaKha8lPDq54TbCntqlAyiYh8cEBlvn4EXU8DqmqCoZla9PZ1YslQ1pioK6CPD+bJ6cD8VgcxaWHSQI7FqXrt2Wk5xIm/FyRj3Iogl5HdirXTgcye/IWftn+nKlN/5zZigEKOeK0DG6fisTHJ5Dj9xIYsu4h64dXLXLPZRJ96jJxAuuXsMioqKKal8jO4Jmc1xxOxMalNLeScWr5GOwDrtF7/HT6NDAn7twWlm3+jQE+h1g6tB7qubEsGmvPyjt6THadiK1pDqeigthyRx2frYcYbGuCyvPD9B3gTLxFJ1xG9KasLI51gb48M+/L2rVLaaxzj2XzI7nx/g2SHCO0SkGZ1hNYONgWA+2/YjZ9MuaXgCJu+xSGBCcxba0fPYrLl8viCBg1mpWSbhz1H4N19gVGOU3m0M0sfnYJJmhKb6zNdFBRkXArwoPBoe+Y5b2QvlWk3Ih+TnZuASryJPYGBfC0VAeG9f8ZSx011LQNsGnQmDKSe7hPmMLptHLY2fWnrlEWBzev4nKODXN8ltKzkTW5NyIYPnkZORXaYterLaWyo9kQtglp3REs9hxHwwp6XIlYwJTAY1i3HkDfltXJiD7Oum1nqTdiCZ6ju2FtqkW+WMyr6MuEhwQRcfg85t1mEDTXiaaViqH0PzffvnnV1zkUcuKvbWfeXH/iKvZhgesYWlcxJunOTmZ5rSWzem/cXYbRqILpd9nb/qqmlkRsFTTBiyPPtWk3ZiT2HeuTc3kD8zadR79GR7o0qYqOqkwZDhEnPedQ1A7ui8szYe50hnSqh86HOgYhpFDUyI/hAOk7dvov5vBzQRxsAt0aFO7kwu8fzlGGIorHIITfCl/OEsGKEMbMev+Cswe3sTosgvviUoycPpeJg7tgqQQUCuJOb8JvzV5yyjalR5s6aAtxD1U1LIo8FEYleCgEJkFJRgp3zh9j/ZpQjtxMoPmIGcyZPol6RZILaU/Ps3blGq6lmdCpe3vK6IqU7n9Dy4pUq2KNamY8l49GsW3XHUzbOuLxRDvffAAAIABJREFUBbFVRuxZwpYtJOhgNGU7j2TK5Bn0r2+s7GfB+2j2b/FnaegBRFUHMGXBIgY3LNzcv2Wv5PsnCA/eSJx5VzwW2VOhGOuh8hqlGb9h38IbK78QE9+84F2GgjJVqmKu9FAUjs9n4SIVFWS57zi3J5zwA09L0PL4NEO/bO+HX4S2FA8VFaqhfmrf59cJ4ckPV37elsK/fvibcH2hjZTT5oO9itb3b4e3Pl3/ob8lteXLvxVOzU/ug+LzuGiwCm33he3z01/z2yYffPbKmH0wkJb6n2v3CIDiVOgMfE+UIeDUcmxFheG6r8bvQ9/ln96Tb4aePsiXu88mpd3Cz+TLBUAhyJf3nXyKISFRTG+izonlQ+i77AblWwxhxUpvutoYoKLIJ+3Fr7jauRPTyY/zs5sQfeMmz5PEqKnkE3thJ2sOvWWQmwtNSusglymwsGmEbXldfls/jaHeZ+g0yo2+jSxJuLyLFVvO02n2NvydfkKeEcdKt9F4n5cycfo0mpjmcHb3GjZdErNw66+MaapPdtwpRg0Zw03tNsyYMBir/KdErFrOTfV2RGwPo0VpkZLJM/3NS45vXcmyFeFEZ+vid/IVLg3/3KpZDFCksHmMO15XHtGklS1Pzu2mputpNo6q/nUMXjkn80n41Z9+U05iF7QG1zaVEWU8wr1XS243DiLC247Sgps97yl+Iwfhlz+M6C0uqN4Lo/9QX+ot3suSX+qipa5K/quj2HdzIXVQGHvcWhK/aSgD/FOZvXMrdrVLKdHbi1OL6e58hAH+EUzrbMW7U3vx9VnE7hcW9LUbxfDxPWhaxuijFsifM8fXV/15QHGOUWOX80ZDzMtkE9x8VmDXsiqGmgUfAYXH0oUMaF5cvvwNAY7DuF5mFIsn98Ha4iMm5tm+WYxedJlO8wIY07GeUtsi+fZGRrpspNyQucwe2pzoVQNZfN6UCYvm0cO2ArqiXK5FzMU5/C1Oc+YyqIEqYVOGc163NzPdR9O4YinUJAlsnD2FwPhaBCxwpnVNE25HRrA0bDvJJlZoix+RV2kgC91G0qyy2T+j5aH5QT8gm8sRXsxfcYLqdl6MaWNEVOAyTmbZ4O45kZ4NrX9Hr+KvmgGf7lMy9fZSrsvq4zJzNK1qGHJ//3KWHSiULx/ZRZAv/3C9nPhTa5i3/gRWnZyYaNcJPXESmRIVDI1N0NdWRyHLIzU5FYmKNsZ6uRxcsZTDzw2LAIUlUomYtNRU0jKyKJCJ0DMywcTUGF1NoexPjjg9mTSxFB2jUiWGp1Jj77Jl5Rq2XY/HyEqdXKkaP/VwZNLQbkWAIotrUaEEHUyg8YAxOPeoUZSHI+TYfEF/Xsy8BVmvObZhIyu3nYeyBsjzMjCt24uZri7UU3ooZLy8doDAtUdQ2PRk+tgumGhRlCvxiUI58dZOVgdtI7WaHdNnD/jMQ5ERe4YN/ms4dPs9xrWq07jVMCYMa46eioyXt35l37YtnLrxEixtsZviweDGJkjzc0hLSyI1TYxUpoqmtgEm5qXQ11Th+aVdrA7cwEvL7rh5DqNeKRO0RDKy0lNJSUtHLFGgpWtAKTNT9HU1UUOGODuD9Iwc5Coq5OfkItI0xMBAXZlTpWtoiLZIQV5uOskpKWRm5aOiqoGugQmmZkZoyZK/AyiEL1YxaSlJpGRkIxeojgXafBSIdIwxM9YiLzudtCwJIhUZ2dlS9AzNMTfTQSrOJC0lmcycfGRq6ugbmmJmYoSWhgoFeTmkJaci1TLG0lRfmeMj0NqnJGegbmSBsaaMjJRExApd9LUKSE5KR6qijrGxGSalDL+m3xZCAblZpKZlINIxQCH0N0OCjn4pLMyNUJXmkPT+PZl5CnQMTLGwMEFTRUq2cm6qYF7aAm2Bar0gj/TkRHJU9CljaYRKQR5ZyYkkpWUjQaDQ1sPM3AI9HTWy3jxmb7AnIac1mRK+iE7W5SlVLLz0CVBY4rvXk3IpSWTkK9DTN8HMwvSjp1AhKyAnM43EpBTEBQrUNfUxtTTDSPeTx+zjtP4BQDGtiTon/Uczacs7rKzyKdd2Pqvm9MZEVPAJUHT04/KCYvLlkmzlWuGyIoZ5EWvpaP1hrZcjTo7Fb3hrfi3vReQKJ8qpy5FkxbJ+2hgWv+rI1d3u6DzcxegRMzFz3c0Kx8ZoCKHsl2dw6T+e+x1WcdmrNY+3TmbAvDtM3X+cMXWNlODh3ZVVdBkURruggwT8UgFJWjQL+rqxJU+N7s0s2H/wIu5bY5hUTNn8R1bSYoDiJVFTtiDv04+hdZIY1K0volFniBxdowRAoUDy9gxjuzny7uflbPHvQyl1VbLj9zGwmxcNF2/Fs5eNkjNeOK6HDMN+nRZbfwtG89B8Bvi8IHBHCO0qGxfFg3JY79CCsAJn9q8ZzPmZvzD3dUeOb5pEWf1CZdGC5JtM6jMS7FbiO7oF2fe3ErzmNtrqb3hZpgternaU1vvrVUj/J4DCwSmYMvYDyV2/kZgav+Dl5YhtWV3uby70UHwNKL4lX57HGb+JzDpvgo+fK82rlVaGHuQ5cXg7jSGm0ig8JzTn2CwXThj0YanbIGqWK3Tipt7dxRT3jVQf7cGQhrn4TglCt/MEJg5uS7ki4Z/722Yzbf07HBbPpGdjSx5uPcyDPCPada7E2XWz2JHShJmTHWhe5Z8GFIK66BNCPeaw/WoOpQwLeJteFnuvKdh1rovx7wtf/sh78IfO/UNqo/uW470vmro9HbHv0Ah9VeX3FgqZmAcH1hCw9za1+jkzfkB9LocsYHe0Lv2dnOnVpBz5SXcJ9Q3mkUZ9HJy6kqBUG9VXAoouNdW5e2ova9dt5MjVR6Tn6mDzczdGTHTil5b1Ka2Rx8UofyIvJdHEbjx2bWryeSBITlLMPS6de4RmlZqUFd1k7ZaT6DQehqt9EaAoeMuh9f5s+S2Luq17Ud9CSr6aNuUr21C5Qmn0vsHln5eRwNUjV3mHBQ3rSdm7cT131JrhPmViIaBQ5HL/VAShURdQq9yJjvUtKZDnY16uElUqW2OqXxgX/57a6IbA9VxLUcGqkj5q2o1xnDSSqtppXD28l4NnbpIsySVbYky38bOwq63Kgyt7CVkXwoGzTxHnaGJeqQEDJrnQt5EJ54O88Nt8hhTt0jTv64TnDCeqSe4RtTaEzccu8iIZLKs0pO+48Yzo35kahrlcOxZJyLpdJEk1SIlJoWyTvrSslcOtGCmDZ3jQyiSZk/vWEBi+nduPMlFTN6J6s+6MnT6RvrYm3Nwfzvr9JXsoZHlpPLx4iFXLV7D70mMUQm5LWUtKaWpRvfcUFjrU5caBcEK2X0BTlse9WBHdR3niNrIcN7avY93m3dyMSyVfz4RaLfoxzsmZX9qVJ/nBadb4reB1LWdWzOyGrjybhxf2ELB8BxVG+DC2djqbvT04ll6PJlUT2BF+liwNM1p1ccBZEJGqYf65GGOBmJhrRwgOXYdKjdbk3trNrtPvsWnUh6nuwzBNOYO3z2quvyjApsUAZi6eS2fLLE5E+BF6WYcFIQtpYqZBWsI9In3mcEzUl00Bg8iPPsG6RUuJOP6YFFV1LMvUYbDzdEbaNSRhfxCuU/y4J9bAsnYrnBevZla3ih/fWSWgWDODRbtU6D3ShKMBO4nOAJs6nRk/ezZ929mgSz6pz68TtTKY1fvO8CpNjqF5TfpMmozzsF7U+DLn5kcARWM1TgaMZcGt8oz8WZPI1Xew37uFsfWMyPzgofgSUHxLvlxRQPrL0zj3noGpWyTB9rWV/ZRJcri9bQ5jgt4RcHIdVtdWYD/rCtMjNzGglpHynILcDHa5d8E7YQAnd47l2gJ7Jl+rzbkjCymrTO9RkJ8Rg0fPzrzsHE7UrNZI024SNvs8NtNG0Cp7J3X6L8N5yzNcm/yhJfGrk35Ivvzj1QoxR6b3Z9wpXVbu3kiPSrrKJJO0R+vo0mkT/SO249ra6qO3IHbHWPq4vSfw0Ub0ItwZuFGNXbuX0bDsp8Sq/dMasODuIHbsGc6vDgPwN3TkctBQjPUKv1YVmc/w/KUjz1oHssKtC6IXT4iWl6OxcSxnHkHdn+piofN98ZIfNdP/BFCMHBNI5Yl+9NK/wtxlB2jsMJcJvW15tWf2DwKKVPbOmMCi+DqsWzqGBpXMCl3akiRCJ/TnrI4dc6Y3YbfLLG7XHoX3xB5UtyxEvOK447iP80HffibDGqWxcPJWKttPw7nfT1jpF4aHEo4tYKLXXbr7LmDQz8WSmv635Ms/eigKRyv5wW7mTJnHtpvZ9JvhjYdjL6p8ocT6o+P6Z87/I4Ai+lAQc1buJ0PXhobVSqOhKhNStMlNe82VS7cRlWnD9NkT6dLMkCMBC9j98I8AinHUk5zAy3s1V7OtaNHMlnJaeTy+fo0krRo4uEykd3Nr3kdf494LMWVq2VK7ounv5LvIeXlhE74Rx9FtOvwjoFCkPWHzqiWs2nOD9Bw1ctPfIlbTo1Ld9jiMc6J/14aYfQy8lmzBEuXLC9K5tGcVviFbufdGDdXcFNKkMkzL2/LL8LE4DulEFRPN7wKK9YEbuFdgRXUbTZLeaNNrnAtNjd5yIHILV1/kUMpAzuNnCjq7zKat6nXWLQvk7HsDGrVqiIkohac3rhCbW4l+LuOok3mM4OCtvDBqxjDXMXQuK+PcFh+CT6dRr3Vb6pprkhR7n4cv8mlu78qUwQ15cmQNXvODeG3akm4dOtLYtjzix6c5ckuK/YwJmMfsJ2BxJOmVWtC0riUFSU+4df0RKjUHs8CzP5m/bWbd3pivQx4KCQm3jhC0aBGH3pnStn0LzAtSuX7uJNeTNOg9aRHLRtbh5vYA5vnvRtWmO706taZx4xooHm5m7rL9ULUjHZqVg5QEbl+4znvz1ngs96RRzg3W+AV9E1CMq5NO2FxHAs+KsG1Zk/o1ayNLfMRv5++h18mFwHnjqGFULIFPmkvs1QMsnDuDm/KGtLC1oRRZ3Lp0jviCUlhbVaRqjQqoZ0Zz7OIjKvZYyOapDbgQ4cfqEgDFcVFf1sxpy/mg2SzZ84JWA7tSTlvG22e3uBIrZtD8dQzQv8eKBXPYfkeXXm7ODOrWk58rf8p6yUt7wamQiUxY/gCrxjVo2KwhltJUrh8/wSP9FniHrqRLqXccCBzDlK3JtOzdgwbmOkrPx8XLcTQes5iFjm0/5cMJU/sHAcUJfycW3rVlzQo7jnmN4WhBb8JCxmOWfB5Xu+nE/FFAIZeQ9Gw39h2CsA3ZxdJu5ZQvmiDwFXt4CSPcruL2WxRVLvgyePF7VuxfS4eKhXFIaV42p727MvVwS/ZcmML1iUPwSO3Jwx2T0FN+fAlJ+4ksH1Cfs1VWsj2436fcoW/Il//oOvmnAIU8+TSDujqS0m0Dxzxbf1Q2THu8nq4dN9BPABStynx0lz3dPpY+094T/GhTIaAIV2XnHr/PAYVbAxbeKwQUpxwG4m/gwOVg+88AxZy+nYhvE0CQWxdK6XweR/vRjv/R80sGFMlMW7usxByKVZLuHPEfjXX2OUaODqD8xCCmdjHixFIXfG9UwDdgGsY3ghm+5h0zvwp5fMtDkca+GRNYGF/7K0AR4tyf87p2eE5vym4XD27XdmDpxJ4fAUVO7DHcxy/DyH4m9gKgcN1K5SFTGd9fABSFWenxxxYwyesePXy9GPifBigU0v/H3llAVbVt//9DNwgWWIjd3d2K3QWKoFiolCgoiIBKNwoqBtiF2N3djdiBgIjSDeec/9gHUKxb7777e+//3GPcMe6QfdZee6619/rsOeeaX5IfH2OZlQs7rqXRz3oJ9jOG0UBPcN/+s8cfAYrHh0NYuGwlZ2JSUVFSkCYY52TnUKCiRcuhRtiYT8ewVT00lFOJ/hFQeAfxWKGsh0LIoRhB5sm1rDmfRv/J0xnXpYF0V8aHe8dZu/M0Ki1HMNN4MAZaf9QiPwaK3PhbbF7lw6bbaTTvN4K+zWqQ/+waO7fv413VvixYYMOAuipkZ+VSJGx/lFdARU0DNeUvKog/Agpx9gfObg/Af+dplFoOZVTP1mimv+bk7m2c+liJSfOXYjOwEcm3drEqcDtp9cd/pzYqhDzC/dbxTLk5fbppcfNsLLX6T2VwtXi2bD1Eum4rGim+5OilNPrPc2RozTyePnhNKhqoqYmJu3+cA3u3cTOpBlPs3TBt+I7IwA28qjwaR7eBvDsYideqA6j3mIK9cS/KKciQk/iYA7u2cy3LgFnzp6FwcwMB/gepYbIU+6k9UE19zqHN4UTdFmFkb0sblTQe30tCUr4isrkJ3D2zg11HzyGuORF3z8lIbu1i7Z4n3wGFJDuOk9tWsTziIYYLl2EzuDnyuancO7aJ5WF7UOpjS6B5C25sDiJo2xP6uwVg0bMWaU9vsNHHmxMpdXH2XUwnfTXEeSncPrQJz4D91ByzhNndxWz08SXupx6KFNa7WbAvox/LfJzoVU+L7A8vORTuw+qjGUzz82ZCmzKZuAJQXN7L8iUuZPf0xM9+ODqZrzmyegWeW58z0j8U6351SH99k7AVbpwXDSDcczD3fggUThyTG06YQwcOLl+M3xEREx1nMr5TLZQURLx5n0oFg5bUU/3ExQgXPPaqsuxQIO3Uvp7neSlvORk6F4dtWcwM3oJ5T13k8jKIORmJ/eJIGlv4Mbf7R6yNHMkfvJDAGf1Qk5WQn/6B81sDWPO0Cn7+rrSpXKbd3wOK08GMmHcCo1VbsW0rz3E/c1zvtSJi23zK31jFGIttNLYMxcUwk4WjbYj9o0AhEYAiCuM+/rQK2Y37oBqfgeKZFCius+DiFmpd8GbC8vffA4W7ITaHu7L3gg035k3E/uNAYnZZfQUU3qNbcqGuABQj0Sx9hf7fAYWYN9GODLO8hsPZKEbX1PqcsZ32NILB/cIYvGY7tr1rlACFhMebzRm9JIPQ++GobXdgTFghm/b40aGGeslvReye1wbPF8bs2m7M2Zlj8JA14mLoFCqUeCjEaU+wHzGEpH6B+Fn2kQLFP3F8BxTbrZkY/JH5a70Z3ED3C9UKSZlTpxEuGka0l6l0l4cUKCx8sRnSAtW3h5g52x6lfq4M0TjHgq0pOKxw/SaH4mdAkc5Bpzm4xNZjlccMWteuJF1MJbnvCZk9nivlJuI4vwP7LRdwtc4kVlgOo5GeutQ8mU8PscAikAqTBQ9FOsutIqg21hqLMZ2oIt3eJOHFQRcsPWIZ4enMmE4N0SzNm/o/91AILrobBM9ZzvEXSqiXT+D+Rx1M5y/CfFBbKir/szGPPwIUD/f5snzXfer3ncrkfi2Qe32eraGrOfZWh2EWlhgPbkNFFaHuwkcpUOyOUWeMNORRjfzke6zxDuaxfHOmCCGP3cEceqHNOLM+JB5Yjdeqw3xEASHJXVrmQlJInliXQVNtsLcaT1O90jjs7z0ZP/FQiArIyc6iAAVUVNVRFmSdxRmc2+hL2M4XdBw/hgr5l/D1387L9xlo1WmHqdUiLEb3oEJJsuYPPRRC0mZuFrkFYhRUNVCVyqUX8ezsVgK89yDbwRh7pzHI/S5QhPNUsyPGE+txbdNB0ip1opN+GmcvPKLhcGP04g6y6UQGAy0dGVs3g+Nb1uC7ei8v8xVQlpWQnZ6CnG4HLBa7MqnuW9YHruO13micXPrwavcanBxWcidFhIaqnBSYimvEqFCv41gcl8+k/NujrI24SmszZ2YPrEt+WaBYuJBWklg2B3ux9shDCpTUUSjMIj1bQt0epngsn4To1s4fAoUo6QFRG/0JiynPEndvuks39BQS9+Ak4aGRvNcfx/IZLbixK5yNJ9OZ5OzK4EaqvLl7jNVBm/jUcCq+NgNKFg1IfnyRyEBv7lQai/Woahz09eZNIwuC7Q2LQx4X9+Lvs6M45NE4lUhPJ25pmeNfqjZakE7s2T34hO6npukK7Ic2+uLtKsrl6aV9+HuEUmVyEPYTmiNOfcupbSGEnSjANnA53WuokR4Xw85AF6KzurFq2SDuSoFCrSTkoVAS8nDiqPxwNnoM5/3JCBYsW8W158mIRHJoV2zOkKlmTDUbSn3FNM5vcMFjnzLLDgfRWe3r5/5LDkUVAk/60VJwvEpEpLy5y1onW27WNGfxoHzmDrXidqEK2iqyUvlyIT9UXATq+oMJ3urDoPpl9kqWAIXngkV87L2MkLk9UC15rMQF6Tw/Hcxoq1MYh23DsqVMMVDcbcXGXUupnZfEIT9Tlp7RYbmLEfuX2BPT3YvLbmVyKH4a8ijg46v9TOnnSWPfnXgOMygGioIcYve7Ybr4AYvPR1Lzki/GLq/w3BOOYZ3inhXlZXDMdRD253qz/9Q8bsw3YsHb3tzZO78kPCyhMCsB95Htud48lO3eQyheJaRFn8i/uYomRv5Y/KMhD/FHIq3G4ZowhAuRc9FV/ZJUlf/+CjMGGyM/NZyAqd1QV5RDXJTB3iXjmX+9JWf2L0H2UiBjrA5htiECk9b6KMvJUJT/hCXDRnKlsSv73IZyO2A0s49UIXyPB+0qaiEvIyblWRSTx3nSdP4aHEc1Q03pn1lMvgWKhAOLGL7iIVN8/DFqZ4CWdD+vRBqLcjGfzYOG9gRbGaL76XgJUPhgM6QlFVVzuOC1EPtNz9FvIeZCbAWW+y5nVMeySZk/Awq4E2GDVUQys7yXMLhlHdRlITvpPHZTXRB1t2SRWTeueJiwMaklixbPpGM9XRQQ8/zMKiw9zmNouZjxrcQEWi/kfVNjbKeOpL6uBogyORG8ALczyji4WtGnuT6fd/D/HwNFUc4HjqxZjPe+F/ScugyTlllscHfibF4X5tvNZUAb/c/bXH9vCf07/v5HgcIjujgp08ywPVrykPL8HKErXDmSoM/U+XaM69kAVdkUon2WsuO2AiNnz2VkVwNy390gZHkILzTaYG5hyGshh0IKFH1JOrSW1XsfoV6jJpU15BGK3chIJUR0aN5rEKNHdKdOxX8FKCRkJb/lcUwCsuWq0qBhNdQUZRGLCri9K4Dw6BgaDzeisdZb9u45S2JqDmpVG9Bv+HiGdGmKZsmk+RFQCHvxX8S8ICVPnTpN61JRKE4hLiL+6i5CQ6PJazaO+XYjkfkDQPFEowuz53Tm3sb1nH2bTeUKWhQV6jPKcgRpx1ex6Uwug+ZZUe/9Pvz9tpJRqxODhw6jdW1dks7vYuP2h7SdZ49JvXesD1zPa71RLHHpy+s9a1nuuYOP5Qyop6eGWKiSJN32oEqVuh0ZadwbmWeHWBd5jdZTlzK7f53PQLH3jpjxFmMpuLAOvw13aTJhMn07d6WOYhqnNm/kTLwett5myPwMKD4+Zl9kIMHXFLFy9WZIPSVkJHm8un2EVaGbSa03Cc9SoDiTwSQnFwY3VOPdg9OsDljHW73R+C4eQwUVWYSiee/unGadfyBv65tiNbQCUSs8eFFnOkFuI9ESpXPvxA58ffbT0MKT6Y1TifB04JqaCb4BZtSQl0Wc84m7R7bit/4MLSw9se5X90sydlEOTy/tJ8AjFN3JQThMaI4o5Q2ntgUTeqaI+f7L6VFdAIqHbPN3ZX9Od0KXD+LuBi9CTsrhtM6LblUUSX52i/WuzpzVGkNksAmaeVl8eP+EU9FRHLnwhOxP73gal0zVvgtZ7zGI5xuXsiJapRgoiv33n49ioLDD/ag2XkdW0klNIO5Ckh5fJWixA3FtrFjQPwubsU4k12pHM10lCqRAIeinKKJergVGdqZ0q1mciyA9JIWkvrqBn70dD5rMZ439UCopCteVIMpK5v6+ZcwIeceCDbsZopf8FVA0ks/nw+OjLB7tyPPmTVF6+YhcQ2/Ou/T73LxQH+JetAcWQS9w3BzOoFolS7tEROb7uzhOGM8Hw2DC5/dH4KeC7BSOBs9jwdEKRB3wQuNeBGZz1jMgYCtW3WshJyMkZT/Ff+p4oivM52LwKG6EzmBqhIjwk+vooqOMjKSI9PiTmBpaUsFqO2umtvxyv/9XQCFJuYv12HHEGYayyaoHqmUriOUmEmbRh2WvOhASsJSu1dVIe7IP29n2vO8fzgmXgajHH8PEeCaxzeaxevEk9NVkiTnizkynaLqvOIH3KANyzy6l5+xttJrri/PYjmjJpbPPfyYux1RYunoTE1qW4x/iCb4FisK4fYwdsoDU1mNxsDKlZZVyKIizeLwzhAW+R+nqEc78Ia3QfHuIKeaCh6IUKOQg4ylu1iaERt0hWW8A61b7MaqDAWoKJS6Bojd4TzHhejVTPKxHUbvyZ34k68YaJtmshG4zcTAdTG1tCZe2LGXptjeMsAtg1oAmJEdbYRpyh44mdswc2I4KkjgivBaw6W1DnJztMWykxP4V5njfUGXKPBtpbQpR3Bm8li7jUQ1zAhYY0Uq/zEP1fwgUwo6H+wdW4uyxB+Uhc1hsPpymlRR5HrUSO89tyLY1xt5yAq3qlP/LVd3+LGT8MaDwwWPvE1qPmIXZoGKgEHY5vDu1FWfPcJLqDMHO0owu9VQ4F2qP355YmhtbM2VwK5LPrMPdLxr59pNZZNufVzuDOPRcCHmMRXIpkk2nM+k41oyRPeqgriQmM/4BV+6/Q1W/NV1a10dDtoD8QjHyikooKnwB/e/v84uHQrX9ZKxLkjI/3D9J8Ap/7hXVx9RqJt0aa5P+/Arbw8O5mt+IKXOtGdm68m+arejVWfxDQrmj1EWalNmiIuR9fMoOf292XEyl72xrxvZpiFzKC05tD2P7rQJ6mNoxb1gzPv0eUPiG81i9MzbOY0g5vJHV6wTvQ226Dh2LpUUL7kasYtOFfAbNnE6FZ5H47n9Nh4n2WPWuQsq7W2wPCyLqmgLjFrgwpUEc4f4reaQ9gIWuExFdiiY87CjybU2wMO5CJQ0ZCjLe8ej+PeKKatCjZxMSz21izZYbtJnqzOz+XzwUe2+LGTOpL0ln17P+ZU0W2dvRWTeLpzf2E+AbSUKEPsYWAAAgAElEQVS5gSz3NEF8ayfhu5/Qz8aNSR2qflm7Cj5ybd86lvtFozd6LrbG/dHKfs/FnWvw33WJ2kbO+Js15brgoTidzqQlrgxuqE3G24fsDFpG5A0RJotdGN5Wj8LUd5zdGc7Kfc8ZMNcD85bphLvN53B+Vxy9HGhU8IR9a9xZfSIfI1c/zBunsNZlGpGJbVnoupihjSuS+vYe20JCOByvz1L/pfRrUOadUMZDIQDFojJAsep0EfMDltNTeO/HPWS7v4sUKMI8RvB0iwdL196kz7L1WLRWIub0ZpZ7bKWo2yK2uHXnwdFj3BPXZ3y/ZqjL5ZPy7CIb3ZdwXNwfvzU25O9YwpKd2dhuX80APS1UyhRmEkIeJ0ItsNn4hmHOwdgObIpsVjKXt4fgEhnDhGVBmDR7h4uZM5ldF7F0ZhfKqwpJjKm8uH2Oa6nVGTuyN1W+CqWIyU59xU5vW5YfyGamxwomd6qDQlE+aQ8vsNLNlcvlh7Nmixt1c5O+AorGikLbGVyLcmfaAn8SMrVpYbeJ8059vgKKu9EezPkWKJCQn5nIjkVDWHynET5By+irr8LHp8dwtnPkRRsPjvuNQfHNBezMzbhY1ZwNK2air5jP41PBWDpuoonTaTYa6/PxfACDpodQc2YQvqbdUClM4fhqK+y2ZrB40zFmty2Ttv0zoJCIycvJolBGGfUyxQV/9hL4cQ5F8gXGDRmDzNQzbJn69bbR3OcHmTJ0PgbLo1g2rCHy39SbfXsxHPNZC3haUJNqFVTJSHjF24pd2LQ+BMNGFZCTlXA2zJxZK6KQK98AHWUR8W/eIO5qwcnQBRhoKyNb+IlQ636s2JdMpSo1UBVnEvsujU5zfNloOxRtld+pgvdnV4rfOP87cTBxJgecJmO76QYF5SqjK1Q9LMrgw6t4yvc0J8DDjlb65ZE83YfZDH+qzyoDFMD7875Mnu7DeflOrA31lgKF6ldAYcrNaia4W4+iVhmgQJRFlLcprhuuIVbVRUNexNvEjxiMsGGV/WQaV9Wm8GMsvvamRJ77gKpWJRQK0niVrcxoK1ccjPtQTVuFhNt7cFzkzKVXEsqV06IwNZF4jSY4u7lh1KspWmXDCPmJbFoxh+2pHbCfN+Wf2+WhqEjqs2N4OXkRo9YH6/lT6dKocrHbtSiFo2uccN72iI6TFmI1tjf65f5apcM/O03+CFA82ueDR/RTWo2YhenAdpQrLYsiyuRouCO+W27RbIw9cycbIvdgI05uwZx6UoBe1fIoyktIT8un+UBTLGf249WuYA4/02TczNl0VLlPwHI/dlx5h1L5cqgpSshOSUai2wozaztM+jfmzakdHL6TSpO+I+jXpialm29/BhTem44jAIWVkWHxtlHJBy5tW423zw4eZitQQahJkpxMhkJtxlgtwMqkN5V/59ETgCJgZRh3lDpjJwCFtA5FHi+u7CXIPYjDD9LR1C2HQnYaHzJVaT9uBotsJ9G0ovJvJ2U+O8s6/7U8Vu2E1bIZqN8/TKDrEva+r8msxe7YGapzNDKUTecFD4UNTdNP4L00mHOJhejpaVKUmUZi4nvky7dkipUABLLsDnDG/XASHcZZMX90S94fW4Pb6jPkSbfdylGUnU62jBZdJ1hiP6uv1C2/dstNWpstYfaAuuSnPOfglnVE3xYxwcoYmauROLrsJKOyLhVVZMj4+IGEhALqdR2Ho9d01B4fYMPuWPrZuGJcBiiEgnapr26yOcAVvz0PUK6ihwaFfHgfT6ZiVUbMdcXTpIkUKCJOp2O8ZCmDG+pAwUcenNrEEsdV3EhRoWo1TWRzskhNKaBGd2OcPO3pIPeMQ+tdmeV/Bs1KNaiso0RObgEqquUZaOGBedN0wp2n4ncBatRWR7FIiYKMT+QU6THQxplF5j34qlyXABQX9xPgGYauSQAO40s9FCGEnS7E5jNQPJICxYGcbqwJnETO5e1Y2q3g+gdNGhjoFEs45GZQvqstaxd15+paF5aGn0FWqwrqaiAqyCYrX54mE1xYa9Gax9FemDpFIGoyBlt7J6Z2/lLorTiHwhbb1c/Qaykh94MWsqI00t4XUNPQEt+QWdTJS+LipqXMdT2CqGpVKVCI83NJy8inyURHghwmoPdNFF2cn8Xrc5uZY7OEK5k61K5eAWVJPrkfk0iTrcQcv21YG9YlP70YKJbdb8X67UtpLDx4kiKykm4RaDmD5ScSaWWzlYuOvb8BCk/mBr7AcesaBhpofP6buCiftzd2M2/2HO5k6qNfSY2s5AQ+6LQiIHQlY1vpUlSQw+XN9sxy3oBYpykVVEV8iI8nr60Jp9a5UqecLIW5n4hcNJjFW19TtWZdVERZvHz3kYbmPhxwHYdq2YqiUqBYSTPjIGZtfv55l4c47yO7VthyQceI5Vb9frcA3I+BIvUuC63skB+2GrcRtb4qE5ryKIqFSw/Qd7EXo5tX/EEJ0TxeXF1NgGMEp94UodfIkDnL5zGwUZWSSpGCsZO4uGMFgd4neZClSRvDScxdZEKbil92fYiy77Hd140Nu2KIF+szzMIC8yn9MFBV/EeT8X6kNlqUm8z5nVsI3XSAx4mJKCho0KGfMdNmjqOZfkVp7kjRm7MsXbYV3THWGHWrh3bpQl2QysEgW1bcLY+9jSX9mlUtjlVLP2QTiVy6lJhKQ5hj1ItqOqVRuxIvXP4Ljm70ZX3EZR6n6tB57CSmzRpJs8paKJU0kZV0nu2BIWw7HEOKXH2Gz5nBpJFd0NdSLXFb5vP2/i42eG/g0K1kVPS7Ymw7nRGdG1Fe5ZtE18KPHAz34kRmE6ZMGELz6tr/Ntt/VdhKpoCT6+3ZeAsGGlsypGM9NMosZPkpj9jo5cb1wiYYTzOjS4MqlDLZn4WEP3P+7wOFDi/Obmbj2dc07DmaoV2afI5rS5fVT7eIXLGa2zm1GDtnMt3qanA/eitr1m7ihaoBI4wGQNwLMlTqM3hEZxJPbudSnBp9R42hc30d0l7eZPfWCLYcvsL79CLqdxqMsYkZfdvURkshl1sHIoi+lUKLQeMZ3KH2bwCFhPd3DrLp4BWUmw5i4sDOlC8tkZ2RxO0zewmN3MnlmDTKVe/CSDMTjIa2QE/198OMRQm32LpjN08UWmBiPI56pR+3BVm8uX2GDZERRF94CqoN6TlqMtMm96SxbvE8/61to1lxN4neEs0r5eYYzRpFxfe3iNoUwtXsuoyfsZDuVVK4fHAXh27n0WXCNAxrirh9YjvBazdwNb6Qym260q1JNeTfvECxxXjMjFsQd2Ervv67ydQdgKWlOV0rZXHx4FZCtx3k4ds0dOu2YJjxHMb1FxKYs3lw7iB7j8bQcLg5YzrWoDDjHRcOR3M6VsTAKWY0VUjg6NZgVu06QZKCHo17dKWNlhypibm0nWBG9bTrHDz9ig5GMxnYtFKZqSdoURTx6c1DDm4OYW30RXLL1aFBs7oofkpCrelYXGd24OmpaA7cyGKg+Qy6GhSn04lz03hx/Rir10dw6Ho86jrN6DnUBAujLuhXUxZiYqS8ekR0sDebzz/BYMBwhnSrRcyJq1Q2nMvQqgls8nLivEx/+nXPZ/eqaAq0a2NkMZ9Jhh2+mr/F76g83t47z5aNu6kwyA7T/nURZyRy/egOdt8UYWxrQZvKymQlveTYltWcy2uNk/1YtLI+cic6koCVW0iu1oTxU0ah9OQ8tyRdWWo3CIW0l5zdEcnq0P08F0lQq9+YIVMsmdevI+UUC0hOuEqo+zL2PyzHOCsX7IYJNVKKj4KMRK5FBRNxQY0BJtWJcg/jwQfoazyX+TPHUkXIWRJ2OAh9OBKJV/guHrzJQFvPgCFTHZg6vAu6X5zBX70SRAW5vLh5go2hW9h/6yEycvLUadCVMTNnMrZ3E+lHTkFWClc3LyP8WQOcPaZTuwRMJIU5vL28DTvf7SgPXkbk9C/lJ0UFOTw9uxHPbe+YtsyRLlW/fteLi7J4dTuSIOd1nHpRROWGA5jtYsGgFjVKau9IKCp8z/VoXwJWHOZ+Xjla9ZnIXCczOlb6nO1BUfZjdgc6sybyEe8VajJo6kxmWwzD4NsURImIgphdjHPcythl+5nQuNgM4rxkNjvO4LSOKQGLhlDGV/XDV+cvtdHfWVF+yZf/mSX3r5/736g2WpRzD/857lzPa4y5nRk9m+r9UOTur1vlf+SXUrG3AhJv7GLNqijSG074bpfH/9eWkOSS9OoJ9x+8p3zjJtTT00amKJPYy/tYG3EE9Z7zcJ7WC43f57k/baYPsRelSZm3tabjHzCB3w5o/enmf/3gf8wCv4DiF1D8R0z5/06guE/IbEc2X4pHd9B45kwZS8+mQqLof4RJ/2s6ISQB3r98mO2bIzh5o5D2EyxZ5DiSL1kG/zW38tc6Ks7mwfGtuC/04IlWY1o0rCat1fH82WtyK3XEyXURg5qX9Wj8tcv86FcCUER4LuGOdJfHL6D4+yz7v9mSjPg7neX/TUP87K5/eSj+mfmQm5tLdna2VMVT6ZvCVv9MD37/KoLOQKnaqLq6OuK8WDYsWMrK7ad4Y9CLJYsWMm1gK9T+mR3Nv9/h/5IzitLiOLrJD5+VkTzPb8GEuXbMtxnwP/W1nJ8Vx7UjEQQH7ORCbDxi7Qo0NhzNvGmzGNS02hchp795TD8+v87OYA8eaE7C1W0EJVpuf/NVfjX3v2IBmezs7GJlmF/HdxYQthUlJSWhra0t1bn/Sojpl73+Vgvk5+cjQIWamhoKCv+ZK7KQQ5Geno6ysrJUwlzY615YUEBhkVgqAKaoqIi8nFwZYaa/1UT/3zYmkYgRFRZSUFSIWCInHX8FRfl/W77Of6Qhi1W6KMzLpUDQjZeVRV5JCRVFYQuk+LPC89/dd4lYRGFhAWIZBRT/12z+dxvzV3vIxMfH/wKKn0wEASAyMzOli4ec3C8/9r/reRHsXFhYSFFRkXRRFoSo/hMPwUORl5cnhcuy0FMMml9UHf8T+/5f0acSldSyqpr/Ff3+WztZrAAqPUrVY//W9n/Q2C+7/7st/D/T/q8cit8Z6l8hj3/mWfhvzKH4Zyzz6yq/LPDLAr8s8N9hgV9A8Qso/iNm6i+g+I8Yhl+d+GWBXxb4ZYG/bIGfAoVYiGfKyCNfIkH++QoSCaKiQkTSQIks8vJyyH5T3EoaEy0qksb9ZGTkpOd8duOVevPEIoqKREjFnWXlf7jdTtibLRKJEarqCyEHubJVOQWPoLgIkbj4b9+2/5ct8s0Pv/VQCDHHIpEEOeG+v7qoYJcixIJNhP4glrrwJcK9yckWq4OWvfeSNmQkwnnFdvjxIYOcvPxnCXmxSIRIJJwvg6xgE1nZb+5dgrhIhEhcYjfp+Hx9fWFvukg4RyguI1Pc32/HsGxfhXGUtvHvMrKgipqTI03K1NTUlCZlFsfVRSAni5zsN+MrnYNF0rwFYU78O/tVdky+rUMhLcNbYmvBjsI8lBXGXRifHwzol/EqOxt+Nu5CbQIRYokwzrLfzLW/YXZLJAj3I5GWHy4zPwS7C3NMKhby5ZCVFZ6/P/KcCf0W5h7S+fnVnUqvKczfL3+XtknxvZY+61I7ffPMCHNW2l9h3v9oLgrhASHXQPo+EZ7Nv8FGv9tE8b1Knw9h7H/zmsX2FnLgi8/9Rzr4u3fw/8cJJfNHLIP8b1aI/ZN3W/IsSIQ17Lu1R1gHxMjKCe9mQQqjiCLh+vLyX8+D0ve7rBxCcU/hXS+8d382+kJ7pdf6eh2Vla4D384x6Xr0eR0tWWu/uc2y66gw9769lzIrE6LCIpBX+MvVh38IFGJRDg8O7OOTQV96NqtQZsESk5/8llvHjnIzMROxsj5dDHvQzKAiiqXgIRGRnviEi0fOEvspD60qTenZryM1K6hLDS8cElEBCbHXOXfqBgl5StRo2p5eXZtSXv1LxUNRQQaxl89x5fZT0iQ6NO/ejU5N9VFVEoSFil92STHnuPtWlTbdWqKtovBveYl8CxRpT85y+E4Obfp0p1Z5NUprUiFO49bx49wV1WJk96ZoFr7j2PHTZFXtTt/WtdBW+VwykQ8xFzh0L4cO3Tqjl/uQqNN3SM0q+G6SCS9IBc0KdOo3lCbVdVCU5PDq3jWuXXvA+xxlarduT6fW9SmvoVxy7xIKsj7y6Molbsa8Ike2Ei27dKRFg+polBatEmrFJ7/m5tlLPIpLQaF8bTp0a0f96hVRLlPOVjpOEhGJ96/xNE2F+s3qU1lb9d+WKPc1UCiSmRjD+cM3ERk0pn27JlRSVy6xj4S8tDguH7hGVnkD2nRqjF45lZ8+oH/yFfKbp38LFJKij9w9dZ6bD1+SrlOLHp07oC+fyIXLt3j5PvMLpAmLnZo61es1o32zJlQrL4ji/c6CIs7iyc3rvEpXon7zFhhU+qM6HX/kjiVSOfWnj14i0apGnUa1PhcwKkp7y83rV7gRE0+BoLwuLOHyihg060SHdq35bf0xCaLCDF7de8jHfDVqtWpBpZLqvsLLMS89idhbN7n94BmZ8qrUa9aadi2boa2Qz6uHV7h04z6fCnVp1q4jHTvUoewd56fG8fzRA5LzylG7cRP0dDW/PHuIEWWmEx/7jOdZslRp1IQGlUvUyn7Ka8WJoMKbRE5R6S/NH1FeGi9jHvDsg5iG7dpjoPPza0qKsol79oiHz1Op2bozjar8pJLSHxm+/7lzhI+kIul4yamo8M3nkVQUSyi2deONOj1H96DS35GCJRGTm5bAjfMXyKvRhZ4tq1OaKi4R5ZP29g77zrylYe+BtNGT4fXNw5x4rUTP/oOoX740305EXsZbzhy6QJp+d0Y2lePc0aPceZWGgvw3nRQgQ1aWmu0HYdixHkqSQtITn3P5+DliP+aiWbkx3ft3pFYljc+Lvbgwj/fP7nD2xFUSCpWo3rAtvXq0oOLnbWYSivKzeHb9HBeuxZIpV54mnbrSrXUtVL69vlD4K+8Dl3ceR72fMa11/xrwfgMUQvWtfJ7cXMWsCQ5Ud7hHpHn9L1/H2S8InWeM1577fCoSpNoklO8yHg9vL8Y01UHoY+6bcyx3sGDVwTgKxWJk5ZUxGLeIzW6zaVRRWfoFF38xgHmLAjl+N0X6JaqsVZWO1gFssuhHOWHhFRdyNXI6c9yP8iQhC4HC1Op0YJprEPaGDVGXzyQzB+7ucGf73SrMdJyAnrw25bUVhOTov/X4FiiebZmN0coP2KwJZlgjvS9qo0VP8Zw6jbDMQRwLnkHNjNOYms/lRFZPVm70ZHDTKqhIoSufGxF2jA/5gIu3G53SNjLGfiNP3qUXV3PLz5d6hhQVhF0loKzXCPuQzUztVovEk24s9NjMpUfJFBSKUKnagGE2HjiO64q+trJQipHDa61xDT1J7Lss6ddzuVaG2C52ZlL3RlRQlSUv4QarfZwI2XmDxLQC5OSVqGZojpfDXHo3rkppQU+BalPen8fPYQE3FUeyZKE5HepW/KI6+Lda+XsPRWH8dYKXLGLDbS2mujoyeUBzdBRkkYjSORW+GPeNj2gxcRFzjXpSU6cU1v7mTn1L+mLx522jwvbWotz7BM9aQODWMyTVG4jnUjt6yF/CyWMlR+99QKHMV40wz5Uq1aavmR3zTUfQpprGby5ikoIEtnss49CLckyca8HANn9PVQahH0UFiZzaHcjqnfdoMsSKWcaGVClZCz/e2Yn3iuWsOfKUwpLaqjJKGvSe4oC97Tw6fKl4/LV1pF6jTB5e3cHKkEhy9cdgNX8eraXlEyRkJjzk4KYQgjfs48G7LMQysmjX6cRU6wXMGlCL65v9WOG/lpisBkywWYyT02iqlbmCAPLrfJay/mwSPabaM3fWZBpolWrgpHDrxC683cN4ptGRec5umLQr/5uTIT/pDbcOXyFRTo8ek7vz22f/uKn8lBccitjAvhuFTHRaSH+hHPZPDlHOe87sXM/6qKcYLnBjUpfq/97J+v9R6+K8LN5dvcTJk+/psngi9VS+3gWW9+kNx0MW4H26En6ng2n7d+TPC2qjzy7ibmtLcl8vVln2+Qy44vx0np70Z/C805it3IxtR0WOeY5kYmgKpitW4z6jG+qCK0FSQMqbE8wev5A3Pb05OlsFhxnmRJ5PlI6OuEjQ3pGgqKwkhQR5FU26zV3JRschKL67hp/jDAL2xUmFzOSV1Kg70opVrta01VNCUpTHu6sbsFu0nP0305CTk0FZuwrtZnuxzXYomgoyiAuyuL3TlhkuUcQm5ko/OtX1WzLBbQ1eUtmMkg98iZj83GSOb1vIgiWnmBYVx/wvRT3/1EwqAxSCPnwKRzZ44+oZxv3kDCaviyV8ct3P7rn3++dTc2IUhvODcJvUHB7sZ7bxIlRnrSJy+XgqKmSx12k8k9YnYesZiFmXKsQc8sVq6XraOZ9l7cx2KGfewdLIiA3JTQnzWUY33UyiQqxZsSeeBdtuMqeLDgqPI2k/fCEFHabjN9+E2qLHuC8w5UR+b0IjV9NL8xb2s/y4kpWFXL4GBaIcao50ZPX0zpT7m2XNv5Mv32HNxKBk5q/xYXDDb+TLzaYRkj+QI37mGGRdYOoMS6KvfaCpiTfrnI2op6uJLPncjnRgQth7Frm7Mbq1Np8+pVNYJEFG9I41C+y4rzsau1mDqaGhiIysIjq6lVFPPMnkqfbcVunMYqsZdKqYziZfW7bHlsPGayXjO9cn54IfQ23C0epswkLT4ehm3sBzqQvPdEfivsyaznVUObfSDqs1d+hqbMOMQS1JvbUFN+9wtId54j53FPV1VSnKy+XxpQP4rfDmwNUHGIxeQqDzdNrXqvBFdfBPTbPfP/lHORSpsYdZvNiZ80q98LGfS7/GesRdWIP1ighUu85kkfkYGun+nV/uv93PH5XeDrBYxtnU6kyYP50hbWsQdzSIZTvuYNB9MuN7NkVDvlAaBstOfMIWH39OvFbF1GURkwe3RVNGLA2NyMiUhq0Et71EGoaQKUpkp98KDr8SxMEsGNhST9o5AQik5yDsBhDc/1++JITdEcJ/X9r7Zs0Xi0iJe0LUulBCI3bxTsWA6QudmTNhQLGWB2KeHt+I34YTqLUZisnw9qgJ3/AysqhpaqOt/RNRPomYnNQkzkVvY2XIGi69zqDPdAcc58+luaDlkZ/CpaiVLAvehbjRaKymjaJK2g22hoZwJr8x0xctxai1NrHnt7N+7RFkWhuzcPGYrwpbpT8XgMKd4EMP0e09jjmzHJjYvqIUyvIS7rNnsy8+64+gWmcMc5a6MqGNgAjF9igttSPYq9g2EpLvHWJ90AZeVh7O4mXGVJeVKRYXldqwzLiU/Hux7YvbKz2ED5383GxyC0BVU7NEsKr4esXnfRkjUe57zkVtYMP+Z/Sz/locrOwoCdcu7m+Z3R7COMvIfL5+cT+FU0rHv3jeiEuvKVt8fsmEKf5dSRul/yacW2wPIXRcOp+E/y8NKxX3/YeHYNOS3ws2lirflulL6f0Lti6dn59t+jm8VjLXpSGs4ut8mdvF7Qlf7MJfClLfcn7DMtz3yeFyIIjOGgpfhXm/yJdXxf+EDy3lvozfd6Fcad9L//7lGt/dZ4l8uceCxXzq5UbIvC/y5ZKCdJ6dCmKE5UkmrtqKXTsFjvtOZJj7VSo0H0LQ+iDGNq2IjKSA1LensBq/gKd9fbjk3JOPSYlk5BYhSx4PDq5kacRbLPzd6aOvhkgoOa5TmfJKhZz0M2NM6Css3PyY0b06T4+vYsHyCBrO28lGu17w8T4rZpsQ/ESfoEBveuhmcjB8EW6bHjJn6yMW99Ig69FuBo224l3jKaxbaoF+wQMCnKazM74Za/cfZHDNYnXa1LdPWe/lTGDkfpKVKuJz/B1zWv/+O/tHZ5QBigQC+pvjlZCH0eSeXN8eRvWZJ4goIw522d2QKYfrse24L61U5JGRZLB78RCmXGnOuR2+tFSIZd6AHiQMiiDcwRAdBQEVEwmfNpbFCQN5sMcWboUxZvIq+oYdxq6XAUpCzCDzMlN7TuHFwCD2O/Qmds1YJq+R4HN4E/1raEh1GlJuhdJ/YiQDPNZjP6g+PD6Fi/U81r7UY9q8hcye0RN9tb9f5+OvA8U5ps4IIr2SmJjHEqYvDWOaYX20VQo+A4WDuxtjOpWVL4/D13Qy16uZ4W414itxsMc77Zjt84Cx3kFM7FQPLQXIeRHNFLNAtEfYs9ikO3f9RxFwtxa2nvb0blgVZYqI2evOtKAYJtkvYWIrGVZZmnGvihH2VkY0q1YOWT6w28WG5Xer4e02h55NdLgUGIxLxGHU27VGI+02SeUH4Ww9hY51Kv6jQCGodMZEe2DnsYWKhi5Yd1NhXaAftzW642w/nV6N9f5t/fnRw/JjLQ93romaMcfBnB4Ny/Fgny+e0bG0GTUL0wGlaqPS1yXvr27EMewIFbqaMndCHxSSX5CUJUvlajWopKWMuCCTd6/fkiWrSVVdWY6t8uDQS60SoNClKC+ThHdveP0uibxCJSpXq0lNfV00peEsEakJr4lPLaCcXnX0hLDKNzfx4eEV1niGcPBtPvWbapD6KZfGvSdjWaI2Chlc2byK4EPxtJ8wndmGDaQLmzSH49s8nDJt56e9ZI//KkIPPqBKx1pIUhOQr9mXhVZzaF4RshPvsMlvFZc+6GGycA496moLmoq8unyK6PMvqdplEEY965FUojaaWn/8d6W305+fYb3/Wo4/+IR2AwMadRjHHNOelJMp5NWNk+zbuYuLDxIRVWjCGMuFTGxTnqKCNBITXvLyzUfy8hXQ0NbFoI4BOipFPD69mZVBkcRV7IuF/RQ6G1SnnJKIlA/xvHz1ltQsCZrlq1CrTk0qagme1ULSPr4nISkV5OTI/pSGjEolKmrLkpMvoZJ+TXRUIDvzPW9evyQ+KRcZWTUq6ulTu1YVVCXJvwMUEgpyM0mMe8HLt0mIFDTQ1tFCWVwkFURY1LQAACAASURBVMyqU02D9A+JJKbkoCxXxPukXHR0a1Onrg6izE/Ev3xBQnImhUoqVK5em9o19KSig3mZn6RzKk+9Og0NKiInEZGVlsSb1+9RqVKPauqFJLx6QaZMRSprFfD82RsKZFSoYVCH6tUrofBd0F5EdvpH4t4loKxTHTLieB6fiU7lWtStq4dcQTqvnsYQn1pIxar1aFCnCork8SnhNXFpctRpVActBUG4KpOE18/5REWaNKyKXH4OaW+e8/R1EpkysmhpVaJug7poqSmQ+voOW3wWs+6iMtP8HRnSoikGFb4oZZYChfcxPTx2L0Dz+RPis8To6tWkboOaKMsXg4lYVEBmSiJPnr4gJUuEqroe9RrXkT573+W//AmgmN9WgRP+5thGZVC9SgYKdazZ4GuErmLhV0BxxbX/56dGlC/Il3tJ1UadNq/B0KBUvlxMdnIsyyf25l7LACK9x1EeCQU58ex0nsmCO825vN8Z1UfbMZviQhO3w6wYWR9ZROSm3sRhmCnn2rhz07Mf9zbOZqLHG5afOcaoGgqCS4TMJ1vpN8CdVp7RrBxXl9yP15nXYSYnajdlVv/KhK4+gPXmJ1i2+5eBIomTwadQ6D2AbpVjGDtwJPJTz7J5WsPPIY9nO2fTz+k1tuvWYdpaG7msWJZNG0GU+nT2h9tRNSmKYf296eK7DQfD2lKRLOG4Fz6F8QGw4VooqnsXMybgI2E7g+lmoFUSDypg04x2rEydTtT6CZy3HYlr2nBOhc9AV6M4dl6Uch/bkePJHh6C34xupF+PZNXej9TTjOWcqC1LFk6hpqYQX/t7j38FKEynB1LDdBoKO8M4p9MLtxVz6FBNkweb7KUeiu+B4g3epiXy5VZl5ctzOLFiDk43quDnNYf2dXWli4U45y1+M0y4X80Ep3kdObTQirOVxkqVShtWLRYPSnu0F1vbtdQ0dcC4dRYeVqGUGzKPueO6Ua1csSLU492O2ITGMXH5Ika0r07cySvESSrQupUmh4LnsyOlPfaWpv+c2mjZSpmFCWx3dWDVoafCI0ORemfmuVgyvHs9vlIb/nuH/Yet/b44mDYPo33x3B9Di2HmTOrbFs3SCZmbwrmIQIIOx9Le1IqZo5pyMcCF3Q9UGGsxh2EdapD/4S6hK4J4LN+cqRaDeLMnmEPPNaRAMaCeiHM7NxKyZhPnH8dJlRirtOiB0TwbzAZ1oaZqLhc2uRNx8QPtjSylyrHfyA2RFvecR/fjUatugEb6GQIFtdF2k7AqBYr8eKLX+rL9ahZ1W3RHVzaJXEUNmnXoSpsmdaUCdz/6Zi3Ies/j67FkyFaiftUPRK4N47Z8ZxZaz6V5RQnvb+8lZMNe0qsMYFzXqrx5cJm3WarUa9WRjm2bo6dZ/Iz/ljiYFCgC1nEjVZ6qBhrIyLfE1MqUhiopXD6wiwMX7pAhKiItW4uBsxYxvmEBV49H4hG0ljO3EhAVyaJVtS5DZllj1LUm11a64rP1LKnKlek41BznxeZUS7tEmFcgUZfvkZwFmtUa0H/KXCzMxtGuYh5XD20iOHATcXmypL7No063UXRvlM2tmCKMnBbRUf0dURFe+Gw8zKv4PGTllNFv1ZNpC+0x61mDu9EbWLfvxx6Kwuwkbh7ZhteKVZyIiUNWRQMdbS00dMrTdvxiPM2acmPvOoI2HEOcn8nT91qMmO6C1cQKHA31Zc2uw8R+yEeipIF+swHMnGnDtPGNSbl3ilD3IBKbziLYaQjq4iwentuDn/sOak31ZHqzDCKWL+BAsgENqjzhwI4H5Chq07zzaKwcbRncoSaKZQe9MIcnV48QGLiKgppNSL4RxYmbWeg37YWF7QwqJxxkuf8Gnn5UoEbrQdh5eDChbiFH13kRdkkFt/DltK+kRMrre0Qsc+SE3DA2Bo8l69pOvJyWsf3qB/Jl5NDUrs2wKdZYWQ3gQ5Qfc639iClUoFK9LsxesRqn4bU+P6NSoFi9AJfthfQYVsjhlad4naeAXs0OzHBwZtrEjpQT55H46CSBSz3ZeuE2H7NlUNGuSjdTGxbNM6Nt5W8Ui/8UUMhzwn86rnfrMM+wHGt8DjNg427sO1UkvYyH4iugyBOAwgOLb+XLhTDJ2+PMHLyEqo5b8R8nQH2x+urD3c5M9XzDipPrqHEtACOn+zht28DwBsVKpQKkHXAcwNJHQzm6bzY3nCZi/bAdl/c5oSuNEkkoyHjJ0uG9iO26lm0ufZDJiOXQusfUNRpE3XfhNBnnh8WWl5/VRv/sa/XHuzw+XGTMkO+BQpz9DK+ZUwg/X4hB48qIk1/yNLM+TuGrmdqpAplPwunXL4Ixm3Zg1a3KZ7p9vmsGw22SCHi8EfXIBYyNkGf3Hm9aV/2iLrrfriUud8exI2oSp03H4Kc1jSuBRmirF4swSzJe4jSyLy+7BxBkOwDVtCTiZCpRWz2R2DgxVevUoJzij194f9YoZc//V4BiyjR/alkGMKFaDEscQqg+zo2FEzqTEL2YCWGJfwIoUti70IJlb5qydoU5LWsVu3rJTybMYjRnVcfjaNeOPXMWcaepGR5zB9OgcnEoIOfFMRbM9ETD2J5JbVJxs9xGbeP5zB4lKCgW5x68OebKXJd7DPJ0ZVyXxpQrfYEUJBK5bE4xUFj9HwEFkP3mFG6WC1h3o4DJTu5YT+hLNa2fi3P/K+P9W7/9I0Dx+FAwdl6RPMtUp6Yg0y0rhAzkKMz6xJMX8dRsO54lDnPo0VqZ/f6u7IlRY/T02QxtV52C5HuEeQXxWLEFptMNebOrFChm0TB1D07ea3herhPjhhnSQD2b6wd2cy2pHKPmWDOhV2PyEl4S96kA7ao1qSokQf/0ZsTEXYjAK/IYaoJ8eSlQfHpMZMgyfDaf5X0aFOakkSenROWaHZhiacM0o95UUy52vZce37rFi16dwz9kFXeUupQAhZj4a7vwDwrl+DMxSnmpvH71giyxHGo6zRk7wxqbeUOoo6n4u0Cxzn89D8X6NGykQMIbCQOnWdNF5x1RkVu5kyChsk4hD58W0W+OA50LLrDSLZRHck0YZdIfXfkE7hzbz+knagy0sqWXynVW+W7gTYU+zHaYSnNesTvMmQ0P1RhiZEL3mmq8u3maI2djqT3cAvtpPXh9JJSlzsGk1B3FdKOxtKitxNNzURy4LcJ4wXQ07+zAb/lhyg0wYkhvAwrf3eL4vpO8Kz+QpW4TyLu6lbVRT74PeUhyeXZ5N57OblxWaouJ0Uhq5CVyeHskh58VMMxqOd5TmnFrmx9L/A+g2c0Mi/H9qVtdjdcn/HFaeY4qPcyZNLQ+xMdwfOcerogbs8Dbg94y91jtE0h849kE2w9ETZxFzIUo/H13om/iycymqax1MsH7tBw9Bw1kxKAuFL69wtbNh8hoN5W1y2xoVrHMTCrK5fnVaJY6WHGZfhiP6U89lRRpX8+8KKR2816MHtYJ5U+XCdt2knJdF7HTqSOXI30Iu6KK6yo32lVUJPXNfTZ7OnJMbiSrF3XjuOciAs+JMFtkQh0VEc/vHSXyWAxDF0Uyp94HNnras+6SCmY+ixjaqhV1S7N9hZBX6ltOrLJgptctqnQcgPHU/ugXJnF43VoO5zZgRWg4I/WS2bF8NA6nVDC2nEdffQ1Snl9h+8ZDVBzrir/NULTKfo3+SaA47jcdt3utWLN2OtdWTGTNs/aEb1tKzdQzWI0rDnn8IaAQ55P8cg/GfQJpFbobd8PiXBtxYQ7PD6/AxPYathe2UueCFxNWfCA4ejV9ahYnQBXlZXHa0xCbg13Zc8Gam3Mn4pA6hJgd80qSriUUZn/Ad2wLztYOYUfQqC9y5FL58lU0MfL/54AiJ/kS881nEnnmHSpK8kiKcpFRa8b81Zux7m9AzrN19O+3gdERO4uBosRD8WznDEbMf09ATATqkQsZu1GuGCiqfQGKffNb4nZPAIrJnJICxdTvgMJxRD9e9/AnwHYAFVS/kdr+N60ifxYoVuYN4rD/NAyyziEARY05AdgMrsIVH0vs9svivs6ZKvfCmBL2HvvvQh4/81CkFgPF6yasdf8aKEItRnNOChTtiZrjwO0mJUBRkluQ/eIYC2d6omlsj3GbNJZZbaOWke1XQPH6qCvzBKDw+g8EComY9zf34GTtxp7rH+k61wUXy3E0r6H5lzLz/5Vp8oeA4vBKFrgGcSYmBRUlBYRM7NzcPAoqVKWPyRwWmU2mU61KyMt8JPpHQOEdxGOFMkDxohzjpg3iw+FwNl4XMdJckM6ujZK8hI8xZwjddAz5hgOZOXk4tbX/aHLqj4Ei591ttq72IOoF9JgwmxFta5P38AzBgWu4JteGhQ7zGdpIjfS0TAqFLXMKymholUNTTflz5vmPgCLhRhQr3FzZ+VqNcbMtMevfBdWEJ2xeH8KOZzJMtnLCYWRLkktCHmk/CXmE+63juUpLBvQqz5XjD6jaezLDq8WzedtRcg060UT+MQfOpTHA0olxTZVIjk8iLjmTD0nveHjlIAdPHOSNuCVzFi/DtP47IoLW86ryaBxd+/M6aj3uYWeoMng6iyZ0RE1RjrwPT9m/cweXkiswzWYGKnc3Exx0nHqmS7Gd3AGF1Occ2hxO1G0RRvYO9NCD+NeJJKRmkfDqIVdPbufw1YdUbDUTT/dJiG/tYu2e74FCnPmKo5tX4rE7gfHOHszuVgOKsom9uAev4M0UdJhD4PTm3Ni8ktCdrxnq4YNZx6p8iL1CuGcAl0Xt8Aq0obEw/qIsHp/djY/bBtQNHbEYIM9WH1/e/gQoZjRJYcNyK05KRuEVaE8LHVny0+I4u3UlQVueM9rbH9NOZRJIi3J5dikKD9cVyA4JxMuyD8rCgr7eG7/NcUwKD2VqG11S3t4jwtuVo3m9WO0+mHuRPoR+BxROHJMbQZhDR464LcR9XzI9zc0w69sK3cqVkSiJ0alUBfW8eC5scMEjWpVlhwNp/41rMi/lLSfDLHGOkmC/aRtjGqogKcrh9Y1oFlv4UN7EC8veycyd4IGasQuBZp1RkpWhKPs957avIuSmKt7+7nSoWibZ8w8ChdHKLdgKORR+5rjea8XG7QuoGLMV43G+6EwPIMRYDruR1sT+WaDoG0irlbtwH1jjM1A8O7ScKbbXmX9xK7UveDNheSLB+9Z+DRQehtgc6sLeCzZcnzcRh0+DebTTskSpthgofMa05HwdAShGUuzHlsaD/mmgyCJsTEPcPnZj5bpAhhpUQLbgDeutTVlyVZd1e9bRmWiG9Amg78od2PXV/wwUMRHTGLMsm7C7a1Hf6cCYlTls3B1IR31h+1yxK2bnnFb4xJmwe7MR5+aMZoVoPBfCzKhQ4qEQpz1m4YgRfDQMxG9uL+k20X/i+BYonm+zwjjkE3bh3gysXyYpU/ySgKnT2CAZwR53E/QzzxQDhYUPNkNaUj7tHBbTLPnUxI6x1W+weNsnHNxdGdOpNmpCkogUMX8GFJkcXmrB0oe1CfGYRZs6lYpDO7kJBM6ayPUKk3Cybs8Bm/lcqmmEu+UIGpZsS8uIPYjdvGB0TQSgyMDdaj26o6yxGNOZqkIiBvB8nzNWfs8ZtcKJUZ0aoPn/2jvzsBzT9o9/KoUKhWRfs29jGWtky761KEuSRFQkWVJJi1SiTRsqIglRyb6XZaSYxpJ9jbG0KCUtz/I7nicis77zzvjNvNN5HP3Xc933fd7XdV/f6zy/5/f820QoxJS8OonbfC9SCjVo0+wF568XMMHKCSv9QTRR+jPo3L9/Fv0eQHEjYQOecbfppbcA0zF9UfgxlRh/H3ZfETPMbBHGk/vRUFkWxOWAIvaWMgZzLZjQpymlWdfYtL485WEydwxPYjdy6IEqhnO0eXUgFA//WB4WCSoDKZnmTDZfisMKI75pWh76/G37eUAhJe9JGXafyHRQSkr0BkKir9NNZxIqb0+zzjuaB1nF1Gjdn7m2q1hhpI36h/zKTwGFmBepsfiGxVKgoYfdAgNafEgXP724hwDvaN73MGSF0zQUfhNQhHG39gBmzexIyrZ4XtbpRZ8W+VxIeURPw5nUf7CfHScKGGu9Cp2mL9gbuI41YYd5o6hGk7p1ERfmUqzcETN7Z4zbZhLhH87jRvqsctHmSexmHO18Offs7Rf59Dp015qGo4cVDV+dYMv2S/Sa44zFKA1KKgGKpXR8m0KAswsRF55Su1Fz1GvKkJdXjHqfKXi6GyO6sudnAYXg5TXitvoQfk+N1R7e9Jf2EC/j+fVTRIRs53mLKbiZ9yBtbxjbzrxl5ioXxnesyZP0o4Ru3El+13l4L9KuSAFm37lIVOB6UlV0sdFvxmEfbx53siRwxRgUJRGK83H4bthNC2MvzDu/Ybu026ikffnU8uZgZW+5fS4On5AEmkx3w0Gn86fqLkERdy8cwNczhMbGAdhN647wzRNO7dpIyBkBy3zc0WqmRH7mTWL8XDjwTovgNeNIlwCKS0rlEYr68rx5cp2odY4clZtMpLc+BZcPsHqdL8fP3ySnUIxi7WYM0jfFavEchjQs4exWF7wSquN2eCOaX6z7Cg7F8Wb4n/TmGwmuFgt5k3mdCBdbvlM3wXGCkMUTLDiXV1b5/coo0qj1BPz3+aHTWcIg/rjBlpFz/yKeyxzIG+GO/0KtihSiqPQt988EYmhzipmh0Vh2pxxQpPdk215n2pVlkxRuwaJtAhzcTDizfjUZmp5cdPuMQ/ErKY+cxweZM2YtbT12463Tpny/L31HRrwrps63WX12Gy0u+GDkeo+1e8MZq1EejZZwrI44j8H+u9EkHrMkbcUMlj3UIi1uBfWkZw2JrMAz1uoM4GqvUHZ5jvtUmv31AUUaZu2n8cRiL4mW3aREF8kNvroYjuFYT7T2HcOuVyHW2uMpnh5BkOUwainIIRblEm1ryIqbA0mJt0cmJRB982imbovFvK+k1bOkvOUaNtqGXOvvScLqsVwLNGDu7loEHwpkUANJvbmYN7ei0Z3izwCnMOwnd5aeIL6GfQkoXh92YoxzKjO9Qpg9sAV1pAlGMaLsFFaamXOvhxsBC0einn2sEqBQUxRyc4sTcwOSUG4FN583x8N3LXr9Pydl/hKggOs7l7Iw5DGmPh7o9NKQIs6i5yexNPVAYeQSHGYP4bL3NDY/6oSdizWa7SRkKBF3jvth4Z2Crq2jlJQZsNiKR22NWD7fgI6NayPRzzi0filuF1Rxc1vIsG7NP308/p9THqL8R0T5rCTwwnumWq/GuOd7tq52YP/T9ixabcukAW1R/C09hz9xkvxHgEJnAabjykmZRS+vErbWheirNZi+YgUm43pQWyaHeG9nYlKroWu1CF2t1pQ8TyHAJYgHtb5l7qIPKQ8JoDDV5uWhLUQl5dC2V29a11eQCk/JSCoQRLVo1b0PmprdaFLnN7QXPn0tfyblIeLN4+skJd+mWuNODBrUmTrVy1ngaXv9CEvIoJueKQNavOPiuXRyC0ukpLxeA4fQr0srFD8ER34KKODNw7Ns3bybTCVN5llNo4OqLBJBt2eXYgn0jaGw2xSWO/4+QHGnliZW1oO5GRnO0TvZqNarT3X5dhhYj+P1oWB2nC1mnPVCWvy4j42bjqHcRweD8dp0bFqHR0e2ExxxhZ6L7JjV7hkR/hE8aaQnBRSPYjezPugosh0G0b9NHakwXHkpQXXqN+7IgGFdyE+PI3zHZXrNWY3FqLYVgCLuexGG5jq8OxdByKEsxphbMLx3NxqJXnFwUyiHH9ZnyXpTZH4BUAhz75C4IwDfJBmsXL3R71ITGXExD78/TGDgDnI7mLBhXncu7w0j8nQ+Rk6ujO+ozPMbZ9i0YQv3603Gz206DWpKSjYEPEk7ziYvf7K+mc+i8Srsc/fkfisz/L2mUFeYR/qJ3Xh7HKDz4nXM6/SGSM8VXFI2ZkPAPFrIyiAsyuLqwSh8tiTT1249i4a3+cRNE7zn7oUEKaBoaByAvQRQ5H4AFKcF2Pq5M1QKKG6wy9eVA0VahLiPIz18HRuPyeC43ZshTaqTdTeNsFXOJNWbwo6g2dQVllD49gVXks9yMfUeOU+uc/7ydWr2tmRzkCHPtjqzNr6GFFAMVK787S8HFEvxOFIHz8Ob0awli4yolJe3LrDBxo6soXYs087D1sgT2cGGDG+jSIlQKoGGrGw1lJRao2Uwim7qn2mDiAW8eZKGr90SUjSWsMNZFzUpuVOMoDCL7/c4Yh6eg1PkPsaovaoEKDpXKyP/4Xlcja05Uqsxaq+ewWQfkpxHVqxA4S8CCiGFr27iPG0iT4b4E75qopSHVfouiwPrrVh+tjnHDq5F6VoUs+f5MXjDflZqayArI6Lo7U3WTp3B0VYOpPhNJHXLAkyC8th4dg8j1BSQEQt4++QgU0ba0dphLyGzun4GoL56hOIZnsP7EZDTlw2B/kzurYZs6WMiFpthk1yP6IRtTOokZLuVNhbJjQgO3YRhTzUyz25ktoUTNWYnkGg3DKWsJGZNM+Z03Wns8VvFN2qlnN5szfz1p5gWcgWXMY0hxZueM/1oMd2T4CW6NBY9xX/5FPyvt8Q3Yhc6nWvzlfAEXwIKQfYJjAfP5VrLodi7OzK2fRNqlj7ltJ87ywOvoRcWjvWY7ig/TsRkrl9FhEJNUQ4E2YTYTsRtWyovm4xn26YN6PVrVTlCYTKLy81m41mJlAll16PQW+BOTqeZeC41padaMft8rfA4nIeJ8xbmjuhI/mE79NyO0cVgBU4mo1F/fwMP+wUcfD8Idzd7tDvU5LC3OSsOvmXmYlfMRnbj/fXdrHRYQ1av5fgvnU63z0+5/4+AQiwuJGWnNw5rT9La3I7lJqNpW0ee7DNbmbsykNyWOrismsvATurSKqCvYb8PUKzHM+4OvT4DFJJ7y0+NZ4WrDzdUh+K0zALtLqokb7bFI+YqXaY5YmXwLY/i1uGy4TC1h1ngtHQkD/cEcOi+pGzUCPlLEYTGZdJd34rZej1poCzk9Y2T7D1xHaWOI5is3Ru1GpLGlBKgIVFQ/TWnfIpQKPY1xuYDhyIn4wxBrq6czW7OrJUr0enfkOzLCQQHhHCt1lAW2i5jQrdf1lqQnpI+41Ast1nIN2pQlveY+E1r2Xr0Mf1NHDHT74P808vsDfZi02UR4yydcDLuz5vfEaG4paiJjZshBcciCQnYybWCNoyYOoulVl25GhnMjnMljJs/j3r3Ilkb95B+Rg6smtCKlzdOELx+HYfuNMDM3o1Z7TIJ893IDZVx2K8xRTYlliDf3RR2MGbpIh3aq8vw7mUGp44eJqO0A1OmavH2u51sjkql95eA4qoIg5navDgVRuiDVqxa7cjoRnmkHYvA1TuKolYz8PI0Rpi2h7CPKY/+n+mKCN6QdjACN7ctyI+1wtF6Fk0KMkkI8sI/IZ2elmvxMen8BaBQpfD5TeKCVhN8IgddOz/mjm+H8EUG+0N88TuVzwz79czrlEW4+yJi8/uyeoMXPQRXiXBfScTV2sxb48Pczrlsdp5F6P1OLHFxx2x4K7IzzrLR1ZdTZd/iH+CEVuvPNtpfARTBpwUs/QAo8jJvEOPrQkKRFpu8dHgQ7YlDaDIDHaNwGlqHi7E+OHrFozzOlR2O33I6MpJkcT8c5oyhsXIpubeTCXdeQWLZcHzCl1Ics4rVewqxjd7OxBY1K81vScrjRPACLDdnMMzGH4852tQofMABPzccEnNZ7BuCcftM1sxezIP2tng5GdK2vpiSt8+5GL+NxFftWbJwOm0qkSjEFOU9JX79UuzCMtDZ4M9KfU1USt+SmbQP12XePOw8j22xdjTP/wJQKICwpJDrJ4IwM7fnh4J69F8eTbLjiEqAIj3eU1rl4RgVxrgKH4spffeaOGdd5h1RZl1gKLO+rceT81uxWLIawaQIEt0nUe3HS6wwM2K3eCL7Qz3pWa+Q5Eg7LDziGON/nSCdBhSmbmLQDBeUdbzY4TgdtdJHhK02wu10DTbEnmdW18++Eb8YofioAC1R4fxSUuynX92fJ2W+OovBpCmITJLZPa9DxcvLSQ1Bf6I9lwokdbQS4e1SykrrM9Y+gGDHyahXk5NWFViYzSThqkTUSg5xWSlyQ+ZxfMta+jSvJQ03ZcTaMn1pCPdfyUjDqxKs2NLUl3PextSrKak8EBLvMgwL/0sUlMgj0fkurtWAqW6RBJsMoFaN35sr/u+3mZ82ByslOWA+Zp7xPM0vk6ZsJCU74lIxA+Y64e+0gHbqKghv7We2uTdNLPxZNrEnah+OcHnp25ht4MBx2T6EblovjVAofqRRCx7jNcOEK01n4bFMnzYNK4ewz20xxdozlvsvhYhFMpTWqM2Qhd4EWU1Co4EyoncviXAxxGN7Kq/eyoJQSFmTbti4rmfxpL40rKVA/r2TuNpbs/P4QwrK5JARCpHrrUvwutXo9GkrLTWrsJLnbHe3ZFfuQOysTdBs+/XKRjMvR+Fit5HCrsYst5lBj5YqH0L9ZaTtdsbG7wStxttgbzaxgoD637/tXx/hdwGK+HV4xN+jh44Fc8b2QbUiMyfkUowDTiGHaTh8OSvNp1AvMx4Hp7XsPHkH+doqNGzdGiWRLF2HT8VywSgexWzk0N1aTLO0ZFjDp4Ss8SRwTzIvSiVpDxEy4uq07qvLklU26A9qQXpMIDvPZ9HXwAzDoR345XiFiMzkrXhtP07NfiYsMRpDI+k/S5jnW1nnFsDBjB8pk3TYLYPaHYZjvWollvp9P+Vcf8FVgkdn8A0M4YrCIJYvWUhPaQxdwPN7J9ni68HWmDRySyTAR4CsfGvGzrXF3nEm3VWr/yopM+/uGcJ9NnNLaQA27pao3DyOn6sDe1+3xtLJi2VDq3EoMoitSSVMsF5O//fn2OC0hp0pdxEpKEil8sVCMbXrdmeWrROLJtciwc8Zu4gf6DRhPq5L9ODydhyct3KzoFgSc0RWLEfd5r2Zzk3aqwAACeVJREFUvmg5i0378DAxks3bU/nWfDULxrajNPc+iZFhxKUJMbIzRfH7aOwW+3GlWICCvDyy1STR1xq066eH4zpL6tw+xNbdtxi9zA2jgZ/LdklKazOIC3bF0S+OH0VyyMvJS9NPNeu3QddmDZ7GXUiJCSPyZB4z3VwZ36kuCPO5c3E/7svd2f/9C0TycsiK5Kih1IQhhgtwWmtJF8EjTkZ5YeK4jdwyeVSbNKVBo6Y0kFdgqLkX87rnE+FiTsAFEXVUcnn2sBCBUJYGLQYzz8UVa4OelaqFJLy5u+cS8PMIpqGpP/ZTe0gjFCeiNhJ6opSlQR4Mba5I3tObRHu7kPhuEGGbTClJS2DZkhUkpr1CqW4D1Fq1pVm1YhR7mLPFbSQ3Y9aweG0kj17LISNZMwry1G7akQkL1xM8XYMfDvpitNiXLBVNFnpvYtW4z6s8nnIyyJbl4U9p3P0lV5LyKS0rpYZiC0aauuDtZUCjolyuJfoxzzKQDIkErFiILLIoqmigt9QDd+tRqH45p8uKeJGWgLW1DXHpb6lWXZZqYhFyYjnqa/TAKWI3xr0aUZL/kmPeJrjd6EVEjDtdpWtJyLs3twmznYfdvnv0tNnJBWftiitI0hPp+zyx8rmH495wxrf+9K0Xi8rIvn2S5fN1iL4kg4K8JNIvg6LmdKJD1zOiTS0pNyvjsAemi9dy/blkfsuCnDxNZrjxXYAldRVAUFrE8Q2TMPE4w3tBTal2jUhRhVHOUcRZDa78tBJAkRpAF6NAzKMeVAhbiYpeEjxfh0Pqi4mSlrD+uv08oMi/hY/XBmSHObNoeNPPck5i3t49Q2BYDCl3XyNfoxZDpi9m2qie1K1eLgwjsdf349nps5tzmQLUO4zAdLEBvRqrfKZfX8ztpE1Ebkrm1rtadB+hh6npSJopVa8IrYmFL0iK8md34l1eipoy2sSYKaO/QVVBIr399exnu40K3pNx5jDb95/g3qvXyMsr03uIPnq6w2mupiSVGBe+SCUo9BD1RxkzvldLalf/QCEWFPLdHm8Cr9XGzNiIAe0alGtxSEyUxYGgYO7XHcKM8X1R/zKELc7lyqFwYmPTuJuvSp+JuhjqaNJMRbGC0V9SeIvTO7dz4Mxd3si1ZayxIeMGdaau4seyKDG5T89wIHwvp65lU6NZP/RN9dDs3AwlqW7IZyZ4Q9K+cC6+a8fksUNoLxXm+muskrCVTCnJMZ4ceKjEiMkzGdylWUVIXXL1soJMDof7k1rUgrEGBvRuo165tO2vuUVpL4bs7GxpO3upUmbRD/haruWSoBsLJToUneqSmZpIfOoLWvUZybAeGkgCUx+ttOABh0KjSS+oj7aRDn3bqPIs6Qh7YhN4qtiSMRMlDPv75FRrgdbwHmRfOszVFzUZoD2KHq1UKcm+z+mjCcSfTON1gQCNb0cwSWcyvTXUqcF7MpIPcjbjLe0HjWJQt6aUFwX/nInJvnWWA0k/UL2tFuMG90DlI/Apzef+90nsjjvClTt51G7cl7H6Exg9uA21f0eWUfg6g0NHj/GoWgcmjR9DywrWl5iCpzc4v38vB89fI1uxEQNHT0F3/GCa1i4/IPxa2WjRy5ucSjzF8+rtGT9VG9WcDE4l7uJGcQvGGMyhR7080pOPkXSzhJ5j9RnUUpa7aceJiYnl+xdlqH3Tj37tG8KjOwjbjEZ3QheyfjjC9u1HKKg7kBkz9OjTUMCNS8eJjpcozeaj3roL2jozGNG3PSpy77iblsSpCw9oM1Sfkd80QlD4kivnTnP5kYhBk3XoUDOX747vYVdiMtkK6rQf0I9uSiKynuXRfpQejQtvkJTynG7jDBncrvL2JeGvFOY85vyxXexJTKFYtRWtNRpScOcWZa0m42alybPLpzl7o4hB+gbSCjmpCYp4eT+NfXv3c/LqjyipdmaAti7Tx3VF5YPvi1484XxMBPtSH9Ny6CiG92zItdNp1B08Hc06j9nhvZqUmvpM063F8ciDlNZuyeSZpozp0+6nyriiUl7cTuNg/HFUtWYzeWALxIVZXL9wlOM3hEwwmUbnetUpys7kwqFYUks6Mt9sNCrF+Tw6d4StOw6QK1H41RuJ+NYF0kU9sZw9BIV3WVw/k0hM1FEeCEBJox3a+qYY9W6DHALysjKI3RrMqbvKjJo2n1nDNSr2gbLCbK6f2ElCujLDDTQ4tXkbGVlitHRnMVt/aAVPQKL98OT7Y2yOSuTWswJU1JujPX0+kzQ7fCAt/nStiAWl5DxIJ25XAkev3ZL27mil0Y+x02YwpJuU7EJZUT7XDoYS+6Q1ljZTaPrxvCsoJufmMTwjDlJt4EI8DLpVXEBU9p4nqQmEHX6F3iJzejaoDP/FolJePzxOTEA05x4LqN92KLOtDenTvG7Fc4sEhdy7tI1tgae4VVyHrlo6zDEfQ0vFjytfEl14xYXdvkTvvctr+WYMnzoTI71vP1V3fLwjsYiyB8ewDTjE6EWBjNX4sCWV5HIoaA2pdSazdM7g3zxQVHUb/Y3Np6p9+V+0O38x7D+x26igKB1fS08uC7phscIMrc5qVU2f/uB0kagkSoStQgP2IBG2WuYwpZL09h8c9p/xM1EBD9MvcursI1qNHI1Wx2aIS3O4eiKKoPCTNNWxx3GWJkp/wUnq9e3zRHqt+kDKnEb5FlllVR74Yx6oAhRVgOKPzZw/+Vf/SEDx/hqBC1YSGp+GUFMXe9uFGA7qVCma8ie76X9yOEHBC84fCCMgOJxLD9WZaLmCVY66laS3/ycfvOJ0WEzG6V24L7HlZK4aTRuqIFNWSHZ+MWq99fFwX8mIdip/iQte3/oAKFTN8PGdQcO/5CpVg/5bPFAFKH7jTWdmZtKgQQMUFBS+Wpvsf8vk+/w5PwIKSSqhRo3fW63wdT31ZcpDWHKf3W7rCY89weMWWiy1WYzx8K6fSLZf9/b+sVcTvH3Gmb0b8d28m8clvZk634L584ch7Sv2LzFhWS53Ug4TtmErx75/SGmjxnyrNxObGUZ82+iv60ya++gqByKCuKWsz/IVY34zR/4veR1Vj/kHPSCTk5PzSfbuDw7yv/oziQrgmzdvUFZWlva5r7K/xgMSP5eWllJSUiIFE39XX0vz3IWFUnBZXSoPLoNctWrIyZWXQQoEwvJywyr7Dz0g6RciRzU5idKtGKFQgFAoaVL1b7LyRlXVqsmVp80+aIIIhUKEnymT/tkekTbwkpOTEssFgn+bz/9sb1aNJ5OVlfXvWrf/wTuXbHR5eXkoKSn9bTe5/+Bx/rb/+hFQSECFBFDISaoL/oYmARTv3r2TAgrJX5VVeaDKA1UeqPLAJw9UpTx+YzZUkTK/znL5J3Iovo5nqq5S5YEqD1R54J/hgf8D5ut2iDmEmPwAAAAASUVORK5CYII="/>
        <xdr:cNvSpPr>
          <a:spLocks noChangeAspect="1" noChangeArrowheads="1"/>
        </xdr:cNvSpPr>
      </xdr:nvSpPr>
      <xdr:spPr bwMode="auto">
        <a:xfrm>
          <a:off x="4953000" y="26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5</xdr:col>
      <xdr:colOff>57150</xdr:colOff>
      <xdr:row>1</xdr:row>
      <xdr:rowOff>95250</xdr:rowOff>
    </xdr:to>
    <xdr:sp macro="" textlink="">
      <xdr:nvSpPr>
        <xdr:cNvPr id="4098" name="AutoShape 2" descr="data:image/png;base64,iVBORw0KGgoAAAANSUhEUgAAAhQAAAFBCAYAAAAv0TY8AAAAAXNSR0IArs4c6QAAIABJREFUeF7snXVYVtn6sO+XTgEDERQUO7C7u1vsDixUUFHBQAUEBERCUuzuAsXu7kIMTFSkUfLN79ovmOPMeM7ROZ7vx7rGf4Z377XWs+reTy1RVlaWgsLyXQmIRCISExMxNDREXV29UEq/SAKCnHNzc8nJyUFPT08pa4Xi95uWQpvS09PR0tJCW1v7F0mj8LWFEiiUQKEE/jclIIqPj//9du7fRJbCQZeVlaU8QFRUVH6TVv3/1wxBzlKpFIlEgoaGxm8rawEo8vLyUFNTU/4rLIUSKJRAoQQKJfBZAiLF7/gp+BuN0KtXrzA2NlYedMLBV1h+jQSys7OV8Kavr68EuN+xyOVykpOTldoJoZ2FpVAChRIolEChBAqB4ofnQHx8PCVKlEBTU/OHnyn84b8ugY9AUaRIkd9W1oVA8a+Pa+EThRIolMD/HQkUaij+ZqwLgeKfWQyFQPHPyLmwlkIJFEqgUAK/SgJ/AhQSHhzYQ4J5W1rXLM6Xmn5Zbho3jkRz6eFrFDqWtOnZlhqlDb/6TXbyU84eOMr9pGwMy9SlU9dGmBbR+uI3CpIfX+N49Hle5WphWacZ7VtWQ19DlU9GBUUeTy6e4MzlB6QpilO/XRua1DBDQ/WjL4OCxAenuPlSl3ot6lBMR/3zsz9RWt8CRcbD0xy8lU299i2xLKqL2scGy9O5fvQot6Xl6NPKCgNJPIePniDbvB0daltQREu1oFVyEh+c5eDtLBq3aIpJTgx7TtwkLTPvDyYVhVyGepESNO3QgxpliqKpKuXV7UtcuHiLN1naVG7YlGb1ymOgo/Gpx/K8DGIunOXK3SdkqpSiQetm1K5UCm2Nj/VDbtorrp04w+3nyWiUqESLNo2wNDVCQ/Vbk46CxPtXeZSiQQWrShgb6fCrPEm+BgoN3r+5z+mDN1CtVJOG9atR/Is+SjLfcnHfedIMzWnQ1IpSRtq/ZOy/nUbfaijk0mRuHz/D9XtPyShmSatmjbFQTeDsxes8S/iAikqBPBUKFPr6lKtSh8ZW1ShlqPP3M1SexaPrV3iaoUnlmrUoZ6z798/8C78Qv0/gyf04JHqlKF/NEr2C6SFNf8X1K5e4+iAesUx4oQKRmgaWNZvQqEE9TP6uGfIsXty+S2K2NhZ1a2GsJefdk6tcuHieuEQ9ytdqQLMWVhhrffZBkeWmE//wDq/eSTGpXAcLc0PUv9x0JLmkP3/Kg/hMNMtWoFbZovxhqn7bd4UMFHIQqfHV5vSjMlKISXh6nzuxbylRtTF1LIv+xZNSUl494s6dp2iWq0/jaia/bJ38aPP/t36nALkURKog+nqHUUhzSXp2j0s34inftiPVS/zA2vmBzkty3hN39Th3s83p0LEehp+OFSlZqU85cfgq0sqt6V2rGClxV4i6/JTyrQbR3OKjOVaBJDeV++dPcT2rDAPbViH+xmH2X36Juto3u6Sw/hFRvHxNOnZsh4m2Akl2GndOHuNyTDxyvbK06NJaOa8/FoVCTlbyCy4eOsq9d9kUMa1Fh65NMDf6bA4WzoeUp7c4cfAsrySalK3RlA5trCii8cddWi7L5dHRQySUbErLOiV/2fz8DlDIeXwjEBtrR8wcb7F+XCVUP26Mkgx2uvXEfsV1EjJyARVKtR3FMt+l9KtupFzkea/Ps2S2DX6748iWyFDX1KfSSBe2u06kYlF1hFe9uxiA7SwvIq++QypToFPCgtZzQtk8qQ16mvkbzfX1Y5nguo+7zzOQKRQYVGvFZI9gnDpWRFvtAzlSLe5tcWHDjdJMcxmKsUKfIvqib+fjD0ytv/7Jt0DxZNNkhoUkYh8aSK9qpdD+OHbSRyy1GU/4h24c8reh7PuTjJ0wjaMf2hK2YSmdqpmgpfxtHlfXz2Fo0DsWernSOHklvRxWEfsq/bsN0TKtzvzQbYxvV4XkE4uZ5bqGEzffkCORo2dRiwGOPjgPaEppA02QZHB45TQW+B/kzrN0pHIVSjTqhdPCRQxrUYWi2iqI390g3NsR340XeJWci6qGHuV6TcFvwRRaVzFB84u5+D75LD6zZ3BFrS/zZ9vQuEJxfpUr4rcaCumbK/jPn8Pq68WY6OnM8I5WGCpPkUxORTjhsvI2tYbOx25YW8oW/VWt+npIvgUKac4dVtjOwW/9UeLLd8bLxZH2Wpdx9gwg8urrP4ynjlkVuo53ZNaoPtQz++uTWSF+wzZPdw4+NWDwVFu61DP9j+fy590qkRM7lxO86SZVu9szaVhnTAv2qZRbO/FxdyVo/32ypflPiDT16TDWmQVzptPE7K+akc2DK9sI8FtLlrk1djOnUq+YhCs7vHB1WcyhhyZ0HmfP4iUTqVfs88EgSX1O5CoPloXto2iHacx2mk5z849RNBLe3D1OqOdStj0xYsSchczuUwv1v3BnkmelEnP0Ig/fKag1oB0VjP6NiBx5Bhd3ryV8zSVq28xnWu/qfwGtudw7uo3gFfsp1nMWC8Y25jPi/7xh+//yTTIxqY8ecHr3VYr37EpzK9Ov5CzLTuF25Gpc/E/SM3gNY2qV/CliyEp6zh6PMUSkdiI8Yg6VPm4h8hzexOxj4mgv5P382G9Xg3u7F9PbYQtlei5hY7ANZZTwLSMzNZaV86YT8KoV50MHc8Z/BMOWX/pu+1Q0tKnQbgQRq4Oop5NMlO8gpgdc5nVaDirqWpRpOYD5Ht6MrlsMFDKyXt/Ab95Ilm5/SrZEipqOEdUHz2aVqz21jdVRyMS8vboWh9kL2XEhCYVIhF6JcjSd7s/umV0Kzpr8psjlYh7dCGHq8EUYTzvDhklW/wxQSLIyiI7wZL5bIPdSshi5+iERIyuiUvC1kHDAkQrDV9HG1hv3Ue0RPd6L7RQHstt4si1wCuV0stnnPIghK18zfekKxjUvRUykN9MWr6eZ62nCbeqjlXkb+2FDCHtbhXAfd1qVymRX4DTc97xj7rbrTG5qhEbsBhr1cSCzvg0Bs0ZTXvqAJbNHclzWmbD1obTRu4qDjQ9XcnJQl+iTLf6ARd8FRExsgZHOzw3v/BYo4rZNZ0hAEg7hPnSvavIZKGRPWD7GhhV5XTnka0O5D2eVQLH7UhK1x/myxnkwFYz1EZHHjfVODA5JYK6nK/3qGpGSkoFEKkcke83K2bO4Y2KNw6RumOsLEQ8aFDU1oUjCCUaMmcVljSbMnz6JZiXSWe8znW2PSuDgHczAZhXJPbec7vbh6DUZgeOYPpR6fwWPxYt5atYfD5fpNKuozdngOUwNuUqzYTOY1K0uqdc24uKzmuJ9vfGc0odKJXWQS8U8PH+ApYvc2XfpLhUGLMJ/4XgaWRbns57jp6zrTy/5g8lDoSD1QSSOcxdxXrcj/nOn0r66KfHnw5m2eCWazSYy12YgNUz1/hHtRP7C/NopU5p9Gz9bN06llmHwrPH0aGDOq+gA3LbdpFzL4Qxqa4WeqgQ5KmS9iWWDz3JOvNRjtMs8RnSrj8FfqHsUkjdsX+bOweeGDJxgS9c6pf5zgQthr28esyt8BYGrtvBatzwTHBcxZXBnTJRAIefx0XX4rj6Cdr0ejOzdCF0Uyq9G3SJFMTIy5AvFwlftyc1I4vSeTQT4BXPuxXs6TpjHfIep1CquQJybxZuYU6wN3MgL/bpMWjCVhiU+H/KS9GccWOmDd9gm3pTtgq3dAmb3qJb//tw0zu8PxMPbj1i1tkyePZ+pvWv/JVDkvb3NjqAwTiWbMs5lJo2N/w2gIL/dWdkS1HX00fuzjuc3kvsnthESth/DbnNYOKIhP3cX+s+H/nd9gzw3ndgTW/BcFkWzxSFMaF7mq6YKQHHnYAQufufoGbSK0bWMf0pXspJesGfpJCKS2hOxegYVPimQc3j7IJIpozzIHRjAAdvqxOxdQrdJ/qRr12Sy3yrcB9ZGhJyslIesnm+Pz5tWXNg4CyNJEvEpWaiIZCQ+OoH7/DDK2vgwo0dF5LlSNHQNKFlMm8SjvjQeF0aNYc4sHdsR4g7h5OhIUs2ZbAxbSHnVVI77jaN/4GPGu/gxuXUZHh4OZJb7Rqxm7GLNjFaIUu/jPnkEy++ZERC4jLYm7zkQ7ojrlljst8bg1MZQqV3Me5/KkbU+zHNdwcNMOUODrrJqTLVftmd+oaF4w/L2Y/F8m8uwYW25siMMi0lHWDe2aoGGQsamcZVxezGAbfsXUUNLHZFCzLU10+ixLJXV+9bSueQLpndsxcvOK1np2J1imqoo5K8JHzeIRcndubt9Boqb4QwYHkibFQeY3b4CWmoi5BnnGNNuHPE9Atg7px0PVw1keLAEj8j1dC1rgLpIQfLVIDoP30z3pWuY07UC8gcncLGzJfiJGZOmOzFpQmvK6mn+dPL6caCIY/mYcZ+BIvM0Yyf4k15cxv1YVWxdwhjbuQIG2uJ8oAhNwMnDlf5Ny6Hz0W4ijcdnzAiumY3Gw74P5Urq5X8hikQ83DmbSV636evpx9DmVTBUV5D5ZDejxwVRop8Tc0e04vZya5bfKIO9pyPtq5VBSyHh7m53JgQ9YqTTAgbXVSXEfjQ3Sw5kjt1wapUxRCR/x47FM1h6tyw+bra0ql6Uc37+LFobhW6D+hTJuEliiW4smj6KJhVK/HNAIXRcIVW2f5bXNkx7LMGhtTYRy724pN0M5zkTaF/D7LPJ6adsM3/9ku8BxXJbDy5LrZjiZEPrakbc27cMz72x1Os7idFdGmLwcaNSKEi4so4FYdEUbz6KaYPbo578lMQsVYzNylCiiCZy8Qdev4wnS6SPaUkR0UGeRD0z+AQUcmk2Ca9f8PxlAjliLUzMy1LW3BhdTVXlV016wkvepkkwMDHDpKjuN2tBwbt7FwnzDCTyRS6VrQxIS8vFqt0I7IZ1LQCKD1zaFExAZDyNh0xgSvcvvspFoj/dhPLSn7HTN4jg/XcwbVIORXoCGpYdmGM/hVol8mWaHX+Fdb6h3JBVZty8aTT64pCXpMexNyyUPccvk6FnToXG3Zk2fRDl1SHz3W0iN65j/8GbZBhXpW3fsUyzroe6Ipe01JfEPXtNWroCbb0SWJQvi2lxLRLuHiPcO4DzaSb0nzmNbvWqUdpAnZz3yTx7+pQ3yTno6BsX/F4XEQqy0xN5m5iKWEUdRUYS76VGmBhrkZebg56xBWbFdJCJM0h4E0fcy1QkEk0Mi5thWdEcIx3p3wKFQi4hLekVTx7F8V6ug0HRohiqy5EodCldvjSi7CTevElBpKlJVlIyMg1TqlQ3R4tMkuKf8/JFIlkiNYqZmmNZzlxpHpbmfuDd63hSpLpUqFAGHVXIy0zj9ctX5OqYUrGUNqmvX5KYqYGpmT7v4h7xLluEaemylCtfGo3vaHnE2Rm8jX9OrqYZxTQ+8OjJa1R0TKlcxRJ9tRwSXj3h8atkdIuWplLFChhoSfmQmsCL+HSKlq2EmaEmckkuKQkveZ0uomyl8hiqychJfsuzx3G8zZWjo2eIZYVKlCyuR3bqc46sXobf+ivUnjyf0b1aU6tUkU8LUQkUhyJwXX6Onr4r6GiQQkx8OsWKmVKxWgX0ND6pFhDnZvDs0UNevstCU6sYZatUwvxPTCRfAsWq1TMo/z2gGBTAgcnVidnnzXDnI5jW1ibhfUNWhC+jifnXQHF+sxOldUFIn6OQ55EQE83MCR5UcljPoj6VCvojQvwhiQMuvXC53pDVB5ZRT1cFWd57bu11Y6jbQ5w3raO3RTIeA1pxvYY3a70HY6wijGs8WxdOZP69epzftwDt+9sZN2ohlRfux7NfNSXEZKdcZk4fGy42Wsp1n+6Is18S1H8qy168p/fANjyM3oTx8B1snFjrnwCKdxwNOIpq2460MH7I4B79UB97io3jPgLFE5yadOZSh2AOO7dHo8BOlHp9DQOGBNF9zV7GmF+hfzt3mnhvZW638gU2eQW3Vo5mUACsvxSC9p759PdLImhbIK0tDQpsobmst2lM8Pvx7F41mLMO/Vic2oOjqyZhqq+l7Lw05RYz+g4lt08gyya0JP3SWgJ2J1HFIJZT0oYsdBqDpYH2bwUUoycEUGbEKNS2h3KmZBc83CfTwFSPu+sdvwAKS3Q/6m+lL/AePZIrpUfjad+P8gVAAdkc9ZjCgqul8Fk6lSYVTZQHuyLrOT4TR3O39CicpzUhao49J0pY4zHDmmpm+Ysy/d5uZs6MoOwYJ4bVy8RzegiG3acxZWBLyhgKilkFD3YuYGZIPEOXzKVXo9K8OnqBl3Ijatc24FDwbHakNcbRbjRN/2mgEFonjmfzYkdCDz8FcsjTbswUZzv6tK2M/t8a0n8uZXwfKNy5JK3J1AKguLtvGd77Y6nXbxKjOjX6BBSK7GROrPbFd/89Go6yZ6J1TS4GuLH7vg7WEyfSo5E5eUm3CfNcwUO1Woya1JnnOwOIelJECRRdqsCZ7WtZEbqWk/df8CFPDdN67RhpN4sxgm1VO5uz691Zey6RRkPtGdbOiq+tzXLSXz7h/u1XaJcui977UwRuOoZuw+HYfwQK8Rv2Rfiy7VIWleq0wkSUQLZmEeo0aUXd6pYY/ImdQZz5lgeXH5BOcSqaJbMpIpybGs2YM33qV0Cx1jeUm38GFCHBHI6JR7OYISoiS3pPnUk7S1VeXtrLll2HeJgOCpEKVdvbML1vZZ5fiyIgYBlbDt3mQzZoG5ai+QAbJo/szIfocFw9IniQq06ZxtbMdHamX5lEtof4sWrPUR4l5aJtZEaDPmOZOm0iPasW4cnZvYSEruLKqyxEz1+gVmsAPVsU5cG1h1gNd2RCS13OHgjH1X81F++moFCoUaJ8bQZMmYXt8M7kXt1OSNi+72so5Jk8vXaMQFcfNh2/SoZIh2LFimFsXITSDYewcMEENB7uxM8jlGc5aqQ8TqZMu+n4unfiWWQ4ASHrufA4mVxVLYpbNmbIqJnMnNwBrXd32BYSyLG0qrj52lNZD+Jvn2Sl9wpeVxqNh00FToQuY+WpVKo2zOX4mlM8y9bGsnobJs52ZLh1Qwy/gYp3Dy+xIcCFC1IrSmUeYsPOOIpY1GH4lGm0Mk0gxNOd6HuZlCjfgLHzPZjZtxJPjmzGK/A07eb7YtOyDDkpLzi63p/wM6o4BS+iSt4N1i6Zid+W2yRKQFvXmOZdxjFr4XhMEo8yu/8YIt8p0DSpROdpQex2bPsVUNw9tJoF7vsx62TJ4537OfdSjFGJyvQfNxuH2YOw0JKQkXCPrV5eBO+IJDZJjLpOUWp2G479vPkMqPoZUD6++F8DCh9slt9lyIw+XHP3RzbelzDb1vCFhiIfKPKFqZDlkfDgIDPGe1LBYT2ufSsXVCsnM+UBAaPHEF3ZiRPevZUmZMF88e7uAabZuFPDeRPTGr1iQvs5mM7djO+gKsrzTybO4u4OZ8Z5vcTzeASlLwUwbMFN5m5eS9+C/gl+IfvmdcblQU+iDs2hlDiBM6tOQZOWNCwRx+RhI8jrv4+tk/8RoFAgl8lBRQWVpPP079EXta+A4jrjKw3kxaRNRE5riHrBZp4Zu5Mh3edTPyyKyeXO0L31Kvqt34Z9S1PUC3wvHu+YQJ+Z7/CLWYfehlkMWKvGjl3e1DfT/eRctc+hDi63B7J99wiOj+mPr/5YLgYMxUgvP1xT8f4p8/t25Fmr5QTM7IxO+jteKophqZtA7BsoU8Ecwy+dOn/SWfKfaChGjVuOpd1yBprcw3leMOWGeTJnYGNe75nLoNC3BRqKHwGKNPY4TsbtuRUr3W2oY1kinzDzkgixtea0ziDmz27Ibtu53LAag+fU7lQpmW+jz447zOxJSyky1IlhDVJxs9uC5VAHJvdrjKl+Pt2/iHZhqssdui1dzMDm1TFQyJVORCJpAhvcprAttRGO9v8doBCA58PzE7hPd2T1NQnD57thN6gDZQSfkX+4/AhQxEQFMNtrPY8/6FPOxBCBu0UqKkgyU4l99IIy9QaxcP402tbXZv9yF3bG6NJ//GR6NiyDOOk2oV4BPFCvzegJXXixI5CoJ/pKoKiesZsF3sE8KtKEAb26UVUvi8sHdnIlqSj9baczqG1Vsl8/5VWymKKlLTArrv9HbZJCgVyhUPooxp9bh9f6w+g2GvEZKFIesCHIDa/1J3idqkCclUaeqhZmFVowdsZMxg5pg+l3nQMUKOT5jmeyF2fwWxHMTc3m3wUKQUNh8z0NRcgKDj+RU65acVJeJlO9pz1j2xpwevNq9p9+gZGlMQmPX2HRaSJj64tZv9SXqDsqtBsxkLrlFDy/cIh9JxOoNGAKY5tK2eLtx/m0kvSbOYOuFbS4scMTr333qdh5JNaNy5MXd41DUaeRVO3NAqfJaMXsxMfFmVM5VRg81IYuzS1IjznOtl03sBoxmw7qN/FbEEq8WTuGjWyBgfgZlw9Gcu6VKSNd5lIv9ywhYXu+AxQKkmPPsNJ7HqvuQufhNrQsAZf3b2dj9G1qDJyG18LJqN9bxyIHF56V6cXE4UNoVLMMsmdRuC/x5blRb8aPbkdJyRsuHdjNgYciei9YxuxaEraGBXAkrToePvZU0oXXd04Q7hvIy4rj8B5TnmPBc3EMOo9JndYMHmZNKfkzDmzaxlWNejh7+TKkpsFXqyjx4TlCF40m+F45evbuSYuK+tw+vJ3txx9gVKMNXTu2pIphArt2bOWVbi9CAyahGbMDz4CTtHXyZ3yL0uSkPOfoJj9Cz6ritGw6ojOrcXY7Rt3Jk+hYzZC3jy6zed8hDDs4EzC8BudWu7N801Vq2jgxqk8HGpoL6vr8IstO5W50KFOne/BcpxXDZvalqZGIK/s2svZyOtaeW/Fqr8fFLXOZsOwolQfPYVTT8siTHnFk42ZiS3Un1M+ZKt8wxb8EFHu9sfF/gsOGIAxOLMZp7StmRmykh8kbVs+fpjR5/BEoopg+fikVvwIKKe+TrrOkry1XOnlxcn4BOMklpMQex2GkPcVnbsGh9VNGNvGiTtAOPLqaK+Ugl2Tz5OASRs68ysyzm6hw1pvB7gkE7A2nQ9l8ByhpbiYnlnZhRmRTtl9dSjUKznQRiBMuMH7IcPIG/GNA8cW8Sjz3faCoWAAUdl8AxYNdDOk+l/rhB5VA0a31KqzXbcO+1WegeLJ9Ar0FoHiwFr31s5VAsXOXN/VKfwaK/Q51WHx7INt2D+fE6P74Gozjov/XQLGgbweetvLDf2ZnimsLh6EIkUihVDMJu+SvSDv1LwNFblcOLbehXOZpBKAwn+LHjG6mnPOeypwoDbzXOFPyRgijQhNwVJo8fgQoUtkzxzYfKDy+BopQW2tO6Qxi3qyG7J4yl5sCUEzpTpUCd3wlUExciv4wR4bXT8PVbgvlh30HKBbfppuXixIoPn21iN+y/r8OFJB4bSfz7Bay/XIKre3ccLUfSM0y/3xiqR8BigeHVjBrUQAnY9LQ0dJALskhOycPqXFp2g+fhOOoYTQtb4K6Sgp7l7uwK0YX62+BQqM2o8cXAEWcIQPHdSP5YARrrsjoa2ODdRNB+6cgOeYkoZuPoF61GxOH9aScoapyLQgmsr/OwSbn1dk/AkXO6+tsDPFg52MFbQbb0rtBOXLvnSQocDVX1RviOHcmPavpkZGRiUyWH/2hV8QAfR1NpbO1clN7dprl/y5QxKnRrkd94q9cIKlUe6b3LUn0qq1ck1agXQ04HnUD866TmN63OpmJibx6nca75CQe3zzF0cO7uBCvT+9JzrgMMeXwilBOJ5tj4zqNEk+P4OO3gbcmbVgw1RoLIy0UuclcjNzCjotJNB87lw6KCwQujSC95jAWug7FQpTJ1ch1rNx8GasRC5jcxozE+Le8ePeBxDdx3Dy7l8iTx/hQpAOz3ZxpKrpGSNhuDL71oZClcfXgetyDjmNm7YDPqGb5JlwBMgKXc0LeHB8XW1Rub2S521ZKDHZm/oTWqKc94cCqFaw7msfopYvoV1vwHZApHVRXegTwoEgPFs5vysWwAKL/FCgsORaymLAL6kz2XUGf6gaIpO+5f3wb3h5bKDXYjUWTW3ylyUqMPctK16mc1hqGt6891TTfc/vwRtwXbKacrTfOY5uilv6CI1tXEH5czAwvR4rH7WNpwIk/AsU5VZx8piI/EcT0Gfso2msUdoOaU8m8POo6UnSNjCmhkUvM0Q14+B6i5eIwbFqU+eSz9wkoDoUy12M7dWdtYp51FTSQkvT0MsGz5nClyAj8XGqyxs6RIwbd2eA6HGM9DUTi98Re2IdPxEnazovArvnXvhd/CxQj3ckd6M+BKVbE7PVmnN9jZu/YRGvReZbYzOJE0SHsC+zKgfl2eP2LQOHWx5arAlAs+BooZo20p9iMLTi0iWNkY2/qhOzEo0u+T4kSKKLcGTnzMjPPbabCWS8GL0kkcF847cvmf1x9BIrpBUBR/eORrpCR+/a3A4r72Nfuxf2Bqzk4uznqBeGb7+9uYVBfD1pFHGB82Qv0aRtAp+CtOLQ3/6TFiNkwDmuXLMJurUR3qyMDQvNYt8OXxhb6BRoKBTum1sP7xQh2bBrKadt+eMiHcC50NMUKNBSy9Fgc+/YiqbM/vlPbUVT7n3F7+hYoHm+xY3hQGrNXetG18sfIDWHEn+E/dhyr5D3Z7Tkaiw8n84HCVnDKqY1Rygkmj5/Jh1pz6F/mCk6bknHycKF/0/I/YPJ4z8GFU1gUU4Egz4nUK2+cb9rJeUvA5CFcLjaUBdMbs3+6AxfKDcPDrjdVTfP9Lz48jGTW1EBKjnRkWP0M3O3XYGo9ncn9m2FWJF+GcfsXYefziH4ezvRrWoUiH8nsNwAKSdIJ3CZ7ciGtLGVN33DpQS697Jyx7ducUjq/Koj1+6qPHwEKpQ/F7hhq9RzH8I4N0Ey4zvYVAey8KaedjT0j+zSllJ4KKJLzgeKBXr6GokFp8pLuEOYTwAPB5GHThRc7A4mKM2Lg2I682x+CR8BuXuTKP0ddKeRIpKWolaB3AAAgAElEQVToOcGB+Y4jqFP6RyHr+0AhhFlKpRKUiko1ddRURCjkuVza7EvY9vvU7tMbo/cnWea7lbjkPDTLNWKs/TxmDW1PyQL7yn8GFBr0mNSX7DP7uPiiKM2bGRNz/jK6jQbQzuA+4dtuUK7bJGZ0NeH81pW4+q7hZoYapUqWQkecRmJeMbpOnMPCwaYcCgzhdGoZxrvZUfxxNEudXdh4+jEq6p9D0+UyBcXLt2Wq4yJ6l3tBRPgO5E3G4zK5Hbry91w+sLYAKJwZXS2LTctdcd98DmkxU0z1dcl7nwYl6mPvuoCmXP0+UGS95viOIFZEv6S3QxAj6+drBLLe3mbXmmAOPiuLg+sU1O5vZUVQNJVGuDKrdzU+vLzO9lVBHE+pydzFdlgVy1+U4oR77F8dwIbHpkyb3ZtnmwSgqIG7l51SQ/HmzklWLg/geQVBQ1GOYyE+bL1vjvOGRdQVnCyQkxBzlrV+y3hQZgRe860p+cWX2LsH51jrMY+7xrYs9xlAMUk6d05uY5n/QepPW45dJ0vy0l5ycnswIUezmOI5pwAoCjQUzc3ITX2h1FCEnFVlXsAiKmTdItzbhVX7r5KYlou6dlGqNeuFjcNUBjcyIe7YRtx8omjpFsHk5qW/Wnz5PhSrcFl+jt6BEYyskw8GeSnPOb5yHh5XzHFb1Ik99hMIPPsMDXW1Tx+WCrkI3aI1mLgkCJfR9b8yhwtAsdtzImtSO7FqlT3lPm4l8lwSHh7EbpQ78uHBbBtbMR8olgtAsYXeJpk8Ph7ASMc9dLb3pvi95XjHNeX85rnfmDy+p6GQ8SH5Dj6DJ3CmkQsn3Tor+yKYPJJjjjBjzFzMnTYzvfkzxrVwodLSrXj1Lp8PFOJsYve5MNo5hgWn1lL2gi9DXeLw2LGKrhXyF58AFNEunXE634G9pxeS/6Sygt8RKHIIG1ydUKkt+zbbU0a5MBU82DOX7nPv4rVrE71N4hjfsSfyEetZMakVuurCBE5nq8MgZt5uwOV98+FiIP0nbWPY+t3YNCid72chjWFme2uuNVzCgcXduBXQnwm7jAiPWkGTEnpKO9P7R1vp08+XhvPCmd/XCt0v8ip8f/v/Of/3W6BIjFxAJ9frjPEOZ1ST0uh/5Jq0qziNHceDGosJtOuMScrhL4CiDiW0pdwNn8/4kAsYloW78aVx93WnX5Mf0VAouLVhBnbh8YxfvpRedS0RzqTctyewHeWGant75o1pwyWvQax+UQsn12k0q2iCOgqeHPNnoscFes+cz5C64G83jVdVRzJ7ojWVTYSok/cc8nFg0Rk9Frva066W+WcP9f82UHx4wSa/ufifymLAlHkMq5fNmoXOHHhdDXtXB3o0Ks+/47//786MHwaKPbHU6zOJMd0EHwo5H95cJcLDnR13dBnqOIcRXWqhTzJ7vRax7bo6fadMpU9LS8RvrxG4eAWPdethM+2jhsKIgWM68DYygs1nUqhYvy7liqojFQ59VVVURUWwrNmApk2tMDX40ZTl3wMKOanP73Lm7EPUS9egRfOqFFH6TMi5vsOP8N33sLIeTTOLLM6fvklKZh5axcpQr1kbmlpZolPgG/efAEV0nAb9pk9A985uth+5hlSnJPraZrQaOZTSr/YRtu0GFbpNoF+5eEKCV/NErQZ9B/WlbkULJHcOE7wiEvXWQ5g3wpxoJVCYM8FtGkVjI/FfvoaHirK0alAeNWQoUEFVRR19QwvqNGpI0czLRKzcBY3Hs/hLoNhyFathE7HKPYF/6BksugynZ+tGWBbT4P7+dazeFkcX1wU0/zOgyHvH2b3heG25T+MJXszrkq/C/vDqGpsiAjjwphourraoCkARXAAUvaqR9fYuOyNWsPdeKWZ5OdKsIP9BxtNrbPXz4VBmHWYv7MT9QF+iXlfCJcyRmkUUvLh6hCC3EBLrj8dnnKCh8GDj3RI4rVlGM0PBeVfM82tHCFniR0azGbjP6sqXGTY+A8UUlvv0/xoo7JZj1zEfKE4UAMVUASge7cbd/QitFgQwpZMl2YnPiFzpQ/gFbRavcqVpSXWy3yfy4OYFTp69R8qLR1y/dZNEndb4rHWjVOxWlnhF0sptJRO/CxQrWbTsCJ2Xb2RSo/zw6Q9CtNKSaaxPao6nWxO22s3ijGoD+jW3yDfdi0SoqKqjo12Sms1a07zeF/uaEJeT8opD/lNZdK8aEavcaWBUsCtIPhB/cS02s1bTwPkwi9qqfwEUW+lrISIr8RHb59jiclNMVVMZT3V6cmzdnB8ACsjJeMf2ub0IeN2V7XucKS/K1z7EHg9gxKwTTIzYwKBKSSzo3Y3XHYJZM7+bMtJKkpNCpM8UZhw3JTrSA707Gxg9IZB2fnuZ066ccp3mZsXiMXAw+0vP4UrokM/7+O8JFCijL2o53cLWdz1uQxoienaCKaN7c9xoGvvWLsKqSCqrbDtid8GCkPBwhjQsyYvjfowcPw/VEXuImtce3cSTDBs0krPGI9gRsJD6JXI5FjaV8Z7R9Au+yZJuZigueVJz2Aoqj/IieEZ/zOXPWTarH8tvmOG9Ziv9ahgiOLb/E+VboJAmHWZY8wncr9ie+Z4L6FG1DDq5zznq68YM/+v0Wbka+y610X8Z+TVQ6Kgiz0sg2KE3Hptu8NakG2vDltGvcbkf0FCA5M56ek/0IKPWKLxn2VC/eDbbfSez5EASwxdGML5jNdKjZmPtdoxag+excGxXSmXdwd1pPHs/NMXVbR6dqmgTuXQC8w5lMXK6G+O71ib79hbmOC7ibe1Z+M8aQq0yXxgb/6tAkc3VLT7MdTtMmTEOzB7TlcqGarw7vorxc8P4UNGaxQvG0rSK8S/LjfHt/Pq3gELpdSUn9fIu5rgF8rB4exbOmki76gacCp2J57ab1By2GLtB9Ynb6cEinyj0205mwcyOPN0u+FAIUR5DUbsQQcjul9QcMI2x1g0oVUTGm9uH2RZ9G91qHenXqSEllRob0cf//mJ5fF9DkRpzkiB3N06nWDBq7jz6NSlF8sU9rPBbwU2dltg6zKaHlSEymVx5G6xIpIKKqnAwf9YU/UdA8USdfjMdqPbhPGuCAtl1Aer2G43D/B7Izm4ibPstKnQZS7di93BfuR9xvbF4TO6OYepttoW44b/3Da3GLmDxEEFD4cuh+BKMXexCrewrrPRdwdXMWkycM4U2NYvAhxdcPLKfo7FqNB8wmMopJwlZuQvRH4DiGlbWI7BIPoDbgWT6TV/KrBYGxF3dh7enN+dSrHBY4vznGgryeHJ+L74uHtw3bsPcxXNpXkzOxS1hLPHfgKiVDd6LJv0BKGSZ7zi3PQivoEjKDnFlnm1XSuS94fT2YFzCzmDedx7Bo82JCnEm8EQGg9zXMqZyFgfCXPBcd5eaYzzwH2PBkWBHFu56RbspS1k8qh2aKXfY4u+N3+lsbBb5MqNb+a9MxQJQrPGYxz3jHwGKbKYudcbi1QEWOLoj7+lJ0PQOpF3ayoKZ7sSWHEpo0Fjk1/ey7rI6Q2zG0LycKllvY4j0nUfAaZi8eg0N3u5kkftGajutZ073Sl+t548+FHZzAxG3mUPE4qlU0k7m4s4VzPDaj8VwPyJGlWSjsx0bn9ZkgfdC2tXUhpxUHpzdwqroDDpOtqNX1c9+GcLCEBI03jrky2ibNZS3W8iSGaOoqiUj7cFJQh1dWfe4DP7nNtFR78M3QKGa73QZe5yZI3uzI1aPUj3ncWnlDEy/csr8noYC5LkZxG5zoPn8cwxdHI7H8MYonp7BafoIounLhrX+1NNNYrdzLyYeLopPaDhjGpfg6amVTLJfQE63lUR59EbtzQVmjR3BLtW+7A3zooHxB06tnsMEl+108L9L6IAvwm//CiiUflWCn9fPcRn4fqbMd6fo36Mf8jHn2D6+yicVq/z9CzwmNGJpZCYqKuoglZBTpi5LVqxhWhtLBKVByp2dTJ4wioN3VVFVVQVJLjQfQ2SoB03KFUEVGXe2z2SkUwTPklSVm5JMIcdsxFJOLR2NsZ4mIpmYnS7tsAu+SXaemtLhK1e3GP2cVxE0pgWGSv+Jf6b8IfW2IpcTyycy0TeS+PdS1FVAVSFDnienwWhHljtPoaqJEbLYXYwa74WZbSCze9alhPITTkHytVWMHbiAI6qNCF+5TKmh0PkYvyV9jueQEVwvPQrP2f0pb/KFClsu5dTKsczwOcDzdzLkchESTR2aTfIkYEofpbZB8SGeCJfBeG26RVKmKiK5DLFJNWwXeDG9TxNMi6iT9vAwLvNnsO3kS7LEaohkEkS1exPg6UzfRhXR/TLLWt5r1rtNZlNqM+bajaZ5pX8qbFSDV1c24+K4gozqg3GwH0Z9y6JKO71ClsuVrYtxCDyJZQ875o7rSeUCB9RfPSN+CCj2LMV972Pq9rFlbLeGGBVosBRyMRe2zGNh+FFM28/CaXw/ir7Yw9yFnmw9/RhNg6KYlC2LpliBVbtBTJncmadbAoh6pM/gKba0MX5O6BJvQnaf551EqtQOihSalGvUC3sne/q1sODO9iA2n0+mQf8xDGhVhT/XV8h5dWY1nuuOoN14FDOHd6WUlsA9Gdzcs4ZlHsEcik1AqiasX9Cr2BLbuY7YWjfG8KOzxJ8IW/r0BL4rgrmu0ZI5M6ZRt8B0LYSNClEe33XKTHvK7qAAouNUsJ7lRCuDN2xe5sbSg0l0tF+Et01dHh5ex4ott6jYbTI2dfNY4+lKwJbTZGhqoCpoSxUyFGITOo+fjev8Njza6MM8701klu/L9LnTaJh7Fu/FQRx7/A4pCqU5R1PfgvaDpjLLaQTat3YSHLIbUdPxuNh1QE+ewaU9awhbf5XaY2bQRuMWS2a5sf9ZMhqaaqioiZCJFRQ1a8Tk+QtpX/wZq4N2YthzNs5jvk5sJc98yeltwTgtDOfOewlqquooFDJEmoY06WuLx8JJcGcLK/yjqTLGhVn9aihD8t8KfhZLXAjac5NsdTXUUEEkMqBqsz7M8VlIj7J5XItei8M8b668yKVICRNKmppSFAWWnWfipdRQLMZl/XXUS8K7p+/JyROjY1CRLqMcWbSoH+afMg/nD2hCzDlWuzlx33Qyy30GU1ySzu1jW/H2iaKhw3Lsu1QgN+0lxzevIORQFlMD3KkrekDIQjtct91Bt4gBxc0tMNbRRMu4CW5+gklkN06zZ3EkRgU1NRmCp7K6USnqWjuwZt4AxEK+GfupRMaXpOv0QLbZt/40u5SJraJWMWfBanIraBB/L4G09BxUVQ2p3MQG3y1zaaSVw8tru5g90Y0jL9OQIVc6JGvoGFO/y0Q8/eyx0vvGw04hJe3FTVbMGceSA09RVVdDXSRHRS5H18iMoa7BLB7eFvWcVO7vcWes30Nm7dhL/7LK+DrEmUmcXTWHUY57oMd8rqyeSamCOoQ96u39KOxHelJ57jpc+xfkVFH2Sgg3fUbwjLa47kpCVUVDeaCrmFsxbWkEzt0qoyKXkBQTzazJA9lxXRVNNVXkgFaj/qwLWkanSkVQCFEfkR6Mc/DiQaK20gVBiIIyHrCQc/5TMdb+or8CULw5w/ghI/jQP5LdU/KjPIR8QzfCxmKztySr9/tQ5yeoe78PFO8f4Lt0GaptFjG1XelPDleCIDOTrrIvZCUHrycjK2JF/8nD6Fy/ArrCyar8GJPyOnY32wL3cOG1HOOKLRlm25+GZUt8ivqQC45BJ1eycfVFHuXoUaNVT4aP6kwFQ51PdUlynnNyczB7ouN4Jzej3dDBWHeuh7GOxi9xvvyzw+h7d3nIcgS74iG2HDjN06Qk1NV0qd2sF736tKO8qYGyn7I3VwkKi6J4p+F0r1eOIgUpKBXidM5t9SUsxoCxI4bRtJIxmh/zUMiS2R8cRFzR1gzp3oiS36iwZeJ3XI1aw959t3iSYUi9rj2x7t2ccsX1UVN64SnISr3L8S2bOHgujgyRJR2GWNO1ZU2M9bXyD2S5jMRnxziwdg+n76eiZVafXsP70KJWOQwKspR+koU0jdO7VnEhqyK9u7ahskmRnx6W+7GurxJbqUg4t8Ob/Y80adVjCK1rWnzW4gh25PRnRK4J5qbYkm7W/ahnafyXiY5+Fmj8PVAU4+XVA+y9+gbLhh1pW6eCMjfAx5Kb/ojI8G3czylJxyG9qF9Wj2enDrFrdxTxuuZ06NIUafxT0jXK0ap9bZIvHeJGgjZN23eiTtkiZCY85MThSCJP3yL5g4zydVvStWdPGlQ2Q1dVTOyZSE7FZFCpRSdaWJX+i2yNClJiT7Hv9G00K7SiW8s6GCrBR4E8N42H10+xc98Rbj15TxGTenTo3Y3OLStipPVFavw/EaosMYao6CM8U69Mr25dKFug8PoroJBlvePKkWhuJajQuEcvrAyzuXpkKycfZVO3y2g61DLk5c3THDv/nBJ1O9K9cWkSYi+xf+d2Tt97g3rZatSvUxH9xFdk6VvRrX8XNN6cZ/f2HdxNM6Or9RC61zXi5d3z7N53iMsxb9AtbkbD9n3o1r45FkaqJMZe4sjxK1CpPQM6WqGlyObxtdMcP/cYi1b96FhFi7sXoti84wBPMjUpVbs+dS2KIXv+BN261jQs9YHzRy+iXacX1q0qfB1ho1Agzk7k5rkotm6P5KW0BBZVLNBKf0FcSllmutpjnHyR6MM3MW01UOlPoxwNWS6pr2I4GrWf/WdikKqWonqDrgzo3YyKFrrKCCJx6ltuR+9hy8ELqFatT8eWNUm7d5PUkq0Z1EST6FAfNt8yYsCMdsTu3kNchjotuw9gYI9WGGl+9jf4OJwZr2M5uWcrrww6MXJ4E/SlWby4f5EDh25QvstIutYqiSQrmfsXD3P4dh6dhw+mpqGChDuX2Ll+C7dytWjRsyeWordceAh9Rg/CUjubuBun2L1hPzcS0lE1KUWdzv0Y2rYFpfVUyX4fz+mDa9h+5CXlWo3FYVRTPuaRFXKzvLx5gp0H7lG+a2vent7FiZtvqdqkIyOH96dccT1UhXkrzuLd4yts3babM/feoq1nQO0OA7Hu3oayhhpfnGGfJ65CJiHjzROO793PvvO3yJJKKF7CkjY9BtOlbU0MtFRRiDOJv3qA0Ki39JxhT6PiBdo4uZT3r++waU04l3S74mfbk09ZsYWcI69vsj5sLyY9bRnY8Ov0sgqFhPeJt4haE0H0pRSkBtXoM24IXZpUQq8gHYNcmsObR9HsCNnBhZcyipVvwdBJ/Wla3rjgA1+BNC+DBxfWsSn8NA9zi1C9WXeGje1KZSOdr89IwdcqPZZw/xWIm85hekeLgvkl4clBP/wvGmG/cBwVfkLg3PeBQiFHLBaDqiYany6rKBgIoXFiMVIBq1BBXUMdtW8oV4AKiTjfuUukqoa6hhqq37idy2ViJGKBJQVblxrq6mrfDLoCmUSszCAphKOpqaujpvb3G9rPOjw+vufPLgeTS6VIpFJlGJ5QVFXVUVNX/eyhrJAhFksRCc5tqipfDHB+v8RyERrq6p8d7PKHGKlYjFykhrrQ1z+ErSiQSSVIpTLkChGqampKmXzMZFpAdErHOqlSbiqoCV82ql+/S4AKqUSiHEORSFX5G9Wv2vix90JbJciE93xbz08W9Ld3eQgyksrz+/iHtgnOg8p2iVBT+1aGP7lhX7zuj0Bxi+W2nlyV1WaK0zhaVi2OXCZFKpMr5/SftluRP5+FlPbK30ukyEVCX1QRPleE+a6qJqhWpcgUwtxSy58nSqdJ4f0yZTSHUIeaIJ8CrYFcJkEqExwqVVH7wgzxPYko54BMprw/4et1JYSayZT1yArmh/D19vUc/gsZF7RRyA4qtO2jQiPn9RXW+4ZyXVaZsXO/TmwldEYm9FVO/niLQCb72jlUkJNgahH2E6EtyvYL81wQkIpKvqwF2Yny6xU0FhKJRLlOlHuHqgi5ct7n90tYXKpq6qgXrI389ymFV3AXQ4EclGMpPI9yrCTCWAmPC/4rQufkgjOLMJbC2pQJHfjksJ4vJTEJD29x6th15JXr0aW5ACt5PL97hIjA1SSa9WPBfBsq6EiVaza/rs8LX7jTQVjzwj4o2LKEv6sr95mP+7GCj3sRqqrKtS70RS5SRZIUw/5QwSmzDPPWOlNLTa780hXWzJ/tpcr6BLkJe1CBn5xSbkLbChx1vxwvQbb5msMCeQt7oZo6KsiV45n/9wJZCrLPD0PKl33Bfi6Yz2RSMVKpEDmkjsYXjrNKyFXOR6H+/DXxcX2pF9T9abeS57dBOb7KNVRQx1+E/+X3V4pEWAvKYEFh/gjy+XxnlHLcpQrUNDS+ukNGeFbYr6UiNbQ0voYzYQyEuSJEQn1MsfDlqsmvV4xEmL9/d44qTRKqCP39dA1GwXkhrPm/Pkc/n9v5Z7rGpxxSwl8ELYVYJkJDUxiz/7wU3jb6NzIsvG30P59kP/KG/8XbRoW7PAInOhG2/wa06MfcGbb0b1aVfygA6UfE+t//jUJK7OlNhAX5svO0hDp9xuG8ZCL1i/+cS57++x38+xa8vXWUUFcHVl3OoKSZGVoqYtLS0hCXqMVkpyXYd6ny3S/ov3/zX/9CcOzcG+zNthgzFmx0o4H2P+R49p82vPD5/1kJFAJFIVD8FpP3fxEoZHlP2O66jDV7TvKyXEtmTJvGsDY1+MnXyfwW4/NvN0Ih5f6xVaxYEciJRya0GzCGqdP7UtXwRyNS/u2af5sH5bIPvIo5x7bQdew7fptUfX3KtujAmOE29LQyR/Pb2yl/Ustzkx9zcvtaouNMmLDElmr5txMWlkIJ/DIJiFJSUvJ19oXlDxIQEgQJXxJ6enpKNWph+TUSEOQsqOPy8vLQ1tbOd+b9DYugms3MzERDQwMtLS0EtaWgjlVGPYgEtXuBGvw3bPt/s0mCA6JMlu9IrAx1/a557b/Zwn+gbkHFLZMrL5gTboYUsqcqTZG/tGqFsj5B7qpqX5pdf2mlhS//PywBUXJyciFQ/MkEEA669PR0dHV1C4HiFy6Sj0AhQIVwUP/OQJGVlaW0ZWpqfuHBJBwQCsH3obD8uQS+yGr7f1lMBRl9BTgtLIUS+P9NAiK5XOnBUlj+RAIffSiEr1Lh4Cssv0YC/ysmj5SUFCX06Ov/aFbKXyOvwrcWSqBQAoUS+N0kUOhD8TcjUuiU+c9M2f8VoEhOTlaaZQqB4p+ZF4W1FEqgUAL/OxIoBIpCoPgtZmshUPwWw1DYiEIJFEqgUAL/tgT+BCgyORvsz8tqoxjSyuyrfAgfEu8REbSKa3HJaBvWZsis8bQ21/8i7ElOyrNL7AjeysXXmRhXbMXQib2pKSRF+mQyyOXJxYNsXh3J42wdarTuwdChbTD7ImmVQpbMhZ3b2BN9hUQhsdWQAfRqa4XBpxhlOS8ubOdErAGdBrTFRE/zp8TRfivJbzUUkrhjLA7bz5ukDwU2cyEOXB29UrXpaN2ddrVLo/fNPSOZ8dfYFLoT1WYD6NvKiqJfhgHIc7hzdDMR+y6TkS3+LCMhvt2sDK3b96Fr4xoU19H85MCVmfyQo5t2cPzmU+SGNegxrBctalqgp/HRcVRKwsNL7N+wl6vP31OiWgv6DumMlXlxND8FsGfx4Ew0+3cf52GqOtVad6Fvr+ZYFBMSxXxbEjm1Zjc5lTrSqK4lRX9CRrVva/gWKFKfXmD7ymhkNVrRo2tTzI0+V5qbFsOeFQdINalFl17NKWes94ud2/Jb+20eCrk4npMbdnDo7E0SS9VicL9e1FB/xo690dx+moLKR1kLjnFGRlRr2JYebVpQqZTR36YLV8jSuXY4ijvJOjRs3RYr86+vmf63V3zBg9kpj7h29jbSopWo06TWp4ye4sQHHI7aR9SFWHIkyizeiNQ0qdW2Dz27dcbyu81Q8P7NU44fjObopVtkyY2oUr8jvXo0plppbZ5fj2LPnj3cjDeiTuuu9O3fCgu9z5f7SbOSiL1ygvtxWVg0aE9NqzLofJGRU5Hznte3b3LhcQaGNevTtqYp36bH+YM8JGKQSUFDS5mn4l8uihye3jzHqYtPKdOsJ+1rl/qLOSbhzYMrnDx9G52aXejZtNx31tC/3IL/Ow8Ie504V0hakf/viyIXZ/Lq7lkOHH1MnSGjaWb+c0yNspwMHp7ejNfWKwXnW/6t1SqqxbGo3ZLe/TtQy+TrjU6Wl0Xcpf1sPfCIJpNm0KH8F21RyMhJe87ejauIvBKvzKUhFKWvjJoahlb1sO7ajyYVjT/NDbk0l1f3T7Nj5W7uZKhgWbs9Q8Z0pdKnvU7IA5TB3RP72L75OK9VjGnYuQ8DrZtS/FOuEiFp2mtObtrEgVP3yNapSPcxQ+japMJ3MuXKyc24y/blR6hmO4v6JX7+FPsOUGRxbu8iJk0IoZ7HDVaPrvjpkMt+d5Bp7aay/UUychEIyWA1a7TCZak/45qVVibdyIiNYsZUG/ZcyEKmAiKFCL0OE9gb6ExdM10leDw8MJ+xjmHEvBAjE+4DUNek0jhvohcPxEhbQ3lN7yGvXkzzv0zKezEyobLiZRi0KIxlQxqiq5bEy3gpD6PDOBRjxmD7NhiIylC+jM5XSWF+hri+BYq8i340GrGUR2+yUFP7mP9cpExFrqlflcn+gUztXAOjTzHfEu7t9WTcjGCymzuw3n0cNc0MPgOYPJ1DfnZMXXaAhPfSrxKXyIRUsEZVGDXPh7kDmmBSRIO8d3cJcJlM6K57JGfJBVGhUbsTHm6LGdCssjIjZ8L1zSxY5E7U+VdkiYVFok6xzhNY4zqVJhVNlJvxrV1zmeO5mRuP0pSJTdA1oPG4RSyf0o9qpb64z0ORyKGNS3D3P0yDSRFM79+cL6/7+BkyFt7xLVDI0x4S4elMwN5M+rssYGKfhpQU0oLLE9njNZ2AyLe0n+TG2F5NMPk2re7PatQ37/lDYquce4RMdcR/4zFeV+uG56LZ/D/2zjqsyukWR9cAACAASURBVGx9/x9iE9KhYveI3V3YNXY7BoKCKCWCGGAgBqEoICEg2I3dmJjYgVhgI4jSvet3vRvMceKcM86Z8/u6/vC6ZO/9vms9q+61nue5767Kl1i4PIBjN1MVwaUfMLRMSQ6aZekw2hE323F0rPVBjejblZWL37DTZzlHnuoyysaGPs1LRJH+ilKcn8ieyGWE70uk3ZjZ2IzpraDeFkrajV2sWL6EtUcfUYyqgoVQWV2bXhZzmTXDlhYmv65Bzos4NqzyJWDzGZILhY0clLXK0W7sRGY5WKB/dytLPRay/64xfS0dmO9hRXOjT4u1OOM5h9Z547VmGxodrZntNpfeP5Wo5QrEUM+uHcBvuTf7kyszddZ8Zg5q8ruAQpqdwrXoGG6nqNBhyiAaGP0bnBeybK4d2ULUzms0GD2LqX1++h1AUUj8yZ2EhhzEsP9M5pq3/h2W0r+iB/8/eoakkNTb19m38TyVxv9CvxaVv7CzoOVx53AkS/zPMiAwjImNy/8ljRdnvyF2rQP93A6gKlLjEzejQMSoQ7WmA1gSsYI+VYX9SCgy8jIS2ebpwNwtD+g9fztRNq0+HWLlYrJeXcXTYTIBh5NQU/90ABR+LRWJMGoymBV+PgxvbIBMXMiLK1twmunCybsSBJShrKZN1aEziPaeQS0DFSRFucRtmYn1wm28fAdyZRXUdI1o7eDP/ll9FcCkuCCD7Qv64BL+iCKxDJlcBbVq9bFeHoHngLqfQzMKc27h62xBxCUDfPecZthHOdK/xKSKh3wGKGS8e5zAhjXehO08wdP3qYwJTiDC/AOgKGDzlObYHDFkysIVOA6oiYb4GREuduxU7c+GwLnU185iy6wB2BzTYqnvaoY1M+bVuRCmzV5JOes97HDsjFb6RazGT+Cw2s9ELHOlSdkizq6bhXPYdSYFX2JOTxOUbgTQbrwXRgPc8J0+kIqyV6xxNyfyWT38wqMYUD6eZU7+xLx6SmaeATplNDAd64LfL63Q+4tZhb4GFPmxvnRy3s3wOUGMbl2ZDwet3KSzeLou5ExFcw6umIJpBb0SvvTcZ/hZ23A8JZ/kd8pM8Q9kYvt66JVSlSPLZN8yS3zia+I6w5IW1Yw+0kinP7qEr8t87pXvydIVznSooc+NcDus1t7DbOJspvZvieqLGBZ7eJJUx5rV8yxoZvCe0Pm2+N3QZJrjHAa3qsTz08HMX7mZKr+sYbF5D2pkxWDl4M5N7S7MtrWkXRUlYiLns/JwMkNdgrDp15RymlKS799kY2gwO4/G8DijGPPlO3Ee2ZEqf80h4YtR/CuXh1xK7tNYlrp5cCivHgvnz+TnFpWIP+CHm99hqvZ3wH58f34qW0Ip/neUb1NvL+F8bi3MZ06md7OKJB1dzbKddzDtPYGxPVqgW3pplP82ieiAVey+W8gQ51lMGtgOw9/JjpWLk9mxYimHn+ozaup0+jWr8B83UVpcwLM7cWxcG87OI0fJ1K+FudMC7Mb0xUQBKCQ8PBLJyg2xGHcegdXwtpRsxUqoaZZBq0wZBd3zF0WezslQXwLWn6H26GlMHt4bvZxEzm4NIOx8Gq3HzcVpeGukz2NZH7iRh2qNmepmR+tynwOKJPaHryIgcgepVbpibjUL52HNFAumLD+N2D3B+AWE8US9IxYOs7Ab0ux3qdaLUm6xa00Yse8qYbFoxhfv+vNGlCMuKqSwSIyqhhaav6tuXEj8qe0Eh+5Hv58rCya2/qT0+Odf+H/ym/KiTB6c2obPiiN0WLgGy2+pjR4Ox2PVeQauiWBSk1JxmP/QWsWZyZyLmIlDjCZ+q7xoViq5KinIJP5YJHP89lPFOpRohw6KN8klBby8dpA505eTWk6DXFlTVu1ZQ9sPWFUuJvNlHJ5OtsTXm8da+y4fbwgkRfncPbyehYuiqGG3mjWu/VF7/4Bg1/F4PajDKp/ldK0Kdw6uZNaKPTSbc4goc1OyHxzAfPIMEqpPImrxdCorJ7N/jbNCpM5142XsmstJObGMdjaRtJjii7dFF9TTbuM1x5KDxf3YsGEtnSqAtCiX2ycP4rVsJRcePqS4XBNC959jSM3/0Ijf+PlngOIFPl1t2KJhguWopuzxX4qJzUk2WNYrPTXfZlrdIcQP8Wefe2/0tEQKets3seGMW3IY21WbGFghCdu+P5MxKIg1Dn0x1FRFVpxC1IyxLHralcu7XVGKC2aEdRQDg7Zh26kOZURKFOdcw6HfeB538WXPvN7cCxmDxSYRK/cE0r2KIWrISLkVyciJYZgtiMC1f20KHsXg5TibTS+NGTV1Jk6TulPZ4JMWyF9lqm8Bis6ue5m4dDPmHap9lC8XNO2vhNrguFUVjw0edKlRHiGxMOv+esZO30UbizG8jQ7mZZ3prHAeSK1ypXzrAqBYasHKxEZ4utvStkbZj4ulcCUWt9kJp71iZs53p299NdZNH8kJUT/mzZpM8+pGKEtzOBvmzqx9xbgvn00HrYe4Oy5BuZc9M37pS00jTaTFTwl1smd7vhmr3czRTViLnc9FerouYFz35hirKZGfcgaXqUvJa2mFm9XPVNdMYqXFMk5iQI+O+hzed5IWE1bgOKz933JDUXIoEPMkJpjZnhtRbzOdKe1F7Axbz8tavXGxG0974frwbwITiurIZHwelCnJv43f9KVcljTGbs4UzOobcG/fCpZ/Ll9eCigEKt5Xl6NYsPY45TtNwm6sGQUJl3n8XpU6jZoohOCkBWncuXaLDJVy1K9vyLm13hxKEtRGSwCFJD+NhNvXibvzhOxCLX5q0oLWLepSVkcd5GJeJ9zg/usCKpg2xrSK4VduFTkpty+wblUkl/M0qWeqTGJiKnW6TcThl36lgCKLC5vXEHQkhQ5jbbDpV++PXUnyTG6fOceN53IadjWjRVU9lOUSXl05xOrQ/Yjr9sXVfih6Gdd+WxwsM5G9ocHsO3OdPP1KVGvci6n2EzDVgpxX19m7eQuHz8aTb1CTToMtcRjeApEkkxdJ17l4LZ7kVNAxqkbTNq1oWFOHZxf2EOizhksZxvSxmsrInmY0raROevITrly+SsKzbPTK1qR5u5Y0ql0eVSUZmclPiH/4jFwlNWSpz3knq4JpdS2yMjMxNm1F0xqGFOa8IuHuea7ceUNBoRYm1erTtmNTqpdV5f4HQNHflQUTfg0oZOJcXjy+Qez5a7yT6lK+ciUqqEspUilPs7ZNUM5I5F58EjINTTKfvUCq05gefZqiKUkh8cZVbt1O4r2KBpXrNqFNm5ZUFm4rc9J4dOcWz4sM6dipuUKPJffdS+7euEWOfgM6NdDn5Z3rPHqnQd0GZXl0MZbETKjfqCWtOzT/CHY/XyvzM5JJuHONTO36VFZL5fyFeEQG9encrQMmmlnEX4/l4u3nGFZpQKfOnaiiL+Htiwdcv/2KKq3MaFRJG0lhNs8TbnL3tRKtu7bHRCQmPfEuV85d4UmeFF0jE1p1MKN+LWOyX99j+0oPgvclUHeENb+MGcnAJp9u4wRxsDtHIljsF0u/5d40y73NuQdvqVzVlA7du1BRrzR9Wy4hP+M5F8+e5/bTTMpoV6ZFl460rFv+m67wD4Bi5jlDwtetoZVRqRXkMrKSH7NpvgW7ZeZsi5yCAGEE/ZLzOzxw2VTANLvW7Fm6jgYuW1g+QpAOFxBHKaCYaceTlt5sde3BR8gsl5H97gHhHlPZLR9HtJ85qk9OMMNiJjoW4fhM6kAZFRk57x4QPNOGDfLRXI6YyPMDXlgsOsOU9TuY1NQEZYpJf3kS2yEzEI+LZOvUhhxbMgTns3XYeHg1LXXUkIvzeRwbyOhp+zEP3YF9p3Ik39iD/XA/8ocPZESlp7hHPSBgz1mGfl9Akcmtg7eQN2iCqfptxg8ZhcjyNJsmfwAUN7CqMZRHY4I54dG7lO8ehXrmyOGB9N+0n8lVLjO0uw9m/ttw7V0DNcVqL+fuOktGeRcTfj2UMrvmMsI/i/Bd/nSsrlu6IUjYYtOK1SmT2LVxLOfshuNZOIwza60oLyyWwpVR+j2ch44g62d/Vk03I/PCFsLPQxujW+xNMcXZZQK19TX/ct/lbwEK8+WbmdjuE6AQ6ng1dAr2W1RZHLWQzjXKo0YeR+dPYMklExYEzUF59yzc9shxCvOhX8PKKNSmZZnsFQBFUiOWCIBCEFEr3SSzkq7iY+/AcXkLFq+ai5nJC2aPmEtu9xnMs+xBdUPhWCnn9ZkAps07Tb/li+isdJnZi07R3daVcb0aY6hwvci4tGYy8w/o4uJth9ppf9xPiXD3sKdr46ol7yt+R5jTeE7Ke+EycyJNK0lJuPwM5cpVqFQYi/VsfyoNXY7jsA5/H6AQ+r04jcOr3fHZLri/MtGtMxjnOdPpK6i0fqUh81eByN96zr8EKIbaYNGvDXqlgKLw/XP2rF7G2lOv6WHngtWwBlz0X8a++5oMtbKif+sqFKXdIdw7mEeiRoy36sXTXf4ceqKrABS9a+ayb+0aAqP2cCc5gyKJEjo1mzHM2gnbkb2pqy/mwpYVbLzwltajpzGma4NPC1rJikfeuzc8f5qGSM8I+auj+G89iXab8TiOKwUUha+IDvNl28UsyldpiHJ6ArmaRnTpP4JeHZtjov2tWARBz0DQhVFCVdD1UVwXFZFwehM+606h23o8blP6UObd76iNCoAiOIijD95QxlgfJFUYYOtErzpqJJ7fwbboYzzPV1doNNTtMYUZA6pzVzjV+q/h2NVXiMUg0tSlcZ8xTLUciuqljXguDyc+X0S1jqOYMdeV3roPCF+xip1nbvI2X4aojB61zYYzbcYMzNtWJPH8PkKCQjj3JAuSszBsP5IBHXSJv/yAhuNcMG8h4+AmP5aE7ycpOR+5XBndCrXoPcGOGdajUL67i+DQfeh/C1CI07l7ejfLFwZw7N5TipXUKFNGEy1DfUy7W+IxdzKih7vxWxzA/UxlclPFmA50ZOnMFsRt8CMg6iCP0wuQKqmiZWxK7+F2zHMfRdn38ewMDeJ0hikLfe34SQte3z7DupUhvP5pAp4WtTi91o+QYy+pYJrBxQMJvCtSpWzlpoye5sx0635U/DJkgdRHcWxevYjTWdXQzz3B/lNv0Slfkz6jJtC+fCabQ4K5+rII3Yr1GeqwiAUTW/LyzHZWBMbSdY4XFp2qUPD+BTGbAlgXq4JrwDyqpZ/Hf8EMoo4nkyuXI1LTpV7LQTgsnkkTaRzzxkxi3ysJmpXq08chgB1OXT5OQQFQ3D2yjnmLd6Ld2pjEU5d5mCqljE5FOg+0xs3LgSY6xbxLukDAXE82nbvO2zwZKupaVG3dG6t5S7Ht8KU4l/BwAVCcjZiJc6whEevW0LL0hkKYJzlvn7J57gR2yiaxfZ0lxnIJma9u4D/Vhht17fCb2Ym90wezV3sSURucqCFMi88ARWIrb7bM+gQopEUFxB/bwOyZXojGehHl3p+sK+swn7qfUaGbsGlfcusizs8gdo0VM3ZVYNMZD9KCnJh+QI+d0b40LL3OLMpJJczKjF0abuwK6MyW8cOJNHHgavDYkgOEXEr2s/PYD5+Mnt1O/CY2piAtiVvX3lO1bV2UYxfTyi2OwH2x3xtQCMJUJWJWKu/OM2LAUFQtz3wGKIrZYl2P6UfLM98/iFGdKkP6fcLnOLF8bxELYvYxuco5+puFM2z9dhw7V/woivJ4hzVDnFNZfX89WhtnMTJShZ27fWhZWevjCXPfzGYsvjOK7dETOGUxkhU6Flzy/wUD7RJAIc9OxG1Ib5519cPfqQ+64lzeSzUwUM/lbbYSxmUN0fgObHDfdnnsYqjrWsa3LY+6ihxlGby6fpz5novJaDebDXNHU6OsFkppp7D9xR1+Xsacie0ol3uEyWOXI+k/n+VTulLFQF0BKA6utMV+dQxilTIKkRlB9ElNpEpRQQbpedpMdPRm5uQelFW+wvTBnigNccVtYheq6Jf499KuhGBjv4/OXovpIrvArCVXGew8mzHd6qNfqnJ6c91kZm9QxXalAyrH/fG4asTyRTZ0alipBIRJctk0awT7szszw3UyrWoboSQIEgnMhk/2MnbmSir8FwCFMMGzky/g6+BCRJyE8fMWYzeqK5U+nEy+N4r47Pl/BlAkHA7E1TOYS08L0NUuYf0Uqaoil+aTni2ldc/JzJ45hbYNVdi/0oNd97UYYT2NgQpAcZtQb38SRE2ZZN2X5zsDSgHFNGokb2HJms3k1x+KxdjBmGoXcDl6PXtv52M2bhoTejVHJSeN9DwxZQyMMdDW+NXJTK5gTZSjpAyvL2zAe8MxtNpM+AgopG/vssF/EV6bz5Eu0UVNlq9gMFXXM2XI9FnYTRlInQ+hDb9pdxnvEs4QtDKUuKK6THOZRp+GJhS+/iNAEcixJ1C3SXnePn1FjZ62WPcx4PT6CA5dTqNi3bK8iH9K1d42WLaWsWP1Os4/NaDflKE0MMkjIWYHWw4+pcYwW2x7axDtF8j5dBPGzXOik34WxyO9iLz8ns7mMxnZrjbFiXHs3LqLJN22zJw1E+MnO/H18OCqahts7Bzp1ViPpMv72LjjGo0muNCnzAPW+uwm17Qv435pjUbmPU7u2krMI2PGLZpLK/ElgkOjvwEoJCTfPknI0vkceFeeMfYz6FIOLu+IInjLSSoOscdn4TREd9ezaJYXaY0mMMtmIk2raPI6bjvePhEUNjbHzqoP5cVviI3eSMTpFMxsl+Jhpsa2EH+OZzRg2QrHUkBxirUrA3hRZzI+lrU4ETSHeWtvUrfrSGysh1FOnMSusAgOvKuC61IfLNp9GZPw9mEsIfPNCXvUiAnW1vStr8GV3eEEb76AbodhWI4bQgPt56wPD+F2UWcC19hSJmE3y1afpvvc1Vh1qkzB+2ec2LSKkPMqzPG1R3YmnAXL4jCb68LI1hV4//Qm67dHo9TcGq/xDbmxPRDf8HO0dFrK5P5tqP6ZyrIQQ3H3aAj2M/1INRmK0+LRtNWXcWnXOnz2PqK7awT+gw05GeHMnE0J9Hbxxrx9LeTvHnIgNIgjBfXx8fOhzVeekg+AwuGEJn5+frQyLqBYCtKsdM7sCWPZphN0d9uF32hTKM4i6VwI0+edZfiqrUxqLufh8ZWYz4tjfEAU9l1MFIAi69U1Fk2fRMjZDCqVL3F5C/GBIuH2IfM9IuN2ePuvYWAbPZ6cD2LCtLNM3bKJSc30FbNJUpBFXMRUpoWUITTOi/crHbA/XZ1jezyppVtyyizKzWCzfVvW5TizY103NgwdxfbG7txcMaj0pkRK3qtruAwbgWTSTtbYtEFVJjDVylFWkvHu0Bya/j2A4rMV4u23AAVkxm/FeuwCYl5moqomKFma0NjUhCd3XmK+dT/W1QVAEcHwDaWAotS5/WSnNYOdUlmVEIX2hlmMXK/Krt0+tKj0CVDsd2nGoluj2BE9npOTRrJSz5JLqz8HFEm4D+1JUudVrHbug7GmgMdK2PdKxAM/BEj+tTvM14Ci8NJqWoxdyqssGRqlcRBCV0vlauhX6Ma8YHeGt6qJtkiZW6HTsPa5QGsbF3o1MKGMShq7PD24qtmP5SGudK5eDjUBUKyYzvTQaxiXq4ihljL5r5/x8FkKohY9cXRxYVynZlTQ00SSfYbpg5agPHw2buM7fwQU7+JCsLHbS0cvT7pIzzNr2XWGzpzN6G71PgKKW1FTmBWpjK2fA6rH/PG4ZsxyDxs6N6hUsvFIctnsOoK9mZ1wmj2FVnXKfroyf7TnvwgoJDw6EsmiRas5fj+VhqNns3SWOW0FwPPXdvUfPu1PAYpDAbh4RZGQoUm18nrIslJ4nvSCbOM6DJxii+2I/jSuZIhIJZ29fh7svq/FcKsSQFGcdpsQAVCoNWWSVSmgSDRglGUf3h4JJ+xMJp0HDqJ7w4qKxIXsF9eJPn4D41ZDmT5hCDUNVBWR6oq58LvGkfEydv2vAEVh6n0O74jgZLIKbfqOxqxuBQoTrxIVvJYz2TWZ7mxLt+oyniS+Ir9QgqqWAVVq1qZ6BSOEeFnEgmbFKUIDorj4XJ9RDraM7NMMA1Vlfk++XKy4oQjkWKKI7sPakXLlHMn6nZg+sBwxG3YSL2pI93pijuy/QdV+NswY2pDM18+5cyuBB4nPeBJ/lUuXzvIgrxKj7d1ZNKYCRwKCOfO+Klae9pRPPIbPinU8UW/MlNHdKaclQibO5t6l45x7KKGX9Tx6qlwh0DeK3MYTWOg+gooqucQdXE/Ylis0muDOtO4VePHoEdduPuLp8yfEXz3DxZt3EFXti4unO+24pgAUel/fUIjfc/lQJF4RF6g9ai6LRjZDwPjvH50nMtSfmPzWLF9si8qdzaxatpMKoxcw17IDyumP2L8ukC3nVZiydB59GxijLJeSGh9LlN9qbqj3YN7cTlxb68/R9AYs8y0FFHc+AxQWNYkJXkx4nDb2gSvoU00bFXke98/tJcBrA1oD3Vhk15XPQrBJTYglYskMLmlPwHulDbWVcrh9fDNenruoO90b1zEtUMl5wYmtQYSdKcbByxXjJ3vx8j9FtzmfAYrNqwiJVWXuCkdE58NwtA0nv3U/xvdpRa1qdalQzYSadapjJMon/vhGlq44TGfPtUztVPULIFzi8liLu/c+2rlH4dS7FurKctISbxK10JWTqkPx9WjKRvtZHKA9y2z6oCPEu0gLeHk/lq0H79LPLRxHsy+DmsVZbzgb5kBft4Po6uoiUi7J8hCUP1ErT/POE1geak8TbVXy0p6xxXkovnerYbvAgQZlCnj34iprF0dgaO5H0MKhGJcGZS60nUz4TRGt6pqgIs4l9dFDEnOUaTx+Gh4OU+lcsxwiCngUG8iEabHYbP0MUBRmcXXdVKYGaZYAihUO2J+tyYnoxdT8HFA4tCUiayY7IruzcehItjddwE2fgZ8AxevruAwbjmTiDgKntf0YICy45d8enEOzfwqgkEsLefnwNnv3nuR1djZ16pvRskoKs6b60zdiH5bV4hjWw4tOK7Yxp2+NjzcUdyImMWqllMi4EDSj5zFydQYhO/3p/NHlUcxm69YEpE9md+QvnHMayuLsIZwKE1weGoqNQ5p+l5lDR5E7yJ8VU7v85cGXv7WbfA0oCi740dY6BJOmfWlWRUshWyyTKqNh0IiuPTvSrH55tDVUUZI8wWfqVHx2XCJfqUQyVgk5Rbk5FBs0xXVlCI6DmmCkmcvepZasfFSL2U6TaVnFCPGb60Qt9eZwclkmui1iVMfa6GkoI82Jw2X0HHLMHHGz6Ek1o5LQ/Nen/Zk2/wz9l3nQRfkyroti6DZtFuN6NSl1ecDFQAsWHNZn1nJ71M6twu2EKm6L7OnWpNTlIU4jzHEip5R74+I0XuEz/njB/V8EFNlPolk0O4AHqm1pXjmFM5ce0/KXudiP7UkNwWn8N5Y/AygUMRTRd6nf15yx3VtQJu8ZpzeHs+lYIj8NsWHq+L7UMRZiHt6VAIoEbUYIgKJVZYXLI9TXnwTVJphP6cvzXQEcUgCKXqTuD8FrzX6Spcof5YflUjGFRUb0snDCzXUCLf50+s23AYVcJqGoIJ9iWUkQprogFy0p5MpWP9buvkfjQYMxzotltf9Onr4vRq1aKybYujJzdFf0pWncPLqB4PBoUozbYjHdgt4thKyjElnnPwco1BhgM5zC8/s4l6hOqxZlSbqegGGX0XTSvEnY9hvU7G+DbTc9jq8PwjfqAK/VK1C3Wk1089/w8KWUDuaOuI+txNGAYM6mV8HK04Gyj4/gtcCTrReeoa6pXhLEK5crpMx1q3RgqssChtR6ybq1O5G1tcJjene0ZNlcORBVCijmMbpqKhG+y1l74Sl6VetRx1iP/DdPSZNVx3qxO+25+m1AkfeakzvXEHjkBYOcAzFvVXIazUu+TXRkEAefVcdlsS2q8dsIXHOUnyYsxmVwfXJe3GBnRCAx7xox18ORRkalJ9SUe+yPWM2mJ5VwcB1M0iZ/jmY0ZKm3Q8kNxZ3ThPv586z2ZHwsahAT7MvW+Cq4b/CgpZYwo6Wk3D9PpN8KHlSbgPe84ZT/DHymJpwnatk87pabzkrfkRiLM7lzajsr/A/R0sEPh161KMp4wakdQQSfyMNuuSvGifvw8j9dAig6VqIw/TknNq8iOFaZef6LMJUlEh0VxPrdMSQkvldkDVWq15bBVvbYDW3Em5jNePoepLNnONO+FZR5JAIPv1gGBURg3qzkqqHw/TNiQt3wvlaVxQt7s9fRisBLyegK6fWl/Stop4i0a2OxaA2LLb+MaxFnJXM2bAZjQp4wYMAAKmkJ2YSCTLgeJnXa079XM6pW0EZVVkjKo4NMHmDNsef5aGlroaqQYxeTXyinbDtzosK96V5T9WNQ5sOm7oROM0OtOI/nl3fh4xFBZrPxLPZ0plUFFWSSfJ5eiWTytL2MDBZcHiW3ROL8LM4FTMZpf2W2xCwiNdQJ273abI9eQSOFy0NOYU4qa6d0ZY/ufKJXdmbzpGGEG9oRF/pLCXBQuDzOYT9iKgYOO1g5vsnHg9c/DlBcCJnO3re9cXToiq6ykDIs53LoVCZsU2P9thC66D7EtndP3g9eT6hLLwwUubipRNmMZPbTHtza44r8ahAjLML4OfQgM8yqoy7EWeTGYd1jPA+7r2SfWy/uh4xgUpQIv4Pr6FFZR+Hjz7gVRr8xEXRfHMGcgfXQUhyJvn/5lsuji2s0Yz0iGNOiMloKx5Ug9iNCXUNNkbYqjOfUC2FY26zHeNhwzOpXRkNJODkqIyt4x/7QpaQ0tMFrvjWNTeDQkpKgTCGGok2NsqjKisl8eZolk905p9qFxaucMatbHvXiVAKnDua4aBDublY0qyoE3uVyNngODtFiPLxn00n7IW62C6GvKy4T+pTEWUiessbWlk0FXQmYb45BQjB2y8/TY64XE3s0wUhNCfGbU9hNvgeNogAAIABJREFUXkpuGyvmW//MT+U/S7X7LwEKaepdgpa7EfHQgGmOMxjavJitbovYctcAi4WzGdWtAbp/o47YnwYUQlDmhxgKFSkF6ffZ7utD5Ok8+jq6MHlYW4xV37PXez5bLisx2N6B4V3rUJx8AT/3IJJ02mHj1IdnO0oBhUVPUg5FsOuGjHZ9etGkspbCdSGIk0nFIspV+4kGDWtgpPUhxe2P5sW3AIWMtwkX2bPvCso12zB4UDvKqgvGLeLyVj/CDjyhxShr+jQQ8fB+EjmFEkQ6xtSq14A65ZW5uiuIgI2nEDUdydQJw2hdtyzqHzlj/hygOJooYpjTNPQS9rFtfyzZKuUwLluHXhajKZe4h9DtN6ndfwqDqj4lOHwH78p1xXx0f2qX0+LtxX0EhRynTPfxzBtfpRRQVMXa0x6jhwfxD9jKG/1WDO/dVBEAJ/ADyKQyVNWNqW1qiujNWULDdkNbKxZN+wxQbL1GozFTqJcfQ8C2e7QaacvQ9nUwUs/l0vb1RO1+xc8ebnT8rRuK4jQuHIjAK+o6TSctxmOoqaJzsp9eYUOIHwfSm7J08XRUBEARVAooBtUnPzWe6LBAdlzTxXGFG91LOQ/eP7rERl8fzok7MGdhd275+7L/eU0WRLjTUk9K0pVDrFoYTla7aayYIgCKJUTdNMQlfDXdy6uCvJAnlw+welEQ9JqDp1MvPqcW+QQobPHzHYGRAChOb2fF6sOlgKLmV4BiNmUfRrNk8UHauQcwo38d8lIfsy/Yi7BLBizZsJh2ZUUU5GSQ/CKJRw+f8+7JbU6dPsq9vMYsDPeiRtIuPL0OYLYkjKnfBBRrme97iK7Lt+HUpbIiJizzVTyb3B3Zm98H76Ut2WI/h6tlf8Z+cGNUkClsLJNJAR1qNGxK458+8T8In31wecw8p8OaoJU00yu9oRBE/lTV0FAXKYBncU4a59fOYWboa0YssqCuSDgWCmu8kBV5ic1b99DUaTs+E5tR8ErI8vgsKFMuR1zwnvtnwnCYHIWx5RKCFg+nrLSYtIQYnCfZojVlC6us2qKOlPysBwROsyacsdyMnMjz/cuwcD+J5dbDTGlqoHCr5LyKwaK/I+JJUeycWp/jnoNwOlmXjTGhtNYW8EQRz8748bP1QaZE7MSxy6fssH8coLga0J+evmlM9AlgZufKJB7diLPzSozN/YhaMhoTURY7Zo/Eelchs5avZEK78jw8HsAMt2BMnY+y3r496pnXsP1lAjsK2hHi5U77crkcDJuFx8ZHTF9/hRldy6J8J5x2IzwQdbfDx3401aWPWOlmyf53bVgdtZbedfT5kHX5R0vnf/r5b2Z5LNuMefsvgzI/vSuTw952OBzWJ2ClCx3rlf9UX3khV9fPZtr6LJyWeTKivTEx3uasfPJllodcVkzK8WAGzYyi0jBnfOwHUctIjWuRLlisukir0Y7YDmkPSUdYstiXjGb2rJhrTmOjTMLnO7AiVsxEWxdGtq3Ew5g1ePrvoYFVGPMndqNSzlmmT5/HeZrhYmeNWVUph8LdCT2dxVj3ACb3aY6x5mfHlv8GoJClc2rtchb636algxN2v3SlupYSWdeisZu1ikc6ZszzmEavplW+QeDyn/b6t3//LwGKITZY9C8NypRLyI0/gdui1VxWasLs2dP5uXlF4iKd8VgfS+XejlgPbEziwUBWrTuPST873Gb0IkkAFIqgTHN0bm9gZfgVjDqPY8LYjtQwkPP04j62HLtPlU5jmDSsM4ZKeeQWSlDX0kFbQ/Q7LqFv31DkPLvI2hXL2JugyQDL6QxpW4F3l3azNmIbKdWH4DRrBt1qaymUQxXXw0pKqKjIiT8azOqgDWTXGonluOE0MFEDQYlVroqmji76+jpI31z9/SyP4ECOPhExbOYsGhXGEbnaly1nxbQcPZW5bj9TdG4TodtvUbv/ZH4u/4BlgdtIqz6YuVP6YpR2g81hAUSezafv1HksHl+ZY4E+7Hmowah5C+ms85ztK/049NCIIbZT6d3GBOX0RE7t3UHsKyMGT59Gk6zTBIdFo/QtQDHSnOoZh3Df9AQzi9k4dTHi2YVoVq8O4YG8PTM959Ne5fq3byjkYl5cP4z/kkWclpgy1dmFTmXlXNoaiX/kIQwGTMV3gQ3KXwEKWf47ruwPZYnfFjQ72eEytS/lxMmc2RmB/4EHNDdfwurh5Tka5oH3wdf0muHFONMCDob5EXH4JS0tl7DKohrHg+bgtuURLX5xYtbY3mhl3WJHcDDbk/Sw91yBVefKX7gYBEARuWwe98r9GUCRj533AmokH2aB63zetnZmmVUP0q/tYOWyMN7UHE+IvwVFFzbjdziLoZOm0stUg9yXdzgYupItd/Vx2RBMw1fbcfeIoLp1EC4j22KiiFYvKR9jKOb4kdNiEsucrDHVy+DijrV4br5KG4cQVg0xZvcyR1bFaDJp4Tz6tzNCLSeduCNhbDwrZ5yHJ6MaldwMfSgfszxiDQmP+CzL44tviclMjsPb3pWjupacChrLp2VRRm7afaIWOBOe0ZsjG5zRz4zDc4btV1kecooyk4lZ7cyE9SnMDl2Lc89aFLx/TPhsC5ZcMWKRz1J+rq3Mpd2+zA88TDfPkwSO+4msx8ewMnfgivFgIjwd+UnlGVv8XQiMKWbBrstMbiwj7bQfbSau4afxC/Ge0g/ttxfxcJ3KZc2RrN8USNtyn2z5W4BC+HvGu3fINA0x0i3xCPy75dtMmSmnGTFgODLL8+ywMv1ItpSfehb3sc5sffAC5CqIi4uo2OUXvD2X0N1UR5F+lf34BIvmWrP5XAHKgqNXDsZ9bYnwnEGLimVQlotJjPHFceFK4pJUUVGSgboujSyXscFxEOV0RCiJ8zkVZolzwAmSM0UoySQom5gyeo4f7oOboafxvWV/P5nzV4Di7FI6uh5i/NItWHashu43DoX5z88wb/wUHrV1YaXLWOqU1f5s0sp5f2snjlPmkt1/Mf62PbgdbMnyJ81YNt+W9jU/ZXnIizPZ5zeBuVtyGOGyDLvBLdDNf8i6lY4E7r7H+1wlkErRajEQ97muDGldC101OW/v7MHbezHRsSkUFCuhpKpGxX5TWeUymTa1yiGSFxF/xJsFfuu4/CBfEbCjpFOO9pPcWDipP/VNPmc+BR7sYMzMVZQd6sPM4R2o9teSNiqM/SUPhTLxx4LwWBaNZgdzHKcOpVFlPUUAr1xcyL3D/rgsj8agkzlz7UbTsIr+fzQJ/uzk+WNAoc+9PV4s2fOY5kNtmdy/9UcGSiRF3Drsy8LVB1BrNok5dmOoln2B5cu82XIyHrGWMXUa1EYtK49qrQdjM70PSVv9OfRQhzF20+lW5R07goII3xnD0+yCkutZNQMam41guq05PZoYc3OnP9sup9FiuBUjOtf7Ksvj81bKeHl2HV7rj6HRbhIzx/dTEFvJpXk8OBFNqH8QB24lkSdXQiZXx6RJH2wdpzO2ZyO0v6KolL+/TajvYhYG7CdbWQvtMpqofvRHl8XsFytcXCdhWhT/24AiPYnoNas5kqTMcJc5dNVLZduqJaw48Z6ejotYMqEhD46uJ2DrTer0m8a09irsClhJ4OYYUgCRujrqairIC7VoM9KGBW4/8yI6gEW+G8io0Bd7J3s6lUlgrV8wR24+IVcgclMRoVe+AQPHWWM9pQ+yuGjWrIlGueMUPBx7oS3L4nJ0JKHr42hq6UI/g0RWLfRi953nKKmroKqhgaqSKrra1RnlOp9eZV8SGbgLg4GzmG/5yW+t2BQLUrh6eAteS8O4+CJdEfguSJeraOvQoOsEFi+wQen2VgJWHaGe5WJchjdESS4hLekGO4NWELrrHCkCQZ2SKmoaFWnTfQR286zpWFHKvbO7WLRwBTEJ6RhWqkzVWlXRyc6mbBd7vKxqcSrYk+U7H2FYR5UXt16SI1FBz6QxoyxmMN2qG+W/4tdIiT/POs85xFeyYaXvWMoWZ3IrZhu+Podo4+KHQ7/aFGa84OTmQIIO52IfsJzWas/Z6DOPJZvOo6xnhEmt2lTVUiJPqQEegfOo9PYUPovdiL6cjZKw3isroVGhFma/uOBl1Z2CJydY5DKD6MeG9LVazvrZPT7GbwkxFLcPRTBn4SZErcrzKu4+qZlyVDXL0663FQu8JlO/jJhX907gN8+H/befkCdVRklJFQ3DGvQaboOr60hqaHx5o12c+Zqzax1wPF+eiIg1tP0Ga6S0MIv7hwKZMS+KZl4H8R5U94t1Rpz3nrhNC7D1iWFgyAlmmL7A08GGhBZ+7JzbvZTDRbgqkZDx/ApezuPZntafsHXL6VZdidfXdrNgwSz235CVuMTVtag9zJnweZOpY6iC8P6bez2YsSyCByllFHEeqvoV6WjnS/iUbpQRyRHnvGXfql+YE3Gd7CJNVORSNGq2ZvLCVbj0qPXFwVsuKeLtfmeazL/F6r2xjKotuEhkiFNusMB6Cm9/DmSNVQcF3cG/W74NKPJesGvbDmhqzrDmxh8DvOTyYt4/e8ThY8dITMlBrWoNOncbSKvKBmh8yLeXFvH26QXOHLrMg3QpehUa0q1vZ+pVFgLRSrCPQKeadOsQp2IeklykQdWGbejevRVVPuORKM5L5taZ/Vy8kUqWzJAmXbrQqZUphgI9938Cof5FS/2KevvFBaJiHtGk21CaVtHjW3w32a+vc2DTVQy69KBzs+poq3+gxC55uSz3NacP7+WJRguGd2nAuztHuJRenm6dW5VwaXyso5ysl7c5vCMW5UYd6d6hAUaaymSn3uPKyVhuJ2Ui165Ka7OONKtXFV3hVCpsupJCUhIvEHvyBo/fitGr0oAOXdtRr6qxIhNGscgVZfL4RgwXLz3idbY6VRq1pHPHplQtq1ua+veZod4nEH3iMtqmPWhTrwrfI8HiC0ChIiP+3E4uvFChYbtuNKtlguZnG5k4O5lLRw+QKKtI286dqFNB/4+pmP/Ffv/W138LUFyRNMZWwUNhxNuHl7jw4D0m9VrSrHYlPl/HirJecOnwWZ6LjWjVvR11yqnx5lYcsRev8U6tHM1bmCJ9l0q+uglNWtQh8/4VHqer07BFS2qX1yTn/QtuXYvj2r0ksgtkmNRqSMs2bTCtVo4yKlJe3rnE7Rf5VG7UkkaC6+w32ywn+8UtLtxOQlSpMW0b10G7JOcMSVE2Lx/e4vzlGzx9U4Cmfi2atWlN6yZV0NEsiYf4vMizX3LpwjnOXE9C8pVwsVyuQ+1mbenavQX6Gbd+E1DICjJ4cO0qTzKUqNeuAzW1Cnl4/Qw3XxZQu01vWtXSIfXJHa7fS8GgTkvamBrx7vl9Lp2PJf75e1TLV6V2zYpoZr6jSKsGbc1ao/r2HrHnzvEsryxtOnWlVW0tUhLvcfHydR6/TEdd14ifmraldfMGmOiqk/UygWvXH0Dl5pi1qoGavIjXj25z/c5rTJp0pHlVEYl3r3Dm/BVSCkQY1KxDrXI6yFLfoFm3M6aGBdy7fh/12u3p0qQ00PmDoeQyivLTeXgnjvMXrvJOpotR2TKkP7rOvbQaOC92okrhfa7GPcG4qRnt6pbsbjJpEZkpT7lx9TJx914iVTakap0WdGpfn8omOqgpyxFnv+NJ3AVOX3uASpXaNK9fk9yXieQaNsGstphDIT5svmmEudtQsq9e4k2+iPotOmDWpjG6Wr+WK8h795Jb50/yVqsVvXs2QFNaSOqzeC5deULFNr1oU8sASWEWz+KvcS2xmNY9u1NdW8q7J/HEnjzL02J1GrRuQ0XSiX+jRKc+XakgKuDVo9tcOH2ZpIx8lA0MqN68PV2aNqKSthpFeW+5dfkYsTfTMGnch5G9G3zc1OTiAlKf3OTsxSQqtGpM+r0L3EnKoPJPTelh1olK5XQUbK4ycT5vXz7g/NkL3HuRgZqGFjWadqRTuyZU0P01nYC0MIfnN49z4kUZfh7Ql0rfIFMVmCqTrp7i5PlsOlgMpXG5r74kLSbr+Q32HL+EdsvR/PyTlNjjh3lfoSfDO9T4Yv5Ji/N5GneSo6de0mjsGDrX1kdWlMurB+c4ffwGL/LVKFe9Cd16d6BWeZ2S7Ee5QKv9ngdXD3L27HMylPWo07w9Xc2aYvLBvSmXkZ/xlKsnD3DlXhbF6hVo2aMbHZrWROfrsACZlNzHJwk7nUyfUebUU5D1ypHmvOFE9F7yTPszuE21/4h64duAQuAlLyhASVTmYybDp7khpbCwEIlUhpKqKurqmr9yP8hlYooKihDL5CirqKGhIVCbfrkUCaRNhYVipHIlVEXqCp/Vl0BBWNwKKCqWIkMZNQ0NBT/634glFE3+GlAI10MFRRJE6hqoqgiBlr8uMmkxhfkSVDTUUVP9RL/8CSfIKC4qQIwITTURgi2KZSqoq4l+ZSdFoFx+EXJVEeoKv54ScrkEcWERxUJap7LQB+qofpUyK9SzqKgYiVTQYhChof7rPpCKCykulpRwCIjUUFdX/Uxv5bN2ySQUFhUrNB2+2Z6/YLP+8oZCDXGhEByorKCw/ZWd5SX2k8iVEakJaVl/TzzNtwDFqulLuSRuyLQ5VnRrUB65pFjRL8qqIkRC33+x+8ooLixCIldCpK6mqLdMXKxIzZQqqaCmJqSXSpGjgqpICIgU+B1AVU2tBOQJpwnF9yXI5HJURGqoffhMWBjEYsRS4e+iP7SJENBZLJZCaYryp3oKsQWS0rEjpJiqKt4hEn17rAtBYMVFxRSJJd8YBSXjSk1dRMHLOCJXBnNbXo8pbva0KfuZToJchkT8WVuVhIDJYkVbVBX9q4RMIqFYIlXYVRiDMpkEcVHJHFBSUUVVsLVMilxJBZGamuJWs7i4CIliDJUERQvtEmwtFn6jXDp2RKoKAC98JhbaoCIqXWfkSCVixXeVVYXfKyn+X1RUpFizlFVVFTaWSyRCBykYRIU2oKKmiB35VIp4ees80duPk29qxrgBHdEnlwcX97Jm7Q6UmlqwYO44qoqEukkUaYZCXT9fbz/0udA2VdUP87T0G4o4mmKKioW6l6SbyyRiZMoipO8T2B/iy7b4KsyLdKeRilghYyDMGfWPuj9fAUSZVHHzLFMqeY8QMaCwvViCspo6asJcEwJaJYIdUdhW8SepVDG2xYCamgBUpCWfa6ijIgQxCs8oKtkThBQloV81RCUAVYgFkoiLFGu90H5NYS/47FAltEf4TEVNDeGUXSyWoSoS1sPSANuPphDGbVFJ/yoJvCgainZ+c8+QC/OliCKpEuqKOn5j+ArtLBbqJUddS+PXBy3kyKUSCoqKUFLVREMkSJIUIVNR/wazqvC+YsWep6oIeFaQVyiCO4W9UlgTFLEbGmpfMf8KvxP2SoliH1T0XWmg8+f7iVjYK8UyxfhXF/bKX1HalnxbsF9ekRQNzc9Yb+VSigoKkatqoPG7jLB/vND/UBv9Axv9kC//40H0V3zjf1FtVFJwB38bV4J2Xya36c/Mn+PMxJ5N0Pp7k0/+CvN/v2fIxNw5FsIqXy/2XdVQMHDO97ShpfG/oa/x/Wr5HZ8s592jWDb4ueF/8BEyZYEqXo5YVUT5xj2wc5zD+E7VvssNW17yPfau8WJ7QiXcNi+h9Ud9oe/Y3B+P/j9tgR+A4geg+EdMgP9FQCGojR6P2MSBM9d5W6k5v4weSZ8WtdD4GzNP/hGd93uVkEtIurqfnTt2cO2FIS17DGDUmO5U1/mzGSn/+Bb+YQWF6/g3ibeI2X+I2KuPydYqg0mT1vTvM5iONcujpcim+etLUeZLrp84wKVXRgyZPoKaf1Nm3F/fkh9P/F+xgFJycrKCzuNH+bUFhGuznJwcNDVLGA9/lO9jAcHOEolw5SxWXK8LtlbI/v4Di+AKVFUtcQMIV7UyqcBCJ1w1CulmKqj8nQE+/0D7fKtKAkOnVCq4aQRVXhVUvgOj7T/fFHJFdoyQqqpIkFFRUQRmflcXrpAaK7CjygVvyHd+1z+/A37U8G+wgFJOTs4/c+X+Gxr/R68QNrq0tDT09PQUm4jw/x/l+1hA8H0KsTlaWloKW/8TiwBysrKyFL5bAWQqioKVUkmQ7VWAoB+T6Vs9V2ojpVIb/R81kmL9+DBWFLEDf4MhShmE/5Z3/RMn7Y86/a0WUJIJDDk/ym9a4EMMhXAi/QEovt9A+V9xebx//x4NDQ10dL6Dhvv3M++PJ/+wwA8L/LDAd7fAjxiKPzDxj6DM7z4GFS/4XwEUn8uX/z2W+fGWHxb4YYEfFvjfsMAPQPEDUPwjRuoPQPGP6IYflfhhgR8W+GGBf9sCXwCK4rxHrPHwZMfZh6BUhd6TJmNh0Zsqqh+UPOXkpFwialkoey8lINFtzvg50xnetSH6X/FM/Ns1Kv2hNP8Re4PC2bQvljfSKvSfPIXxY82oqiEqJX6S8eh4OIfu6jPMaiCVdX4t1/yf1kH4/dc3FMmng1iyN5ORTlNpW9UQ9Q9hFdJkdvn6sk/clmU2/THJv4P3itWk1jZnzjgzTPRLhLxAzOMTYSzZn8F4KwtMMw8yw3cnr9LyFFofqkJevFyKWCpDKimmjEkdJs9Zys/Nq6HNS05t2czmbcd5mKlD28GjmTCpP/XK6ZYqysnJS7vNntD17I65RoZKLfpPNmdk/zZU/kjuUsjr++fYErCBY7deolm1DaOmT6Rf67oYCKJmAulVxjN2R25h87FTvM1WprxpXyxsh9OtcSWFiur3KF8DivTHpwnz2krmTz2ZML4PphV0Pgaw5b6+QPiSHWTX7MKocb34yUT7+wa3lTb4ax4KadFT9q8KYduhWF5WboetlTlt1B8TGrWVC/eSS0jGBIei8I+hEU0692fU0EG0qlWBMn8UjiNJ58zOTVxJ0cZswCDa1Db6S82e9fo6p49eRmrSgi692mJcmupa9Oo62zdHsvnYLXIKBdUCOUpqZWg/xBLzcWOo/xvVyHr7kAM7N7Ftzzkyxca06T2EMeP70qSyHolnNxEeEc7FJBM6DxmLpVV/6uh+4uOT5CRz49ReLt1Ko2bnYXTsVF+hUPqhSHLe8vDcGU7E51C5U3cGt63+h2mW0tw8pIXFqOjrKgIS/+UiqHKeP8y+4/HU7juJ4e2r/c4YK+bZzTPsP3gRnTajGd/L9HdIxf7lmvx//wO5wEGSkQ3aZRCV+YyfROAHKcom8cphNu66SwcHF3rX+pJC+981TmFmKue3reZQVnNcnIdT8cMQkReR/vwy/t5bKOpqy5KB1Xl+YQuLNlyg9YRlTOtW6cNqQGH2K46sC2Tn+6asdujGzR1LmBMZh4aaSMFzInDJCGQcYoEfBSVqdRjCnHnO1NMRk518lU1+4eyNTUBq1JTRDtYM79MUww9Pl+bz4s5R1i6L5OyzTMr91APL2ZPp1bDSx7VeKk7j+pEdhKzczv1CLZp0HY6V81haGJWmZMukZD26zPJlIZx+9BgV1ao07DWJubN6Ue07ZRZ9AhSFN5hnPYX1Z4soZ6KNWlEhr9JzaTk9lB3O3VBTVkKcFo+7dX+23ixDOWNd5HnpvKAcDsuDce3fUCGM9ZeU4gwi3QaxbFcyWgZGqAlStJliuth5EzKtD3pKz7hw+TWPrhzi5rNydBpeDz29lnRpUg71v3jD+xpQJG53YkJQGo5BPvxczwTND+ueJBE/K2tCCvtx0NeSarnnmGJjz5HEaswOXotlt9roCbrFFHNj41zGhabgtmwRnWQxOPrs4OXbXJSUiklJek6BmiEVKxoikkspU6EO1vOWM6B5Wc4G2eC5TlAv1UNTRUpqRh51hzuxymk0phX0kbx/TOCiqayPeY2Shi4qxTmkyg0Y6TCfmSPNqKivQcrtfSxetISzCflolCmDJDedjHLNcZ/vzsjO9dEpekzkUg9Cjt5HLJD0KMvISc1AWqcVM5cuZERLU/T/jfX5j8bF14BCmveSPUFL8dn4mPb2c3Ac3YVqAp1jfiJRnrPZdF2JYXaujOrRDMOvaHX/6F3/7ue/IrYquEeQ7VzW7ruGuP0Q5jtZ0zj3FO4+EdxIhnKGJcqEgnicpDiPtCwxNbpOZP4MCwUJ1u8VufgNO1cs48hTfUZNtaFPs08iP/9u/RW/k0tIf32TTUEr2B6bRg/LWdiM7o1JKd5NEXQYvHzZcysTXUNDVOUyBaDoMNQKywljqW/867fnKrQ0/Ajbdo0CFR3KUEimWJPmP0/EZdovaD/dR0iAL9GxcloMnYybpxUtjD5tHOKMZxyO8sZnzVZobcnMuW4MaVi6ccgKeXxpF6u8fTj+/iesXNxxHNhYIRj4W0WS+ZLzWw9xLUWdnnajaPLvcF7I8og/f5C9x+Kp3c+SkR1+D1AUEn9qB6FrD2HQzxm3Ca34QUXy50apXJxP8vWLbAs7TXXrqQxtXeUL4FYiXx7JEv9YBviHMbFJidrof1ry0l6wz8eGiHfdWbvWiVof4sBlBbxJOIi9pTdFI/zYO60B9/cuY/CMdWi3mExg2BI6KtCHjLz0h0S6z8QvuTPnQiZyb+diXCLi0FRXQZyfyatnqWiYVKOikSZymZxaHYfh5j6TqkX38XEcRtQlZcqW1YOCXFKVDZngvoolI1ogkBK+urEPF0dHrqQaU85Ag8KsdHIrtWPFqhUMblIWaXEBcTsX4LBoPTlq1dDTlJH5PgPljhb/j72zjstq29r2RXdjIaiAIGJhd3crdhdgoIIBdiIqoYggomKL3d3dnYhYKEqjKPn091sP6AbFvd3nuM/7nu91/qesZ625xpxzzHuNOe5xcyRkGtYGcj7HHGbiiOmc/qhNSUNNFKJcUhI+Ubr3KMIDp1DpH2BufwUUMVvH0nXGJQb4rmZQIwtUyWSPT28CH1Ul8uAmmhRX4/GqPrQJeIWL7xJG1LNGJeMpy6aP4rDaIHavmkXVYgITIm+o5Z+ec+LkI2yad8HOTKjA+O0UUPDh+VWuv4R8u1NGAAAgAElEQVRaTetSrEBZ34/nF9Jm9Hrshs5nWs/6GKums3+5J0uvmeG7cj09bOOIXLyOfbcvEpVajIrlbajZ3w2v9pXQ/8XI6ztAsX0C/UNSmLw68BtA8YKgEa6EijpwbKkr1hkXGT5yBmeik7Bs5kpw4ERqWZqhgYi7m6bRb2Ui0xf70L26GVmZWcrKo0iTiPDy5EHJ3niPaIuVuQ4qapoYmZrB062MmBhETs3BTBjYAVsTOVe2+RJwKJU+U5bi2tqR1MNTGLHsGtV6jWVEu1qYyePYsmwO+1KdmDXbi7YOWhwJGI3fJejlOpZONW2Qxp0nyC+It/ajWDqxHzpPIpk8ZzPlerkxqFNjSuirkHh7F/6BO1FvP505rh1wKFH4K+LfXdzC77878lDIyIq/TaiPD3vfmjJ22lSc65bkxo5A/Dbcxam3B269W2Jt/G1luV/Rm6LvUXSlTF8uZ9gwwGMY7WpZEnsyhMW772PXsj+9m1XHIB98yTJTOB+5isgbabQa5YlLl0aY/cmuIwCKnUt8OaoEFO50+AWAQpzxgQcXT7Nhyy4u379HloElfUZNYVz/9vmAQkzU4bUs3XydUk2cGd6lRt6XtooKOvpGGBoYFFFqXsSDQysJjTiGZs3+DOvdDHNFAid2hHPwsZhOI2cyoJEln59dYPPKbTzXdmLkjHHULV4QULziYMRywjfvI8WiEb2GeDCxXx2lFok0M4GLe1YRFr6F13r1GTBmAuO61/hTQCFKeMCuFau5lFKaET4TqFPgWT8/O+SIc7LIzBajoWuIgc6fQQQBUOxg5aqDGHecwpzBhaWyf/6Z//euVOSmE31mO/5LjtFw/gpcilIbPRrB/GWX6bJiLcN+GaB4wz6/0USktCJi7UTKfwMoxg5dRG6f5RxyzwcU49chMrWkw2gf/Dw7YywAirRnrJvpQWB8M65s8cZU9oHUz7lKVdDUF5fxnbqccm7L8GxXTjmwGjr6GOmoErPbi56L79J9uj/uTW0RpUWz1t+bQ1mtWbsqgBoGSeyZ04Np1yyYu2guLcvpkPbsJAvm+pHS2J9Di5zReHeFGaNHcMqwD2FzRlJWS8TTs2FM9dtP3XlnWOFsytH5I/HcEc/cTatpbqWHXJTGnR0LmLLuPW7rD+HVpIivg39zCuYDCgXxd49x5pU+Hdo3wExPnRzRMyK6dWNpajN2Xgyllk4Oa/rXJkzuwt417lgbaKMiF3F/32z6zY1ifuQGnKuYfS1hKn21jV5D1tIt9BADqgiCQd/2VM7jXd5M26vBrGVzqFlcO/+3Ci759cDtgClhu/xoJHypIyc5ajuDBwZTc0oE07vZkf7kEAFe/pxK0aVRP3emunakrLle0aWj/w0jfR+hmED/5UUACtlLgoa7/AEoMi8wfGQwiqqWPD/0isaePngNbUgJQ0UeoAhPZNoiH3o1sEHvy+eW9C2BwwZz03I4iz2dsSmh/7XnDzdPZty694xYNJvutSsoN6pP787g5bYQ1ZaTmD60ETcChhARVwnv6e40rmiBJhKengplwpIbdPacTt8aCkImevHGvi+TXHviaGGEQvqR48HeLLpszGyfcVTTSeHG0wxsq1XBrrSpcgOR5j5lyWAvrln2YK5nT5zKGP4bFi36p0XmUMjFxN/YyvSZEWTY9qBPTVWObT2GolEPxo7shZPVf0bD40uP/1zLw41mjsY8PrCExfvz5cvb56uNKhG2jLjL65gdcZKSzUYwrl9jkq8e4V68JjUbN6VqOROkGe+4eOociWpWNGhozc31gRx5aUSfkXmAQvwhlivnTnL80gPSsg1xatySdu3qYl3MADW5iOfXT3E1JgPbus2oW7HUN1/JchIeXCYyfA/P1MxxsMnmzr1XlGk6BM+BHfIBxUcubQll1ck0mgwYg2tb+584ShIT/+whz95kUNyuGhXKmpKT+ohdAYEceqxGl6lTGdjUHsm7m2xcGs5dWQVcZowvDCjSX7J/1UoOXn6IyKQEpeya4jLOBUEg8tPrm+zdtoOTN54jNipN/c4uePSsiWpuEo/uneTQySvExoFJSQeadmxPIyczXpzYxBK/ldxMN6Fh/xEM7d2TlrbavI+5zeGjp7gZnYaZRSWad25L49rl0VdRkPLyHpdvPiRNron0TTRJKhWpW8WY1KRkLOq0o3mVEmSkxnD53B5OXHlFdrYhZSvWo4NzS6qW1ePZXwAKQTXzyY0T7Dl8mniJGVZ2tljrK5Bo2dCyUxNUk+5z+dJ9xNp6JEc9Q1GiOYOHNkUv6yW3Th3j/JUnJKvpUr5GE9q3b4+jhS65H+K4dekc0dkWdOvRguKakP7uGZfPnOdD8YY4NzAn+tIpbr/TwaluMe7sO8TjDyrUqd+W9l1bU1L/+zDP56RX3Lh0nCSj2thovGT//ptol6hLz35dsDZK4+Kx3Ry+FEMp+wZ0792DysXlvI2+yakLz3Fo14tG5U0QRLOe3jjLxRcqtO/TlXJaOcTdOcvhPSd5+EmCaUlr2nTpTeM6ZUh/cY1Vc6YRcTaOsi170Gu4O2Nb2n11EnkRirX4BF2gzfwZWDw7w6G78ZR3qE3nPn1xtMwP7wu6J28fsm/fAS49SUHfqDwtenSldUN79IpwOVkpfwCKtesmYvsl6pofoVACir7LOSREKA4GMHTBRSo3K0P0WRU8NwfTt4ZpPqDwJDC+KVe2TsNSL8+egoR44tNjTHRbhJ3XJuZ3r/C1B7mfEtg5vTfBiW3YtnkK9rqayESfeHg6FPdZFxm+chN97ZOY06Mnb1sEEjGlE0YaKog+J3Io2IOZ563Yd2ARhg83MXzMKpr6b8arlQMaKnIy0p6wZMRAjpaezsWQ7ry9fJIbmRZ0beuEobABK8R8eHWI/o3mUjH0AEE9bH65H/8aoRBCKCKZGjrid6xeMI7g49FkyBswbeF8hnUuh45qFJ5Vu/K4TwRHpjZBK18/4dPDrfRxXkzTVfvxam79td655M1WuncJosfmCwyqXKBu+NdXUPBwpyfeW+TMW+tPLXOdfECRyoZBziyW9+XiqhEU1887a5V/fIp3926ktl9O8LgWZNzcz/ZHejQyv8+e11a4jemFjbH2vyVsUpR1/x1AMdQ1GBvXiVje2UjE65LMnT+DlpXMiIqc8gNA8YaAYUO4aTmMxZ49sP0KKD5zdM5Y5j62IcRvDLXLF1fmkShy4gke1Z9b5gOZObEehyZM5mq5ASz07IajRR6t8XP0YbzGhVByyFQG1vrMQs91lOrpiXuvhpQ2EmJeCp4fnItnwHN6+s2ie21btGSgoSEoIuYtEPGLw7iMX4KiiQezhrfDvviXfJBfNx9/lJQpF3/m0sZF+IQfIibhA+UbD2eKtxvNnKzQ+lVHbD/5Gn+tNmqiBBQLdz2iYlsXBrYWFnJeDf6c5JfsCg5kz30RPaZMZVhXey6HLGJ/lA7Orm50rG2FKOUREYEridGowmDX1rzatTxfvtyd1hbxbApexspdF4nLEoNUBU2zsrQcOArPIc44lVLl+u5V7LieRi3nIfRobP+NrLsCUcZHkhM/odDRJ+f5AUK2nkG/7qA/AEX2W3avDmTL+Xi0DS3JfveQDL1itOo+lD4dm1O+RFHjnqchIpUpkKY948jOtazceY5URUW6DRiF24BGWJpqkPPu5l/Il4dx4lkyBsUE8anitBszgY4VdYg+t5XtB86QJNNHmivBrrUrnu1KcGXfOgLCN3MvLhM1hVBQTAOrOu0Z5toX8+e78V24kruf9bBtNYBJ3mOpL7nG8sVhHHv8DrFUBQ11bYo7NWPo+EmMa+tA7JUDhIUEc+rZZ1QyVLBq3ZuuTprcuxRFpf5e9HfIZPvKRQTtvUaWIFghVUVLvzh1uw7Bw2M4+jH7WLnqQJERCkV2AjcOrmee7xpuJ39GRVUbNVVVVLWNqN7RhfnTXdCI2UXg3CXc/6iJPFcLp16ezBhgxYlQf9bsvUm6TI4wkzS0LajRejgzFrlRITuGnavDOPfRgXn+47DTg/cPz7NuWTjvyw9mwXBbzq9eQvD+55iU+0TUrVQyRBL0jcrRYqAn3oIS8jcV0JNjbrI5eCZHE0phKrrFxZsfUdczp26bdtQoIePUgX08ic9Ew9iKdi7T8R3dguSrO1iy4hLNp/ozvJElOWlvObM1lLWXVZkSNI1S707iP2sqRx/lIkEOqFHcuiHDZ8+gjVkMPsOHsv2pBH3rqnSeHMwmtwaFAMWj4+uYOmsLVDAmKfo18ak5aKobYNegH7NC5tG8uIiEx0eZP9GXQ8+SEEkUqKvpYFa+Kj0nL2Rul0rfrfC/BSgOBOAa9BQ3n5E8XbGAu/aubPMdhG6GEKH4EaA4wgQ3P+wmb8LH+QugkJGR+pDAfm6crzOPM74dlBFA4YgjJeo4E4fNpNy0rXg0isW18VzsFu/A39lWCerl4iyi9s9n+OynzL64gbJXghg49zkLd6+lozDwwpTM/cSxuR2ZdrUVBy7OoawoF7GgF5Wv/SE85+3R+TT0OMOULccY1+DX5KMUNO53LA9xchRbl09j610ZCTGP0Ws2hfVBI3EweMAo+17EjtrCYY+6X5VDM5/upn+nmdQIO8TUlqY8v/qED4I0zPvjzJixmyYzwuhkL8A/QyrUroJO+huio98h0lDw4sRywk6rMNzbE0cTOVoGVlStpsOmvj0JMhjBteUDMMkHFIrPr5jZvQ2xzYIIntQOI0UOGVJNDDVy+JCjirGxIZr/wAbzbwEKlyDKjQ/GzSGRJbNmkVjFE//xnfl4bC59VyYUEaH4EaD4yP4p7vjEVmbNIleq2xTL+3IUpbByTE8u6PVlplcd9o2dzt3Kw1k0rhMOJfMmWdaL40wZHYDhwKkMqvWRBZ7bsOk/idE962FhkBfniz0+n/HzHtLRfx59GlXCuMCHS1b8LVbMm8+BVAe8prnTtnpZdP4BO/8Zy+Pzu8ssHjeJdddFDJjpi+eAVlgZ/zsiuz+JIL657GcAxdOjoUxZuIprr7Ix1BMShfPKvMgVYqQaJrTs7MZY1z44lVdwcOl8dkfp0WvkGLrUEQDFA1b5L+ephhPDRrbnza6QfEDhRomXkQRuPoVB3V4M6NCEUjoyos/uZe/N91TrMozBHeqiK0rnc44UbQNjDAVV3m/6ryy8pVAojyXfXd6I/6YT6NUd/BVQSBLusT54Pkv23AWTcpQyUEGcnsanHD3q9R+Hx+g+VDX7cdGxjLe3OHNoBztPPeDJ608Ur94Wd4+RdKpuifgvAUUoJ16oUKWWJUnPX1GiqRuj2ptyZtM6TjzIwtrejBf3nlO23ShcG2pxYst+7ica07BbEyy0Urh/bCs7Tsbh0Gs8nh312B+8kktpFgyYPoGaGgkc2byMgy/U6DpkFC3tSyBKfMGJA7t5ILNhhKcXZeL2sXTBIh4YNMXdw51Gttq8vraPTTtuU2WwN13M49m94Qy55RvSplV5JO/ucGLXVi7FWjDMZya1pddZuWovRt8deYh5e+c4Kxb6cQ0Hho8dSS1jOfeP7SJswwG0WrgROHcM6o82smDaUjLrujF5ZB/sjeXEXt5O0PLd6LcYw6iBTTDOTebOiV2sPhhN1YHT8elkxK7w5Zz8WIlFSzyxFwDFg7OsXhrCWzsXAkbYcmrFdOZujqZWt5G4DmyNUW4sx7asZ8cTLUbP92NUizKFZknys0uEzx7Oxri6jPZ0p7WNjBv7NhO67iwmbQYzamg3rFVfsm19OBfTnAgJGY9e9F4WB5+j5fRg3BoLgCKWU1uWEX5JjalLxiG7sJqZvjdp6uXFgCZWZKW+4MSJ80jtnJnYuRz3964mYOV5ak/2w7W1ExYmfxyHCZGdR8dX4ekdSrajC94zu+KoKeXxqUj8N16jqttyQvtbcHjFJBafzWTIlFm0L2+O6HMKN/auZWesPlP9ltPCqvBi+FuAYn8ALsue4711JfYPVuC55CSNp2xkckM562aO+0GEoihAISUj5S6+zmO40caPc7Na5nVKLiEt+gyTh0zAfNJWJjd7zdD6fjiF7mJRx7zxEcq3Pz/iy9BJt5h8eSu2lwLo55tAyIHVtCqXB/SluZmcXdSeiUcbsuvWYioWeGVBsPPtjUjGjVlETtsFbJvbA/N/IPfsO0AhqJF9TheQLHy8HU6/8QdoO3sz/sNUGFPBmdjRkRz2qFMAUOyhf6fp1Fp9lDGODxnVdDK3BRVRaRapqZnompZAUFpV1bRj8dmd2FxdhsesSBLEUkRZH0nPAiNTE2VovUTVXoRtn8S94b1YKgCK4MKAYpZzG141zQMU5roFFen+tQ3iZ371twFFbgeOBblinXmBoS5BlHEPYmIHe57vns+UVfcZtNiPiq834romianfHXn8CFB8YN8UdxbEVvkOUIS79+S8bh6g2DN2OvcqD2dxAUCR/fIE3qP8MMgHFD4e27AdOJkxPf4AFG+Oz2fcvAd09J9fAFDISHl0hODwjVx9oY+z+zh6t6pGsX/I7j8GFJnc3BLOkuXbuBGfQMkWbvh4j6R5pVJ/men/M+P7d675GUARdTiY6cv3kqZlTTXbEsiTYrhz5Q7x+g70cB/LiK4tqFDCCE31D+wPms+eKD16uuUBCnHKA8IFQKHpxDC3fEDx0oQ+w9uRcmINYYdfU6FeY2ramClBQXZiNBfuvsW2xUA8hnfHzuxnQZacuEvfAwrxh9dcPXuI28mqONRsTGULEySJz9i7PoJT78wZMs6N2sU+cO3GEz5midAyKU3V2g2o6VAGXXXB6eWSnZVBRnYGL64fYu3mc2hW68UUz16UyvyxfLlEOPJYGcqJlxq07tOYlOvneatVh2GdinNhx15e6deihV0WB/fdpWzH0Xh2dyAh+hEXzl/j0Ys43sc+I+rxfd5Ky9DbYybz+lpwLGQlFz5Y4bbAkxIvj+PvF8bdzFJ0bl0bY201FLJsXj2+xdMPhnQfO5s2mrcJDdpIttMw5k1zpqRaBjcObWDN1htUGTyT0c1MeXLzOqfO3eNNUjyx0Q94/Ow1ujZtmLRgFg24XTSgEKdw9dA6AjbdpNKAOUzrXgldNUiNucz61Ss4n1kDn/ljUXu0lWX+e7DqN4/pQ+shT4liv8AguKXHKJ9ptHI0RU0hJSXqMpuWh3JNtSHTpzXn7urlHP9QiUWB+YDiYQFAMdyG0yt9WXfbAM+wxbS2MkFNnk30pYOsWLoe1dZeLPBojVGBRZAUfYm1CyZx3WAYgUtcsVXL4N6JSPwW7cVxtD/efWuimvmGk5GhrD4nwtN/CuYvDuC3/CwtphUAFJECoFBn+tLJ6N/ZxMTxwbyzrE27ug5YliqPtWMl6tSviqWemKhTW/BdcpQmC9YwpqgcimNrmO1/mEbzIxjfyh5tFQVpr+4TuXAahyVtCZhbh0jPCexKs2FUz4boCuq0cjEpbx5w9nYKveetYULLwojiLwHFkIV5ORRjKxP1BVDs2kZrjWg2+nix+a0ty0LcuRfgid/7oo48igYUn1Pu4NvdnZtt/Tk3q8U3gMIT84nbmNz8FUPq+VM9bBeLOvwBKF4cWciQSTeYdHkr5ZWAIvF7QLG4PROONGDXLT8clXdXIBd94sHxMKYtPYRa6fbMCJxMfQvdnzjO/DveMe/ar4BCYLZ9W1la/ukFXq3rE9NiHdt8a+LftCmXmi7n5Ly2aOQnRaTcWkvvQavpvnY3I2tKObfjIgkKFWRJlwkJOUVN11k0LQsKVXMaOrfFKP4+F688JUdNTuyVSHZcV6Hb8MGUN5ChW8yBlu0qc2ZCN+Ymtufk+rGUFnI1BLJl6l08nQcj7RVKgEsjDHX+M+WZv0/K9GRAaCqT1gTSqUIBlofsJUtHuLBHpz+b5/bF6tPZfEARyMTO1TGU3sNv+CSuylvSte5blh7IYeai+fQslEPxI0CRy1l/d2ZcKYZ/oAf17UopQ2XyrFf4u7nwtNwwZo1rwPFp4zhl7MyiSb1wtMxzEx8e7WHi5PXYjZjGgJpZ+E8IQb/9WMb1a/b1K//JjhlMikhg8IKpdK1jj55KLnd3hxK0eifvTRviOmoIrWtXxFS3sFzw359uP/7FjwBF0t0NzJq7mpRSXWlWLpHjxy5RuqMXk4d1xeEfOHr5s3f6GUAhHHks2vsIx3ZD6N+iBvrSVG4f3MLaHRcxaDKU8a59qG6lB4pU9gsRiqf69FYCCktEKQ9Z5R/CU82qDC0IKEa0JvFgOH5hh0kUZO7VlWROkEnIEZnRergnM70HU9PyZ3NbigYUgqR5bk4WIrkq2rp6aKsLEuoibu1Yyqo9T6jSpTvFcq4QvHwnr1Nz0S5XhyFjvfHo3YyCauSCE8t4fY11S8K5r1KRkTPGU1X65C+OPPIARZcxfRFf3ceZZ3KqVi7G+8dvKdmmP/XUbhKx4y42HUczspE2h1YvI3zfFUSWlalq54jRp9fcephClb6jmTXAkuNKQFEGtwXjMY85ht8cX3Zcf4OOjgC6BGcHMrEMQ8sGuHnPppv1W9av3oW8nhvz3VuiJ/+cDyhuUmXwFLoVe8Oqxf7se52JlWN9HEuakvHqITHJRgz2mUlDbhUNKLLec2b3CpYfe0vXiaEMr5MXZs5KeMDu9WEceV0Ob5+xqD/ZTuiK49gP8sGruyMZcXfZuTaUU8lVmDHfk6rmefEmUcIjDkYEs+WVJR5TuvFq83KOfajMokCPvAjFw3NELA0h1m4EAUpAEcD2KCtmbZpPTV2lUDuJTy6yPiiQ6HJD8Z/RkxIFQllJTy+zYdEMHhV3JyiwN2aSdB6e3cGS5Uep5RGERxsbROlvObcjjJWnshi7WAAU+1m8/DytpgXj2rg0uWlvOBW5jJUXVZkeMp+q6kmcP7aNzVv3cuHmSxTq+piXc6RFX3emuzXh4/lIFgQeoemCNYwuElCsZX7QJbqFrmWIUx7LIzc1ltOrpuF/xxqfuW3Y5zGSsBuJGOtrfS1pLuimqOuVZ/i8UOYNr51Pt8xb4QKg2O83iojU1sqkzII5FInPDjNhuD86LuuI6G+ZByiCnuO9azvdSucQe3cbk4auxKijK/aSw6x53ZBL3+VQFAUo8hI5Q12GcsTai1NLe6KcjULOxYMDjBsZQPV5kbjXjmNM60kU844kuH/ecY1MlMX9HTNxC0og4PQaSt9YzqAZt/CO3EhPxzxfL8n5xN6p7Vn4ojtHj3hRGgXS3Hh2zR1H4NFYHLqPY8aobpQvaYLmLyJkfusv8wFFFqd8J7EkqhzBq6ZQIT9ZJ+vNfvpUGYmGxwa2zm3F4TEVmf6sG9v3LaaGiVCzIJdLoW70DBexdk8EHex1EGeLkKGCJG4H/XuF0nXtSfo5CgmXqmjpaqMqOC2RRIAyPN7tzcwdCmaE+VLDTAs1NQ20tdV5sLI3fUNzmLdrE84VzRBE8t6dD6DzqH109duAd/vy6P6HlPO+BRSfLwfQbPxe2k8JYXIXJ0zygU1uzDHGjPQgq30wS91aUDz5eCFAUUxXRvKZdfSfvoZEaQaJ0qosDfGjR/2CSZk/AhQKnu+Zyki/O3Scu5RhLStjqqXKhweRDB+7hlK9ZzJ9UEMeL++N3/VSjPOZSXunMuiq5XI7cj7uEW8YNn0WfaursnriMK4bdmeq13BqljVFTfyOLbMnsCTGniU+7jStZMT9PcEsiTiERu3huPRuTw27Euhq/bMRoaIARfbrKwQsmM2BjIp4jR9H+0pyDi6YTcR5Kd2mzGBw55qY6/xDK6MIZPFTgGJ/gaTMDnUxUpORmxHL0ZBA1ux/S223yYwc0JzSOh85GDCTTZfFdBo/kT6tKpL7QjhrXsW74s0ZN6kdsTuFIw8T+ri2I/nIWnbfUaFFz140djRHXVWBODud1LRcDEvbUbmiNSZCmOCnWlGAQkHSo/NsiTyBuFwj+vdvS1lDDRTiD5zfHMS608k0GuhOt+oGvH+XSI5Ejqq2IaUsdHl15ggnbqZTt/8gOtezRgMp8feOstxnHbHFmzBp/igqiR//JaA4/lKDHhPHYfb8MJF7T5KQa0bpck50HtkL0+jdrNp5n/LtXehc6gUrNu4jy6YTo/u2pLSBCq8u7GVF+FlM245gxkBLji0PU0YoRvlOwDzmKKGh20kyb8yw3k0pZqAKUjEZ6R/IlOph7eCIRtwZVq3ZC/XcmDemAKDYdpsqvUdgn3GCkP2vaT7Um161SqEhTeLc1rVsOZJODwFQKH4AKKRp3Di8gUWrLlJ+wAwWDaijTKBLe3aZNSFLOS2uh998d9QEQBF2HPvBPnh1dSQn5RkHIkLYfFGFkf5z6FpFyMiXkhh1nohFwdzTbMOcWU24udyfvS8tmLbOl8amYmIu78V/zibEzT1Y6mLN6ZXzWXNTD88VIXS21QdpBlHndxG4cBMmXecy36NZoaTFPwDFWIICe+UBinM7WBJcAFB8fMvZnXmAYtziaRSP2YvPvD3UmBaKd7eKZL1/zI6lC9n4yIqATbOpri8hKT0XhTibjNQ0PsTc5siBSM4nlmXKqmU4vN7NAv9DNPNdw6hGhSMJeUmZq5jpt5c6s7cyq5M9qkhJe32LVVO9uKDWm6U+TmzynM6t4s7MHNEMIx0VVOQysj+nkvZZlXJValHVxrTQF7koPZ6zERMZf0SboFUhdLLPyzmT5Xzk8cEgRvkdovuy80yuLS8EKJzLqiL+9I4LK+cyZPVFzI00EdsN4cx6L0oXSsosClCgTK484uPMrJvVWbMnhAbmqkhzP3MjcjrDgt8xZ/NGupVNxr9PUy7b+bJ52TAs1OWIMmLZONUVn1eNubx3OvpROxk+dBZWXnsIGlxDWWIg5/1FPHuP5G6jIK75d0CRE8uueeNYdimbLp4BDG9RgRJm+r88z7Cgy8kHFHJeHp1Bd9d1WHWbhZtzRfQ+v+FE6CK2vbPHb3skfZ2MSTrhS5PhK3Hs6YlLx5rCQcORVRIAACAASURBVCz+i4PRbOPDRn9XLPXyCiMp0dKLDbTrFkqfTRcZ5qTL9+Uh5NyPdGd8pDqL1/lTt8SXpEwQPd1Lt76TSLXtythBHbGQx7I+eBEPtduyYtViGpY1KoI18lOe9G9f9C2gkGfcYUanvuzItqL7sME0syuNVnYcV7ZuIPKOLhPWBDO4kR3arw99AyjUUOR+4vDywYxfdpY4k1asD1+Ccz3rAiyPHwEKkLw9j4e7N9fFDgzo253KJlkc3RzKuRRLvBYuonvd8mReX8MwrzDkFdrSr3NTTLKesmF1BJ/K98Fn1hjqWOtxZd1svMKv4NiqD10b2fP56WnWbDmObe95zHHrhE7sEeZOm88TgwZ079wGx9L6yqMFuVwFPeMyOFQuh9k/UETsO0CRk8DBFT4s25NIs7GeuHSvj4WuCp+fnGLubH+ui6rgPsuTLrVtEPaH/0T7KUAhsDz2RVOz+2iGd/zC8pCR9fIqAb6BnP1giZuXB84NbHi6dSZzVp9UHgv0bG7H+yt72Hr4IeU6ujPDow2vlIBCYHmMoOTLnfivPI7IpgWd29fEyhDi7p3i+P0UqnUcwYhujdBKf8P7D2KMS1liYaafXwCuKMsUHaHISbjLppDFRF7OpGaHXrR0MufjvXMcOHwZavTBc9IoGpbV4Q/5HxVUVGVEn4kgMGgD7wwa0dO5OVYqSVzbv4vzbzRp5z6F0T3ro5V0+68BxQt1ekzyxkl6jw3L/Nl4Nod6g8Yza2p7Mi5szgMUHVzpUvoFfkEbeK5bhxG9GmP04RnHdu/g0D0Z7cdMx2dYOc6EBbDldjat3afR0VrMxU1hbL2WS92uPWnsVAzV9Ldcv3CKaEl5Bo7zoFLaaVau2YtKUYCi3wjKfz7GnJW3cOg4lIG1jHl/9xzbIvcSr1MfT59ZNNK894McCikJj84SHujL3nfGdB84gFqmcP/kAbYcvoFlBzcC54xG9RtAQe4H7pxYxwL/dWTa9GJ43waYSJO5e3Iv+259oKG7Pws7mnB23ULmbY/Cqa8HnW1EXDq4nWM3U6g52Jelw8pyKmwaMzY/wqHDQAa3a4ROxjNO7drLVVF5Ji5cyIDqxQtttAKgWL9oBo+L/wygyGZcwFxsk4/j4z2Fx1ZDmNizDp+jz7Bt8wE+2g1gZZAb8mvbCNz2jFodnalvo01OYgwXd0dyNtWOeeuXUj52B9Nnh6DXbQ4egzpS0/IPnZy8HIpwPKYu4VPlrozq3YNy+hk8PLFHmTzcalY481rqczxkOj570mg1xJUWNUxQy0zn0eXdnHhlhrvPYpwrFtbekYszeH5xA+OGLSCpYQ9G9euEna6cD89vsm/jXp4Zd2LN7oVUV//0DaBQA7mUD69vEeDVgyWnxZTqOI1rEROx+AlAoRBn8fZcOF3HhGDRZiSuXWrDuxuEhYYjqT2etcsmUUYtg3Nh4xkeco+uoybRpUZx4m7sI3j9CepN2ETo2MYoPj5j2QQXgu/qM8nLg+pmWVzZv4Y1p5Px3nSOMfV0uL5+MmPmbqHsAD+GNSuHvoaQywUKuQYlbCpTxd6c7DcPeZCkRdXaFTH6BX7065GHNPstB5cHEbB5H+8yFajKFJjY1KD7mGlM6F4HQy0VZFkJHAh3x2/ddRIyNZSZzhbNeuA9dQqdK5mjUaDYhDz1Dus3X6Vq71HUtNAosg5Fwr0DHL6vQtueHbA0+FIBU0AjWdzaP4e5wbt4HCfARgXGDg0Y6DULt2YOGGr956R4v9PyUIiIOhbB4tBtXI16h0RIdJPJ0TcuS+dRHozu354yJvpIo/cy1C0AS/dgvLrUoFj+1+PnlyeY6ebGpkQnQsKWKiMUul/iT9JYFg8Ywh2roSye3BPbkgUWgTSHp+fDCAhZz+XHnxGJQK9sZTqP8mJMp/pYGWujyEnm7A4fgtcdJ+qdCKlEneK1WuE23oMe9StgqqNGbvw9IiMWsG73PeLTpahqGGLTbgDe7kNobKfD+YjZeC+O5FW6OkYGOgjF3vJEEVUp49SXOYvG0qSSpTJU9ytbIUChIefWHj8WrrxM6TaujB7SAYeSBnksIGkOMRc2Mtt3A/IqvfDyHEJNa/M/2Tx/XS9/ClDs92fRvhhqOLszokMdjL+UL5DlEn1hDb5+u8i2dcZr4iAqKqIIX7qMjcdvk61fiuq1HVAkJmNWuT0jR7fj9Y7lHIkxoK+7Oy3LZXNy20Y27DzCw/cfEMtU0DK2om6bPrgMcaa+vSH39oSw40YKNXq40qNRRWUdh6KbnLiL6/HbeALdekOZMKgDpbSF0GsOsddPEblmNXuuPSY1Rw5qJtg36MKo0YPpWK88ugK6/KblfnrLxX2RrN6wm7tvkpHJNDApU4m2fYcxpGcbHErqk/tnSZkfX7EvbDnHXqjS02sazU2S2RW8gOCz6bT2nM/sfhWIPraRFdvuU77jaMY21ePY+nBCNx3mVZYELQMjTE10UXyWY99mKDNmOZNyIhzfgPUkGLdivMd4WhV/z7a1Eey//ICkLBlqmnqUKF+bHv2H0b9HfXJu7SNs5V5UG7gyb3xr9OWfuL5/A6s336DasKl0t0gkImAJW688QqyugbaJGUbaWmgr9GgzdjbtSr5nY9gujDtPYc6wuoUouzJRGo8vHSYsKIKTD18hVddFR08fHQMdylbrypy5Y1B5tJ3Q5cdwGOaDl3MlVBQy0t8/5XjkKiJ2nORZWo6SHWJo6kCrTr0YOsqZauZyXtw8ztKFQRy8FYdpeTsqViqHavw7dOuNxd/FhjPhviw99J4yNY14efkRaWJNStnVY5CLO3271Mbsm0hvYtRl1vlO50mpMQQF9sVcks6D09sJWHqUupOC8GhnS64Qodi2grBjmYwPXkw9nQT2hy9k8dpTZBuYY1utGuU0M3mbacPckFmU+3ydiGX+bD8VS7ZM8DkamFaoQWch0bdnbXLenMdvxmS23NWlwwgfIqa3/epfhAjFgyNrmbFgB8YtHUm8doNXiRJ0zaxp32MU7uO6YaMjJ+nlNTYvXcHOi3dIzJKjpqaFcdlqdO3rgtuQ1pT+NgFRISMz7TVH1wYRvOUMbz5mo6amgipalKtcn+FTptC7sSMaOR94sm8RLsExTN61l15l8/il0px0HhxehvvEZbyvO52bG7wolR/ZF44wEp4cwXPYIipM3YRPrwLpkQoFok/vOLphMv7rLvEuXRM1FU3KNOrE6Mne9HIqqcyV+RR3i7VBk1l74BVZci3UNY1wdHZlrucIapTSUfrBuDu78Avw5cjVbITCLDpm5WjgMg3/Ya3Rz33CHNeBLNn3BD1zS4y1Vb6qIauqG9J8mC/B09rxOnwIo0+VYvm2IGp9w/j5VzxngaRMOdkfUnl0/zrP4z8DulhVrEplhzKYCVmVyiYn58MrHt25z6vEXBSaptjXrIFD2RJ/fGV/6YVMxOeMHDT1jdAuwgkJlwnnQlki0NUXaKWFHZUkK5HnD2/z9HU6uQo9yjhWxbFCWUyFAlj/uSj3d6W3ldGXnHTevXxBVMwb0nNyUFHRoLilHRUr21HCWF/5LvLPcVy78RRd+5o4ljZVnnsLTSHN5NW9y9xJ0aVWzRqUKSZcn280odzv1auk6dpSvWIZ9LULh7CluR94++wuUTHJfBJpUsLGAUdHW4obaufbT07up3fEPHrEi7h0RCqGlK1UGQdbS4x18kGdXMynpBiePIghLi0Xdf2SlK9SifKW5uiqS4h7epc70XFk5UoLfbkoFCoYmJenVt1KlDTR++Vhs0KAQl2FN48v8SRJhTIVq1HewhTtAswSaVYqUbdvkKQwx6FKJUqb6hcBWP+V5fDnv/kRoLgpq8bYqa40dTQjPS6KJ+8yMLWyw9bCXHlc96VJMpN4cusRKTJDKjg5UtpIjeSX0Tx5+pLP6oZY21hBZjoSLVNsyluQ9fYZ7z9rUM7eHgsTDbI+JvEi5hkv45LIFiswKl4G+woVKFPKFB11OcmvoniVnIu5dQWsSxr/yRgpyE5+xZNXCaib2+BgbYHOlwJcuZkkvX3Bk5iXJKeL0dAribV9BRxsi2PwzXz8+mJCEbL0VF48e8rzt/GIZTqUsLLF3sGGkqZ6yg8NgTYq1KG4U0QdCrk4k7iYZ8RnCuNdiVLaYuKeP+RFigQLh+pUKKVLevxrYmI/YFDaHgdLAz4lxBL1JIq3qRmoGZlRsqQJWtmZyHRK4VC1AqrpsTx++IhkkREOVZywL6lF6rtXPI15QXxaFho6BpQqZ09FO2tMDbXITn5LzPM4VIqVp6p9SdSF4kTvXvHidSomNpWxNVcj/tVTHj2N4aNYDf0SJSlppIPi8ye0rapgpS8m9vkbNEpXooqNWQGAKzBr5IiyM3j38hkxL2PJQgdN1Uyirp3m3gd7vOZPwpa3xDx7j6FNNRyt8s7E5TIxGakJPI95yvO4D8hV9TAvaYujQ1lKFtdXRn0lWenERT/h8fN3qJqVwrpMScRpiYgNbalkls7h8AAi75kzcsFANGKf80GkgaVNRao42GCk9z0TKPdTCi8f3yNdpwI1a5RFWy7mY9Ibop6+x8yhFg4W+sjEWSS9iSEmXkqFmk6U0Jbz8f1rHt9/QrJUHUtbO8zUson/qEql2tUwVcsh+e1znjx6QVKWCFVdPYrZVqCyrS0l9DWV/vRF1G0ev8rAzLomTWqV/QrIhM354/uXPIpKwMTWis9vnvImOQcTC2ucKleihLkQwlcgl+aSFv+WqKgo4lKzUNPQori1I1Uq2GBupFPkB4fAfMj4kMiLpzE8j0tSfhzq6BhR1r4S9naWGGppKCmdn+KecD06A8fGjSmTH4VAOGL4+I57t+8Qr+1AxwaOfE3rE/72KZ47159g6FifqmUKpr0KH2gysj+85un9B7xIyAVNU+ycnKhgXRL9/JpEClkuH+OjeHD3GfGfFegYW+JYsyo2JY3zfYoCmegzCa/vcf/eO9JlmphZlqeK4FeMtZDnpnLryhVi4jNRK7S3CiEKLSwd61DfyZKM6ItcitOhUct6mP/siemfuMnvWB5ScS5iqcAVVkVDU/Nr8uUfzkOOVCxCLFWAqhqaWprfgYFf48oVyCUiRBI5ih/15dc86E/v8iO1UblMilgiyQ//qqCuoYGGegGwI5chFktQ0dBEXU21wOYs8PbFiGSgqfxbQXSkQCIWIVdRR7PgvQr0UC4VI5FIkSmEZwrjo/YNwJIjE4uVY6hQyRvDws9XZgEhEYuVtQNQVUdTUyN/0imQSsRIpLL8qERh06gUuvbXGr/wkYcmwjyUyPP6LyyIQhhSoVDOQanSBkK9jF8Qq/uJ1ym6UuYCLny0ot8kVzrULo/AxJXKFaiqqRdhd6HfYoSl86XfCpkUiViCPF/HRSiAJdStUFcmREqU46ymrp43PsJ7SyVIpFLl+Kiq5825Lw5DLpUUevafvZJCLlWOszCmwrMK2lcu/E0sQSZXKP+uoa6B+g8+Cv7wCwX7JugYCL9RQ1VFoaw4Gf/0PBtDtxCrV4PRs8YVrl6pUCAr+K5CwqRUjOCG1IQ1IgB0mVRZTVZFTR0NNVUUchkSZf0LudIPqauroiLP8xXCs4UvfIlEjEye928hibzgb/J0c/L6KLy78m9Sad56UGp/KJDLZEilMqWdhTmmXPNisTJsrPrF7jIZCjUN5bGgVCpFRS3vWX80gTZ6hs0RO0m0asTALs0xV/1E1OWDbNh5juItxjLLqwclVfOepSKMaYH5LIARwTZiiUzpk9XUNdDUKLDmFcJmmv93NTWlPxD6qVBRR5oaxYHwQHY8sWLGhjlUVRf8hlBjJs9vFNUUcjlSqRgFGmhoCrYpaId8fyWMl3I8FKgLvkNFJc9+YnG+XxKizXLl34X1q5y6+X8X1gaC7TWF98y3vXL8Bb8jjK8GWpp/HJ3njYMUiUSOmkbeBi9cl2cHjUK+T7BVnl+TKxkGX/3jny6E/HkrkSoJ3oIGh2CfP3xK3vPFEjkaWlpfCzcqPw4VMuV6lqCOzjc5ZsL7Cv5fVbB1Uf5JIUcqESGRKlCoFL2PKhRSJKK8daCiqoGW1veRfsEeYpFUmbeotMkX2ylkiEViJMIa/u79hWs10dTMS7oWSVXQ0tb8JVHe32qjf7GR/JYv/4md9hdc8t+oNirNecjy0VMI33+bXKdOzPTyZGDrqn8cYf0Cu/zX30Iu5eHxCEKCAjh0R406vUcye8Foav0r+hr/lcZQkB57iz1r/Qjd95BMqQYaKjLkmrqUrd+FUa6j6Fwzj7X1q1tW/GP2r/BnR7QFM7f4UudLGOpXP+j3/X5bIN8CvwHFb0Dxv2Ix/DcCCrkkmVuHT3Dl/nPSzexo3bIFdR1KF6F38b/CxP8znVDIeB91hfPnzhKdbECFWg1p2aoWpX6akfI/0+1f+VS5JIfUdzHcunKdRzHvydbSwsSmAnXqNqFaabNfrj/0pe+SjGSib13mcYoRTZ1bYPFnimq/8oV/3+v/rAVU4uLi8kr5/W5FWkDY6LS1tVFV/c+E1f+vDoNMGV6WKkt+q6mpfeWS/2+zh0gkUvZPXV1ZNBeZRAj9ylAIoVL1L0dH/9t6/T/bHyH8KxzVyOQqqAlHQULI/n+2S//hpysPVZRHF8KxhkJFRXlkIswh1byM53+oyZFLZfnHEAWPEf6hx/2+7f95C6jk5OT8kzP6v9rAKioqJCYmYmJigqbmP6D1+l9tnV/XecHOubm5SsVRfX19Jaj439iEHIr09HQlwNTVzUuJFs7ivyQJC2e4/+j+8L/RKD/TJ2ED/cNIyP9PGkmg2BbMBVIoJa3/aeebNz8VBai+PzNgv6/5bYF/zQK/jzz+wm5xcXEUL15cCSiEje93+2cs8N945PHPWOL3XX9b4LcFflvgv9MCvwHFX4zb76TM/8zE/g0o/jN2/v2U3xb4bYHfFvinLFAEbTSHbJEEFdTR0tX5XsFT4FTn5iBWUs600NEtTKVRdlQhR5wjyKHLUVXXRkeogfAvvIFcKiInR4wcNbR1hSJLhSMEwt/FUpTRA9Vv6lj8C48r8iffAgqBZpMjVqCprfUNXVaOJFeQi82jEKkqZMowPho6aH1D7ZRJRORKFGgKNCQk5OSKfxiSFEKWmto6Siqa8iRWqbcgUCaF/9dSUtwKB04UyMQiRAIVURhDHa0i6It5fRUpaWqaaBVB/ZVKJIgECqtA3VPXQkvrD3rir7Jtwft8CygEemxujkRJG9TQUv8jZP5lfmXnIlXaRqAV/iuz6++/xbe0UaEuiyRXhFgiRa6mjpZA0UWO6At1reAjhBwLTWG8hHf5mWcLFGKBhidQTP8BarZAD5QINElV1DQKnK8LdDOBdizQ6L7E4/MpeML7/UzflZQ5gYIp0OE01FFIxcq5JJXlUTWF+VaYGp9HjZQrKbLCWv7ePnl0RpmSIlqYlvkztvxXrhFyHvKotco5+BfUZLlMoqRzo6aJllAN7nf7RRbIyz0Ri2Woa2l/twf8qw9R0nGF8gcKdbS1C+9PAqValCtGoaGFjoYqgi/KEcvQ0NEtpIEh3EMqEu6hhq62BjJxLtki6Q/rJAm0Ti1tQYYib49U7gO5UhSqGmjraX8vdijso7k5iKQCDV3Ya7/fR5V9zc5BolBFQ0sbLSXVt3AT5Qj7dd561NDSQfsfTM4tAChkJMdeZOl8f07eTwKMqdNtICPGDqSW6ZcCKDk8urgdv4B1RL3PQl2zHB3GjmFYjxaU0cmvtSBL486JzYQs3cOjD1kYW9Slt7cH/RvaY/A36gVkv79ARPAG9p1/xCepMfV7DWLoiD5ULyYYXvB0CqIPreTAYxP6jnPGSl+Qiv717VtA8e7kEmZs/8jAmRNoUs4MrS8Plb0jcv58doobETLRGYvsu8zxWcwby4HMH9sVa3O9/IGWEH0khOm703DxGE2VtL14Bu7hdVJGfufzEri+NK3itoycGYBznXJof77L7g1b2HHoBu8z1HFs2ZUBrgNpZFsMvbwykqTEnGbjyq0cuf6MTHkxmvQfzKA+7XAsYZi3GGTpRF09wLqwXVx7noBmscq0G+FK/7a1lEJsAn88/fV9toRvYN/l23zMlmNYtgl9R/bFuUkliulp/SMJdd8Cik8vL7BqYQSvzRoxfFRPatiYfS3UlBx1hBX+B5BX7cjgAa2xK/ELSrz9xNT5FlDIRC/YtXAZmw9fJcGqIRPGjKCudhRhEZFceJRQ2LHo6WNXpwU9+/anRTU7zP5KnUeayskta7n83oC2PXrT0EHQcvhVTUZC9HmOHrqGVvlmtO3YiGL5KULZsVfZtG4VW44/Ilua9zwVTV3qO4/Ebdggqhb7qz6IeH39MJEHLqFZrTNDuzcl5dIGVq8M59Lr4jRyHsTosc5ULCA/L/38nuvHIjl1JZayTfvTvkM9Sv1RJYic1DfcOnqE409zcWzfjT6NbYXCgD9ucilZCalkZkswKFNSqUPzt5s8k4fnDrLn0CMqdHOlXzObP5n3Il7dOsWuPRcxaDQEt06V/hEa6N9+h/+GHygUSLIy+RibhIZFSYxN9QvXRMn9RMyV/azZeo9mU2bT2d70l7xVzscEzm1cyP4P9Zg9ZwCWXzCgXETq64v4zV2PqI03y3rb8Or8OrzCzlBzsB/Tezjm7zNycj694UBYIFtSarJualvuRs5i2qb7RQIKVXUtytbrzJx506lskEvCk4OsDNrG6QdxoFuO9m5uDOzVBlulKxM+CtN4eHYrIUF7uJ+ajUmpWvSa6E6/5pUxygckkowYTuzYyKrVJ4lXaGJTvT0DJ4+hc4W8ysFyWTavLx1loX8E9xKTUVE1o1z9Pkye6kzd0qb/yH75FVDI0y4w3nUip9+Y41TFAu3sNO48jMG6x0I2ze+GsZoqyQ/DGegSwkfDCjiUMUKa+IprsXKGzQllRs+qCLVSYk6tYMyUJWSZVKeCpR6pL5/wWFYWv+BQetSy+LkiWBmx+E8exKbrEuwqVsBQmsbtRy9x6D2V5VP6YkEMe/fcITr6Bq8TTXFoYIGZdVv6NrFGR9BB/4WtaPnyVCavDqBTxcJqo0HDXVgh6sjRpS5YZ15iuJs7x16UwD0wHI8u1TBVUuVE3N00jf7hicxY7ENr3Xss3XyahA/ZqCiyeKKslGlDjcrllNVHtUytcHYZR1NrVfYsncjKQ88xLl2eYlq5PI1+gUnDAfh6u1C9rDmS97dZPNub41FSSpUpg05OMg/ffqbpkEl4D25PWXM9Yq9uZ97CZcRkmFCmtBk5Sa95lmPKSK/ZDG5TA/2MB6xa7MvO+58oVqIkRhpSkqJjSNS1YthsH/o3roL5VxT16wz9LaCQ5iRyelMQAetvYtPPk8mD2lLBVBtZ6n3CfH04+taMfmPG0bWRI0Zav3bMf/RW3xe2ekTomBlsuhCLWbs+TB7Ri9Lxh5gZsoM4SXEqWJkrhaCErH5xZhrRL+IxrtKZKZNcaFPd6k+rjSokCexa6suR18b0HelO++qlfo2xJTnEPr7I+hWhHHmYScdRUxjdvx0ltfNuH39jO4FLw7gcr4lNOQs0BXCroU21Fs5069Qe2zyxzB+2Ty8vs2bpItZcSKX9qCl4jeiKJOoouzavZufxJMo278tUH6EOxR+FwSUfX3Nk/WL8w3YiqTGMydOm0ad6PnKRZRN9eTtB/gGcS6+Em/cs5Vr6M0Ah+RDLuW37uJ2sR4fxA3Ey+xcApyKHl3cvce7qS8o07kobJ4s/eetcnpzdwcrVhzDp4M3swXUKld7+NQP3/+ddlNoWt86xee057Ed70qu2VSFAkScOlqc22nXFWoZWy1Mb/XebUm3UfzRrkluxdl1htdGEp4cZN3QROX2Xc2hMJaL2+9Jp/Gq0nAazLHQx7SvoK6tGC8qh62Z6siShGVfWuBB3dg3BB6LQUFchO/0dd649wrBSI5ysjVDIVShdrRkurgMolnKd6R4jOR9fgkoVy6LyMY4H77JoP24hvi4t0JLk8uLSZiZMXUiKblUcyhjy8W0MzySlmOEfzJCGZZGK0jm9dhbTQo5iZlcPK0MJr6OjSbNqwcawQKoXV5BwJ5JJE/yJ0XOgioUB8qyPPL/zFLWmPVkatJA6xj8VKv1bpv4KKJ5sGkWPxTF4LAmmQ2UTVOUijvn1Yt4dW7Yc2E6zkjns8mjNvCe1WeI3HscS2ig+v2TxmJ48cJzHjiA3LBXJhI1szYrU5vgt8KCauTZCpGHexDm8bhDACd8uGGl9KeGiIOGuoOUBbXt1LKTlkXB8Jl0mHKDuBD/GtqqMnmo2FzdNZ85BOTPC1tC/ShanV+8g8shOLiSWpGn9+jQZ0I/B9cuh+4vDjUUDihQmrw4sElCEijpwbKkr1pkXGTFyLjfeJqNfuSf+gdNpZFscLdU8QNEvPJHpi3xwrmFGZkZWXnU3aQprvMbzsGQfvF3aYGWmg4qaJkamZojur2XUlAi0W41iTLdmSnGoh8eC8dn8nA6eixjdsSoJuz0ZH/GMBkPG06dJZYxVkjm4cgEbX5Rl2kxvOjhqsn+hGyufmNDfzY0WjpaQeocViwO5X7wfy7wHoB+1lYl+h6ja14VeLWv+P/bOOq6qbWv/X7q7G1Gxu7u7O7BFRDFQDOxWFFEEFRXFFlvs7s6jolh0dzfsvX+ftcHmeLz3es5739/r/Ot4WHuuucYca85njTnG86CnLEtGyEXWLdtFTitnFo3vTlXjf2OB/gu3/D6HQkxO8mv2uC1l//NihrosZEhTA67vXo33qRjajHJidK/mmGko/S1Iu6zhls2UuYI7WTYMcx5Dp3pmRFz0ZtWx51Rsb8fAVrXRKMU64oIsnp70w+9GOE2HTcahTyv0f1A4JACKw+tWcC5Mm0Hjnej6CwBFbnIMt08HsCfgEu9jI8lTNqTXaGcmD+1SCigKCDy5nXUHnmDZuh9jutcqsa2MDCrq9P+DMQAAIABJREFUWmhqaPyQY0OcGc6Ffb5sPxDAW7EhHYdOYubYvhiQRdK7W+zdfIAPKrVxmDeZRoZfAIr0UE5t82b7wTMkGzak25AJTB/ZHEGMvShLkMrehu/2Y0RoNWKwwxQm9637Q0CRF/eCwxu3civZFPtlLjT54l4/vzoKx7Y5ZOcWoqCqiYbKj6IcpYBi6ym0u81m0W9A8dNmFuenE3TFn9Ue52i2bPOfqI1uZ+n6O78cUJxYPYHtSWUDikmjVpH/EVCcdKPftP1gqE/DfrPxmDcEQ7nPgGJtbCvu7puFriiV5Mx8ZCTFJAXfYYXrBso5eDK1i7U06Kygoo6mCrzaO4VRmyMZscKdIbWMKcyM4Pim+ewMqcWWHetoop3Egdndcf9Ql2Vus2hooEBm9H08Fi/nVaXZXFw/FKWIm8wcP56XthNZP6M/RrICI6s/sxfspZxLADuHmXJ2iQPTL4pYv2MNdfUUERdl8/7qRlxWPmHgjlPMa2v00/P0sxeWAgoJKR8e8SxWhQYNq6Iizicu5Q92DZ/EKaWe7D65mOoqIkIf3SZGoSINqxtTlJdLeNBxVgxwA4c1+Lj2QC3lHvbdx6I0Zhse9i3RVJRFUpRJwOIhuNyvwbmAJdhqftwAxLw6PIM5RxVY6L2YuoYf1UaLubqsL5OuWuF3YBkNTbSRk5GQ8vYEY+xWUmnaNhb1r0rK88O4L9pJYBZYdRjJgsn9sBEUFn9xJca/DyhuMmb8BhQaVyH88GMqjpvHXMeOWGrL8kcpoJizahkDmn4pXx7F2tEjeGw+mlXOfbExEpCw0MQ89ZvOtAPpOK2cR/d6FVCTg+zYO8xxXERBsynMG9uMu6vGsje5PnPnONC4krFURjr42hamrb5B+ylzGVJXxIZp80isMZzp9r2pZKyBTHE2VzfNYtkVRWYtn0Zj/ULeRWRjWqE8ZvoaUh0GceFrVg2fyQOzgSx17kcdy6+V+37W2X50XZlJmZIiUl6dYtFMb8I1m9OpBtw48wLj3nY4julOVUP1r6hwf8U4ftTHn2l5PCzV8mhdVZvAAA/WnHpLvX4TGN1ZkC8v7VEiJvLaNhbuuIRJBwcmD25K1KWD3I1SplmnrjSsqE9xZhgXjp8hWq4c7TpW5/medZwN0SwFFEZkRgRy7uQxTt54RkquJnXbdqPv4I7UsjRASZRH4NXjXH6VQZU23Wlbx/IbATcx8YEPOLH3AjHqxpQ3TuL63SBMW4zEeVjXEkAhSeX6Hm/8rqXRYpADg5uZSWnAVVRUpHTIP2z5qdw/txf/ax9Q11AhMT4C1ToDmT2uP2YqSLU8dq3fwrPiStjPm/INoAghYIsPpx8EUayjj75VU0ZPdqSOHqS9v8tR/6NcexGBSNOIhl3tmTqgHsUZEdy9cYjDp64TGgm6JtXoOGgAnZtZEHxmG2tWb+Fphha1e43Acaw9PW0VeP/4Kv7HT3E/KBU98xp0GNifbu3rYawoJi7oPpdu3CMmX46CD69JVG1Au4Z6JETFYNlqAD3qG5MY+YRTAbs4eyOY7BwtbGq1oP+ovjSvZkioEKH4AaDIT4vl4YWD7D5+nqhCXawr21JBSw4Z7Rr0HdIV2dj7XDh3myx5FeJevEHepjfTpnRCKfE5l48f5uLNVyTIqWLbsAP9+w+mWRU98pLCuH3xNM+zrRg+ugdmypAS/pJLAWdINO3I6A5GvDgfwM0QBeo00+b2nuO8TJGhacteDBw+QKpv8m1Lj3nL9fNHiNRshA0v2HfgIWrmLRjtOIRq+okE7PXj6PUPWFRvzTD7sTQrJ0fY8xscP/eamgPs6VRVn8KsRJ7fOMX517IMcBhOBcV03l47zIHd53ieUYSeSQW6DxxLt07VyH5/jXUzprP7QQrGDdrTd8IclvSt+WlYnyIU667T0nUCKvdPcfxpLLZVmzFozDia1TAsCe8X5BDz4jq7/A9zIzABDe1KdBg2hH49mmBcRgBTiFD8PKBwZ/Squ9TvXIlXp2Ox893M+Gbm5JZGKKSA4sAczL9SGz2Pi4MbFWbuYWkf24+LAHnp0RyYNZgtWX046ueMlYo8oqJs3lzditO8cwz22svwKvHM6T2UlO4b8HXpKF3ri3KSuLBxOrPP6eB/2h3dFzsZNWUf3Tz2MKVteeQlYnLTPuDtOJgjGtO4vm0ImYFPCMrXpVmDSqhK2eSLSYs4Rr8my6m56RSefcv98iXz85GHQLoikUMx6wMb5o1h5/1kUnJrMHXlKpz6VkBFltIkLnnyA/2ZusCTRyEpSPQG4LZhJp1r65ITvJceHTfTZdtBZrSz+pRAE7TXnv6LMtjweA9t9VRKQ70SXh5xZvY+MUu2r6Ge/kdAkYTfsH6sYQi3t4zBQL3E6UXpb3Ht04vEThvwnNKOgpdXORusSgPdN5yPNGbg0M5YfQIrv85O/wmgGD1uA+XGz6ZS8DE2P5QwZeF8etQ14Z2/qzRC8T2g+DP58kzOLnRicVAFNrlNoH6FkpdIkh+Ht+MQHujascClMSedZ/LAZhgrnXtT1aQEjGS9O8PMSRswHDmHYfUzWDF1F2YDpuE0sBlmmiVfXcGnFuHs/p6+bgvp19gWVQnIycmWgjMxyU8PMnnuTnS6TWfGsLbY6P5qrVGkHBQ5OTloamqipPRF/0VZPD7uzYoNR3gZlUn1zuNwcR5FkypGKP5MhuCvcwV+Sm301DqW7XuIcYPe9GpWFXU5QVdBlrykCM7t28OdaDXsZs9geNdyXPdazvEgVfoJ9MsNLChIfomv+ybeKdRkxLhOhB/x4mxwCaBorfcBX8+N7L3+jmJlVVSRUCBSoGr7gUwaO4RG5VR5fuEg556nU71jHzrVL/cNoJBQmJNFanImEhVVst+cwGvfFdQaDf8MKHLCObzVHb8LwcgoGiBKCydbVY+GbfoyZEBX6lQ0oOygShHRz87hu/ccuRZt6FOtiFMnz5JTuT+upYAi90dqo+khBPhs4uK7VLRNdSnM1qCd/XR61VTh1cUDHD57h3R5DfKzcqnYwYFJbbW5dnArm/0vEi9WQ0NRHlFONgrm9eg7yo4KaVdZu2ozTzI0qdVrFE72AyifdIV1Xvt4mihCU1UZucJC5Awq0n30JKb0bUj8gxN4eXpwNUyCgYoRldp1palFDveuBVLNbg6DrBLZt9GNvQ+iUdbURlFUJFX8tWzUi4nTHdAPP43P1pNlRiiK0sO5cWQbqzYHECOjjJaSErmZaaTmyVKn61iWzR+Pwjt/3Ba6E5hvjJGmCXW7D2dUWyWOe3lw8FYsqrrqyEkKyMuRwaR2L5yXTaGRTDiHtm3ianpVlq2ejK06xLy8zg7PzURVGM2q0TZc27oK90Nv0KsoR1ayPMUF2RTmKVKlxzhmzXGg9jdh78QPD9i1dibHosyxUYsnJCyXgoJijKvVopqJGu9fPCcuLY2MAhnq9p/NGueupD/0x33TLdq4emDf3Jy8lAiuHPDC9448rutmYxByltWL3XiRrYOqMhTm5yKjZkZP54UMKJfChqkT2P0kHcPaLekzeQlrBtb+ClAEXtjOzHl+FFibICvoIGUXUpieg1qF9kzzdKOPlYioJ0eY4+rNw0w5dIX5FYmRKGnRYux8lo9o/p3f/quAYtz6t0xY40zkjpVcVevKdvdJGBe8x2/+VMoGFGeZ5rCaijP2sKxvpdLnEZGV/II1g8Zzu+lSri7rIt0LBT2O5KCLTBs9FyvXAzi3CGds8yVUcj+Ee+/yJZ+Uhbm8ObmU0QteseDmHqzvejB0SSirj+2ga4WSiHFxfgYXlnTD9XZbAu4sxUbY05FDsVRbRlycyR9759F/zXsW+R9lVO1f/2H4fZVHWihn92/g6gdZIp9cIspsMBs8XWhmqvrpbCv99Rn8T93gZUgiQU8D0e01l01z+qIesYuO7fzot/sQzq3MPgGKD4fG08clnrWv91Mn/hU3b7wkSw6iHh3k6EMZeo4cjLUaaBhVp2NXa47Z9Wed+hjuew9DpxRQSDJDmd+nI+GtPfFy6YSGKJcssQo6ijkkZoG2nhZKX4lw/Zqd5D8BFKPs12M9xROHmulsWbKQQEM71rgOIO/SCob6xP0LgCKNgNlOLAuvzvZV46htY1AyFwVJ+Ezsz03Vwcyf1YgTk+bwrPpoVk3uQWVjNakBcoIvMNvRHa3hrgyrn8byqf7Y2E1nQv8mmApKVkD4+aVMWRpI9zWLGdi8Gp/XGDEJb67gudyDxwpNmTltLK2rm6H0TbXNr7D0j8pGMyOvs2ziTHbdzWHgglXMHNUZa93SQ/9fcfOf7ONnAMWbcxuZvWobD8ML0FZXliohCjkUYkkRcnrWdO05hjGDu1DZophT65dy9LUaA8ZPpGdDCwqSXrB1jRdvFGozenwXIo54lwKKkWgGHWDDsadYtBpA/zZ10VEQE/HoAgF3Q6THKyN6NEWtMJWM3GJUNHXQ+mHyrJio27tZs+ciao1GfAIUhbHP8Fu/FK8LH9CpWJeqxirkJ0QSEplFuS6jmTphGA0FnfNvWnb0HxzZuZN7Scb0HT2WGoW38N51lNwqA/4FQLGRiyEy1GlsTcKbYDQbj2RiN12u7N7NlfdiKttqEvT4HZadHXFsrc3D89cJSlCmYsOqqOWH8ej8AQLuplJ36HSmdVXjpNcW7qSYMtTVmZqyUZzc68P1BB0GjhhOA3MtitMiuX3hNI8zDBnsNJ2KCWdYv2ItQbrtmDjVngYWCkTcD2DP4SfUGOHKAKssrp66T5ZRNWpU1SUj+C7nThzhj+SKjF++gIbFD/DZehyt74488gh9eBav1T4EadVngv0gbNVEfLh7lq27T5BXZygeS5yQf7mHlfO9KWg+HuexPbBWFRNyyx/vbZex6DmRUd1ro1KUQdDts+w++gSL7s4sHGjEya1eXEqrxqq1ztiqCYDiGts8vImsaI/7WBsub57HysORtBo+haFdG6GaH8PtE/vxf5DN0LmrmdSlZMP62BLf3Wbr4nEcTGrBlGkONDYq5MVFfzZtv4JBD0fGD22HYUE4pw9t53KsLe7rp6Hx7jhuXtdpN2cDDi0EQBHO5X2ebLkjh+vayYhubsF1yW0aTJzGqHblkeQn8ezFS7Boz5Bm+vxxdAtrt96mwfRVjO5YGwvdz0eqotxUAi9sZfrcLcg1dWb6lPZYyuQTcu8s3tvPYzbQjQ2jLTixbjbeL1SYOsuZ+sZqiHJSCbxyGP8XxUxY7knX8l8fWf1LgCLAHXvPD8w6sI2qH3Ywwy0A2zFeLOumzs75k3EvM0JRFqAoJivpGSv6TORhx9VcX9iuxOziIlLeXmXGiGkYuPjj0iaUUY3dqL35KKu6WpZekkvw2ZWMcHnMzLv7KH/LnSHL4/E+tY321iXvZHF+NtfcujD9bDOOPHbjC9F0xKIsnp/ewsyFuzEc5sGmKR3RVf4bcyg+OpRQFpmVkUJ2gQyZbw5iP3YbdWb64TGh8acvQgEJCdLkefkFBAYsZdq6OOaf8KObxjk6t/aj355DOLc0/QQogg+Np7dLAp5vd6F9eh1T5u8lurCYwtx0MnJBU1cHRVkJJjWH4HPQmWdjB+ChPpb7XnZfAYoFfToS1no9ni6d0VdV+FuqDb5dLL8FFMEHpzFsYzIuW79PyvQca8/GvK6cWy/kUNxEABSWTuuY3tWWuEvrcfG4Qpe5a6mb4I/jjnhcvzvy+LMIxc8AioYcnzSXP6qPYdXk7p8ARW7wBWY5rkFz+ByG109j2VR/ytu5MKF/40+AIuLCUiYveUm3NUsY9BFQSIp4f2M3a3cEECOyZYjDWLo1qYTOn0lY/+Sm/GeX/TmgSOKytxdb9lzjTWYcyjX7ssB1Ml3rWqH069+HHz7FzwCK16c9WbjtIiLj+jSvbgFxz7l29grvZSoxcPIkRvZoQTl9IRchlYD1SzkWpEZ/hxJAUZj0gi3u3rxRqMVoh1JAEaLNoLFdSLqwjQ2HXqBnW41KplpSkrX8lHD++JBF3Z72uIzvTyWDn40clQ0oirPief3sPm9SxJiWr4a1nhrijAjO7dnO2SAl+o8fRRW1SM5fuE9CRh6qxhVp2aIBcmG3Of84gTq9xzKoTU1yA4+x3u/fARQKdLRrQ+qDK4SI6zC0iyF3j58kxqAZ7a3TOXbiGVZdJ+Dcx5bwZ3c4deIyz8MTSE+JIzLkLTEiSwZMWcCSIaZc2OjDzRRLHJZPxSDkIu4r1nEzRpnGDaqgIeh+i/OJCXlPnNiSYS4L6az6nE1ee8mvO4Yls3pjIJvJw9O78D3wkBoj5jOhpTqPLp/nyKmHxOVkkRwVTHB4DGo2HXFZPp+mPCkbUBQkcvukLx7+z6k/ejkuXSuiIishJeQ+u303cT29FouWOiEfeACvtQFY2i1lzvAGFCW84sQOb04E6jF5qSutbDWRFReT+v4++zdt4lpBfVxd2xO4w4sLadVZ6T61FFBcx3edFxECoBhjwxWflex6qsV0n1W0NddGVpxH8L1z+GzwpaC5MyundebLPNuEN3fwW+HCQ80xeKy1p5x8Js8vHWC123GqTlzLzEF1kM2I4PIBb7ZcK2DqmtkYBJ9ktdd12s7xlAIKwS8v7xcAhTxz181C+9VhZjq7807JhrpVzNDXtaZSvSZ06t4SW61igi7vZ6XHWVou92VCc/Ov3sGSI4/tLHQ/R+tl23FqVwFlxKRFvOTQ2vkcSW/FmkVN8HeezL4wTXq0qYWyrFCVWUR6fAjPwySMWrmdGUIewxftI6DYkdSB7X7TKP+pyiOPT0mZgzZw2qk6QQKgWP+BWUf86awSyrH1c9j4RJ3l610J2eLMqqiyjjz+AlB0WsP1BW2/AxT6LgeY0SaMUY1XU3vzke8AxUiXR8y4s5/yt90ZsiIe75N/BSgkiLITuLhnOcsOBFKpqR3TZw2n5hdJ0f/h0v3Vz0sjFCJyUtPJkahiICQCll4izgxlZqtGvO/oy/6VPSE5lWI1bXTVP5+npjzazaCeK2l14DxTq7xnWPvZVF9ygMV9qqAoLROVcM9rGCN3q3Pwuic2GWG8eB1JoayID5d98Lspi93USVTVFaGkaUG9RjZcndmbuSEtObvfhXIaJeMpSHyAU28HlIZvYtXoJmj+TRvbXwGKsEPTGewVx7St6+hV1UR6FCRtRe9xH2vPGc3R7Fo4APP0q6WAYi3Te9RBq/gdPk5TOBVfg/ZNktlxWcQCt2X0/yqH4s8ARSE3109mzlU1lnvMoEUlU2kWuSj7HcvtJxBma898p2Zcnj+B80rdWD7LjhqW2lK7Jf1xkGmuB6g+bg529fJZM20tCu0m4mzXDkvpV76EP/bNYdaeFMatmE33+hVQKUri6vY1bDh6Hyp3wXF4P5rXLi9NTPs7SnMF85UNKCQE3/Rm0cr9yNQYSedKSRw7chrlRo7MGT+Imua/PmT3o5frZwDFq5MerDr+iupdxzKsQ13UizJ4de0w23cGkF+5D86TR9Okoi5IkjnhsZRjQoTCcSI9GwmA4iVb3Lx5o1iT0Y4fAYUOg8a0J/70Vjy2XyFdXhnB9QVpcYGvQSQxpu3Q8Uxz6k9N05+1R1mAQkJxQS6ZGbmI5JXR1FKTRvwQFfLkyDq2Hn5F9Z4DMBY9xnvjEcLiM9Gs2Ji+netT9O4ah64Ho2VsiYGGAgWZSUTFJlCsbE1Xu/E4OgyiCkHsWreFZ6JKjCsrh8JHiFAo0MvJjuIHx7j0KpuKFQ1JCU3Bqtsw6onu4nvoGeW7TWBMQxmO+Xjif/0NqtWbUqdyVTSS33D9dgjl+4xj/jALLnj7cDNVABRT0Ht/FveFqwh4loimriqSUnlriUQePcsmjJrkTDuTUHZuO4K4sQNLndqhJv4IKB5RY8QMumi9xcdtI/ezVbGt35LqxjqkvL7Pk/eyDF42n2Y8LhtQ5MZy9ehm1p+NoPu0jTg21pK6WI6QOLprM2dDy+G6zAn51wfZtPECtiOXMbN3VTKjn3F4+yYuxVVj3rJp1DIsWZXzY15y0teTA5FWOLv2ImTXBs4nV2fVOmds1WWkeQTb1noRWWmsNEJx1WcN/kEWLNi7jHrSxUpM3Kub+Hm486GiPWvm9uXLugkBUOxcNY9Xhk6sXzsQvaJ0Xl4/hIfnOepPXc/UTjYUpAuJsj74XM7GyU0AFAG4rb9Ou3meOLS0kB55XN7jyZbbsszbtJQ6ymk8uXuJY0eOcvZGIAVFcqgZWdOgxxgWTetB/r0DrHA/80NAsXT9LXpt2vmpyiM/KYxLm11Z+7ICy5e059jkCfg9y8BYX0Wa4C5EBWVk5FHRqMxw16W4DKnz1bFHblIkJ9c44pPQhu07ZmL7MYAhziMu6CTODh5ojd/LloFGXwCKg/QxLyQqMICFI1eR2WAQVZRuczCmJTf3f5tDURagEJOTGsIWx2EEGEzhwiY7hDiyRFRAzLOjODl602zVfhzqxjClkxOak/ewcVQd6byLCnJ4vN+V8ZvS2XR5C0aPNzF89g2m7t3HkBolpbRFeckcmN6ddfGDuXTCGSOJmLzEl/jMmYrfa0XaD5+Mc79WmJto/W1lzaWAIp+rq1xwu6vCMp9lNLIQNvFi4h5vZ2iHpZjO9mfn7CpsHzKamxYDWLtoOOYaAoFGOne3zGTUjNdMvnwMx5pZLOndmpsV57NztQMVNOQRpb1gxVg7dipN4IGfA0ZKsoikL7SYQP/puB6EhdvWUN9QETkZQXRJhjd+I+m9NoqpvjsY29gaJbliXp5YiN38uwxdu5ep7a1Q/RvJOb7cVL6NUGQ99qbTuN3UGb+UOXbtMNMs4WVIeXSQyVMWozDUG7dRrdCPP/8VoDBQFZH04CgT53ryJjGRaLl6eG1cQ7/GXyZl/hmgkBB5ZjFjVtygydTlTO7RGEM1WcJu+zBx7hEqDlvG7MENeb91GAuuKDNm/nwGNBF4PzK46jufOUcyGT9vAf1ry7J79ljOi1szY9ZEWlQ0QibzLb4LpuOX2Ih1i8fTvLwMN/d44HsmCMOWoxjYpQW1bfRQ/aukvP8Q5pYFKFJeX8Z9xSruKTXAeeJEOlSUcMVrKd7n4mk5dgbjBjTHTPuf01j5WUDhduIt9fpOYEzXRmjJSyjIiuXWDk82HgukQr9JOI3shI12Lmc85rLjRhYdJ89keKcaZP1xnJVLd5Bs1YXp0zsTdlg48tBmkEN30i7swP9uAc369KN1dUPkZIX6/SQiY7PRsqpOw7qVpFG7n2tlRygSX99m366TpBvUY+jIXlQ2UqUwPYLzfh4ceFxEp1GT6FFLjdjYZPILi5FT0US9MJrr545x7OY7ioXXWgYKBUARn0ixUjm62jkyYfzAnwIUF4IV6Dt9Cibh59l3+DQfUrWwqtKY/pMGoPXqCFsPP6dCF3t6Gr3Dy+8EWRV64DS0A2bqIt5dOYDXtruYdndkwTBzzntv5EaKOeOXz8A45DKbvPYQqd6IEYPbYSzgLnEeaUnxJOVoULleAzTjr7PN9xg0dmDJxC8Ahf8TagwYg23GeTxPhNNqtCuDG5kilxfJuZ0+HL5RxNDlC2gm+RNAIUrjyfm9rN54HoOeziwf2x5dBRGxzy+zcYM3j5Xa4LZ0InKvD7Jx8wVsRyxjZq+q5KcEc9bPm52XMhi6ZClDmloiK8on8tklNq7ZQphBb5bNbszdjas49EafGVvdaW+QR+Dl/axyO4JCx5mst7fmis9iNt2RZfw6b4bWNkKSl8rTc/vw8D5NucGLWezYjC8PsT4DikmsXzvgM6DYUAooOtpQkBbJtcOb8bmcy+TVczD6cIKli/ZRefom5g+qQW74U/xWLuVwZDU27HClgiiBdwkidLQUyE9PIyvuHdcPb+dMuDEzt26kesRRlq05QcsVO3BqbvVNhCKVwPNbmLPSnyrT/Vhh1wAVUQHxr2+ybv4SAvVH4TWvGrtdZnNLpRNzHDuiJxQQSYrITY8lNAaqtmhHw4pf8y4UZsZxc5crkw9kM8drHcMaWkmPJ4syk3i4fyUztj5kqO8lJlUv/gpQ9LWSpSg7jvt71uHoeRyxnByiGuO4sXMmZl8lZZYFKJAmrF51H8zUK+as3+dNNxtNCnMTuLhlBi7+RazY7Uc3szg2jGrPSe0p7PKaSmV1yEsOxGumI1sz+3DTfxoab08wbowrSiO2sXlKBzSEypJ3p3Ae4UJ0Nz+uLWpFUfIzfBfMJiDBkr7jZtCniQ1mOp+rq35urfjXrioFFMIC44GdnScyje3o2doaldwEHhzdz11RM9bv86KHrQp3tozEfskr6g0ZTBNbHcTxrzm59zTFLaex1XMilTXhhs8Uxq+/SYMew2haXpP4V1fYfSWcESv2Mr9fDZRLE0QEpPxinxPOB+RZ4beGRkYfkzKhIOwqDqMceKHYhD6dGqMvjuf0kYMklhuE7/o51Db957L7vwUU4uzXuNnZsTNSjaadO1LbXA+FgmQCL57iTooVs7086NegHIphp74BFHJQmMG17VOZtOIEH7TasmOrB/0al5PyTUhb8Z8BCiiKf8rSGc6ci9KhVesWlNPM597FE7yRr8fipfPoVNuK7BeHmTrbjVj12rRqUhut/HBOn72CasNRLJsxiloW6jw57MZc79NoVG5F0+oW5EU+4sSNDzQbtYjZw9sjen2URXNW8EK+Cq1bNaGcNFlWglgkg45pTVq1rYu5vvoPORT+NRcsufpbQCFKD+WQ51J235fQdeIkhnasg4GKDFkhD/ByW8XZeGNGTpvOwOZV0Pkrkqh/Z0Bl/OZfAhR9JjCmmwAohI7E5EQLxxkrOROmyqBJLgxpU5WIgBUs3HiSLNOmtKlnRdq7+1y7H0KFLuOZNakjYZ9yKOyxTjjL2o0BxKrY0riBLfqqEhJDnhGYLEeLfg6M6FKPwvDnvInOw8S2OrYWuj/4CikbUOQnv+aIjwe7zoVjUq8F9Stpk/W1hFnSAAAgAElEQVT+D+4+DsOozTCmTh5BXdOvFyRxQTYpKcmkZuZLRb8EQJH0+hK7Ay5SYN2FyWMGU81MF5nEp38ZobgQLE8/l1nU5RV7PFez/Wo2zUZNZ7FLe1Jv7C0BFF3H0dcykrUeW3mcY0n3DrVQzYrm4Y0r3H4rR1fHOSwbb8stH3e2XY+h3rBpDKynx4dzO9l5KRrL+s2oWV4LmZxE3gYFkqnbkFFOE7GJPY+P73FkvgMUj6lhN56q2ZdY4nEF7Yad6VBZg+QPf3D54g3SNRszdclCWqq8ZMvWY2XkUIhIfn+XXRtWs+ePAhp3aE8VTfjw5Bbn77+nXBcH1i6agOw3gEJSmM7La/tZ7baNcLVGdO9QAw1RGu8e3uFRpCydXFYzr506N/euYZ7fPcxbDaSlhZigR7d5+i6dWkOW4jHKiis+c5m/5zlWLTrRvk4NFHKieHbzPpEaDZjpNp+elXS/Ojr+lwGF+2Iqpl5j5axZPFBoy+AOVcmNC+TWlfvklu+Hl8dE5J8ewd33JkZ1WlDFTJGi9BieX79EoGxj1m5djnnoYVznupPX1JEJY4bRo6bxp7fvYw7FtDleZFZpTpemzTBSyJVWHN54A/3XeDGtoRI3/FawaPcbqrQVkofVkc3PJuLNPYIKKzNtyVI6leYZfOxYUpRN2P1DuDjO571la3p3bIypkpis6LfcuXST7MrD2bx1DpXlMr4BFHIgLiY9+g82zh/J8uMJGPWYy/3t0zH9CUAhKcoj5sEBRk9aTL5tb3o1r4wk+Q3HT15Ct+MsfJePxZAs7u9diKP7Wap1Gk4LWy2S3tyWRgF7um5j5YgG0qNIv0UOrL6SSe/BQ7DVyCfwzmlOf1DFze8IQ2rIcNXbhamr/DHoMoUe9UxRlishhBSLVKlQvy0dmlqR/vIiFz6o0blPKwz/opDrZ5bRT0mZovwEbh/ZwxqfXbyIykSmWIXyjdphN8mJIa2roSEvQ17qG45s3Iz3kXPEpxciI9GjXq+BjJ8wmrbVjFGUkSEn4QUHfRewY+dTogtBWb0CrRycmDWyB+V1VL6i3E35cIt772Vo0KYJRqpf0P8W5/H6xibWrfPj9qts8opUKN+yMyOdpzCwvrAB/12B9+9N9p2Wh6SQsHsBbNnmz9l7r8nIz0NGIoNZufr0dXTErnsLjDVVEH04yWgHTywnuDOtRx0MpHU7kBt1l1XOjmwOtcXTy10KKD5FW4ojWDtmVEnZ6NQvy0alMS/Cnx7CZ6MPF+7FkJariGmtZvSf6IRdm9oYqysiyU/j4cWNbPM5zN136eQVaVO1Yw/sHUfTqZYNmkpy5Ka85dxBD3btus6b+Dxk1axoMGA4k0b1o56lAte3LWKm2z5CsmTRUiuliRXcUCKLdZ3hLFk9kRbVzL6pIPgZV/vxNV8BCrli7vkvwf3ASyp1nYj94PbYGKiWHLeI8gl7fIyVKzaTWq4n06eMplEFw78thPflqH8KUJzyYE3Ae+r2cWR0l4algEJa10boI3/WrtxDsmknJk8fQy2VaA5t9GLH8ZukaVnSvHVNiqKjUK7QAftxnYg4Wlrl4TCRtuWLeHD2KHv8T3L3TQTZ+SJ0LarRppcdw/p3pralKs+Ob+bQw2Tq9RlDvxaVvvry/Nr6YqLu7GHtnkuoSqs8umAkpF8I5eKB9zi+dzf7Lj8gMjkfRTUr6nXsyzj7vrSsYYHKTyTkxj85gufO4+RV7s+scf2k5Yw/qvIoTg8lYMtGBEDRd/os2uolcXTjCjbfSKPjlOXM7l+Btxf2sO3Qc2y6OTKxjR43D+/Aa8dhXsZno2xoipWVAXJJWRg3HoLrggFk3t7BijVbCVZsifM0F3pZpXPy4B78L9wlOCELZXVdKtRtw4Ahw+jZviZZTwLYsv0ENB7HkgklEYpHp3fj6/+IGsNnM6hcBvs3rsfvwm3SJKpoW1pjrqWCXJaIJqPn09Uihr3bjqHZZRYLRjT4ithKVJBF6LPr7N66laO3npElo422iRG6aoroW7dj3pKJyAcdYtPmi9gOX8qMXlWQkYjITgzjzun97DhwmgfB8cjIaWNi3Zje/frSb0hbbLUkRL68ia/7Og5efYNmjVo0bmhLfvBbZOpNxG2kNVe3rMT7UipVWpnw+vxt4vIUqFS/I6PtHejUogra36ylCW/ustttPq+MJuKx5nOEYp3XBepP9WBKh9Ijj8M++FzKYZL7CppqJHNljzfu3seIVdOlXsuWWMkl8SrJgoXr5lE+9yWHfTex/8QTovPykVdXx7JRO4YOsseubVXyYu7iuWwG22/K0M5+BX5zO/ERtoryUgg878eCVQEYd29E4u1r/BGSgaF1LQaOdMJuQGtMlSWkRr7g1C4/9py7wbu4LBSVVLGq3YZ+g0czuEdDDIXEii+bcByQHsPtYzvx2XOOJ6GxICNBVVmbGs27SsuWO9Qph3x+GkEn1+Lg+YGZh/zpY1WyjosKMnl3dTuTZ7jxvsZsHvlNx+QrQHEOl/GrqTBjN0v7fKzykC6kFGbHcydgNZ6bAngRJUZG3oC6vQfg4DSODrZ6UtmGrITXHPdbjO+uh0TkyaOqYUPrseOYNqoPVfRUpJUh8W8vss17BUdPRZEhJ/hSPbpNmYZLj8ao5L5msf0w1ga8Qs3ADE1FiZTGX/h0lZHVpr29G15zOxLia8/Ec8ZsOrSGOr+AXuirKo+CrBSC3wURlZKLDEoYWNlgU84M7U9MhGKyEqN58z6Y1OwiZOU0saxSAStjfVTkS7+yJUVkJAXz4U0UKXkSlNQNKVelIma6ash/wxEhLsonvwip3oTcN38T5ScTGfyW8NgcCiXKGJUrj7W1KVqKpRTf//ke9lM9lCUOJirMJj4qmvCoOLILCqRndToG5liXt0RPQwBNMkhyEwl8FY6yZSWsDTQ/a6KI8ol6/4LgdCUqVaqEkbYKnxjJJXmEvXpFhpIZttZGqH7D+ikuzCA24j3hUenkFMqja26BVTkL9D7pqQilgQlEBIcQnZhDEaqY2JTD0twIDUEPQ3hiSRHZaZGEvY8kIaMQORVdzCvYYG6og7JcMYnh73gXnkBuoejrpFcJqGpZULmaDXqav57m/CtAoSBLQthLQlMkGFtXxExf86sSUVF+GmFv35CKNtY25dDXVPnbcjv+GlCs4rGoFk5zxtGqih7ZieGEJeagaWiBmYHWV/z8wuIY9iaUNIk6lhWsMVCTIzUmgtCIaHJkVTExM0Q2L5tiBS3MzPXJS4gkKVceE3ML9DXlyc9IIToygujEdPKLJajrGGJuaY2JviZKcmLSYsOISStE28QKE70fR5Hy02IIi01BTssUK1P9TxTy4oI8UhOiCI2KJS27CHllXYwtLbE200XtJ1loCzLiiYhJQKRmTDlzI5TlhLP/R+xev4WnxZUYO/drHgpJUS4JUVEk58lgbGWNnlIxCZGhRKcXoW9li5W+ElnJsUTHZaFiYIGVoSo5yXGEhoaRkJGLrJoWunrqKObnI1Y2wLqCBTLZcYQGh5BaqI5VeVusdOVJT4ohPDJaSj4kp6SGnrElVuYm6KgrkJcWT1R0ImiZU8FSoHkvJiMxlqi4DDRMbbDQlCEpJoyQiGiyimVR1tFFV10JSU4uykblMVItJC4qAXmDcpQXkmY/OU4JQVZaUgqp6WlkZGVJ9X5EOVHcu3Sal9k1mb3UhQpy8URFJaFqWpFyhiUVWhJRMbkZSURFRhCVmIFYRgUtPTPKWZmgr6sqjRwW5+eQEB5CaFQiaOphYqKLODONIlVzrFQSOLPFnQMvDHByH4t2fCyZRfIYmFlT3soMjTLy0Apz0ogJDSZLyZLKtkYoSorJSokjPDIZTavKWOmpIKzbqfFRRKUUY1nJFl1FMZlJcYS8DyFNJIeBuQXacvkkZ8liU7kCGnKFpMVHEhIcTVp+EbJKyuiYWVLewgJdFXmKCrKICX9LSEwemqaVqFPZ+NMHgqBdlJUcQ2h4MhpmBmTHRUg/ZjX1TKhQ3gZ9rZIcO7GokKykWELDw0nIKEBOTgFtY2vKW5ujo/5ROuJbTCEiLzOFqLBIopJSKZZIUFJSx9jCGiuBsl1BTqqdlJMYzquIHMrVqoWRysd9TkxBdhLv3rwhVdGaJjWEo/nS/gW9q5xk3r0ORdW6BhWMSubzUxN0nrJiCX0fTExyIchrYlGpApamBiV8EVKpj0Iyk0MJfhtFcq4EJTUDrKtWwFxPo9Q2EiTFOSTGvOPDu2RyJHJoGphTrpINxmoKCHvFm5cviUrJK6N4QQEDq2rUrGRATvgfvEhQolaD6p85c35qZyz7ou/KRgURHpEQukTQDfpWeKqkE7FYJBWNEjLNZcss1RTCKmLEAiISxIf+Xb4AQUBF6AQZZGVl/1R05T94/r/86Z+qjUokUl4CiVR3Q0gAkv1GoKzEBkLm3LdkW4KojGC/sp5J6LPkef+khEH629K7ltF3iTMKtv+R3SSl1whXf23bj78t+fWXL0EJY+LfNQ9fH3koIhaJpIlVsjJl+6AgQPXRv341mdmfOUVZEYoNTku5EKVBx3Ej6d+2Hha6GsjKCKF/wSe+n0MhIVDwGuG9kI77ox9Jn7Xk31LbCxmXUv8SzP7Z90t8p+Qa4Xrhuo93Ef4mTPuf3fvrRU1S4iMf7/vVXAt/K+nr33r3hGf65H+QmRRJ0IOz7Nt5gQzTFkxeNImGBl8fnQh+9+WzfvdvwS5fjld6j9Ixltpa5gvbCf9d8nfBRqW2FcK9wn1KpXI+zYH0pfneHsL9Su4pzJVwScl7U2IWoc+S/wcl8/PV+D7Zs4ioZ7c4sGUPH9Rs6di+MboymQQ/ucmpG2+o3H0ycyZ3R1/+63t9NR2f3ucSX/h2bZDOu/RlKPG5kjHJkJ/wipM+azkYZMHCPUuooyx9zM++V5ajl9pNeKaP9/loh2/98GNfUv/7tB6WrGtCaL3Mv5fO4Ve2l/68xK8FW3+7X3zp1x/nqSw7lKx9oi++xL9fe8t85FL7lq7k361xn9br7/a6j3tAGXtcqT0EMbs/X8qFfbTUv36wj5a4mAxyZYogihGLBN8tsftn3yjdg79dx0um6tO1Jeu9oLn3az7Uf8uX/wWk+C1f/peY65dc8L9Rvrw47yUbJ7jiE/CY/No9mD9rKnbta6L6D+V0/BLD/92diIt5eWE7Gz3XcuqJPI0GOrBguSP19X9BfPXvHvsv6V9CVuwrLvhvZsvhu8RkFCMrJ0Fe24gabQcwbuhAWlQx+OU5ScLQc2IDOenjzsEgcxbsW0YDlX9G8+aXmO13J/8rLSAjEgknK79bWRYQEF9UVBT6+vpfszf+NtcvtYBgZwFQZGdnf2LKLPnK+u9qwpiSk5OlVNQaGhqIi1MJuvuQwA/RZGuY06B+PapZGyAcS//3jf5/ypZiksNe8uzpUyLT1bCoXIP6DSqjryxf+iX9PzWuf/C+ogLSEyN4/eI1IdEpFMrLo2EiHB/WwdZY5/Nx8S8ckhCpKM5NIzzoBaHpatRpXQ8DOZnffvkLbfy7q+8tIBMbG/t77fuBZwibnLCByMn9Rvd/5wtUXFxMUVERioqK/7W2FgBFfn6+dHzCOIXYYXFxkbQMWqDXlpeXR14IS/7DhFt/57z8ir7FomKE+RVLhCNSoTRcCAP/HzOSRIJIaofSozypHUrzmn6Fkcvqo/SeIolMyb3+j5n87zLr737/3AIyeXl5vwHFDzwkISEBHR0dFBQUyjwT/+1cv8YCwkadl5eHmppayWb9X9iE8/f09HRptEoYp7QJ59alY/1vjKr8t5jxcz5Jydn6/8n2ha8Iz//P+IuQV/FP3ev/5Kz+fugvLPA7h+Iv3OF3DsU/8778b8yh+Gcs8/suvy3w2wK/LfC/wwK/AcVvQPFf4am/AcV/xTT8HsRvC/y2wG8L/NsW+BpQCElnceHEpWYjgwr6ZuYY63xBzCoRk5EQTmSywFPxMc4rRlnHBEtT/U9cAeLCHBIio0nJK0ZJ3QBzc31U/mUyKgnZSbHEJaaRL1HG0NwcAy3lL84BJeSlx5OSLY++sR5K8r+m7OVbS34boSjMiCc6RYSe2RfcDtL4ZSEpMTGkSDSwMtFBUZRLTGwcIg0zTHVUPwmlCel6wrijU0UYGBuiWpxOeFwKhUWiMiZRgqyCMkZmlmirCVwdwm+TSIhPIbtYHm1DY4z01FD4RGRRolyXmZhAQmoGRTJqGJoaoaOh/FUplrgol5TYeJKz8pFT0cbYRB91FcUvbCsmIymZhBRhXKCoboiZsTaqKgLd+t/TvgUUhTmpxEWlIKejh4G+domuRGkTF+eTGB5HgYIa+sa6qCn9Aoq3n3isb8tGkeSTGptAcloWhUoaGBsZoC6TR3xiMtl5RV/3qKCApo4BBjraP/cuSIrJSEkiq1AWLV1dNJR/llb7Jx5E6ib5ZKZlIZFXRl1Hg49krZLCHJKTk0hKz5aWNgtNKPHT0DXEQF/gmynLTcXkZaWSkJhMVn5xqY9IUFDRQN/ACBVySEqMJzNPAU1dfQyFRMQv5lMg6cnJTCUvX+A60UP1W+E/sZiinBzScwuRVVVHV6OE7v7vbcIzpZGanoeytgF6Gj8SXpOQn5NBalom8uoGGGh/1kP6e8f4/1PvH8/BvplZsYj87DQSU3LRMDH9ZeKE4mKB3yKW1GJ1zMz0+FyYJaa4IIu46GTEWiZY6SpRkJVEVHI2miblMVT9gmFESLZNiCO5WI1yJtrkpkQTkZTzp7kqyhq6mJmbIhTbCD6fHh9LQmo2YgVNTCxM0VH78uWSIC7IJTEqhpS8IhTU9DG3MPxackIgycpJIzYyjmyRHBp6JlKdji+55wQ+i7jIGFKzs0FGBU09cyyN/z6l5i8ARR5BD47j5bGdp+HZgBLlm3Vj2OSJdLMR1A2BwnSOrhiE+/lUae1qSZNg1dEJ97kjsFaTQyYnkouHN7N1zx2iswtQ1S1P67FTmNSzEXrKP78hJb08iNfmY9x4HkG+SImKrXoyfLw97ctroyBbLK39DjqzhVNvdBkyoQ8WysrI/g37yreAIuqCO/OPpGI314WW5fSlynbSJopkz7LlHMtrjveMPphkP2XJyjUEqfdk8eyhVDPWLC0NKyLorBfzjqTgMGUiNdKOMW19AOEJgs2/b4oGNoydu5p+Da0h6hK7/A5x7vZb0vLAvE4r+o0dR/faVmgpCaUFBYQ+OMh2v9PcfR1NvliNah37MWL4QBqVK9kMJHmx3Du/n537LhMUnY6CpjkNBozCvm9bKgqU2jIFRD69xa5t+7ge+J7sIjFK+jXpNLg/Q3s2w1rn19NuC0/9LaDIibiP39ot/CGuxrAJw2hWzbRUXVRE2P2DbPa5iUbjfgwf2Ipy+n/fC/LljHwLKEQFwRx228D+Mw9IMGuC88QxNFR6hc/Og9x+nfANoFDEpEoDugwcRs9mtTH7QmCvzIkvTuLSbj/uxKjTacBAmlUx+IW7Rz7BT89x8uxTdGp0pUfXZnwUKs0OvcVeP1/8r74lT3jNBEChqEqj3g7Yj7KjVlnDKMri+eXd+Prt51FE6Y8AvcrNGTp6PNUKH7FvxybuhOvTrI8d4536UkXr85wVZ8Rw78xeTl4JxKTFUPr27YiN9ie1JjJj3nL92FEufIDG/YZg16riV4Rh3xpGUpRP8odIUrKKMaxZAV2VfyMnR5zNy6unOXYqkMp9xzK4TfkfgJgCQh5d5siRm2i1GIl9z+pfMWX+won7/68rgeQpOZmIV5GoVLHFwvhLUjCBGDeDD7dPst3/KS1dF9HTtkQI6z9teWlxXN+5jICMxsxfOALLT2qjBSSH3WTV4t0Ut5/B+kHlCbnuy8zNV6ncZyELxzSmpOBZTF5GOAGb17I/sT5+rp3448AC5h0ILNNPZOWVMG/UnQULXamhnsP7W75s2HqRP8JSkFXRo15PO0aNHER9QwWBTIOi7BhundjM5t13icoU9lEbWo+egGPvlkjxgEREbuxjDu7awf6Tz8lCHqOKDejqOBWHFuWluiSiohQeHT2E57YjhGbngKwKepU74uA8hG51yv9ytmPpWiEpzQwqiDjNWIe5vBHXo0PL8qhlxnLp8jVUW7qy02MkpgqyiDPfM7tPS66p9qB7IwtkikVSAiKj2p0Y1KMZeorFvDy2mnFL9qFfozONbbWJeXmTq2HgsnYn9q2sv/hS/4FLJP3BrCkTuBChS8sWjTAQxXDx8k20W09g3WJHbOWC2OV7mZdhr0hI0ca0si4mtQYwoUsV1D7Rlf2nLlfy++/ly52x807CZZsHPaoYf1YbLQ5m3Vh7NuV347wgX551izEOTpx9p83wpRuZP6QJBhrCwlbA0z2uDPGJZ/7q5XTVD+PghcckZRQgI0nnbkAAsZq1ad+iOtqKcihoGtK69yDq6aThu3I2++6nU7VOQ6zUcnh05zYFFbowf85UmtkaUxx6jTnzlvAsTZc6taqjnhvOjUdBVOoxmdnj+1LJSIX3l3cwb80usjSqUqeyKTkRz7kbmkNvpyU49myCasp9PJev4GqiOjWqVMZAqYiIR/d4kalCP9cVjOlQD6OPdG6/xsTSXr7T8shN5t5xH9Zsv4x6Bwfmju1NDWN18iLv4LHSnQc5FRk53oEuDSugrvjPULF/T2z1Ei+nBRx+mkmlvnZMHNQB9feHWbj1NFmaValna4qyrJDVL0t+WiyPHrxAZNYS51mOdG1k88MXWlIUy+G1Kzgbps1gRye61jX9JdYW5WUQeOc82323cjNMQu8Js5k4tAsmpft71N0DrPXeSVChKfVqlENZKDSUV6RC/Ta0at4UizIETUU5sZzZsRa/00/RqNSYioaqiItFqJtWpFmr9phLIrhxajcHA4LQqNuTGUsn0uAL+eSitDDO7FjNGp9D5NcexrRZroxoZFbyvMU5vLqxj3Vu7tzJqsk410U49671KaJSllGKkkO4vP8Ij5I16TV1NHX+HalmSQHRb5/z9Hk0xnVa0qjyjwBdPq+vHWLzllPodJvNopENfwOKn/RWSWE24Q8us3P7VapOdmVwgzLky89tZ8n62/Ta7MfoWl9qo/7kTcq4TCpf7jYe3+QO7NjhQoWPH6OC2uib0ziNXEX+IG/OTKrG6xPL6T5lK/KV+7PSaw2D6gpjEJOT8pYd853xiGnN3Z0TSH92gkO3w6WR5KzE91w6cxfdpr1pW8NQ2P/Rr1iXXj07oBF2kYnOrryXrUnbRlWRTX7D5ftB1B2xBLepvdEW5xJ0fiMTFvuhWqk9TSrrkhh0n5thxTgs3cLkLraI8+IJ2DCXhXufUbd1Dyrr5BP44CavZSrhucWPdtYQem0zU+dspKBaF1qWN0CUGcvTC1dIqNyZNd6etDH59V/gnwDF631TGbo5ntnuK2htq4VCUS5nl/Rm7tNy7Dt7hDZGchTEnaV/81nYLNjFnK6COlsJw5kQ2tTSUEM2NxKP0e05IBqIxzJ7qumrkBP/ELfJs3hUfT7XPAZ/EbKSEHVvD/73ZehrPxgbzc8h9/AAF/rMvkXXxesZ08IWDZkcHh9ZisvOBJw3+zKqrhxPDh9nx75tXIk2oUOXTnQc1p/eNU2/EB/7953ty19+CyhCDk1jqFcSM7atpfuXgEIUwvox9mws6Mr5deMol32TseNX8DI1hSKTtri5LaNDdWOU5Qt4tmcOQ7bEM2fVMvrXN6IgL49ikQQZUTw+zhN5bjKEueO7YSUshLLyqGtqkflgE46uBzHp54x9z+ZYqIl4d30r8zY+puWkZUzuVY9I/4nM3BdPR0dn+jWviqYkhUvbl7PpiRYuC13pUV2Rw4vGsS/SmlGOY2lV1RRxaiC+K1dxU7k7nnNHoB18mNkbb1B/4Cj6tKqDjpKE7KhbrJu7iYRGE1k0sSfVTb6hkv0Fpv4+h0I43gnl2IZFbLueSPeJyxjVTJez21fjez+fvuMnMKJzAwxUyqbV/QVD+q6LspgyPZ1WcFcANy5j6VTHhJDzG1h17CWVO45kSLu6aEoFeQTu/1xenfdjy/k31B44kfH9WqMjyadILIOComLJsZVEREFBIWIZeRRlkjm2vgRQDBrvRNc6JtIy1aLCAvILChBLZFFUUkZJSaE0xCqhuLCQIpEEOQVFFMo4AsyKDeXi4UMcvPqIpNxksmW06DTUiSlDu5R89ZDPi+O+rDv8ApuOg3HoXhO5UqZIRRU11NRUpRwb37aClEB2e23ldqwBAx1H0shSVcrcKIxDVU0DBYpIDb7Nno17eKtYE4d5k2lk+Jkpsyg9lJPbvNl19CJJenVo328M0+3boSfA74xQrh7cys5dZ4jVaUTfsZOY0rcu/4+9sw6rMlvf/4fu7k4D7EBn7LG7uxVEQVDs7sTC7sDuQEWxW8dOkC7pzs0GdvyuvbHHmTNnjnN+53uO67r4j/2+az1rvWvd64n7VlGQIBKVIRSWIhLJPhNV1NXVUFVWpDDxCQfXbeZ2tgUjF0yimbWBnPpeRmVdWipEWCZGSf7/6qi8lwyQiMspKxfJwZ9UVIZYooSSgmw+ylHW1EVHQ8abIaZcJhcglJXAKqKiooa6hkwluQJQbNl2Fn0ZoBj6DUAhLzEuQ1giRIQiyioqqMhE92TzqK4KYpH8/TJmXUl5GVJU0ZCFOZG54GVzXoaMDF9FTR11tYq9UsYKWV5WhkiqiJq6LCQqo6AWUS5bH0qqqKsqIiotk68xNVUlyoRCysQyeml11GXv/EaTSkSUlZYiVVJDRUGMQFiGgqIKGhqycHNFXwSlZSipqKGhLtP6kSIWlVFaJkZZTV1uf9mZICovpUyE3Mayfslc/MKSUsrEEpSUVVBX10BZWRGRIJsXwYEsX3eJRvPWM6ZVFTQ/q28VC7J5dXEnCwPu0n3jTgZV06VYUCa3vYaG2heVdzJ7lApL5POrqKSCuoYGqh8kIeGGsmUAACAASURBVL4aqxxQ+HuxM7M1u3ZPxOmjh0IGKM7jM3wZwv7rOeddjbAgf/pMPoqqjQGOTbxYP38UNloyQBHB7tl+rEppzr0DUzFRKCKvuFQub5AZeZP5U9bi4LWRKZ0ckbn0ldQ00VQu58mO0YwOFOC7bhXdqhohLkji/PY5rHtkzYa962hqnM3ucR3YntmWFSt8qW2sRl7yEzbPmcsts9Fc2eqOavxVJo3wIennmazx7YixShnJr84wbeImdLyOcGSUI5eWeTPtniYbN86hmoEGkrIC4h7swnfSZTruPMeCthbffZv8CCjyEl4TlqlKjRr2FCfHEv7uBUFzNhJu14d128ZRSVOR3EeraTPoFIM37KeDVRECsRQzW2csDLTkC7wk+RojOo/F2Hsv/iPc0JIpi0qKCVk8CO/LjgQFL6Oantp73QUJbw5PYNoxJeZtXUI90w9qo0Iuzu7JxF+rcejgPGqaViiLFsZcwH3AbKy8trJoYB3ynhxm5aqzZJQVo1q3N3Mm9sdRv6If37P9K4BixOh1aLZwI+vUDfS6T2TGuC44Gynz4jNA0afR5/Ll71g1YgiPrEey3O9zcbByHm71Y/KpciYtnylXFtVQVKA0/RGzRk8n182b2Z6Nub3Ig6PFzZg7wx03J2P5hvjuzm7GL7pI47EzGVi3nIAJ8yms786EkZ2oZKqFgqSEO9umMee8hAmLJtHESoHEVAHmdraY6r9XdRW/Yv6gaTyx7s/i8T2p/a1r6r9o9G8nZYrJjbrKypkreFVWlXqOCjx+lI5r/6F4DmqFs+F7wbB/8d1/9ue/Jw72UFwLn+mjaOGqz+szq1lxLpz6vbwY3q7hJ358aRnh5zezcO9NHDp74dP/J2LO7eN2vDrNu3SjUVVTyvNiOHfkFInKzrTvVJvXBwIIjtGtABS19El6+YCg06e4/iySPKEGzg1/oXv/njR2sUVXQcCrS4e5+DqXaq170aaew1ceEAmZ4c8JOX2LTG0zrHUTuHjjFWZNhuI3uGMFoBBnciVwPYG38mnQeSBtXLQQKaliamGJsb7O74YZCmJvsGXTPiKpS//+7TFXE6CmZ4SFmdnH3I+SpEcf1UY9Zn2p5SEb95mtWwh+HIHEwAh9czeGjBuLmylkhd3g+JFT3HubjkjbiHodPPDrU5ui1FAuBR/mzOUnZGRL0TF2oHHXXnRt6UJySCAr/bfzskiTmp0H4+nhSUcHMU9vnOV48FVeJxaia+rIz5170r3zL1TRVyL59R3OhVwjtlCKYkIUAtMmNKljSHJcEvatBtC9niHxYbc4cvwIt54kU1amgUXlenQb0o+2DZ1Ivv1HgEJEfkoUV48f5vjlu2RIdDG3tsRaTxUNy4YMHN4NpaTbnD5xmVzUyH6bgLZLX/zGt6Qs6jbnTp7izvN48pU1sXL5me49B9KhkQPirGiunz3FkyJ7PLx6Y6MOWTHPOX/8FBnWHRndwZJn544REiqlZkM1Hhy9QnSRCi61W9Jv6EDquZj8xpOS+y6UK0EHiFSrg63oCcfPvEHbsj793QdR2zid44F7uPg0DfNK9envMYb21XWIe3aVI2deUnegD51rmlBWkMaTKyc4+0qJweNH4qSYyq9Bezh07B4xJVJ09Kxo2XkQvXo3hYQbrBo3gcMvszGp24punjNZ0q/2x0+yAlDsZsGqK7j59EXh/mWuR+RjYVOD7oPdad/SBS0FWS5BFm+un+PgqXM8TyhEXceCBl360K9vJ1x0f8sh9M8BilWMXP6Apj1rE3rsDa3XbGR8W2fKPgcUh2Zg/YU42EUmeS7Heco+Fvao/H48UgS5ceydMIhA6WCCdnhjrqqApLyEmDu7GTP5OF0D9jOyegpTugxD2Hc7W8Y3Q0Om2VKSw40tkxl/UpV9FwIwfr6T4X4n6bvxEGOaWKGIlLL8BLZ692KPghfX9g2jLCqUWKEe9Ws6VOSISEUUvDtG+5+W89Omc6zp8aVU/J/dB//o/35T5SHJCmP9LA8CH2aRnmOPx4LVzBpWHXVFBeKOjKHx5GvUqd+YorS3CCQKWNfphLv7MNrXt0EQs4+ObbfSadsRJrey/RjeeHtgFL3n5RLwaD+tjDTe5xJIeX3Mj6kHpMzf5U99uUy2rKuZ7Brck5WKg7i7eQTG2hXJUJK8CKb37EJa23WsG9cacfSv3IhXo5puDPfTTejQuRkWWqrfXSTqXwEUw0etw2HMLOqmXWTTlVT6T55Dv8YORB/95KH4ElD8nnx5PufnjGVBeGU2Lx9DPSdT+TilwlQ2eg3ggcEgZk9qSJDfVB46DWHZ+G64WGjL7VYUGcwUn7UYD53B4Pp5LPHbi3WfiYzt0wgr3Yo4dcy5+YxfEU6P5fPo08gF3S9AmZCYG3uYuvwCTn0n4tu7CTZ63zdBUNaH363yEBfJ1Qb9V+/n10QB9buOwW9sf+o5mfyh2/t7fBxfP+PPqI2GnlvLvF3XUHNqQsvaTmgoykivFJAl894LuUCEwIaRkyfQt7UlV9Yt5ESYFn08venawIayzJdsXbGetyq1GTG6Awly+XIdOaBorPWSzRu2cvZ1HoZmFhgoi8nJzMWoRmtGug+hWVVDou4Gcye8AOfGbWhczZov76CyTbeAnOwilLS0KQw7RcC+S2g1/AxQFMZydKs/286GIlIxQqkkgxJ1PVzqtaFfv540reeA1jc8FOlPT7IqYCNXI5Uw0VWlsDAHbUtXWnXtR59OTXA01eJzQDHqW4BiyyYuRRZgYmOIIE+FpkMn0Lu+Fi+CD3Li4hOEWjoUZhfg3NYTrxbaXNm3lcCzTxCZ2GKmp0hJejK5yg60HTyEOtKnbPLfzOMCXX7qN4qRPX9BL/YMa3adJVFqgp2pLgpFueSLdWjYfSQ+A1qS/+Qka1f5cyNNhxr2rtRo2hRHjWSuXX5FjSEz6GOZzL51awmOLcfSzgoNaRE5admoOrbEc9JoLJND2LLtzDc9FIKMCC4d2sjaIw8Qmdhgra1CRnwMkSkF1Og4iiXzvFF5e5Als5YToeJCLQcXav/SiTbVijmyca0cENhVskRdWkxWUhZYNcJj9kTa6qRyZNt6LudWY9kqPyprQfKr62xfvYHEyh6sHOnI1S0LWXIgDKsaZuipm6JYnktqYg5GTQYwadpYGll8uUoyIu+zc/k4jiQ6UddemeLcMnLS0pDoW1PJ3pTinExKBDnEJmVg09KHNVO7UvTkMMs33KTVjHV4NrWmJDueKwfXsvWOMjMDpmMYcZYVi7aQZuCMuYEqgpx0soTKNHOfxfAaIgJnTWT3nWSsmnejj/t4Jrav+gWgeB2yg0kztlFsWxVrC100ykVkxsVTaFgbz+UrGVJFkei7e5m5OJA4NWsqmeqjWFpIbo6QSt18WTC6EwZfbVn/HKBYyaiACLwDppN9YClni+uyevU0KivEsnv2+AoPxW8ARTATPP2pNHkfi3p+UBsVU5j1Av9+Y7jbaDHXF7Wr2MfFZWS9vczEEdOxmXaICU3jGdl0ES4rj7Kim2PF+VcmIPzsQkbMfs2sW/uxv7eaQQvjWHFyJx2cKrI6RMJCLi3qwPRbv3Dq7iIqfbGByXIq0rmybjrjjwhZdnA3Pat8f/r73wAKmfvlVvBBniYrk3D3ODdEjVmxejYdKxtwc4EbHTen0nbgcBpY6EDxO+6cukiqmydH1kzCOnMvrVvtpve+Y/g1t0Tlvbsg6thoekxKY1XoAVwjb3H82B2ylBXIDLvGjVApTTu2lssnG9o1ZpBHPYIH9yFAx50H6wdh8B5QSAtimd2zLfHNA1g3qT16EiGFaKCvUkx2IegYyBQXP5EMfa8D5V8CFB4B2PmuZUyDUvYtms0NaVtWzB+K9IY/g7emMX3ZIv4coMjhzDQfFsVXZ8eyUdRxNKlI/CnNZMvY3tzS7M/sKQ045TOT59VHssy3M1XNK8ISxTEhTBuzAt3B0xlSP5dF4w/jNGgyXr1/wlKnIoYWH7KQcQte0WnFAvo1qYb+R0BRSuyDM6xaup0kmw5M8h3Cz5VNPymnfi8j/xGgAApiLjHXezr77hXQc/YyZnh0wemvxMX/xf7+GUDx9sJGpi7dxq+xArn8u+zmIAMUEmVF9B1r0bPHcAZ2aoqdmZCzAQs5GaZF768BhWptRnh+ABR69Bs9ANXnB9h4LpKq7frSp3kt9JTFJD65zImb4dg168uw7s3Qk+RTWCJGXVsPHc0/CgVJeHdnLyu+AhSlKU/ZtWYh224lY1f/F+rb6SFMjuTR81h0f+6L39iRNLOvAKqfmpSIS5tYtCqAFwo1adWoPqaKhcS+eMpbgQldR/vh3bkByumfPBTfBhQbuRSjgFuTyqS+CUOt3gB8OhtzJXAfNxJVqVlFixf3wrDr4IV3G1NC7z4kPFURYwdZ2C6M+yGHufhMSOOh05nSRZuz67dwJ9uKQTPH41oexbE9O3hQbM3Q4QOpY6WDOC+JuxfPci9Nmx7eE6mefZm1SwOINmuLz8Th1DFTJubeafYefUzNoTMZWEXErzefkaNpg6WpMqlh17kQHESEoBa+i+fQUPyQLdtOofd1yEMqIOJeEAGr9pBs25IJI7pirSEm7vFldgYeJdO5F2sWjEXp1T6Wz92KpIU3E9w7YKVaStiVA2za+4hqA30Y3KoqqpIion69xP6DN9Bp7s3sIbaEbFvPpa8BxZoNJFZ6Dyg2z2FFUAbtR0+izy/VUC/N4OH5oxy4/I72E5fj18Plo7KnbE4zwu+wbeFoThe0ZuLkUdQ1FPL66lE2bg3Bouc4xgxoikHJO0KO7yI4xoYlARPRizjF8vU3aPkbQKHEjNW+iG9uZersq7iM9MGzgys6ymWEx0SjZNOI9q7aPDu9jVVbb9Ngsj8j29TE4rOEXbEgh9chW5kyZzs67ebgN6oRFgrlJD67wuaNR1FvO5+AMXacXDaT7XEWzJrmRU1zLSTFWby+fooD9/MYtmAtPV2+PDz/IaCQ5VD0X8e5sdUJO7MSj7VRTD2yi+pJh5g59wB63ReyerAVB2aPY+WfBhQiCjKfsqTHWB61W8GNOS0rPiNJOdnh15g8zA/jiYeZ/Essw35aQZ3Nx1nW0fb9vwiIDl7KsEmPmHT3IM53VjJgSRobgrbT2r4iAUokLOL68g5MCG7E8cf+uH78SGVhqUxu7FnDvNVXqDVpA0uG/YzB36A59Fu1UXE5JcUFCEWK5EedYczAJdiO3c16v6YUhl3iXoIEG5ca2OlpoiAq4sUJf3yXvWbC6aP0MbpCpxbb6LHnGH4trD56KCKPjKbn1EzWhQViFLyOiZN3EKushKg4h5wiMDAxRkksxqbecDYfHMOTUb1ZqTaCBxsHfwQUkoIYZvdoT+IvAayd2A6jr0vL/sXD4vd+/tukzAkM2pDNlJ0r6FTls6RMcSxr3d3ZXNaZ86s8cCi6yXCPAGzHrmZi5yrk392Bz9Jj/DTan2aCM3jvSWP60oX0aeSE1oeaPdHveSjyCJoxlkUxrmxf5kkdp/eAQpjJ5rG9uaM9gNlTGnLaZzpPXUewbFyXT4AiOoSpXqvQH1IBKBaPP4TDgIl49fn5E6C4sBDfxa/p6r+Avk1c0ZPFYouz+fX8NtYdvw8mDRk8fCC/1LZH+zsnvX6w++96KMrjOOW/ln3n3pJenobQqgkTp/nR4+fKaP+b2dD/DKAIPRfAgt03UHNqQau6jiimPeeyzA1bZEU3b19G9miOvaEWyorZnJEBirfacg9FFzdruYdi28oNvFWuxXAZoDixgeAYA/q5tyfzwjZW772PqpU9tiYVh3pZfirRSWJ+6uPNVN++uH6Wl/DHn8O3AYW4JIf4yFBic2Vl0Q5YGWgiKUwiZN8WTj+W0HnkEJxUwjl24jqpOQK0rFxo32sQratqkJwQTZGaBfbWlugoiUl6fold24MQOLZn4vThOJa8+hjy+H1AoUL7oW3IvXeJcGE1ercz48G58+TYtKSNdQZHTz7DrpMXft2diLp7icOHg3mZViQv80tPDOddqSW9fOayYIAlIRu3cCvbFs/F4zGJDmHF4hVcii7HpYoDWsoKcnnozOR3FKi7MHLKPDoZvGHLxoOU1nNn/uQuGFPAw3OB7Dj0kBpD5zCmoSp3zhxj77lH5AIl2cnEJySibNOaKYtn04gn3wYUwnRundnOmqOvaTLan/Ft7VFVkJIX/4gD2zdyJbs6cxaORfnNYdavCcJ+8EKmD6xHWcorTu3eRFCEOX4Lp9HUQVOeY5Mf94gjmzYSkl+TqdPaERq4npDc6ixdOf69h+IGO9asJ+EDoNiyjL3PDJmyfTktLLVQEAuJe3yJrQFbKXDzYdnkThh8tljS395l95LJPNEfxerV7tgq5PHy6iH8/U9T3Xc1U3rVRJqXwNXDG9l6Vci4FdMwiQnCXw4o1uLZxBphToLcQ7HlthKz1k7HKPoc86av5GGBDk4W+ujpW1PVrTld+3WkgbkSYVcPsnRVMM0W72BMk28kZV7cwbyVl2m1dDfeLe1RkUooTA7lxOpZ7E9tyPJ5zTjq582et1J+rlsFNUUpSETystC4LB3c/bcxo9uHsEPFYCuSMr3YlS1LypyA42c5FGnhwfjKAcV6grxdKwBFQBRTjx+mo048F7YvYPElAbOXzCX9yDSWJzT7kx4KEYWZz1na24tfWy7nxrzWXwCKScMmYjb5EBObxzGi0TJqrT/Oss4VYQlZqX/UuSUMm/qUaXcP4HBnFYMWJ7P2zA7aOHwCFNeWdmDSpaaceLgUuZ9HKqEk+Q0Hd/qz7VY+zTsOx8u9K06Gf6Hy6U+cse8BRRnpERG8KzOiTg3Lj8p3kuJoJrg1JKbTTg4t70DWs1BKTBypamfwsdY199l++nX3p+Xe8/i4xjCslS8OMw+ytG8teYIOlHNj5SA8jptw+toqbAveERaaQLEixN3YxM5rMHTSKJx1VdE2sKVGXXtuz+zGtFf1OXVsFpV1NeRuIWHqLTy6j8PQYzOLhzREV/37Z6h+y15fA4rEE1PotSYB303r6F3T4qN+PcIwlrl7cNnEmz2zemCVe/U9oFjFxC51MJQksn+mHwfCzahfPZdj95WZt2IxvX/+PIfi9wBFOXc3jGNasCJz1szgF1dreXxcVPCauSPHkVZjNLO8mnJ97iiCaMOCGcOoY2cot1vqk/2Mn3ESN68ZDKpXxkq/JUiajWbC0PbYG8kS48p5uGcGM44W4bN4Ch3qOaGYE03Q1nUE3o7FpG4HhvftTANX67+V7+GbgEJczPML61m6/hLGjUbQwTWHY/uPU1KpH1N9B+PmaPTdQ1x/9M38GUDxJmg1y06FUbvbGEa0d0OrNIu3d4PYueckGSbNGeMzkhY1LFGWZnF61QJOvNKkj/dYuv1sS2n6S7YsW0+EWm1GeL/3UMgAxcjWpJ7bzsbDj5AaGKKrqoBICkpKMnlmcxp17c+wIe2oavq19+D3RvMtQCFFWJBFcnIuStpGWFoaVniipCKeHgtg27HXVO/eHwfVMAIDz8vr8rXtatFryAg61LBGVCrFwNISY70KjoiihIfsWb2NV1Rl1Ewfqove/ENAERKjSg/fIfDoFBeeZmFtb0phmoAq3QZRs+QW248+w6mTF8PqlnFs22bOP8vEom4jalSuhFrqC0IuvcW2mwezB9sQsmELt3JkgGIcRhHBrFqyhqtRQqws9EEsRiqTfVdUw9i6Hr0HD6W+zlt2bT+B9GdPFni3QkvyAVA8osbQCbTWfsPWVXuJULWkRr2fqGKqQ+qzm9x9KaLPojk04fG3AUVJCtdPbmFNUBztxq/Ht0lF2WNR6nOO7dnE+ThnZi4ai3LoETZuukTloYuY2t2FwuTnHNu5kZDEKsxcMpk65hWxJkHSS05vDeBYiiMTZ3YlaudaLmRUY+n6iVTVhqTn19m2YgNJ1TxY6e7ItS3+HAqzYs6+JdSXV2eJSX55i10rVxJf3RP/6T34vH5FBigCl83itakPAav6YFSex6sbR1m97iL1x69hfFtHSvMSuXFsM1suFzN2+TRMos6wfPV1Ws5ax+hfbCjJiudS4Fq23lNizuZF1NPK583TW1y4cIlrd8MQFJUiUdfFudkA5k7rD48OsVgOKLbj9U1AIUvKvEnXjYGMqG0mt0NJRiwX101lXYQLSxa25MQ4H47EKFHFVg9RuUSupyMr1dTWrUx3T19Gdqn2Rb6IICuRcyu9WJfUhJ27ZuD6oYpZLCDl1Ql8vdZj7nuEDT2NPgMUR+hhLSL97WWWjZ1PpE1LKqs8Jzi3FTcPTv8qh+JbIQ9ZDkU8O8b256jWKIJ3eMjBnFQkJOHJIcZ47aLtqoO4105hQnsPlEftYYtnQ/l5LAPN93dPwXt3Kbsub8L46TaGTjrPqD2HGS6vOpFSJkhlj093thQN5foxHwwkYrLCr7F27nIuF5jTdbA7wzs2wuZv9O6+BxQi7qyZxMLgQvwCVtKhhhGK0mLCL6xm2LCd1Jp/go1jK7N/+CDOq7dk4YKxVDdXR6EkmSubpjPhUD5z9h2gl3MWy/q15qTeSHavmEhtc02KEm8yd/RILlvO5tamIRhrqLyv05Xw+tA4phxSYP7OFbiZfcihgNjDXrRf+JIhqzbi17YWOorF3Aycwth1EXisPciYppZofLjV/wnU9K/8y9eAoujVTroN3oRFPz+mjeqJi4kOyhIB8VcCmTB1M6ZjN7BwYBMMUy98AShMNKVkv7zEzNmLuBeZSLzaz2zetIJeP/0ZQAFpV/wZMu8sLsNmMKl/K2x1pLy8sJpJyy5T12MFE3vXI26PBxPPFNNv4gyGt6qNnjSD05um4n9NGZ/Zs+lRU5mDszw5klMdv0njaVvTFknGEzbMnUJQWVvWzB6Fm3khwTtWcvRhIc6t+tG99c9UszVAXeXvdQf8FlBISHocxMolG4myaoHPGA9a2MOD3f4sO/aWmt298BnWFgdTzX8DydH7i4RE8oXaqEjwkoCxS/lVVBPfGbKkTANkgGL56XDq9fRiZMeG6ClDeXEGj45sZvXBBxi3HoHfyG64mou4uHY6Wy9n8suYaQzvVIvsBwdZsngfxVV7MHlie+KOyXIo9Onn2Z3iKzvZey2P+l370LqeNeoqUkqy4wiNykbPuQEtm9TETPvP5rZ820OR9fYeh3YdJUnDlX4j+1HHQZfi5Dec3r6Ws1HadBvlS3tXNVJTshCWi1FW18bUXJf462c4HRJOpa5D6dvRDQOFfCJuHmVT4GWkNXriN7YfloXP/jGgiFah18TxWCdfZv/BE7xM1sKxTksG+/VC6+Uxth17gXMHD7qaRbB6xwkKnbszcVhHLDWKeX5+Nxt2P8Ghpy9zB1lxccMGrmda4rloOrZJ19m8dhcRCnUYPLgjDsaKMjROSlw08bna1GrRCovsW2zfcRJ++gpQHH5Cjb4jqJR7gVUn4mjhMYvhTawR50ZwctsGzjxSZdiiOTT+PUAhLuDF1UOsXHsc1eajmOfVAzsNMTH3zxKwfguRJh1ZvsAbJRmg2BxC5aGLmdLNhdKcOC7t28COc+/oPGURw9pVRb28kMi7Z1m77gA5zv1Z5leX25uWsP+VNr7r19LJQsDjs7tYvvY8el1mEOBuz5XNc1l3s4yhS9fi3sQZhcI07p7cxZrAu9QZsZA5w92+yLWRAYo9y2bx5jeA4gL1xwdUAIrcRK7LAMUVAb7+M7GIOcOCebuwGb2eRUPrURRxh02LFnMhtyHrt0/AMi+CJwlSnJwtkRblUpQexc0j2zgTacKUXVuomXCchf4nabRwN+Na2H/xPctDHhe3MXXxfuw81+Hv3gZ9BMQ/CsZ/YQDJlb3YNKkKe6dO5mJZY6b49MLWQObMEZKfGs7TCDH1uvSipavxF5eP8sJ07h6ai++meEasWMaoNnXRVRQjzIzl6o7lLDgaj+eBINwrlX8BKHraKVIuyOLpya1M9N9Oeoky1Pfm9u7JWH2RlPktQAHlRVnc2TAC95OqLNyxjkG1LSnLj+NogB/LruqyInAXbcxS2TqmA7vK+7Jr/XQamKmSF3+PFdN8OavmwdXdXmhEB+PtPomC9kvYMa0/ZiplxD3azwSv+YgGHufcZDcK466zdt4iHik1pu+wIXR0c8ZUTl3w97X3gEJK+rOdjOqxgNTKLWlUyxTVsgLC7lwm2rA7W3cvpIWtBk8P+uHpdxmztm1wsdKEnETu3niOSa9ZbJk7GBttMY8PzMRz6RnMa7ehmqUWeXGPCYkQ47diF+PaV/6M8VDC64PjmHJYkQU7/an/GaAoS33EtNGDCMl2olldV7Sledy/cwNJA28CF/tQxVTju1dz/NmQh0QQy/oxQ9j0tIQq9evjZKyDiiifuIf3iVOrw+yApXSoaYtSzBmGj1qDjfcaJneti4nsdiAq4tfDM/Gevo/Xui3YtW0NvX52+CLksWLoUB5bj2D5pN44mX26cYqyw1k7ZwwHX0hwda2JuWY5r5/cJdOqPcvnTKJFNUsE4cHMmDmHF8VWVK/shHZ5GveehmHTbizzvPtR3VKD0OD1zAw4QoleVaramVKeHsbt6GK6jpmPX++fyf91P7PnruRFmTX16tXESl9WlSOLwSli6tCYHn1aUMlK/4u46/dYnl8DipL0l+xZvoTgWCN6+nrTs6krBmqKFCe9InDtYg6+UaLnmIkMayuz7b/HW/WnPBRnVrLsTCT1engzslMD9OVdkyJMj2T/+gUcfiako/s0hnWqR+aVNcxZc5hEFSfqVbNGmBHDy9fJVG7vzmSfdsQdXc/5KF36e42iSuFN1q47RlixLk6VLdFRk1KQGku61Jz2g0cxoHV1cl/d5nFMEfZ1G1G3ktkfcCHIAEUg/nsvofXTMCa8r/IozY/i7Na17D7+HEUHFyrZ6iB4F0VYvADXru74jemDq/HXjJHlxD8+w5aVW7j3ugBSYAAAIABJREFUTh3nulUwpIC40Ajy9aoz2HccA35xRZr6BzkUuTGc3rKBkGhlek2eRgPlcPat8WfrlQKae0xi4YRfSLu+ny1Hn1Op42j6OaawdtV6biRr4Fa/MuolWbx98ZgXcep0GjODRb41eLB9BWvPhuLUxZuhrV0puH+EXadeo25fBTvZZag0n9SUdNScWuHu64Fl3Dk2bzuNws+eLPSReSjyeXg2kO0Hn1Bz8BhqCa6zaPkpypzdcLPXID81mkcPniPU/5nx8+fSXDuUbVtPViRlDv+8bFRMXvwTDm9czfarCdjXr4edpgJJES95GJZC5c5jWDnPC4U3h9m48RJVhi1iSg9XpOUFvL1zgjVLN/BcaEcDNyc0xUW8e/uWOIExfWYuw6+xGrcPBzBtYwiaLs2pb6VMakIEMQmFVO8zl1Uj7Lm6ZTZz973Aon4DqtvYoFicQfTrWEpt2zBr5SRa2X5JLCIHFEtn8sZM5qHoK/dQvLx+hNUBF3GbsIbx7ZwqAMXRzWy+VIzvmoVULbiD/7QpXMmtTKufnZEWpRL6IpRy2y4EBPii/vIESzeeRsGqFrZGSogEWcS+ekaySTs2rpuFScxJpk1fSLJTHzxGe+HR3OnjliKr8nh9cQcTZ26hqGoNajlURkdaQlp4GKEZZnhuWoVHdWUeHA1g7ob7GNSsh6O5CgrlQrJTY8nVbsjkxbNpZvnlHiEVCXj3NIgZY6fxSMWFJg2qYaQsQZiVSOizULSbebFu1TjsySP0zAo8AiKZeuw4vezlNJcUpIayZ6EHs/dFYdB1Fr/unISldkXymVRcSmpYMBM9llNp6j4W9fqUZCoVlZL2Mghf3/FEazWleQ0bJHnvuP3kNc69F7Btal8MFAp5fnoFYxftR7taW2pba5H37hW3okoYMncbM3tUR1qQzLFVY5l3Iha3pm2w1iwjPvQe9wWV2bZzFx0ciwlaNpFJ606h07AvLVxN5KE22V4kLtemVus+DOjsQtadA+x7qcsQr57Y/Nn7yB9s+B9zKKSiLJ5fDGLN1j3cj0hFUWJEzZbt6O85gs5uDmgqKFBaEM2lzZvZEHyTmJR8lBTtqNWhL37jevGTkzHKCgqUZEcRfGQF+3bd4W2uFF2zGrTzcse7e0usdGV1wx96IyU/4TkvEqG6Wy0MP2fRlJQR8+QA29bv5PrDTPIkhtRs25EhXiPoJMte/5xq+nucZn/wjN+Ig0lFJL+8xqH9Jwi69Zz0/DxUlFRxdGlCjxHD6NqyvrwyRRQTgt+UHVgNm8vottUxkvGtyvIo016wcd4kNsY4sHzxHLrWs/3kbREnsWX8eF5Y9GOmZyfsTD7je5C9NyyYAzu2c/FaNCnF2jj+1Jw+nsPp0dAFQw0VJGWFvL67l33bj3HreSrFmFOnc1eGDu9L06rWaKkoIcxL4FbwNg7uCeFZXDEqhpVoOmAg7n3a42quyO19/sxZd5J3BRI01JRkzGeytEJEZUo41B3EnCUeNHKx+KqC4F+fhC8AhZKYX48vZWNQJNXaj2ZwtyZYG7ynW5aWk/T6IutXbybdvC2jPYfQwNHkD5kT//Xe/XkPRXjIVjaGxFCj4zAGtKyD7od9TCoi6XUQm/0PkG7cnJG+g6mlnUXw7h0EHrtEjr4dTVvXR5SShLJtEwYN/oWk87u4GqtNt6HDaWoPr25e4PDxIK6/iKSgRIxlpbq06tqfHh2b4WKhxstzezj1KJs6XQbSpZEzv88fKiXl4TE2H7+JRt3ejOrVClM5TiglO/I5F48f4UDIHaJTS9DQrcxPnbozbEgH3JzNkBGyft3KBZmE3Qpm/8GTXHkRTbFQG2vXZvQa2ptebepgqaeO4LOy0a9zKET5CYTs282NeCU6jvahiWEO53evYO/9PH7xmId3JzuibhxnX9Ab7FoNY3gzIx4FH2JH4BEeJ+ahauFAFWdL1LIKMKzZFZ+JPRA8PsTq9bsIlzbAa5wv3RyLuXb6BIcv3iI0MRstPWNcf2pPj159ad2oEoUvL7D34EWoO5gpw5ugKSnk2ZVjHDz1HNc+PvRwKOLMnq3sOn+DtHJ1jCpVwdlIB+V8IbX6TKC1dRon9gej08qbCX3qfAHmZFIEKWG/cuLAHg5fuUe21AhTe2sMlGUstI2YscAHjZggAvfcxLHPFLzaV0YBMSU5STy9dpZ9R4O49fodKBljX6UpPXp1omPnhtjqSEh7+4hDmzdz+PILtGvUocnPrpRERyCpPpRZfSy5snUZW64XU7eTE6HnrvOuUIE6zboyeNgwedWOzlfzmRn1iKMb/IkwHs78uV0wLC8g9H4Q23Zep5bHfDya21GWn8zdc4HsuylgxNzpNNDJ48HJvazfdJR4JV0atm+DrVIWoelmTJg/AUdhJOeP7OKorGw0vwgFYyOqNGnHgB6D6NLAkZLUp+xcN5s914poNGwxmye25gNLibgkl7fXD7NywyXMOriReusyv4ZmYFftZ/oOGU23jm6YqUgoTI3g6onD7Dt3jZfxWahraFH5p4707DWATr/UxOhrHCyVUFqYwdPLJwk8dIE7YbGIxCL09cyp26Irg9wH0sjFCkVhHpEhW5i8IxavbVvpZF2xj0tkhFz3jzFz4VreOHtxbe0YzN7TckslpWREXmPBlE3Ye69jagfnzz4ZKeWCHJ5e28z2TSd5HCFArGVL4769GT6iH41tZO4VCcVZMVw6sZrAXTcJzwZd8xq0GzWMUT3bYK+vhowvJDPuLkd3r+b48bekiLWwrdaIrj6ejPqlFspFYawY78OGkHC09AxQUxS/Z7eWUFZqRMcxi1gxpQXx+ybgd9GUgP3zqPEdCIe/SMqUlBcSFRZKYkYhoIm5oyNODhZoflx0UoRZ7wiLjiersBRFJX0snStRyUb/sxI+CcW5cUSHJpAhkKKha46TqxNmOp/rcFTYV0ZEIqPwVlT6LSW3VFxAUtRbEpIKKEETS0cn7O1M0VT6ezQ7/qyHogKBlpGVnEhsYiqFQiGKCioYmtli72CFrqZaBemMIIu34e9Qs3LG1lj7E0OopJy0mFeE56lSpZIzpnqfQj0ybYjEt2EUqFniZGOChupXYQZJMekJUcQnZFNYroqRtS0ODpboqqt8dOeJSrNJio7hXVoB5Qo6WDo5YGNphKbKBxtLKClIJiEygdTcUpQ0jbCr7ICFoS6qiuVkJEYTlZCBUEby85nMtFSigKa+NVVc7DCUzeX3OqXfP+cLQKGiREb8GxLywFzGc2KojTwd532TlBeQEBFOjkQXWwd7jP6G/nxreN/2UCzjsbg2PjM8aOZiRHFWIgmZAnRMrLAw0v0C6EjK8kiIiCNPpImVkx3G2soUpL4jPi6RIiUtrGzNkAqKKFfSwcLSCGGGTA9HCVNLa4x0VCgvziMlKYHE1ByEIik6RubY2tpjaqCFsoKYvLREUnLL0DO3xsJQ6w/nSJiXSmJaDkq65tiYG/GRbFRUSl5mCrEyLZ6CclQ0jbGys8XGQg/1z0UCvjCQVN635HcJ8meWilTRN7XG3t4CY9klQpYDlfyIfQFbeSKqgvvML3kopKISMpOTyClRwMTGDkNVEZnJsaQUlGNkXQVrQ1WKslNJyShC3cgKWxNNBHkZJMTFkporQFFbH2MjXVSFJYhUDbF1sEJRkE5cbBw5pZrYOlTCzliVwuxU4hKSyMgToKKuibGlPXZWFuioK1CSl0FyShboWeJgZYASIgqy0khJy0fbwgErXUVy0xOJikukoFwJTSNjjLTVkRYVompij4lGOekpmSgZ2eJgrvuZ215McU4GiTHvyBOVISkroUSqSnlxEg9CzhFFQ6bPH4eTYjpJSTloWjhga/z+IiEjOivKJSkxnoS0PKQKmugb2+Bob47B+5JvcWkJ2e/iiHmXhoKeMVaWRpTn5VCmboGVWirnt67i8GtzfANGo5/0jkKRImY2jjjZWX5zPsuK80lNiKFY1ZpKzqaoSEUU5aaTmJSDjrUzNoYayLR0cjOSSc4RY+3kJCe/E+RkEBcZTbZICTM7W/SUhGTmKWBX2REdJZktk4mT0aGXlKGgoYGRtT3OVlbIonSismJS30USm1SEjkUValY2++gBlUrK5XMfn5iLjrUpxSkyrakS9EytqFTJCf33uXSyA7YkN52YuHjScgVy4jJDK0ccba3RVf8dciIZqBAUkBwXT2J6DuVSCerqOljYOmJrXaFNJXuuIDOR8HcCbKtXw+TDs2T02IJcoiPCyVS1oaGLLR/z1aUSygTZRIUnoGHriqPJ1+WZEspLMokPjyQpsxSpqj52VZywkWlAvf+uZCRqgrxEYsLiyCiWoq5jhqOrE+Z6FTmFFeenkNzUKKIi0igQy745G5yr2sk9uTISq8jQUN5ll6CoIP1sL5cikahiZu9CtUrGCN694XW6KjXqVuUbdB3/9C7/Q230H5jsh3z5P72m/tIP/i+qjYoEMurteQSFiak7cDBDu/5CdTuTb7JJ/iWj/Df8SCohM/4lD64c5/CRxyi4tGfCfG/cTD4xZf43DPP3xyAm+cUdDm3eztNSY9zcqssF5N5FPOfXsCzcevsxzb01H6VLvqMxBKmvCdqyiiNhNszZv5D6Gt/7GvAdO/vjUf8VFvgBKH4Aiv+Ihfx/EVCIS96wxWcGG0/cI792F+ZOn8jQ1rXQ+g6xyP+ISfkenZCU8/rSNtau9ufMI22aDvBm3lIP6sgrjP4XmpTijGhuB+1h5/7LhCbKvAcq6NhVonn7QQzv0YE69vp/S2KxIO0N57av4ViYDbP2zKPuD0Dxv7Dg/r+OUUEoFH7m2P7/2pf/uJcrKCiQmpqKoaEhqqp/b3bsf9zg/40dktm5pKRE/qetrS239XvNun9jL/7xq2R9ys3NlesTaGpqIgvLxT5/RUR8GsXaZtSoVg1nK8MvwjP/+Kn/5f8hlZCbHEFYaCgpBZpYOFameg0HufDd/0yTllOUm0r02ygSUnIoU1ZG29SKylVcsDfS+UJu+nvaRCwsICU2kqQCDaq6uWLwuyGr7/nWH8/6X7aAQnp6+g9A8TsrQHbQFRQUyA8PJaX/oQ3w3/xFyOxcXl5OWVlZhZiQktJ/JKCQmUXmSVFRUfkIemQgowL8KMiFij4lHf+bjfif/Lr3NpJbSW6j7yy485889vdjlnVRKpEgeZ+YJLOBomJFCOLvBM8fnv2/ZvP/8CXxX9s9BYFA8ANQ/AGgSE9Px8DAQH6I/Gh/jwVkm51QKJR7KLS0tP6jPRR5eXmoqanJ+ynfrGUH5AezyCtifrTfWuBzoPV5gtj/mK3+7Wvlg93/h23+P7bE/n8P90cOxT+YgR9Jmf+eJfp/MYfi32OZH2/5YYEfFvhhgf8bFvgBKH4Aiv+IlfoDUPxHTMOPTvywwA8L/LDAX7bAl4BCKiLy5UMi3mUDujhUr4GrvdF7VsoCwq7/SmxxmZwn/VOTIBHr49q4Hk5GWl/EkGUEKBFhmVjWqYmh+j/JHyEtJy3yDW+jkimS6uBUozqVbWUJbx9eLiU/KYy4LDWcXB3QVv0tl8VftspnP/zaQyFICeVZfBmONVwx01b7lFAlFRD78iUJEjMauNqgIc7h5cs3lBlXp6aDCRoqH0q2JOQnhfM8oZRKLlXQL3vHozfxFAvLf9tdqRQlDV2q1KqHjZE2KopishMiiYiIJ7dUDQvnKlR1NENT7RMLnEQkIDn8LdGJaZQo6uNcrSr2svrmz4gcyoqziX0dRkJmIcq6llSt5oyZXLDqG7FtcQHhYWGUaNhRycYM7W8xG30HQ38NKAS57wh7FouihR2VnKzR+WyMYmEuEY8jKNY0wqmqLQZa70mvvkM//ugRX/NQSCWFJLwOIyYxA4GOKa5VKmOimMfbyBgy8oRf5lOoq2Ni5UBlWxsMtP5Egq9ESEpsNBkCFSzt7DHV+5qZ518brKgkj7R36YjVDTCzNkX9/fKUCLKJiY4kJikbkaTiHQqKSpjaVaGSsyP6v9MNGQNgdnI80VHxZAtl4mJ2VHZ2wlBblfy0GCIiI0gvUMfM1okqLrbofZaUKSkvJjslgex8CfoWDpgYa32ZqCgupzgjg+ScElRMzLEz1f7HPChSWedlISnZwP5CzoZURF76OxKT89CxroTDZ6y1v7W8RC5ElZCYjoqpE5Ws9f9x//616fsv+7VUTuYknyf5fH1qMs6fwsx3RMbmYFa9Jja63+c7EJeVkBrzmnelxtSq5ch7Tio5C2ZpUTpvXsYgtqyGm50ORWlRPIvOwKxaY6oafwh9yxgni3kXHkpsqRGNqluRHfeSJ1GZKH1rHwV0zOyoVbsG+ipSRKXFJIa+IiopB4m6KS51XLF/L/onH72ceCuLyOevSMgrRdPQnpp1K2H82d4hlUooSo/jzfNwskQqmNhUoWZ1WzSVv7XepYgFKdx7EoFFteZUMvp7cgI/AxR53Du3i/WbjhOeVgJSNSxrNWHA+KkMrmuOosJblnT05mRKLu/3mfezLkUqccJnxxpGutl9Zsw0Tm2cy4lnpvgtm0t9U9V/ii479tYGVm0J5mlEGkKpKtZ1WzDQezy9a1uiqlRCuUSFyAubCXpjymCfbpgoaaCh8f2T4n4jDnZhCTOO5jJkzjRaOJp83IgRJ7Jn/nyOC5qxZVovLIsfM3fBMp4ptGLuvNG42RlQoRZbRui5tUw7ko3XhLHUzDvFuJUniUuXkYl91aRS1MycGT13Fb0aOCAIPcKWHSe5+TSWAqEiJlXq0cXdm0FNXTGS0U+LS3hxaQvb9l3ieVQGpVIN7Bp3YOTI4bSsZoW2qiKivFhCTuxg3/G7xKQVoaxtgmunQfgO7kpNa4OvKhTKSXp8jlUBu6HxOMb1b4Gj0Z84DP/Cdvc1oBCmPCVw9QZuZFozwNedNvUc0JLvNUJeh+xi694nWLYayuBejbEz+Hv69PUwvgYU4tJIDi8JYP/Z+6TZNGGSjwc/qb5i485D3HqT/iWgUFbG0L4arXsPp3/bRjga/oONsTyTkN07uJOkQ4cB/WjiKhMA+l4tn5e3T3Di/BusfupFr05NMHnfnYLI6wTu3MbhaxGUiN8DClVNGvUcg+fIodT6RjdkRGORDy9x9OAxrj+PI18oRt+uBp36DWdAp5/Je3SQbZs2czvOmKa9huA9rg+u+p9o+UT5ydw5s4cj5x5i0ngQAwf3xNXkw5yKyYl/QfCBA4TEqvHLoJEMb1n5D5lRpaVFJL2MIDlPgn2jmphr/4VDSFLEq2tBHA96RdWengxs6fQHsKSU6F8vcfTwTfRaDGd0j5p/QHv+vebwv+Q5EhFFKUmEPoxC160eVW0Nv9TyEOYTefsU2w48ocWshXSvYvRdBl6Sk8K1XXM5ld+I+QtGYvtRbVRIZuxNFs3ZjbjNNDYMdCb66lb81l3CvsN0Fvq1RSYFAxIE+XGc2rCCA2n12TenI08PzmLa3ucofiPpWEFZFbufurFg0SxcNQp4EuTP2sC7RKXko6CmR9WW3XH39KClo44cTAhzYggK9GfnyVdkFpejrmdJvT4eTBnWDXtdRTnhVm70DXZs2UrQzRgEUmUMbVxo5j6Bmd3qvj9rPphKikSUy4P9a5i79y59V11hdP2/JyfwI6AofHOAQd7zyDfrTtfWldEuTObsif3ku/ixd5MvjprZ3N5/jtDCEjnrluzWolSeS0igP4+Ve7Hr8GraOFYg89zENxzbvYkdh46QY9mFPYd20MTys9v8+3GKRULKyhVQU69gl/zY3t3G09uX+2XV6N2mKWbiRM6ePkJxtZGsXTKZmhph7N4czNOYV6RkG2BTyRirhgMZ38kF7e+sQvob+fLD4xi0MZNJ29fQxcWCj6XdomhWuXuwuaQTIQGjcCi6xUjPcZwNVaPnzNUscm+DlZ46CpTydN80BmxOZ7b/IjpZZ3LpXii5RWUoiHO4sn8fCfo/0a1dPUw0VFDSMsCtZXuqqSSwcv40Tkap0bxpcyppF3P3yikSdJswY9YMWle3ouztGcbN9idWqSqtfqqLniCK4Ct3MWjiwUzfAdSwVufNmfXMXn8GJftGNK1hT3HcPYIfx9Ns+EL8+rbA+rPDWZD+nN2L57Du0HVcvPewwqc7Vc3+wub8J7aArwGFpCSHF5cCWbzxNGVuA1jg1Z96toZkh19kuf9aotUaMtLdnZa1bNGqQGp/e/sWU+a6sfM4Eyam3sAhjOjaGKVXB1i46wpiywY0rm6HhqIIKYoIc5K4e/kmWTq1GTN9HN2bVPl0K/pGz6XlKRxbuYTgOH36e42lY13L7zI+QU4qD66cJnDvHh5nqNPbexZjB7bHQn6+S0m4fYBVm46QpFGZpm6VUJfd8pVUsa3mRv26tTH/jA3+Q4cywq6yfcNagiOk1G3UjCpaRbx5cIdoRUf6evvR0VHK82vHOHT0IYou7Zg43+cLYqvy3DjO7VzByq1HKK7el/GTZuDezL7i8WWFPL8WyOoVa3goqIvntDn49aj9GTPvb81SnhVJSOARfs3Up9fkUdT9KyRa0jIy4iN5G5mBUZU6VLf/XOT763cKCb12lM1bzmLQeSrzhjf8ASj+5GqVlhUSd/8C27depeaEeQxs+Fv58pfBO1m49jbdNu9hxLcQ7Z981+f/ViFfPoodWW3ZtWsyzh+cvJISUt+ew3vYMkr7ree8T3VCTy+is88WpHadmLNhFaOayNammKLsCHbP8mN1SnPuB/oijLjKxWepKChIyE95zalDlzFtM4wu9S2QihTQt61KyxYNUXpzgmETFpFr1ZpeTWugmPGCkyE3seo0m4DpgzFXLOT5iaV4rjiLXZO+tHE1Iu31VU49SqPnjO3M7lMdChI4tHwSSy6k0q7HAGoYCHl+6yTX00xYsvUYfWp8YueUgY93jw8zfcx0gqLKmHUxhZlN/1ZAISX8xBx8D2Qxfv4smlYxRrU0h6MT2jHrRVUOXjlKc2MFygVCyj/wMSsokH57CyNmHafBhABm9mkop/xMfXqVNct28kSiirn4LffzXThwaAeNLL4GFFISbm0n8I4i/X2GUUnvkwcj+ogv3ec/Z8CqAEY2dkWPAh6dWojv2kg81+/Co4Ear4JOsW3nNi6nmNKqU1d6DO9NBxdz1D7naP4LC+3rn3wNKGKOTmDg+kwmb19FZxfzT4BCHEPASA82lnbk4poKQOE+eimRZQIKVOswZ+ESuja0Rku1jGf7ZjBgaxozli2iz082KIpFFeVkoiTWjRnFU8uhLBjfDQcjTRQUFFFRVyPj+ho85pylyvApjO7SFFvNciJubWPaimvU81yEX8+GxOwdzfRThfTw86Nv05rolmdyefdiVt1QwHfOTLrVVOHg7NGczq6Gh7cHrWpYU57zkp2L5hMsasmq2e40rGQqB4VSYToX923g3PXXPHrzCqf+K1k4qjNVzb4D4fs35uVbORRlhclc2LGINeej+GXIXEb9rMe5Pas5Fq1B/1Fj6NuiJgbfGUD+0ZL5PXGwB6UueE4bResaJoSfW8OyU6HU7OzJ0Hb10VOSIFVQQCQo4FXwdtadeUX1Xt549WmORmEGBaWK6BkaoqOhIldIzMnMplRBAwMdIec2LJUDin6jx9KxjoVcdCgvN4vMrHzKxCroG5lgYqSLmiycJpXdmLLILRajqWeInrZM1O3Llp8YQfD/Y++sw6pou7d90i3dpYCUqNjdjd3dLSoY2NiBimICdovd3d0FSkt3d7P3/o69sfXJ1+c53t/3OsfBX+w9e2bNPfecs+61ruvwUc48DaZQlElmsTwt+05i6uBOGEguayGvTmxn48lg7LoNZ2K3mp8kkGXk5JGXk/s+yyjM4aGfN76Hn2PUfhij+zXHUKGMiEcXOXIjCO26XRnVqwkyyU/Y67WDd9LVGDd/CvX1PgtblWVHcnb7Fg6cvUmGVjWaOg1h2lgn9GWhOCOcq0d3cvDINVI1atNtmDNTe9dGjjIK8tJJScukoBDkFSuho6eLViU50sPus3f9Fu5nGjB4jivtxHLxyjKUFuWRlppGZm4JCkrq6OjroqkmXi4TWz/nkpVTQLmUDBTlUiRQppKqDMXFJShp6qOrroh4OTE7K4XUjALKy2VRVtNC30AbFYUyAm8dxWfbuQpzsGFfmoNVXAORqJyC3EySk1MpFsqjpKqCioyIchTR1tOCklyys/NBVpaS3DyEspoYmeogJyomLzOVjPRciqVkUNXQRk9PByVZaQRlxeRkZpAvUMDAQCwVDWXF+WSlZ1KmoIG+pjwFmRnkFsugqalEdmoyOSWgpaWLroHWDw3+yksKyc5Mo0xOC1WZIpJSspBW0MTQSA9FmVKy01NIycxDQUULQ0MDlOUEFOVnk55ZgIqOIVoq4nFcRn52OhkFUugZ6aEsLaI0L4vUpBSyy0QoKKqgZ2CAupoiJTmJPDi6lXU77lF3+irGdKqLmcbnsSE2Bwu4LLYvf0D3jb50MyojMaMAVVVNDEz0UZT9mFoQUV5WSFpSEum5xcjKqqJnZIj2byyRSIBi9UR2prVl1+7pWH7KUIiB4gKTR6yieMAmzk+qRtDZ1fSffRJVSx20q/bHa6UrNtpCCsRAscAVz8QWPDw0B0OFUopKBUgJS0kOucbcKZ5YuexgQU9rRAIR0jKySAsKeLB5FJNOyDLPdw3dbQwQZUdxftdCVl9XYc0+H1rrZeA7wYnDZb3xWuNMLT1lsmKe4LNoPucVBnN990Tk3l/BZdQMCjstY90kJ/QVS4kKOMW8SR4IhhzgvFvjDwNPSH7iSzYvX4V/fCGPAkOZuC+Euc3+mRfDT26jWdFvCclUwdFBn6hXj3gRHsj9XZcprDWA5StHUFnp6xqI8rRnLBo3lQeqQ9nuNRprbUUJmcU8vMjhkyFY92yN0jMPJp5X4uDh7TQ2VPxGwEXsNjqFmRK30S/tyws559aT2W/rcOLQAuzEZHcfAAAgAElEQVS0lSUTY3HcLUb3mYb2GB9WDq1PwatjrPO5S6EogxLLbsyd2Y/K/4Cnw38CFKPGb6JSh5bkXb5KWZMxzJ/eBzsdefz3z/kMFI2/tC+PxXPkMJ6ZjMLDtRcWn9ZtS3i42YVZF6WZv2YubaqboiAF5RlvcB83jeQaE3Cf2IRbi8ZxWtCWxfNGULuyFjKISHqyj6nuZ6g3cR6D6xSzznUFZU0m4DqiIxY6SpKMydNdc5lzrJDJK9xwqmOJklQJIWe2sf58KA0bV+fJ5QMU1J7GglFdsKt48vz07cdFmWIDuYdsXbaKeym62OgJCIsSUn/QCEb1aSqZeP6d3ETF6f4WUDwtr8HkueNoaa/B27PrWHM2hLq9JzKiYwPUP05UJXm8PLWFVUeeYd/HmUn96hF+eh93oxRo1b0Hje31Kct+z7mDp4iRtcKpWy3eHvLiYkSlCqCopkjQw5ucOnOBp6Fx5JfKYeTQiM79+tG+rg06csX4XznI5YBMqrXvR7s6Ft+Yg4nIiHjH3StPyFDWQV8+nLM3X6HbeBiuH9xGKU/l6u4N7Lufg0OLrtQzElIiq0QVa3uqmIp9dL6PtigrkP1bN3M91oA+g3thLpNAbEYJKmoaqKhpoq1nhLmJDoKk5xL78tcCG8bM/9rLoyw7gjO+Plx6FQ6aOqhq1WTQVGcaGUqT/PY6x4+e4UVkNmWK6tTqOAbX3tVIj3jOmTNHuHI/mNx8UFI3oE777vToUIes24dYs3obAQXK1Ow8lHFjR9PaKI/7F05x7tZDItKKUdIwpGab7vTu6URdY0USAu5z5twVQjNLkUqIQ2jWkmaO6sSGxWHRYTDdHVUIen6ZAyfO8io4A4FADh1ze9r1G0i31jXJePQ7QCEqJuW9P2cPHuHS4zfkiJTR0tFGR0MJTauWjBjRHdm4Oxw/dIHUcjmyo9LQduzHlEmNyXh5hdOnL/IqIpUiaQV0zB3p2HUgvTrVRDbzPTfPnORlXmXGTu6LqRKkvX/Feb9TpJo6MaGrMa/OHOGifxGW1UU8P/+EuCI5Kls3oNeQwbRsZMW3LhOZsYFcO7GPICkb9Euec+F6JCqG9nTp35+aWumcObSP+6G5aJlVp8fI8fRqaED8i+scPvmGOsOm0LWmHiU5yTy/epxz/tIMnT6ayoJIbh725ejldySXgrKqDnWb9aD/kE6opj/Gc7IrR95moFurNT3GzGPFoFqf5pcKoNjN4tWXqTa8A4LnD3geW4SWrhXteg2ld68m6MgJKMyK5cGpE5y4dovw1BLklbWwb9mFvoP609j4e1XWvwYUnoxe85x2Qxrx7sgjas5dz7ye1Sj/EigOz8XkK/vyS0wf50HVmftZ2svmw/kIKcyKZKfzYPyUx3Bx21i0ZJB4o8Q8PsgEl720X3uQMTUTmN5pLFKjdrN1YkPEj/7y4iwe7prNpP3l7LqyGd2XvgyfcYmRO/wYXV+8DimitCCR3ZO741MwipvHJqEjNnUsTubCqjnsjjdjRhc9XN3X03trMAta/DPz+HddHoK0QDYvGInv/QzSM/UYvHATqyfURfGrNYlCHnhOYcL+VKb5bmN4Q8MPBX0iirLSyMgBPTNtgrcNovtRBQ78FlAcnorbYSkW71pDPb2PJlmp7BzUC0+5oTzYOkLi3CmZzHPCmNurC0ntNrBhajuk4vx5mqBIVbUYXqVp0bxVXckSwc9Wq/9PgGLE2A1UcV5C09zbbD75hjbOCxnZxp6o419kKL4CihjWjhzOM7F9uWvvL+zLczi/wJklYTb4rBpPXUu9igdpcTJbJg3gkfogFsxswFmX2TytOoxVU7thZ1hhfZ4fdgm3yV7oDJvDkLrZrHA5gGn/aTj3aYzRB4OhyIuLmeoRTE+PRfRpbA8Rl1i3ZD85DQYwsZ0ue1fOI85mMvNHdcX+XwUK8YUvIvyeH2tW+XIrooSm/afgOrY31c01/xWH0S/J6c/Ylwde2IC7zwWKtapRz8ZUYhgkzjIJCtJ5/egRmUoOTJjhSrfmulzxWsrJIGX6jnemWwNTStLe4OuxmWA5R0ZN6ETMic1cfK8mAYp6Mk/YvGUb95LksbKxRV++TGICV25Qh0EjR9CupgEJr+7wIiof81pNqGVl8E3aXfwWnk9udhGyKsrkBBzHc/9VVBp8ARQ57znis4otp99QKqONTHE6xXIqWFRrTp8hA+nY3AHNb5zihfGP2LzBi1NBYGWiQ3LoC+KzS1HVtaV1t8EM6dsaG0PV33UblQCFz1auhhdgWEWbvHQBDQZMY2BDVZ6fPcDp6+8QaVUiOykDi/bjmdBciUt7tuN3PRx122qYaYnIigwmMleLZgNH0kI9nB1rtvI8V4OWwycwoLUjZf5H2Ox3kyJdOxwq6yLKTCA6uQiLVgOZOrwrJa9P4LXag3tZejSt04Q6DWuhURLG5ctvqDFsDj31Y9nr5cu9DFUcHMVW4unEhr0nX6MRY2Y7UznlGj7bzvwgQyEiL/4tZ/ZuYNvlELTsalNVXZaYgJc8DUrApusEPBZPQi7wACvmriZSvT4tatfHsUFjaugncGDLRh4m6+FY15pKolxigsNJlbNlyJxZ9DbMwM9nI9ezqrFy/TRsVCDB/xbbPDcTZz2atWMsueG9mGX732Ja25aqZpbIl6cT8iYckUNnZs6bTmvzr5EiNfQh25c7cyimKs1qm6AsEJAQHkRCkTJVrC1RV5BCWuxMHRBMpdqjWO/em+KXR/HYdIfW8zYwvrkpRRnRXDvghe99WeZvnIXau1OsXnaAcrv62BipkJsqNtvKpvbA2UxqpMixFXPZeSOCKk5DGDBkJMOaVvkCKDJ5e2U702dvIc+0Ho61TNGRFhET8Ib35SYMX76eCY7yvLvhw/y1xykyr0/dKnpQkE50WBwqTYay3GUgRt8wxV8DirWM3RDK5M2LKTm+ggPRxixet4y6yrHsXuBSkaH4DiguMm3caglQLPsEFALy0t6wuv8EHjRbwe0l7SXzuEhYSkbQdaaPmoWxmx/Tm0cxquly7NcdY3W3ilgISwsJPb+MEfMDmHf3AFUeeDJoeQyeJ3bS0bLi5MqL87m2vCOzbrfk1MPlWJWXEH5zDW7L39BmzWpGKT+kxYCF9PIN/ReBIj+FF3fO8TZFjriHB/CLsWDZmuX0ra3/Od2Z9QznXoN5VX0Jp1f3R1/pRx0WIvy9B9D92JdAISDy7jF27LpCkow02VFPeREJtZrURVNWBr2qbZnk1orrw/rgVWkMjzcORvMDUIhyI3Hv1Y7IFhvYOKMjmlLlFEkpoCpbTK7Y1VRVWeIO97O3vwwUxU5c/lBDMWKMF+ZTNjCpiQwnls/lVHptVqwej8L9dQzzTWaOeMnjTwFFJqdnO7M8pjo7Vo6lloVuBVCUpOHr3Ic7ygOY71afU5Pn8br6KDwmd8H2w2J3YcRVZk1YjdqQOQytm8UyFz8sh8xkUu+GGKlVPB1irixlyhJ/ungupbeVNOe3reROpiODxw2lqX4CS2a4Em87mfkju2L3Ly55fLyWWYEXWDh1PgefZtPZbSXuE3pgo/+DxfyfffG/2d+fAYrgS1twW+bN48giNNSUQFBKabmAcmVVqtRpzuDeQ+jVsi6GWoWckQCFCn3GTaJbfVNK0/zxXbOJYHlHRo7rRMxxMVCo039sX3i2n80X3+PgNID+rWqhpVBO9NPL+F0Pwqx5f0b3aY2OTDGFJULklZRRUpD9neyNkLj7+1jzDVCUJr3hgPcK9j1JxaJ+B+pW1qQ4Lpg79wIQ2jsx3XUMzcyVKCoslizRScnII5/2iq3rV7HpWjTVmrWliaMtOoJC3j57wqssJbqPnMSkno2QT6vIULwS2PCtfXkFUGzhaoQ0DVvZkxQQgMi+F1O76XJtz0Hup6hT106B53ffYdppIlM6GhP27AVvo4tQ1FanODWQxzdOcjNIitaj5zK3hwbnN3lzP8OY4Qtdsc57y75t23hSZM6o0YOobaZJeVYMd8+d4kGiCj2d3aiVe5ONqzYRbdyFGXNGUEMbgm4fY8+RZ1QfNp9h1aV5cf8l8WXqqFcSkhB4m2vXLhMrqo/LcncaCp/hs+0U6t8ueQjzCbp7As8NfuRW687skU4YKoqIfnaNnbsPEmvSBc8lzsgEHGDNoh3ItnPFbWwn9GVyeHZ2F95HA2k4ZgaDWlmjJMwn/PFl9u29iLDOaBaOsebGtk1czarGKk9XrMVAEXCL7es3E1t1DGtHWXDDZyHrL+bQ3XUOfZvaoiRI4+mFI+w5/Y7GkzyY2b+G5A3445Yacp/tSydyvrATs+ePo7ZWGW+uHmLDhguY9JvJ1CHN0CyL44Lfds4G6rLIayaaYafx2HSL1nM3Mq6ZiQQorh/agO8DGeZ6TkV02xe3ORcxGzSW0Z3Ey5RyJKTFoVKlIc0tlfE/v501W27ScK4XY9rao6X0eX1fUJjJ28u+zFq8G72ey5k+ogGG8kKiXt/Ad/0uihrMZv1US04sqXgLd58zHkcTDUQFqby8epyD99MZtnQLA2pU+upu/kOgGL6S4v6bOD/ZgaAzaxmzIZxZR/fhmH6KxbN8KW05kw3OdpxcMJU1fxooyslNe8nyns4877CG2+6tP6Q+y8gIuYnbcFe0p/sxs1UEwxuupZbPCVZ1Mq0AirJC3l9ayfDpT5nx4DBW99cwcGUqm89sp23liisoBopbqzsx/UJjjj9dgX7ABRatWo2gwVrcJzdEPfQATfovps/2UOY3/ZcyFOJWFEFZKQKRNNkhZxndbwaao/fjO7MFKh8e2Ek31tB94lmG7D+GcwOj32iT+RFQlBN4ZhPuSw4SKysuVIsjPhOMzM1RRIhxzf6s9h7G0/F9WCMzjIdbh6H1MUORHca8Xl1IbL8Rr6lt0Vb+Z4pKvn0mfVeUecSVIZszcNu5FiebL2oohJFsGDWGHeVdObN2FJXz7iAGCjPndUzvak/JywNMXrifqv3m01rmCtP2pjFn1VL6NrZERe4DCJX/foZiqSRDMYE6lh+AojiFLZP680hjEAtmfMhQWA1jlcvXGYpZzl5oDxdnKHJY4bIf0/7Tce7T6HOG4sISXNaE0nfVNMziruB18Dk2rQfi1MgW7ZIQNqzzJNG8H5MG9qCJY2U0VL5fn/9Pn+W/pUMhyH3H4TVbOPEwjRJREllKNox0nU7/Vg5o/kvFmB/P7c8AReB5L5buuYOyTXNa166KbEY49y+c52GiEu3GujCxXzsstMTFuekVQBGsSt+xk+ha30QCFOK3y2DZmowY+yFDEaFJ/9EdSDm/Da9DT1AwqYyZjqoE7ktyUgiPLqVe73HMmjoQB8NvE9i/dVV+DBTiyTs6PIi4fNCvYo2pthqC7AQu7d7IkUf5dBw+hKpyIZw8dYeknDLkDavRrp45CS+vcztFm6GTptClbmUqUUbUy8v4bjtBvmlrps0ejVVxwJ8ACjmcRnQi++EVAvIs6N5aj+dXblFo1Z62hvEcOvGSyp0nMr2rOYF3LrH/6BWCMsuQFZaRnRBKZJ4W3SbOY/FAI65s8eFuhhnjlrugE36ZNcvXcS1SgL2NGSpy4ir5UtITYsmVq8qQaQvpqhfKtq2HKas3miUzOqMpzOXp+b3sOPyU6sMWMra2NDdOHOTA9QAKpOWRKkgnJiYKgU5jZix3pzEvfgwUxcncPbUNrxPBtHRei0sbUwno5cW+4PCOzVxOtmPBMmdk3/mx2es8VYYuZfaAWhQn+HNy5xbOR5gyc+VsGpmIHxoi8mJecNx7I+dS7Zk514mQ/Zu4kunAyrUuH4DiNju8NhFj9REoPDjgr8fcnR40FXfOiEqJfXUdX88tpDtOYtXsrnzZN5ES/IA9K2fxUms8XuuGYyTKxv/mEdauOUONqeuZ2cMeQVYsN49643O9gKmrZ6MTcZbVm27Teu4GxjU1oTgzRgIUPvdlmLdhHgZxN/FctoF78eXoa1VCQ9MQc4d6dOzTg9ZVVQm7cYiVnhdpvnwHE5p+X5QprqFYvO4GHdbsZUJTY6QRkZ8Swtl1c9kZVZtVS1pyzMWZvRFyNK5ZGQUZaaSEZRL7+Zg0eQYv3caCvvZfZa8/AsWu9Hbs2j0Ni09d/UUkh1xi6oiVlA3awsnxthVA4RXOrON+dNZK4PaeVbgfS8J5wWwKLi9jTXSzv5yheNh0BbeXtv8EFOniDMXIWRjPPsz0Zh8zFMdZ3a2iOFmSoTi3nJHz/Zl7bz9VHqxj8LIYPE/upMMXGYrryzsx625rTl0dwcP5k/EK1MFthgvVdKE07CzD5m6nzbwzzOhogamp7ie79P90/v74/Q9LHsVEPnqAf54Bndo78NHyXZgfzJQaTYnpvZODHt3RkBFHPZvTC4cy73ltzhydj3Ul+d94E/oRUIjITYogODiOImmIvLuV7deFDHebgLWaHCrqJlSracaDRT2Y/sSeI8eXUV2rooaiMOYKw3rPxXSSL0sH1/lKl+BnBeNH+/kWKBLOzKH76hAmbPRmYG0jVD6mgPMDWDJ6DA9Mp7FzdneMsq5/AApPpnetha5UMmdWzWbzEylsq2Rx8bUqSzxX0KfRlzUUvwUUZTzxcWXmqRLcPBfSoYaZ5BqVZbxgzig3sutNYv745txdMlLStrrQfQz1quhIaijiH+5m8qILNJs8n8F1yljvupD8BmOZMbILFrrKSFHEg21zmH8e3Ob2I/WiB2uOBSKvYYCmqiIyZblERLynWMkYxyZdcZ07iRZ2Zij/5LWlHwJFUTr3Tnmx9sAbbNoOx6laDsd3HCJRuwMuM0bS1Nbgp98QvzeW/gxQvDu7Do/TIdTpNZFRTg1QLc0g/OkV9u4+wXuZ6gx1HkWHupVRFAOF5xKOvVGg96TJ9GhSmdKUV2xdvoUwxVqMnvwhQyEGilHtSL6wnR1ng1E1M0dPVRahpNNKGmm0qd26Mz26N8NC5z8BCiH5aXEEhyQio2WKnY0xSpJ+dgEvjnmx7cRbqvccjINGLGdP3yU5uwQFQzvatrQn5/VdXmZbMGyaC62rVIB+fuwzdq/x5rWwKmPdXXEUBP4hUFyJkKfn1BHIvTrD+UexaBrqUZYnRY3eA7HLucm2o6+w7DyBoTUKOLxjBzffl2NdvzHVLMyQinnBuQtvMek2mgVDTLmy2Ye7mWKgmIp26EW8Vm/lUYoidlZ6SH/yXpFF08CB9l17YCvrz44dJ6DhOJZMaoPKJ6B4TvWhLjRXfI33luOka9lTp7YjVbQViX18g1svS+i7zJ2mPP8xUBQlcef0NtafDKPV5PVMa2VQEZ+EV/jt2syFOBvcxUAReIQt3lewHracWd3tyEv058QOMVBUZo7HLOobfYzra05sXc+ZNFtmLOhMyDYvLiXbsnyLG9XUIO7lDXw8tpJYcyyeo8UZCg8OvTNk/l4PGlaSAVE5cW9usn31epIdnVk1pxs6Xwx6MVDsXTWft3qT8fLsi3ZZNgG3j7Ju4yXqunjh0t6CkqxYbh+rAIrJHrPRCT/NqjU3aDl/I5PaVqYwLYrLu9ez7aECi7Yvo45qPqEBj7l37yHPXkdKCkXTC8rQrdmD+e4jkH99hBVrL0iAYuJvAMWS9TfpvGE/Y+tVxK8gJYLz62bgG1mLVcuac8zFlXMZejS01UUovjkk+inyqKqZ07rvUPq0qfpVEWpRRhwX1zuz5n0ddu5aRI2KFWIoLyDhlR8Tp/hgOeMk67qqfwEUR+hlKiDj/X02ui3irmw1rORCuFfSkdsH53xTQ/GjJQ+RpNZjr2t/9jOEs3snoy8lrqEoIurhXsa4+NFzw0GGV0/GrfMQygbtwmdqM0ktlLiG4s62GUw5IsvBKxvQerWTES7HGbjtGBMaGUpgs6QwBt+xfdgrO4lry8yZPaAfJ+IMqWWli5RY6iM/kVfBMejaNMap/zjmzxqA4U9O6n8AinIeb3Jl1uE4xq7eRP/m5igUp/HUbylj51ykjccpPEbUREH8WpQXhPvgATyvvZLjC5xQ+82uih8BxZfTtZAAPxdmHoKlu9dI2sg+1nwlnHWj1awbdFmwgbl9mqAjSuf01inMPZSB65aDjGxoiOIPxTt+Plp8J2wVeoh+vT2Q6TCSGS7DaGiijXxZGgEndzBz6THsZm9lQb8GaCRc+hoolKXICXvIcveZXHgVTaxiU3y819K7YZU/kaGAjPubGDTnEPrdXZg7ohvWlUp5cHwF872f0nLKeqZ0q02832ScD8TQccIcJnZriHZJLPvXzcDnjQ4zFi2gq4M8RxdPYOd7Q8a7uNGrkRUlMXfwXDifh2p9WTejF1JRd7j9KpLcIiFIyyBXmMj1a9fI1qpLp47dGTjYiWomOpKi0J+5fQ8UJUTcPcqqlfvJqt6ZKeOH0MgE3hzZiPvOJ5i2Hc60cd2wM1bnn5Fo+f7s/hJQ9JzIqM4NUBfLgxRnEnBuNyt3XkOufj/cxvejlqkM1zfPZvPFGBqPms/Y7jVIurObFauOInAcgNv0DkQdEy95aNB/XG9K7+xk18UkqncZQtfmVlRSFJIT95bHbxLQtG+OU+s6GKh+U+DwmxfoRxkKERmhDzm4bS8hAiv6jRtJEztN8sKe4rdtEzfTjOk/0YUOdoqkp2ZRUi5ERkEFLU1Z/E9vY9+FIGz7uDKmeyP0pTJ4c3kf63fdQKZ2P+a4DcO80P+PgeK9HL1nTKNy8k327zvE4/cKWDfuzOiZvVB4eYRtx95g1WkMXfVDWLvtBLnWvZkztjtGUmk8PLaVjYfeYd9vGouHGHN580auJRsydsl8qqbfw3eDL/7FDgwe1QcHMwUoyuB9wCsC01Rp6NQV86y7+O44idS3QOH3gur9R2KZdRGPY1G0HefOxBam5Me/lNQ3XArUZNzyhTT+LaAQ5PPu9lE81++l0HEQ810HY6cqIvDGMbw27yTRoherl0xC5hNQLMOtuz1l2THcOLQV72OBNJ20hPG966JWmknAjSOs8z6DoPYo1jo7cMd7GbueyTB+3WZ6mhdz79gW1vrcxqCXOxtGm3PNeyGe13Lp676WSe1rIpsXzbWD29h0IpAWzsuZO8DxKyiXZChWzefdHwDFLQlQFDJl9XxMos6x2N0H7WGeeIxpRM67a3gtWsX9spZs9HVBK+klt4MFONatgaZ0HrnxwVw/sJWTwTrM2utD9djjLPE4Rn33vUxvb/FVJqFiyWMbM5fsQXfwKtZO7IWhfB5Bt4+zwmM7BQ3d8Ha25NDcaZxKq8X0GSNwMJFFVFZAYuhj7gYIaDZwOB0ctL/ab1lBGk+PLcN59Us6L1yKc+9WGMsJKIh/w5mNnqy7ms+MU8cZaFryNVCYS1NenE3g5X3MXLqSoCwlFBpM5v7umRh/VZT5I6CA8sJMnm6fwIDd2czcuIkJLaoiTHqL7+qpbA+wYOMeX5rrpLLbpSsbkpqzecMS2lupkfz2MkvmuvHcZDqXvUcjH32NqaOnEll7OnsWTsCyUhFvr3njOtML3SlXONhfkZN+frxNLK3QxZCSRpT8il2n72PrNIUhPTvRu2cTfq8Z+u/M75+KMtMCjzBzoDsBleyws9RErqSQuKDn5NgOx3edG3VNVCVCPcWRVxnZeQp67sfwHFATud+sWxDhv7UPXY+psP/wdpoZfd/lEXRiHotPSzPbayGOup//L0h7x7KZQzgSrEYNy8qStcO3wQFotXdjy+wRWOso/iWRrL8TmI/f+RYoRCXx7Jk+ltW349CvaoepuhLygnyS3r0j36Q1C9YsoKWtMdLhpxk51hNj5w24dauDrrL47aAE/9NLmTzVh2cqzdmxY50kQ6H8ackjmtVDhvPCZAQeM/tgaaD26dDFrUXbV09h+910jAwqo6kgJPL9O0Q1+rJspjNNrPUojb7DssVzuBOjiJmhMUplmfjHplCz5zTmjO6BrZ48Ebd3475+BwklhpjoaSPIiCQgT4VBU9yZ0KUelaSKyC8srWhjlZJGJsufpQsXEGc5Brdh3ahtqY2C3M9XJf0WKDIi7rBtpRdP86wZNHUcnRpYUklOmpKUcPx8VrLrXjath01mXM+mGP9kFcnfGi9/CijOrGHV6TBq93JmtFN9ND6szJVlxHBsx1J23k2iad/pTOjdjKKnO1jouZt3+VrY2ZghW5JOWFASVm2GM31KRyKPbuJimBoDnMdRvewZPpv8eJooQttIHSU5ISVZ6RSpVKXbiFH0bmVN6tNrkgp8q0ZtaGRv9DvZGyFx9/awev81lBoMZ/pQ8bq+eAklmut7trLryH2yNYww0lOmJCWe+Fx5GvYfx+QR3bDS+FZETEBS8FX2bPfmxusCNPVNUCGPpIg4irQdGTx1CkPa10Am5cVvA0VWJKe9N3H5vQx93ObQSD6cA+s92HI9l5YTZrF8SlMSbuxn65HXVHWawBCbDLy9NnExqBhLW1MUy3OIff+OsFglOoybwzLXurzcvQ6vo88waD2Kod0bIh14gb1+TyhU10NHo6J9Lze7BJ0anRk9ZSjaYefw8T2JVONxLJnSDlVhDk/O7mX7gefUHOpMPcEjlq/xI0WjMtUMFSnITiDwbSilleoxddFCWqqFsNP7JBpdZ7NwZIMvYi8kLyGAszu82Hr6DcqWNhgoyZAWE05IVBo23ZxZvWgiUm/92LLpCjYjl+HWq5rkTTn8yXm812zgbqIKlnamKAuKSItPJEfeksHzFjGurhwPTm7BfeMJSvQcsTdRpSA7ifiYXGx7zsNzdBVueC9k8aG3GNSpjqlKJQT5GSTH56Di0J25S8fT2Ojjq3nFqE8JesDuFfN4ZzgJL88B6JRVLHl4rr9EveleuHa0lGQobvptxedKAVM2LMOh6DnrF8zieFQlGjlaoEAhcaERlOi3Y+1GV1SDT7FiwyFyFK0wUIfy0jxSE+Ios+jG+lVTqRRxlnmzFxGh245BY12Y3rnap1tQ0nnhi7sAACAASURBVOVxaScz52+jyMGeKup6SItbYxMTSBXZ47xxGYOspHlxzpfl628gMKmMroYUUoJSinKzQb8VM5ZPo6He10vk4hbthLfXWObqxuVsbRyrVUVTRkB5TjJxEcmYdZ3G6sWjMBRkEXjagzEbw3A7dpI+lcXzuJCC9Pcc8RjPLO/XqHRbwJNdMzBSrXjLErd3JwVeZNooD6zn7GNZH7vP87iglPSQG8ye4czTvKrUsjBAmJfK29hk6g5fiecEJzSkCgi+5o3L0k0UajTAWk+J/NQI/AvUmLxoC87trSAvkYvb5jB333MqV62PrnI5qVFvea/ZiJ2bN9LCXIbc7ByKyoQfVhBElAQdxmn8epzWPGZeGx1UleWIue6N73MNJs0eRpWfoA/4RZdHDu+uX2H7gUM8DUtBSqiFQ4tW9Bw0gHaOpsh/UP/KCbvEgvlHaTDbg0F1xAqav/2q+v7EXGbcUmLRkjk46nyrlCkiN/4tgfFgW6saGgpfPqRExPkfZ//OQ9x/kUK2+FjatKff0AG0stZH7gfta/8JNPzed783BxOSGvSAkyfOc+VRACk5OcjJKFDFpgFOgwbQobEDGkryCGLusmzVYfR6uzC4mQ0aihXv0aUZQRxYu5L9cSbMmjmFNtWNPmdbBEkcWLKUEL0uTBzUChOtr1PYaeE3OH7oADfuvCe5UIUq9ZrQfcgAOtaypJKiLKLyYkKfH+XYgTM89E+mUEqP6h2cGNivG3Ut9CXy32V5yTy+uY+Tfjd5E12AnJYlDXv2Zmi3lljqqX+jlAnkhuC9YSPJ5n0Z2aUpVf4NpUwZIa8ubGbv1Whs2g2ld9u6GHzoSBGn9tJCb7PLdy8puk0ZMqg3juba37Qk/zOj4Y+BQovIewfZdycOm5a96dbYns9JAxEpIdfY63uCVPUGDBjRC3vVLG4dO8TRc7fJVDaiQfM6SGWkImtUh+49G5F04ygP41Ro17sPDc0g8NEtTp+7zP2378krEmBgUZMWnXrg1LYhlnpyvLtyhEuvs3Fo35MO9ap8VWz3dUREpLy5wIFLT1F0cGJgx8ZUXNYysqIDuX3hDCduPCIiqQhlDUvqtXWif9/W1Kis80PBJkFZNhEB97l27Cx3ngSTVCqNgVUDnHr2pVPrGhhqKFEU/+w3gaI8L4G7J4/zOF6aVoOHUU8jh1vHd3DiZS6NBkxhWEtjIh9f5OT1MIyb9KZvA038b57h0JHTvIrNQs7AnKoWhihlF6Jp345hYzpQ/OYcO3f7ES50YMCYMXSsUszDi+c5feMhIfGZKFXSxq5ua5y6dqNZHQvyA29x8vQdqN6DcX3roSTKJ/DeRc5cCaJq52G0NyvkytED+F27R3KJPNqWVbHQUUc2v5RqnUfR1CCdy6duo9JkCKM7V/ta46G8kOSI15w9foRzt5+SIdREVyx3XpqLQL0Rc5dMQT3uBieOP8as83iGtBRX9gspyknm3cOrnDh9hYdB8YiktTCr2hCnLu1o3a42xsoC0sT73b+fM3ffIm/pQMP6dpTHRSOy7smkjppc9fVg+91SGveyJ/z6AxLypanZuCN9+/Wlfk3T79tGo/25sNeHSO0+uExpi0Z5HuEvbnDoyCPsB7jSv6ExpXnJvLh+klNPiujrOhFHlVxeXj7Ozn1niREqU6tlKyor5PE+XYtR00ZjVhrFjTMHOX32GVE5BUhpaWHVqDW9nHrTwdGUopR3HNntyfEHOdTo6YbHhOafWp6FxTmEPzrPjv330GlWjfgHt3gZloGpXX169BlKh3aOaEsLKEyP5N75Mxy/cpe3sRkSrQurum3p0rUHbZrYofFd8k5EaX4Gb+9d4MipmzwNiaZUUIaGugGOTTrSa3Av6lnoISrJJeruAVYeiWXwilW0NqxY6xUXSca/voCn117CqgzioPsQdD50kki6NqIesWH5fsyGLWJcK/Ovbj8xUAXe28O+ved4FVqAQMWURj26M7Bfd2qJAU+slJmTwN0LW/A7+IiwDCFqBtVoPXQAw5yaY6gqi0goIDv+FWeOeHP2TDBJAmXM7OrTafRwhjSxk2iSfLWJBBS/v8g49920nHOMUY7yCAVlBB9byOJbOizdPAO7n1Cn+Y2XRwlRIYHEpuYhhTIGFhZUMdX+ahIpzUuSqMfpWdthoPZb9RMVp1KQFExgmjQ2tlWpJP9XvTyKSIkKISY+jyKUMbKwwNxI8x/p5PhrQCFBUHJSEoiMTSavuBhpaVm09c0wNTVARVxdLwWiogzCwhNQMLTAWFvlcyZHVE56TBChWXJYWVRBt9IX2RZRCfFhoeQp6FPFWAdFuW+T+aVkJrwnNjaD3FJ5dEzMMDfVRVn+c0W/WAY5OTqS+JRcSqXUMLKojLGu+leCX6UFKcRHxJCUVYKMig7mlmboqiv/2MujLJ/oyEiKlY0w09dC+buR+nMe3l9lKOSkSY0OJC5fFkNTC/Q1lL8CBpHYr+S9WL9eBWNzc7T/Af2RH53Vj4FiFc8ENZk8Zwwt7HUozIgnLqMIVW1D9LXUvmptFZblkxAeRVaZAoZVTNFWk6cwNZHYmHgKZFUxMtFFWJBHiZQK+gaaFKcnklkkg66hkcQTQ1iSR3JiPHHJGRSXiaikbYCJqSlaaorIICAnNYGUnFIq6Rmhp1FRe/Rbm7igMz41C2k1PYz1tD5PQMIy8rJSiIlNJDO3FDklHYzMTTDSU/1ddUrxBJuVGE98Qgq55dJU0jXG3MwEjQ9FRmKg2Ofly0uxDsW8r3UoxCCckSQ+Vyl0TEzQlBeQkRRNSl45WkZWGGjIUZCZQlJaPopaRpjoqlCcl058TDTJWYVIq2qio10JuaJ8ymTUMTI3lrS8xsXEkFWsiJF5FUy1FSnMSSM2Np607EJkFVXQNTLH2FAXZVkRRTnpJCVnQCUDzA01kKGcvIxUklPzUNE3w0hDhpy0RCKjY8ktl0FZSwdtVQWEeTnIaJqho1ROanI6spommOmrfVFXVk52YjSB/qFkKyhJBLbKhDIUZEdw5+x5EpRbMmfhRCpLpZGUmIWSvjkm2h9fJISUFeWRHB9LTHI2IiklNHRMqWKmi+qHIiZRaTHZSXFExacipaGNkb4WJVkZFCvqYSSbyAVfT/zeGTFt82S0EmPJLZPGwLQKlU30fihsVVaYS3JcNIXyhlhU0UVOVE5+dhoJiVmoGllgrCkW+CohOy2RpCyhZH4Ri+uW5GQSExFBpkAGfTMz1CgkJVuEqWVl1GSFFGSlEhsRQ3pRKVJKymibmGNpoIfYGkgiSJUYQXRCPir6lthbfj42kbBMcu1jE3KoZGJAUXI0SZlFqOsZY2VpjsrHJXeRgNL8TKKiKsaEWIhN28gCcxN9xK4EP9xEFZ4ayXFxxKaIvWuEKCqqYWBmgbG+umTOEatMiu/p8IQiTGxt0flYYCj+bnE20RFhpMoYU9fahE/2NCIhpUWZRIbFo2Rig/lH0vicp6C8NIfE96HEp5YglNfA3Eb8nPjCo0YMFflJxIRGk5IvRLGSARY25t94eZSTlx5JZGgSOQJ5NPRNsbIS1/X96M4XISxI4U1ILDpWdTFTrxDDy00IITRdHtsaVqj9hLq4X26jf/A8/GVf/nOA4Y/28n/RbbS8MIBNk9w59jwLq54DGTuwG41sjT9PLH900v8L/xcJSAx+wNUzBzhyOhT1et1xW+L8lfT2/99hEJIUcI+DWzdyO1WJavZWKEqVkBIXTkiygJaD3Jg5uCmV/mz5y18IVkHSW856r+VIkAnuB5dRT+nfqjb6Cwf566P/X0XgF1D8Aor/igH9fxEoBMWh7Ju3gh2n7pJm155Z01wY0sqBf6mj+b/iuv3hQYjKCbyxiy2bNnA5QIMW/ccwc+5gqmv+hPzqH/74f8cHCjNjeHrVjwOHr+IfnkKRsgIalna07tSfQR1aYW/8tUbCzzrqotRQrh3w5VyYIS4bZ1Ljo6Xsz/qBX/v5FYFvIiCVl5dX0WPza/suAlJSUqSlpaGuro6c3L+je/G/ehlKSkooLi5GWVn5vzbWIpGInJwcFBQUUFJSQiTIJzYohMi4ZAqU9bC1saayvsb3dSj/qxdVct5CiX15WFgYKXlKGJhZYm1rKimw/d/ZxH4XGcSGRRCbmEGJnByq+kZUtayKsdo/B1aCkjxSY6NJylfEqoYVlf7F2rP/nWv760y/jIBUenr6L6D4jTEhBors7GxUVFSQlf0HcpK/xqIkAuI4l5aWSv4UFRWRkfnvTM2KgaKgoEACPGKokBy7WAtCUpgskvS/iz/za/s6AuLrK46TJEoiISJxnP7XgiQlhbSU9GdLe5EIoTgW/2ggxHGX+iDvLPzfi/n/2hj7LzhfqeLi4n90SP8XnON/dAjJycloaWlJHiLiifHX9s9EQJydEC97qKqqIi//E/qX/oHDFBdligFTDBNiyPy1/YrArwj8isCvCHyOwK8aij8YDb+KMv+d2+X/Yg3FvxOZX7/yKwK/IvArAv83IvALKH4BxX/FSP0FFP8Vl+HXQfyKwK8I/IrA347AbwNFdihHLz/HutUgHA0+akiIyI0L5drtZ6Tk5yMja0r1pk1oaKeJzA+WAwrTgnj2JAXr1s0xVPlr6ooisbPe00c8948gR6SJQ+NG1HUwRUls/CI5XRHpYY8JTFSmRkMHNBR/z13xb8eHbzMUuRGPuPmumBrNG2KuofxZZ0CYS8DduwQKzHBqZIdaeRK3796n0KARLWuYo6b4sQZDQHrYU24GFVG7YT30ikK5eP8tOQUlFUsqEhGLilUosXiJnJoO9Vp2wNZIAwWZImIDXvHiZTCpRQpUrlmH+rWs0FT+rAdSXpxByNNn+IfGUiitg0Oj+tSoaoiK/MffF1GQGYv/g2cEx2cip2VB3Sa1sTTSlJjqVGzlxAS94NHLILJyxUZR1ajX0AEjLZUf9q7//eh+/ua3QJGfGsaTW/4ITeyoXcv6q/7rsoIEnl99RZ6GGY51bdCrJDbb+ue3b3UohOWZBN1/wpuQaHI1zGncoA6mMmk8eeFPTGreZ9E3kQiRsgrGVtWoXc0WQw2VP5YLFxYSEfCK2FwFLO2rYfanfTr+XBzE4kSRITGUqxpQxdoclQ9lK+W5Cfi/fsGb0ERKBRX7kpKRw7xaPerUqonet3Yhonyi/V/z/FkQ6QLhF8uC4noSVcxsq1NFv4SYd2+ISlemsr0j9RvaofPpfgBBSS6J7wMlPfk6FtUxM9NC4cv5pKyIzJhowpIKUTazwMFM84+VcgXlIBSCrFzFPfVXN1EpKTGhBIenoG1dl+rmGr+zBwFZCe8JDI5BwcyROtZ6v6sB8lcP5f/7z4uEUFYGMrLwTf2URKMkNoSXb5Op3LQFNtrf+JD/zeCInTmjXt8juNiEli1qUOnj1CcqpzArhgd33iCwbELHappkRb/m+qsYzBt0peEnu3cRZcU5hD5/iH+hET2aWpEYcJsrr+KR+ziPfpzLxfe/FGiZO9CqVTP0FIWUFqTx9sEj/MOTEKiYUK9lYxyq6HyaX0UiAfnpUTy7+Yjw9CJU9W1p0qYelbXE/ksVm1hAKzUygIe3XpJcLo+xdW2aNndA+7MgBoLyfF7cucaLsBRkpLWwbdCQhrXEXkL/zPZjoChP4cqGhczZ/5xxu58xoY6s5AYuiL7DusVbOfsyjJziAqREWhjXasyY2RPpW9u6wuvjw1ZWGMa+tXM5F1KZeRtWUk9P4S+oGYp4c24Za3yuE/g+mUKBCoaO9eg/xY3RTa1QkMkhI0vI+2s7uRykT59JbdGR00NfSx7pn1w8/i1QxJxbguuBDEavWEBbKz0+dWKVR7NjzlwOFbdij/sATPKfMmveIp6VNmfhypm0sNahQiyzlLenVuNyMB2XOdOplXOaUYv3Sx5A4vEnEE+CiAu4pBAJylExtmPqyi30bWBB6pPtbNp2iievoskukUO7ajWcRk9hXKe66KspICrN5d7JdezYf5OAiDRKRSoYNWjJmAnj6VzXCnVFGYpSgzh5YAtHTj4hIqUAGWUdqnbsy8xxAyXKcPIyRQQ9O8uu7X7ceBpOQaEU6vrm1Os3jpmD2mKl91kO/GcOyW+BojjZnz2eXlwM16Df9Al0b2KDuti/RZTLkxOb2Hb4LdZdJzCkV1NMP+pb/8wD+sG+vgUKcdvofvdV7Dp5lwSrNsyfMYmmsq/x3LKb2wEpSH+EX3EBnoI8GkY2tOk9khE9WmP3B/brorIULm735nacGl2HDKWlg/5PO7vy0lSeXN3PsYvBWLUayoAeLdH74GGdHXyV7d6b2HctlGKh2HxMhLS8Mi0HuuA8fhQ1dL85DFEyN3f6snHDUYJKy7+AKCFCgT4t+o6gnWMetw9t41qgNq0GjmG62yAcvmgbLcuJ586J7ew/cQ/NJkMZMXowtcVa4JKtnLTwJxzfs5fLMWp0Hj6eMe1svxIM+zYwwqJsIp8EEJMFNu0aYKL2pUH3nwyjKB//m6c4et4f2x7ODG1l8TvQWkLYwwscPHgDjTbjmdLH8YeKon/yl/+3PiYoIycmgpd3gtBs3pxaVl9alYGgKJvg20fZsvsZbZatpq/d1///u8Eqykzgqs8cjmQ1w8NjHJU/vm8Ji0l9fwN3N1/KnBaxc7g1YVc3M37VOcw6zGLl3D6YSoamkMLsSI56LmV3SgOOL+/B831zmOLzEHk5WUnxscSkTFoKySuwlAzWrfqzavVibOUzuLl/AZv2vyAmOQeBgjbWLdoxZvJUujvoSoQT85ICObh1CYfOhZJaUIqiugnVew5iwcSh2OkqIBKUkRhwjo0bfbn5IIZckRxaxlY0HOnCqmGtUZYRUV6WyNUj3mzefpnw5DxkRKoYVa9Nz6nzcWll8XdD97vf+wFQlBN2w4c505ZxPlLA8mspuDUWA0Umx1wGs+xWLt1HD6eKmgzC1BDOHT1MSuPpHFjhgrWmLMLSIqL8n3D8yH6OnzlCukkfDhzeSVOj74GiJDeFtFzQNtRD6YuWprKIy4yc6EqISgsGtK2LpiCDy2d2E2XYh00e7jTQCOeQz0UeBT4hIk0X6+pGmDcZwOQOtqgo/NwOge/sy/1cGLwljRnb19HVzhClTy/171k3egzeRZ257DWWKvl3GTVuGqf9ocv0layY3JUqWipIU8LL/XMY6J3MgtXLcDLN4c7TIHIKS5ESZnB59y6iNJvSp30ddFXlkVPVonazNlgKg1m+cBbXUg3p0LwJ5qplPL1xlNeiGsyau5Autc0oenMQlyUbSVWvT7v6DmgUx3HuykVENYfi7jKSOmYKvDq2mnk7b6Jr15ZG9maUxj7m1P1Aavabz5wh7TAs8WfDysVcj9GhQbN6mGvKE/nkLNeiVJm0YCl9m9mh/g900H635FGaQ9CdY6xc60e6TUfmTRtOE0st4l+eYu2aHWQYtGbU6JE0tTdE6V9qwPleKTOAjc6LOBsC9QcNYXjXxuB/gOV7biBlWp+mNSwQW7iIt5KcZB5fu0GklCWjZrrSr2U1VH8HfkVliRxbu4KLURoMmOiMU22j/3gCEJaXkR73nrtXz3L0+CECslToM3kRUwd1wuDDJBl5ex/rfE6SquFAqwbWKIp7A2TkMLWtjWMNB3S/MzQtIPatP69ehpIhEFUk2EqyefvoGo/DBLQdOYOBLXWJeXSWw35PENm0Y9qiyV8JW5VlRXFuhyfrtvmRZ9sdZ9f5jGtnJXnLF+/r+ZU9eK7bzKvyOoyfOQ/XnrV+V7WzLC2EizsP8ihFm/7zJlBH72+81YrKSIsLJzQiFU2rWlQzVf+d+BcTePMo3j7n0Owyi0UjGvwCij85WsUvQZH3z+O96RqOs5cztLHpV98Ue3n4X9zJ0g336O69h5E19f7knn//YxL7co9x7BDbl++aidUnoCgiKfg8k4avoqT/Ji5MdiDw9HK6Tt5GqXELZq8Tm6zZI4eA/IxQds93xTOxBY/2TqU04j63/BOREqvWJgZwZN9l9DuOpkdtA4kvkqapDU0bOVL6ah/D3DyRsu9L38aWCFLDOH3xLPJNZ7LVfRymctk8PjAfZ+/7OLYfTgtLVdJD7+N3N5CWU3zxGFYPqawwdi6bwtpHQgb1GYhFpWJCH57kZJgMCzafYGRtFZKe72KC6zrK7QbRpakZcoUZ3DqzkxCdofjtcsf2axuXnxLX74Ai+/11VqzYRkG5gNN3X+DqF4lbYzmkpeLYMX4e/rY9WTC+G/rKsohyE7m8cSqTTiqz55QvLasok/D0El5rDhGupolh4TOuptly8PAOGht+CxQiom57s/2uLMNcRmKj8dnrI2T/OLqviWDi5o2MamKPGnk8Pb2MiSufMXjtXpwbK/Ly3DG2b9/NnRRtmrTryqBR/WjvYPSVxPTPiNC3QBFxdBqDNqUxc7snXewMPgOFIAKvUWPYUuLE5fUfgGK8B1EyInLyzXBZspT+LaxRUyzj1f65DPRNZu6qZfRt/GfsyyH2ykpGLbtBvQlzmditGSbKAkLubWfmktPYD1vG9H4NCds5BverQgbPmMmA5tVRK8/gyp6FrLhYxPi5C+hVU5a98yZyqaQOUyZPpFV1EwTpb9m5bA7Hchqx1n0c9rxj54EbVKrZic7t62NUScSbfQuZsfE+rRZsYnzn+uj/A/myH9VQiApTuXVwLR5+b6jVy5XhDdW4ss+Hm9kGDBk3nq4NbVCT/xvp7L85MP7Yy0OTT/blX7iNSt6zC3N4dd6HtUefY9djIpP6N0cqKYKUfBkMTM3QU1dEWJpHXFQM+VKVMDaU5prPai5GqtN/vDNOtQwl/0+IiSIiNpmiMkUMzapgUcWASkpyElvqrMRoEjJL0TAyw1Bb9ZtlFRFZUUFcOHSCq29jEUinkpgLTXpNYurgj0BR8P/Ye+u4qrL3f/uiu7sVlFIxsLu7uxsDVMTE7kRFDMDuDgzE7hY76e7uOpxzntcBxxHHcZwZZ37zfT6uP/Xszdr3Xnvta9/xvgk87svms+HU6TeOST1r/YUQl5CkNzfYs+cw4Uq1GDl2OI0qa1H8jV4egqwIzm7fypELt8nSsaZuq/5MGdcTE0lT0JQPBBzdy9Ezd8jQrE7nwROY0scROVEBaSmRhEbEkZUNiqq6WFSxxFRfieRXV9i5wZv7GQb0njqJLvWqY6ElR15WMuFhEcSnFqKsrkdlye8NJd1qJW2lk4lLTKVIShZxdhq5Im2M9BQpLMhHzdgKCz0VBEUZxMeGEB6TSYlAAU1dE6rYVEJXTcz7G8fw2XYOzS6zWTS8/m+AQtKMKi0pipDgSHJESmhoa6EpJ6JUWgOLKuZISeTw41IQyStQkJqGWNGcag4WyIuySY4KJyYmhTwpObSNLbCyqoy2kiylhTkkxkaTJlDF2rZSWdiqKDeduMgYClVMsTFVIj02iqQcOYxM1UgKCSa5EExMLbGyrsTXhDOL8zNJiImgQNEUbdlsgkPikFExwdbeGk35AuIigwmNSUNFxxQbWxt0lEXkpCUQFZOBtpUdZhJpbkEhaQlRxGRIYSU5TqaUvORYwoPDSSoWoaSqiZW1HSb6qmU9OK7s8cTrYCA1neYwokdr6pj/Gl4qaw52cRdLPe/Sbb0XrRSTCUrMQVvHGOtqdmj9oqstFlKcn05oUDAxqfnIK+hQ2c6aykYaXw0/lQHFmonsTG3Lrt3TsPrlO1QkAQp/Jo1cRdHATZx3rsb7s2sYOPcsmjYGKGu2ZfX6WdQxliVfAhTzy4Hi/uE539G+nLL+ITc8hzP5khZrdnnQ3cYAYWYUZ3fOZ5mfkKW7d9DBOJXNTl3xUxqB75rJ1NRXJCs6kC2L3ThW1JtL+6eiGHIO57HzkOm/ho0TuqOvVEz0Sz/cJ8wjq8ceAmY3IuyKN2vPpDJ4qhvN7XUgP4YDk3qw6KU1+28ep+W3onh/cY+sABTi4ih2ublxXq4Fy7vK0995NSN2hzGrqeRln0/kq3BKDKtgra/8MSxZwkPf8fTZLubwKV+aV1Ik8dk1zl6KpErnZsjeXcRoPwUOHN5OY6Pfdht9fWgy0w5Ls2zXWuob/NK+PI9TU3sxP7wZ5w/MxFJTqWxBFCfeZ0LvCSgP38rqUY0peOnHlv3PkJZOIs2wPbOm9MZM0hfjLxri9w77O0AxatwmdHt0RXDtPHFV+7Bo5lAcjJV4fcD9TwJFEbc3TGHOdSWWeMyihZ0JkveoMPsDS52cibYdy3yXplydN5EL8p1Y6j6UWpI4M5Dy7DCu7keoOX4uQxwL8ZjqgUxrZ1yHtaOStoQMBDw7MJfZ+zMZv9KddtZqpCbno6mvS37kY24FvuDp7ZekS9syfNpoWjiYfvrq/pGm/r2kzPzEF+xeu5Jz78FApZDUfF3ajxzLkK71MPwrruy/MenvBoozQTj2nsjoTuXtyyVDkJfGvcNeeJ55i+PgyUzoV4f3x3dyI0yBtn370byGISWZIZzec4woWWu69anH+yMbuRCmXgYUHW2kCLxynmN+F3kenkCBQA4D27p0GTCY7s1qY6xcwosL+zn/MoMaHQfQqb7VF3FSMZnRwTy+85IcZV20xG85cfEx2o2GMXVo53IPRUkSF3Z7sv9OJlUdW1FVPY9iOVXsajfEwaYSGr/0MfiGDYvTgzmzx5eTzwS0GebMkPb2qMlCwTeBIpwzvj5cfBWJjJYOiqp29J8yiWamssQ9D+DEyfO8iS9EIKuMQ4exTO1pQ9ybWxw9cYSrj8PJywdFNV1qt+1B3+5NKLx/mDWrt/EyT5nqnYYx0dmJVjrJXDxxjPO3A4nNKEFJ3QD7lp0ZMKAvLatqEPviJidOnOFNcjEkpCBr3ZpWjhpEvoukSpdR9HKQ5+mtk+w+dYH34VmUCuXQNrWhbd/B9O/ahNzA478PFBIBtDcPOLz7EFeefSBPrISGliZa6soYOnRiglNfZKOucWj3CeKK5ciJApWpuwAAIABJREFUy8ao0RDcxjkSfduP46cv8z4mnSIZiVu7Bm26DmHIgCaoZIZx5cRRnuRY4jx9EBZKkBLyFL/9x0g2787kXmYEnjrAqcdZWFQr5enFFyQUyGBm5UiPoSPo0q4WWl84dNOj3nDhyDZelFRBv+QJATejUda3oUPvvtTSzuT8sYM8DM1C07Q6XUe5MKJNZeIDL7HvyHPqj51GrzoGFGcn8sj/MKefSzN6znjMCz5wdrcXJ6+GkCoQo6iiTc2GXRk0pg9GeU9Z6zyJo2+z0KnRjO4TF7N+qOOnFVYOFLtZuMofy95NKHr+mBexBWjpVKJF1yEMHdkVcyUBuclB+O8/wOmbj4hOL0ZOSRubJu3oP3IUHa1/26T7zwHFOsZ4PKfbuDa8OXAR43ErWDGsPuKMPwsUIvIzwvAdP4zTei5c9B6ORCNVkicS+/Q4zs7eNFt1iHGOcbi2c0Fl0j42jXEsg9PS4hye7J/DBN8cvK96YxDow/BZN3DZe5ChtSVhIDElhckcmtqDjSmDuHp6CgqJ4UTnKFLVXIXXN89y43UQr64EodV8KPPn9cPkH6jO/wwoRDw/6sqs9VkM37maYXKXse+2kOF7I5hdBhRf7iJi0t+cY6brKhLqu7B77mCM1GUoycsmr1AaLV1V3vgOpMexikAhLCmioLAYKRkRr4/OZsFJKeZuXkNdfWmkZRRQVclk56C+rFccycMtw9BSLY9/irPDmNu7E7FtNrJpantkE4N4na6MlVo8r1JUqdugBjqKcj88Oe/vAMVIp41UnrSSDuJ7bNh7jdrDFuPcrTYxp+f+SaDI4txcF5aG2bFt1XjqWOmVX2dRCt4u/birNpj5MxpwZoo7gbYjWT2lG7aG5ToJ+aEXmeW8Hq3h7gytm8Vy14NUGjQd574NMVYrj11EBixhyop3dF+zmP5N7NGQnLw0nzt757D+6H0Cgwuo3HQUKxaNpLGNfhnM/Ojx+1UeAiIfn2T1Qo+ydtXtRs9mhlMv7EzVfzg8/tE1fQ9QvPf3YsGW06TLW1DN0qgs0VVGRprSggw+PH8Dho2YMN2Fjo20uLhhKSffKtN/ojPdG5hTnPIS39Wb+SBXk9ETOxN9cjMXwtTKgMJBcAuvzbt4XWRA7Tq1MFQoJuL9G1IUqtB72Ei61rUg/f0jXsfmY1KtLtUr6f3Gu1BaXEhBQQlyCgqkPTvC2v2XUWkw/BNQiDKCOLR1JVvOvkYgp4dUfhJFyGJm04Sew0bSq33dP/BOFfD+yhE2b7+MdJ0+TB3Xk6q65c/vHwKFz1YuhxVhVlWX7MRCavaZwrCm6jw6tZezt0JRNNAiNSaZyu3HM6G5MgG7d3PqdhwGtRww1Sgm6cNT3iYp03SwE51M4tmzzpsn2dq0GzuBng0rk3bvANvPPEHZthF1rAwRpkWX5WdpOfbAdXQ/pN6cZMOqVdzPN6dd87bUr2uHXPZrzp9/icOI2fQ2jGOf116e5OtQp15l5AriCH71mnTFujjNd6Nq+g18tvl9xUMhIjPqGSd81rHvbgKVG7fEVkOaiCf3uBkYQqWek/FY5IzcuwMsd19DjEFzOjVrTs1aNTGXD2LPRm9eC6xo0swBDWEWoa9eEZRnyMBZcxhmmcdRHy+uZlZjpacbNioQ9+oG2z02EWs9Fg8nK65uXcSyA2+p3LA2tWztURSk8vLhCzKMmjNz8Ww6W1cM5aQE32f70okcjrahdXN79ORERL9+wtvYUixq1sLCQANlUQoPHwUitBqA14ohlD4/zqqNN2kz34vxzc0oTI/iyn5PfO/IMHfTTJRfHGXZkqMoNGxLPUtN8tPieBGcgH2vqbg0V+KsxxK2BQRRtfdYBg0cSJ+6v4Y9hAUZvLm0nWmzfcmt1JCmzawxlBET/uwRj5NUGbJ0I26NlHl2zpMFXgGoNehIIysDyEvhw4t3FNh1Y/kMJ6p8oW7+p4DijAdOXiG4+i5H+vwKvJ8qMmPtOlrpJrF7/pQ/4aEoJTf1Bav6OfOw5SpuLm5bvuWIBKR/uMb0kdMxnHmEaS0iGNV4FTW8TrC6a3mnUknzvZDzyxnp/pzZdw5hec+Dwcvj8Ty9nfaW5SE9SaLptZWdmHG1GScfrsS27MUpoijlAzuXOrHpZiaZuer0nOrB+unNy2DmR49PQBF3/zAL1nlj2GUDM8fUQzt4D7bdFjH6QDgzGnwBFIJcot9dx2uZN8/ybZnmOY+utvpfVHqIeeU9kB7HPwcKISG3D7Nt/00yhKWkhz/hWaQUNRs3QE9JjFalFkxy78j14X3xVB/LQ68hvwJFTgQLercjovlGvGZ0RFdeCoGULHLSpWUJwrJy5YmjP3r8aaAo6vwph2LkWE8sJm9kcgs1AtbO4mCYOXNXTUX9iRcjtiXh/t0hjwz8ZruwPLoGO1Y6UdvyI1AUp+Lr0pdbygOZN7M+pyfN5UWN0aye3BXbj0l/BeGXmTVhDWpD3RlWN5NlrkewGjoD5z4SoCj/fI6+tJTJS1/RZc1SBjSthqbEjiIBsW9v8TI8g4SQR5y8HkrVjk7MGNoWS/0fL+r0+0AhJD7wDCvcl3PqZRYtJyxgvnNfqpuo/3B4/KO18z1A8SFgMzNX7OB5vAh9LRXEhTlkpGdSqKqHQ8vOjOg3kM6NHNDTzOOM51JOvVeh7zhnutc3oyT1Fb5rN/FBvhajxnUi+oQEKDQZ4NSX0ge72HT2A3Yd+tOnZS205EuJDrzM0esfsGw9hPEDO2KsJKZUKEZGVhbZTxU7X7sqEbF39/0GKEqS33Jq32aOP0vFrGYzahhrUJwQzO2bT8g1bY3rNCcamYhJTs6gpFSEjIIy2noG6GqolsuN54Ry3NeLQy+k6eUyjSFNK31y/f8xUGzhcrgsTTrUIPHlU4ord8elmy7X9h3mSZYBDexluX/9DeadJuLS0YQPD57wMjgLWW1VitOCCLwdwJ1gKVqPncOC/voEbNrK7XQzxi6bimXaI3w2buVhngnDRg6ilpkWpZkx3Anw42GSOv0mz6N+4U28Vm8loXIf5s0fTXUtAc8uHmTnkcfUGD6XYQ7SPL4RSESuPOoaIhI/3OfWzRskStXFZfkCGhOIz7bTaHwZ8hDm8Pr6UdZtPoGo3lDmOHXFVAkiH/jju303YfqdWbPUBdnXB1i7ZA/KXWazwLkL2sIEbhzxYbtfFG0muzOkjS3KonyC7/mzbftx8uyGsmRidW5t28SlzGqsWjcVaxWIf32D7Rs2E1N1LB6jLbnms4iNlwro576QQc3tUBGlce/MQbYdeUytMcuZM9SRzzNMUoLusn2pMwEl3Vi4fAr1dUp5em4Xq9f6YTZkHrNHtUVHGI3fnk0ce6HOfM+Z6ISeYfWmG7Se48W4ZqZlQHH10EZ878owZ70r0re3M3PmGfT6DWd4W0lFngIpWenoWDekuY0K7y/tZZXnZZou9mZCK6sKyf1lQHFxG7OXHsBk0BrcxzTCREFM+JMrbPLYQkq1yXhNt+HE/OnsjjFh9gwnHIw1kYRLX1z14/DDNEYt385wx4peij8EihErKRqwifOTqvP+jAdjN4Yy6/gBGmRfZMXs9SQ5jGPD9AZcWDSFtd8d8iglJ/UZy3u5ENhxLTfnt/4VKIKuM3PEVHSmHWFGq3BGNPSgts9JVnUqhysJUIQFrGTE9MdMv3uYKnfXMmhlCpvPbKdtpXJolwDFjTWdcPNvzPHANVQr+1cxpXlpvHl8hTfxIhKen2LfU2VmrFnDmCYV81X+aP/7nv8vB4q8cLymDsPrgzHTJg3HXFUaqdgrTFx+mFZTdjChU23qOFigJCWFIDeVwHPb2Hn6AekaDgwfOZx2Te1Q/83b/OtAEXRlNxt8LpAiFpEd+4b38VLY1HRAU16MrnUHZi/rx2PnvqwqHcBt3zHof/RQCDM/MLt3L9I6e+E5qTVakrjxvzB+k5R51I0hm9OYucODLraf5VCIItg4egx76MWpVSOxyL2JBCjMXdYzrVt1SoNOMmOmL1ptJ9FG4y7uhzKYs3JpWVKOitxHEiqNxmPUCJ6YjmL11D5YGfySNZNLwGIXFr+1ZPMaZ+pZfSxLK4zHa+IQnugOY4FbA85Nm8GDSkNY5doLO+PyY3OCzjPTdQuGI+Yw1DGblVN3Y9RnKi79mmLyMbsy7NwiXNeH0nfVQvo0skX9CzArzYpg2zwX/JLrMmeJM82rGf3wpLPfA4qi5Mfs9vDm8gcRSrKJxBXp0Hv8NIZ2rIv+LxmP/8I6KHuoRSLS0tLK+nioqalRWvAKT5eVPCp1YPIcJ1raa/HuvCdL9t1Bo1pr2jvaIJcbw+NL57gZXEzDYVNwGdyJqjoKIE4rB4oPqvRzcqZbfdMyoNjmUe6hGPkLUIRrMWBMe5LOb2PjoSfIG5tirCmJT0hRWpBORGwJdXuNY5brYByMvhf0vg4UpYWZxIQHkVgki7GlLebaqpRmJXJx93r230qnzdDBVJUL4viJGyRklSBvZEenPkPo36YOWgqQ8eYKW7ccJFa/OVPdhmOv/atP9fuAQo4uo7uS8yCAZ+lGdGiqx5ubjxBW70Ir3QgOnHhGpS4Tce1kwstr5zl45jphuaAkLU1+Qihh6cp0GDeTRYNMuLTFh1vp5oxbPgXdkADWLPfkWqQQOysjytuIlJKVkkierCWDXRfR3SiUHd5HKK3nxJJpHdEQ5fD4/F52HJYAxXxGOgi5dPwQx+4FUyyjjEJxLgnRYRSq1mHy8vk05unXgaIwkVunffE8HULbKRuY3MKobLXmxT3n2K7N+MdZM2/ZJGTfHmGz1wWshi1jdn8HCuJfcnLnVi5EVWb2ypnUMyrf7/JjX3DSxxO/RGumz+1K8F4JUFRnpYfrJ6DY4bmZ6Cq/AMVqDr0xZu7eVTTSkMQ3BMS9vMH2tRtJqDGB1e490P3seU/+cI89K2fzUm8inhuGYijI4tWNY6xbd5Zarp5M62qDIDOGm8d98L6ax6TVs9ELP8uaTTdpPWcj45qaUpQRXQYUPndlmLtxHmYp9/FZ58214DTkZRXQ1DbGolptWvfoSSdHA6KuHWLFugs0X76DiU1NKzzN5SGPnSzZcIPOnvsYV9+w7CWZnxyG/0Z3fEJrsHJZS45PnsS+CAWaVDMu/9AQCynISSM+VY4BC31ZOKhGhZyiX4BilyQpc7cblr/EykWFJAVdwHXUKsTDfDg6pmo5UHiGMuvEUbrpJvPg2Hrm+b6n/ww3xPc34hnVlHvflUMhJDftNeuGjOdWvcXcXN65PPFYWELqu0tMGzufSu6HcWsSxZgWi6m68hgeva3KgaKkgA9nljBqSRALb+6l0oMNDFkSysrju+hStfy5Ly3K5eKSjsx92J4ztxZRfuSvQyJDkBVymfH9xyPus5v9i9pVgMkfsY2WAYUo+gqD+/TDP8EIexM1REghVZDC2/AEtMwc6DxiJsvn9sNQmE7AluVsu/wBrerdGTWqGw3szFH8qmvga0AhLnN3RUYlUyINoVfXszlAzLgFU7HTlENRRR8ra30eLO/N5GsW7DnpQT19lbJy07xQPwb2X46t23YWD6iF6g+u5vg9Y34JFEn+8+m87AVj13szvIE5qr/AQOYz5o0Zy3ObOWyb3g2jjCsfgWId07rVRk8uneubFrHsQgpmxtncCtZh+fqV9G30PUmZpTzd4Ybb4Swmeyyja+1KZXkMJYn3cHNaQFGTKSxwasb9FcM5kNaAeYsn0tBKHzlERN3wwWXFDdq6zmewYyleU2eT6jCG6eN6YGOgihS53Ng0mwWX5Zi3fCq1lFO5/ywN64Z1sbXQQ6Gs+iaLo66j2PWuEq4ebrSrbc5fKMT75nr9GlCIcmIJOODBRv9YGvcYS5caeZzctJ230g2YOHMi7WqZ/ZoU+yOehj84x/cAhSQpc83HHIpRnRqgLsoh+s1NDvoe4nm2OX2dnejWzAY16XTOeCzi2HM5ertMplczS0qSnrBp6VbClOviNPmjh+IjUCSf38HuS1EY2lfDQlseSUWaRK9EJFTDrnFrOrZvgIX291YzfA0oROQkhBL4NBxpgyo41qmKetnaFhB4zJNtp99Ts/dw6hqkcv1qIKl5AuR0KtG4TSfa1bNFTTaPZ/578D71FuvOY5nSr16Fe/M9QHEpXI7ermNRfHmGM7dCUNDRQ1qoQr2Bg6iSepltx55j1WU8g+wz2bdjD49S1anfrCm2ZgYUBz3g9LmXGHUdzfyhZlza7MPtDHPGL5+CTvAFPNdt53muLvVqmKMgXd5LRCJ/oKJdhWZtO1BJ+JwdO05Cw3EscW6Dyi9AcSSQGoMn0UjmCZu3B5RpEzSra4+puhQhty5y+WEh/ZbNp8nvAUVREnf8trP++DuaTlzLzPblLuy8mKcc3rGJ80n2LF7mgsy7o2z1voz18GXM7GFHXuJrTu7YwtkgY2aucadxea0iOVFPObZpAwGZDsyc35F32zzxT6jKUh93aqqJiH56mS0rfUmtPZ51YyUeilUceG2A+24PmmnLgLiE6OdX8Fm5iawGrqyc2QXtL4Bi76p5vNGfhOe6fugIsnh98xjrNwVQ19UT13aWFGfGcOO4Nz5X85m82h29UD9Wrr5Es/mbmNTOkoLUcC7sXMf2+yos2bWMehrFRAa95Mnjp7z9EENuSjwRcQlIV+rIgpUuqL06xvK1/rRY8XtAsYPF66/SYf0BnBtJqp3E5CUGc2rNDPbFN2TV8iYcd53OxYIqdKhrjhSS0vtyOR95JUMade5L16aWFUKAhemxBHhNYvnb6uzctYJfHBhiQR4xj/czcdoOqs85x+qOqhWAore5iJzYQHznLOJ4ug5VFGN5LtOVG/vdvyMpU0xhVgwHp/dne34/Th2Ygblcufch9KYvo2f5M2TLQYbZJeHevR9ZPbaxfVZbVBAjKEzjqpcbrv6anAzwQOvlbka67KPbptNMbWVads3FuWF4jurPUVU3bu/sT8Kti9xP0aPvwGZolgGTiOKs10yr15HILls5srEP36pd+itbahlQiDPDOHPuPGEppeXnkJFDJu4+q/ddxXGAOyN6tqdLu5oEH56O+8brGHeZwfi+rbE1Kt/AxGJZVDTUUJL7PMPna0BRgZd4dXQS0w9Ks3zXWurp/5KUCSmXl9Ju8kkcXZYws08LDEQJ+PnMwOOyDHN8dzLQ0fDji+6vXPKfO+ZLoCiOOMXQ3gvJrteHiRMH06iSHnJFybw5vZcFXjdovGQrM3s6ohF3oSJQKMtQGP2ctUtcOHA7jATlZvh6r6NPw8rf4aGAzCc7GTltB7LNRzJ1aHfsNQq5e3I1a45E0HWGB+M71yLx9CzGeb+i4VAXxnZtgnZRBIe9lnAixpLZi2fR0V4BvxWT8H6mSH8nF3o1sqIw+hZeK9YSbDqCdbOHYpB6mSWrDiCq1oMRQzthoyVFQuAp1q3aS56DE3NnDaZ2Jc0/Fmb6c2Yu6+Mhabylrq5e3nhLlMe7gH0sW3sOqRb9cBvXhzpG8MFvO/M2Xka5QX+mTumPYyXtH+4t+b2pfy9QrPYLwvGzKg9xaQ6hV4+wbKMfeXadmD55KI2slLjj447n6SAc+rkxsks1Eu8fYoPXeeTqDWHmtA5EHpeEPDQY4DQAqUd72eYXSZV2A+nZvhp6KmJSQgK59yIBg1pt6dK6DtqyJRQLRMgpKCIv9y0hua8BhZjM0Hvs9tnJ8xxTeo0cSjNbLXJDHnJ07x6eldgyzMWVDvaq5ObkUyoUIS0rj4qaBmrKCkgXxOK/dwvH3ojoMmYqA+qZVAhJfRdQhMnRZ/o0qqTfYd+OXdx4L0u1tn1xntETqSeH2XbsJVW6jKWrYTAePsfIsuzN7LFdMSyO4eqRHWw7E0Htwa4sHmbK5S0buRClybCFc6lZ8pJ9Xtt4nGVF/9EDcKyqDnnJvA18SFCmFs179sQ89QY+O04j9RugeEqNAaOonHmBFUfDaeM0D+dmRmSF3Gefry93Io0Yu2whTaR/x0MhKiDo7ik8N2wn3rwj01yGYqcu5v2VU3jvOEJW9X54LHFG+t1Rtnhf+ggU9pTmxHHzmA9eBx5TY8gMnHrVQ700g5dXT+B94DqqzSexxsmaW94r8L0nYPDSFfSwKObOiZ347H+Ceb/5eI6x4Ir3QtZcSKez20Kc2tZEoSCCq4f3sud6HJ2mrsatpz2f5+aVeShWzePtl0Dh9REo2n8OFAVMXjMfs5jzLJnrhVzPxSwe1ojs91fLPG3PZNri5TsFzeiHXHiRR60GjbFUKyE76iX++3w4E2KA+35vqsUeZ/GKQ1Sb7otbVwc0PkvSKg95+DJ98U7Ues5l6egeGCvn8vb6adZvPY5Sh4V4jjXnxIIZHI6yxmXaaOpUVUWmKJfwl9e5816adiPH0s5Ws8J6LC1I46nfWlwW36Sh6yzG9W6BmaKI3KiXnPfxZuczeRaeOkRPw4KKQGEhg6g4j7DbR5i20J3HccqoNZ3CvV0zMFb5KLkolOT0XMBt3BqqztjPst42n7YUia7G8/3T6L8xjOFLVzOuhR3i5BfsXD+X0wmObNmzgQYa6Rya3ZeVb6xZunouHW20SHjlz+rFa4iuNZezGwYjG3uH2WNdeGE2jI3zxmKrXsjza77MX3wIu7mX2T7UnCe73Zm68wP956xhUGtLFLLjeXjSg7nrn9HV4xiLh9gjXZRHbrE0auoq39R2+d7tvDzkIRYhEJQgLAc7kJZB+tU2agxYycDtwcxroYx8zlPGdO/GkXdSODZvTxUdGURCSQc7iSKeCX3dXelqb/hZHoWYV1v60vWECgcObaeZyZdVHmJCAlaz/pIMLgtdqabzWVlpRjDrF01g39MiqlSyRk2YzrvwaCp3n8XqKf2prKnwj+RLfM1oXwKFuDSJkwunsfrCG5TNq2CurYZMSTYJ7yOQse3CnOVTy5KCpEL8GOXkgYmLFzO7O6JX5p4XEXx5Da5T1nNbqinbtq0v81Ao//IAlUazZshwnpqNZPWMvlgZfiYilRvDoU1z8b4SioZOZXTlS4iMjkCt/hDmTR5FPUtdhHGPWLt6AZc/CDA0MEWxKIXglGIa9ndl6pAOWOnJEXP/GKs8vXmfrYWJnjaCjCjChXoMc5nLiHa1USsK49jm9Ry8Hoa8gQES/aHcuDBSlKszxm06vZvZo1Wu0PVDR0WgkCXulT9b1+4mSKo2o6aOok1tc1RkpBBmRHF65zo2n4+k4YDxOA9qSyWd34gj/NC5/XKyPwYKTd6e8WClXwiOvV0Y07k+v2huSUqsz+5bw5bzodTsOgGXwW2ReXeE5Rt28ixdFSsrM5TEWYS9S6BSy6G4Te5IxNFNXAhRY6DLBGrLvGa39yHuReSjbqSFijzkpadRomZDr+Ej6dm8ComP/LkTnE2VJh1oWs2swouiokFExN7Zw5p9l1FqOJJpwzoj0ZES5MZx+/hudh++RrKcNoZ6yhQmx5Ms0KTloPGMG9AOi98RISlOesMhL2/u5xgzbPpkWlpWrEn7JlBkRuDnvYmLYTL0nelOE8VIDnmuYNOVHFq6zGX5xAbEXN3P1qMvqNp5AiNq5LJ7sw/nXmZhVsUYJUE2MZEhhCcq0Gq4G0vcGvP20EY2Hr6PTtNhDO/ZHOWIa+w7fJt0RU10dZWRKikgM6sYk1qdGe0yEM1gf7x9TiHdeBxLprRDVZTNozN72X4gkJrDJ9NE7jmr1x0mWs4Ae2NF8tPjCQ6JQKjiwNj5C2mlEcou75Nodp3NwtENPrO9xD3/gYsHvPE58QiRYWWMVGRJiwonNCEL605jWbloItJvJCGPS9iOXsbM3tWgtJDoF1fZuWkTV0NFmFYxRVlURFpCGgLt6gybNZOh1eV47L+TJV7HSVWpikMlDQpzUkiIzMSquzvrxlbmms9ilh75gEk9ewxlFSktzCI5uQjjBn1wmz4cR8OKz07y+3vsXjGXt0bOeK4biG5JFq8kOSAbAqg/3RPXjlYUSTwUR7bifTGPKV4rqFnyGu/lczn0Voo6Na1RlCkkNSycXK1WrN08FbXgs6zyOkiarCVm2jIIC7NJTU1H0b4XS+ePQjnSn0VzFvNWpSWDRk1iem+HTwnXZSGPgJ3MWLADQS0HzBVVkRIUkZ6QTKGGIy4r59LDQprXV/biscGfLC0D9HWVkS4tITszAyXztkxd5Ex9vYo+VbGomOSQO3jOms/pGLC2q4quvJii9CQS4wqo1t+NxbP6oVeSybszqxi7MZgZx/3oV0my90k8DbGc2+jM9PX3kOo0nye7p2Ok+itQJL67wNSRq7CZs59l/ex+ffyEArLC77Jonhs3E3Wwr2SGdF48H1KKaTlmKQuHt0KDAsLv7GfW8vUkyFXH1lCVnMQwwjHHdaEHI5qZgaSkft9yFu6+jKppfUxVBCREB5Nu2pata1fSwESa1A/+rJi5mvvZmlStaoh8YQZx4eHI1B3N+qWTqa4jRXjABryfa+E8exxVfoAcwO9Lb0dfYcraEzSf5ENvW1mkE27iunAHcVkfJaI/mUiEUGjB0CUz6VnDqEJiZtRFD1Y9UGDK1InYaUu0LCpua7kJ7wlOlKJKdWs0FCp+UaUGBXDsmB9P3mSQL1alSsOWdO/TgwaVtJD9J7Ivf+cV9NvmYGIyIgK56H+NO8+CSM/LR0paDuPKNWnXuzstalujpiBHafwjtvicRafjaHrUs0JdoTxIJ8gO5+y2LZxJNGTs2BE0sjFAQaIAKRnCVPw2biZctyVDezTCULOiCzsr+gH+Z05y90ks6YUKmNSoT4dePWhub4qqRG5VVEL0K3/O+F3mWXAaRWhi07QtPbq2o4aZTtnfERak8vL+Sc6fe0RQQgFyGqbUat+N3m0bYK4jCS+Vkhb2nisXznD96Xsy80HX3JbG7TvTsakDBv+QzHUFoJAV8+bqXo7fScS6VW86NamG7i/15kB25GMynHiuAAAgAElEQVQOHzhOqqYjvXt1ws5UIv3+jzBEhZP+MVBoE/PkDKcfJ2LZoCNtHKt+krSWnCgj8h4nDgaQouJA974dsVHL4f6Fs/hfe0S6vC616zkgm52JnIE9bTrUJuV+AM8SlGjasSO1zaQJfXafS1du8Cw4lrxiEVqmtjRq1YG2TWtjpiVD0O0z3HyfjXXzzrRwMP8GUIhJe3+DM7deIm/dim4t6qBVFqIXkhMfxsPrF7l07xkx6cXIq5nj0KQN3Ts1ws5U83crawpTQ7h+/jpx0ma069kOK82KG/i3gEKYl8zjSwG8SJaiYY/eOKjl8vDiCQLe5VK76zD61Dcg+sVNLt2LxNCxI11qavLhwVXOnL/M+8QcZHQMsTAzQDm/EPWqTejVvwUlH65z7MQ5ooRV6dZvIC0qCQi8cZkrd58SmZKHnLImljUa0a59O+rVMCU36CGXLz9GyqYdA7o4oCguIOTxTa7eDqVS6940Mynirr8f5+4EklYig7qZBWY6GsjlF1O1TT8cdbO5fekBKnV70a911YoVNqIiUqPfc/W8PzcevSJLrIqmjiqC7ETylOrjvsQV3ZT7BFx4jknrQfRsKEmWE1Ocl0bw0zsEXLrBi/BkhNLqGFvUpnXbFjRpWg09RSEZMR+4evoUlx8FI2tahVoONkinxCGq3I7BTZW45LuGnXfEtBlSh/gHT0kplse6VjN6dOlMTXuj36yRrNggbpw6RIxWB0aNaIp6aT6Rr+9z7vwzqnYfRZfahmUl0G/uXeTSiyI6jx6CnXIBb2/7c+zUNeJFilg7NsBSuZjoDDX6Og3AVBjH/Uun8b/6isTcIqTV1DCp1YgO7brQxt6QgtQQ/I/vIuBZHratRzNreINPIVVRcS5Rz29w9PQTdOpZEff4Hu9jCjCoXINOnXvRsoVEp0hIYXYcT65eJODmA0KT85GVV8LUvjEdO3WkiaMlH50Hnz3PkjBCNiGB1zjnf49XkfEIRGKUVXWwr9ucLn064WCsjagkj7jHp/H2T6DHjFk00ivfx0WlRSS9v8muHSeIMu/Bukk90Pq4XYtFAjJjn7Fnsx/GvSczqPEXeSGCAsKfnODYyau8iy5CrKRHrbad6dm1HXZ6imWxGkF+EoHX9nHy7HNissQo61rSuGcf+raui65ETVEizZ30jivn9hFwPYpMoTwGljVp1X8gvepWKvM2iIR5hN6/zbEzp3kZlYm0tDpWjk3o3KM7zewNkBIKCD2/ho2Ptcugy/ofBQpJT4jIJLTN7dGX3I3CNN6HJ5Rld1ccEgeHMsZVK6GvplDBrVSYFkVkljQWFma/uvW/e98vJTsxkoTkfIpQRN/UFCMdlV+lfb/7PH/vh1/vNiqiMDOduKQ08ouLkZaSQUPXGAN9LRTkynuNiIuziYlNRV7HGD0NpV8hSCwkJzmKqBwZTI2N0VT5rIJGXEJKTAwF8toY62kiX5Y6//mQ6LvHkZiURb5ADk0DI4z1NSr8TiwsJDMxjuSMfASooG9qhK6mSgUIKy3OJDUuibScEqSVtDA2NUBDpaLXJzcjifikVAqLQVVTH2NjHZQV/pl+KZIrrAAUcjKkJ4STWiSHroExWqoVvVtiYTFpcVFkliqgZ2hUPve/d5u/6+jfBQpBDVzmjqOVvR7F2SkkZxejrKGLtrpyBdARScSNYhLIFsiiY2KApoocJZnpJCUlUySjjL6eFsLCfIqlFNHWUaMkK42cYmk0dXXLxKsk9eoZaSkkp2VRUipGRVMXfQM91JTkkRaLyMtMITO/FGVNXbTUvq3JUpKfQWpGLtLKWuhpq3/m7hRSmJtJUlIq2XkCZBW10DfUQ1dT8ZteQWFxHunpmZRIK6Orq43iL5D80bL5sU/Yu8GHFyJbnOZNocFn6pWSpLTstFRyS6TQ0NNHTU5IdnoSmflC1PVM0FGVozAng7SsQhTUddDTVKKkMIfUpETScwqRVlZHU1MV2aJ8SqRU0DPUR6Yki+SkJHJK5NEzMEJfS5Hi/GySk5LJzC1CVl4RLX1D9LQ1kZcWU5yfRXp6NijrYqirijRCCrIzSM8sQFHbED01GfJz0kiITyKvVAZFTS20lOUQ5uUgpWaIhkIpWenZSKvpY/hZvwVJDkp6dAiBD1+SpW6ItakOMmIR6TEvOH/6POk6HZm70AkLqSzS0nJR0DYsEzkrH2JKSwrJSE0iKS0XsZQi6loGGBlooPjJq1lCfnoK8cmZSKlpoq+tTnFOJsXyWmiLYjjnu45jb02Z6TMNo8wk8gRSZc+UkV7FEMAvD0BpUT4ZKYkUyupiYqyJrFhIYV4WKak5KOuZoKcmX5ZEmJuVRnquCF1jI9TkpBDk55Acl0C2SBpdA0OUxIWk5YkwMDFCWVYCR9kkxyWSWSRASlERDQMjTLQ0yhRPhaXFZKXHk5hagKKmCZVMtX7taSEqpSg3g+SUPFQM9CnJSCA1uwg1LX3MTAyQ//QlIaK0OI/E+ATSsovKKp009U0x1Nf8Rpm7GJGgmMyUZBLSshGKRSgoqKBraIqOVrn+ESIhRdkpxKYWo1/J4rNwjBjJmk+KjyVDWhdbc/2Pyb7lyRsCSX+a2GTk9c0x+nQ/f7GyGFFpIenxUSRllCCWU8fY3ARd9c8gXHKOogySouNJLxAjr6qLmYUBagqfyQJLSkJzEoiLTiNXKIu6jiFmpjrIf/bBLekJkhwbQWJ6HlJSSuiamGKiJ8mdK59nfloUMVlyWFiZovwDNtGf3Ub/4FXys335d71r//aP/i92G5VUeWxyXsCRx6mYde7PxGG9aV7Dgn8pX/hv2/xfOYFYSMyra5w/sZcTAdHoNerNrKUu1NP93gTSf2WW/+AfEZL09hb7t3gSEC2DtVUllKSKSUuJJb5QjY7DpuPSux5qPz6KSH7CW876rOXoe1MWHFxGva9JY/6DV/7z1P97FvgJFD+B4j+x6v8vAoWwOJxTazdz+MIDEiya4DLeiX7N7fksOvOfsO3/00mIS/lw6wA7d2znbrgeTXsOYbxzT2w0fnSd0P/Tq/zmHy/KiuP5bT+OnbjG69AkCiSN4qpUo2X7vvRu1Rgbg38mB6goLZw7pw9xLVKPUYvHY/cx7PrftdTPmf1ft4BUVlZWea/sn+OrFsjIyCjTHJCVlf2sNfNPY/1oC5SUlFBUVFSm8SAn9+9ojPzZa5DkL+fm5iIvL4+ioiJiUQGJYZHEJaVTpKxN5UoWGEuSdH+A6/DPzu0/+3uJzdJjiY6OJj1fHl0jMywqGaJaLgbxPzLElBTkkBwbTXxyFiWycqjoGWBuao7eP9jZTliST0ZiPKkFCpjbmKP6L+ae/Y/c2J+X+YUFpDIyMn4CxTeWRWZmZhlQyMjI/ASKf/DxkQBFcXFxGVBI4O2/OMo04PLyyoBHAhRlbeZlZMqktaXEkuRkIcIygYif43MLSEnJICMrg7SURDdDiLCsOux/bEhJle0h0tKStSKpjCtfL//ccpFYWAppScWetCRPQfi/Z/P/sSX2X7hcKYFA8D/3bP8ZwyckJKCjo1P2VSol6c38c/wjFigslPSZKCiDN4mt/4tDkpQp8VhJYEJV9R/o/ftfvOifc/ppgZ8W+GmB77TAzxyKPzDUz6TM71xJf/Nn/xdzKP7mJf88/KcFflrgpwX+f2WBn0DxEyj+Ewv6J1D8J27Dz0n8tMBPC/y0wF+2QAWgEBZGcOXgQyz7D8amrIf17408nh07RV7NHjSz0fwbqpVCYh5d5n2+GU1a2KMq+y254L98jX/rwHIPhT4SNeiwOxe5HlhE42GdsdVTK6uhrjjSuHvwPBHSNnRub8zzOzd5GZRAiVBUMVwiFCDQt6dP147YGcny7mYA4VJWNGtYDT3VX7U8hFnB+J17goJtE1o4WKCuKIMgP57nt+7x5HUYOWIdarZoRoM6VdGRaBGUTUZIdnIIj67c5XVUKtIalanfthm1qxqj8kmOuYCE4Nfcu/6QsNQStCtVp3HbRtgYaVXo9Fd+bfl8uHmdJCVbala3RFv1n8lv+BIoJOqCN88/pNCoOk2aOGCkqfhJ46Q4K5RbZx5TqG9LgybVMdT49f/+1s3+g4O/1KEQlaby4vINHr4MIUPbinYtm2Mll8SNu48IjcviU4RMEjNXUcHcthYN69ahsqQ2/o8mKsrjw5MHhGcpYle7zmeN4v7owO/7/8LMKN6/DkOsWRmb6lafyhYFmVE8fnCHh29iKPoYDZWSladqnRY0a9KQjz3nfvNHSnKSCAt8wKNnQSSVqlHZwZFGjR0w01IiOegBt2/fJjRVAxvHRrRoVQvDz5IRJXLE0R+eERaTi55NXaytTcpUUX8ZoqIcEoODeBtXiLZNNepY6f6hkJmouBixoBQpZaWyvIU/PcTFxIe84sXbePQdmlG/qu43TlFKWvQHnr8MQ9GqIU2rG/0ruih/+pr+oweIJbkkBYVINlkZ+YoJ2eLSQlLCX3E/MJaq7bpQ429XxIgozE7kybnLREhVpdvQZvzmzooF5KYGcfHgQ5TqtaJplVxOnLhOcnZRxX1c8lxLy6Jq3wqnrvWQyY7m1rUHyFZvR5vqBp/WgEQ3JzXkPqfuptGoazdqGSshFpWQmfCe2/53eJ+Ug7K+Hc27tMDBQvdjKwFJvlE+se8CuXHxIbGShn3WdWnVuTGWn/Y7MUJBGm/v3uHOvbdkSWtj16Bp2fOl94UOjETTRChI5M7hiyi1GkFD839mH/8IFLnEhiSSnv+c3VP9aeQ5DxtlVewszVCqsPMJyU2NJjYzhQtzPCjpP5PONdTRN7DGWFtSBfH9K1ZYlEBYZCav/HYSWFCTXoNqoqVeFWsTFWT+Q9nIvwKFFO+OLcVl2WXqz/fGvUcttL/I0M4NPsnk8WsQtFzMqhGaeC2Yw4kHSagoyVdU9ywtpqhqB9YtnUt7GxmOL5rEVdn2uE/pj52h+qc+GYKoswx38kajxyzmD22KiWI+V4+sZteR+4TG5yAQyqNhXZP+4ycwpGUtdFTky5oKHdu9mZP+L0jILgZpFYwatWPSxNG0qm6Birw08a/PsXP7Xm7cDyejUCKaokOVzgOZPbYvDmY6n0SOxIIs3gb647tmG6ImM5k2sgNV9f+Zcr8vgaIw+TX71q7D75083aZMYmDrGuhKJL9LUrhxeCM7jofh0G88w3o3w1TjD1/P378wv/HLL4FCWPieHTMWse3UfbJrdWHhDGfqlT5kyfqdPAzLQ/0zsTChrBQKWmY06Taccf064WCq/s05iQVJ+G1Zz9VoDXqPGku7mpIuiz9giEXkZ0Vz8+w+Tl0Nxb7TSIb1a4fhx9ua8cafTZ7rOXI3GhkFFWQkrQLlVWje34XxY0ZQQ++3cxDkJ/M44AgH95zieWQmhVJyqJrY0n7gUIb3bEnRi8Ns8VrP+adKNO0/DvdFo6il/assnyArmmtHNrP76E3Um45izPhRNDb/2DlVLCDxw22Obt/BxRgduo6dxMRO9l+B+V/nJczPIPhuIBEZ0tTo2gwL9b8gASjK482ts5y88Brr7hMY3KJyBdG+ilYoIuiOH7v2XEKz/RRmDXL81/rL/IAV8f/2FMISMsKDeHDlNfrt21PfWr/CfISFGby7coC1Pg/o7LGFwV9bgH/qCkTkp4ZxeqUbXs91cN++lb42n7U4kHTtLEjn5bk1uK19QfclWxmgf5N+o5YTX6KOtpL0r8mtEqCQlUevgysnlgxCJvo2i2d7oDhwHSsGOnwS5xIW5/A+wIMhK4OY7ruN4bXVyYp9yZ7Nyzh1JYYcQSky8ppYtuqC25TxNLPUQlRaTNRzP7w2buPB8zQKpaRR0jCkWp9RrJjQDxM1GYSCfJ6eX4eHdwARcfmUSCugZlyZ1uNnsLBPQz5VCYvFFOVEceWMD5vXXaDzthe4Nf5n9syPQJHKnQN+XH77kBv+UVh3aYuJTV3cBrVHT/lzShCS8OwiR/3vcO3CHcTV21PN2ogufYbSoora1z0V4iJi3r8lX60q1mbqn6S5S9OecnDnZW4F3iay2Ipatc2o1mYII5qaofAbhcg/tWJ+6I8/z6HIj76I24ipvDWbyLZ1Y7A3UPusSVYhD7yn47wziJHrtjPKNplZE5wJ0ulKvyY2aH0uKiMSItS0oGnDepir5rB75mgCZLuwZNZQqhtrfDpnScRJ+gzegGbfhawY0wrl0KNMWrCJHJMWdGzogDapXDp7nFj9TiyaNYkm1mq8OrqUubvuY+LYgSb25ohTX3HS/zY6baeyZHwPrJXTOLDOHd8HOWWyzTVMtUh+e5njDxLoOH45k3o0wEhdivSoCB7cucKFy+e5dCuQWk6+rJ7YHVuDfwcoEErkac+ydtVOovSb4OY2jlY2WkTcP8q6jccQ2nXFafRg6lrq/vrg/NA7/9uT/VYp8zVeLou5ECJDo+FDGdq5AaXP97Ns7w3kLRvTslYVlKTLc55L89N4evUyL/IMGDZ1KkPa1kT1G2JGYkEix9et4EKkJgMnONO5jqTL4t8bEhXE2OA3XL1yAf+A8wTlqtHXeS5TBnfCsOydW0rYtX2s33aGXIPatG1kgxzicml5awdq2Nuh8xU9qowP19i80Yeb8Rq0bNsMS8VMnl6/RYjYgqFurrQ1L+H1rVMcPnwfgVVbXBe5UF/v1xMJMiM5t3M9XjuOkmXVmTGT5uDcxa7spSwqSueR/042btzGa6l6jHVzx7VX7W8CRUnye8767uVusi5DF02i/l/5qhULSIuPICwyDS3LGtiYfAsAi3h34xjevufQ6jKbRSPq/wSK71yq4uIcQm/5sXHDJeouWMvophLZ8c/g8GMvj6Wed+nuvZtRNSsCx3f+mYrnLMrg9SUvXOb4UXPSNja4NPqsjbdEyfgDu2eNZ09GPXy2LcU0ZBc9JntTrd98OlvJVqyWkbzoLWrRub4l+SHXcXddhuJwbzyH164AFG/OLKXHwnfMP3CQUTVkebjfnUm+T2jQcxTNLdXJjnnKsXO3MO+/lq2u7VHIDmPvMmc8AxUZPLg/VqqlRL24wKE7yQxfeZg57Y3JDbvOzClTeKzUEqcezVETZ/Hk8gEuJlvjtX07XaoqIhIWEvH0KQFXz3DxcgAPgjJw94tjTtN/pjT/I1AUEvX0FtvmL+BUsiz6hvUY7e5C/yY2qFZwnYjJjfvAyQ0r2XXvLUmFFgx2m8SwHs2ooq34dQ+FOIGDixcSbuvKrH7VUPoIC6L8RG4d3onPvpMEZujQqtcgRo3qRWNLnX+1V8cfLciKSZnZnJk7jLlXZXH32UzfWiafRIwEac9ZPXk8F2T7471qHDXl3zFxzERKOmxk5bCmGP9OUyWKEtkxw4kAOQlQDKaa0WdAEXmKfoM2oN5vIStGNyd67zjcL0oxZs4s+jWxQ00qnwcnVzF3Vyh9py9mSBN1jriPwb+4EdOmTaCZrRFS+dEc85jJlneWrFwxBUfpl8yduY7ChsOZNqoP9oZq5MY/YN3MuTw3GMJKtwHUtCjlyvq9HHsZhrqBHK8fXkOv01IWO3XFzuAvfO39kZG/lN6WxJckoySDx6e3sHzbbSq3G8vABqpcPrCf17I2jJjgRLtaFqj8M567r87496S3nwhrMmmOEy3sNClrX342CMfeExnVsQEaH+cnLsnnzQVfVh56QJVuE3AZ0BxBxCuis2SxsLbBXFcFYVEGIW+DyJbWxspKhZvb1nIhQoMB413oXNuoDEpCP7zlTUgs+SWKmFvbU6OGFXpqikiJBSSHvyMsqQg9S1usjL/sCCsmI+wN5w6e4mZ4KvKK6USlFFG3+3hch3T+CBS5PD7qw1b/GBoMGM/EbjW+w3UvJvLWATbu8kdYZwgznLpiIZvF3WPeeJ59g33vKcwe2BS55Cfs2+DLM6ENY+dWlN4WZEn623hz/MpDcrQrU6NRD1wm9KeSMmVqj/5H93P60mOyNWxoN2A8U/o4IiPIIS7mLS/fhpKWAcoaRtjWdMDaXJWEJ+fwWe/Lwww9ujpPpGfzhtjry5GZFMWr12+JSMxHVdME21rVsalsgIKUmNyUaEIjYskTyyJMTyRHyhhLU2XysnPQtKyBnakGRbmJhAQ95W1oKsXFEhljKxwc7THVkSXoxjF8tp1DUwIUw38LFKKSfBIi3vD0/2PvrMOqXNaHfS8W3V0qYgCCgopid3d3b0RR7G3X3iq2WFjY3d2NjQ2IGISEiIR0r/6utcB21znbfc75fs6f61rvvDPPO3HPM0+EPidTpoeppSUW2gqk6pa4VHNCLec1kZGvkWlokfM2CYWhM/UbOKElfkds+BNeRr0lR00Ty7JOuLm5UcpYE2X49LiIF7wVm+Be0xlDdSjITCLy2UvyDR2o6aBPUsQzYjM1sStvSFxwCIl5AspVrIKbexW+FVusMDuVmMinZOuUx1L9HcHBr9AwrEDNOtWx0MklIuwRTyKTMbJxoIZHDUoZKshIiuHZyxSs3WrhaKmrCkn9NuY5ESlquNWujrm6mMy4F4Q+CiehUIa+kQWVq9fCsZwp+UnPObF+KesOP8Wl/xgG9OhIcxerD/NPlRzs/FbmrbxJuyWL8RDHEBKfiaV1earXroWtSclaIZdSkJ7A48fBRL3NRUvHCmeP6lSpaP319aJCSnrcfZaN8OaW9SC2rJmCcwkvyiV5xN7bzaRJa9Dvu5kAHzfSb2+h14x99F9zhzEev3Gyl4lIf6kEigXoDl7L8oGfA0X4KV+6zApnxu7d9HPIJWBkR47oDGbLstFUNtMkPzWCXUt+Zl1kdQ7umYP120uMGzYFQU8/Vo5sh5mGjNToaywYM45HLvO5trQtsSd86TfnBv3XbWd0Y0c05PlE39/JyGFrcJp+gvUDHBDnvmSN1wpu6ujgZl3A3iNX8doWwYxG3+dg+NGGIiOMhdN3YVLFmhfPU+g+fR6N7HS+VvOJszi9dh0v5cZkP7+FZZ9FjGhh/1n88M9WY0Usi/t052mt1WwaUw89ZRIrVZERfXkfBwKT0JZEkFquF1O8mmP2HfNF/Il97au/fOnlkXJ/LQO9duDos0KVqtdcX3WOIvbSGryn76PqhNVM7VoT8/wHeA8dSW6jRczrXw9r5WwvKQoFqGtooqWlgZoomc2TvTitaMH0Cf2obKXMI1DsQy6JO0F/z7WY9Z7LAk9XLk314iCtWTprIFXtTFSLfXbkWSaO8cem33SGt9Bg+Yh5SBr7MOWnVpRVHSflvDwxn3ErIxmyYhbVcq8zdeF1Wo2ZTP+W1UoyhxZwZv5Q1oSWZ8qcUTSqokPI4RvEaZrgWl7CpqXzSHUeyyzPDjgXH2X/9vJbRpnitJfsW7mYPXfS0BHmI9Z0pNvI4fRoWRWz7xgU6Fsd/OPkYCYqoFh09BlVOngzuLU7RkI5CoFAlePj1v61bLoUS70h4/Du7kbIrjVcjNKhbb8BNK9qgzjjBfsDdvFK3Zke/RoQcWAVZ6MNVUDRuoKIm6eOsOfYRYJjkxGJtLB2qk67vv3o2bIuZQ3lPD69kxOPMqjWoQ8d6lT4kGCpuC8Kst9EE3zvBQWGlhiJH7P35G2Mag9k/IASoBC/5fTWley8lopd5XrYaWVSpGVI5RoNqF3NGUvDb59qkoJPsmHjYRJNmzBsWFecdDO4eiiA3bfTqN93LKM61UCQpMzlEUCwzOmrXB5KoDixYT0Xwt+gaWaCukZ5uo0ZR1N7TeLvn+LAsXNEpsuQoUHlVl6M61ie6PsX2H1wH9dCY8nNUUNXzwK3Fp3o3aMJsod7WbRoA4+z9XFuO5Bx40bQ1CCO47v3cfJ2KG/SROgZWuPSpDV9BvShnas1rx9dYs+efTx6K0bxLgPtym1p565LRGg0jl186FlFjVvndrPtxAUiE7KRirQwsXWiec++9O/eHFHoUTZsPPlNoFCIs4h+eIXtm3dyKTRSlezQ0MQEY10dytToyLix/VGPOcvWdbuJLdIhPyUXu8ZDmerlxsuL+zh4JJDIN2nkqaljaluZJh0GMeSnllhkR3F67w7uZDswcaYn5XUVJL+4y4Etu0kq15OpvewI2reJPTfSsHeFkEtPeJMnw75CTdoOGEbPznWx+mJ/TIsJ4dj2FdwtcsJWFsK5yzFomjrQpltnqlrkc+HYAW4/T8GgVBW6eo3Hu4OzCuA27rxPPZ9Z9KllQ1FWIrePb2P/QyE+c8Zhlx3KwQ3LORH4ihSJFG1dE6rUbkdf7/44yEJZNGI4e58UYOJci87jF7NukMdnQPH0/FZmzj+BbVsPCsIeERyTibmZPfXaD+Knkb2oZCAhKyGEQ5u2cfhWCK+VOUG0LXBu0ITunsPpWf1r7Z4o5y1Xt05n1t4CJm4KoL+72YcsoudWT2f+hSJm7thDj3JSXt/eQs9pe+ix5DKjaml+ETtEgIa2DloCSQlQ+KLeezmL+ldHXS4rnnniXMLPLKHvgghm7t5FT/sIJrbzQeG1mU0jaqs0GUoICzuxmJGLnzHrxFZc4vcyePQpBm/Zg1ctJWApkBSkc3JuX+Y+asC5s+N5uWI0oy6YcvLsCpxVsdsVFOW+Yn631oS6r+LQkvZoFMRyes111Bp74C64R6efFtFjwwtmNf4+6/hHoMhK4NrTAmpXMeB52Av0XRrgZPF5si+VdCS5hIfGYlDaHuHbO8To1KSesznqnxlQSMhISCS9UIpQkcDGn8cQ6TaDOQNroi1Uw9DCGksTHdIjX5CosKKCehQP08zwqFkRg/8yw8wvgUIuimXFoH6c1+3KEl9vqpUyQl2cyqEFY1nyyIaFy6fQxMkarbS7jPDy4W5+RWo6WKP7iQWnQiGgQt2O9OzYAFvNHHbOHIx/kJRKlR2Ls2oqiUMgQJ4VzbnrcdQd588STzsODhvNpbIDWT2pK842xXEQRAm3mTl8FopOU/BuI2eR1wZMe0xiQr8GlC7RiiRe82PUtNu0Wz0X97SLTHi9wegAACAASURBVPWPYNDkSXRrXAmDkiRDQWsH4XvaiBGLJtHavQxqhRIEmhqoZ4cyfcIEEhxHM3NoR1z+YaBQTpLE4KPMnTyXI6H5dBo7j+nDu+BoU5Lg5m9Hm9+u8M8AxfMzq5m99hip6mWpbG+JpqAYKCT56UQ+j8GwfDO8xw+jaU19zi+fx9FnuvQc4UOn2naI3oUSsHgNLzSq4jmiHfFH1pQAhTeVci+zcv1eYoT2uLtVwlRdTmJUOG+wpkPfn+hStwLZ0cE8e1OIbSU3KtmZfZ7xUpXnSIpUKlcF40q6u4uluy6iV3vQB6CQpT9n95r5rD/zHIWuLepFqRRKZFjYVadtX096dqxHGb2vDRxFGTGc2bOFHadDEVqUwUYnj/j4dMzc2uHtM5C6FU0QvfkjoFjHxWgR5Z2tyUzIplJnHwY3Mibo8HZOBcVjaGNKcsxb7Ft5M7KxHhd37+X03bdYVnHCXDOP10/u8uStNo0H+dC1QjI7lRqKLHNaeo2gQ3UbEq/vZOeF51i61aeKrQnSrBQiXr1Gy6UlY4f3R/PFMVYsXERQYTlaNG9NzZpO6KaHcPJkMK6DptO9VDL7NuwmuMgcV1cb5BlxhD9+RJp2LUbOmYpL9jU2bDyO0VcaCilpUffYu2Y5B4KzcWvShAp6AuJC73Hl7nNKtR2J3xwf1J/tYv60ZbyxbUa7pg1wda2MreQJm1ZsIla3Go0buKArzSY2LJTQZAO6TJyOl6uYgxtWczmjMgtXTsBJD948CWSTnz8Jjl4s86rA5XW/4rv3OQ4N6lC9kjNaolSe3n9EnHY1JvnOppubciP9WFIj7rBp3gj2vXamdfNqWKlLiAm9T3BkNnYe9alkZ4GWNJl7d4PIte3EmsWeEHqIRauv0XzmarwblaEwPY5Lu1cScFPIjNUT0Xq4m5m/7MegQQfqVzKlMDuZl9GpVGw3ghENtDm9ypd1J17g2GM4/Xv3pLP7x+ycsoIMnl7YxM9TN5JfsSFNmjhjoZCS8PQ+N17I6PqrP9ObGnLn8CJ+3RSEfZP2VLM2RFqYS/zzEFJsmzJv6lhcPu8mCmkB8cGnmD1+OXoD/Vjq3RhDxKRH3mL+1Lk8qzCc/UsHYCbPVQFFe+/lmFTrRHUb4SdAIUBT15T6PYbQ2d2G7JdXmeQzlseaHjRwsUKtBCiQS0iLfUxgnBULdmyjm90DvBrOwXbhftb2dFAJXy4pIObKGob/fIEhJ/dRM3Yr/X4OZfaRHXR3Ll7rpUU53Pbvy5h9Fdl/9xeifvHi5/Ca3Ds+k/eKY3FBBgGD3TlhMJ/D2wZgppBSVCBFXUcdcdhO6vWdR4+AiH8AKL6xjkrSorgRGqfa35RRAs0da1G9rPGfML5M5sicpRx/mQyKHJ7dvUOWqTs1HS1QQ0itPmMZ3rEmhhrfISPO37zBfB2HQkbogamMXR1L77kLGNTYAcWbK0wavhBRi7HMHdGOsiY6CFKDGDnMhwuvNLGzNPqYohyl9a4Q17aejPZsRzndfHbNGsTCs29ValDDTzJLyQuSCYkqpNWUDSz1LMP+oaO5Un4wqyd2+QgUb24za9hMZEqgaC1noVcA5r0mMaHvR6B4e305o6bepM2qOcVAsSaKwVMm0b1xJfRLQOfuukHMO2mI92IlUNh/vFNMD2aaEiic/lNAUUT0taP4+a7mXGQmNftNZKZPb6rZm3xiv/I3f/TfqO5PAcXZNUxbtouXWTqUsTBEkZtMXFQ8WTo21O3Yg59696KZuxOmBjmcWDmPo8/16DHch061yiB+94SApf680KzGT8PbEn9YCRTG9B7WnaKbm/E/8QzHZl1oV0v53RQkhV/nxI0IKrQYzKgB7Sn7/n7lD8UhJ+HWzq+AQqy0bFdu4GHp2FTywMXGCHHqK25cvEaScR18JgzDw7KQVzGJFIikqOsaY1fOAVNBImcPBLDj9ENyFQYYCcXk5kK5et3wHjWIBg5miP8QKNZy8ZUGjdpXJyX4Hrk2rRne0YLAvQd4UmRPXSe4fvEJdu1GMqpNKZ7fucejZ+8QGOogznxF6O1L3IkS0NRrGnP6leLC2g1cTy/D8Pk/U+bNdfyXryYox4Y+fbrgbGmAJDeFh4FnefDOiF7jf6W+5Cb+SzeQ6tSXOb8MxUk/n/und7B5331cB81goJuAe1fuE5muQM9IQUrUI+7cuEmKsDo+82dTj0ds2Hjsa6CQZhF8aS9+60+i13QEM73aUlpbQez9s6xbH8Bzw1YsmjcK9bDdLJu/G+Nus5nj0xb93Fec37WWbedT6Tz5V/o2c0RHmkfU3dOsX7OHJPvu+I5158ZGfy5mVmaR33gc9SAxLJBNK9bw2sGLZZ7lubJhDv5XxAz4dT79G7mgI0kj6ORu/HcE4tT/V2Z71uHTTCKpL2+xae4oLsq7s2DpROpYFHH/+BZ85x/GbvAcZnu3xVQcw5Etfuy8r8OsFZMxiz7JEv9Amk1fzfCGpVVAcXnvKgJuCZm+fDzqQVuZMu0oRm160auRIwZaWuSJxdi61KWhkz4RV/ay0O8sjeZvZmSDL1J9F6Tz9Pwmpvnup9xPK5g1rAE26gpiH11k9cLlRNsPZc0UVw7MGMv217ZMGDUQJzMdFVBEBJ3h0P10flq0Ha/app/PCoWc3JRI9vtNYfcrd1YGTKeaQQGhp9czeXkQnRavZXyzcgjESqDYTNuhi5BauGFvLCyxoVBGOxWgpWdDh9EzGNa0HNkRV5k4YjiX00uprsiUEVGLaUFKzrt4IqTO+G3fSle7+wxtOI9Siw6wtkfFD0ARe3UNw8efY+DJ/XjEbqHfxKf8cnQ73St9BIo7a/oyend59t77lWglUDyvxYPjM3hvKy8uyGTjkGoc0/Xl8I5BHz1YlFdCT3ZSr99/EChybq+h44xDKiJTAkW1YetYPdDtT3hhpHBqyRrORKUgUOQQcu0qGeZ1qF/FGiFC3Lt5M7hNVZU24r+9fCuwVUFcIBOGTKao1XR8fdqTeGwik3dk4+k7h151K6CvqQapQaorjzeOXgxv7Ya5nrpKhioVmFwNI5uyVChrha48ja1TPTmQXplBvVpRzkwXtRINhSTlBjPmHqP8oEUs9HTk9HhvThp2Z9W03riUGInlx15lms8i9HpMw7ulgGUj/NBoO45JA5pSpuR+Me7CIkYvCKXnil+onnWFacsf03X8ZHo1rYyRyhRYSuDyISy7acNY37E0dyvz8d7xPwwUOfHX2LB4HXdTzLEySOLFWzktBv2MV+cG2P6GCv57jak/AxThp1bgu/cuVjU60LGuC5p5r7l/9gTng9Nw7TkSnwHtqWShDYo0FVAcea5Pr+Ej6agCijA2qoCiKkPeA8UrE3p7tiTp9EZW7AoCMwvVWJIjQC7O4W2qGnV7jmDquH5U/S2fzq8E8m2gkBXlkPwmljSJJtal7bE00EGWn8bVHcvZdvEtjfr2wV4tnF27z/Mmswjt0m507dcHF/Fzjpy+hsC5CW3qumKiJiYu+AaXg15j16w33gNbYZoZ/AdXHsVA0WFYF/KDznAvyZgmtS14eScU9ZqdaWQUwa5DjynXfiSjWlnx4Oxh9p68TrxYGyMdPSQpr4hIFtJ06M/82rcU59ds4EaGHcPnj8U88hyL5/lxIaKQcmXMiq8UBUpvlwwkes4MmvALnWyi2bz+ILLaw5g3vhUG8pzPgGKAcwGndu/i6IMY5HrmGCgkpMZFk6vhxAgVUDz8NlAUvuXa0QBWnnxF67GrGNWw2E0m720Ih7at40x8BWb4jkY9/ABr/c9RcaAvU3pWIf9NKIe3ruX8awemL5yIu1XxlWnBmycc37CSw28rMGFmR6K2+3M+owqL/MaVAMU1Nq9YQ7zD0BKgWMK+Z6WYvWsBHnrK9VZGYtg1tixbQbzLcJZM78KnjjspL26zfdF0wix8WLm8L5aSbJ4EHmT5ilPUGLuS8e0dEGUlcP3QejZcysNn8VQsok+wxP86zaavUgFFUXq8Cig23FRjhv8vlM8KZlfARs48jCY7T4yBUSnKV6lB8y7d6NywHInX9rLA7yyNfwMows5vYd7K63T034Gne7F9RUFqDOf9p+D/woUFvk05PGY0OyKgWnkz5Kp1VqFKcZ+Wa8CAORuY3fej18X76SAtzOTJmQ1MXXKZDst28pNTPjsXjOdIRjM2rJ9AZRNNUAHFFrpN3EKDUWvp5azx2ZWHmpoOthWdKGumQebLQKaMmUl2ozGMaeWEUC5X3lyrtA+v7u5i5q4M5uzcQQ/7MMa0moLehJ1sHOxaDBTifCLOLWf4L/cYe2In1eJ2MnD8Dcbs2kX/aibFGorCHC4v7cWUy9U5fnkqEUu8GXe7IldOzcde5TyhQJSfxMq+9blWzo8jq7vzwX/lvwEoCl+cYeG+e8hLAs7bt/RiaGN71P7QP1RCdlIKmUUyhCSwYexIIqrOxnewh+rKQ9/UAjMjnQ8eH99rA/g76v1mpMyidxyZ782qKFcW/9KBqzPH8bBUPxbMGkwVa4NiH/nUIIYPHYmk3SoW9P+dza8oiU2ThnFBqz1zJxUbZb5XKotfH6dnbz8MlV4ennV4snIQfmEVmeE7iSaVbdBSkxF3LYBRvpdoNPoXfmqsx9Zx3jyx7s20Cf1xLWWEUJ5D4LppzDinxqylk6khu8u0qVux6T6J0b2bUNpIC0VBDOsnjuG4uBm+0wdTu6L5R2O8/yBQiNOiObp1ARvu5NK29xg6Vi7g2PLl3Ml24aeJY+mggre/4Kv8bw6IPwUUJ0qMMruXGGUKRSRHBLF/7UZuvDamvfcoerR0xUQjnZN+v7LvoYAuo8bRvXFFRPG3WOW7gVjjeowY04Y4pYZCCRRerUk9vZlt5+MpVc0dR1ulnQ3IxIXk5WviUKcZ7VrXVmnG/lz5FlAoyHnzkqC7z5CaO1C3ThXMdIQoZPnc27+SzadjcO8xmNq2Wdy6EUx6vhQNM3tq1XMm69Zpjt/No8OEiQxsWF61YSc/vcw6pYeOcV3GzxmBs/jpHwLFhVcadBs/HN2nJzl6+QlyXXN0NC1pOKgvZd+eZePBECq2H04vhxQ2B2wnpMCW5m2a4lzKkvxnN9h/6AFW7b2YNaA059es52aGHd7zx2EeeZ5VyzYRnG9F/VrKE7Ka6tRYVFCImp49DVq1pbz0MZs3H4G63swd2Qy990Cx/yGufX2oKb3Nqi2X0XVvR6valbHRlxF+6QRnbhXQ03cW9X8LKESp3D65Gb+9IXgMW8C0Dk4oz7hZsffZHeDPxQw35vqOQvjsAOvWX8RxkC+TOzuTlxTO8a1rORpmyrjFM2haXnlKlZP56h57V63man5Nps1sRdhGP04llGdOwCxqGMmIuX+G1fO3kFVrFMu9ynFlw0J2hJgyeZMfzW20QVbIq/tnWbt0I6IGE1k4qQ3GnwwaJVDsWDSLp5ajWenXAzNJFmHXDrLc/xw1x61kXMvyiDJfE6gEisv5jFk8DYuo4yxYdIa6M9Ywrk1FCpMjOLFhKVsfmTJ/61xqGIiIjY0mIjyMFy/jyU5+zfOXz8g2b8rc5VMxDz/I/KWnabxAqaH4hpfH+c384neepgt3MaFpWSVKk5P4lP0LpnIovQlL59blwPifOVvgSMdGlVShDgRyOeKiAsSYUa9jHzrVt/9aoykTkRpxi+Wz5xHpOo75rcTMm+BPKZ/VzB9UC9UeXQIUvWbuY8DaO4yu8UdGmQvRG7qW5X2rfXif0m00/OwCukwPUxll9qmQypL+XQhxm8/Ohb0wV1cmj0vh0tqpTDqjy86jftgnnMTbazHO0/Yyr5crGgo5RRkRrB41mD2aw7mzpR+Ruyfz0+p45h3ZT1dHA1BIyY69wvBu4xB67mb32Fof+/zfABTIxCrV5vsi1NRC669qFUqMMsNqrWbzZ0aZf27p+0//69uht+Uk3tjIyDmB1Ghuw9Vj4bScsYzR7ati8t5QsERDkVJ1AuM7uWOhOh28LwoUcm0s7EpjrpnJtsnDStxG+1H5C7fRHv1WYtRzNgs8myIPWobX/IuUazeYvq1rYy5P5tTWZZxJrsiUX6fRxs2EG/5jWXgukxZ9h9CuVgVkyY/Z6r+BOPv++E0diLPua1bNmMbZ9LIMGNCX2uUNSXpyitUBZ7HtPocZg5tT3vwTC+D/FFCIs3l4IoBFAYEYtR7MpCEdcbESEHV2J/P8jiBy6cjIcQOo52CJ9j/EFH8KKE4uZ/Hxl9ToOhLP9u+9PAqIu3GMJcv2kFSqMaPGe9LY2ZD7m2ey7MAT7Nt40ru5E2mPTrBx21X06g5gyoTWxB5SXnkY0Xt4XzSD97HpZCSlG3ShQxNnzHXh3atgHkSkY+feijYNqqAtyiArX4qusSnGet+wf/ow/r4NFFnRt9myZj13Usxo06c3dSsakh8bwpnDx4nWrsagUaNoVdkEqUSiugZFIERDPYfb+9axdu8DLBv1pE+bGphriYgOOsvuYw8xbdCPqWN7YZMb8sdAEa1B94kTccq5w86AAM49UaN6u/6MndQR6d29bDwUSsV2XnSwjsRvwwHSS7dlTL+mmBQkcOP4Pnaff0ONAeOZM6Qsl9eu4ESEJt0mT8FDM56T27ZxJ9WWzn27Uq2iEYK8VF48eURckRWNO3bCOvESGzYfQ1BnOHN9mn8CFI9w7e1J+exzLNwTQaMBPzPQw5j06Acc3rmH+29LM8x3Ng2Ej7+toVAU8ureGVat2MgL49qMHNyVivpyIm+dY/v+0xS59cZvzkjUnh1g7foLJUDhgiwviVtHN7Ji63XKtPNmUDs39OVZPLt5mn0nHmDZZhLzB5Xj+sZF+F/OpMOkabQtLeLB+YPsPfKEsr1ms9KzLJc2zGLhySSaDZtI/waV0SiI5/bJwxx/lEfXyYsY2abiZ7Y2xRqKmYSrgKLnR6BYXQIUrT4FigLGLJ2NXcIZ5k1fSlGTSUzu6U5u9G32BuwgTLsV6zaMxTj+LieD3uHsUZuKpgpy4sI4t3cTZ+PLMGv7GpxfH+YX323YD1vG6C51KWvy0WBQZUNxPoCJv25Ap+0EJvZsgaV2AZFB59iy8zJWPXxZ1M+a4wtnsiuqNJ4jBlC9oj7Cojxiwm/yMF6HtoM8aVTuW7l3FBRlvyFw83wWnC6gXRMNLtxRZ+am5bQpX3K2LwGK7pO30XLKLga6fm2UKdQwonQ5c0SRgUwbNx+dQWtZ8YXbaPjJeXSe/YyZu/cw2EXBuaVDmHpOiM/MSTR3NCEj6hYbVq3jXbVJ7FsyEP2MUJaMHcYpcWN+nTQYJ2MpkUFHWOp/isoTD7BxcCVSHu9jmPciFM3HMa1fU0zlqdw6voaVJzIYt+0oI2sXazaKVSDfvvJQKGRkvY0nExPKlDL5t92dv3/obUUyBxf5EuPgw4Suzmj/F8WY+DOw8lu5PGRZz1j183QOP3pKQdnerFk9mbrlzPhwYE65w4hhPgQmmeJYyhTtL9xvFQobOo4fTTd3Qw5M9eSssANzpw7A9RN3P/Grw3TrtxLjHrNZ6NUMW1ksm1bO5mjQW7QMrdESZ5OYr0aDPqMY3acF9qY6pIVfZOWqFdyNkWFsZIw0J4132qUZ6DORfk2rYqolIvTiNlZu3k9CnjEm+hrkpL9Dal+Pn8cprzvs0P3UmD/9kcqGIs5xLL94/UNGmZpqxN47jL//fpKMGuI1egANXGzRVh7L8xI5t8ef1ftDcOo8lFED2+NgUXxi/97lTwHFiWUsOh6Je7eRDG1XG+P3sixI5dLB1azZH0y5FkMYNaQ9+rFn8Fu5iVtxCmzsS2OqIyIuIpHS9fsyblQbYg/5czbSgD4+PnjoRrJ3y24uP0lGzVAPJbcW5eUhtHale//BdKpXnjdBxwh8no1jow40drP7wsvjU+nISbi5nSW7LqFbezA/Dyz28pAVpPLgzB627zlHVIEmxkZaFKVlUqRdhjYDhzKwS0NsvwqeISHp2XX2bdnGucdJaJqYoqcuITs9B40yteg3zIvu9Z1Q/J6XR2YMx9f7cyFaSPfJ02io95p9K+ez5nIWzUb9wpzhNYm/tJP1B5QaihF4uovZu2Ejh4NeY2Rjjo6iiPTURBJThNTpPZpfJjYm6og/K3YGolO9D1692mDx7jY7914ktkiIgaE2asrDkliNCrU7MGRoTwwjz7Ah4BiCesOZO7oF+vJs7p3cwaa9D6k6cDxN9Z+zwm8n4fkalLXSRZyXRWJCEgLdCvSZ/AstTKPZuuEoxh2m8OuQ2p8szAoK02O4dnQr6/ffIFPTGAs9TbJTkknIyMex8QB8lUARvp+1ay7gNMSXyV0rI5AVkfj8Frs2ruVscA6G1mboICE3swgDew/6jR9NVwchIZf2sHDVXl5JrHCpaKYymk+JT6NM26n4DbVX2VAsOBRF6VpOGIkUiApzyM3XoFLzvoz07kFls8/dB1Oe32bbwhmEW49ipV9vzCVZPLl6AL+V5/D4eSXjW1dQaSiuHljHhov5jFm5gOryF2xfOottQQU4upTDSF9AzutY0g0asnTVBIyiz7HCfy9xhcaYG6mhjH6ZXyTHqkZ3po3vhXbceebNms09qQe9PScwva/7xxgOqjgUm5nyyxbkHu5YyQSICwvJychFv1xjhs0aT0tbAS9vHWTVqiPEynQxMtJEKJNRIBJhVqk14yZ7U8Py25oFhTSf+MfHmDVyMWECXVw7TcN/VnfM3p//lEBxaxPthi1FaF8fJzO1L7w81DE0q8nIJT6Uf3udqWPmoj04gFWfAkVRNmEqoHjO7F278appQGLoaeYtWMDTdDNsLU0oSk8mw7ACPlPn0reeHYizCT61nrlr95Cn4Yi1oYK01HconFqw+NcZ1CqtiTgngeMbZrPqeChGVpUwFOSSmJqNXfuRLJswkNIlseE+AEXodur186VrQCS/NimGNuW1aWDATC4L2zB5VPuvo4b+xUX1+wMFIpKiIinQt6ectf6fuC75iz34zn//7eRgIsLP7mXvlWDMaw9hcIeqmOlrfHSzzYlm7+593Hv2FpFU/lUrFQoLWg4dQttqFoQe20GY0I1ObepQykj3w+YoffeIDZuvoFujA10bVsJUV420V9e5cPYKj16mUSg3oGKdJrRs2UgVYVNLedciyeFV6HnOnrtH5Nt8BLo2uDZrQ5uG1SilumYCWV4Cj2+f5lLgc95kSjG0dcSjTTtaVKuAic4XroF58Rw7dJA0q+Z0aOD22/E0/s3v8JnbqIaC8MB9nHmYRaUm7WniXhHjT4xVC5KecvLQcZJ0XWjbrgWOpb6MufBvNuY3Hv8toLgvLY5D0cTFlMSQi5wPTcGuehMauJZD9xPFVO7bYM4evsxbTUdad2yKg5GI4MBLXLr5iDR1E9zcK6OZm4maaUXqN6pC2qOrPE3RxqNJU1xLafD6+WOuX7tBSHQieSIFxraO1G7YjIY1nbHUh6i757kTlUOFOi2o41zqd8J7K8iIusOFu8/QLFePlnVcKXYIUlCQmkDonatcvR9KQoYIDf0yVKnTmNZNqlPOUu+b0SLl4jwSXnxsW75EDdNSJW2rUQkLQy0KPzHK9Jr5eRwKWcE7Qq4FEv5OjRqt2uBsUEDwtbNci8qnSotutK5qRuLTIK4/TMDCtQktqxgT8/g2Fy5d43lKNuomVtiVsUSnoACdMjVo3akespggTp+6yGtJWVq070KDcvD07nWu3X1M3Lt8hDrG2LvUonnThrg6WJAd9ZjrN0KgQkM6N3NBS1FITGgQN+/FUKZee+raynh09RwXgh6TJhZiUKoMZcyNEOYVUKZeR6qa5nDv+mN03FrTsX75z9XrCgmZSTEEXbrMzeBn5KKLvoE6OckxpAlrMG3eeCwzHnItMBzr+p1pXeLmKCnIJv7ZA65eu0Hoq1RkQkOsyrjRpHE9atYsj5GGnOzkWO6cO0vgw0iEtva4VnFA7V0iktIN6OKuzvmAJWwPUqf9sHq8ux9CmkSHCq51adeyGU72pl9dA+QkRXPn7HESjZrQu6cH+rICEl485NKVp5Rr2ZvmlS2QFGTw8sE1rj8T0bx3Nxx0RUQ9uMbJM4G8lWlTvqo75fTEvE7XoV3fTpQSpBJy4zwXAsNIzhOhpqePrVstmjdpSZ1yJhRkxhF4+gCXQnJxqNcTn141Poxd5dh6E3aHUxfCMK9hT+LDu0QkiTAv60Krlu2pW8MeLeSI8t/x7PY1Lt26y6vUQoQaOthUqk3rFk1xd7b5nbkgpyAzgcs7NnMtWYtmvUbQqcYnViWyIjKibrJiywlScz5q6z8uEerom7gxaMYQHAqiOLrvNBr1BtCrrt0H2colhbwJPc26k0l08BxKw/J6yERZRDw4xonTD4nPBG2jMni070ibem6oFMQKOeLsOO4GHuL8lRgypOqY2VWmQeeutKpiqwrsppDLyE96zLlTR7kdkoFITQ87tzq06NKR2raf0oSyPhnihDss3nKO6v196ehUvM4r427c2bWYm8KmjBzSnC9MV//yQvoPAMVfbtN/1QO/l21Ukp9JenYBmsaWGOlofJ5fQC4iMyOL/ELx55HVSnqnUGhgaGaCoY46hdnKcMXaGBnooiH8eNZWknx6ei5quoYY6WkVG8MqpBTmZJKdW4QULQxNjNHX1fgM1BSyIvIys8gtlICGHsYmhuhofh4aXS7OJTszl3yxAk1dQ4yN9ND8lvZILiE7KxOZuj4GejpofJJj4e/8UJ8BhaY6eZmp5Eo1MDAyRu/L2CRyGXmZ78iXqaNvZISu1icg93c26ou6vgUUq0Yt4Ha+Az9NHkaraqURSgrILZKiqaOvCrn+qeZEIZeSl5FFoVSAromhql+ygnxysnMQq2liaKCHXFyERKCBnp62ylK9SKqMsaCPtqYQ5fMF+bnk5OYjlYGWnj6GBgZoK72lFApEBbnki+Ro6eqhq/37MpGJ8snNL0KgVmIXqQAAIABJREFUpYe+rvYnY1eBRFSgalOBSIZQQw8DQwP0ddV/J/S0cnGTUpBX0jYFaOvqY2hooLoilUlEpEffZqf/dl5quOE9awy1LD+x91A9m0eRFHQNDNEWyinMyyZfIkdH3wQ9LTXVfXh+gRh1bX30dTWRSYrIy8kiT+XerK2Sl1AiQqzQRN/QEKGsgNycbAql6ugbGmGgq4FMXEROdjb5RRLU1DWKf9fTUX0jqaiAvPxC0NTDSF+ZG0aOuLCAvAIRmnqG6GurIy7MIysrC5FMDQ09XfQ01ZEXFaLQMkRXQ05BXgECbUMM9TQ/kZUyiNILgm7cJ92gDFUdy6IjEJEUcZfjx86TX6Yz02cOwU6jkLy8QjR0jTD4BOrlMgkFeTlk5xYiRwMdPSOMjbT5MFXlMsT5uWTl5CuFjqGeDpLCfCRCXbTzozkZ4MfBZ2WYvmU6FUXZFMoEGBgaY6T/bXsb5bfKz81GqqaPkbEuQoVcNR5y84rQ1DdWyUG5kYkK88grkqNvZIy2ujKOQhG5WVkUyIvr11CIVNBrYGykimQrFReSk5lFvkSGQEMDHSNjjHW0VZtu8djJIjtXhLquCeYmHw9Vyo1VUpRPTq4IbQOlO2gWOQVidPQMMTEy5ONyqUAuFZOTlUlOoQQ1NSF6Riaqfv6R9lIhk1KQnUa2RA0jM8vPg+UpFMjEeaSmZyOVlXhtfLYuCFAT6mJqZYKWQkR2Zg4CPWOMdT/RiCj7oDQQzZFgaGqmSn+ghHe5tIjcjAxyixQItfQxMTP6SpOttL/ITMuhUK6Glp4xZiZ6n+8zCgXi/DQyMouQoIG+iSkm+r+hjZHkk5Keg66JNYZaJffEylD8me/IQx9zU2Wo/X+v/ACKP5Dfj/Tl/94A+7NP/y9mG5UWPsF/5Gz23U2ldLue+AzqQWPXsmj9g9E7/6x8/2P/U8iID7nKqUPbOXw+Dqv63ZkyzwcPpRHI/4kiJfnZDXatXcnpVwIcK1bEUK2A1OQE3gls6Dx4PD+1dy02APybizLK6Mn1SznwojSz98zHQ+ePtta/uQE/qvs/J4EfQPEDKP4rBv3/IlDIxfGc2bCdk4GPeWdTg0H9+9G+rqPKvuFHea+KkxJ15xj79+3jYYIJHm260G9QGyoafJ/Qv/+NchfnpfD8/kVOnL5BeMw7xOrqGNo5ULdFZ9rVq0E50+8jC1FGPPfOHeN2ghm9Jg7AQXUy/lF+SOD7SUCQkZHxLT3O93vj/1jNmZmZGBgYoK7+Y5f4np9OLBYjEonQ0dFBQ0PjQ8yO7/nOv1q3Mo5IXl6eqn3a2spYEiLS3yaTlpmDWMsQaytLzAx0vp0k76++7P+j/xfmvCM1JYWcInUMTS2wsjZF+ztdnf13ik2gcvHNepdMWkauCih0jE2xsrDE4Ks0039fDxTSInIy0sgWaWBZ2uof84b6+3rwo6b/NQkI0tPTfwDFb3w1gUBARkbGD6D4zqNaKedPgUIJb++DgH3nV/+l6t8DhaampgoolBNHqK6OUE0NgUKOTCZDJpcXu1T+KCUSEKjus4XqQtQEyiixMmQyeUnwof8rQhIgUBMgFApRU44Vld2ADKlU9l3loJxXAqE6QoECmVT6hXfC/xXZ/+jnPykBgfx91Kp/8q3/I+9STsiEhAQsLCzQep8B83+k7f9LzVTK+f2Vh1Ib9N8qa6VRZnp6ukqLoq//Lb/2/yWp/2jrDwn8kMAPCfy9EvhhQ/EH8vxhlPn3Drjfqu1/0Ybin5HMj7f8kMAPCfyQwP+GBH4TKBQSCXI1dYS/c9cpF0tQqGt84rrzvtMKZBIJUrkCgZo6GhrCr13OlK40YokqJ4FSbaz+ibvkh1rkUiQSGQrUUNf8wi1T5VorRRniQaki/8No4P/i9/gSKN6/s1iF+6lpdrFaUaZQQ0OVMVWORCpV6sRRL1FzftYvmbLdQpWqXCKV/aaKX3l6F6pkXPyuYlWpUn0pQKhRom7/om/FWSVlIFAr/s9XwlF+H6lKPY+aUNWO3wqnrpAp1bLKv6mhbMv3Kl8ChbKfym+vzIyplPVnb1a6ckmkxWNH47fb/ne39Uu3UaXrl+qby5QZRdVU41AN+bdV2arv+O3v9e12Fl8PKL+zUvZ/HO7+L/ZWoaxfmWtAqRYvVsOXDLDiqxtlnz6pUk05joXC35lnxe2Vqp4rVu8LS+pVugUWq/eVfRF+o57itijfp7we+dYwU143KeWvGtMlc+Ev9vgv/10ulyGXKRAo+/IH71TIi6+8BMrrnW+sZX/55T8eeD8gUcpWOa6Urr5/m+mNcg2RKdcQ5bz9fH1RKORIJcVrt9KNX7nmS+RyhBqaX8QXKa6jeM1XK87mq5xTv1GUY1td46P7tdIlWJn9VxlxVl1TuXZ8Wf7kPqrcq5X7wW/so+9rlUulKATK8fn91vFvAoVclsrN3fvJrdyXDjUtvznBC7Kfc37nVUp388GjlHJRL2m2PI/453e5fPY+8bki9MwcqNe+FbUqWqH9/k+iZJ7cvU3g9adkSIVYO1SnQZumVLHU/zBgxFmR3Lp8kwfhrymQ6eFUrxENGtbETl8Zc6F4qXsbcpXgN7rUaemB2R/43f+r8/NLoMh4ep4j9/Kp37kNjhb6qgAjqiLPIOjECe5LnRjUtgYmoniOnTxNunkDujWvjrn++1DIMpJCL3PoYS5NWzWndP5j9px7QGpWoaoawYelXaFaYDUMrWjWpQ81y1ugUfSax7eDuPs4koxCdcq41aRe47o4WBhQbMCtzKD3nKDAIIIj31KEES71GlCvtis2Btqo7L/kBSS9CuXm5XtEJmeibliWak0aU7uKPSZfyVAZ4vYKEVnmVK9dFVszvT/06f5X5fwlUBSkvODqyRtkGDnRqJkHZT+Jhpn7NoyrZx4hLe1Gg/quWBt9Hyv5L/vyJVAopCk8OHWR2yGRZJo50rZFEyqoJ3Llxh1eJmR9/riOMolQFWrVrotzGQv0/mhSy3IJD7pJZKY2VTxq4WjzIc3PvyriT55TBkSKICwkCqFlJVyrOmJQYnOszJ9y50Ygt8NeI5IVPyJQ18LBoxlNG9WnzLeaoZCRnRLHg6DbPH4WQ4FcDzvXmjRs4EEFc11Snt/iWmAgL1MNcfJoQPOWNbD9JByrrDCTmLC7PItOx9y5Dq6uFTDSeL+8KpDkZRD79Alhb8TYuLlTx9Hy9zcWhRxRdh5isRQtUyM0/2q6AGWnFUUkPA/mYegbrN2bUtfZ4nficEhJjQnnwaOX6Dg2oIkyHsnf8JX+b1ShQCYSUZCeg9DYCF3dz+eyQlJAclQw14PiqdShC9WtvwjY9C8KSZyfxYvbp3mcX4EuXeph+mG4Sch9F8HZYzeRuLZnQC1LUl/e5EDgc8o37EMHd5uScaDMv5FG8NXzBOXa49XBlbigoxy6HfehRcVrefE6ribUwLxidbp260RpHQnZb58QeCGIsLg0BFqWVG/ejLo1XbBQhZBQAnY+b17c48r5B8TmiNAzqUDd9i2o5WiLjmrPUSArTOHZw9sEXn1CukID6/LVqN+2GVWt9L8Yqwqk4hSCDh8np2IX2td+34d/UXi/89hXQCHKeM31y7tYNms15afdIuAnJ9Q+o3M56XFhnDy0inVrb+N59Bkjamp9mOApz86yfOlybj3JR6AjQFokwLhOO36dPJo65ZQRDcWEXVjHkrVHeZUsRyhUIBHo4Nh5KPNH9sLOWBM1UTpntv3C+v3BZIjVEEgkyIxtaTNsIuO71cWEZEJCXhN+4zB3o81p1rc2tjZV8XAw+3Zwpn9Dbl8CxauDP9N/zTsmblpGh0rWfHDtlr1i5dBhrBe14+zyYZTLu4Xn8FHcKarPr0vm0b1u+eIspIgI3jWD/huTmbnYl8ayS0xaeZT4lFxQiEmKeUW+pgVlbM1QBofUtqiA18xFdHYzIeyMP+t3XiH2nRiUmgodU2r38mJsn9ZUMNdHlhXLke3L2H/6CamFChTKwES2jvTwGsmAljWw1NciLfom2zeu4+KteAqUlC5Vw6BKQ3x8htOq+vs2grwomxchl9m2ajWvTDoxdfIQPCpYfBb3/98Q61ePfgUUqU/Zs2wZB4NltBw5msFta2Kjp4EiL4EzO1ex48wbPHp7M7BrfUr9h4BCVviUdT7T2XgmFHm9bvwy3osqeVeZvXwbwUkCrE30EVKsBZAqJIjVTajRuj8jB3aihr3p78KZQpLE4RULORdrTG9vH9pWt/l7xC2TkP42gotHtnM88BXVunrj2a8tyrxRypIWchy/Zcs59jgdIxMj1cYo0NSlbhcvPAf1o4r5183IS33OhUO72Xn4Ngm5YrS1tdCzKEP9Nl3p16kFRJ5i07rlHLstp3qXocya700N84+BlSSZsVzY5ceGXZfRbzSckWOG0bS8UQmoi0kIu8yudes499qSbqMmMraj60eQ/4ZUZHnveBp4h6gMdWp0bUF5o4+5If60EOV5hN88y4nzz3Do4Emvhva/AxRFPLt2iICNpzFuN4VfBnn82zkR/nQ7/8f/qJCKSIt8yrWzj7Ht2IX6law+k7OsUBl6eyu+q27Tae0WhlS1/Ft6nP/uNSeWjmTLuxZs2TqBCu8JUF5I8oszjP5pMUW9/Tnl48LzkwvpMmkXZdrNZLWvN25WSuiRk58RwfZZE1ie1JjbAUN4fngeM3YFqzT2ksIsXsckoW1bntJmOkoqx75OR2bOnkgFcRS718xi74UEitTUEUgUaNm70G/MJDybVkJdJiEl4hr+fksIDM5DoKOGXCzEtFYLpvw8lqYOpsikBTy/uo1la/bw8o0CDW0BMoEe5doNYPGYQZQ1LumQQkFhRjzXL+3Gf+EWyow5Q8Bw1+92MPwEKCTE3X/AmSunuHrzJjcePKHTihC2DXH8oG5VSHIIuXKNE5fPcvfuTe7GFrH4dAQj3wOFOIsjvgOYdUFEv+HD8SitR2ZUIP6bz+I4LICNIxugkRnK7BFeXJDUxGdgJ8royXh5cy/rzyXjvXIfo5qURhS2i/7eC1HUGsDAljUwJpOL+9dwOasay9csplmpJI5tOsWle4E8S7XAzb0iLq36MqxpRfQ0/96zwddAMYF+/u+YtMmPDs5fAIWnF2tF7Ti/QgkUN/H0nkbgy1yqdJ/E4ulDcLU1Ql2gBIrp9A1IZsZiXzpXlPHkZTz5RVIE8gyOrVpGlFlLBnerj5WBBurahji4uWOafoMZU3yJNKxN9zaNsTOQ8PDCLk5F6jNixlx61Xck88ZKxi06gl719rSrXxUjaSKnDuwi2rAFv04bSb0KulzfNJ1Fx6Op2qIrjaqURpz4kD0HLqLfeDRzR3TByUaPzLhX3L15mTNXLnMz6B4GjcawfNYwapc3/24nr69tKCS8Cb/EqgX+hAgrM2rcGNpUMebl1Z0sC7iMcb3ueA/uShVbk2LNyz9QvhUpc/WoeVx8rU/zoYPp3aIqeXe34rvnFkaVW9DawwldNVUWLaT5ady7cIJbiTr0GjWOQW1qYvg7nshKoDi0YkEJUIyi3d8AFMr8E9GhDzl/8QJXrl8jptCIHj5TGNOvrSqXhzKNfeTF7SzfegFF+fp0bOSMuvJ8JVTH0s6BiuXL8RW7KQoIPbeN1euOkWZeh/ata1PGSErMo1s8fC2lXjdPOrubEvfwFHt3XCanVGNG/zqKWhafAEVWLKc2L8d/62EyyrZi0IhJjOlaFWWTlKewoBObWe2/lReadfAcN4WxXav/LlCIksM5un4rN1MtGDxvPHUt/4UgWgopWalvSHibjUGpithb/t7JuIhngQfZsPEUxu2n8uugWj+A4k/OR7kom4irR/BbcY5ac1bi3cDusydlylweqvTlt+m8buvfCBTxHF9SDBRbt/38GVAkKYFiyCKK+vhz2qcyz08sovPYbchsXeg7cTEzBtTDQE1OfnoE22aNx+9tY+7sHI8wJZzH0e9Uh4iMhGC2rtlPqW6T6d+gFAqZAn0rOypXKsu7y8sZ8sthHLr40KN2OWSZURzds51Y695sXjkFB61MLqwcwbTjaXTzGkldO10yXt1h666zWPdcxtZJLVBLfYrfJG8OpjoxelhvymqLiLh3lI0nX9HP7wiz2pRGLhMR9/Ah56+c5tLNG9wPi6bNgutsH1rld6Pe/slP982/fQIUKezxXsihPCl1q5pxalcAFcbfYKdnpQ/3h6LMUJYMWk5I6TI0KZ3Okq3XmH7wKT4lQCFJC2Zit67ENVnKhmk9sNUVIs+PI2BcP/zedeb2gQloPNpIr5HbaOi7lakdq6GvrkZe4jXG9xpOQot1HJ7WlMjNAxiwU4bvTn+6uNigoSYj5sZaBo09SIs5O5jS1proS/tZvWobQRm6uDfrifeoXtQtZ47G33y/+q8DxQ08vZeTaW1AariYztPnMryzB+Z6ckJKgGL6Il961iuP3vt7E2kiyz0H8rCUJwvHd6G81XtPAgURh2YwYm04nafPYXCzqphoqZEcdpgJP2/ApNMMpg+sw5PVQ1j+xJYxMyfSppo9umoFPDy8mMlboukzeRa9qsOmyWN4bNqRiWMHU7OsKYLCNxxaPAn/5+WYN2c0TauYErr7ADsvPUCttDlZEVd5Y9WFuRN/om5Fi38QKJSHgFyentvEfL9TGNTpRzcPXS7tO8Ybq9oMGz2IxpVKEob9OzPgLzz77Vwei3ggU+by8KKxszFPTyxn6emX1Ow+kiGta2P04eQjJupcAHN3XsOu/QjG9GlMYcRDXmWoU9HFlXJW+sgK0wgPCSNTzQLnSkbc2LSMszFG9PZWAoU1RRmJhIcGExr5mjyRNnbOrrjXrExpU33U5RISXwbzPLEQ20puOJUx/UKbpCA96gkndh3l9ps8jAwziU7MwbXtMMb1LwEKRTZB+9YTcD6JOr2G4dnKQWUPoYy78S0bJ5Xo5Imc9F/JtktZNB89Ec9WldBXV5D2LJDNu46TadMIH88eWOU+ZteKAB7LnBg64/NcHpKsGE5sXM/RwAfkm9jhWL0dI0f1o6I+5CaEcGr/Hk4FPiHfuAJNuw9nbI8aUJTOq8hHPAyNIC0D9IxK4eLhTuUKJiTdO856vwDuZZnTatgIerZoTDUrISlxL3kQ/IRXSfnom5TGpaY7rs52GAoVZCfF8DwihkypAGnKW3I17alUTo+cjCzMHGvgVtaQ3Mx4noTc5WlkKiKRDualHahRrzoVbHWJ+gOgkBZkEfPsEfeCn5Ih08fM2gpLpe5apxTVa7milvWK8KfRiIQaZL1JQmhenRbNXFDPe8OL4Ec8i0wkR00TK3sXatTwoIKNHpLcNKKehZEgMqVOvaqqRHT56W94FhpGrpEL9V0MeRMeSsQ7dcpW0CHqXjAJeQIqOlajZp0aWH6DaAuykokMf0y6djksBIncux+DlokD9Rp7YKufS+i9OwRHpGBi60SdhvWpYKZGWkIkweFvKe3egMq2+kiLckmIfEL4WwE1G9XBUlhIUsQjHgSFk1AoRd/IEreaDXCtbENRYhiHVi9k/YkXOPUcTv/ePelUvdSHWVkMFFuZt/IGLX1/oUpWBMGvs7CyqYhH/YZUKGVQfLEgFZP1JoKgB4+ITMxBS8cKlzq1cHcrj+E34nnlv/sLQHFyKQN+vYR9DRty0v4fe2cBVXW6rvEfm24QsMAARUXFDrA7sAPF7kSwuztQUVSwu7sbEUVUUFRQQUERJUSQrt13/TfogOPMOHPmzD3nXr+1XGtG//W9Xz37jecpy/Qty+hga0JOYUBxeDZW+gV5bnIxieHXmTpmObbTDrCoh21Bf5SIMz5yYYkLi5/XZce+ZTiU0EWWl0LgsWVM3PSGKTv20dM6gZX9uhBcdQG7lw3CUhfyUt9ycOkE1kTU59LJ+Ri/OMKIMWuxnbqLZQMaoCuohr4PYOHwMQTXXoPf2i6o58VzbNp6TqXkUKu6GbfPHKD0iAscHFvjnwAUn/HffoNM+9q0LJ/I0B590Bh+i4Mj7b4CCklmJFf2hFDMqTl1U49j338Tkw4/Z3xdQWcCMt+epHeHlTisPcK8TrYFug9KHm8byoBNahx4uAXtMwvpsz6BTSe20MrGpCBUksOeEY3YljWaM7v64z+1J4s/d+LGHlcsDQVefZB+fsLk7gOR9N6Ex+hmiMMvceD8O0y0Y3mr54DriM6U+pqn8CdOiT+49F8BFMNGe2E5cAi6vqcIENVk9lxXmlQ25cWhWSoPxa8BRQwew4YQZDWMVZN6UeEroMjh5ko35j0sjseaiThWKqk6LBQ50awZPZyXZYYyz70RV2a6c8usF8unOlPNylhlt9Tnp5gyZRcVRsxmQN1sVk3ajHEnd9z6NaeMiUqFhhcn5jPV5wODVsylW8OyJPg/5HWmOlVqmnF7xzxOpzVk1sRhNPqnAYXwdRnRnPRay65rUcjl2WiY1mXglLF0bla5UJz97xvv33vSD6mNnlvP8uNPqNCyP31b1MRQIz9JUcgDCDqzh8OBibQY7s6I7nY82L6GcxF6dB86ko51LZEkP2f3xm1EatozYGhr3hzfyKUoIxWgaFMuk5unjnDwnB/PYz8jk2phUb4qbZz74tKpBbbFRDy+sI+zj1Ko1dmFzg4VvlEbVZIRF83zp2+Rm5fCMPMeO4/7YdBgEJMG5quNIo7j3I517PGNp3TlBpTTyyZPywBb+wY41q9JWSHH6VsDKWI5s3EDB25l4zR5GkNaVkBTTUnKK3+2e+0mSr8urtNHU1kc9gfy5d5cfZmAXnFTUJamy7gptLPV4m3AGY6e8eVdNiotBbu2o3BzKkv43fPsP36Me+Hx5Gapo61tTOWmHenj0hbNZ8dYtXIrj9MNsOs4iIluo2mqFcGxA0e4+DCcpHQp+voW2Dq0oPegAXStV464oAvs2Lmbhx9BNyMPgxrtaWuvTmhQBHZ9pjLAXsmts7vZe+kW0R9zkYs1MTIvT9MeLgzq3xHCzuKz7dx3PRTCofjy3iV27DzI7ZfRSESG6OnroaOhTtl6PZk1cwQakafZtG4H0fJikCbFusUwpg6pQuiF/Rw9d4/3n9LIEalhZG5Low4DGTayE1Y5UZzavY3b6VVYsHQ8FfWVJDy/w94t24mtMIglA63x3+3JtuufsK2ry6uACOIzJZQqXZ22g8bS37klZb5x3iRFBXHYewm3su2x1X6F7623qOmVoUVXJ2qVknL70jnuv/iAlpkNnUfNZnLvGsTdP86G7fdoPmUlQxtZkpfynlvHfdhzX52pq2ZSLiWYA15ruXI/ls8KBVo6BlSp0xrnMcOwF71g1bgxHHyWTbGqDek2cRVbBtcrAijCruxiztITmLWoi+R1KGHRqRgblKBeh0EMdx9E7WIKUt7cZ5/Pbk4HveBTqgQdrWJUqNuQbiPGMLBRxV/N2z8HKNYyan0Y/ab3IcxnNznt3NgwuRt6Wa/ZPW9ivofiG0DxMfwSk0evxnbafpb2rFzQHwVZn8PxGjaMq7Yzub6ul8oLp5SL+Rh6HveRq6ix+BCuDT8wrtV0Ss05zIZ+VVX3yiXZPDs+n5FrPrDm1i4sH2xk4NwQ5h7dS0+7/PCgNDeF07M7szyiK5euzqS0NJnAg7fJqFQVhzLJTB4yFLHzWY6Or/lPAIpCO0VSAM6de6Ix4nYRQFFkLwnegE3/LUw+9DzfQyGC1PCddGi3h977jzGpmeVXIanIY2PoMTWRDRH7MDwwgz671Tlx2oO6Vr8InZybWpuloX05dnowt4Y5s85wBPc3DcDUID9JR5nxlnk92vGuxQa8prZHK+kdb6UWVDWM49F7EZXsbSmm8/sCRn/l2PlXAMXQkZ7YuK+jT/EXrFl/COMWbswY0pykC4vovzXhTwCKVM7OdGXpu+rsXDmKWjYFCWLiJHzG98Zfz4V5MxpyZsJsQqoPZ6VbZ6oUJC/lRF1lxlgPjAbNYlC9VJZNPILNgKmM6+1A6YJMvJirS3BbHEqnNYvp26QaJl9CCJIE9i+bwLGUhsya9L8DKIQxS3pxhvkTF3A0KIMeM1cxZ1Q3bP+KG/uvTIBC9/wIoHh50Yu5XieIV5SicllztET5gEKSncK7D58pXb0DY8cPorG9DpfXL+HkSz2cR7vStWEZxEnP2LraiwjNWgwb05GYk5sKAMUIrJMusXbbWZKNq9G4nh3FNOV8ePGY11lGtO8zjF7N7ch+/5zXCbmUqGhHxdKmv+NNUvDh7j7W7L+GfsPBXwGFLOk5+7yW43MlAg2TshgqM8jJy0PL2JqWfYYyoEdLKuTLkv7SlFkEnfRh446riOyd6O1Un2KaEt49vsXRA35o1OnJnOXjsZe++ANAsZlrUVJs7S1JfZeMdcfRDGtpyt2je7n06CMWZUz5EPEB6/ZjGNfcAN9jx7j2OJkS1apgqp5KZPAtgt6q03TIRAbYp3FwvQ+BqcVxGjuedlWMiLi6i4P+sVRybElNK2NkqfGEhb1CXr4Z48cNwTDyHOtXrOKBrDKdOnWhYR0b1OIfcPpMCPaD5tDb8hMn9xzhuawUVe1KIk2K4FFgAPHq9ZiwZC722f74bDvzHUAhJTH8Lns2eHIuSp2mHVpRQV/JuyeBXLzzBPOWI1m7aDyaz/ezdLYHCeU60rNDC6rbVcTw8z02r9/P59LN6NCiCnqyTN6GBPMgUk7rCbMY20DEqa1e3Eitxop1k6isD3HPbrF9/Sbe247EY4QNN70XsPTQK+xatsChZg30pJ94evcOz/OscVu2nH71CilrAp9e3WP70rEc+lCNrh0bUkZXwdsQf24Hx2Ll2I76VctgIE8k8M5NYg3b4eUxDs2wE6z08qP1nI2MbmpF7ud33Di4ga131Zm9fjIaD3Yzc95xzNv1oV2N4ogzE4l4G0fZliMY4ajPVe8VbD4Zhl2/CQzo3Y121UsWAhQphF3dzpRZPuRVbke7DrUoLZLy/mkg1x5+2e9FAAAgAElEQVQk0nrWFhZ2NMF//1IWHAqnTufu1ClthCI7lcgnD3lrUJ9FC6ZR06IoFP5TgOKsB6M2RjJ97wZMAtax5GQc/WevYUD1PPbMc8fjhwGFjMykEJb3GM/D9mvwm98qv58KKZ8jfJk2eDLmUw8zrWU0Qx1WUcv7JCud8kNACmkOUZdWMGRqENPuHaLCHQ/6Lf/IpnPbaVM+P0dIlpfFrVUdmXKpMSeCV2H3xYpKOXkJgYzuPwhxn3P/C4DiUwDOXf4AUARtwGbA/wag8GTj1A6Y6f0zCpO/AhRHJ9N/UzLThKTM7+RQbBE7cVmVQ+GPACjKTtjAlHYlCN4zn9VXcxm3aD5lIrYzYsdHZv0q5PFbHor/z4Aii7ArR9m4Zjd+bz9j130ss9wG4iAkiP5DuRNf1uUPAYpLXsz1PEp0nhkVLU0hLZZXz8NJVC9F8z4DGOHSi0ZVrTHSTeOs5xJOvdSn9+jxdG1QBokAKDw2Ea5Zk2GjOxJzYhOX3pjQd1R3snx34HU2HNtmHWhZo5xKwTElKojL995Qoe0Q3Id2wcb0m8P+NwHU9wGFJDmSWxePcz0iHUu7ulSzMkWWGMX1s+d5JarOSPfR1DPP4PmLaJWSrZahORWr1aAU7zi3bxdHrr1CoqNFMSNjjDSUxEV/wsKxK9MWuGIv+wFA8UaTlt3r8+lRAMmmrRjRxQK/IycIpwpNbaVcv/yUsk7jVB6KVw8f8jAkhjwtDfJS3xH2wJcH0Rq0GTWHxQMsubbZB//ksoxeNoVSMbfw9NjAg4wS9OzennIm2ihyUwgLvM3jZGP6TFpACwJVHoKU6oNYNH8wNloZPLywlx2HH2I/eC5D62gQdCuQ0Pc5aOgp+BT1mPuBgSRr1cd92XwaqT3CZ9tpjL/NoZClEnxlPx7brlGqyxTmDGpOcS0FsU9u4LPFmxCt5ixf4op62EHWrziMeZ9FLBjTCu2U11zcu1nl+ek/bxE9HcugKc/l/ePrbBU8P8U6smiKA4E7vbiWUp0VaydSSQAUobfYsX4TMQKgGG7DTZ/FbLmtZMTKNfRtYIOmNJWQq4fZuO0Clj3nsnhMUwrrjn6KuMuOJW7cFLmwet0U6hpn8ujCXpYsO0b5ESuYP6o1htlvOL/Xkx13RcxeNxPzqHOs9vKj1ewNKkCRJwCKQxvwCdBgzrrJaAXtZeasY2g7OtG5kQ2GunqCVC7WNR1wtNbh9c1DrFh3mWZLtzOmiVWRWSvPSSHsynZmLz9OVVdv5gxpQDGkJDz3Z/PylYSYuuA1uw6HZrhzIL40rsN7YqWvofpF//7Zbc48TGHwit24NiuazPlHgMJt6Epy+3pxwVXIofBg5IZIZhw/RGv5A7wWL8Jf1Ib1C3oS4DGR1XE/6qEoDChW4ze/9U9A8XW0vwMoMt4cp1f7NTTZcIQ5HSt+9VA82TGUfp4K9gV7o3N6AX08k/A5sZnmNsYFIY9c9o9yxDttJKf3DMB/ci+WpHfh5q5xlC4Iecg+P2Nyj37k9fBizdjmmBaS+P0Xf3j+7u3fAoq3x6bQzyuRKdvX0bUwoJBFsW7ECI5ounBs2UDKZtzKBxSua5nSpTbaH2+z2G0eCTb9aF0mjFVns5m3cim9i+RQ/BagyOb6cjfmB5divYcbDrYlVb8+FTkxrBs9lFDLwcyb1IjL0ydxu7gzK6b2pqqlUX7I48UZpk7ajrUq5JHFykk+FOvijptLM6wKQh7hJ+czZct7+q+cS4+GlTH4D/JQJL2+yMYlPkRIK2NdIoEH4Z9xdJ6Iq3Nrypn+hez9f2Gy/AigeH5+PcuPPqZ8s370aWGPdtpbAs4f59z9WGydhjF2UIH3SJnMWZWHQh9nAVA0FABFqMpDEa5VM99DoQIUpvQd3ob4C9tYv/cOEn0jDLVF+TTKCjHpOcY0dxnDtAl9sC/1o+ydv+GhyMvkc1ISOWo6mJkXx0iQqpakc2f/Orafi8axjwtWak/Yuv0sMZ+yMLSujcsod4a0syf7bRi3/e4RGh2LtlFpVV5BeHAQ6eZ1GTt1NFUkfxTy2My1N5p0Gdub3MBzBLzTwaFucd4+eolBY2ea6IWy51gI1p3GMa51Me6eOcThs/58FJlgZmyKMjma8A9KmgydxIL+llzd5IN/igAo3DF7fYnVC9dw6Xk6JUsaCWQuqsobSa4EneJ1GDpxBh1KRLJz63EUDUez2L0NBorCgGIWLrbpnNq1i3OP3qNuVoZiGko+x7whBRtGLp1HY4K/Dyhy4vE95YPnhXc4TdzE+MYmqhmYnfCU43u8uRhtw+ylrmi8OMpmr6tUGryE6b2qkRn7hBO7NnP1QxXmLp9GrRL5izI37hlnt23gaKw1k2d3JWqPF1dSqrNyXQGgeObHjnWbiKk8QgUofH3WcPilJfMPLKOermrXID7Mn11rPYiuMorVs3tQ2EeRGB7AnpVzCCs+ng1rXTCXpvHM7zjr11+k7kRPJnasgDjtA7eP++BzPZPxq2ZiEXWWVRtu03rOBkY3EwBFDDcOCIBCxDyvhVTKecHRvbs5f+cZ7+JT0dQxp0INB9r3dsa5jR2Jdw6xfO0lmi/bwbhfAYovSZn+dNuyh6E1S+TbISmaa5tmsP5FFZYvackJN1f2huZhW9a4gNsBFS+IBEuGzF/LzL41iuQUCYDi7OpxbE9qza5dU6n4JUFakUvCSyH84IHW0J0cGFIuH1B4RjLjxFG6lczm+Q0f5sw9TbWhEzGN2s/2uGbcPVQ0h+L7IQ+5KuSxYfBwrledzQ2PHqqwpFIuITHsAu4jllN94SFcHT4wtuVMrOYfxtMl388gAKTQEwsYueodq27tzg95zHvK/GN76VHFSHWNNDeVc3M7sSSsMxdvzOFreut/q4dCmvSIid2dSeywji3TulFCVx1FTiy7p/ZjxfsO3D05HY0gb5xdD9J+1W6mdKiOnoaI7MR7THceRlSzDZyc247wrf0YckSTNfvX07FSCTRFCt4Hbmfw+H00m7eLmV3tCjTl/4XT4Qdv/RZQJPkup8usW3Sau5Kx7etgrpsfZsmOvsmssdP52GwxG8a3o3jStSKAwkIvhyf71zPTOwDNYuk8SizPGs+V9HYsnJT5W4BCycujsxjvE0mf+Qvp36w6JloiksLPMnXiRgycZjF7sCMhnkPwCrdm0tzJtK1RBh1RLk9Or2Xa1pf0mjaXvrVh67RJPC/ZnakTBlKrjCki8UdOr5nG+qeWLFrsRkt7q18y1P+XQx7ZCeEc9V7CgTAF3YbOoEfVPM5sWM7F95b0H+dGr1bVMFFtkv9M+yFAcW4dq89GULfnOIZ1bIixhoLUmMec8PLk3Et12g53Y2CnupjrZnB+3XwOPpDT2XUSfVpWJifSl/VLt/LBojmu7h1498VDMdKJ5Ms72HnhLaVr1aFyacN8XQxpNmkZmtg2bEsXJ8c/AbC+ByiUpH+I4N7dZ+SZ2NCoSS1KGmkhz03hzqH17LvxEYe+w2hQOo27d57wOVOMjnlZ6jdtRQWNj4Q9j0a7YgPqVrXEEAlvHpzD+5AvOrV7MnlEV4qlPv7DkMfVN5r0nDQWo5fnOX7lAVmiYhgbl6fNiP5Yxpxn27EQKjqNobd1LN6bd/FCWYGuvTpRvVxJMp5cZff+exR3GsG8gWW4sskb/89WjF4+mRKR19iwxofH6RY0cqyKkWoXl5KbnYNSx5pmHTtRQf6YnTtOgsMYFo9vhf4XQHEkGHuXsdTK9WPdNl/MW/Sha3OBR0NCyIVDnPbLwnnp/N8GFJIkAi/sxmPfA+wHLWJmjxroqytIfh3Abu/N+OfWZfGSfECxxfsalQYvZXo3O7ITX3J292aOP9Jl3JJ5tK9mippCRlLEXfZ5eROobMTcma14unUtp9+VZZ73QhxMpby+exbP1XvJbezOuhHW3PRZxq5gIyb5eOBU3hilNJtXd8+yacN+NFpNY9mktuQfR/ktH1DM5XnxCXiudcZMmkao3zHWbbxCvUnrmdjWBnGqkCPhjc+NHNxWzaJ41BmWLT9LvRmbmNKlErlxLzi+cRX7X5Zm5fb52OtkEh2XSEL0S548iyIjKY6Ip8HE6jViufcSSocfY9ma8zRbvpPxTcp846H4rPJQzFtzAcdFu5jR0Q5NhYzU6BD2rZzPpbx2rJ3fgMOTJ3Mh1ZoubYQzRXVKI83LJlNsRvNe/enapHwRQJGXGscNn8nM9zdj1dbltLPOL+MWOFFeXPNhyrLztFh1njmNNYsAip7lIOdzBMcXLMLzfjIlTDOJNnXGb9+MIkmZ3wcUSvLSEzi70IWVkY3Ys28hdcx1kInTCDq1Gvf1z5mwdR/OFRJY2rc7YXWWsntxX4QqVXF6DEdXuLH8qT0XTi/C5Plhho/bgP3svSxyro2OwAUTF8TSESMIsFuG34aev3ie/lsBBeIUjs53YVGADiMnjKG+pT6pUX54bjpKiQHe7J3YAq3PQcwcPYY72i2ZPLQrVvpyXt09wPpjUQxae4QpbcuR+3g7LuM80Ws9mmFt62CslsaNQ+s4/aESqzetpUMVU77y3vybz5JvAYUs4Rau/ScRZtaIfs4dqVrSBA1ZJpHXj7Lz2nt6LN/MmNbV0H9/8RtAoQ7pb/FZPoE1B+4RX6wVO7auo5eDdaEqj98CFJAVfoYp01YTW7oVLk5C2aiMR1d3czRExPBZi+nfrAqffVfj7nEJiya96NK4JibyOM4f3MkTjSbMnzWBZra6+G6ZzpqrH3Hs5KwqG5XFP2LvvtMoG4xj2YSeVC1diLnofxFQKHKTuXNkIxsPP6FM99G49WuLrZmIGL8TrFq/h7gSLRjjNpyW1S3R+4cwxY8CilVnIqjbYxzDOwmAQvXbgYSgK6xft5UI/TqMdB1Du1oWPN2/iNUHHmLWtDddm1Yi9dlVDh0LwKTJYGZMak/0cSGHQqjyGIDBi5PsOP0Cs9qtadXQBmNtJalx4TyPzcW2QXvaOdohSovjY5oUo+KlKWGq9zu15t/3UKS9vc+eDV7citahWfeu1K1gTPb7UG5e8uWTeSNGTBhNGzuzb1ackrd39+O56QixZk3o3b0RFjnx+F86z+MMM5zHTWRg8yrI44P+GFBEadJr6jSq5jxkn/dmzjxSUK/HcKZOdSIv4CDbjj+lotNIupaMZJ3PEeLMmjG8WwMM8hJ4cO00J28m0nDwVBYLv8y3eHIsVEoHtyk0M0nD79hBbn8woU2XdlSx0kVNnEL063AS1crSqktXzGOu4LPjNGoOo1k8vnUhQPEIe5fhVEq/ysp9z1W8HT3s9Uh595Tzx04QmmLN2CXzaaL5hK3fC3koxcSEXGPLem+ClbYM6NsZGz05b4J9OXzmJtTtz7pF4xEJHgpvwUMhAIqqyHMSuX9uN54+lzFu3I8+bauiI88g8sFNzt6MoEKvmSxyseL2jpWsPR9Ls9ETaWspIdT/AqevvMTGeSHrh5fjhvc8lp+OodHAsfRsUBn17DiCrl7mZqQGA+ctZljz8kXmyW8DisvUEzwU7b4BFGsWUD7hCktnriC59ijGd7Mn50MIZ/Yf47VBezZvccfo7R2O33yHdZ16WBcTkffpDXdO7OHqR2sWbN9A5fcnmb94G+b9FjK+ZyvsLX+BOKqQx9WtTJ3vg2arkYzq0hQzUS7vHt3i8OnHVB62jMU9zTm3bhF7npviMrAHVay0UZPkkBAdQliSKV0HD8fRqqg3U56Xxovr3rjOPkiJLiMY2LYOphpKcj6+4c7Jg/hlVmblXm+aG2d+AyjUEVRcPz6/xoypEzjzWEzxjjMI2DmV0oWqPL4PKEAuzuTVuRUMWXaFOgMn41y/PLLUKE7t8yZUvxvbveZhp5fCpdXDmXtVyqAJrjiW0SXlbSDbdxxHr9NK9s/uiHriE1ZOHsP53PpMG9eXMtpiIh+cxOvwU7quOMmyruV/Wae/BSiUCjLiwglP0qJqTVsM/wZ1++9Tbws5FF17oTHc77eTMoM2UmHAFiYdDvta5SFUDMQ/OcuKlct4HK2FnqE2eel5qFdvweK502lWsRjqamIenV3Pii2HScw2R0dLQVaOHMv2Q/CYPBTrYlqI8j5xwnsGW08/QaJuhqZMTIbIkJbDpzGzX3PMdP+Z/AlhRH6l5aHIIGDHSjyO3eFDrghDXU3UpdlIctSo2GYQU9wHULW0CcrIcwwb5UmZ8fkhD4uCUy/p8X6mTFzAmYw6+GxZqwIUel/LRvMBRbDVcFZO6lmoygOQpHLrqAfeh26QmK2HJgqyFFrU7D6cqUO6YFvcCHlKFIe2LuH49XCylPqIxBLyjC3pNtyV4U4OlDDSISncl61b1nE75DMKTW1keVJE1vUY5+pK5wa2GApsWl/aF0CR+g9XeWiqESUcUt6nySnTidFj+lKvonk+94D4M3dOb8Fj920s2wxnwpBuVC1p+G8jail8ev4ooFh95hV1eo5luNMXQCFgijQCzm7Ba5c/5o0HMX5kd8wT/djs6cOVp8kYWVlhVUKHj+8SKOXgjNuYDrw76cWlSKHKYzyOJjGc2LefcwGvyJArUVcTkj1FmFVuRN+Bg+hYvyzRt45y5Vkq1dr0pG3d8t9UeRTpiSop02P/dfQa/lLloZSmEHrjFHv2niE4NhN1LXXkWXJ0S1Wnx4ih9OlQHwudX+862Z9ecuHwfvafe0CqQFWNFLl+aVp1GcQI53ZUtNAlJ/ZHAIUGvabOpJlRLEc3LsPregptJixm4fBavL2+n23HnlLBaQzD6sOJHVs5cO0ZCj09dLTVkYqzSEsSUaf7GObPaM27c5tZvf08EtteTBjWh8p5j9m7/yyP4zIRkm+EShSRnhk1WvZi6MBu6L26gM+OM6g5jCoKKA4HU2PwZNqaRLHFYzt3YzMwMRY4KRTkpKWjoW1Fz4nzaVv8Lbu3ncJYRWxVlIdCnBbLg8uH8N53gchMOQY6eojzckjPlVKhYR+WLBqHeiEPxbRudqgpJCRGPeTErq2c8I9Gqq2FtkiEUqZLuZrN6Oc+kvZl4YX/CVav3cXjj5pYV7bERF9EalwiJdtMZ82QcqocilWn3mBV3wZlYjrZOTmoa5fAodtQhg1xoqJBUTKUxPB77F05l7ASrnh6FPJQeF2hnvv6bwBFNm4ey6kres3hDUvZdvkdpuWsKG1phjwlliSdhqxYO5Vi726w2Ws3obEK1HUEOQYF6vrFsGvSj2mjOyGKucHyBbO5nmhLz7FzWDG04VcvqUBsJVR5zFy0D40GNdBJSSclNQuFTJ3ydbsyasZoGpkpiH50gU0bD/LoYx4iDaUqJKyuq491/e64TRhKDfNvSF8UUtI+hHJo7XL2PohFqaOHkSYoc3MQ6ZWm9bCpuA1oin5eKi/PeTDKM5Lpx4/Ss5zwZCWS7CQCDy1g/JITZDaZTdCuqZQqAiguM2X0KioWqfLI95zkJLxk+7rpnLiTiLpeMdTEecjMytNnwizGdbRHUy4hPuwaHquX8CBShK6hHtJsCVp2jZk5azrt7SyQS7N4emUrKzftJi7DAj1dyM1TUrylC+tmjKGCaaF9vABQjOk/iLxCSZlKuZTwEwtYdsec+eunYvc3RJC/Dyiy3rB72y7UHScy2LHE9/n7Y26zeN9dWg6ZTZOyGkWot988Oc+F08G8zZBhYG5H895daWZnie4XPYq8OIL9TnH1+huSZRqUrtKA1j2cqFNKoN7OjxWKU0K5cf4c954mkS03pGrz1rRp2xRro7+Rz/0HvBvfEwcTp8cSfPsOtx+GkZSVLVAJUq5yPVp3bIFd2eJoqYuQfwrl0JHbmDbtTsvqVgUsmaqOcff0Lq58MKV7r+7UKm+G1hcaZkUKvocO8t7YgS4ta2JuWJSGVpYRRaDvRfwfxJCco025Oo60bN+CqiWNVUl6wiaXHh/MrUs3CIpIIldZDPsWbWjVrA5ljHW/Um9/iLjFjYuBvIzLRNPEhnrt29O8dkXMdLWKlhPJMgi6doKQ3PK0bd4Q60L01z9guj91SRFiKw0lz/0Oc/1FLvbNOuFYvRwGXznOBRNGcu30Gd6rV6RVu5ZUtvy9ioY/9Rm/e/FvAYp8HopRNLcrRkLYLW6EfqJMjSY4VCv3C5MqAnXCS26cucF7ZTladGxBZTM1Iu75cePOQz5pmFG7QTU00pORGZSjoWNVUp768yJJhzqNm1LVUofk6BcE+PsTHB5DRp4Cs7LVaNS8FQ2qlcdER05U0A0eRGViXb8F9SuXQsXi+92mJPVNEL5B4WiVb0CL+lW/kmxJ0z4R8TiAG/cfEZ2Yi46JNbWaNKeVox2ljH7jiUoZqbGR3L3ty4PQKLK1DLGt15i2jRtR0cJIlSeVGxfEvgIeipHf8FAI/BuhAXcITxJRq1UbKhvm8izgOvfe5lK1eRdaVDUh4WUQ90JiMavWhJbVzIh/GcT1G7cIe5+KhkVpbGxKoZeZgZpFdVp1boRabDBXL10nOqc0Ldt3o5mtFpFP7uF7L4jI+Ay0DIpRsUZjWjZzwNbSgNQ3T7kbGArlG9GpaSW0lHnEPH9I4KMYSjdoj6OlGs8Db3Dl7gM+ijUxKWuDdQlj1FJSsajTAXvzLB7de4pO1dZ0aFCuUIWNoMcgJjX+Pc+CAgh88oJ0pT4GhiI+v4/go7I2M5dMomR6CHfvhlO8gROt7fOrHBSSHBLfhHHH348H4fEoNEywtK5HqxYNsbcrjra6kuzPCYT4XsU38AWUqUCdWpVQfIwh18IBJ3u4snUN+4P16TWxJcn3gvgk0aVSnWY4tWpMGfNfE35lJr7l4fWLxBs2pWf32ujLc4mLDOHW7ZeUbdGTFlXMkOWm8jrkLgEREpp174KtgYz3oQ+5cvE672TaVKnbUFVyHJWgSdtenbDSSCPi0S2uX3tETEYeGgZGlK3XhA5NmmJXQo/sjFju3TjF9aA0yjfszqietb+CYSGsF//yAVd8IyjZwJaEoABexOZQokINOnZwomYFc0QokeVl8O7Zfa753SEiLhMNbYH+vSntWjXFrozRd39wKGRiPr17we3rd3j0KhqJEvQNLLB3aE7r1g0ooa+Nivo7zJcjfkm0HjaUml84uhVS0mOfc/r4Cd4Wa820Aa1/IX1Tysj4+IIzR25i3nognQryPr4sRaVCQkrMPa6cu07ImxzQLkF9JydaNq5FSdWWr0Qhy+Rd6BUunLnPm3QwMKtEs56daVq9LPm4RYE8J4EnAWe4fPk1yUotSlWsR6ueTjQoyJ/7uvQFbZKMaI7uO4C09iiGNrXM5+6Qy4jx28HeZyYMdetH+d/eMH54E/0+oFAqkEgkoKH9y2H37SMVMvIkMjS1dH4tDqaUI5NIkSqUKg5zLa3vlHMqpCqufblSDQ1NLZW4StEm8JlLkUrkKgEXTW0tNP5m0qofsdJvqY0KgjVSgRJcoVCJZmkIwjWFRWaUclX/1DTySYEKFyQo5BLEMvIJg4r0SYlMEHpRU0fzN4SYlArBJvmCNIJg2rfPzp+M0nxRNZXoTL6wWNGCCDlyYXxUwkeCeJsACL9XMiFQc0vz3/U7AmI/Ysc/uqYoU6YWUkkecqUgpvOtjfIXnLBJyxQFwmnf2PeP3vVX//17gGKD6zL8U6xwdh9Gp4aVMNHRQK5UoBLTEn0zp5UCp75gTyXqBWRRKrG3gjEXbIwgCCYIiamrqxa8XAka6hoF9PfCeHwRh1OqRONUgmQFQyeIE8lVa04Qs/p9/6XqvXJ5vjicMNcKGeWLAJ0gdCSI+wmCRn+49grEllQiYMJ6UI2bMO+V5GWlEvviFge3niDGsB7j5k8owpTJF6EmgZRT1VcK5p3w//nzV6GQIZflC3UJc14QcFIJEApiTMLfaYhQEwS6VHNVAzVhDxKE21TigYKd8u8RbJ3fL+G6Xwi7vtpDTePrXqSyp3CtcF3BNwj3C3uWSENd9XeCeJ5STfjG/LH5Iij1izllJL8NJ+BGAMkGVtSqUREDNTFxL+5x6txN5LY9mTV9EOX05Kr71dSFbyo0GgW2kUoFYSeRyh6amoX3kwJRNpWYVf5YCt8trH1p0kvO+azl2MsyzN+3kJqainwxxd8hKlPZVSZFSb6oo2o/UQkS5otzqeaB8E3CeAgCh5qCtpLwV/m2FfTbhP1cTVkg3Fj43yUSlWCkMMDCfZpf5uiXPgr9FwnnReH5WNA/mUIlfiUIzUkL/lvYt74VDZTJJKp/V4kqCufKHwq15Y+bIOQoCNAJAl7CvvyL3ITwfuGdSjS0tIpqyKiEHYX5oI72N2ecUsjhkMgQaWgVHc9fTnkUMgkSqZAgrIGWdr4di7aCc1RYpoLIpvZ3BMSUMiTi/Dmp6q+wDr63wQlnulQKgn0LnbWqb5Cr5b//r26Mhe77KV/+B0b8KV/+N8yyH3jEf6N8uSw3lE3j5rL/znvM2/bGfXh/2tatgM7vUGr/gCn+b12ilPM2+DInDm7n5PWPlGvpwqyl46lXSMvj/1aHf30oJIYHcmSLJ2fCMrAobYm+upi0tDSkJnb0Gz6WPq0q/0546q9bJzvhOee816gAxbyDS6n/VXjorz/z550/LfB7FlBTKFQFaD/bdywgoNwPHz5gYWGBtvY/o2j5/3EgBDt/ARSGhob/sbYWPBSfP39GV1cXAwNDFJL3XN9zmCt3Q/lcvAZ9nXvRtn7Fn4Ci8CRWynnz4AJnTp/iaYIpNVt2pHff1lgb/A3+1f+SxSLPS+Ft2F0uXvInNOoTUnUNjMvZ0qhtV9rUqUoJ/X9PVrGQu/H4xkXux5vSY5wzNvmSxD/bTwv82yyglpqa+hNQ/IZ5hYNOOECEQ05wg/1s/x4LCHYWi8WqP8JhLbis/xOb4BLNzMxES0sLHR0dQUCA7PQMsnPzkGnoYGRgiP4/mDD8n2ijX3+TMr98LzOTPKkIHX0DDA31/nbNnf90Wwiu+tzMTDKzc1GIRGjq6WOyCAkAACAASURBVGNoaISQ4yrMq39HE96Zl51FrkwdQxMDNL8b1vx3vPnnM/+/WkAtOTn53zOb/49YVHBNGhgY/Mcecv9HzKzK2RH+CAf1fzKgyM7OVoHLfI+VGiJ1UUH+iRBrVaD4Nx0O/83jrKYmUtlJlQimVKjs9P9u01FTQyT6MleEnDoh30MhpCP8G5uaKldExVny/9Hm/0bL/nz09y3wM4fiD2bGzxyKf2bp/DfmUPwzlvn5lp8W+GmBnxb477DAT0DxE1D8R8zUn4DiP2IYfn7ETwv8tMBPC/xlC/wmoMhLS0WiZYCRXtHcAblMQnpqOmK5DDU1HQyMjDH4JntY4CbPTE0jR6pAQ9sAYxP9X8VM5eIc0tMyECuEuKoRxoY635TNKJFkZZCRlYsMTQyMjdEX1EQL1cRIczPIkYjQN9T/47K2v2iibz0U8rxM0rIV6Bsbol2kREdOdno6OUptTI300FBISMvIQKltjJFe4XIjJdLcLNJz5BgIuRmKXFIyslXlfr9uQpmcJgZGJuhq5ZcHynKzyMjMRiIXCE+MMBCeXbjeSKkgLyuTrJxc5GhhYGyI7jclSQKhSXZGBtliGSJNXQwN9dEuUqr1y5fIcrPJk6mhrafzAyVYf9HI8DUp08jISBVOkElyyEwVSGb00NfXLTK+QjllVmoGUnUtDAz1ipRB/fUv+OM7vy0bFXIocjIyVTkUcnUdDA0N0FaTkJGVjViqKFq+pa6Otq4+Brq6XzVufv+NClX8WywToaOnh/bfTA0r2FCcm4dCpIm2rvbXcjhh7WZnZZGdKykUlhDG3wADA2Ed/5GdFEhycpEKpWj6Qq7EL9cLMX1xTjZZWXko1LXQ09dHT1cLkUC8k5tFVnYOMqUmevrCu3SKlLEJ5W3ivFzkSk10VHk23xTHCWXcYjF5Qnmfjg66f/yhBR8mrLu/pjInlJoKBFViKejo66v2g99sQtleXi65Yhla+gboqkoyf7Y/Z4Hvj5UwDpKcTLIl6hgWM/xFOuDPPfxXVwtzTlgLCtU5WIijRyhzlWSTmiFBRziXNAU14TQyJOoYGRvzCzegEGqSkJmWiUzbkGK6amQIZ4RY/n1uJ0DbwATjgrmvlEnISk8nWyJHXUsfEyEPpnBJsVA+L8klIzX/HNX+3jmqVKpsI5wZMrTQNzZSkTF+tykVZH9ORc3YjG+O/R+25HcBRV72O67tPoS43gicHUp+7bxSksLjm75cuRtCmkQMamZUaNASp/Y1KWesn78sJamEB/ty+VoI8Vli9EzLU9+pM61qlsOgYMHJMt5y388Pv8AI0qUiLGxq0NipA47li309OLLiH3Pjyh0eRcSRp9DFpl4TWrRuShULPdTV5KpN4EPwZR6+N6SZkyMW2lqo/eFm98N2+Xrht4Ai+ckZDgVk0dy5G9VKGOWzNwpNkcztY8cJlNoxqpsDxcRvOHr8NPEmTXDp4oilsW7BBinjw6NLHLyXSfsuHSmbFciucw/5lJb7XUChaVyKts5DcLQtjigtggC/Ozx4+pa0PBGl7OrQpHULapQxQ1fYYJUykt89wu9GIKFvPpKHAbYNm9K8SX1szA3yN3dpOm/D7uPrG0TUx0w0jUpRvVlrWtSrQnFD7SKbuFyWRuity0Rkl8axST3K/lPEVtra5Hx8wfVT14nXqUDLDs2wLW1SoC6qJPnNQ66cD0FUoT4tm9egtPE/U4HzLaBQSBMIOHUB/+BXpJlVoUvHNlTSes+VG3d4+SGt6HhqaVPcuioNGjeldsUymOQzkf12k2fwxO8m4Z91qN24CXZWhRUX/vw8LnqHjE/vnvHoUSQ6VjWpW8+ugCIc8hJfctv3Ov5PPyARlpmw0jS0qeTQnnatmlPe+PferSA7LYaQgIekqFlRt3kTrL7olcmySXz3nHv+93gSkYBM2wSbWg40bVqfCoYywh/c5PrtByTJLKnfsh1t29pT+FW5SVE8uefPq0+aVHFoin01awy+nMlKKekJ73hy7xHRUhNqNG1O3TK/Jm0q/OUKSR6Zn1IQKzUxLWPxlw4hWU4yz4MeEBYjp177NtiVFBg0v98U0kzePAsiKCyJKi07Uvf3DfmvDvD/rfsVcvLS0kj5lI2xrRX633BLyHJSeXXvIn6RhnQb250yf8c5oJSTnfyOWxcukm3biZ5NK34lihOot5Mj77DrbCT1eg6gRTl1Xvnt5+hTNdr17kdTW9N8+wusmKmvOXPwIp9tuzDaUZ1zh4/wMCr9u4BCpKlNxeYuDGpvj7Y0jcjHvly5/oS4DAm6pmWp16EjLWtXzCehEwBqxnuC797C1/8l6QoNLMpXp1HHjjSpaJa/jysVZH18xs2rtwl6HotEpEe5mo607NCa6uZF90yBN+Nz/GMu7r+F9YBZNP+qLPbnptKvAEXah3CuX9zF+pXbsFsQzK7hlQtIPqRE3vRhwcrjxCr0MdZTR5KaRrLUhA5TpzGtZwuKaSmJCzrBopWehCYaYG6iSXbKZyQ2TVkwbw5tq5ihrsji/kkPlm+7QhrmGGtJSE3NoljzQXhMH0VlC21E2XEc9prB1kvRqOuboivL5JNYg0aDpjN7UBtKqsfxMPA1T+6d5WG0Gc2716ds2fo0rV7ib/+1+i2giDriTv/Nn5i63ZOudqV+YUKURbF2xAi8cztx1XM05TP9GT7aFd/U2sxdu5LBLewwUkFXMY/2z6SfdyIL1iylleg2i7dd5UNytsD7SnRYGOk6llQSmP8EimCz8vSfOJdOlXUIPL6aLccfki7XR09NTGqugipOw5gytAdVSxsjT3rJ3i0rOHnnPQpNfdTFmaRpmuE0ZCIjuzbC0liTT2HX2LTZm7vhWWjraCPLyUBSsiajXN3p7lgZY538XVqc/omnDy6yY/MmPpTqy8IZI2hQ0aKIwM6fm2q/f/W3IQ9xUjgnNnmw504KjsPcGN29CWWNtZGmRnFy+1qO3M2mWf+xDOzcgJICZ+4/0H5FbKXioZjD7huv0G3ai9njB1Ix9SoLNh4kPM2AMsWN0FDL/1UlE2fxOQtsm/fBdVQfGlUq/ru2VEoTOLZmGZejTXAZ74pTndJ/Sw8V0lwS3oZy/vhOzt2Lw8HZjTEDOlKqgHY38dFx1q7dxNVXYkqWNFN9o5qmLrU7DGRA355U/VbK48tXCYJNCdHcvX6Eg0evol/LBfdp7tRWSVnKSY15wplDOzl+Mwwx+mgqxeTplaRF7yGMaFeLuMBT7Nqzh8BXOrQYOpW583tRWMg6LfI2ez2Xsdc/ifr93Rk7ajB1i+ePuzL3I0HXj7Jxw34+GDdlzNyFDKxf7HftlR0XQeDF2yToVMJpSCvM/4J1JZnxPLh2hcBXcloPcqF+2d8GffLcj9w+uZvdZyLpMG0pgxoVlen+C6//f3OLPDedt3evctEvjY4LR1DlG6KXvJQYbnjPZM2NUnj6elLv7ygSU0j5HBXIqmkzSWq9gi0TW/EFLgoKvK99N9DV3ZfBWw4zzUGTa2v64OITT8/JK1k9sTuWhhqgFBgxb+LebyZv2nhwc2Iptnt4cPVZMiI1BRkJb3gZk0uFmtUorqeBmqYONXtOZXb/BqSHnmf5yrU8jtPFzEQHcUYq0nINmT5rLp1rWKhUgB+f38Iy71MkSy0opi8nPSMHQwdn1s1xw85cHVlGLKe3zWPjyZdoGhVHX5lFUo4atftPZ9nITlgUrHnBK/n+xUNOHvFk5/7HjDkbw6T6f216FQIUeby6FcDpG2cJePCYoNAwOq19zO6hlQqy2BPY4tKZLVm1WDptFLamuog/RXDKczknle04um8FdUwzOTjdmSWBxkyc6U7TCsYkPr/C6pU7MR6wjUPTWqORdJ8pw8bxwKgdc8a7UMFIQuj1naza8wTn9WeY2aE8ucFb6DHKG4su4xnTtTEWfOL8zuUcfV2G5Vs30qncJ45vPsbl+7d5/dmcSvYVqd11KONbV0K/sBbFX7NJkbu+BRRvjk2mv1cS07avpXNh+XL5GzyHj2Sz2Ikr60dhnXWH4aPnEPA2FcvW41k3bxx1rIuhKRITsn82/bZ+ZM6qpfSsrsuH+GTyJHLU5J84sHgeL4p3ZcLgNlgaaSPS0qV0OWu0Yi4ycfJakq3bM6R3B2yN8rh3xpt998QMmrOcQa2qkXxtOePXXKdsG0FMqAEmkhhObPfigbwB8xdMpkUlHa5tmMaaa8m06j2Q9vVsyIsJZIfPfnLrjWOFuzNVrfRJfhXBbd+rXPa7TdDTEIyaubFu7kga2pgXohT+G4xb6BG/zqEQPBF32bJqBTdTyzDGbTrda5ny9NI21hx8iE2HQYzv70RFc4O/heHtR3rzPabMja5L8U0qQQ/X4fRobEuinw/LjgRR2qEXPZpUUylLqqSyMz5x9/RBLr2U0HX8JIZ1bogR+UyxAiumiplPYNIUWA4Roa74xAnP5SpA0XeMK061S+UzhMrzGSCVwn0FDJBfnWRfmTI1iobBCjonTk/mZVAgFy5fxT/oPrGyYvQeMw23/h0pqdpcpIRf3s36fbcxqN0Rl/b2aAllCCJ1jMxLUbJEcfS/g90EeuSYsKdcuXSFW4F3CHuXTK1u45gzzY2a5oKwZzrBF3azce8VRFU6MLBLE/SzIrl44hhPc20Y5j6FjrYiwvyOsH+/P1oOQ5k1tzeWhQYlPeo2u9auYefNKEo27cLgoYLoWFk0UJIZE8K5Q5vZevQO6jZOjJ23iH71BOQj2EuGwN4p2EtgEP3CLJr49Aq7Nu4iukRnZi0bhI1QhaKmhuA+F1gTBcbHwtfnM0YKFSpKVYREITBkKmRkZ6SRnqukWMmSGAty70p5wTuF6wRmSw0VS6ci9yP+p/ew53wk7SYvZZBD4d4VdLQQ22g+K6YINaVSxZCpYgdVyFXMn2pqQr8UKvZEDSF0IlTOyGQqBlBlAWuvcL0KbKmYLwXmzF8YQPOZUPNZOQWGT+FegZ1XQ6RExchJPtuo8P7vNdV3qNhG1VWMpBK5oqCfwrfks+vKBL2ZL/NTKdhOYM4UGIXzQ7dfvkuBwEwpPEepYoaVCkyrFDBDCkyYaiBO/YDfrmV4nFNj7nlPmhsL7My/hKkEQHFz60zWXLdkww0PairzWZrzGVKLhpYEhmOZwG6pEDRFvrAEf6eXKkBxn1Uz5vK51VI2u7fgi89LOMwjfb3oMfEm/b0PM62BJjfWDaL/pheUqtGASfPXMqq1DRpKCanvfZnkMoPXbdcSsKAJsdHvSMoQI1Lm8cp3L6uOvme0oFZrpaeq+DEuaY2VoZRzKwYz55o642ZNpmVFYz6+8GXzxj2od1zF4YVdUPv4mKWuY7gsb8LCyUOoaJjLc7+DeOy4R/vVF1jVzYqkR/sZMHIVWm0nMK1vS0xk8Vw/uJYdD/RYduAwLtX1kYtTeHj2Gid9r/DkWQghMdksu/QOt7o/siP++ppCgOIj+0Ys4aRUi3aNrTjpsw4r11vsH1GlYPDiOb1qN5/q9WJUqy9/JyPkgDtdVqSz99JuWpmEMb5jD9K7b8N7WntMhYkiS2T/JBfmRrYg8Mxs1B9swtn1CN03HsG9VQVV3FGe8ojJPQYS6ujB2YXteLG5LyOOG7Lx2CZalzdBiJQkPd5Nn2HbcJy7k7k9KvE54CRr1mwnKEUL+3YDcXPvQXULQzT+5lrrvw4o/Bk+xpO8CsWJf/yRVm5LGefsSClDJU8KAMXslUtxblRYvjyOdcMHEmw5nBWTemBT4ou/WM7zg9Nx3RbDoGXL6dOoMkaaamRGXcJtvAda7aczb1hjgj0G4hNlx/SFU2hRtRTaIikvz6/DbeMTuk+dR786Srwnu/O6XD+mu7lgb2mMSJbM+TXTWP7QgkVL3WlTw5wn+w6y90YIhnblSA+/yhsjJxZOGYZjRYt/EFAIk1VM5K3dLF+xD3nVPnSpo8PVk9fIqNQa9wn9cLT5a67qv7ZUhEo/BcnJySquDIGbRJbzDE/XFQTJazFh9kia25kQdnYdHhciqNtrHEPbN8T4q1texptrW1m8xxerjmOY4NKcnOeBvErWpHLN2lQsZYg85xNPg0NIEZWgenVz7u5Yw6W3gtqoK061zEmLj+ZZSAgvouPJkWhRsmJV6jSojU1JU3SQEPviIWGxOZSuWpdq5cy/8YAoSX79hDP7TvEgSU4Ji0wi3iZRufVQJg50ygcUijTuHtzMtuuJ1O8xFJfGlqqDxsDQCH29ouGwwjYUXK83D5zkTOA7LCrrE/v6ObKy7Zk5eQI1LQRdtDec3raBCy+UdHWdSc+GZdCQZfDo/C48j4RQocs45gxuRHrICXw2HiWlkgsz5joX8VCkR/mx23M7N1+lY1alHLbVuzNuRHvM1cVE3r/K2TPneBT5CZlhFXpNnE3/ukakJb0l5MlDnr9ORCzWxLh4GWo4NsDWXINnZ3awaetx4os5MNhtGJ0d61BcPZ3Xzx4TEh5FcqYS4+LlsHeoT7UKVhiJ8kiIDufZizfkKdVIT0hDv0RlrC1FfM5QUKlufcroS4h7F8qDR094H5+LSEOfktZVqe9Ym/KGudz9PUChkJH+KYYnDx4Q+iYeuRBzNzNVhYmNy9emsb0FH9+84FnkR1Xe1YcEGRXsm9KofnFSo8IIefKUd4lZyHUMKF2hJg3q1KJ8SR2yPsXwLDiELPPatG5og6ZSyufY1zwKfoVR9WbUNBfzMiiAD7JSlDZN5WlwJGINQ2zt6lOvgT0Wht8gSIVU5YkKCX2OZvHySOJCefYmm5Ll7GncpAa62W+543+f92lKSlWoRZNmDSmtlUP0i2CexWvSuE0TSumJyMtI4uXDAKJFtji1skMtLY6X9wMIehlPlpo6JqZW1HFogl1FEz4+9WXriqWcCtOi2zRXerVzolGFXwJiXwDF6svFmOXTl6x7T4jLUaNUmao4NHWkXEkDRAJNdk4qUU+DuR8awecsBXrGpanRpBG1KpfF8NuUlj8DKOprcsNzJNMuyqhtIyFDqz2rtkzC3khZBFDcX9L+67IRVEdDz67FddNrFh7YSXvrAv+HUk7Wp1AWu/QgsvF6di/uSTF1QYwsntPLXZn7sBKXzi3BOOwgw8Z40WDpcRZ2q4K6kDv36SlLhgzmWoWF3N3QmbDtYxm8NY31F47QqbweKGSkhJ/CpddCrGefYusQO8QpT1nZ34Pnle1wqpjB0o3nmHwkkon/uofiM4EH76Gs15BGFlH07dQT9SJqo79OiFHkxXFkmRtLg205cnAZVbLP0KWdB808jzK7g83XBJJnu4bhsk7G7uCt6J6aRx+vFLYd96KZtXFBMpiYg2MasunzSE7v7Y//pJ4szerBrZ1jKGmgo8rNkKWEMa1HHzK7bWL9uOaIw69y1DeZ0noxhFGD0UM6Ucrgtze9v3qI/CuAYtjojZQZPg6LOye4mlEGt7mTaFOtOOGH8z0UvwYUvyVfns21Za4sCCmD55oJNKxYQnWwK3Pes37sEJ6WGsy8iY5cmj6ZO6X6snJyL+ws82XI01+eZerkbZQdNpsBdTNZNWkbZt3cmdC3GVbG+WyFEafnM2VTDC4r59KjYTmS7j8hVqpP1eqGXPKaxvGUf1httDArqTiBy1vXsvXEI1JyxRiWb8WYGaNoW98a/b8jVvonJsaPqY2uV3koLB26061xNQxEwi9MNYQ476NLR7gYmk37ke4M6WyL/+YlnHqhT+/R4+naoAySpGdsXeNFuFYtho3uSMwJQb7cUAUoWlom/Q97Zx1W1dK+/w/dXQIiKraiIih2F4rdYoutKHZ3U2IndidigwqIYmMiCoIo3R2bHb9rbzCPnnrPOd/z/l7nuvxH1l4z65k1s+554r65cPQgRy6F8iGrCDmRIuqG5WnabQBOvTpSy0SJJxf34xeWQV2HgTg0suJr8UAxuUnvefMqASUTc1TTrrP5kD/qjT6rjVL4gTM73dkb8AHjSvUxVcmlSFmTKnXsadGsIVUtDFD+Tv5iSUEab59GkYUOFfUTObh7F2FKTZnjOkUGKPITH7F3iw+Pc60YO2McjSuUbp5x906yZetpiusOZPaMnvDoJFu9j5FV/QeAYsMeHuaoU8FKA6GoGkNdxlBbPY2gsye5du81xfICUrM0cZg4n57l07l+dh8HLgYSmylCQSp1oaQlU2Lt1bk+Cb6b8NhzmWRNKzo6jcPFqT0KkZfYud+Xp4lZiGXJsHpUb9aRAU6DaFdDnceX9uHpvZ9E+XJoSjSp1qgN1XQ/cCdciNOcmdQVvuC4zw7OPYqhoEjqZRKjZmBFO6exjO5Wk9eX98ni7r/0UIjJS43i5un97DwawLucElSVVRAJixDKqdPEaR6rRlrz6OxOPHyuIq+qj1hemls1mu62eZzZuZdrj95RKPUOIIe6XhVa9RjBqOGtUXwbxA73jcTXnsimuV3QEOcRfusMXh4nsBy+jnF1sti/ypVjby2wqVXI6ydJFInE6JvZ0H2CC04dbdD5ElMIC4i8dxF3L08yTBqjkRHO01fpqGpb0rZHJ0yKIvEPvMP7pEwwtGbozOWMt1ch4IA720PVWb51BY2MlMmMfcahdQu5otCLvWt7knj9IJs2HeZVJgjlpfor6lRt7MDIiUPQfHqU+bNXcztVhZptuzFm+hLGtvzs4SkFFDOZvy+Lpt2NiL0fRbpUnVPJmCaDJjJ+VHcqKuXy5vYRvDaf4lFiNvJiqRdGE8uGrRg2Zhyd65T72tP5hwCFIv5e41geVpWZgypz1OM41WZ5sLifNYIvPBRfAYqiXJ6eW8ukjW9ZeGg3XSuXHR5lYZIrjOm6FMulR/HsV122VqRJoC9OLWH0mmhW3diLxd0NDFn0nCXH99KjeuleLy1S8FvkwNKnjlzym8SDhYOZEd6EUN8FmMjmUIIgN4ZlPVoT3mwXR1d0RCEvhsCTEZh2aUHV+APUGeDBpMPRTGv0BzbGLy79sXx5t94ojg78sXy5IJlbJ3eyZvN1qjuvYOmIZhDlQ8f2e+l74ATTWpl9quyIPDGOXjOS2fBqH5oHZtN/nyKnTrthW17jU3b5+Zk2LHs6gBNnhnJ9ZH88tUcTutEJPc3S5BFJTjQLe3ckppUXG2d0Ri0riXiJIZU1knkVL8GiagV0flCp8OdMU/qr/wRQjBizgUpTPHCqFMuGNVsR1HdmwfjOZF9axuA/BCgyODtnEivfWbNrzRhsKhuVJsAWp7J9Ul8C1QeycFYjzkyez+M6o1g7xZEaZQliBW+vMnv8OrSHzGWIXSYrpx6l8pCZTOzTGDNpnA+IvbKcKcue0XX9MgY0r43ux4/GR/lyKaCYNpKm/7iHonQOMl9fYLHLAg7dzaXP/LXMG90Nq/8DLYjfAyjCL25knsdhovK0qVhODyWpzLicnExeOzVfQp1GvRg/uh92NRTw81rO6fDfAhRS+fKRmMedYb3PVYotGtO5hQ3GyiW8fRDEgw/Quv8oBrSvjzAlmg/pxeibV8TcSOtXvElimXz5+gNX0bAfxrQyD4Uw5Tn7Nq5k2+UIVAwrY6RaQmFeLoUSPex7DWP04K7UNPj1BFhhTBBem7cSptL8E6DIjQtlu/d+Xgrr4jJ7NA1MS++REnaarRuOkl6tD7MWDEL5NwDFHi8fXlKR+nXVefemmDbDJtLKIIFTh04QnquGuVYuj8MFdJq8gA6akZw/cpaX+frUqFsJuawI7t+8xvNMSwZMc6W1yl22eR8i1qA9E2Y7UaU4itN7t3Mzszzdu3Wgqp4i6dHPCX34Gh273riMak/i9Z2sXrWH4rr9cOrZgWrmysTc9sXvsYghc1yomBLKiYOBCCo1oKq5Eqmvb3Mj6CGiqoNYuWwghXePsOvM618CCmEOLwJP4u7hQ6JZM/p1boJucQYPr/ty7nEijUcuwWNkXR4e3cCqrf6YdR7D4I4NsTBS5a3/DrxPvsa662DaNTBBkhXPo+v+3EnQYejCJXTSjmKX+wbifgAoxltnsnvJGHY9MaP7wM40qWOFICWCgPNX+WDcjpWrZtGkvNrnLVRYSNRdX1Ysmscbo94McrTHUJjG7YsnCYqSUL99F9raVUaS9oxTZ64isZnK/vlNuXvAnW3fARRXFXqxY34L/N3msf5CFt0mDqahuQY5aVE8eJNBiyGz6KgVxSGPxey5rc7I9XNxtGtANePPSbdFGe8J2DaFqVvfYte3P51a1UZPkMmjq2e58FqFSes3069yEruWuHAwrjLDnbpRTVeZvOQogi5fR2AzjDXTB2LyxWPyBwHFNc+xrHhqw66do4jYMQPvUBMWeC2mqUYYrv1m8rqDO78PUBST+vY0Q9p702DrSdZ0Kc2OFJcUEHVxNcNn3GNGyBGq3HJj0KokNvnupH3F0qODsCiPG2sdmH6xBWduufJgymDmZTgSfmJqWQKzhJL8FNz71SeoymaOb+zzOfFZWrH0cCt1nLz+eUBRmPAC/4DT7N4XjI7dAObOHk0tAwWyXu/GocNe+uwvAxRlJS6Rx8bRa1YK3q/2oXVwNv18FDhx2g07i8+Awne6DSteDOT46aHcGNUfD81RhG76GlAs6NWJ92282DC9EwbqSn+y2OuPwYtfAIpjrgzelMasXW50rVHuc1KmNIditDNbi7ty0UOaQxHICGcvKkz2YnqX8rw8vIL5x+MYtXAJNWL347wribm/CHn8yEORie/cSSyPqfMLQLFtYl+CNAayaLY9ZybP43Gtkaxx6fYJUORHXWHOBDd0PgKKaUepPHgGE/p+BhTvLi/HZcVzHNctpf+/DVCIMnjke4hN3qe4G5uGZcehzJo6ghY1pSGdPzaX/+nVvwtQXNjIwo0n+CA0oVp5A8iJ4/Wzl8RJjGg71JmJg/tgV9kUVaV0zpUBin5jJ9Lto4fCbROvFOsxclyZh+KtLgOcu5F5dSebz0dSvUU7mtY0Q6qzmPP+Cf533lKp3TCmOveiYYreHAAAIABJREFUqsHvTU79PqAQZLwl+PI5gmIKqdSgKfUrGiFMCMf38EHu5lRi5JTx2BtlE/YkkpwCAcq6JtSsa4u1lfkn/ZIfAYodUkBRYs3kOc7YfgEotngdI7N6H2YuGPibgGK35x4i1Rvg2NmE+5ceoG8/gE4WSZw6dwPFWm2oWvIE38BsOk9dSJ8qRTy9fY97rxIplBOREfuU+3eD+SCqzdj5KxhR/QP7NvoQY9KXRcs78953L6vcj1Fg1YLererI1rUgK56HofdI1rTDdcE4NF4cY9MWf6qNXMqMwY1QzIzi4qHdnHkswmnubBqqphDqf4dX6cUIS7J4//wWIU8i0ak3nHVrhiF+dIJdp38JKMTZb7l8aDPuF1IZsmgVI5paoiDIJeLWady3HUdoPx6PsfV5cGQr287E0mO5OyOalCPl1W32eGzmkUIzVq6cQC0jqdx2HhFB59i44RAKLacypZMaR93deV97EpvmOpR6KELO4uV+vMxDkcHeVdMJEPZirYcrDUzVKM6KJ+j4dracisRx0TpGt7T8fHoXFhJ55xzrlq1F3tGd1VM6oJEdy1UfNzxPJzJswwaGNzYnJ/YJPuuX4y9oz841jjyVAQoNlm9d/tlDsX4RV+V7snNxa25vXcXyA+FU79CaZtVN0dLWR8PEHBv7xlRWSiV43zLWnlNj5UVvGn+jfVLqoXBlyWl55hzYQ5/aOsiVFBB9z49VC7xR67mE6e2zmdZ/Dsn1euLc0VpW1SMszOZVyCWCsuuwccdamlt8AZY/AYr5ZLRbyaYp3+RQ3NhEbxd/WQ7FjIaKXPMcw/KnDdh3bC6mb/yYOdONrEYurB1uyroRroS3c/v9gCL6DEPbb8Bm80nWdP0MKCIvrmLEzIfMDDmMVbAbg1cl4n1uJx0qfQEo1jgw/XJLzga78sBlMPPSuvLi5NSykE4ZoOhrQ3C1LRz37sWnNOL/G0AhJjk8FL/Du9lzO4n6jkNwHdqXqsYqsuSZ3OjT9O28Enu3oyxyrF4W8hDxYPtIhmxW4NC9zaj6LqWfWxzeJ7fRzupjKWAee0Y1Z1f+OM7sGUjIzL4sSe3M1X1TsNAqDXmUpD3CpecwxP02sW5sS3TV/opU3t/+xHwLKN6dmEF/7wRct3vSo7Yp6h8/aiVvcBvtzEk1J44tH4xF9o1SQDHJnendbNDOesgq1+m81O1OW4sINlwsZuHaFfT9KofiR4CigIC1U1h4x5D17tNoWs1UFh8X579l3ZjRvLIcyUKXplye48J1/V6snDkA6/I6MrtlPD+N63QfqjrPZYhtAWunbUKry2RcBrfBQle6gES8OLGIGdsTGLZ6Pj3sq6H5b/FQiAXEvziL+xIfEjUbUrtCCtdDo6nTbTwuQxyoalRWqvzb0/iXXPF7AMULXw/WnH5B7S5jGdGpAcrpEdw8fYgTge+waD2AUUO6UstcG3lJGuc8lnPqpTr9xk+iu70FxSlP2b5uExHK9Rg5/iOg0GOA9HTstxMvn5vkqaqjrogsmVOanCemHO0GjWHKuJ7UKvcx5+a3Hvd7gEIiO+FkZOQgUdJET18bZemBQFxI6BFPdpx4RYO+AzATP2LLttO8S85Fu7Itg8dPx7l7MwzK4ivfAxQFSWHs27ybB9mWOM+YQLOKUhetmNg7x9m87TySBoOY49od0W94KHZ77uaNdlNGjLDm4f5TxChVoX55Ac9fpmPvNAjNlyc4GJBLl6nz6KgXxclduzh95y0KJhUx1dUg730EMVmGDJyzmGFVP+Dj7cM70z4sWtaBmFM7WLJ4FxGFyuhrKcqSCqV7mkSiSVW7brjMHYLWu8vsPnAP21FLmOhQleIvAcXMKVim3GLX5r3cz5DH0MwSA7kCYiOjkbPsxJI1w5H8AFCIUl5wZp8X217os3C1G21lBSAlfHgewM6t+0muOJDV4+rz4ORu9l3PYejiZTjWUuf902ts9z5AarWReM3q8ukUmvwyhP0b3HhuNgjX3mb4ua0ntuZENi3oKgMUL4PP4Ol2gkqj1jGudiYH1i3ksc4YPDc4YSLzfGbz6uYp3Lf5UXnMGuY61vzs7RIW8Ob2ebzWbsN02EbmDaqHKPM9149uYltACbM2rKJVBQ2yP7zk+Ibl+Oa3ZOvKrjzZ78bWEA2W71iBvbEyme+ecWDNQq4q92K/e3+KXgSy9/AJboQ+IzYhBxVVY2o0bUkPp2H0stXm3t5lrPVVZeWljTT7LqCQJmWasiHAiwayskoRGTFP2LHQlSdVxjOvazHTes4kXNkQEw05BLL5lZOWMKFXvj1Lty6m08dyz1KXAOlv77J+9lwSW61g27TPVR7i4iwiA7wYODcU553Hca4lKAUUTxqw7+RSqgkzCT2ykAXb39J9Ym+e7t1KTJt13P4yh+KHIY8SMt77M6HrfMrNO4SXUx0ZmBMV5xF2fCFj3BNxv7EL83ubGDLvPnOP7advLV3Zgi8pTOP0nG6sftOba75jub94GNPC6hJ0YTkWslilhOLsNyzo1pF37XZzaEmHz2HR/wtAkRlzCx83D67EaWPfbQQuQ1thpPpZu74k/Smz+/bidZOlbJ8zEAsdZYoz37Bt+lC25vQj+JALSmF76D9uJw0Xb2Nej4boKMuRGevP9IGTSeuynaOzWhHlM4JBu/NZ5ONFH+sKqMoLiLixkdEzztF52T5mOFRB/R9SzvsWUKQHu9HD9SItpy9lgpRfQsbdUELmy8vMm7KE3C6rcBvTDqOUK18BCiP1El6f2c5cz7PkKGfxLLMaHt5r6dPky6TMHwEKiDqziLEbwugyeyHD29siLSOOe3KMmbP2YNJrIbOdGvN88yjWPTRgwhxXHO2qoE4ed06sZsGBDzjNWkDf+nLsmu3CXe0OTJ80AnsrY8R57zi2bhY7I6uzfMlEWtWWnn7L2v9pyENCVuxj9nutwS9empg4kx41BPhtXMGhp6r0cp7MYIcGGP6DqpW/F1CsPRuBbe8JjOpiL+N3yE9+ybmt7hy4k0vzIZNw7t0cU818LnguZF9IEV0mTmdQuxrkhF/BfdUuks3aMXlqZ96d2MRFmYeiKxmXd+Nz+QOVGjXFuqKuLDtfWJRFahpY2rbGoWMjKuh+nTXxY1jxfUCR9e4FN66FkqtlRZuOTbEwUEGQncTNgxs4cjuLFoOdaVqhgAf3wsnKL0ZF3wxruybYVq/AR3z/PUAhzInFz2cjJx5m027UDAa3rIGSIJXgU9vY7vcWm74uzBxgR8bvABQRms2ZMqMdb4764Hc/GiVNY/SMbRji0omE81s5GFhI18mTsfxwCs8919Fp3AcnxxaYa4l4cm4fB3w/0Np1ASOqvWfPht1ESwHFiq4k+Prg7nGWosrNaWNrISMnkrqZszLyUDK0xqFXEwqfnWXPwfvYjl7CxE6fAcXZMDEDxvYkN2gPW65k0XXcBNrVs0I9+zUnd/hwP6cm89xGwMMfeSiiuXJkMx4XUhgwdxVDm1ZAWZjLi8ATeO88haTxBNzG1JMBiv03cxiyaBmONbVIigjBx2sLj+WasGzJeGqZqiMuziM88Cxbtx4p9VB0UOPYqmU8M3XCc91oTGXcKTvx2HGPpjPcGFs7g71rpnOdPqz1dMHGQI2izPcEHt3NtvNv6bpgDc4tvvRQfAYU5YZtZL4UUGTElgKKm0JmeK2ijYUUULzgqNdyzhe0YttqR57vXYenXy5Tdmymp5UK758E4L10PS8sR3LIsy+CD++Jzy0iP/4Nz1/HkRMfQUhgEAU1R7PN24mkA0tYeU6J5Re20VL76wzKUg/FdJack2POke30qWIIgnyi7vixdvlmVLsvwrVNBrMGLianQV96NDIrrW6REvxlpZFDNfqP60cD0y8AuURIdvxTti6cwVWlbniucKZ+OR3kpZwYyVH471nCcn9lVh7aR2vt1K8ARW2lErLeP2Sz6yLOZRYjSUxFY9Amgpd0+LQkpQSJ38+hEJOfFs66kX24bTWTPSuGU1FLkfzU1+xb5cLm6GZcPDEfzfCTjBm3FospW1nt1AIteSGp0TdZOmYyL+29CFjRlleHpjPAI5LZh/cxpJ45iqIC3t7zYfSobditOI9HP6vPW8TfCyhu0a9bHxRGB3LYuWZplYcghSMLh7Hw0EvsRiygTyMpB4MU9UhLlnSp3aIhVXQEnF87gpl+eQwYOZqG5ppkRgWwZf816ozfw9YxjVHNfMYSl1GczrFmklNPymuKiQg6wPYb2UzdcJTxzU0peXkYp/HLKKg7kOEdbNEmi6vHNhJY1IQNnmtpXUXrdzD2/dYp7ff9/VtAIUwLZdbgCQRRnZ59HaltooOSKIc3V05y4n4+Q929Gd6yJmox5xkxxguLiR7M6G6DkboCFCVx2G0SyzZeJcawPXt2etKncSUZ01ppECyW9cOH86D8SNZO74PVpyoPKJLmQsxezDMVO3p3aoGllogHV/ZzMdaQKfOW07epFdm3NjFlzRGUanemSxNrWZmQ38nDxBh2YfGscTSrrMotnwWsOPWa2q160KJWeUoS7nP4dAD67VxZOrY71Uy+IOeRAooVkziW2ViWQ9HsH8yhKMmN46qPJzvOx2A9dDLjerfAUluR5Pt+rHPfwgvF+oyZPBYHu8po/kPg8ncBinPurD33mga9JjCqqz26MnQmJuN5IN6entwtsmL4xCn0aFyBl8eXs2rPTdRsHOnSvDrZLwI4de4+Rq1HMmdqJ2JObORilA4Dxg/DIPIcO44+RrVaE5o1rIiWspjcxAjCE8XUbOFI1+Y1EafE/IEcin2s338N9cbDcC3LociJfcgBLy8uvyihgYMDDarokPfuKTeu36XYqhPjJ42mZZVfZbZCGBOI1+ZthKk0Y7arC/WlPBQleTy7fgjvPadI12+IYxt7NPLfciPgGvHqtkxwcaVbPSOSfg1QRN5kt+cuXmk0Z/oyJ4puHmXLpj08yq1Mt2HjmT6yCnf3b+VAcBFdJ07EIvY46/fdRs+uJ33tTchODMf/3BkexhszdPZynG3S2efpzrXcmoyePZrq+W84v/8k4aKadOzYAGMtOUpyEomKeY9c+Rb0792IpMCD7Dr0QAYoJnWuSnFGFBcO7ebsY5EsLJUVuAfv68V0cxpIfYNC3j0P5uSJIMRWvVjpNhL5sNPsOfWajtNXMLTJF2WjwhxeBp7C030PieZN6d25KTrFGYQF+OL7II6GY5bjMaIO90/sZt+NbIYsXk63WnoUpkRxeZ87m05FYN3NiTb1TBBlJ/LoxlWCYtUYtmANAysmcdBtDttfGDB4zBCqyCVw+/Jpgt8o0X++B2PrZLBrmTM7IywZMLI/jSsYkJvwmpsXbpJo0pblKyfT0OyLPUFYyJsQX5mHotzwz4Ai4Mgmtt0oYab3ahmgyJICCs9lMkCx070vH85uZI7Hecr3nEZ/aQ7MsyDOnQlGufU8DixpyaNTBzgfpUQr+9poKQvJjXuB/8ljRFsOZZvHUNKPLWPGrtc4Ll3JwKZ2VDf5OofCf+sUpu15S7NRw3G0ro5CYRpPr/lxKVITF4/VOJZPYOushQSX2DOgd0OMNKUhjyzehT8h2bANLqMcMf/kbpauWQlFOQkE7FrGvF33sRkwkm62lVARFZP95hG+J89Dm+lsWOOMUX4y1zycS0MeJ5ZRW6U0ifJV8F5cXRdzO1YZ21mHuLWo/VeA4ok0KdM7ikWH93xOykRCSUE6AZsnM/14At2Gj6VZBXUy395m77GrWAz2Zse0NiikPMdr7jj2f6jE5FEDsVAVEHn3BDuvxjHK4wxz2xqR/eIsYybMIb7qQCb1aIy6MIPgs1vxTazF5j07cahcmpQvazJAsYU6gzcw8Ug0rmVJmRJREdFhd0lSqUJD6/KfyL1+9PX8flJm6h2G9R+C/LDLn3koEv3p034EAclizMuXl5WpSUuypa45QWFtZh70YERDC7Iir+O+dgnXH2RThCLyKGPUqjdr5kykgYW2TPkuPMCb1Z57iHgHAjlFFFS1qTFgEl4Te2GiqYScMI9re2fite8WydkKCEWKKJpUoNvkuczuboeG8j8T7pA+3S/EwSSFPDrqidt+f14m5UhRAIoSEcpKetj1Hs3UMX2xMtJCHHWBCS6bMXdezRSHehhKAYWs6uIM81yXciLbmo2eq+jZ0BL1T4DiPRvGjeexuRPLJvegkvEXiFlcxH1fNzbuPsfrDwIEQkXkdU1oPnQiMwe0o4K+BuLcBM76LGX/6XvEZ0pr1RVRq1SHQeMn49S2PoYaymTG3GHvdncu3Igio0AO5JXRt2uP6+SxtKsrHcsXiQmCJI66zeBUZkNmTBzyz/FQKMkRGbwXr23nkavVn3Eje1K7gk6p21Wcz+NLO1i78yK6TYczZVhPaptp/yNcFL8HUIRf2IjnhSjqd3dmaEfbTwyUUtKyx5e34b31Chp2Towf2wezrFC2b9jKmaAIFIxMqVzVnMLUTMzsujNmVHtiz27n6lst+oweQ3OjZHwPHODo1fu8z8pDLBahqqFLJbtOOA0dRDubcry+dJDzjzKo22UAXe0r8+P0SQlxdw6x4egN1O0GMWlgR0ykF0tyeB3kx/5dx/AP/0ChEOTFahjXbMrgcSPo08b68/P8YEcRxt5iy47dPFVpwrTJ46lbRoSVl/yaK6d3cvhEAO9SJYjlldGqXI9ew0cywqEJBmoKvwooct4Gs3/zfl6r2TNp8Wh0Xwew3W0Fl9KsGDtnJWOaynHtyG6OhhTSaaIrTeWesm/TNs7ej0CgrCKju1aVrlUMaCNNSu5lyI1961h1+CkV2zozZ2QnVN5cZdteP54nZyEQlqCsrIZJVVs69xvGoM41iQk4zL4Tj7EZNo8xHawozozmyrH9+D0R0d9lJPpvr+C5fi9hWQUoqqqhqqGGfL4YQ8tGOC8Yh0HMVQ6de0PbKQsZ2OhLojIJ+SlvuXFqD9sPXyE6R4CSijryChJEclo06T+d1aPqEXZ2P4eCchg4bz4O1fVAmMv7pzfw2bKXS2GxFIgkKMqro61nSfOufRk2thdV5ZK45+fDYvfjJBQpYl7dCmM9NQozimg6YhnDa2ayd8Vk9kWYULOWAh9eJiAQyVG+enP6jh1P33a1+CqQJk3KDL3EFq/dmAxez4y+1ogyPxB4cjt7goRMWbeYluU1yI4L59TmtVwqaMZmj6FIXt7Ec407fveS0KtojmUVSxTTYhFUH8WWhR14e3kvm3zOE/Uhj2IlkNdQw7hiHTr2n8TkTpa8DfbBddEm3mm2YPK85UxpX+nTGyjjqdi9gKVH0qjVTo3I2x/Izi9Ax6AqbfpPYOyYjpQryeZV4CE8vU/xNC0HgaAEZSVl9MvXou3g8Uzs07QM/H9+sSUlRaS8CMJ7gzeXnyRTLBGiLCdCVV4No5oNGT9nMV3rlaM4J4Ubmyaz7kU9tu1fQE3Zd1pEUWYkp9wWsOBYGFXG+nB9buvPgKI4j2d+nszcGs1sn810qvjZylJ+k7TIEDa5LeByaCYCOWXk5dUxbd6FBbOm0KySDmJhMRHBPqzz3MLzt3IIFRRRUtOlSm9nNroMloV1RIIcgg7PZ91Of1JzVBGhiLKBGW0nLWBF/8ZfV2xJRBQ/3knj0dtw3vOMSWU8FOKiVA4vnkigwQg85nSlNLjy4/Z9QJH/jiP7DyNvN4YBDY1LaUKT7uO2+wLpeYJSUhcpEUkptEFYUp7uk4fRWkr5KSckOeo6l48H8TxVhL6FDZ36d6Z+eWm+RNlJXJLN67u+XDr/jA9FaljZtKRzz5ZUkoYPyi4RF78n9OIZboZ+IFNihF2nTrRtZY2xsjQd7Z9r31MbFQtyeHX3Nv63HhGXmYmighpV67WgbfsmWBhqyejDRWnhnDpzG93GXWhe0xSNjx9qYT6PLx/kXKwWPbo6ULeC3md+dnEWwadOEq9jS6dmddD/1p0vTOFp0AVuBr0mLl+TGk1a0rZDQyroqH8KUxRlRxB6+Qq3n8SRJ29Ow07tadGwOobqymUf3RLS398j0C+Qx9E5KBvVoKVje+yqmaOl/E0xtiiXxzfP86zAgtbNbKlgoPG3fbi/IrZSEPP85hGCYuSwaeFAg6qmn1zqMgibF0fQ+TNEicrTom0bqpvpldFy/73vxfcBxRrui+oyee4YWtXSJzk8hKDwVMxq22NX3QLVL/BZSV4MwWcDiCk2pnGnltQ0VePDgxACbtwiWcWYRs3rQXoyBUpmNGhYjawXd4hIV6Vuo8ZUN9OkICWae7eDCQl7Q1aBCLNqDWjeqg3WlU1QVygm5lEwD2LysLRpSoOqJr9CJy0h+91jgh9HolTBhub1q6P5EaMXZhMT/oBrwaG8ictHw6AGjdq0pLltRXR/hydInBlDSOhdEhUsadm8KaafDrcictNe8yjwBrcfvKdQzZz6LVrRvHEtymmUnpSSpTwUG46R8Z2y0aL0aB6GPCBFyZLmHe3RyormfvA1IgXlaNauOzX18njz+C5hMQKqN2tHfSMxMc/vcPVGIJHpInSsalDLwgD51CQULJvSpkVF0iJCuHjpHoW69XDo3I6aOsW8Dgvh2u3HMuZa3XIVsWvRmSb1qqCnUsT7V4958Cwec9t2NK5mgLAwnYgnD3gZL8GmVWsqKGbyJOQq/nefkaWoh0Wtmlipy5GXKcCqWWsM8qN49DKVqs06YPMlq6ZERGF+NonRbwl/fpf7z6MRqBuipSEkJuwlqjZDWT6hOWkvH/LobRE27dpTw6i0JEEiKCD57TOuBwbyODIDFS1Latu1olOzGhjqy5IJyE+J48EVP269SsS4vh22NY358CwS3fqdqK0YycH1iwhV7s1wJ3OeXL2PUNOE5p260aJ+FVS/3WzFJaTFvuJ20D00bRxpXc8USWEWUU/vcO+tmBaOHamso0xRdjJPQ67zqqQSvXs0Qb0ol3cPbnH52i1y9C1o2toexYRXxEhq0KdbAxQLUggPDeK6/yMSRRJUzcpj27oLnetWRV1BSG5mFNd8z/DogzpNHPrRze6zh0fqaYi6d4Wg16rUb2nAfV9/3udA3eadcWzfGD3ZeytBGmaIfXoL3+t3eZ9WgKaeMbZtetLarjo/ihZK9TxSYp4TeC2ER9EfZCRv5cxr0rh9e5rUKS/bD6W5R1EhZ7mRaEbfwe0wLttGpVoc6ZG3OXThDsoNBjCxXZVPG5QUECSGB3H+Tjpt+/ehuv4X3gIZa3YxKTHBXDl5gxfJYnTM69GxXydsLA3K1rU0ZJNN1MMLXDobxnuBBpXqNsOhd2uqaH88SkgQFcdz/8pJAoI/kKVgTIM2HejY0Rajb3k3JGKE8ffwPh5C4wGzaFZG5CopyeHW8V281GrDsB4NPrGF/jEPxd+7L/9X3f2nfPk/M13/jWqjUmIr70kruZ5kiOP44fRoYU05vc+VS/+M5f77e5EIi8lMjefZzaMcPhKKapNfMmX+9z/lrzyBuIB3T+9wyfcO8tXqY13JBHmpJtL9G1y+8x67wTNx6WP3uaLsLzRGSkQI+9ctIkxnLF4bBpUmZf5sPy3wJy3wU778Nwz3E1D8yTfrD/7svxFQiAqfs2XiAnZfeYliy97Mmuws00P5hwqQ/qCF/72Xi/KSCL18hF279xIaqU2H0bNYsKAnf416yb/3uT+NTFJMzMNr7Hbz4EasCHUtNeQQUCSvTmVbR1zGOWH3N4mJpUTc5qDbYh7rOOPp+RNQ/Be8Lf/qIcqVlJR8Tzf7Xz3of3JwCQkJGBoaoqz8tUvqnxzD/0JfhYWFMglzKaX1v9XW0jBfenq6jHpbQ0MDcUk8Nw8c53LIM1KNrenXpxftG1T+xMnwvzBvf8UzigrSeBLkx7nLgSQJKtGiaw+6d7P5zXjtX9H3v+UewqIMop4Gcen8LV7GpSPW1MbSrhmO7T+Gi/+ekeYmRnLn8jli1VoycJBUX+Zn+2mBP28BuYyMjJ+A4gf2k9YpZ2RkyD5yUlGbn+3vsYDUzsXFxQgEAtnHWmpr6cf739akY8rLy5MBHlVVVZnAkVgoFWySsmFKxZwUvivK9W97jn/feEqFt6TCZxLkUJBX+KEw1b9v7H/NiKRrQJquUCqsJVUmk0deURElmSiY5O9bD1LhLpEIcZkA2V/zND/v8r9qAbn09PR/3879L5mNn4Din5kIqZ2lYEIKKv7tgCI/Px8lJaUyQCETEv2q/RuB0D8zi/9ZLzKSoS/bp6Tv/+y+/02//oUNZIOXgom/7ym+6vN/0OZ/n2X/N+/8M4fiN+b9Zw7FP7Mw/htzKP4Zy/zs5acFflrgpwX+OyzwE1D8BBT/ijf1J6D4V0zDz0H8tMBPC/y0wJ+2wA8AhYTs+A8UaZhgItN7+NxEJYUkxseTW1iCvIImJuVN0FX/OmFRKFVWjE8ku0iEkro+ZmYGqH3DcVCcm05SYioFIgU09YwoZ6zzSZ20tDcxualJpKTnIEAFAxMTDHXVkP/CNSqtdc4sUETfWA8Vhb9HKepbD0VJTgoJmSL0yxmhqfIFJ4ZUdjYpiUyJJhbGuiiJC0hMSkKkXk5WSqhUJpQmY2DLTiUhS4ihsSGqomzikjIRCMW/nESJBHklVQxNzdFRV0ZBTkJBZhqpaZkUChXQNjTCSF9TFmf92CTiEnJSU0jLykUop4aBsRF62mpfxfZFggIyklPIzC9GXkUbYxMDNNWUP3GAfDmQoux0covl0dTVQvVv5AD5FlCUFGaREp+BnLYeBgY6X82vWFhIWlwqAiUN9I10Uf+WP+NPL4df/+G3PBRIislMSiE9O48SZU1MjAzRkCskJS2DvELh1+EQRUU0dPQx1NH5xVr4bq8SITkZ6eSXyKOlq4em6l+bwyMuKSI3OxexohpaOpqfeDwkJQWkp6eRkV2A+KOrXU46/4YYGOj/dgWLREh+VjZFQnk09PVQ/bbeXSaTUERedh4iRVVZ3wpahhwsAAAgAElEQVTiEvKy00hLz6JYrIqugSGGUj6XL/cdQQF52dkIxMpo6uqg+uXak14nLKEwN4/cEgmq2jpof6/jXxha+oDSf39u75CIBOTlZJNbJEHHwACNX3kPJRIhBbnZZOcK0NQ3QvtnKdAfXKUSqbAKyP1yriQyCu0UMvKVMLYw/iV3xh/sqfRyCSJBIekpqYg0jDDRU//8lkjECAoyiEsuQMfEDH01yM9IIClfARMzc7Q+afRJEJXkk5KQikDDGAtdOZITEsnMF3z1HftyeJqG5pgaSpWCJQiL80lLSCKrUIiSuh7lzAy/fsckEorzMklOSCFfrICGriGmJrpffUeleV756ckkp2YhkFNF39gEY33173I5SSQC0t8lIF+uouyZ/kz7LqDIzQjnzMZdlLScxag2Zp/JpkQZhAVf47TvDRkxiKKyCQ0cHOneoRmWOsqyDVRcmMqjoPP4nr9LbHYxmoZVaNarN92a1EJbRV72IEWpEdy4fIFrgc9JEyhiWtWGtn16076m6acPb0b0LXzPXOPe81jyxZpUa9Kart06UddcG0V5ISKJPLG3TxIYpYdD/1YYKKkiI9D8i1mvvgUUyaEH2BaQi8MoJ2zMdD+zjYmSubRnN9eL6zNrSBuMCl+x0+cAsTptGD2oA5UNPvITCIkJOcbWgBx6DexDlbwgPA7dIDGj4JfbnUSMir4FPUe50KaWKeLUMPwvXuPW/dekFylhYd2I9o4O2FctV8pwKS4hISKYS343eBQRRyE61GzRDocOLakhHauCHOKiDMIfXOfyxRAi4rNQ1LGgQUcHurRogLkMsH0eRklxCvf8TvK8oBLtOzbHqtzfx0j5LaDIT3iK7/4zRKtUxaF3Z6wtDctsLSThRSBnTtxDubZUw8KO8noqf/W0f3ctfQsoxIIP+O87xuWQp6Sb1Gdw3+7UVnrLSd8rPInOKBUf+thUVChXpS4t23SkaR0r9KUKX7/WhFncvejL01R1GYlOvYp6f2Z9/+A3RcS9vsetkAg0rRrTvFk99Mo2wcL4J1w6f5Yr92MoEpUuJzlFVazb9KKnowNVfnUYIrJTX3PbP5gMRSuad+5AxW/LBiRFxEc+ICQkHFXLRrRsZYN2cRphN305c+kmiSUVaenYg549GvJlVwVJr7jjf5lnCQpYt+pEI9sa6HzcuCXFZMS+ITQghDclhjTq5ECzyr8ulCYqyiczPoVCOVWMK5v+Cqvoj81ekpdM2K2bPIwR06xnd+qZ/bhPsSCbV/eDCX6URN0ufWhWVf8vnM//v28lEQkpTEshMTEPY+sqaH1zeCzJS+NFwDEuhuviNHcIlf4cPvzaiBIReUmR+B07Rm7t/gzvWOvTOyIRFpD08iqeB8NpMXwCXaoo8PziZnbeFcto4DvVNSpl9ZWC6/SXHNhynNTag5jZVpEjO3Zw82X6d5O35RWVqd11LBN7N0RFSh1+y49z5+8Rm1WEhqEVTXv0wLFZXfRUpKp1YgrSIgm+eoHLAc/IEClRzqo+bfr0olMdc6TnV4lYRFbsXc6fucydsHcUKGhTtWFLuvTqip25VKDvc5OCiYToWxzfdpWaE9bhYPXnPqRfAQrpxCVGPefy+U24ux3EbvUL9o2q9unhk5/vZcqsjcQWGWNqoIEoK4HIAm1GzvPCpWst1BSEvAv0YdaKjUSXVMDSQIXc5GjidW1ZsXItPeoboyjM4sa+hSzYE4KSbkUMVUpITniH2MaJbUtnYG2mikJODNtWjWd7YDYmxqZoiLOITs7Euv9CVo3vjoVKHHdvRxIWcorQaBPa9mqImUUj2tQ1QeVL6ui/YJ19Cyiijkxm8JYUZuzwpnstqZ5JWSfCSNaPdmZbfleueo+lYm4go8ZO4VKcFbM83RnXqR76atIdsJiHB2YzaEsyi9evpK1SCGt8/IlLKwBJAVGPH5GpZkmtauZoKMqjrF+BAZNn06myPFd9FrLxXDhyakboKhaTkJqKaevRLJjghI2lHqKkMDa5LeLsw2y0tA1QLk7jfaEKbYdMZ0r/NlQ0UCLhwVnWe23hQZwCBjpalOQkkKRmxViXOQxqXRd9dQVZ9UJuahwPb59h+8bNpFQexap5Y2lcxfCz6uBfYNsvb/EtoBBlROG72wPvc9HUGzKJaYPaU1lPnYLUFxz0XsW5F8p0GT6VgR3qYaT5nWPwXzw+6e1+wZRZ+JSNExaw70Y02q37MGvcQCqnXWTJxmNE5utiKT0tyEkrQOQQFmQTn5SDaeM+uEweQTtr019hsgRJSQLH163iYrQOgyZNpovtX8PKUFKYy/vIB5w5sg3fe+m0HjKLSU4OmJbpiiXePYqb5xZuvgNzM0OZl0BOSY36HQYyoE8PapRRaX9rXnFJMckfXnPj4gEOnQpAr/EoZs50oYFUy6Oslfb9kHPHduAbmkzTgTOZOqIrRoIUHvif5sD+fYS8UqD5sOksWNiXMrI+2a+z3gSyx30ZO/3f02CwCy4Tx9PEvNR7Ks6PJ9hvH+s9D5Bq1A6XpSsY2vAHAy0bS17sM26cuEqceh36TnLA+E+8LyW5iTy47s/dKBGtB/SlgcXXm/SXtxQVJhF4wgefs5F0nrWCoR+pCP9Ev/9rPxHlZ/Da/ywnLmfTx8sF62/AeFF6LP5bZ7P+ejm8Aryx+yuceVK10cjbrJk1i7R2a9kytd0nlkhxcTZvrm+gm8t1Rm45zIwmSlxd34/+3u/oNGE5ngsGY6WjIqUxJSPWn8kD5xDTzp0AV3P2bvAi4EUGcojIjH/Ds+h8qtvaUE5DEXllVay7T2FG/wak3zvG/OXreVVgQUVDNfLTP5Csbc3sxasZaC9lJ03n9rG1LNp+CaF2VcqpC0lLjqO4Vk+2r1qITTkFSjKjOeDugueVZMzMLNGUZPM+KY2KveazyXUAHyVahEW5vHkSwvGD6/A5HYXr+Timl2l5/NF37QtAUUj4lZscuXiGe4+f8iwiHAf3x5+1PBAQsLYf067qsGDpfNrWNaIkOojpQ4eT1t6bwx7DKSdJYcfEHqyPqMayVQtwqGXAh0cnWDRrFUXdd3B2cReUkm4w1mkKL6s44TnLGWu9Iu76uTN37VU6rL/Kyp6VKbi1jnbjDlJz9ELmD+xAOXEcxze6silEm8U7d9G3cgqHPXw4d/cO0Vn6VKhciSaDJ+DauRaaUpnAv7B9CyjeHndl8MZUZu50x7Fmuc+AQvQWr1HObC7uwmXPMVTKC2b0uAXcfp+Jju0wPJe60rS6EcoKxTw+MI9B25OYv2YFfRuZUJRfiFAsQU4Yx5apk3liOogFk3tQUVcVOXmpK0uHkmeHGTF1CyUNB+I6vA/WugXcOLoSz7NJ9JnrjnPneiT7zmf0hrvY9B/PuJ6t0C94wwGv5fil1mLestl0rKmC31oXvEJEMrXOfs2rkR/tj9dqDz5UHcv6WU7Uq6BFcvhLrl0+z6WbITx79Qzd1i64z3fG3uqfAxTSKcxPCGP7+iUci9Zh3MTZ9LM15P65TXj4vpCpeY7v3bZMgv0vnPBfudX3qLc3TFrFrTwrRsweS2cbU95e3MDqU8+o0XEUTu1t0FYQykpKizLi8d+/hSOh6XScOB3nXk3RFORTJJRDVU0NFSUFpBz+hQUFiFBCVSmTsxtWczFGlwHjJtHFxlQmyVxUkE9eQREiiQKq6hpoqKvIqN6lLtqSwgIKS8QoSXUkvhOeKspK5entIM6ev0zok4ckyxnSZ+xMpgx2oJwMUAh44beHDUfuYdZ2AM7dbVGVhgTk5FFW00BDQ/27onwiQR7Rjx9y/twFAh/c5U1CJvV7jmf+jCnUMyw1qLTvZ7eDOed3mZDHD0hTMKTbqOlMH9YVE2URguIiokNPsGubLyX1nJizoB9fyGeRHXWTPR6e7LsRhXGzjvQfNIWRHaqghISst/dlAMnnbCjKFTsxZv4SBtkZSFEZRUX55OUXIxLJo6SshoamOsryYuIenmOX917emXRj9rKhVNNQR1lBQklxEXl5+QiEoKSihqb0esVS6mbp34qKS5C68YTFApn0tYyASiBBS18fDWV5RKJiCvLzKCgSIYciKmoaaGqoQnESQWf2svd8JB1dVzC08ZdPV2oj6fwXFUrHW4REXlFWnqwgEYOSKhpqirL+iwViFOTFFBYKUVbVRFNKzy8qoTA/j8KiEsQKCqipa6Khrloqey0UyN4psYIaWhpST54EoaCIgoJiFNQ0UVOQUFSQh1BOFVUlMXm5+YjkFNDQ0EJNTfk7nj+pG7+YgsJiFJTVkRMWkFtQIhuLlqYqctJTeW42BQIxqmpaZf8nQlBUQEGJHJpaGjKXvFgklPUrDWdra6nJVDxLCvPJzSukRE4OZSVVNLU1ZdcWpL7l6o4leF5SZu4JN1qb6H3l+i9VG5XKl5vjeXkN1QuzKRCCmpoGWlpfuvelYy8iJyePYqEERSU1tLQ1UVH8zmlcCiiiQlk7ewHpbVew2aU1H+XIJIJsIq9vpNfUAAZvPcLMRkr4ewxj8OaXGFery9h565nqWBsVOQGZ768zbeBs3nRw587SduRmZ1EoEIO4gGd+3szb9Y7pWz3pWEkDabWwioY2aqJMTizqz6J75ixes4hutQyIe3yWVcs8yGi2gtPr+qEYf4d5Y8ZzW783GxZPoo5uAfcvbWbRmtM0XHadrYMsSQ7ZRg/nTZQbupQ1IxwwEsZybuc81p4rYt5hP5xttRAWpXHrmB9Hr13mdeRLnsYVsMLvHVPs/tye+gWgSGTPsKX4qRjRp2MFDq5bitG4AA6MLlMbJZ87x/bxRq8tg1uYEh+fQGrCU/bNW09Wl/l4z+2NbvpdnB0GozDyABvGt0Bb5i3I5PScQUy7Z0PwpaXIh3jRf+p5Ruw5wWh7c5kbnqII5nbrze06y/Fd5chTz75MuGTG7tNeNClXGirIjThJvwHrsJ61k6X96iF4foE1K7dyL0MR686jmTG1K5YaUinxv7b9eUARxKhxG5GrV5G4O2+oP3Qx04a1pLyOHE8OzJUBinlrVtCv6Zfy5R9wHzmMB+VHsWZaLyp/UhsV8dhnOtP2pzDebTU9bCuhoQCC+EBcnJchbD2NhaNbELpmCPsS7Zi3fBLNqki1HEREB2xh4ppgHFwXMriBCO+pM0msM5KZ43pTo5wmcmTj7zWbxdfVWLDSlY71jXjsc5D9QS8xs6tJ1rNzvFBpz6JpI2jyD6qNls6imLi7x1i5ajNppl3pWluBgCt3ULDrybSxvahvofeXz/evvT0/Ege7J6on0/JoXUuX574erPctlS8f6WCPzkd8KywmMmAny/YFUaHzGKYMaEHmIylPvxLW9o2pUV4HUX4i94NCSVUww9bOjDt73GQeChmgqKtLckwE9+/d58XbePJLlDGtWpdGzeypZWmMhryAd2HBPHqXR4X6Talv9a2Wh4TUiMec3n+GZwUqWJrl8+RlLJYthzGtTG0UcQaB+zexMyCVBo6D6dHAAJG8EnpGxujLNvfvW6c4O5ZrB05y6XEKlvV0effiETnGbZjjOpl6Mg+FtO8wzh48Q1iOAhblBURExGDc2IlZI7qVCpNJ5YIenWSb9zEyv6PlIQUUPl67ufk2D8OqZlSo3pXx4xwpp1DIq1uX8D1/ieexGQjUreg1ZS6DbTRJjQ/nzr3bPI1IorhYCR1jS2xbNKeWmQpPzm5n045TJOo2ZNCEUfRpY4+RXCrP7t3lwYs3pOVJ0DWpSP1mzbGtVRl95WI+vHnK/YfhFEjkyE7MQcusNlXKS0hKF1O3ZUsqahYRHXGX4LuPiU0oQF5eA7Mq1jRt3ZTqhiXcObMXnx8AComomNQPbwgNvsXTqHhEytoYGOiiqayIfvVmdLA1If5VGA+ev0dRUkhskpgatu1p3diIhJcPefDgMTFJuYjUNDGv0oDmTeypbqlNXuJb7geHkmtij2Pr6ihLBKS8e0lI8HP0G3SiYbkiwoL9iS42o7x+Og/vRlKsqEm12vY0a9kQM4MvcgdkS7KEtA9vuHvvEQomlSj6EEZYZC7lKtWjVWs71HOjuH4jiNgMCWZV7WjXqTWVNAqJfBTC/fdKtOvZHgsNBQozkwgLCiBKviZ9HOshSXnLo5vXufsykVw5efT0LbBr0QabOmakPL7CxuVL8X2lisOkMQzo1pc2NT8HxD4CirUXdHD16EZG0EPeF8hhVqE2Ldu3oVpFA5SkeilZiTy/d4fbYeGk5YlR1zWnfqs2NKlXFX1pGOHL9kcARUMl/L3GMPeqAo1rlvAu25ZV2+ZibyT/FaAIXd7pUw+iYql8+XombYxi8aFdOFQqC5dJROQmPWZBv/6kdNnOrvmd0JIdFlK54jmVaVeM8b20Ft0n+xkxcRcdvc4wq70lcogpznmN27CBnDKcxe2tvQnbMobR+4Xs9D9CK6l4h0REfuxVBnedhuHUY+wcU5+SjMesGOjOO/sm9K2eyYzlh5l6OJKp/7mHIotnV16gaF2fWipP6Ne1N4qjAzn0Ub78C2MXvLmCx/ZDBD95SVyyDXO2LGNoy/IURB+he+eNtN98nNkdLD/lQ7zYP5r+qwvZ+XgX6ifm0X9rPj4nN9DMUksGFqSKnccm2eGZMJLTB50ImtKHVYL+BO1wxlizdLcRZYYzu3dvMrpuxGtSG4rDr3L2vpBqOlHczbFi6JAumGv+uwDFyLHeWI6ZTqWwkxyPUcN53mwc65Xn9dEfAYpY3EYO575Uvnzal/LleVxeNoklzyuxae1EGlYxln1IJYXxeE8YwkOjISxybcz5GTO5XWEwa6b2pKZZqfs1J8KPWVO3YDpiLk62OayZtgeTXtOY3L8Z5jqlybSR55YwbUMU/VYvoneTSuQ+f0M62lSylOOspyvHM+yZO3UkTf9xQCF9NTIJOrABb58rRGUUYdGgH9NmjKRlfXO+3QP+Wij5y7v9HrXRl+e9WH7oNkY2nXGwr4WGgpSqSR5xfhqhF04QGKNAj4nTGOJQiRteyzj1Up3+EybR3b4CxalP2L5mI68U6zNqYhdiT23iYpSWDFC0MvrAcZ/dnLz5glyJEkpyEiTKOtRp14dhA7pjW16VF1cOculpJrU79aejbWXKohhlDyIhPz2JuNgMVA2NEcdewOvAVdTtvwAU+e84tcMNn4D36JjWQFuUSqGSJjUatKBD+1bUsfrCI/eFeYRFWcT9P/bOOiyrbH3/H7o7BBRFFBUTsbGxFRuxxcDE7u7AAkRFbOxuMcHuQlEREWmkO19443dtUERnnDNnzsx855yf67r4i3fvvdazV9z7ifsO+0S+vDamKh/Z5bONF0rNmTNt0mdAISSGJREXnYqyngHSOH+2HriIzGYwc0Z8Cyi8Nx0l40eAwnM3L7K1qFRVnQJRZQZPGktdjSRunD6G//MIpIpiElLV6DxhHj1M47l0eA++V56SJVVBBYE4DSo260G/ni3IuLYdjz1+JGtY0WXoaMY42pEfdAof38tEF8ijqqAgJI9QrnYr+g11xsFGh5d+e1i/fjfxShUwUjfBunFzKqqGc/+1mMELZlIrP5B93j5cCUlFSWDWLcxFqmyEndN4Jvavz8cr+9l1NvRXPBQSMuOC8Tu4nV1nHpMlr4bg1c9JSyZTTpPWIxazbkRdnp30Yd32S8jrGKOuXYX2PQbTtnoCB7bu5u6HdJQ01BAEqSTygpjiUFwndEU94i4+a734VGc8mxc4oCnN4e2dU7i7HaPyyLWMrZvF3uWTORhmRD1rCQkRBRQUFiCvVonOY6Yypk9zDMoutKI8Qh/5sX7tWhIMG6BbEEV4VBYSOW1s7dtRXhLN4xevSUzLIEvJnH5TVzLTXoeAvevZdl+NFTtX0sRIhbTIV+xfvZDrCr3Yva4nURe3s2HLST4pCAn2Qo6tFKPqrRgzexzGwSdZPHcNd5OUqdupFyNd5zK85dcQYEFaNP4+05m7OxnbTvqkhCaTVyCmIFeROr1GM23KIKop5/D6+nbWeJ0lSqyIuqISQtaxZuWGDBk/hT6NzL8NQf5bgEKRax5jWPHSmkUutTm61hvd4W6scm6KLO6rh+IbQFEgAAo3XL0+svDgrq/y5cWJkX6M6rqKqquOsqFPiaCYtDCP4LNLGbkslKU3fan40J3BS0NZdXw3DlYlCnxC6OLS0s4sfNyFi5cn8nTeYGaGteLpmTkYFoeBZBRlR7OyTwteNvLhyOquKOfF8eJmHKYt6mMctoPaA9xxPRTO1P8cUJTZIZLu0a/7jwFFeuAxvPaeIig6n9jkQuo7TmXp6A6oxfnSsYMvjvuPMbWVWWm2adiJsfSanojnO18098/GaZ8iJ0+tp0H5r0JK52fVZ9nL/hw/PZSAEU6464zi4abB6H0GFLKscBb16UB4a0+8ZnRGS5RNGtqUU80gLlWGvokB6oolSZ9/ZvtPPBTDXTywmOzJyNqpeC9aTZzlIBZP60PetRUM/lUPxY8ARRpn5riyMqoOO1ePpr6lUck4Rcn4uDpyS30AC2c15tTE+QTWGYnbJAdqlCuZZHkfrzJ73Fq0h8xlSMN0Vkw5QhVBvrlvU8y0SoKNUVeWM2n5K7qtXU7/FrXQ/WLEwnj2r5xYAiim/h8BCgEUfbjKsslz2fc0D8d5q5k9vCuWBn8wDfk/mBy/B1C889vMrDW7eBkvRzl9QZ1VWpycXiSTIFHVo3X7wYwb1ovaljLOeSznVLAGjmMm0KOxOYXJr/BZ58U7ZRtGjOlC1AkBUGjTf8xwjD4eZo3vdZTqdGVAl1ZUVBfxJuAsl15l0ayfC8O6NUE5N5nUbDEa+kboa5W4vH+9SYm5u491+6+iUQZQiJNec2DLKrwvv0FJvyomGlCQnU5yphL1egxn4ui+1DFQpEhcojYsJ7CDKiqhWGbdiSNu47HFm0CVFmUARdleSIi8f4TN+y8iq//vAYrdHnsIlqtKg/pqhL3NpPkgV+yN4jhx4CQfRPpU0k7ncVABnSYtoL3Ge84dvMAHcXlsm1VDPuMt96+c51FsOfrNnEt3g9dsd99DlHFXpi4chFHcY/Zu28IjSU2GDelHPRNVkoIf4Hf5AXJ1ejJ9fHdSb+5k9Upf5OxGMmGIA1X0RTy7fITzLyQMmT2JigkPOHHgIQp17KhjqUpi8E2uXL5HtnkfVqwcTOGTo+w8/f4XgEJWlM7L64dYs/EA+fV6MaqPPUaFydw+d4gjd8JpMGwRG0fW5dnhTazedpsq/acyvmcz9JVyeXzCg82X42kzeAI97CpAaiR3zh3nwlspjrNX0dskmt0bPIitNYHNc7uiIc0h+O5pPDYep5LzWsbVSWfXEhd2vDZn4KiBdG5Wi6JPLzl18ChByk1Z6baQ1halkrEgyJc/OsPyBbMJNXXGdVhnzOWSuHJwO6ceZ9PY0ZlBnWwg8TE79hwl22osh5a14cn+DWx7qM5y7xU0NlImPSqIg2sXclWhD9vnteDK6rm4B4gYOHskduY6pCcEc/NlFHYDZ+FgkshJzwV4B6gzeecyOlpZYqL9tbKwGFBsm8SUrWE0HTKOQX0aYFyUyt0T+9j/KIcRq30YUj2JLbPHcDy7PlMnOlO/nDrZMa84ve8oidUH475wBBXUy5wevxdQbBVCHopccx/Dile27PKdSPTeqaw8DVO3rqGT/lum9ZvJ+w4b+F2AQioiOfwUQ9pvwnbbSdZ0MS8BFEV5hF1ajfOMx8y4e5iqd9cxcHUSm8/uoL1FyUe3oHp6Y20Xpl9swem703k6aRDz0rsTfGwyJWlmMopyk9joZMOtKls45tUXnS9LUypB9Myb2oM9/n5AIZQdigoliAsy8d/myqSDUjxP+9JJ9SKd7XfQa88xprUpX+qhCD06lj5zk/F644vmoTk47ZZx9ORGGpl/BRRnp9dnZfBAjp8Yyk2XfqxXH87DzUPLAIowFvTuQoy9Jx7TOmKgLsQv//r2i6TMo9MYsjmFmTvX063GtzkUnkJSZmF3Lm4YhUXOLQRAUXGiB9MdLIk8tZap24Jwmr+QuknHGL8rkbm/CHn8CFBkcG6+KyvCarJ9zRhsq3wGFAVJeLv2467WIBbNbMzpSXN5Zj0Ct8ndqSGcBkIeQtgVZo/fgN5QAVBksHLqQSwGzmCCowAoStLkIy8tY/Kqt3RfuxSn5jXR+QcBCqkokUfHfdmy8zKv4xIxsuvH9KkutLMxR620FPevnwfFi1oqJSUlpZjNU6BjF9RGPVxX80hcl0nzhJCHHsF+Xiz0PEas1Jhq5sbI5SQS9vYNkVIDOo6czPQhvaljpoM8KZz9DCj6jZlA9y+AYv1m3inV+wooPurR36UzSRd3su1yNLXb2GNX3QRFeRlZsW+5eicU81YDmDLGkRpG35Z4/9gqvw4oRGnh3L12hscJctRu2ZkmVctRFB3EwW1buRJriPPEcdiZZPLiRShZ+RIUdMpRs14j6levUPxFXbyp/YWAYpf7bj5oNKBXVzMenX+Eum0vOpsncvrcPdQbdMSq4AmnbmbSZcpinGpICH72hLuBH0nKyiI54jXPAx+RqGiD6/wVOFePwXfTHiJMHFm0rCORp3exwv0sUuvW9GlRHVVFOQqz4nn24AnxSrWYNH882iEn8fa5Sc2RS5nqVB+59DD8Du7i9AsJg+fOpZlWOk9u3+dZRDJZmSlEv3nAk3dRlGs4krVrhiF9fpydp34JKKTpH7h4wAuP63mMWb6WgfUNhXI5wh6fZ9OWg2TXc2HjWBueHt7G9rOfcFzlxqCGRiS8vcOODT680erI+tWjsNAUKr0KCH98kS1u28lrPJnJDloc37CB6NqubJ7TpQRQ3DuNx4YSQDG2Vhq+a2ZxR2kwGzwnUl1TDnFOAo/O7MbT9wVtF25gfNvKX8GpOJ8P98+wfuV61Pp6sWpcSxTTo7m+z51NJ5MZ7bOJ/rUNSI9+zUH3ZfjltcVntQOvBEDxSJ3lW34PPv4AACAASURBVMsAinWLuCrfi51L2vFkhxsrDj7HsF5DWtSyxMjYDKPKFtg0rE8FuWRu712G21k1Vl7aRDMh3lumFYc8ts1gxQU1lp7cQ5cKSiApIC7In9UzVlDYeREzOmQwqd8Scpr1Y6R9dZTk5JCI0gm+78+NBAs8dqynjcWXLImS0E5xDsWs+aS1X8nmSd/lUNzYQt8p1xnsfZhpDRW45j6a5a9s8T02j/LRASycvIwPViPwmGDJRpeZBNuv/32AQiYiJfwsQztupN6mE7g5VCoFFB8ursR59gvm3D2I5d0NDFoVh8eZnXSsXOKLFABFwOouzLjWmrO3pvF06iDmJnbh9cmpaJcCikTWOzbgfo2tHPXoRWka8d8PKPKJfRdNoa4ZlU20Smvsk5/uxqnjOtqevMQU6xAGt5tP3RWHWdLb+jN3QBEPvYbjvEedY/c3oXJxGY5rPrL+2A46WelTku+UhY9zS/ZJXTnt48SDuY4sjGnLpf3TsdARlPegMPERE/q4oDRwK24uzdH5k+vyf7T5fg8oIk/MxMkjhinenvSuY4r6l7ktCmHtKBfOaQ/n0JIBVMgMKAEUrhuY3r0+hgVv2Th7BrdEdrS2+IjPdQmL167E8Zscih8BinxubpjM/FtarFo/k5Y1zFCSA0nWe1aNGcfHqqNYOLE51+ZP4IpGd5bPHkQ9c93iTSA58BjTZh+g5ph5DGmQz7qp7ih3cGXK4HZU0hcmYhEvDy9k1p4URq2aS/fGVmj8UwCFOI/wp4dYveokogr2NK6awuXLzzBrM5LJLr2oZSrUa/997fcAijfnNuJ2piSHYmTXJqhlhHHn1AEO+r1Fp2EPhg3rXlwCqihL4ezGZZx4o06/ca70bFoRUdJLtrltJkTZhpHjP3soBEAxqgMJF7azyfc2ueraaCjLlZTkC/oPcia07TecMaO6Y23y26WSXy31a4BCRmFuJsnJ2cira2NoqP3Zw1jE06Me+Bx7TZ3ejlTkJbt3XyA6TYSKeT36DZ+ASw87DD7HV/5aQLGLUO3mjBpVj+e+xwmRVqCWmYT3YXm0Gt4flZeHOeCfS9cpc2mr/pr9W7dzLjARXQsrLIz1yIt6R0i8On1nL2KYVQx7Nu0m0lQAFB2IPLmDZct28b5QHQNNxRIOjmJ9DS2qN+zCmKn90Yi8wq4Dj2gwaikTOlVFVAZQDJoxHtOY62z2PMCbQi0qWVphqlxI+JsQ8k3asNTNGdkPAIUk6Q1nfD3Y/lqX+avX09ZcWLmFxAT5s9N7HwmVB7JaABQnduF7M4uhi5bhYK1O9KtrbPfcT1L14Wyc2Q3tz27txLd32ee5kTemA5ja14wL69YRaT2ezQs/hzxun2Lj+hNYjhIARTr71y7kubYL7puGYCJsx6IMgm+eZOM2P6q4rGFO9xpfOUHEeYTeP4+H2zZMh3kxb2A9JGlRBBzdzLYbYmZ6rKKNuQaZMW856rmMc7mt2bayGy/3rcf7rhpLd6yimbFyacjjmkof9rsPRBr2hMMnT3Dj9jMiPmUDShhXb0j3oWMZ1rYcTwVAcU6VlZe8aP5rgMJnNuuumuJx3ZMGgvNCJiE14gXbF87kVdVxzO9WwLTeswhRN6GchjySYo4VOeTk1TAq34rZnnPpWLaUV1pEWvgj1s2aS2yLpfhM74Dm531RKsog5MoGBi9+ytidxxlRvaAEULy0xffEUqpLM3l1wY2Zbs9oPqwbH4/vJbrdOu6XzaH4YcijiPSYm0zsMQPdaQfY5GxTbHsh5+LpofmM3ZyKl78Ppk+2MnTuPaYeOMDAukIJspBnkcSRGT3ZGNOf6ydH8XS5M5MfVef6xTVYqgmdlyJKC2ZWdwcSuu7hwAL7r+XSfz+gSOLwzAU80rFn2vjeWBiqQm4S9w4tx3XBC8ZeOIlLnWyW9OnCk+qz8F44nOpGauQmBuI+ZRSHFIZzd894FF/vp/8od6pN28wSp9YYqUtJfH+OiYPnIBmwlwOT7Ig8PBZHz1im+ngxpJEVmuTy4tI6xiy+ST83Xya3t0TtTy4P/b2AIuPhJnpOOI7N+IW4Oramip4aCtI8Ep6fY870tcg5bmDNiNYYJl7+BlAYqcuIvb6fmW47iMjPICyvDh5ebvRtVjYp80eAAiIvrmDUmju0nLKQ0V2aYaomIfyRLzMWHqXKoKXM7N+M4O0jWXFLmeGzZtC3eU00xekEHFzOslNpjJy7EEcbBXbPdeWGnB2TJ46hVQ1TJBkh+K6ay8HE+qxZPI4WNUy+HtL/pyEPMWnv77F1rTu3Cy1xcZ1Et+pirmxexZabeXQYOYERveww01b9WzxVv9dDUQooeo9nZLcm6ChCYUYEl3d5sNUvknpOY5k4sD2VdArw81jAnltZdBw7iyGda5AedJENK/eSUrEjk6d1JvK4EPLQpb+LA5nXd7HPP5mabTrT1NoIJQUZoqwkYhNEmNZuhn1LG0zLuIF/G2b9OqBIC3vGuVPXSdesTtc+HbEyUUeUGsO1fZs4+aIA+2HjsbeS8f5dJDn5RShpGWBZvRZW5sbFce+/3kOxixDNFkye3YmIY7s5dfsNEjUzzCyaMXxyW6LOeHPglohukyZQPvoo7r4PMe8wApfuzTBQzOLBke3sPReH/fSFDK8WzW7PnXws14dFy3uQ6LcXd68LULMr3VtaoaEifPFlkZSQgkynOm0725L17CS7Dj6hwaglTOhkVQoozgRKcRrVnczbu9l2V8aQaVPpWMsM2adA9m/ZydPsWsxbPwJ+5KHIjuT6ka2sPx1Jt2krGGlfDfWiTF5cP8zm3edQbDWRjS51eXJiF/tuZDJk8XIcrLVIev8AXw8v7uXbsHj5JOpX0kaWn07gtRNs9TmDTpdZTGyrwJGVS3hhMIAN68dQQRLHzSPb8NzzilZz1jOmVhp7V03lirg7q9yn0cREkwKhqmL/TnZdTcBx2RqGN6vwdY2J8wm9f64YUJgM82L+F0BxpARQzPBcRdtiQPGGIx7LOZ/Xmm2ru/PG140Np9MY67MFp+rqhD+9hOdSD0KtXDiwsS/5ER+JzZdHJT+N6Kg4Uj8+x+/cBVIshuLtM4Lk/UtYeUaBJed9aKv3bV2o4KG4vm0ai0+Lme67HaeaJigUCaDoDKtW7abcoBVMapnEvCHLyG86iiHtqhZXtAgVH2nxMaRKLek5xIGaRmXCqDIJWZ9es33xdM4UtGHt6nE0qWSMkrSQnJhgLm5bwsYnhqw7tJvm6onfAIpaSmJy49+we+ECdgR/gpQc9Id6c2dJh9JlKfkRoEBKXuoH3Ef34KrBOLavGYe1gTJZsa/YvnwqvmmduXJoFmrvzzBu9BK0nDexcWQH9FWKiAv2Y/6YWXzq6MO1hS0IOT6XvsufMX73fkY3tURFkknwLW9GTjxM+w0XWd2jxPtR4gL5S0Med+jXvS/yI29zePSXKo8C/JY6MntvIu3Gj6dlVR3kEl9zbN8eIquMY6fHLOqVy+eaxzjG7/uAQ/9xtLDSJSXoPFvOPKHd7EOsG2SDWtZbVs5wYXe4GeMGO2GpKybo6i4OBCmwcPNxhgn14x/OMmjcLGJMujHKwQ59STLnDnkRpNWNTRtW0qKSRoln429o33soJNmBLO0/mhPpenTt70jD8gaoipN4dfYkfiHqjNuykQFNrVAJP8fw0e6YT3BnRg9bjARXhiSLi17jmLPmHO8NOrBnhzt9m1ZGQ3A3FO/GUawbJlR5jMBthiNVSqs8QBJ9h9lz53I314o+ndtiqVXEfb+93M2qwvQFK+jVyILcp7twXbaN3PJt6dnSFl1RJCdPHyWz6gCWzBhNEwtVHh9cznzfh1Ru1J029SwpjLzDoUsPqdJrPguHd6FK2UUlAIoVEzia3qw4KbO51WfClr/A7t/zUOSlhXLOeyP7/TNpNWEKwx0aYaquSPYbf1a5beRBZmVGTB5P75bW6P5N3qrf5aE4u541Z0JLPRS6n8mX8sIescndjcuJhgwbPRmnNjX4eG41y3dcguqd6dbamozX1zh9LhCz9qOZM7UTEce98AvVpv/4EZjGXGTb3vuIzRvTvElldNWkZES95lV0EbU7ONK3XR1kiR+JShFhYG6JubH2b3hvpMTc8WWtkJTZ1Jnpn6s8smNfcmTTes48TqdGh240rqFP1vvH+N9+gbJtPyZNGEHTSr/tBRFH3CrOoXih3II50ydjU4aHomTaSIi6f5hN+y8gsxnK3JG/Mynzw012ue/knUZzpq1wRnznKFs2enM/vSp9Rk9i1jAL7u/fyv47IrpNcMUi9iRue26jWqcz/ZqUIyPmFZfPnCUotRKj5i5ndMMM9rtv5FJKVUZMd6GWXDSX9x3mWaYF9p0aUV5XjoL0GN69C0fOwp5hQ1uScusAOw8+LQYUrl2qIUoL4+KBXZx5IWHAmJ5k3d3LxitZdHDsSwODfMJe+nP8zD2Uaw5i1dqRKAaeZvfJ93ScsYKhzcqUjUpzCb13hk1rvXinVQ+Hbu0wKkjl8aXTXAlKoeWk1WwYXosnx3bhKwCKJcvoXlOfgtRw/A+643nwCeb2g+jQuAKytBge+/vzKM2EcUtX0Lf8J464z2bzUxV6DXOmhlI8d/1O8iBSi8ELNzK6djo7l47E+40ZvYc60qKKIZnRb/C/+JDc6j1ZvXgMdUtqij/vUfmE3juHxxpvTIYLgMKm2EPhf3gz2wKKmOm1mrbm6mREv+WI+zLO57Vih3t/Pl3Ywtz1x9FpN55BtrqEvwrg7LnHaLWbz77Fdtzb782REFW6tGiIgaaYnE/vuHXuLHGVB7PJbRApJ5Yzw/sNnecsZ4B9U2p+IVEQSpLTornuPZHJO97TaMhgutWthVJ+HE8v+xGQXIkF7svpZPKJ3fPn45dYi179mlNeW0pRfhofnj3ik3En5k3pR0WNsoeKwEKZxJ19q5m1/iLlew+jX4taaApMsm8fcvbkbQx6L2LD6oHoZSZydeOokpDH8eXUVgGBzTf82Qlmj5/OxTB5Gs86zL3F7b8BFC/PuOHqGcbCI7txKEPEJi5I5+7uGUzYGUjrvuNpX12bpLcB7LrwgEbjduA5uhnyae/wXjQez0Atxg4fjpVOAW9vHmT/0xxmbLmAa1Nt8kMv4+I6lSDtzkzu1xadokSundjKXUkLfHZsp6152ZwRAVBspfYgTyYcDmfa56RMmaSAsGf3+KRajWb1KvItJ/YvD4Jfp95OecS44WOQDTjFtsFVS2lCC9KfsGXaWg4+e0taTgFKctpUsG3JmFmzGNC4UjEBVm7MEzavn83Jy1GkiuRQUTekau+RuE8fTlVD1WImxthHe1ixYRsPnyeTJVFGp1wFGrvMw31EW7SK6S6lPD0+m5XelwmNzKNAqoaBdT0GTFuIa7saqCn9fY7uX4qDiXnn543bjnM8e/+JXFEBinJy6OlXxH64KxOFahNdDSRhl5k+xwcT52WM61AHA7WSPgu8D8unLeV0ljVr1iyiW4OKqJUCili8J08lyNSJeeO6UcmoTDIUEOLvwQbvIzx9nUK2SBltCyu6jJ7O5B7NMNVRLXZV+h9eyrZ9/gRH5VIkU8dIeD+TJtGnaXV01RTJiw/i0C43jp55RlSqGAVVXSq178c8V2fsqpuiUjYvoTCRk5vmczajIRNdnGhU2eAvCzF8AyiUFAi5sQNPn2vo2DkzenAnqpb7Et+UEHbbl9WbT6FY34mJzr2pXUHISfjr2+8BFO+vbmPLlQhqd3FmgL1NsYfi8ycAIbd34uF9FrkaToxzccRC9JJdm7dy+PJTRBpG1KhfG5W8PEzrdmDo0LZEn9/DjQgNejgPp1X5TC4fPoDvqeu8iUtBJJaipVce27Z9GDa8H82t9Qg6u5tTj9Ow7TmYns2tvqvyKGsfGZ8eH8P75G1U6/djTF97jIvTL/KJfHSNQ7v2cebhW5JzJSgp61OlSSdGTRhG92ZW/KtUWHH0A3b57idIqTETxoyk9i/4pSTEPj3D7pP+yGo74tq/PUafdymhbPRHVR5ZEQ84sv0QH9QbMnq2M3of77LHay1X0iozfPoihttKCDixj+OPRHQY5Yqd0jsOb9vKoYCnpBXJoWZojIG6KuryBrQaOJExvcpx76AXq/Y8wsRuILMmOaIfcxOfbUe5HxZDZl4hahq6VLWxx3HIUHq3q0zY9eMcOvWKeoOn42xvSWFGJNdPHubKKyl9Jg7FMCaATau3cSsqEYmSBtrGBmjLKWNQwZYRs1wwiLzJ8YsfaD1uFn0bmn4zYUXpsTy4sA+vnSd4FZcOqtrF/BXy8uo0dprBahdbgs4f5sS9LPrOmEn7arrFXAZxIfc55L2L03eDiM8qRElJD9NKdenStx+DnbtQUZpE4LVDLFm7h5CkAowFj1KVCsilZWM7aB4DrFLxXTmFgx9MqWaVz9vHERQpaFCzYTecx4/Gwc7y20NEXED4k2vs3LIP4/7LmdizFtKMWO6e3sv+u0WMWzkXu/JqZMWFcma7O9fzmrBh7SAIvc+29Rs4efMdcoZmWNvaYpgXT76FExvmdSDu1iE8fA7xLCiZXHkZirp6VK7Xgj6DXRnb0pgPDw4za/EmwqS1GbFwHTO7VCm1nygjjrv7VrD2VDrVWxTx8HwwaflizKo0pvfQiYwcaoduYQ6RT86ycd1ebn+MJTuvEBVVDSrWaE7fUeMZ5mBTSlz19dQvJD3sET5enpy6HUZybnZxVaKWhhHVmrRm4vwFtLbUpTArmVvbp+P5rg7u22ZTo3gtSRHlxHDJaymLjr7A0nkz52e0+nprUQ5vL29l4Y5IpvhsoF3FMnu9VEJW3Ct2uk/nsF8U6SI5lNXLUaPnIFZMHU0dE1WkkkJin51g7YaN3H6SRg7K6JarRIPh09g0piuaigKoEfHy3DKWbDrNh0gRInl1jKxq0XPaMhZ0tf52w5RJKHy5F/tJexi6+QFj63/etfKT8J3tzDXDcWxb0vMb9tpf23F/HVDkxXHh7HnkazvRtY7BN5oE+RmRXDp/hQ+fMlFRr0xLhzbYVDYqPlS/tKyEJ9y58IB3KRJ0ytelnYMdlfU0ytA6FxIXfJ1bV4OJFalhUbcZ9u3qYViGn18mTSf4jh/3n8WTITOgftvWNLOpXMwe+XckY34Zy6+qjUoLiX3znFuPXxOfkYmiggpVatnRpEkdjHRUiscpTQ/jyrUXaNm0pqGl8VfQICkg9ME5rkSrY9+6JdXNymiYSLN4duUKCVq1adHACl31UlL4ku7IBAKhGzx8GEZ8rgZVGzWleZMaGJTh3ygqiOPNnVs8fRNPrrwJtm2aY2ttXkZ3REZOylueBjzgdVQ2yoZWNLNvSg1zw1/qoUhyCX4cQEiBKY1ta1Fe99c54P+Mo/wbQKEgJfjeGZ4mqVK3cStqmRtSViZBkp/CixuXCBMZYdusGVVMdEu1KP6MvvzoHj/koRDXY2JxUqYBKWHPeBqWjrFVPWpXNkGlDNIR5yfw/No9IvO1qNeqCVYmGqQEB/Lw4VNSVIyp37AGkpQEsuSNqFXXguzQQMLTlalez4bKxhoUZSfwJvApT4I+kpkvwbRqXRo1aVQ8fiW5ImLfPuNNbB5m1jbUrGTwjRbGd7sH2XFvefo2CiXTmthaC+vq8y8keSREBHP/0Qs+fspDXa8qts0aUr/mr5eMfm8raWYsL16+JEmhPI0a1Kesw+vzJCYrLoTA4I/IjGvSuLZlaR7Sb/FQiDJieP38NWmKZjRoXg/N7BiCnt0jusgIW7t2VNbKJeLtS97Fiqls2xRrIzk+hb/i/v2HRKRJ0a5cjWpmupD0CWm5ejRpWJGsyEBu3w4kT7M6rVo2xUpPSnToK+4+CSIuNQ/dcubUa9KKulZmqMuLiP/4lqB3CZSrY4eNhS6SggzC373mQ6IM68ZNqKCSw/tXD7j3LJhsRR3MqlejkqqMrJRczGyaop8fzduwVCxsm2Ndlqa7WP8kleiISGLiwwgNjaVQTRcV+Sze3H+Oks1Qlo1rSWbYa95Gi7BuZodlcf6TcG6JyIj/yKOHjwkKT0dFowI16jWlZYOKqH9Gf6L0ZELu3+BRWBJGdWyoW1mPyNdhaNVsSWXJOw6sW8wTjcG4jrUi5OZzxOpGNG5lj62V2S+BulRM+qePPH/yCo2abWlSwwhZQRZRIS95FS2hYdsWmGspIWg1hbx4wMfCCnRsXx+NwjyS3gVy485TcvTL07ipDbLYECKklelsXwslUTZRb55y//ZLEqSgampG3WZtaWVpgjwScrNieXTzKq8/qVKvRUfa1DEpPQeE0FR00F2eRqhSx86E19dvEZslo2bTttg3rVWaJyAVF5Ac/pLrd58Rm5JfrE9Tr0UnGlqbfSUo/G5CC2Rj2QmRPL73hJdRccjLy2NsUg3blq2oVbGkRkIiyiPq+TUeJhvT2cEOgy/fu5IiBK/f2RvPka/RhcHNvoYYBECQHPaEGy8yadq1I5VLeeQ/rxKpmKykIO5fukNwkhRt09q07WZHVUOBO+jzq5eKSAi9yc3LQcQWaVCpZmPsO9THWOXLYpYhlWQR8uAC9x58IlPBkDotW9GqSdVSkq7S4cpkSBJfss/vBTbdRmErJNMUs4fn8uLKCcLUGtOjXc1/+UHxU230X5xAP+XL/8oj+uu9/xvVRoUqj00TlnMtVpdOo4fRx74+5oban7lV/h67/S88RSYuIOVTBM/9D3P0+HO0WoxkznfU2/8L4/zhGKQ5fHjiz/HD/sjVakrjqmbICtN59+wGAc9TaTNqPuO71/0Nj9Mft05SyD32rV3EC53ReHoOotwfv9XPK39agJ+A4ieg+Ecsg/9GQCHJf8uO6UvYfvoBWbYOzJsxmcGta/O9Y+kfYeB/cCfEWZ+4c9YHT29fXsZb0td1BrNnd+fboMA/eAD/addkRcQEBbBn4xrOv0hHLAg7KcqhoGdKA/v+TB7pRN0yOQP/6ePKXp8c+pAjHit5pePMGjenP6Rp8mf25+e9/rstICcSib6IFP93j+Qv6n1CQgL6+vrFvPo/219ngYICQV8gD01NzX+srYWQR3p6OqqqqmhoaCAtSuDBqfPcePiaJKOadHfoRps6FUsrHv46a/1v3Vmal8abR5e46P+A5KIqNO/YiY4davO9UOn/1qi/HY1UksunsBfcOH+TlxGJiPX0qdq0Fd1atqKK7u/lF/n3LZSTFMGzG1eIVW1Cz162X3kJ/v1b/bzipwWQS0lJ+QkofjARhDr/jIyM4sNDUfHPkLD7OeN+zQKCnQsLC4v/hMNaQaA9/gc2gR0yNzcXJSUlVFSETV4OeQWFz2q8QrxSgqSYwOBn+/csINhRHgX5koQTQXZZIpEKsmT/HzW54vi8YIfSHDGZtNgOUoF05C9qwtoT5rCcTIpYUKf62X5a4D+wgFxWVtZfN1v/g479Ey4VFltycjI6OjrFh8jP9tdZQCQSIfwJLJT/VFsLgCIrK6vYgyL082f7aYGfFvhpgZ8W+GqBnzkU/2I2/EzK/HuWy39jDsXfY5mfT/lpgZ8W+GmB/w4L/AQUPwHFP2Km/gQU/4jX8LMTPy3w0wI/LfCHLfADQCEmJfwj+VoVMf9lIXnpw0TpUYQmiqlkaYm28ld2iMK8NOLCY0jLl6CsaUjFyqZoq5YV85KSm5ZATFQCORIFtA1NMTc3RE2hTNG+IOMaF0t8YjoFqGJcoQKmRl/0BUq6kJcaS3KOIuXKG6PyF/FTfO+hEAhoIpPEGFcqj46q0tc6bZmIpKgokmU6VK1giLIkh8joGIo0K2BhrI1yKbWnjLzUOCJSijAtb4aGOJUP0UmIiiQlgxL4PL7ETGUy5FXUMKtUBUMtVRTkxGQmxRMfn0JukSK6JqaYldNDVUnha22yOJ/UT3EkpGQhllPHuIIZxvqaKJWxbVF+JokxcaRkCTLFupiZm6JXfP/vGT6EviaQXqCIrqEe6mV4Qv7wjPvBhd8DisLcVOIik5BpG2Jioo96GTIzaVE2nz7GU6iqQzlTAzRK667/7F59e7/veShk0nySo+NITM1ApKqDuZkp2vJ5xH5KLCZG+saaSkpo6RlhamSI5jdr4Qd9lhWRnphAZqECeoZG6PzJpSOSwhzSUzKRKWuia6BTrA0jNKkom8SEeBJTsz/rHQhzUh4dIzNMTcqh8a8if7JCMlNSyC9SQtvYqFQ0TCD6yc/OIiE+gbTsPOQUNNA3KodJOR1U5IrITPnEp4QUCqQaGJqYYmqq+42ctKBlkJGaQr5YBR1DQzTUlctwJMiQFRWSk5ZORqEcGgYG6H9RK/utKSGVlqy1P5izIxOLyEhLISNPUDs2RUf1x7k/MmkRORmppGaK0DY2Q/9fGvKvncv/dXcX3pNUAgq/zGWTigvJTokjMUuJClYVKCsa+sfHKUMsyiUx9hNiLVPMjbXK7PUSCrKTCI/JRr9iZQTOvaykSKIyFahoURld1S8rX4akMJuYiDhE2uWpaihPTEQEyZki5AWyouLtXtDl+ZJ1IIeOaWUqm+qhgIzC/Aw+RcSQmidGWdMAcwszdNW+LkCZTEJeRhIxEfHkSBXQNjDBvKLxN6KJMlkh6Z9iiYtPo1BODcPyFShvovOrHDUyWR6fQqJQqmiN8becir/bjL8CKCSkxQdyYLk7hV1WM6O7RRlCqjL3LUjixq5VbH6twbwVy2lopFj8u6KcBO5fPcyx/dcJTi5At3xdOowYzKA2tuipKxZvsjkJL7l4/Djnzj4ktlCFyvWa033kEHraVEL588GX8P4KR/ee4eajd6RLDbHp1AWngb1pamGAopyI/AIZH2/6cjXYgF4jOmCspo2mmsI3JFy/2wq/8cPvAUVcwGZWnsnAaaYrdhX1vxIXSeI4vm4dZ0XNWDvRAdO8V7ht8CRMtzszxvbG2kzrM/lSEaFXt7P8XBrO41yolXWFWR6niE3JKcESB8SuTAAAIABJREFUZY4hmUSMWrkqjJy9gq71K1IU/5ALR89w9UYgcTlqWNm1otfAPrSpVQlNgflJIiI86CqnD57nTuBHcuXKYdu1G069O1G3omEx6BLnJvPi3nlOH7nCi4+pKBtY0aJfX5w6NqOSodY3HAr5ObHcPurLi9xq9OzbkRoVdP8epkwVFbKjn7B/0wFCla3p69yHJtXKoVK8CEVEvfBj//ZbqDZwwLFPSywMSwTk/ur2PaCQiMI5476NY5cfEV+pGRNdhtFI6R07fI/zICTpc7KmkGUoQ6qpScWajenm0Jt2DYUF+9sns0ycys2jB3gUr4l9r940tfoF5eQfHq5QURD5+ibXrgehY21Ph45NMfxcxJQb+ZCjB305fjOEfLGQdgrySmo07TmSYYOcsP6tbsgKSUt4zfUzV0hRsqZDvz4IhI4CmMhLj+VJwHVOnvPnTVQC8qpmxcRDvZw60MhchddX9rH78Hmi8mvQbchwnIe1xLDMCHNiAwk4d5InUUo07NKLVs1tMPhSeCUtIDnsNQHnr/G20IRWffrRocZv14hI8nNIifpEPqqY1qj4VSTp37BqUXYcD6/7cee9hA6Dh9CkYql24y/uIhWl8fL2ZS7di6Vx/1F0rFV2dP/GQ/8//KlMUkRuYjyforMo17AmOt/pLhRmJfLsnA9Hnxng6j6R6n9GTrdMXKzme8hnO5m2o5nat34pD4isKJfYFydZ4PWCDtMWMsBagafHlrPmhpghExfSp6lJCRiWFZGd+AKv5T7ENZjAuh4qbF29irNP4lBRUixOOhbW1xdAIaegRLOhC1ng3Brl3EQeXT/M0QMBBCfloW1Wl07OA+hv3xhDdQUEMJEd/5YrZ45y5tRDYotUqFy7OQ6jBtPb1hJB6kog5Ur6cJOjvicJuBtMhoIxNu060G+YEy0tBEGxr00myyUy+Dq7Vp/EZuEB+ln/sR21DKAQ1AZziA5/jd+JDaz1OIu9Zwj7Rlh93RhLn19AVIAPI4fMJsisMwfOnKKjufC1XkjIlU1MWLyZTNWalNdVIT8pjLeK1VizfjODmpRHqSiVC1snMdc3ECOTquioyEiOeUdytb4cdl+CbQVN5DLCWD9nALsfy1O5vAkqkjzCYiKo1HsRW2YMxEI9mvu3PhB47wyPI01o26se5Sra0am+CSp/smjYL+TLD09i0NYkZmz3pEdN068Ma+IPrBfky/O6ccVzDBbZtxg5Zgpn3xkx2cOLKb0bFR8icoh4tm8OA7wTWLJuJW2VH7Nq58ViZj45WR4fAgPJUDWnZpXyqCvJoWpUiUET59LeQo5TXhPxuhSNtnY5tJQkxMZFotncmdXTx9CkiiFFsQ9xWzaLi6/FGOgboirOJDQ1j+aD5jDHuStWRspE3jvIknVbCUnTxFBHB4HZMAxTxkxfxKhODTDUVEJSKCI1IYbHd46w1dOHrNoTWLdoLM2qGP5tgIKcOC4d2ITbjmdUHTiWmSO7UcNQnez45+xcvZSAOEP6jZtD71Y10SsjNfBX7re/ZMoMwmvCfHwDwtBo68iccYOwTPZjqddhQrO1qGiiV/rlLxblEBOdiI5ND2ZMH0fXBhUp49T7RbdlhZ84tm4VfhE6DJwwka4NzP7joQnVE/lZ6YS/f8jxfV5cCMyhi8tiJg3ugmmxDWXEPjjE+o3e3IqSp7yZAUoCxFVSo2GXgfTv2wsrvV/rhozCvBzio95y9fxu9p+6jVmbicybNZn6RgLOTeW530F8th/nXa4yBgbayLLTScjIpWLHgUwZ1Re14Evs3bOHu8EqtBo2nQWLHKlQ5lGZobfYuX4Fm/1Cqec0nhlTptP6s2yzJCuK66d3sGrjAbIrdGHm8tUMETSBfqNlhz/Db+95IjVscZ7b6w9xXhTlxPPs9nUehUlp7eiIbfkf65xI8hO4dWIPe858oPOsFQy1Kzu6//jV/k/fQJyTwpvzh9h7OhPnffOxLaV1LRl2sTjY1tms8zfBI2ATDf+MgjxBvvzDA9bMmkVKOze2TrEvpeaWijIJDfCk5+QAhm09zMxmSlxb349+7u9oNXQxHm4u1NJVAwFgR11n0oC5hLfbgP90c/Z4enA1MAF5OSmZ8R94HZ6LVQMbTISPbUVVGjpOYYqjDQm3djNl0Vri5GthYaBMXlosH+XNmb3SC5fWlSA3ket7FjDT5yZ6prXRV5UUM5jGV+rEQa+1NK2gTGHKB7yXDMPzViE1LCqiLM0jOjYcnc5zObhkNOYC/pVJyU1PIfTdPfZ7L8f3WjKL/eJKtTz+3YlVBlDk8Pz4RfZcOMu7iBjevQ+k07pA9gyvVqrlUXJzKalRt9k4ezX3QkMIVbRl/6mTtDdXgvxoPEd3ZnNKG7w9VtCxhj6JgceYPn464c09uebWB9WoiwwaMo0ku+nsWDCWGrqFPL/gxvhZe6i/OADPgdXJubaAFtMu0H62O0sG2VNOmsARj3EsOZ3PbJ9DDK2RwqF1Phy/d5+PmXpUrGxF2xETmNa5VjHF9J/ZvgcUH49NY5BXMjN3bMDBugwdseQjHiNd2CLqymX30VTOucOosYu5H5uBetXurF0zB/va5VFVLOTF/nkM9Elg3poV9LOz/OwWlisWB1s/okQcbM00R6oaa5SgWKF89cFWBszai06nCSxwcaSmroibh5ayaPcrOk3zxNXBhk/HJzNm53vsXeYy2bElhgXh7Fo7jd0hFZizdCEOtZQ5sXw8W9/oMnrKHJxa1qDg4zXcFi3imeEg3OcOp6GlNnEvnnP27GmuPQwkPOI1Oq0ns26+C02r/H3iYMI7lKS9x3fjMnyeFDHUdSb9mxjzQJDSDoin7bBpDO/WBJPvpIz/zHf//b1+rOVRh4nzxtC2ph5f1EZtBbXRro1LtTwK0j9xddcGtl0Np6XLNMY6tkQ9L53cQnk0tLWLwzYyiYisjCyK5JTRVMvhvNca/CJ06T/Wla71TZFJCsnOyiA9MxexVAFNbV30dDU/h9OkFGRnkl0gQUVTGy015V94bfJT43ly/SrHzl3n1YcgMpSN6OUyi0mDulCi/1RA0NmdeB4PokZPFyY5Nf6GnVGYh7/WJCKB3vcex49f4NG7V0SnZVO32xjmz5hEPUPIT3nH6e3bufFRjp6urnRpYElh3GvObdvA3hdSukxYyHQHa+KfncDb8yiZ1gOYvaDft4Ai7Ca7N27i0N1wjJq0pGefiYzqZo2ysB+FPubU4R0cvvwcZXN7RsxdxMCGBsX2zMlOIy0zD7FYHmU1LfT1dVBVkBL9+AQ7vPYTZeTAzCVDsdbTQU1RSn5uNmnpmRQUgorwewOd4lCfsO8V5OWQk1OATF6OovwCUNRAXRUKxTI0dfWKCc2KCnPJzEgnK6cI5JTR0NJBT08ThcIkbp/ey97zH+g4bQVDm5YRB/tsVMF1n5Ml9DcXqbxQSaSKokyCnIoWetoqiHJzilVeFeUl5OSKUdPUQ19fDVlRPllp6WTnipAqKqGho4eejhZKcjLEhfnFc0qirI1hMXW+lMICoY+5KGrpo60sJTtDcIdroKEiJT1VINZSQlfPAG1t9V9Sb8tkFInyyMzKRlFdB0SZpGcWoqqph6GBFnJSEekpSWTlS9DQNsBQXwsFmZi8nAyyCuTQM9RHVUGuWGciOyOdPDQwNtRCXiKmIDON1IxshGChiqom+kYGCLp/glDYJZ+lbLqqzqwDq2ljblLs7f7SBEDh7zOHddfM2HBxBRYZyWQXytDS0kPfsAwtv0wYezbJKenkF0pRVtbCwFjv10OmAqAIe4jb7AWk2q9gy+Q2pXTVssJMPgR40XuKP4O8DzOzsRLXNg5j2Ja3GFlWZ+C01czp3xh1+ULSowOYOmA2oR028HB5p1JvhESUw8uzbkzy+siCgztxsNQq+Z+cYNIY9s/qhdtHWzZ5rsGhpg5xL86xcM5c3lafz6XNzihHBjDVZQKvq7uyf+UUquvmEXjRk8lztmIx059Do6qR4L+ODq77aDBtCxtHdUS3KJZzPtOZuSOcyftuMc1OE3FBAld9jrIv4AbJqTG8is5k6dkIJjf8YztpGUARy87BK7htVp2hXcuzee50tEdd54DLF7XRkgcUpofhu2YeV3KaMtTqNa5H0vE9eYL25soUxt9mRJeR6E86yPrhTVAvdk3lcnHpIFz9rQi4thL5mxvoN+sGkw8eYpCNCUqCG1sSxbKe3fC3WMDZdT157ubIlDtWHDq9hnr66sVfxbmRFxncZzFVJvuwbGADJKFXWL98J88yZFh3HsWccZ0pp/HLTfSPmeXrVX8cUNxm5NjNqNrVJs7/BRV6zWDumI5YGCjwcv/cbwBFWbXR9SOceSKojU7tW0ZtVMyTHVOZcSyX6RuX0rlupWLPSGHKY2aNnEtOk4ksHNOKOyucOZrVnEWLx9DY0gjBqRZ9dyeuy65gP3kBg2zFuE9dQGbDUcwc2YMqxhrIkcdt7zksvChj1soZdKpvzPNd+zn2NJZqbeuQ9PAgj6WtWTB1OHZV/15AIbyF1NfnWbPck/cqTbGvKuHhvRCMOw5mknNXqpdRY/1P3/Pvuf73iIOVypf3EQBFiXx5MQwvzCPk+k5WHriHZefRuA5oRvyt8zyNU6FxW3tsLPURZ0dzy8+feIWKtGhtxbN9G/H7qF0MKLrU1iI29CW3bt7maXAk2SJVLGo3wr5jW+pblUdTsZD3D65w730WVZu1o1nN8t8pA8pIfveMMwcu8lHRkKpm6dx7HIJp8yFM/aw2iiSFgH1e7ApIpX5nJ7rU1kasoIyhSXmM9XX5EVYXZURy7cBpbrzPxbqxHiGP75Cg05I50yZRzwiKcpMICf5YrMlTs05VDITJK8vmyfHdeJ14S+3+45nbz5bfEgfLDLvJHo9d3I0qwMiqHMYWHRg7oTcV5HN5ffsi5/38ef8pkwJlc3q5zmOgjRrxES8IuHWdR0Ex5OUpo29WjZadO9KgogpPT2zGc8cZ4rXr0We0C87d7TEljke3bnLnqaDRI8OwQg2ad2xPC1trjNQK+Rj0kFu3n5MtUyAtNh3dyg2pVVFMdIKEpg4OVNPK5V3gDa7euk9oZA5y8tpY1GpEB4f21DODh2f2sucHgEJalE/8x1cEXLnCwzeRiFX1KVfOEG1lBcrV60TflhWICLzPzSdhKMnyCIuVYtOqNw72xkQ+v8udWw8Ijc6gUEMbyzrN6dDOnnpW+mRHB3Prkj8ZFdoy2KEeKrIC4t4/5+rlpxi16EebCnnc9ztFcEElqpRL4U7AK/IUdLBp3JZ2nVtRudx3qrWSQhLCg/APuINChZqIIh5yLygd8+rN6ObQAvWsd1y84EdIQhEWdVrTy9GBGtr5vLl7hZthyvQe3gdLLQVyU2J44HeGN/L1cRnUFElsCPf9znLjeQTpMgWMylWhZZfuNLOtRNLj06xbvJxLH1VpOXQoQwe70NPma8joC6BYc14L15X2RF66Q1imFMtqDenYuzt1rUxQFfRSUqN4fMufaw8CiU8Xo2NQBTuHLrQTNJgENeiy7d8BFI2UuO4xhgU31WlbR0JgqDmLdy+nXQXFXwCKL4/4oXy5EGqJf8rsvsPId9rB9mlti0F9UUEaN7ynM/mkGscub0Q3cA/DJx+m37YTuDYXwKkMUW4EW0Y5clB5Ivd29eeJ5yjGnlDjkP9uGukIa05CXsJdRnR2QW3MYXZPaEhR6lNWDNxCZrdOOFnGMnLmbiYd/MCUz2qjv2dfLPubMoAil+iXcShbVsWk8AH9uvVBcdQtDpYFFOJcnhxcwvy9SUzcsg6b1wux80wuBRTZH/bh0MmHbtuPMaOdOUqflStDDo2m7+JMvF/tRuPIHJx2iDl40p0mFTU/x+xlnJpii9vHoZw4Mphb4xxZqzCUe97OGGiWsMRJM94zr0934jt64TW5HQVv/bkcqkEjgxAuRxvjNLAL5loqf7rq5H8CKIaP9sRywkLqhB3H50k+w2YupG+TSnw4+q2H4l8DikwuLprIspBqbHMbS4MqxiVfnwUJbJ4wgIe6g1k0owlnp8zmcdVhrJnSA2vTEvdrTuglZrl6Yug8l6ENM1g1dT8VnKbh6miHmXZJHD/84jKmrA2hl9tiHO2qIolJIE9eE0O9PI6vm8yxtCbF8uX/F4BCUMB8dnITK90P8Tw6mzqdJzB/xnCa1jD+WwTBvtljpFJSUlKKOSi0tLQQtDw8XFfzSFyXScXiYHq8Pe/BigP30Kvbgc6NrdFQkENO+KLN+MTNk8d5lqxD/+nTGNCxIv4bl3HqjTpOE1zp0bQioqSXbFvtRYhSPUZO6EbUqc34hWkVA4rmOqHs3byV048ikKlroyYvIU+iiGWL3owa4kRzSw2Crx3mclA6NTs40rFB5e/yAmSIsjNJS81FVVuHnLcnWLf/KhpNhpUCCll2OMd83PD1j0FFtxLStDBylbSo39KBHj260rC66VcRsTKGkRTlkp6YgVheHW1REN5bt/FCuXkpoPjlpiQhJ+Etx/bs4nyoCv3GTGKIXcV/DSg8dxOYp4tFFXVycyowYNI4bDUTixU/A4JiUFSREZuoTOcJ8+luHM2pPT7svfoaiaoG/4+9sw6rKl/f/ofu7lBAUFEM7B5bsbtbBGywuxUTUcHGwBYbFcfublEMujs2zd6bvd9rbwsdZ3TmzJlzfu9xXRd/sfaKZ8X3s57v89y3mrSQvLxCzGp3ZlA/F0Q3drB251nStSvRccgoRnarQ+bdvWzcfZlsNV10VJUQiUvRtqtH7+Hu9GtgwvOQHaxctpV4ZWusjO2o0aQx5RTDuf5cxOC506iU+4Btvn5cjipCV0cNcUE2hVJt6vcez/SRTYm9sIeAk+++kaEQkx3zlKPb1rH9dChSAyO0pDITrnjSFfRoO3YZPiOq8+jIJrz9TiHRs8TYsiptu/WjsXk4m1Zt42GaBD0jHSgpoqBIA8cWg5gxqy/6cbfZsnw9SdXH4jevM9qSfF5dP4bPisNUGLkSj5q57Fw0nsAwXapUlpKTpoiwKJ+iUiNaj5rC5OFtMFMvUywvKuTdvbOs8vYmTrcqeuJUUlIKKCpWoFKjFpSTJvP8bTSC3BzShPp08VzJoi5mXN6xmi231VkSsIwGpmpkxTxnz9K5XFDuxs6VnXgT5MsSv1Pk61uho6KIsLgENYt6jF80jfLhR1kwewU3U1RxdunO8LHTGdb08xSgzL780pbJTNuWhFNzLQQJQsQiEYL0YmxbD2PeojE4qeXy6ORq5q89S56eMboqKpSKi5EYVWHQhBkMbWr/hZEffwoolLng68GS59VY4VWbfUu9EXVcyroxrVBM/TJD8X2gEJIRHcyI9iupsiaIVd3sPn2QvA1ewvC5ocy5vge722sYuDiG1cd24GL/XhNHXJzPhaUuzLjWllOXJvBo6kCmJ7Th2dGp6Ms/bKSI8pNY0asB92ts5tDqzmiVZBP1OgfjKjaov9xEtf6+jNsfhde/DhRlHvu0W/Tp8jVQiEl6HMz8eSsx6LGehSMbkHFoFI02ZBB47AitrVQRvNlO+3aB9NlzGK/mlu+zD0BEkAfdp6Sy7vVutPdMp+9uZY4eW00da61PRYDBU2ux6Hk/Dh8fwpURfVirN4q76wdh8AEopLlRzOvZlqjm61g/xQVDJQnFCqpoKpdQUChFTVP90/7+LFX90fr/ElCM8sV24gbG1iti26xpPDfsw6IZAxFd9WbQluRPUx7fB4osTswYx9LY6mz3dqNWBZP3QFGSzpZxvbmm2Z850+pzfPxsnlYfyYrxnXE0f1+mWxh5numjV6IzWAYU2SzxPIj94KmM7dUQS533n8+xvy5mwqLndFq1mH5NndD/mNkWJrNn6fj3QOH1nwIKKdmRV1gxaRaBj4roPX0xU4a4YGf0zwtL/UiG4nWIP9OWbOJORAG6OhoolAoRlogQqaiib1mRbj1dcRvQiUrlRJz0XcyxMC16u4+la/1yCNOfs2XVBl6rOjPCvQOxR2RAoUc/92HovtzFyj2XMfhlEK692mGjWcKzkAMcuB6Lc3c3RvVsjgHFFIskqKhpoKb6ufPnt/e3hPibgb8BCnFqKAe2rGDTuVAUDSpgrq2EMCeNxBQRlToMZ7LnYJyNoKCgWK4IKisi09DURENN9VPhtjj6Or7+m3iq1vTbQFEqRJAZxfUThzlw9h027QcxYXh7rLWUvgsUO3x38lrJkQZ1NXj9PJX6fcbRxiyRoD1HiZNaUUE3k1tPC2g3YRatNN9xct8FElUcaNqqCopZL7h+Kogrb3XoPn0h/W2jCPDZSqxFD2Yt7ofy07Ns8F3PS+1GjB0znLqWGiQ/v8bBwyHk2bsww7MvedcDWO69H832Xswe05NyqqlcPLSTE09KGTR9HNbJdzl2IBT9Bi2o46hO8otLnDp+kVSjDixcMRTJw8NsP/72N0AhFWby8OxOvH0OotHWHa/hXTEvSuH83s1sCwml2tC5+IyswaP9spqie9QYvZCZfRuikh/Nma3L2X6ziJ6ec+jbyg7Swjm3N4CAG+l081rOIPsUdq7xJcFpLH4zO6IlySfs5nF8fYKwGbaS0dWy2L5wFDvCKuDmNZ5+7ZwpiX/Abr+t3CioysJVC2lbqUyBq7iIiLsnWDxrBhF245jnNZBKKgkcWb+cbeeTaOQ+gykDmqKQeI0VqzaRZD2Mg95tebxnDZvvarJ40xLqm6iSHfuCfSvncl6pB1tmNiFk2Sw23FDCY8lYfrE1IDPhBadvv6FeT0+62xdxbvNsfEPUmX1kDS1N9dEoUysnA4qLm8fjuSmSFh7zmTiqMeYlaZzf6cfaswkMWLSJkdWz8Zk4mBDF1syfM556ZpoIYh+x128zLy16smnpOCrolAGnHwUKWQ1FfWUurHVnyfNa7Ng3kZxD05i2JYNR/hvobvWGqX2n8vbDlMd3gUJSQnrUMQa3WU/tzUdZ3qHce6AQFRIR4s2wyfeZcusADjdXMWBZGn6nttHG9v1HtwworqzswOQzzTh2cxKPJgxkVlYXwoImoi1PwEjl2UKfvs5cs/fn8IZevPdLle2glJJHm6g26B8CCokgjBXuAzmp7MKKmSMor6FE/Nk5DNidwUq/rXR0Lo9y0gE6t9tGlx2HmdLC+lOG4u1Bd3rOzmJj6E60DsygT4CEg0d9qF/uY4ZCwvFJdfB+M5AjQUO46t6bVWpDue1fJkMhCGd2z44ktl7POq+2GP3NbXS/BxW/Kco8NIlBfhlM276aTo5f1VC4jmKbqAvBq12xzb/G8FG+lB+3lsldHEm5sB6v5ZdoO2UudQQnGb8r/U8ARQ7Bc8axOKIKW7xlGYoPQFGcysaxfbmlN5B5UxpywnMGDysPY8XELjiaf8hQhIcwfdxaDIfMZHBdAcu89lK+32TG9W70KUMRHbKIid5hdFuxgD5NqqL3XwQU4oIErgRuZdvh20SnJ6Ph1AHPSWPpWM+eTyD2dxLkH2zrR4Ai7Mx65vifRKDtILd/VhAk8vLBQ94JDengMYWJ/V2oJIMhacYnoOjjPpYuH4FitR+vVWp+BopIA/q5tiX59HY2h8Tj2LAhNax15N1AJdnR3H4Ug03zAXh59KOq6Y9Wp34bKITZsTy4cZ7QXHVqNmtPXVsThAkv2efnQ9BLFQaMdaOBSSa3boeSVSBExcCaWo2a06R6hU/tpH8EFOLiAjKin3Ll/CmCb8RiVrMDI0b2pGY5PTkgf2/KI2DtDsK169GraznunryJcrWOtLVO5/SZexg26USFvNsEXRbQwXMefZ2khD26x8Vbz4hOyiA99h1hr19QoFuXMXMWM6xSPDvX7yTGvBfzFrUl+uh2Fq05RWnFRrg4W8hrlyTF2bwOfUWWuhMTZo9FP/wkW7beoLrrQib2qo4kO4Kz+wI4LgOKmTNorJ/DvWvXuf40krS0dBLfPudlbCa2TYax3HsIksdBbD/2W6CQZL0hOHAD628qMGHpSnpW1QZpCdFPQ9jov4dMx2Gs8ajFgwNb2XEmlb7LltPX2YDE0Kts9dlOuGl3fJcOxFxe5Ssi7skFtnhvIL3GGCZ20+e4zxpiq5YBilvH8V3zHig8nLIIXDGTu9rD8Nngjq0ilBZl8OTsHtZuuUmDGWuY2Nb+c+ZXXET47ROs8V6HQX8/FoxogEJ2HFf2rsfvVA7jtq2ls70egvgwDq5bSHDBL2xa2pnnMqC4p8nijWWAYtVcziv2ZPuidjwPXMXigGtIrByoV6kCFtYVqVy7JvVqV8NMKZPruxax4pQ6S0M20Piruqn3Ux5T8Q7RY/nZAJrLRkmpkNS3t1jtOZuM5jOY1l7A+N6LKazfjb51zRGVSpGWFhH36j53U23w2e5D6wplimo/AsW0OWS1XoLf1zUUV/zo7XWZQZsO4FVHkQtr3Vj8rDa7g+ZQLu0+Kz2nc1e3G2um1sB/9EzetFrFncXtP71dfn/Ko4SMqFMMa7+Gar5BrOxi+wko3p1ewvBZz5h5fR8Vbq1h4LJ41hzbjkuFzxmKi94uTL/UipNXPHk4eSAzk9vz7Ohk9D8BRTIre9fjbtVNHPLp9tm75Z8Girw7q6jfYymKTh2oX06FUokCuVF3uPC2mAaNu+M6ewZdrMIY3mEq9rP3s6RvdTTkNRQl3PAZysiDRhy/vha1X5fQZ/ErFu0PoEtVI5TlNRTpbBjcmkPqkzjh34t783sz800jTu6bSUUDDfnNXJx4A4/e49EZtgnv4Q3RlVXr/APL10ARe2w6vX2imei/jl41rfg09Vb8muUjXfnV2J3AuX2wyrn0ASjWMLlLLUwUItk6YypH4yrStHICgdcV5V0evRvJXsYfRnB5Uea3aiiKubnOkxkX1FiwagYtnazkHQKl2aEsdJ9IfFV35o1twuV5owlWas/imUNxtjFAESmpD/fhOfsIzqNnM6hOMWsmrYTmY/Aa0hakcOq0AAAgAElEQVRbI1m7pZBHgbOZsT+X0cum06muw+c+7v9whkJakkfYjW0s8T2HRrXetK6SSfDBc6jUGszEMf2pY1Om4OofuBd+BChkNRQrT72hTq8xjHBpgHZxMo9CDrH7wHXEDm0Z6tqXBpVNUCWDkz6LOBKqQe/R4+jWyIaStCdsXu7PW7VajBzzIUMhB4p2pJ7eyoY9NynSMUD3k96BFKnEhKY9h+A2sgtVP0Dk90PxLaCQUpKfTUpKDgqa+pibG6AqzzCKeXzYly1BL3Dq1htbxRcEBp4jPluIqlUNegxxZ2SnhnxMGP0eUMh0JKIeX+dU0CFuRoup6TKAYX1bYS9L039Yvg8UAbzVbYL7qDo83n2QF8WGVLJQIC5eSptRfeHBXvZeLqDTxBk0UXzItg1buBAjxLZKDRytTch/95QnEVI6T53LsIrx7Fi/gxiL3nKgiD22ncWLdvBOooOp7kczLilSqRb2zm1xndAX7djzBOy7Rx3XhYxt50DJJ6CQMHDyKAwigvHxDSJB15Zqjk7YqAl5/egxGboNmLdyONJH3waK0rRXnNzty9YXOszyXk3L8rJ3m5D45xfZvjGQFPsBeHvU4uGRAHZfzWXI/EV0dtQk7vlFtq4LJK3SUFZP6/IhrS0h5dUNdvv68tpyAF69LAhetZJox9FsmNcVXUkeL68fYc2q4ziMkgFFNntWzuWhjitr1w/BUta6XpLDyytBrN38K5XcvJnexfFzd5e4kHe3g/FdsQWLoRuYNaAGpVmxXD7ox+arYqauW0YLay0E8S856LuY4MLmbF7WiWe7V7PxhjoLty+jsakqWTHP2L1sHpfUerFn/SCUEsM4HRLM5Qs3CIvJplQoRMXUgbYDPfHqZc+TXYtYfkqNpSF+NPkmUExn5XlzfM6vp76Mq6ViMmMes3n2dF5WHMPsTsVM7jmNtzrWWOqplJH6UcXQrAmTfWfQvmKZVkqJiKyo+6yaPpPYhnPZNtWFjwkMSXEOYedWMWzxU8YGBDHYofAzUBxZiCN5vL3sh+eMi1Tp24bkc0dIbr2SWz8EFCJyEm7g2X0i6qMD8XerK29BFZcIuL97JqMDCtlywR+zh1sYOv0i7jsOMLyOrJ5E1qWZyl6vrmzIGsrlA8N5tGIY46/YcCbEB0ct2YWVUJz5FK/OfRD0DCRwerPPdVb/NFBk39mKh/cRMgrfG8jICr4Lk9/wJEFElWpNGL5kDaPrK7G8X2uuWk1g/fxhVDHRID/tMWvHjeWE4Thubx2J4ptDDB6yFJPR61nUvxlmGhJS3hxj3NBlaLrtYefo+iQeGUvPpW9x9fdjSIOK6EjzeX7WG7dlTxnuu5MxLWy+SHl9/wX619f4GijyH22ms/suqgydzdg+zahgpIWSuIC0R8FMnbkWvSHrWTKkGUYpIV8ChaYSOfePMG6BN0+Ts0mmLuv9V9Kr4Y8ABcSfX47bgvPUHD0Ht06NsNIQEX1nB5MXn6X6yEVM7t2I8B0jmRcipt/UyfRs5ISOOIure5ayNKSEsXPn0LOmMoGz3AkprMvoca40r2qBWPCaXYvnciy/Cavnu9Goktnnr5H/JFBIRaQ9P8/KpX480anP1EketHEs5fK6Faw6Fk+j4eNw698C2w/A+dev8I//8keBYsWJN9SRdXl0el+UKSlJ4touP1bveUaFHq5MHNmJSoZCfl03h+2XMmnhOolB7aogeHUGH+99COw64DnZheggP85G6tPPtQt5V3Zx4EY+dTr1pGUtS9SVpRRmJRGXVIiRgzP1a1fCUA35VISikvI3Wr3Lnue3gEJCxusb7A08TZpudXoP7IyjmQbCrFjO79vM6ZfQfsQ4OtbQJjUpg2JRKUpqWpiYW2JmqMtHaYBvAYVUXEzci8vsD9jOrVRj2vZ3o19LJwxlA4OCIkrKyigrK5H6+Aib1h8ip/K3uzwC1gbwRrspXjM7EndkJwd/fUihenkcnJozakJTwoM2sfd6CZ3Gj8Y05iC+B5/j1H0CYzvVREOYxKU9Wwg8nUKbyfMYXimeHeu28s6oG3MWdyf74l42bLmIep3e9G9fDT0NBUSFOSQlpCDWsqVBk0qk3DnE9n0Pqeu6gLHtK34CihNPJfQd0ZGM6zsIeKLD+JkzaOuggyDiNjv9dvGkoBqzVo9A+jiIgG9kKKT5cVwO2sLKg29oNXYOrm2qoCEW8PTSYTYGnkGtxUR8R9XgwZEAAq8IGDx/MZ2r6JIRfo9A3/Vcyq7MzEUTqGOjA0VZPL14hM3bQrDoNoexzeHAknnc1+nOitUe2EgSuBK0Hb8dr2g1Zw1uTlnsWjqRs8IOLFzpRX0zHUoy3nF+XwB7rwoYuGwlg+pZfO4YEhfx7vYpfFdsxnzoBmYPqPkZKK6ImbJuGS3LfQUU3l14FbiSVYdTGb5pPX0raxD54Bz+SzYR5ejGvrW9KI6OJKFIDWM1KYKMVFJCr3Fg7wHiTPviv8uD7D0LWHwM5hzfSCsTjfcfoh8WedvoZi/mHi1h/NZN9HUyR6U0m1dXj7Fi+QFsXVcwtlEqc0YsQ9raC48uVdFRV0RSkk9KbBTpkvK06fwLtnplHKWlpeSmvGLHokkcyG7AysVjqGtjgqpUSG7cG85smo//Gxs27NlKPfXUL4DCSUVCUUYEh7ynsfDKK9RzpJi7buH6/Lbfz1DIBOCyovEf3YnjKsPwWzWaaoZq5CQ+YdvCGRwW9+JS4ATUws8wfuQM6L2GNW5tMFITEv/6DLPdFpHbZwch0xoQfnIufWZco/+WPYxpVAGN0hzCrvoxYnIIPTYGs7BDmdbl3wUKWaeQkFIFZVTLCCj+3lvz20qZaTfo06UXiq7XOfChKFP2UsgrLPlEdkqKCkQeGE27rdls2nOMLlU0UFUs5ObWqYzacIMG3d1xqWZE3L2j7LgYQf8lQczr7ohqcRS+MzxYc1/C8EHDqW5QyO0zAYTEm+K9NYie1XVQjr/IEDdPnqnWY0S3dliUxnJo7xbS7IawftUc6lhq/mMFeV8DhbTkDav7j2B7hJhmffrR1N4CtaJ4Hhw5yY1kW6YGeNO9ti2qkacYPmot5catZUrX2h+qiMXcCnBnwsIgQnXasHPrWno1svsiQ7Fq6Pu20RVTepfp8pDlgx8wd+YMTifq06l9B6rqFnA5OJAwpbrMmLcAF+dyCF8cxmPOGpJ16tC1ZSMMCt5w5GQIqvVGMG/SUGqVU+fZUR9m+Z1Gt5oL7erYkx9+haArodQfupRpA1tTXjYqfVxkQLFkLAezGzHLcwRNKv5TXR4q5KWGcsh3LYduKdJ9phcD29fASEUBUew9li9ezulIfYZOHs/Ats4YlVGP+3E8+PNr/hBQnFzN8hPvqPOhy0P/g35VadJz/H1WcOi1Cv3cxjPUxZmk86tZtOkYBdat6dDUkZzQCwT/GoaNy2hmerUn6vAGzobr0m+MG7Zpv+K3KYQMwxo0a1ENCx0pya/ucje8hHpdhjG4c12kyWFEphZhYudIBYs/EiGTEH9jt7yGQqPhMCZ/6PIoSn3Jka0+7LuUgE3jdjR2MiL7xQ0u3nuLcYsRTBozlNqWfzytIo6+Jq+heKLalBmTJ+JsAkVprznsvxT/U6GUb9aHTg0roaUkRlwqgx997JyqU6OGDXl/BBThVwnw2U6YdhMmLx0Bd4Lw817HlUx7+o6fyozB1twM3Ejg9RI6jx9PhZRTLNt6EWnFFgxoZEV2+H2CTwfzrrgy7tMX49YgnwO+qwhOsGWI1xjq6STz6+7dXIkxoEnnZlSyUKcg6R0PH71CqVInxo1uT86NfWzf+4A6bgsY51KJkqwIzuwNkNdQ9B/dk/zbgawMTuOX7l1pZFzMyzvnOBryBMNag1i0whXl58fZefQt7aYsYUijMm2j0iKiH5zBb/kq7pba075zeyxLMrh95gRXIotpO3EJq4c58eBwALtlQLFgEV2qGiLMieVGkB+rAq6hW6cbLr/YIU2P4s7Fa7xSqILngoV0NYnnqP8M1lwX0a7PUKppJHEl+CRP040ZMscHt+rZBCwYjt9TY1z6dKdZRUty455w4fwTVBsPYfn04VQ2KiPCJgOKWzKg2IT5MBlQOMuB4tJ+PzZfFjF1gzcty2uSE/eKg2sXEVz4C9t8+5N+bhszV+1HWncIQxoa8e7+Rc5deImhyyx2z6nPpS2rCXihRo+2LbAxKiUv7iXXz10iq9JgVi/rRfrRpUz2f8wvExYwxKUZNeQiCu8XeQ3FxvFM2PqKaj170Mm5FhqiOG6fCuGpYi3mr1pIC6Mk9i2czr5QU9oPbE9VCxWE2Uk8uHKRZKuerJw7HDudL9uiRQWZ3D+8hqne+1Fs2pNBbeujJxaQ8vgmp868ovLIpaya2wUtQSrnfVxZ8rw2u4IWU01N1lBRQvLLEGaP8+DQcyl1ph3k9vw2XwDFsxMrGLcugnkHd9CpzHSLuCSXRwcW4LrmPNU7utKlpikJT06z99I7Ok7fyZLBziCIYvdiT5ZfEtBvqBu1jAq5f34vweHqLNoezGBnDYpjrjNh7HiuiGoyrn83zEXRnDi0lXDD7mzbso76ZmXegXKg8KfawPWMORDF5A9FmVJxIW/uXCBOozrN69l/0Ub+rTfot4Ei4z4TPSYi7X2A9f0rfKVD8XkzCSem0mdfASv8NtDMQuW9UmbGS/b4zyTgRARZsmJJHVNqDvRimXs3yum+V8rMfnWcNb4+hNzJoECsiIF1ZVqOmcuC7rXQ+CCx/O6CN0v9j/L0XT4lElUsarVgqNd0Btezlis+/lPLb83BpMTc2c/6zUe5/TwSQUkJCihjYOZA9zFjGdG1OSZaGogjzzNz7nbMBs9jVKtqGGq8b0sqTrqPz7Q5HM2sxIJFM2lfuxwaH6c8ShPZOmk6r8x7MtXNhfImX+qfJtzfybrNgVx7nEJeiTJGlWrTzX0SI1tXx0SmvFhayMPglfjvDOFpRC5CqQblGnfEfbQ7Ls7l0VFVRJwdTvD+Vew4fJ+o1BKUNY1w7DyMaaP6UKu8oVxh7TNQpHJy40KCc2szelgv6tga/jPCVqrwImQT63c/oLzLSEb0/IXyBp9BJ/nxUbx99lHi0Inxrr2pbmPwH1HK/FaXR/jF7Wy+GINTu8H0aVED3TIzc3EP97Pe/xi51h0Z7dabyopR7N+2lf1nb5OlYkiN+nXQKSrAuHIz+g78hYQze7gWrUXnIYNoZifixvFDBB4O5klMGkUiKVpGFWjasR9DB3Silq0mT09s5djDTJy7DaNb40r8ftmqlOSHR9l+4iZqzr0Y0a05pvLwikl+fptjgTs4euMJSblilDTNqNqsG+6ufWntbP1Nyd6yz6I4/h679+7npWo93EYOxclQSsbbq2zZ6MfeX1+9T21+WqQoq1eim9tYxo/viOIfAEVu9D2O7DxMhGYtRk4ejGH0HfZt9uWCoAKDJ85kgFMJV0/s4+gDIa2HjuEXzShOBGxl76+3SCmRomFigbmBLlpoUreXG6O62/AwaDOrtt/EsHYvJnr2x1LwkN2bdnMlNJLsQoncNqBKgw4MHtqftg1MeXvhOIdOvKDGgAkMamEnH9CvHA/iQmgp3ccNwSL1DltWbeXC2ziEyurom5tjoq6JrnEl+nqNxDTuJsdCIvnFzYtudcy/eIWJ8tN4cukYm7cc5EFMCqjpoKurAYpq1OzqifeoOrw8G8Sx27l09/KkVUV9eZ1FWvQzTu7cyZFLd4jNEqKoaoB1xYb07deb7r2aYirOIuzGSbx9AniSkIeRgxM1q9mjkJxO1d5T6O2QQeCyyQTF2lG1ci7PbkbJW1ZrNO6Gu8dQmtWw+PKZFxcT/egyu7buw6T3PEZ3qookJ4nbp/Zw4JaQUYum0tBSg9ykcE5v9+NKYV2WeQ9AOfYpgevXs+/8E6QG5jg1aIR1cRI55p3xntWOnEfBbNyyk4sPkyiRgoqOHnaNXBg0xIP+tXSJeXycuQvW867Inv5TlzGla6VP8SuR7X//KtafycepWTFXDz8mS6SCZeUmDB85lj5dqqMhLiI57Aqb12zh/IsIcgpLUVbXwc65HcM9RtGtif1XbdbySkjyEkLZv2Mzh08/Iim/UH7/amqbU7uNC+OnTKSWqSbCvAxuBkxj47tqLF8/hcryRIdsCiKNazu9mR94n/JD1hDk2fQzUJQUEHZ+K4t2xDLOTwZhZd71UlmG4x1Htsxgy9G3ZBaBmq45tfp6MM+9Lw76Ssik3DPf/IrfuuWcvJFBsVQZA6vKNHOfybJ+DeRT4pJSIdHXNrBo3R4evy1GrKiORbVG9JsynzFlgVZ+uKUInwfSaeo++q25wijn94cqKUohcNpAzpuNY+O8XnxPr/fbQFGSwd1bd1G0a059O93flbMuiH3I1Qgh9Ro1wlRT8dNLvVgQSejd58TkSNA2rUi9BlUw+kojQpDwkCcPY0gXqmHhUI06NWzRLDuaSUtIfHWbF28yyZPqUbm2M062Jih/aEX9zwHF+/m5nPgonr6KJCM/HyVFVawrVKeyY3l0Nd5DkyQviUeP36FpX5OKlvqofTxuqZCk13e5l6xK7Ro1KCebMvk4iEsLefvwAVkattSoaI3Wb+pERKRFPubVq0QyizUoV8WJapWsvhBmkYhyiHv5lNfRGRQpGOPoXA37ckZfQJgwL453T18SkVKEin45qjs7Ymms80Ua8f3dVEzs66fECw1xrGgrb+H9a4Ks379aX3h5KEH0i+u8zdPEoUpNbExkIj1lhiFhPpFP7xJXooN91WpYG30s7v3+fv6VNb4vbGWMIPEdb5LyMLCyx87C8IvjLhUKiHj4guRimdx8FayNNCmIiyQs7C05qgZUrlQeUXYG+TL9AjtzChMjSM5Tppy9A+b66sgU+mIi3/ImIpH8EgnG5exxrFIJMz1NuXhQRuw7YjJKMCpvT3nTr/QDvjrxwowY3sakoGxkQ0UbCz53BorISY0jLOwdCenFqOtaU7lqJezL6f1QVlBakM67iEhyFI2pXMkBfTUpRVmJhL16RURy7hdTMTIhH1mGwtaxKlWrWpEjAwqZsJXjb6c8ZANu9LtocpWMqFTNHo2idKLevSRDrI+DUy3M1ItIiY0kNr0Ui4pVKW+oSFZKNK9CX5KcJ0HLojzlTbSRZqYi1rPHsZIZRamRhIaGU6RuTfVqVbDSg4zkaF6+iiRNUIyOoRkOTtXl3goqUhGZSTFEx2VhYOeEvbk2EmE+yXHRJGZLKe/oiLFaCYnRr3n5OppCJR1MbMphLhOOysrHoEJVdEVpxCTmYVbRCZuyXUpSEfnZ6cTFJJJZlENWWjalKhqIBDHcvHAHJechLBrTgpLkaKLTRNhUqYqF7sf0vJgCQSpvX74iIjEPVQ0zbCpWoXpFI5Q/SCuICwQkhj3nZUIOhhUqyvVnEqLj0ShfHaP8F+xdNZ/HOiOYMbUeyU/DEKnpU7VGLewtviGLKpN8zkgi/G0k6ja1cCynh1RYSFp8BJFpEirXfK/pICoUEBf+mqRSY+rWckCjtIS8+EiePH9Lka4JVas4UJoaTaLUnHq17FAWlZAZ/47QZ2/JkoCKkQkOTrVxMtWRi3GVFGby5tlDIjNVqFCtDjXtDD+9i0pl+48K5W2KGvbVTIl5+pjUfCl2VWtRu3K5T+vJBuHcjBiePH1NmqAEDW09HGrWo5KVwe+DsmygFaTzOvQN71LSUVBQxNCoPJVq1MT6g/a7RFRM6rvHhAn0qdfQCd2P73OJmOLMSG49eYeCdX1aO31OCchksXMS3/A0vIAqDepg8ZX6p6zeoUgQS9iDp0RlSdEyrkDdBk6Y6nyelpEp3+YmP+fp/QjSxOqY2zlRt5ZMKPHzy1IqEZL89hbPXmSQr6RPxZrO1Kxo+k3BMlmR8YX74dg36MjHchJZ4WrEw5skqTvS0Pn7EvU/3Ua/M8L8tC//V4bgH//t/0W3UVmGYt24xZyP18XFbRi9WtamnInuF34oPx6B/901peIiMpJieHTxIAePPEK32QhmfqWU+f91dCS5vLpxioAtwSjVc6Gtsx0UpvHs9q9ceVVCt/ELGNXe8bdf0H9DUNLe3CJwxTye6I/Cd90gvsyb/A07+LmJ/6kI/ASKn0DxX3HD/18EitLi1+ycuYStQVdJdGjD7BlTGNnO+fuOnP8VEf/vOQixIJ5LB9fjs3kf7wqq0W/cZCZN6viX/DX+e87qzxxJKclvbrHPbwl7L0STnV+ERF0VHduqtO4+Eq9BXahoXKa26c9s+jvrZoQ/IMhvBaH6A1m0uDemf+O2f27qfy8CCsXFxR+9U//3zv4HzjglJQVDQ0NUVctUAP/A736u8uciUFxcTFFREVpaWv+1sZal6LOzs1FXV0dTUxOZI+izS9d5GBpOjqE9vzRrSm17c2TGrz+XH4+ApFhAVOgdbj54TpbIkpoNG9OoocMnM6Yf39L/3TVlqemspEge3bhDWFwGpfr62DjXp1lNZ8w1/l0TjVAom456eJs01Rq0aOn4ya/i/24kfx75fzICCikpKT+B4neugMwMKTc3Vz54KCn9HCX+XTeqLM4ikQihUCgfrGWx/mjp++/a51/driyToqKiIocembiUiqoqKspKKEhKEYqEiEslnzqh/uo+/td+J7v+SsqqqKgoo4hELpssEol536D+P7IoKKCoqCyPgZKSIgpSKaXi93EolZlG/ZsWBUUllFVUUJSKEQrFckGvn8vPCPzVCCgUFRX9vIf+ACg+Zihkg8jP5d8TAdmAIstQyAZrmUeGLNb/jUAhO6acnBzU1NTkmZT/xmP891yhn1v9GYGfEfgZge9H4GcNxXdi9LMo8/s30d+xxv/FGoq/47x/buNnBH5G4GcE/n+JwE+g+AkU/xX38k+g+K+4DD8P4mcEfkbgZwT+cgR+ByiEpEVEUKRnh41JGXkcaSkZca+JSi38tENZL6yWiQ0Othaoy7UWJBTlZpAQlUBWsRg1LWOsK1hhqFXWWlyIIC2F+LgUCsTK6BibUc7GHO0y0p5SSSFpcQkkp2VTIlXHxNoaSwtD1MtIrhZmJpCep4yZtalcZ+HfUbr0dYaiJCueqDQx5jbW6GmofO7nlZaQGhNDmlSPiuVMUCvNIzomDqGWlbyP/bMYlxTZcUelibAoZ4W2KJ03MalyKWPZ8cvS/7JFlk6XSiUoqWphXcEBY10NlCkmKzmZpJRMCkVK6JlZYGlpjLbqe+0L2VIqyiMtPonUTAEiBU1MrC0xN9YvEx8JJQXZJMclkZFbjJK6HublLTHW0/qGW6uE/PQksotVMDQxRFNd5d8SY9lxfw0UosIsEqKTEWsZY2lhjJba5xqW0pIcEqJSEGsYYP7V//7yk/ADP/xah0IqKSI9Np7kjGyK1fQpb22FnmIBCUkp5OSXfN6ibA5cVRUdA2PMzUzR1VD7vkCYVERWajKCEiUMTUzR+5vN8GRqfFkZAqSquhga6X0SNJMU55KSnEhyZh6l8iIGKSgooW9qjZWl+Xc7WKSSYnLSMygSq6JvZormJ2EvKcWFAlKSkkjPykdRWQsjc3PMTA1QR0ROeiIJyekUS7UxtbTC0kJf7mHwcZGZKWVnpFEgUkXPxAQdbfUyMZQiKSlCkJmNQKSIrrEJhl/39X/j+krFpbIHDQWVv+YLJFMPzs5MJ7tAipGlJfp/4C8k00DIy84gM6cEXTMrjLR/TqH+wCP3eRWJBIlIjIKqyqd35Md/SsRC8tITSM5VoVylcshsK/71RSp370xJSESsa0V5U50y7/pSinNTiYjPw6i8HeZaCghSoogRKFLe1h5DzU/CQoiFucRHJlCsV45KxgrERkWSmlPyXo9FQUGu8SSVyKoOZH8K6Fs5UMHKECVpKcX5mSRGJZJVJEJVywhrO2sMtT+Po1KZDHhGCgkxKeRLlNAxNKecrTk6H8Qh5U+vpJD0+ASSUrIpUVDH2NIaKysj1L8RI6kkj/jXcajZOmH2pabiD4fzt0BRWkxK4kO2eM2lpHcAywY4fFbKFGazd1ZnZh1NRkNNWf4wiorzqdFvARsWjcJGSxmhIIbLJ3ayY2Mwz9MKMSxfl26eHri6NMJMW1U+IOUk3SVoxy4O7b9GTLEmDvVa0m+SB/3rVUJLJm4lFZPw6hTb1+3j3PVQMktNqd+9J8NHD6KVgzkqFJEjKOb1uc2cfmFM3/FdsNY1xlDns43yD0fgOyv+xhzs9GIm7s7CffkcWjuYfBYEKo0lYNp0AoWt2DNvANYFD5g6Yy5vTQawbNpQatoYfPA7EPHy2Aom7EvHc9YUagtOMnJhIDGpefKbq1QsBmT+BopISkVoWVbBa/lGejewoSThGge37+dUyD3i8jSp0rw9A0YPoaOzA3pqykhFhbx9dJJ9Ww5x4f5b8rCgUe8+DBvSnfr2FnKzNmFeIvcuBrF32wnuvktD1bQKbYcPZXi3llQ00/ssbiUTsMmO5cLODdzJq8bgET2oYWv0/YHwLwb+a6DIibrBxoX+vFSrxdBxg2lR3RoNGbDKhFbuB+G/+jyajXszYlh7HEy1/m2gU/Z0vgaK0uK37JmzjO1Hr5JUuQ1zp0ygidJTlq8L4NqrVNQ+KgvJ4FBXhwrOv9Cr/yC6NHbGUvuPu4akojTObPfnSrwOXQcNo2W1v6uhT4qoJI/wxyEEn36EQc1OdO/RErMPXYl54VfY6r+OXedeUixRkhvMKapp0WLARMZ5uFLD5PcvsERcRHrCI07vP0aKSi16jBqGk9xvSUpxQQqPbpxl9+4gbj6OQVWnPPU69mDwkB40Mpdy65gfazfv511edfqN88RzYnvKKgPnRt/l9P6dXI9Qo2mfIbRv0+DTMcsUYpNfP+TMgVM8FVrRfqgr3Wro/+GdKC7MJT0inkKpBlY1K3xXUvhbGxMKYrkaHMSFlxK6eoyheYUyNt9f/aC0OJ17544txUUAACAASURBVII4cjGGX0ZNoWftn4oPP/qqkJaKyE9KID48C8tmzuiXGTBl2yjJSeTWvuVsuWnG/APzqP531M9LRGTHPmWz90qyGk9lyYhGn5RnpcI8ou/swn3hLbovWY+7szI3tk1g8hkxE+f5MKSFDWoyppCKECTeZtGE5UQ3m8OeQZp4T5vKnquxaKorI/sYl8nPy7xsFBVk4K5Iq/EbWDW+HaqCeK6f3sGOjWd4lpqPfrl69Bg/kmGdmmGlrSr/bXbiI07s2cn+PVeJFWlgX6sVfSe5M6hhFTRkw7NESOLrswSs38PZS8/JVjKnbsduDJ84knb2Jl+IW4lLcogKO43PpJ00WHeFkc5/jcrKAIWUwuws4iIfcnDHKtbtuEG3rWHsGl4RpQ9fzZLct0zr3JAQSUuaVDV+X4ksLMK2+SBGD2yPiaqYZ0cXMWr+HjQr/oKjuSaCmCdcTdZm/rqdeLSsgKooi/1LBzPvSAzV6jTCXKOU6Be3CNVtyaFtPjS104PMF8wd3Ysj0RY0qFEZbWkO9+7fR7vVVPYsdqeCZhTnTj3l2aPLhCaZUa9NBUwrtKV3k/JoqP69sty/sS8/6Mkg/3SmbPOhSxULND7uThyBj+soNhZ34te1btjm32CkuyenX6gydMVmZgxsipWODKhKeBw4kwGbU5i3aglttF/hf+AyqYIiFKQFvLh6jQytStRztkNbRQF1w3J0HT6GRpaF7F7kxvZbedg5VMFUQ0TYs4cUOvbGZ54nTR3NKY64xNyZ07iVakDFCnZoCVN58CqGqj0ms2BMb6qYq/P2wmZmrthJuoot9tbGiNPecj9JkYFeixjfownmuqqICgtIT4rk6q+B+PsfQNJgAmvnu9PQ3vgfAwpEOdw+vpHFq86h32kk00f3wtlCC0HMLdYvWsZDURVcJ3rhUqcCP/Ax+qPvrj9c7zdKmUUv8Bszl3034jHt1J9JI3piEX+S+X5HSFKwxNHGFDVFqbwbRFyQzduXrxHatmba9In0bGz/hYrm1zuWipIJWr2Us9H69B8zjo61Lf/lc5ABan5WOm+eX2Pfjs1ceFNKzwnzmTjQBXO5RYeUuJv7WO27lcfZulRysEYFCQrK6tRo3pXOHdphK7OG/s3BSijKExAb/oTTR7ax//R9HDpPZu60iTgby1R983l58yAbNgYSmq5LxQpWkBtPaHweTi6jmO/RieKwc+wP3MWlR6U0HOTFnLm9KON2gSD8GttXL2HdqTAce3gwbfJM2ld67ysizo4k5LA/S9cdQGTXnWlLljOwbhnnyG8csuDtHY5uOkykbmPGLulHGZukH46zuCCNF/dv8TRWQoMOHalmrvm7vy0tSuHa0Z3sOhVO+ylLv/Ty+OE9/m+uKM5N40nQNvwP5zP2xFIaan+ZUXpvDjaDVRctWHfJlzp/LeH0ZXA/2ZfPIKOVNxs9W35qqZUKBby7vIHuEy8xeON+pjZU4cKa/vRZ+4J6PSfhu3oydc005RbqWbGX8RwwnYg2a7gypQKHd+zgSmg6asoSMqKecydUQO3Wv1BORxmpgiI1O7szwqUyUSHr8Zi9EYltc6pbapKbEMa9ZBXGem9lSkdHpPmpnFg3npl7nlGlTgustETEvX7IM5W67NuxhTb26hSlv2LlxN4EvDTgl3o10ZLk8OzRHYQNJnJy/RTsdBSRKXYKUlMIe3GBLWuXcexRIcvPJzOx7l+718oARR43Nu/FPySE7BIR4WH3aL74PruGV0bxwzRDUcIperWYT+3Vx1nYrcJvpJol+VGsGNqGfcqD2LVuJvUstMiNvsisUa7crLiEm+sHoRl5hD6DZ0NPbzZO7o21lgIR1/0Z5eGDlddpto+oQWawJ23m3qXv8k1M71IHXcU8LmzzZMKmOMb5H8StdiFn/LYSeO4czzMNqOJUl44ebrj/UhHNv1kE4GugiDw8iYEb0pm6bQ2dq5h/BorSSHxHjsK/pCPn1rphJwMKj8U8y8oFgyYs9JlPh5o2aCqLeLJnFgO2pDBr+RL6NC7rNpqIz8ghPLQeyXLP7tiZaX+6qulXVzNo9jHsBk1nxmAXbHWlPD65gqlrrtFwtA+TetYido87Ew5n0strDqPa18ZAmkKQ7xTW3NLGa/4culdX4eA8NwKTKuI5dQoda9tSmnwX37nTOKfQlbVzXWnooEfMzRvsO3SE2+/iyUgNQ6OBBytnutLQ/p8yB/vwuVwQy1G/Jaz7NZnO7lPp39iUq7vXsv+xiO5jpjKgdQ2M/j16P998mr4tvb2cB6U1GT/TjeZV9fjavlzvw9eSpDCLm/vX4XPiBbUGTmBs3xZo5meQJ1REV18fbXUVuaFQTqYsNamGnnYhpzcslwNFP49xdKxlgUziV5CdSWZOPiJZilPfECMjPdRlU4VSCYW5WQgKS9HQ1UdP67cy6fkpsVw7dZKDZ28SnxlLnoohHYd6MWFghw9AUcTTY9vYcOwNNXuNYkKvOj8EkKXF2Ty9eIE9B88SlhpHRl4+jm2GM2vyeGoaQ2mezOFyF2cf59G4vxtdmzpQFH2HbT4ruJlXkdFzFtLZUZe0J0fYvP4QWZX6M+0rpUxBxFV2+vgTdC8O4zr1cenkjlv3mqgqSEgLu82xg7s4fiUUFaumDJk2lwH1jJBlTAQ56WRkFyAWK6GmqYORiSFayhJi7gaxzW8vcSadmDxvME7GRmgqlVKYl0N6ZjZFQlDX1MXI1BAdDVUUpKUUFeQhyCtAqqCAsKAYBVUdtDRAKJKia2QkN/kTluSRmZmOIE8ECqpo6xlgZKyHqiid68d3sSs4nHaTljCkYVlcen+7lYqKyc1KJz0nD6mSOhoa6nKgU9TQx1hPjeL8XAQFQpQVSsnNF6GlZ4KpiSaS4nyyMzIQ5JcgUVZBR98YI0OZ3L8UcUmh/J4SqRlgZqQlb8stKcwjOysPFT0T9NUkCLLSKUYbbXUxGTLZbwUVDIxMMDDQ+a3qq1SCsLiA7JxclLX0kBZly6dxNHWMMTPVQ0GWYk9JIbeoVH58siktmWx5viCLnCIFTMxN5FPjpaIS+bkWoIOFmR4KYiGFWWmkZ+Uhc0dS19DB2MwMLVUFchNfcnbzIvwuajFl1xJa2FphXGbKSAYUl7bMYNUFS1YHL8A6I41coRRdPUNMTI0/6cLIvupl070paVkUCiWoquliYmGMruz6fv3EfwSK6XPIbLUE/4ktvgCK8Msb6OF5iYGbDjC1vgoXfYYxcmu4fPq4nesSFoz6BR1FEdlxl/HqP513bddwt6x9eUkeoSfXMM4vggV7t9HO7uMcg5SinGi2T+jEptwuBGycTxNLdbIjr7Fk6gQuGozn0nZ3NCLPMX6kJ8ktFrJ73jAsVYVE3A5g4thlqLie4tSE6sSfXUjHycG4rNjFkt71UBPncHP/LNyX3GPotivMbW2AuCCBw8s2s+v+U1RVCngYlsi845F/B1DEsbX/ckJrN8XDxYD57qPQGHmJvR/cRmXxzrq/ilaDTtB/7Q7aWhRSChha2GFtZoi6igKFCZcY2mE85WfsZ0X/WqjKTbyEXF4xCLeTFoRcWYXypRX0nv2AOUG76eFo8gFKUljdqx2njKcRvLYX95b2Yuqjmhw9Nh9HXU15aqYo+Qoju07GzGMzSwbXQxx5Dt+le3mdL8Kq1Qjmurv8xi/krzHWl7/660BxnREefui1b0Tykauotx3NQq8eOJip8GzvzN8BilhWjxjGA5nbqFevMm6jYu5snMj0YAlzfOfQqmo5ZOOoWPCcOSMmkVFrNHM8mnF14ShOiFuycPYIatsayeOW9CCQCXNO0mjcbAbVFrLGczGiZu5MHtYBWyPZF5WQuztmMetoEZ5Lp9KhtgmPtu3lzNt86nZ0JvbCJi4VNWG253AaO/zDQAEURF1l5bxV3MtzoIGNiOdPUqk2xB2P/i2x0f9j58u/4/qX3cYPuY2e8mHF8dc4dx/NiA710FOSygcgSUkhby8FsOLAXew7ujOuX33CgwO5Hq1Oy67daVzFFFFOBMEHjhOn7ECHLrUI3efL2UhdOVB0cNIm7uVdgoPPcPHBawRF2lRt2JJufTrSyMkOPWUhLy4e4dfnOTi16UqbOrbye+TzIiHt1UOCD18m3dCGyuYp/HrpMYYNB+P1wW2U0nQu7F7HzivZ1HbpS/uqOoiVVDEytcTM2OB3s3/F2VFc3HeaB8lK1Gmix6OLZ4nWbML0SROoaSLzWMonJTGZfLE6xgYa5Gcl8PLBLUKOXkdk3wqP6SOobapOynfsy3eu28GdRDFm9obomTfHfXw/bFTyeHr5NKd+vU5sZh5FCpZ0HTuTfjXViX9zm+CzR7h0LxyBQBNzu5p06t+TJvZq3N67Cp+A0yRqVaHD8NF4Du5OBWkMV0KCOXnlPrFpEqwc6tChXzfaNXHGQlNI2L2LBIfcQiBVIi0qHaPKzalbQUh4YiltBg2ipl4+z+6e5siZszwNE6CgZEyV+q3oPagbDWyUuXdyFzt/ByhKhQUkvL7PqSMHCLn3BpGmBTY2VhgoK2HVsBeuHSvw5vavBF8PQ01aSGiEiMadRzKkqwWRty9w9tQFnr1LoUjHkGqNOtKjRw/qOxmSF/GE4EPHyLDtjufghqhLioh5cYMjh65i7uJBlwr5nD+wncdFlXEql8bZo7fIVzakWZuedO3bkcqWel/6XJQWEx92n2OnzqDsUB/h2yucvZFExVoyI6/2aOU+48CeAzyKKqBKo24Mdx+Ms14+D349RPBLdUZOcaWKvjJ5KVFcOBDAA8WmzJrQBnHMCy4d2E3w1ZckS5WxtqlOh77DaN3IhuRbe1gwawmX4zWp3rkXHhNmMrzh5ykjOVBsnYH3KQ3cZjfk6f5gXqSLqFmrNT1GDKV+VQs0EJOfGsHNkOMcCLlFTFoJxpY16TikD11b1MX865qWPwMU9VS46OvO/NsGdKgp5fI1FWYH+dDVTv33gaI4j+cnVzBuQyRz9wV8dhuVihEk3mVKL3cUhu9k85hG8viLi/O4tXMq4wJLCTy/AcPH2xk26STDdx7Cta5sclCKsDCJgDE92CZ05WbgYO6vHsGYM8acvLIRJ7k4moTirEeMaTsA8ZC97PZsiDDjHssG7URlZD/6mb2ii4c/4/ZF4PXBbfTPvkPLZChE5KUXoGykj0bmLfp07omy6zX2lQGKyD3DabrwAb80aUP4w1/JFEqo3d4VV9ehtKltSXH4Ljq0DaDnriC8Wlih8sEQ690hD3pMT8cvbDfa+6bTd4cCh4+toW45rU8EfHJSLZaGDSDo6BCujOrDGo0R3PUfjIH2+9eiRBDJ3J4uxLVch9/kdpSEXuNahiUtTF5y9JUWnXu3pbxO2cLPPxuKb6//rwDFcLd1OIxfRqO0o3ifjae/50IGNXcgMuj3MhS/BxQ5nJo1jiWRVdm23J1a9ibvibo4nU3jenNTewBzpzXgxPiZPKoyghWeXXA0f0+8BRG/Mn3MGgyGzGRw3WyWeh7AbsBkxvRphKXO+9xgTMhiJix9SdeVC+nb1BG1/EJKldRRV0pnv/d4Dmc1YKbniP8IUMgegje/bmTW/PVcep1N86ELWDxlCLUq/DMOo38WKF4F+7J4z010q3agQ30HNJVkAk2KFGXGcP7gEd4VlWP4rMn0am3JxTWLOPZKk75jxtG1YXlK0p6xefkG3ig7M3JsR2KP+XE2Qod+HmNppP6MDavXc+pxKmoGBmgoSMkvLsW6QSc8Rg2llaMBry8f5fyLHJxad6VNbZvfeD+UCksoKSlFSVWFtIf7WBV4Hq0GQz8BhVQQwYHNK9h1KRpUjBHEvyRPRYcGrfswcEAfmtQoJ5+G+3qRFRyWFAqRKqqglHaXDR/tyz8ARdn101/8P/bOOqyqrevbN93dIYqt2IXdrcc4BipioaIgiqJiK4qFImKhglhYWNjd3d2CgnRtuvZm7+9aW1Sso+e855zne9/HdV37r71i1przXmOO8RtHWL/aj3UnY9At0woXN1ecfquGvprSTwHF/XwjypXTJFNkTh/30dTViefYrlDOPUtAU1OB6DglOrhOp4vBK7atWcmmcy9QN9BHWZJLekoaenYdGDykB6q3N7E0+AjxWhXpNNiF4V2qEXNyLf6bryIxMEVXRZHCgkJUrOzo7ezOsFbWPDoazPx5q4hQKIWNdSXqtWpOaclTzt6VMHCGJ2VTL7JiwXIuJSpirK+GODOV9DxlavV0Z5Z7e+LPbiFo/8uvLRQyCcmvrrN1+QKCTr5G09ICLamElNgoEqVGdPFYwLIh1bm9ewXz/PeQr1MW63LV6di7D3XVbuHrvY6neXqYm2lSlJ9DZroCVo0GMGuxMxbRV1i7KIC46q6snNEVbWk2Ty7sxW/RLso6L8alRiYhc1wJuqtO+UqQn6WBOFdERq4m9gMn4e3RHWv1Ek4JklxeXj/C4nnzeK1aHj2FLFITM8nKzcOqRiNsFNKJiE8mOyOJhBw12oz2w39AGU6HLGHtFQ3mBflgb6pG2tsHbJk/g1NK3Qle2IH7m3yYseo4ShZl0VVToDAvB7F2dcYu9qZqzB7mTFvIuVg1qnfpxfAxXgy2LwkU0ZwOHI9n4FtsG2iQl6ECBblkJGWgU6cfiwKmUF9DsBB6M3HJGRRLWaMnt5JIyNO0oJ/HbFw72JVIkPc+02jq62ss+hkLRX1lTvqPxOdBLQJmNGHTLC8SG8xg/cSuKKec/baF4rtAUUByZDiD2vlRa8VuFnYt/X79E+fy6tB8BnvdwetSKLaXluLoE8vy8CDa2RZv/eVnc2ZBJzxPtiD8/HhujevPlKROPN4zHh15F8oQkuz59qnNlUpr2LW8B9pF+WSJCtEw0kJ6ew3VBvjjti3y7wCKEq990mX6/PY1UFxd2hHHoCjK12tERSNtFArTuHf8NKI6o9gRMgXbpFDatdlI7y1heLSw/Bg18GqXCz0nJrL82SZ0tkym70Zldu9bQl3rT0Bx0LM23g8dCNvnxJmhfVmm68y1FY4fgUKWGcmM39vztoU/yz07YqwhePv+PdDwR3f5HwHFcH9Kj13BhMZKbJk9hmNF7Vg40xkuLWbg2gSmfLXl8T2gSCPcawzz3lYjaOEIapctBoqCZALdenNBsx8zJjVg35hp3Ks2jIXuXT8BRcRxvEb5ojtwCk71RMwbt5Nyjp6M7t3wE1Acn8tY74d08fXGoakd+h/atTCeLT7FQOHxnwKKIlJeXcBv4nS23smj+4RZTBjUkbLGmv+KI+afBYpnR1cx2SeQSy8z0dZQhcJcsjKyKFDVwqZWIwYNdGVQ91bYmOYS7j+XvU+16D3SlW4NSlGY/IC1vit4plqLoSM7EbVbAAo9HEYOQvV2EH57blK+8zCGdG6KmYaUF2fD2HTsAWU7DMWlbzsstX7Wf0jKu0ub8d3yOVAUJjyQ+zGtO/kMTasqlDfTRZwczePH7zBuNpCJk4bTwERGRmaOXBFUUUUNbR1ddDTV+RB8JXlzAf9Va7in1hSvbwBF2utrXL54lquPY3n4+CWKZZoxaswIOtWwJPkHFooN/iE8V7ajSSNNntyMpmYPV9pZxLIrdB8JquUor5PAuVvZdHCfShudN5zYd5U0rfLYNy1HUcJdTu8N5eQTTXpMmsOQSu8ICdjAG/PezPTpTc75nfj5BxJn04nxIwdQ2VCN5BfX2b0jjGjjZkyc4EThlWAWLw7DqPd0Zrv1xDj/NUdCg9l3twjHyW6USbnPsYMRmDRsgl0ZJd7dOc7uXUeIN+jInMWDkd0JI2jvi6+AQlaQxNX965gfcJjSjl5MHvobprnxnNgcgP+Oy5R1nMky5xrc3haA78a7NJ60lBl96pAffY+dAfPZ/kCV4bMX0qe5DdLkSI5vWYP/vue0HO2Dc/V0Ni5dxjs7V1ZO6YyWNJunl/bh7xdG6cGLGVUtjaA5w9n8qjqes6bi2Kk6OdE3CPFdzr4oC2b6zaXre8/a94ckj9fXwvGeMpUoOy+WzhxORcVIdi6Zgd+BSFqOX8zsoc2QRp9l3szFvDBwIHRxJ+5tWUrgNU3mrplHAxNVRFEPCV08gxNKPVk7tRFHFkxn5UUNxix2p215fTITX3D8+ksqtxpMl7L5nN84h8UH1Jl3dCVNtD73usxPi+bUGjfGB72j66QAJo9qiGFOIqdD/Jmx8R49ZqzEpa6I+S5DuWnlwMLJzlTSVSY76RV7V/lyVqUNq3wnUUW/xPvzZ4Fi2QjmPqjDxu0eSA/NYdSSR/y+KIhBlV4zua8nL77c8vhDoNjLwDYB1Fmzm4WdbT4CxesjCxjseRPPy9sof2kJ/ecnsPLAetqW+QQUZxd1YsKRZuy7NJ5b7gOYmtqVp7vHof0BKHKSWNqnFhfLr2Lnil58dIkStoMEoHD8F4Ei8vJWzsdp0ahtJyobaqAgzeFK0BQc59xlWvhu+pqeoWvrQLqu34ln61IfLRTPt42g18x0Vj/cgNb2KfQNkrBtzzLsbT6knZayd1xdFr5yZPcuJ8679GaxykAurx6C8UcLxUum9uxKXLvlLB/XDqO/OYzue1DxbaBIYWLQErpW/tqHYr2kGweXDKNM9nmGDPfHxs2PCb/VJPPaejymb6OWy0waFx7FY3PKN3wovgcUGRya4Yb3i0qsXeRC3XKm8sVUlp/Aatd+XNUbwIyJ9oSP9eJmxUEsHNuNKhbv/S+yXx5lktsyjAZNxaleOj4eW7BxmIBb78ZY6r4PXYs8PIexi57RY/Fs+jSuit7/R0BRmBXBgRUBhJ58QVpeLHlmjRgzfhy/N62K7t/sgPsjPP2ZLY8nh5YzK+gUijb2tKhRBsXUV1w7cYYH2UZ0cfXEpVdLyuipgCxFDhR7nmrRpyRQLFnJM5Wan4AiwgCHYW2JPbSe1ftfYFGpMrbG6ghBxpKcRB6/ElGt4xA8RztQ1axEiPcfVubbQCHOSuDp/Zu8zdegUs0GVDTVQ5z6hr2BS9h6NY+ew4dSXS+aQ0eukphRgLpZOVp27EGHhkJfFK83PwCKj8USi7h9KJgl6y5h1XEUM8Z3pvAHQBG8bAOvdBrQ53dbru85Q1GF9rQplcKx47exaNWD0mnn2Hkmk07jZtCnahH3Lp/hwNHLvIxLQ5QQy7uoSIqMGzBq+lycKkTLgeKtRW9merflze71zFm8m0zTKtiXM0AshPJJcoiOekeRSQMmzHDDIOIg64KuUMt5Nu49qiIWfQKKgV6TsddN5tyRwxy78oTE1ExSoiN4k5hHhZZOLJjvhPQ7QFGU8owDWwJYeUMdT58ldK0gvJeFRD04wZrVm0kuNxBfl9rc2rmekGOpDJjnQ88ausQ8OsPaZSFEWzmwfHZvDOWvs5TY+2cJ9vUjqpIz43oYE750KVHfAQoXOxGbF0/llu4wlgUMlTvCyvLTeHB8B37rTlHDw5cJHSp+8qWR5PHySjjLFq7EZOAKZgysB6JozmxbweojOXis9qVdWR0y3j0lbLk34TnNWePThftblrLmmibzvgEUG+Z15tmu5cxedYAkVRMqWltgWaoa9m1a0apJTcxURFzY6M2iA2r4fBMoBB+KSSw6YczSE2toKKyvcqvPDQI8J/G2wXi8Ombh1ms2qZWa0aaCLvkSKQoyCSnvXvA8vyr+G5bRvpzOp7fmR0BxdiW9Pc4wcM12xtVV5KQAFPfrsClsJqUzHhM4yZ2DOU1ZOLUpIeOm8Lz1Eq6W9KH4A6BIeXOQwe19qbYsjMXdbN8DRWEuLw7NY8i0B0y7uBXby0sZMC+apfuC6Vj2/XsvbIuc9OmE17k2hJ8Zxy3PAUyJbcf9vZ7of7RQxLGoVwOuV1vDTr/ufKzxvw8U+bx78pIcbSvK2xiiXGweSL8bSr9ei2i+8TDuVSNxbjcGywlbWOBYB03Bh0KWz+mFjrgcKsWhM4tRPbWAPjNv47UlhF41TOVWDFlhPH4D2hNu5EX4st+55dOLCXdrs3vbdKoKjkQKkBN1ihF9J2MyMpD5jvXQ/oOY7x8tDH/m/y+BInq/F719I3Bd6Uef2jZoFW/rSHMes8B5JOetXNkwpSeWotPFQLGUCb/VxkQjhtBJk1h3U4/GddMIu6bKHF8fejcq6ZT5PaAo5NpqDyYdgimLp9C2uo3cPFeYco9ZLp4k1RrNTJfGnPceyZ7C1nhPHUIdWyMUFaTEXt3MuDkHsXcVfCgKWDbeh/xGI/AY0olywle+rIBrwVOYtq8Ad7kPRVk+5iL6D1sohKRRd4/6MWftOaxautGzqoiwtRsQlXVg/NihNKpo/FE/4c/06V8992eA4nG4H4sPPqder9EM6WiPHlk8O7+XoMCdxBs1Y8joYbSsboGaYirhft6EPVSj1+gx9GxUmvyE26xZuIqXGnVxHl1soRCAwrk9SYfW4b/xArk6+nJNCjlQSiWIJUY07T2E0cN7UK0YIn9cv+9YKHJEJCaIkGroYSb4RQljWybh7m5/1u55RNXfelOah2zefIR3okJUrWvQy8mFoV0bYlTszvItC4Vgrk1JSCJbooqxhSm68ne3iHdXw1i5NIyc2n3xmtkf1R8CRTAvdJriMqo+dzeGcitDg7KmyiQladLZtQ/iKyFsPZNLl7GTqJd/kVV+a7iaoUXNxs2pZWtF9uPLnLuVQbsJ0xlc8R0bAjYQJQeK9rzdE4S3dxDPxVqY6mu8t7jIpEgkapSp1QGX8f3Riz5JcOh16jrPwbV9eQo+AoUUx/FD0Hi4i4V++8irWB/72vZU0CzkwYVzRChUY9riofA9oEh6Qvhmf9Y90MJrvi9tSquBrIDo+ydZv2YrSeUHsMClFrd2B7PpXCZOs7zpWlmTdw9Osy5gE/HlB7JkUjcMhe0oWREJjy8QErCcF9aOePQ054DvYt5UcmHFrO7oFWXy6FwYS5eGU2HEYgSg2LJ4Oje1nVm2fBBWSsKjRTw6GDR+ygAAIABJREFUs4tl605SecQCJnWtXAIocnl55SD+i9ZiMWgFU/vXoCgtijM7VxJ4VsLE5fNpaa0l3y7b4T+Xg7ktCJzfhXublrDmgiqzgxbSxEyV1Dd32egzizOavdkS4IRa2juuXDnJ8X2HufooTi5HUKhuQtP+Xvg41+L+pjks+q6Fohgojpux9FgADQVLnQALEbdYM2MKzyqNZmrnAib09OSphgWWhurvrZsyGRKJArqmTZm8agZdKhp9BhRpb26yxMuLN/WmsnZiF/SLo0cEJ+THhxczfNFjxmzYRb8y2Z+AYvccqijk8OZ6CO7DdmDSswVZV4+R1GYxl707fLy/oKvyXR+KuKt49hqFzCmYNa6NUVMQYEHEpaBJuG+DkOMrMLmzjsGeh3Fau43hDc1REHwosmLZMKYH6wtHcnazE3eXDmbUUVP2HgmghuAdLjhuJ9zAvdtACh1D2eTR6FO//vtAEY1vl+7sN+jPKp9B2BqoQ24Gd3YvZEpoMlM3baCnbSa+/VuwX3M4K3yGUclAnfzU2ywaNY7TZb24umIAihH7GDxgKqoD/Jjv1AwjdRkpT8JwGb4C0/HbCBpam6SDHvScdoveS1czVFhwFfK5v9+b0Sve4LYqmBFNrVFX/hf2O4AvgSLvYQhdhgVg3cuL8Q4tsTHQQFFaQNKNPUycHYi1SyDe/RphEHf0c6DQVEL84gQjJ3hx6lk8mVpNWb3Gl98b/gxQQPzZJYyYto9yg6YyomsjrDSlRF5cx8QlF7EfPQ+PnvV5s3U4U8My6TZuIr83rowOIs4Ez2XJRVXGz5pG9xoq7Jg+jLDkaowc40yzyhbIMp4S7O3NEdrhP3Mo9uWLt1OEof+fBAppITE39jLbZw0Rtl2Z5zGUpuUVubhqIQs33KPygLGMGtKBCiYaPxWJ8ONF9sdn/BRQCE6Z+59Tt+dohnWxR08+CaVzK3Q1i1aeRr/jMMaO7kV1MwmnAmaw9lg8jYe4069dFTIfH8Z/8U5yKnZjgmcH3oSt5EiEPg7Du5N7bjO7bkpo1seJzvY2CAa67OS3RMSko2tVheqVbdBUEFMgkaKsqoaqkLDsu1X6FlDISHx4ksCVocTo1sHJuS/VLdQRp0VxYlsQxyLU6Tp8HL0amFGQm0+RVIaCkjJqGhqoq6r84ZZHXspTdq9dy8nnynR2dqZdTQsUCpK4vmcTITueU6n/GDwFx7yfAIrnWk0ZP60bcftC2BR+kXTVMtRo0IGRbvY827GGrRcK6OLqgnFkKMv3v8K+3yTc2toizRS2AoLYcjSV9uNnMKRSDBuWr+W5fhemzOlJ1vkw1m28gG6zwQzvUQdDLUGzJZWot1HkqlpTq1Ypos6Hsn7bLeo5C3vuFT4Cxf57UvoM7kjS+RA2vrRkyjQvmlpIiX96mc1rNnI/vxbTlwyVb3kEf2vLIzeW83vWs3DTPexHTGJUOzvUxBncPxPGqq3H0GnnyfLh1bm5O5jNZzMYOGsuXavokRZxhy3+fhyOtWLCHA/sS2tDfir3ToaxNuQcFfrPxaWJhNC507mk3om5viOxFb/j/O5gVm+JoMOspYywSyNk3hgO5LRj5vzxNDDXID/lNSdDg9h5VcKIpYvoXauEIojcQnEA/0WBmA9awbT+Nd8DxY73QOG5fD6tSn0OFGsXduPppsUs3BaFw4rl9Kukzpt7x1g5O4jYmq6E+vUk++VLYsS6lLcwQCE3lZg7xwlau4ZHOj1YsWEMWdvm4L1bjFfYStqY66Iud/h/fwhbHqcDxzI1LIuRAatxqG6GkiSdZ+d2s9A3nFrjljGyQRwznH1R6TaDiX1ro6+piLCov3v9lDiJJc2b18VUs+RWipSspOds9vFgfWQV5vtMoGFpXZRlErLiXhIeMJ1NCdVYs2kVtZUTPwMKO1UZ+RmxHPGfhOuWs6jlaVDWNZjzM9v+GCiQkSeKJsi9I5tzexHg546dvjKZCfcJnO7FIa2hnN8wEtXIE4wb4o6o/UKWu7XHQLmQxKeH8BztC8NCOTS2FpFHvek77hAdl21hbHNbVIuyeHpyGcNmXmPQhnCmty6hhfI9oJAJUUHZFCqoo635jWiYL+aYbytlJl2S+1AoOV9gWwmnzHs7RzDM6yJW7X6nRQ1TiiLvEr7nIqYD57Jm1kD5Indn+xyGeu/Atmk/WlU1IOr2CcIfZDLOfwdj2pZFRRJP8GxXFhyMpm03B6rq53L95H7uFtmxMiiYNuW1UE6+yZiRLpxLsaJLh1aYS6LZv/8Qqo1HsmL+OCobaXwdzvTj9eAvnfFVLg9xFOuHOeF7V0TV1p1oWMYM1dwY7h4/zTMaMjtwFh3srFF+fYAhI5ZRytUPz251MCkerI/CxjFsyibuq7ciZN0yejW0RfODo5skCt/Bg+Rho4smlIzyAETPWDxjIrvu5dGgaSvKa+dw8eRR0qzaMGvWJJpXtkTy6jjjvebwJL8UTRvVRS8ngiNnr1O64xhmjHGgsoUmz46sxct3M0UWDWhSozRZETc4+SCBLq7zGdOrKRZ6JQSXBKCY58ZOUUO5U2aTCv9WlIcKWe/uEOLny+HnpgyaMpYezSqio6SALOURKxfOY9tNKT09xjO4UwPMi7/Y/1IH/4mLfgoowpeyKPwFdQSg6GyP/gdBxPRXbFi+kM1Xsug8fCzDutkjOrcC7xU7iNWoTbP6Zcl6dY1z199SocsoprgLQLGCI690cRg9mspZZ1kesIPnEitq16+EuTYkvLjFvXhFWvVzw7mbPYWRN3n0LgfLqnWwK238uXf+Z/UUgGITvptPotlwEOOLozyEKJNDG5exfu8jNCs1pF5lAzIf3+LG0xQq9XBhrIsDVY3/WOFR8uY8/qsCuavaBK8JY6klCGEVZnDnRAgBgXuIU7OjsX15VJNecuv6IxTsOuM+0Z02lQz/2Cnz1TmClwXxTLMp4+cPQ/nmXlb6+HIysSyOntOZ5GDGhc2r2SIAxdixVEg9woKAcERG1ehUx4LMiIecP3+ReOXKDPWcy6gmeexYvpCdzw3p5TqG9mXEXNoWRNjtAqo2aUAFczVyEyK49zQC/Tr9mDTmN9IvbyUo9Cb1BAtFxwoUpL3mcGgw++8W0d+1DznXtjJ/23Oqt2hJLSMxr+5c5tTFV1jY92PWImfUHu1nw54XtJ8w73MdClkhMQLM+S7icLweTZo3wVySzs3zp7iVpERXN298B9txMyyYTWczcBKAoqoBkqxYrh0MxGfVYSTWzWnd2AZZShT3r94m0bQR4+fMpqPuW/YHTsfncAr12/5GJe1Ubpw7R2SeGY5efoyoLiJ41hCW39KhWceW1C1tTnbsY67feIPpb64sGNePMtolfAsEoLhcDBSDPwHF6e0CUIiZGLCAVqU0SY9+wg5/b7mFIti/P+lnQpjks4FUm070qm/Em0fXuX7rNSYdprNxqj2nVy5g9ZU8WjS1x8pIRl5CBPev3Yf6zvjO6kzcnvmM879A9YFeOPfuSuPyn4TL3vtQuOMe+IQKHZvQuFwNNMQx3DlziRjL9sxdPJ1GWvHsWzKJ5ScLqdepBZXNVRGnx3P32iWyqw5m1RwXbEvseMi3EHIzuB++gkmzNpBo15xezWuiV5RF4v3rnL2TSnO3pcwb2wKVjERO+g1n7oPabAybSzUhjqCoENGrs8wcN4wN18XUmbiTKzPbfAYU9/cvwi3gNTO3b/gU5SG/NIeHB/1wnrUZ8/o9aV3dlPgH5zj0II1hPhuZ2K0K0tw4wnw9mbXjCa26OVLdKJ/b5w5zI9uG5SE76FJRhYKEu0x3d2H/W0N69+iCmSSKIwcOkFvdiZCV3lQpqSkjB4rVVBuwHNftkYwvjvKQibO4e3QXL7Ub0qNNtY/iXt+bNr8NFKk38Rg9Ftnv2/B3KPtRKVPYsz+6ZD4rTlwgOlWIszagQtshzPDsRz0b3fdfKdlvOLh1DitCbhOXLUXTsCwtR01iUp9mmKq//2rKjznH+tWL2XY4mkyJAmYVG9J9/FRcm5b9KFGdeDeYxf4hnLsnIr9InYotezBk7Bi6VDREtXib4U+sBX/51K+Tg8lIenqaDeu3c+zSfVJz85GhgkX5uji6u9CreR301FURR55k6qwNmPWfjnNrOww13tOvOO0p62ZMYOu7skybOYX2tUuh8QEoimIJ8pzCE4ueTHDugI3x5/qnohcHWLd2HYcuRiHKVca6Tiv6jh5Dr3q2GAie2LICXl5ax5q1u7n0OJV8qQ52nfoy3NmJpuVN0FRWQJYbw4UDK1i36SxP3uWgrFcK+34jcevXgcqmOnxm+ClM5EDgXA5l1MZl0O/UKWP4j1kDPlPKVJFyY88SVu15Tc3eLjh2boBFibCu9BcnWLpoLYmmLXFxGSB3Uv07xPF+NEh+Bihend7AutNvqdpuAL1b1EC3hMhO8rMDrPTbQYxuM0aO7kctvVTCNwWzef8Z4pWMadiqETqZaWiUqk/vfs2JObqVC2+16OLoSPMKStw7fYCt23Zz+WkUWQWgZ1WdDr8PZED3FlQwVeJOeCD7bqdSs/sQujeq9Acvv4z423sJDr+CWs2eDO3WHBN5MJUM0asHHNsVwrYTl4hMKUBZ15b6HRwYOagL9uWNfugIK4m5webQ7TxWrceIIU5ULfbnyxfFy5UiN27fx+3IJFQ0jancpDMDnPrRvrYtwvD9o7DRrLc32L0xjAiNWgwZ74hx9HW2rw/gbFY5HMdM4fcKOZwP38a+m/m0HuRKG4NEjocGExJ+krfZRWhb2VJWkBzOk1Cx0zBG9KnAo/AglgSeQqtKD9w8BlFB9oKw4A0cuvaAxMwi1A2sqNuqN4MHdKdRZS0end5H2IHHVHdwo38LW8QZ0ZzbH8apx0V0cx2KbcZ9tiwPZP+d5+Qqa2Jqa0spHQ1UVM3o6uqMeewV9h+PoKnzOLp/oZQpyMm/uHaS4DWbOPvkLWjpyyXRBUXmim1H4zOiLk+O7mb/tSy6j3WnlXxBlZAR/4ozu0LZfug4T+LyUNIwoXyNDgwZ0J3W7ezQFWcTcfs0K/zWcP5VCiZ2dWhctyJ5LyIp9/sEepVNZsvCSRxIqkbtahlcPfaIIi1zGnZ0ZNTgXtSw/UJxtCifN7fPsnn9Nox/n86oLlUpSo/j6sGt7LgmxnnmBOwtNciMe8XhkNWcza2Hj09/1BNesm/tSjbsvUihUSnqt22JZXoEsfodmD+1kzz8dGPQBvaeekEOCqjqGWHXoS/OjgNpU1aVmCfHmDdnKfdTS9HXYx6ePSt/fF0LhOfvWMqaExLqdZBxPOQsSYUa2NbrgNsIF9o2tEFZKohM3WHH6kDCLt4hOUuKiqYBds364DJiAM3szL6eQ2RF5KZEcjRsM9t2nOF5ajoKCkroGJShRc9ejBo1kLLaKhRmpXBpwxTWvLRjof94KhbHa4vz0rkV5se0tWcw67+EXWObfAKKghyenVzP3I1RuAbMp2WpEnO9oPWRFc3pHXNZHnKdmEwFtIxsaTl8HB4O7bASXCakEnJirrJp3UI2739LtoIyZuUb0GWsFx5tKso/JoToq+SH2/H1W8Op25mIlTQo37gLgzwn0rvSFwp1siIKH27lt0mhOCw5zbCa74sqzU1k82QHTpqPYdWM3pTYFPrmdPltoBBn8zbyDRhXoMyHzdHiy6XiLKLfviM1Kx9FJQPMS5XC3ED5s4gLaUEqcZExJOfKUNc1o3RpMzS/cKArzHxH9JsUsopU0DO1xkaIdy6Rp0PYYxVild8lZJMv08CidGnMDARv8n9nq+NDa30726iMgoxUouOSyc7PR1FRGUMTK0zN9FFVep9TRFaQQVR0MqrGlpjqaXwuaZ38hkiREtZWlhgIOU4+VElWSGJ0FHkqRlia6hfreJTsNxm5adHExorIFqtiKOQ8MNZBpYT5DyGXQnwM8SlZFCroYG5tiZF+iefLHXzS5fk+kjMLUdQwwqqUGbqa35AtF/JJJMQgkmhiZmqEltqnnCE/Wnz/7P+fA4USye9ekCzWwMT8fR6YkgwpSPGmvosgVSzsyQtt+CnK4M8+98+c/12gKLRj1JQRtLYzozAzmaSMAjQEcSFdzc/LLSkgOTqG9EIljKzMMdBRQ5yeQkJcInnKWpiaGiLNzSJfQQ0DI13E6clkFiihbyyI77wXvhKlJsmFefIlMnQMTDE3M5GLYgnCVtmiJNKyJWgZGGOgo/6ZtO6X9RRnp5KYloWiliEmBrolfFGk5GenE5+QQHqmGGUNQ8zMTeVhkJ+9nt9pOFlBNskpKeQqaGFmaiKXAP5wCCJLyYnxJAnPVdHBxMwMEyPBMVuGtKiI2Fu7WbtyN1lV+zP5C2GrIkEwKimVfEUtTC1MUBFnkZocT45UGCPWaKuIyUxLQZQtRdfEHANNJXKz0kiIiyU9T4qagRFGOqrIsjIRqwk5VXSRZKUQF5dEobI+lhbmcjN4TmYa8fGJZOaKUdfWxdTCCiMddbmwVU6GICqWi6aRBcY6avL+yEhLJT0XDM3M0FYpIiMtgfj4FAoU1dAxNkRfWUZuVh7qRhZoFGWTlpGPjokFhlolLD0yCTkZKcTGJJEn7IaLxQirW9qb2xzYfxaFWoPxdm2DUlYqKVlFGJhboPcxlPN9+oOk+DiS0vNQUtHDyNQCSxP1j3OytDCfzMRY4kS5aBqbYaKtiiglDWVDCxQT7rDFdxb39IYzd157xG9ikahoYmFVSl7vrw7BBJ6TQVJiCiqG1pgZaCArKiRLlExKlgxTa0t0VBTlCsqi5AQypNqUsjZBVSahID2VmNhECtV1sDQzpSgrGZFMh9LWRihJJeSlpxD7LoFsGShraWNiZYOZ3MwuQ1KYS1JcFMlZihhZlMLK+JPcvlR4foown6lgaqlLSkwUmfkyjC1tsDYpsXDKzfci3r2LIzNXgqq6BqalymAi9O93JwJBDTqHpJhEEjIy5XlEtLSNMBXy9giObMJcXyQhM+kdCXnqlLa1+JQnQ/DByUshMjoJmV5pKll8MoHIBKG09ERiUgoxt7FBV67V/flcL/hqJETFkJQjRV3bFJsyFnKhr4+HAB7Z8byLTCKzSAVdEytsrAw+9ysTxm1yJFExWRQoamJaqjRWRt9y3pYhy0nhWVQSxqXtMC3mGzmUREWSoWKKrbXBH1g935fqV7bRH6wov9KX/5kl96+f+78x26gk9wEBbt4ceaNBK+fB9GvXgLKm+ij9bPTmX2+u/1NXCk6bidERXDuxnbB99zBu6czUGX0+k97+P1XhLysjzeD+ye34+25H2rA3vZpURTk7mutnjnA1VpNBk+fh1ML2H7HCJT2/zOZFM7mrPwL/5QP4lWHk//RI+8cr9wsofgHFPz7IfuYB/xuBoij/GRunLyB4zwXiSrdkysTxDO5Y6/OviJ+p/H/5OeL0GE5tX8WKoO1EFFSl96ixjBvb+b9ocZORGnWH/SG+BIc/JEGUi0xVFcMKtekyYBSjurfEWvef2dRLeXWL3auW8MTQgVmze/F3paD7Lx/S/7XVVygoKBDypv46vtMC8fHxGBoaoqqq+lXa3F+N9ve1QF5eHsJPS0sLNbV/MUHHn6iCsOUhEolQV1eXl1NWlEnkvUe8jIonR8ecanZ2ci/1kjtQf+L2/7WnSgtzSIh6xpMXb8iUGFK2chUqV7b8oQPY/6UGE0zgOalJRDx5zJukDKQ62piWq0y1MmU+Ofb+AxUuyEoh6uVT0lVsqVG91DfTWv8Dj/11y/+jLaAQExPzCyj+oHNzcnLkC4iS0j/zhfB/dFz96WpJJBKEnwBuior/f+4ZyGQyCgoK5GNBRUXYA1dEWVUFFSFEU1aEuFCMuEj6p+v+6wIFlFRUUVUWfLGKkIjFiMVFgj/if9GhgELxuJL7kgmZnCVixBIJgsbWP3UoKCqirKKKolRMYWERsn/XRe2fqtav+/6HWkChqKjoHxyu/6Fa/U2PFRxwBB8KY2PjXxaKv6lNv3cbwTohwJuurq68rf9/PAQLRWpqKhoaGmhrf8oE+/9jWX+V6VcL/GqBXy3wb7fALx+KH7T4L6fMf2dI/m/0ofh3WubXU361wK8W+NUC/zta4LtAIZh3QeGbCbiE/97/DwoKit8+RyotNlkqoPjNeDMZ0mJb3vfuIZj9pH/0HJkUqex79/97OuAroJCXCRQUFb4KNZLJpMg+lkeGTPo+dfVXoa4l71Gijt8r8Wft86M2kSvKlugfxfdhrF8e78sq78Fv1uXj+cK95P38z9pCvwSKD3UQnvutZ8vk4+sHZf97hsDHu3wZNir88akd37eRPElw8Zj98vHfq8v3ivnhHRNesH+i9T+9w5/fvWSdPpbtW+P4+wX/4Zj5WLfiOebzOeVbfS6M6fcP/O5YLB6r/1R7fau6f6aP5OcKdfjG3PE3D9X/utu9Hz98Z635q83xYR79xngsnoc/zM3yd0Y+lr98V4vXOfn7I2hDvJ9Pv3t88Z69n+fez9M/Xke/PVf+cB0tURjheXxnTf+ZVvwmUMhk+SS8eEWBYXnKmJaMWZVRkJNKXJQQ85uLVFGIpy+Ljbkhah+EAuQx1Um8exNHRoEEVU1DLMuUwlinhLqlNA9RUgLvopPJlSqgbWiOlY0F+uqfdA6k4kwSY+KIS8pAIlPF0MoaC3MjtFQ+LZC5ydEkZqlgbmMml2L9JybdL4EiPzWKiEQJFrY26GuofIr1l+UTH/mGJJk+lWxMUZNmEvnmLfmaVpS1NEJD5YMPhoyc5GheJ4mxsimFjjiJ51GJ5BVIivtLGBSfJk8lVU2sylbAVFcDJWkOKQkJxCemkSdWRNfUHAt5boQP0scyJPkZJMTEyzUGilDH2NoSMxMDNFWKpZhlEvKy04iLjictOx9FNV3MrK0wMdBG7at4xyIyEmJIL1DDyMwILUHv4GdG1V8450ugKMxJ5V1kHBINQyytTd9rLRTfV5ybRkxEAhItQyytjOX6GP/G8SVQyKS5JL2JJi4lgwJ1PUoLsemKObyLjUeUXfB5kVRU0DEwxszUDH0t9c8FxL65UolJi49FVKCEkfyav3cbqDA3nbSUdFDXx9BYnw8yMUL+lPjYGOJSs/jgDqKgqCTXirG2tED7B8WQSvIQJSaRJ1XH0MIMzW91jVTQjEiU63VoG1lgqq1EelIsMfFJ5Eu1MLG0xsrK4LP065L8TETJSWQXqqBvYoKuoPHxiXoRNC7Sk9PIlCiha2KKsdYPxoRMSlHhe/8EZfUfSwp/q4ukknzSk5NIy5FhbGWFfknRjS8uEOL5s9KSSRblo2dhjfGPGvLfGND/a54hQyYpQlIoQUlD0EP5fBaSSgrkOhBxGaqUrmyD1t8ySQlzaRZx794h0SlFGXPdEnN9EXkZCbyKysSoTDkstRVIT3hNZJoCpcuVx/jjoJchKcgk6nUU+Xo2VDZRJCoigqTMD3PDe/j4gBiCD42eeTnKlzJESSYhNyOJmLfxpOcXoaKhj6VtKUyEdaC432RFeaSnJPIuKpFcqSLaBmZYlbbE4GOeKxlScTaJsXHEJYgQK6hhZGGFhaUJ2t9IXSEpzCDmeRTqZWvIlXj/yvEVUAge13HvLrLIyY2iYYdZPazKRzKS5CZxce8qVq7Yy7WoZCRFRdTqMYbZU8fSsJwhKgoK5IueEb7Rj5UrT/A6Ox8to+p0neCJZ7+22OiooaAgJT3iJGsDAtm66wYpRUpYVmtBvymTGdWqOrpqSigUFRB5cxNLFm3hxI0IssVaVO/Sm5ET3OlW3RINhTzS0nJ4sNefvfeNcZrcmzKGZpjofj3Y/kqjlLzmS6CIDPNk4KoUJqxdTJcvso0uHzGSwPzOHF46nDLZl3B2GcNDo0GsXDCGhuVNitO5F3J36zQGrktgxqK5NErfjuP0TbyMzUCBIvJyBFBTRV1DVT6ANS0rM8l/I05NypD36gBrAzay/9RDErOVsG3cHqdxY+jbuArGmirICjN5eH4TawJ2cOr+W3IlhtT9vR+jRg2idVVB/EeJgowIzuwNZl1gOHejUlDSr0DLwSMZ4/QbNawNUS22JgniUZmiV+z1n8fFrPqMGutEvfImPxQ2+avt/SVQZLw+i9+khVyX1WTklNF0qmeLlhA+Icnl8ZlgFi86jkGbIbiN6EIls88VRf9qGX503VfCVnmPCXTzYsWOCyRV68LCmZ40VbzGzIWrOP0oBQ3VT4JvUg0NSlVvQp8hoxjQriFl9NX+EM5k4nj2+C/k6Bt9+o4cTafaFj8q3s/9L4j75GXw+PJudu2+ikkjBwY6dsKiOLAm4+kR/BYtYN2Rx0gUhDEoQ0FNmzaDJzNxrCt1vytUIIgP5RH7+hK7graSqNUIJw83ahl/WSwZBamvObRpOZuvZdB2mBcjm+hxbutyFgUE81hUmX7jpzNjencsS1ya/uo8u9Yt59gTZVoNdqVXj1ZYqxevHEXZRN27wPZ1O7gjKUuvMR70r1si5fY3WkaclUbMo9dkoU25xlX5KyOoQPSGE7u2cuSehD6eE2hb8QtVyRLPLcpL4OL+zWw69Jr247xxbFiydj/Xdf+tZ8kkBaS/ieDV4xRsuzbGROVzWBSkt8+sm8KS05YsO7GUOn/H94WQbTTiOr5eM0htNZcV7i3Q/LCQF2bw+twqfvc4w4CVW/FsoMzJZQMZtD2PaX4bGNO5klz5FVkhouizTHCcyqt2vhwdocVMN1dCL8XIrRWSgnzy8otQ19aSZ+ZWVtemhVsAayd3QUX0iqNblxGw6gQvMgvQMbSj6zh3PBw7UVZXTa6CmRp5no2rV7Ep9CopiqpYVm5BX6+JuLerjbaKAjJJLm/v7GDJwhCOXnpFnpIuVdv0YMRUT/pUsyghgCWjIDuNp3e3MXdEIK1Dn+Je/69RWQmgkJKTmsrr+2dYu3Ipm489oO+6J4QMrlBMhFIijvrQe+gqNJt0p6N/BObnAAAgAElEQVR9ZZRSHnNo+wnUesxm85Lh2GhIuRLsifOCA1RpN4DG5XVJeHiGbVdTcPfbxuTfqqAijmf1xIH4nsmic4+elNct5O7ZfZxLL8+6TSF0qmoAcVcYPciJK4XV6dauMUbSBA7t20t+jWFs8J+EncZLtgad5v7L+8SkGmFb3RDTmg64dqyIltrfG43x7fTlyUxcv5SuVb5OX76qoDPHlo3ANvsSw0Z6cPi+hN+mrWLuiHaUNhAU2Qq4u2Uq/dcmMH3RPDqbxbHv9B3SsgpQkGVwcfcuYnTr07FldQzUFVHVNaFp557YacbhN9mNPS9UaNy0GWW087l6+jDRes3w8ZlK2+qlyH1yAI+Js3ilWJmmDWqhW/CWw8cvYdpqFD4TnKhmrc2DfX5MXroDZdvGNLQrRe7bWxy6EUP7UXOZNKA11gZqFOZkk/jmMeG7gli/5RCarcbjP2sk9mWN/xFxHeE9/cqHQpbHw9Mb8Z67lXz7/kxzGyhPd5/+/AQL5iwnwqgJ7uNcaFbZSp6N7984vlbKfMhK11nseZBD1b4DcendBvVnO5m17gj5RtVpWKUU6opS+bZXYUYCV89fIl6rNp5Tx9O3ZZU/LLcAFGHL5suBwsHFjc5/A1BIJYKiYDx3Lx8lJGgDV2LV6O85E/f+HTGXiyJKeXthK0tXb+OtUhnsa5ZDVTC4KqtSrnZTmtgLEuhft7Rc9S9DxMsHlwnbup495x5Ts/dEZkwaS80vgEJakM6dYxtZ7Luce8r18ZjmzYhW1sQ8usaRPVs4dDaRSt1cmTaj12fCVhmvzxO8ZB7LDzymbNcReI734jc7HTmUSVJecGR7APNW7UFW/ncmzlvwQ6AQPT3PtlWhvDZszQSfAdj8hQEkKBlGPHnIiwQpdo0aUdbwG8qSxfcVgOLCvo1sPPiK9uPn4dRQSBT+6/iZFhBnxHNj2wr89uTheXAJTUvI8AvX56cJ2Ua98D1phf9pP+r+XUDx+hqLJk8ntfU8Vo1t+RlQvDqzgp7jTjNgzXYmNVDhpN8Aei+9S5UOIwnwn02z0hooyIHiDB79JvOynR/nvew4c/AgdyLTUVUqIu7RecKvpNDWoReVjFTl2+Xlm3SnS31LHuzyYbj3dmxa9KdZRX0EAbJ9V+MZOHcDcxxqI82KYctcF7zD39Ghd38q6ebz6PJRTsaZsnrLTnpV1yIn5iZew504kloBh+5tMJTEcfLgPuJKOxC2YQHVjJTkYCJYQu+cD2O5/wrORcrwPRWLe92f6ZmvzykBFBkc9l7GohPn0bM0I/L+WepPvczGoZVQkuNUEiv7NCEwuw/rt0+moaE2CmRyZd00Jh7VZfna+djrv8W7d3OOW3uxZZkblXRVEKfeZs4QR7brjedOsDOqz0LpO3AOJm7BBAxvjb6qEimPtzLIYSYqzjvZ5laf+F3D+W3+S0at38ToJuVQVxZzd9cUHL3vMDRgG+7N1Li5dSuBWzdyJsGY5s070mu0I7/XtPosC91fa5LPr/rrQHEBZ5dFvMjPJFtWmSnLFtGjfjl0VMQfgWLqwnn0aVwy22gCy5wduW01jPnjemBb4ss75thchsw5QV13H8b3aIK5tiKvz61g1Ixwqg1ZwGSH+rwKcmLqUQUGz5hNvyaV0VMScXyNF9MPFjJmxkx61VJmi9cQwvObMMlrLC0rmaOY+ZjV0yawJb0ZAbNH0qSSAS+OHGbVpu08ySxCkvkCpRqDWTB5GA3L/XM5M77plFmUxIm1PiwOvU/joVNwam7MocClHIw0YOjE8fRqWpl/SO/nm0Pnm9LbYxZyu6gWblOG07yKHo/C/fA9VJy+vIM9QtZg+VGUx8N9K5m//QoVerrh5tAGndw0sgsV0NbTR1td+b2UsyidQtTQ1crh4IqFHCkBFEWFuWSIRIiycpAUKaGlp4+BoR6agiVEJiUvU0RGXhEauvpyKfUvOSvz3UsObQ0l9Mxd8hWz5F8srfu6MnZAp2KgyOF22DpWhEdQr/dw3LrX+Lh3+0c+NJLcZK7s28u60OMkkEdefi6lmzgwdfyYz4FCUiBPgrV903aO33iOWEh/PmwioztXl8NV8t3dBAbsJLViPyZ9Ib2d8focIcsC2X8rFqOaNWnRdhguDvXQUJAS//Ai+3Zs5siVVyhZ2jPAcxr96xtRJM4lPT2V9IxcJEWKqKprY2BsgJaKjKiru1m3aivRpp2ZMNOJakaGaCpKyMlKJ1WUSZ5YhpqGjvx8HU01lGRS8nOzyMjKQQgMLswrRElVGy0NKBCDjoGh/L4FeVmkpqWSnStsYaqgqfs+J4eaJPkHQCFIPOeTIUohLSMHqZKqPFxdRUGGkoY+Rnqq5GdnkZlTgCJF5OQWoaVnjLGhOkV5WYjSRGTlFiJVUkZL1xAjA33UVYSv4Dz5mJKo6mFiqIUiUgrzshGJslHRNUZPtYhMUSr5aKKhKkaUkkGRogp6+sYYGOh8rakik1GYn0NGZiaKGtpIczMQZRaioW2IqYkuilJBXj2ZrHypvBzGJgaoISFHGJv5ihiZGqGupECRuIAsUSo5aGNuqoOCpIDstBRSRTkUooCauhZGJsJWpyKZsY85FOjNqlMaTNg8nzalrTAqIV3+EShOWOB7cBbWaankiGVoaxtgZGKEenGuJJkg750lIjk1gzyxFBVVbQxNjdAT0h98+cYLFoCfBIqJDVQ4tWwoLiFRWFpoUKfvPBZ7dEBfUVwCKJZybW6J9OUF2Tw6sIwxK18yZ8t62tp+sH9IyUuNZOXItuxSH8XmNROppqtAbtI9/MaPYqO4P5dDx6L18gAjh06gqN9agj07oycTk/hkH26DJpPaK5QzU+oTudeL7lMvMDB4H1Nal4WifJ4cm0df90P0XHWcBV0sKMyKINB9PhtfxlCpjAYXrj1jWtgrxtb/a6tnCaCIYr1TAMkduuHSUoHRfRxQHnqW0A/ZRuMO0rGlBxVnnMCruZi4eBFiRVUMjIU8HdqYWxkgjT1O/46TqTR7O/N62cnzWghfPZf9HRm63YB95/1QOTGfvt5P8QkLonMFw+IcFyJW9W/JDg0PDq3sx+XZPfB63oRD2ydRVldD3tkFSVcY1X00WkPWsHBwQwpeHyBg0WGSJZko1+3HHNduGGn9sRn5rzTR/wQohrmsxKRnB5I27iOz8SB8pg3AzlKDB1unyC0UXwNFFEuGDuam9VAWeZTMNirhUoA7U06q4e0nZBa1ku8vF2U/Y66zG++qjGD66KacnjWKw8qd8PFypIaNgXxBSbq7g3FTd1LbZSqOdQpY4rEYxdajGTewHaXlX1RS7mydileoiFHzJ9Olrhl3g3dwMVGZlt1q8DBsIQczhGyjQ2hc/l8GCqGOSbfwm+TDsSg9qljk8+oFtPEcx5BeDTH/mM/gr/Tsn7/mZ5KDPZanL39C9a4jGNS+HrpK712qBOtAxOkNLNl1nXJdXXDtW4/7W/w58lKDro6DaV/bksLUp2wNDCFC2Y6+js15tSuAI6915RaKjnaaRNw8y7Zt29h/8T6iHF1qt+6K43AH2tathKFyATf3B7PnRip1ujvRo2kFPv9elpL49BYnD95AXLoKFfQj2Ln/IjoNBuJRnG0USSLHQvzZfDGDuh360rqSlvwdNza1wFzI5VLCx6lk6+WLIjkXdooXOfrYN9bg3N4dPFFpzOTx7tQUso3KDwm5b26xaeMW7udbUMNcgTvPorD7zR3332rKgeKPkoPJgcJ/AzeSZJiX00NDvxHD3QdSVi2T2ycOcPDUdeKzs8ktMqHr6Kk41FAj4tEptu0IIvzME9LTtbCqYE/fUUNoX0Wd8+t98A05TpxGGVr0H82sMUOoLHvFoZ1b2Xz4PK/jiyhTtQm9Rw7i9/YNKa2Zz91z+wndeZw0mQoJLxIwq9GZplUKePxGQg83NxoaZnL97A6Ctu/g+j0RCkpm1GjelWFjnGhTUZMb4RsJ+Y6Foqggm8j75wkNWs2ucw8p1LGmXDkbTFWUKd1qGBP7VeHByTBCj9xBXZbHnWdi2vX3xN3Rhhcn9xIaupfrT2LJ1TOmTisHBg8aQqu6xqQ/v0JoYAgJlQczz601mtIcXt48RtDaQ5TqMw3HypnsWb2IS7k1qVcunp0bTpKpYkyHbsNwGtGf6qV1+ZC78H035hF57ywhoTtQrtqSggcHCTv+jqqNeuE+rid6GTdZsSyQyy8yqdHGiQlT3Wmon8GFPevYekeDiQsmUdtIhYyYZ+xd48t5xY74e/dA8voa+1cFsO3wPd6hhG25ejiM8KBn2/K8PbWGiZ4+XE3VolSjjnjM8sOjlfXHIfgBKOaHqzJwfGXOrtjO7YRCGjTsztAJ42hZxxoNBTGZcc84vn0ja3af4HV8AaY2Deg71pkBXZtRWvsLMb0/AxT1VTjlP5I5t8zpVQv27EplwpG19K+oQ8ZHC8UXQJGfxYPwRbitiGBGaPCnbKMyCRmxlxjbYyxaozexxvm9qUBSkMPNLV6MXp9F4MlATG+vYdCk07ht3oZjTSFll4zC3BS2efxGQNpAzm0bys1Fg3E7V4bjJ5ZQXm7GlVKQ/ojxHXuS3nsTWz2bUphynaUj9mI50ZnuaudpPMAP120ReBRnG/2zs2QJoHgf1SE/ki/Tp+vvKDuf/wQUdwOp3Gc+jQfNRuP+Bo5ce0OOREb5ZkOZNNGdzo2syH+5gQ7tNtF7yy48mlvK94WE4/UuF3p4JrL8+WZ0tkyi70Zldu9bQl1rrY/Jkw541mbeQwd27RvEmaF9WKbrzLUVjhgUd7QsM5KZPdvzpuVyVnp2QPL8JrfybWlt8oQ995Vo3qkppbTf+x38ncf/BCiGjFhO+TGLaVd0gpkhd+jsOhvnDlV4u3vanwQKEeFebsx7W43ghSOoVdbkfU8VJLPWtTfnNfsxY3ID9o2Zxr1qw1jo3pXK5u93hXNfH2fyKF90nabiVE/EvHE7KOfoyejeDbHUeW8bjDo+F3fvh3Tx9cahqR36Hz5thfTlPmPYlWbPFI+h/xGgEMoXc20TkyfO58C9dLp4LGL2GAfsLP+i19D/YHD8DFA8OeTP7OAzKJVuQsuatmgoSZChSF7KW04dOEmyenXGzPCge3Njji+by54nmvR1caObfSkKkh+wdvEKnivXZOiozkTtWcmR1zo4uIymHpdZtGAVp97IKFOhDAbKhcRFx6JargWjXV3oVMuMiOsnuPw8k/KNWtPYzorvJxoX0pdvxnfLCbTsB30ECln6S0LXLCLo6DPyxJpkJbwiS0WXmk26M2SYE+0bV0Rf5Y/fMMnbC/ivWsM91aZ4fQQKYbKL4sz2jey6kUeLAQOonH6K9YefYdfdA/ffavwcUCwP4UGBKRUqaJCWrM/vbq7U103g0I5QLr9OQ09LRuQ7RTq4zaCD5iM2Bixj7/1MrCuUQYsMYl+/Is/InoGjBmMRsRO/wH3E6NSip4sLjvamPNkfwJLdzzGuXJVSOkpkJieQrmBK12HjGfNbJR4eW4eP9woiVatSu2Z97JvXQTflFifvFuE4dRylYo6z3CeQp4o2lLfR4/+xd9ZhVWVv+//AoRukxMTCDqxRx+7WsVAxEEVFVBRFUVExAZFSERVFEbG7Y8yxOzAQFGzpPHDgxO/aB1RUHMd5Z+b9/t7v7OvyDzk71nrW2mvd+4n7Lkh9wfMXqVi1GcuiGX1IPreJdXtjvg55KAp48+AMa3wWseVWDlXrVsdQls2zh/d4lmtIz0mL8BtZlxs7Apjvv4N888Y0bNyUdl3aUzbtKF5em3lvYEMdG1MUWUkkxLxDo2Yf5gZOpcr7S6xZFsTr2s6s9OiOrjybh+d3s3zZDqwdfBhXJ4P188ay8rKI6nWMMdYvgyzjNXFxaVTpPxWfWfZU1i0WRpbm8vTKIZZ4efIAGyqaaaPIyeFl/FMUljWpqCNCqq6GPPslD+IzaDjUl7Vja3Bmkx+rL2mzIHQRTc00SE24y2ZvT06I+hA2vx2XV3syZ8N1KjZpioW2grTkF7wVl2L00kBaiU+xdM58Dj3Vo8VwexyGOdGnWCxNyKE4tdqVScFPKGtrgpFJeQwKsnh+7yE51j3wWeNNa4P3nFwzjUkr71GhiS0V9NXIzUgkPlFB90mLmdm/MZ9Fy38IUAg5FE4svNeAUO+ubJvryp3STmxYZIdu6jlcB00npuMfBRQSkp7txr59ELYhO1narTAYJ+jdxB5ewgi3a0z7bQuVLyxj8OJ3rNi/lg4VCz8dpHnZnPbuytTDLdl7YQrXJw7BI6Un0TsnoaccQgUFOYks71+fc1VXsT34FwwK67FAKV8eQu2hAUzY8uyvABTFVtrE3xjQ8wtAcXcNlTu5kmNcnWbde9HK2gxF4isO7NjK25oj2BY+iyqJUXRst55+m7bj2rrMR0DxVAkoEgl+vBG9ze4M3KDKzj1+nwOKqbYsvC8AimGcdhjAcv1RXF5h/xmgmNO3E/FtAgly60wpnb+v4qD4nlMyoEhm2tplJeZQrJJ044gyh+IcI0cHUH5iMFPbabF3kQubXjXEe7ELWlf8GRb6lplfhTy+5aH4NqBY7dyfc0pA0ZS9Lh7cqu3A0ok9PwKKnNhjzBi3DMNhM7FvlMaiyVupNHQq4/s3+wgo4o8uYNKC+/Twnc/A/zhAISUp5gzLps4j6kYW3aZ4Ms2hO1XNP6kN/g8wwg9d+kcAxaMjK5mxeDUXYrLQ09aAAjFZGZnkqelRvXVXnBzG079tY8yNMtkXsIDdD3Xp7+RMryblyBcAxbJgHqnXx8GpKwk7BUBhyKCxdsh+C2Plkac07j+awW0boK+u4PXVg2zYfxWzlkMYP7gz5fT/KJwuGVBI3txm69oA1l94Qek6zWhc2Zz8V484d+Y6sjp9mTZ9Aq3KqJKRkY1UJkdVXRM9IbxSTO1V+rwIUGh+AhTy/EwenN3Jxh1XMGw8ECf7psSfCGXtocfU6lMEKPi+hyIsYANPNGrTtoU+dy7GUaP7WLqUecXWqAOkGNTCRvsFJ69k0nnSbDqbJXLlzD0yNMtQpXopMp9f5tiuSM4+NWLgDC8carxiY9AGnlsMwHNRL5JPRuEXFElevX64jeiFlbaIzBf32L9zO9Gi+kye5oDiahh+fnsoPXQec8Z2wTAzlsORYey5JcN+xiRsJM+5dPYV+jVrUcYwl6eX9rNjzzFSzXqxwHcE3NzJut1PvgIUitw3nNsZypLQ32joPJdpg1pjIE7k0u41eIcfxazPLAJG1+NGZCD+kfdoPSeYad1rkP3sFpH+S9kfb4bb4gV0rWdGQcY7Luxah1/4bzQY7sXYpmLW+/nzqpYzK2Z2KwQUF/YQsHwHFUb4MK52KmFeY9n+phmzF3vSu3l5xK8fsH3FciJuqDN1+VJ+qf/RzaT0UMRe2svCOXNJbDyfAE97ykiesS94Pr47n9JlfjCzBtUn9/lF/Ocv4YZmLzb59OBOhB+rL+uwIGQhTcw0SEu4R6SPJ8dFfVjt8ROHl8wh+LQGTosm0L2OOXnid9x6+IryDbrSwjKbCxu9WLpXh8VHAmlaHOAocyhecHK1C9M3JjJ4UTiug6qjk53K1d0hePgfp5VbIM7NU5njMJF427H4TRyAmYaCvPTXnNywnB1p9QhePpt6psXenx8GFGNYcNeWjVFT0DmzjGGep2ntsZZJzd4yY8BUnvwQoNiDffsAbEN2fQUohrtdZ/rFSCqfX8aQRe8IFgCF9ZeAotUnQJHcjehdrp8BimX9G3Ch6soiQFG0BP7jgOL+Wmy6zqH+1C2smtAOUyWck3Nr13yGOx1izIH9DC9zjp5tV9Fj3Xbc2pX7CCgeR46hn2caq+5vQDdqJgPXStmy21+ZZFfoxJCxa3IjfJ4OZef2YZwe2x9fNXt+CxmJaZGHQp4Rg0ffHrztGEjA5I6Y/G8Bim1TGLoyialr/OhZPClTGkfAaEfWFvTmwLJRVMw+WwgoJixnas/6yB9EMdF1OWWGLKSd6gmmRab8QMgjg4NzJuD1xIbV3mNpVNm8sNwo7x0rxw/istFQ5rg1Zd/kGVyrOpylk3tRoyh7LjvmMNMnBGI6XAAUGSx23US5gVOZMKA5VgaF37Bxh+bj6v2I3j7zGNC8Job/QR4KSfZDIuf6sOdaKvnqr3glqoHz1GkMa18Po784Afd76OKPAIoHBwJYsPkiZg160btFdVRe3eTwth1cTrWgj8sUHHr9hKVQ0qhIVgKKXQ91GVAcUPiu4JF6PRzGFgGKOGMGjerA64NrCIy8hrqpUBIpokDgSC7I4k2KiOYDxuE+YRC1LD/EYb/bkxI9FNLcdN6+fE6KTAurcpUw19NEnvOeI2HLWH80kY4jhmKtFk14xBFeJeegV74OfYc5MbhjI4yKPMZfAwoFaTHnCAsJ5XpORQbY21HfQs7tX7ex7dwzqnV0ZHyf5pQuZUjq7Z2EBG0j3cbuK/lyIeQR5r+ep/pNsRtUmavbjiMu35bW5VL49fQdrLsOpMy7E0SezKTb5DkMqCXh0tE9bIo8ypOkbHKzMkhJTETN6ifGz1rAsKov2BC0nvjS/fH06sDzXWuZ67WJFyJTKptrUyAQCCsKSEsXY1StAzPnjcf4+WHWbriMreM8JvS0IT/tE6AYOsOdxtovObQ1gu3H7pCSV4A4JZH3GVCj3TCWLB6G/OaOEgGFLCmavRsDWHXHCI8lfnSqIIxfPi/unWRNSATvrQfjPbYB17evY+OJNIbOX0ivOrq8uHuSNYERvKs8jMCZPSl0OCp49+ACG5f78rDCMKb0teSA3zISak1gxcyuhYDit70E+G1XAoqxtdKI8JnNTUNH/AOHFwqySdKJPrUTv9DDVBvvjXu36p+SsaW5xFzcT4D3SiyHBzNrsC3ytBf8GrWC1cfymLpiKW0r6pH58iE7Ar3Ym9OSkEUfAIVuEaBQLwQUvp4cE/UhfHEPnu8PZYZvBE8zVTE1NMLCqj6dBvWnb49mWInSOB/uhfd+TRYdWUGLrwCFkJTpju8JCwJOBRcmZSpkpDy7RcjMKUTXcsGjaw4uv8wi3qQKtcw1yJXKleX5uRkppOk2Z8VGPzpXKSZ1/gFQTJ9FSvtFnyVlyvMzEJIy+085zbDVUUy2VeWE/xgW3LFl4865WIvjifIczdqnNVg0rwfb3WfyqK0vl4rnUHwz5CEh+fl+RnRaRq3lO/DtbV3oocgX8+TgQkZ63GXWhc1Y/+bHkAUv8Nuzji6VC997obT6xMJuzDjTjv2nJ3N96lDcX3fk7m43jIrmRkH2G7x/acLVOiFsW96bj37efxxQJB+nf2sXqvpdxqujKRrKBspJvRGJfd8lNN14BLd6bxjb2RHDceH4jvwJPXVVhFrZIwvtmHSmGseOLkLtnB8D3M8xMXwDg23LKMsUZXnxLB3Yk5MV53DAuy/Xffox6UI1IrfNo56ZASIVBRlxR3C0m0vFiaHMH2SL3j+0mXzpoXi5byb9fZ4wOmA5do2s0S+q55Vl3mHRmPFcqzSZ1W69KJ16sghQ+DG1ZwPMdFI5MHsKSw/l0aB5Hodv6bNg2SL6NyuelPktD4Wc6+tccdspZor3LLrUt0ZbVYXcxCvMdppFVlMXZo/5mQuLHdma0Zy5Ho40rmKOSEVGwvn1uC4+TiuXWQy2lRI4ZS4Ztg5MGdVT+ZUvJOqcXzOdeUdUmLpwCp0bWPMxmvi/HPIQ6sAvbZuL16ZL1OnnxbB6GWwM8OaxQS/cXcfSpk7pj6D1e1voX/H7HwIU+5fjs/8xDX8Zj0NXISlTxqubhwnx9eeWwhYn14l0b1oRTdVU9i2fz447GvwyfiJ9W1Qk7/V1Vi1dxVPdhox2LgYoHDvx/tBagjaeJ0/fCEMdNSWJj7AgyhUWtOhrzxiHHtT6w8XjJXkoFEgyU3n7Lg2FthGWpU3QVhPe33xu7Qpg3e5oavYcRAW1B2zYcJAXSdnoV6xH/5HODOvaFONvAgoZsec24bPEm13X09HUFKGqkJMvEZOTV4CmgQ39nacz3c0ewyffAxRhPNH/mXHOTbkVvpFLiVDeTJusDFN6TxpAzpm1bD4tpvtkN+qkHifQezWPNSvSultvGlctR/qNo+w9nsDPrh6MrPaS9UEbSFACik7E716H1/wwYmR6WBprK8nhlPaV62FdvzNjJvVDN/446yOv0HDUfJw7V0HyEVDIGTLZHtUr4SwNOIZB2+60/bk91XVzuXpgDzczK+Hu6wDfBBQP2bcpgFW3tHFf5EvnSlqoKCTE3zpG6OpIUqoOZenY+lzfGcbGM5kM8/SiRw1dXt47xZqgcN5UHIzv9D6YaqkqN9I3d8+wISiY2Ir2uPaxYJ+PN8+qjSV4Xh8MZRnc+3UHy5fvw2asL0610tjkPYureg74B46gnJoq8txU7p3cSkDYr9Qct5Rp3WyKAQoxMRcPEOAditXwYGYOrossNYFft61g9Wkp0wIW06acLhkvH7A1YAEHxK1Zvbg7dzb6seqMGp7rltLSUpPkuJuEL5rHaf3+RASNQCc7ncePLnE4aguHfotBkpNJplSdev1ms2pGK6I3zsd7v5YSUDT/BqBYetSUZUeDaK6nJsQISIy5yqq5s4it5cLMrmJc+07nsV5ZyhmpF+qjqAhjrIGheSumLp9Ol6rFSo2F6ofn11g+cwYx9aez2r0npkXhPpk4mXsHvRm3/Cmu4Tv4pWx6MUAxn5qiXF7d3Y5rv0CkHVsgj75IegcfLngVS8r8nRyKzLfXmTnQgZx+q1k7uS2aqgoKxGmcXu3G1H3aRB72p9TtMEZM3kG/FZGMb1keEQpy0+MJHd+fSC0Xzq6x41aQI2N26xJ1ZBWNTDSUcyPzzQWce45BY3QUG5yLZV7+44CC13h37sQOU3vWeY6gvKngzk3hfNhcZq5JwWPvFkbUlbNiZEvWifsS7DuZOiaaSN7+hucEN6McaeEAACAASURBVO7YLuWCbz804g8ycuhk0jt54T++K2ZaKry+FobTlE3U9NjDyqE1ST/mTo9pJ2jvuYKJ7WugK8rjYoQ7U7dk4b5qAyOamqNVAjHHX7FpfHmPLwGFJGYrvYcsQru9M+6jelCplK5SWOf1qXDcvbdQa/o6Zv3SBKPXh78AFCJ4exXXyRPZfi6GDNO2hIYup99P1uh+yHqSfgtQQMpvwTjOiMCk91Qm9WtNGX0Voo/647HmLh0meTOxZ31ebxvP5E0v6DDOHbtWtTBSTeLgqrmsumPBzLkz6VFLg90LHAmLLYvjRGfa1iyDSvJNVi5czHn9XwjyGEGjSiafqgP+FwGFsJHFntnIvKXhZDQZyXxnOxqXU+P2Rn/mrTqOWRcnJjn1pXZZ/Y95OH/H+Be/5x8FFN57H9Ow73hGdW+KoRJ45/Jo3wYW++9A1nQwri5DaVRehdMrZrPyYAINh7swpHMdMm7sYrnfTqR1BjDdrTPPdwghD6FstC+S85vZfllKG7vhdP+pPFpqCsTJ8TyOT0XXqjr1qpdHS55HnpC9rqWN5gcisxKNUnLI492d46zwXUOsVj0cJgyjYXk9ct8/5lDEes68t2DAuMkMbPb75Y5feyjkvH98iYMHD3L1aZqSVVdFWOwTHvLwRRqlqrTBfsRw+vT8GdXo7wOKR7o/M3VOXxIPhrN+6zHeUpkm7Xvh7NyQ+5tD2HxeQvdxTpjGRhB8MIGmg90Z18oKcdoTDoWHsu20mJ5ucxlZ/RXrA1bz0KgL7vP7k3dhL+vDz6HfciRj+zXESFsFaU4y8fHPScMK2wbliT+9mbVR12nkOA/nzlU/Aoq9t+UMGNaJxHMb2BRXnhkzptLUooCXD84QFryRJ6otmOc7EsXNHYSVFPLIe8dve9azOPQstYa5Mql3E7RyU7h1NIqAracw7+1B0Kg6XNsZxqbTGdjPXUCPGkakP79LVKAPO5/oM36uO22qGSLPSeT64ShWR92gieMSnJrksmHBTH5VacfcZS5UzYvnVNQqQnYn0me+H061UglbMI4d6a2YtWA6rcrrk/MuhkPhq9n7QI8pAYvpWUtI+is6PnooVhd5KOoVAoqthYDCLXAxbT8CCi8loAj17sPjCB8Whj+il98qRtTU4Nn1AyxfGE5ak6lEenflzY0bxElL81OdMmgjITn6NOv8lvCbWjcC100hd9s85u/IY9q2lXSwNELnAxNbUcjj1GoX3KOSsPdeiWPTCigkqdw7upklK8/TfpY/jo1e4znKB5Xuc5k9zFZJ0CaTZPEm9j6xuaVp17oRptrFQ4ZyslOfsmXJVAKum+CxeBZdqpsp1/qs+Pts9ZvDflkrQjf6UUv+/jNAUUsD8nOSORPuySjvrUjz9Kk+OZxznh0+mlH2LUCBgryMV0S4dSXwdTv8/WfS0FSV7NdXWeYxi4vl3DgTMhzN56eZOtqJGFsPQmb8gqlKPq9ubWWKWyimE3ez06k6r09684vLZhrPXs+c7rUQSXO4uXc+zoFPcQk/iNvPxp/G9VuAQqgey8pAoqqDgV4J1TBfrC8lU2+XlEMhuMbPejLCeRuy8o2oU9kY+dvHXDoXg6WDF2ELR2KtLeLRYT9GT1sOFVpTr6IB7x9d53K6OT6rwxjStCxqKlns9h3PrHWXqdKoPRX0JURfu8Tbcl2JDPWlYVltRJmxeLnYEXVblQYNbTGWJXLu0h2s+80k1HM4ZQ0EPod/5viKelv6nq2uI/A68Qzjmg2oUdoYjdxEYq7fJrNCb7wDPGhZ1RzV2ANfAwrg2VFPRkxezVX1lqwvAhQ6fwBQIH7N2oUTCT36nDLV6mGlncedW3fQamSHt6czjazNkb64wtyZUzj9TJ0qNjboil9z+eFbmttPY/aYXlib6RF3LoLZC/x5IS+HjbUF4lePuZWizegZCxjdrQmmArr/cPxvAQoNdTLjL7JqiS8X0msxzn08nRpWQPgAIzueyMB5rDiRTMex7ozt3Zyyev9MPs2fBxQCpnjDjpCFhB55QUv7KTgNaI3k6hrmL9vAvSxLatewQpqSQPTTJGp2H8M05848V+ZQCFUezjSQXybAbw3nXqhSvko5TLQVpL56wiu5JX0cp+DY3Za026e4HJNJpaZtaFq99A8nZcpzX/LrlpUErT9DhmFFqgmby7MY4pI1+HnkRCY59sRa//d5XkrKofjqTZVlcvnQGtYefUydXpOY0K2e0iv2vSqPMP8wHum0YOqi0Wjd2k/QwoUcfleJUTO8mN7XhFObQth8Lo/urq5UTzuGj89mYmSmNLAxI+9tPPfvPSBbtxYjpngxvo2UnUGLWHNVTqeRkxnazJQHe9cQciiOUtVsKGuihiT1Dc8Ts6jcYTQe43uQemETayNLBhR2LnZIr2zGa+UFjGrXpoqBnDdPH3H73nsqNB+Ip+8YtKP3s3734xJ4KKS8f3yBDf5L2HQ9iyp1amIqF/Po/i2e5RrQe4IXPiNqfQEojFGI33Hz2Hrm+0bxSr0aDWpboJL5nmePEhDV6sr0hZ600Yrj4Lp5zNz8iEr1mlLRMI+4RzFkqJrRf4ofY2qnsW7eKPwvaVD/pxpUMDQiL+k5cQn51B05nXnje2JVPLv3BwHFfnFr1gcOJedcBK5zA3mq1oA2tU1IfhfPi+dvMG0/iw0eLTi7aiH+B2KV0vWljKAgI5GEZ+8w6+hK0IzWPNvtjfPSA5h3Gofz6FH0rPuJ4KQwKXMyk0KeULFVecrqVkKj4D1xd56i0nAIS/zcqKfyjmOhHszb+ASrBvWpYCJCmp1CbGwM+q0nETLHkfJfsJvJ8jJ5fHQdUz0CeGBUg7b1K6MnF5MW94gHb1Xp77FaCU4UGV8DCsFDkvniIktdRxN4NgPbadu4OKf9HwAUgnMlj5jTYYyfthix+c/Ur2JMSuwdrqcaMjtgDU5tKlEgSeNoyHTcg49TsVFnKhtKeHz7JgmlfiZywyp+KqumDMn5u9kTekFC0xbNMZG95/KV2xh3mUrUMhdKFy8D+wagEMI7pzcGcsegC+Psmn4KkXxj+y0ZUKTcwGWMM6KBUQQMqlyM6jSPByfXE7p4LSdfZSMV6dJysBezx3ekirleoaaHNJkrB33w8z7A3RQpxmWaMWTOTEa1q4lBEbWzIvMBO8MWErLuNq/zNajcrCejPKbSt4ZpEZsk5Lw4zEpfP3acekVGgTEthjgydsJwmlhof5+2+C/EGiWJg+W8vc+u8E1s3nuGF2kZoKpFzabdGePqSLu6ldBWV0P6/CTTPcKxsvfAsX1NTLQLF2JFzksivFxY9cgKj7kedKlfDu0PgEL2mnXu07lr2R93hy6UN/08Ji5JvMSW0AAi993nVYY2tTv3x8HFkbbVLIqoVGW8e7iLdYFr2XfpBVlyK9oOG83o4b2oW9oQTWFDlqZy92wYqwN3cjEmFQ2z+vR0nsDIHs0ob1hYovvxKEhi78p5HMqozziHfthWKPXPEFuJpJzZOJvVp9JoO2wyA9vXp5QSTRQe4lcXCVrkyyPNnxjj7EAzG8u/jcHzj3gorkrr4uLhRJuaxsScDCP0xDNqdx7KgDb1iuLahXfJSjjNau8wolXq4TBxBM3LKDi7ZQNrt+wlXt2Kzr3bopH0Elmp+vQb1JrXRzdxJl6P7kPsaVNDj/jrvxK5aRMHLj4gJVtOmdqtGGDvSL8OtljpS7m2J5Rd11No0HskfVtU+6JstHhPFLy9vpu1ey6gXb8vDn3aYFYUssh7E8e5A5tZu/Mwd+Kz0DWvRye7EYwe3Ibq5t/P0ZC+ukp4xBaiNRoydtQIapREWCnL5vbJKLaejaNaRweGt6+uLIP+PUCRlXCFHeu3E6tlyyi3oZi/ukLUOn/OZdswfNIculVM59yeSPZdzaXNyIl0tcrm/J4NrIrYzr1kGaWq16d+VQs0EhMxazWK8SPqEHM0DN/le8G6DxOnjaWh3lsObwkj4tA5niWKMbSyoUO/0Yzo35GapRXc+XU32w/ep/aASdi3qkh+RgJn9m/n+AM5vceNpaY0hp2rgwk/cYV0dWMqNqhPTUN18rI1aO80lrJJF9l9PJaWDlPp08Ci2IAIFMm5vLx/iS1rVrPz3H2khhaUsS6LZn4eZZqNZIFTI6KP7WD35Uz6uLjSThnvV5CX9oabx3ewLnIHFx6lomlgTaM2A5kwvCsNGpRGQybh9YMrhC9fzp5bLynTrA2dfq7K66u3KddrOgMrJhHh48EJ8U80a5DBkc2nkRpVpPuwiYwd1FlJdPfZIcvj+Y1ThIduwfSXeTj3rK6sCrl0MIItl6SM9pzGT6W1yXobw8ENwZzMbYr3Qnv0Ul/x68ZVrAjbR3rpqnQd2BOTVzeI1uyI7+yeqLy6xa4N69gQ9RvvUUHHqjwt7cYxsV9PapjKefvsNL5zF3DuuSUD3ZYys1/Nj82SCM+P8iXkpAbt7QzZ57+VBLEWtp3tmebsQANrI6W7X5wSy/FNoazaeYLnyRK0jSxp1c8F5+E9qV2mJK5UBfk5SVw9tosNa3dxPjYBkUgdi7L16O0wilGDO2OiBvlZyVxYP4uVj2rhu3IyVYsAmFAK/PBoCJOX7cBoUBB7JrX4BCgkOTw6Gcr8TQlM8Pembbni75ZA2Z3ErWMBLPPZw+0kMLZqzBCPaYzsVB9jYSlUyCnIeMiBTYsJDrnOG4UWlRt2x2HOVAbUsihcxwUZjNe/EuK7lK2HX5GtVoqmfYczzs2JFmZf1IApZOTf30IX1w0MCzyLg0BBIyQ15L5n4zQ7jlu4EDK3H8V8VSXusiUDCrkMsTgHFQ1dtDW++CJRyJDmipXEIHIVVbS19dH4sj5NUYAkJ488mRyRmjY6uiWUc8rzEGdLKFAIhDM6aAmU2581UYE8PxdxbgFyRGjq6qApUC//w8e31EYVMinivDwl/bgKqmhqaqOuoaakVC0cCSm5uRJUNLTQVBMVE1ArpCgWF4CWphbqn2mQCMQ4YmQq6mhpCvocX/phBE57Cbm5+RTIVdHQ1kZLcG1/dppcSWaTJ5EiF+6j/eUzCidafq7gHpehqqalpPlWK0nATaGgQJJLASKlpHiJ5/xF4/EZsZWGOhJxFvmooamljbroC50WoV252eTJVdDQ0kZDsO9f1I7fu03JxFZLuJpXk9HTHWlXp7SSgz9fKsx7DdS/DDsIpEDiXPLlCtS1tZTtVkjzkeRJkKuooaGpgUIqzHdV5VwSuCukclBX10BNCcYVFOTnI5FIkAn3EOaWpkYh8ZyQ2pwvIV+mQKSugcZ33hW5tID8AimI1NEUiLGKdVwukyKR5JFfIEdVpIGmliYafzTEKJciyc9HJoyd0LYSB0aBrCD/k53UVJBJC3h9bQdrQ/aSVXPwV0mZAilRfn7RWiBobyj/L0GmEKGppYVIRY40Px+hS2oamqirqSD0MU+YvzJQVVdHU4iBSwuQoaFsmxBWE2wvU1FDS1O4RlXZDkleHgXKtUtdeW9h/gm2lxUINpMh0hDsIeQryCkoyEcqA3VNTdRUFEgL8skTxgcR6prqqKsK77sMVXUtREgpKJCjJjyruG6OIp/0xLe8SEhF01KQENBFJBfz7OZRwjcfRdR4NF7jO6KD8Hw5Gppan72LCrmMfEkeecJzVNXR0NJCszh5hNBOiQSJoIWhqYWGSEU5j1TUtciIu0SEz1xuGznh59cfQ7Gw/ojQ0tb5Rn6SArlUmB/5qArzT9AoUsiV/c6XKgrHQlUFQWSqID8PqUKEtrbADyRcV0CeWKIk3xLsLWihSFFDW6mlUvh7rli4RhgvNTS1tdEoWtyE++VLchAkj9Q1ddDSKPbOC8/PlyCRqqClpUZ+njDmisJ9pTDZ7+MhrNu5ucLvwtxWQ0tLRzlXfu8QmGAL8vLJFWymAmpqmmhqayL6sPAqCtf0PJkq2jrCOH84BIHIAsRiCahpK3lcirVE+Q4IYyb0s8S1VV6ARJyLRJi/alro6Gh82l+KbiSQ4eXm5Cn3USHUqa35+bsszFuh5FQslhaOq87v7KOyfLLEEjR09IuV0AprVg4FqppoC5pR31ln/5Uv/46B/pUv/wd26pKot/+Zx/7QU0qi3g6eMJc9DwqoP3goI/t0oF4Fcz7qwP3Q3f97T5ZLMol/eJMT+yPZfzyBSt3HMWtO/8+ot/9PW0eeyZ1jUfjMDSWjRjs6NKmGKOcNd65cIa7AmklzPenXtOzfApoFSudNPp7cMhxDYOAQivtN/k/b/N/O/S0W+BdQfMesL1++xNzcXPmF/ndLeP8tI/z/yU1LpN7+D2v7V4Ai7xEbPRaxbtc5Xpdvzczpbjh0a4Cuxj/hL/kPM87/oDkFaS85EbmCwHVRPJPUpP94V1xdu/EXyaH9D1r2T12qICvxMSd3rGL1prM8fpuOipYuZRq2YsioCQxtXQ+TD0Jof3GTkp9eY8dKXx4YDWa+Vz/M/+L7/3u7/y4LqEgkkt+VZ//vMsfnvRUAxJs3bzAxMfkXUPyNE0Gws+CGFECFvr4+6urf5nj8G5vx3VsLgCItLU2psaCrq4dCnkvK67ckpWaSr2VAaUsLTA10vnJLfvfG/9UnqChDD5mp73ifmKKULy9lYYG5ucHvJJX+3zSYNDeb5LdvSM7KRa6phYGZBaVLGaP1UeD6r++3TCImNektuaqlsCpjhNq/u8Ffb+T/ojuqJCQk/DuFfmfAhY1OU1MTVdXvRY/+i2bN39BVmUyG8E8AE4KtBR6A/8QjPz9f2T41NSEeqoKauhoiYW4o5MikMmRyuZLM9t/jByygooKqSISaSIiLK5TzQLDlf5UdBRuoqiISiQpzpxRC/F2mzNFScib8TYeKqqoyl0BVyI37b7P532TT/+bb/hvy+M7o/5tD8c+8Hv8/hjz+Gcv8+5R/LfCvBf61wP8fFvgXUPwLKP4jZuq/gOI/Yhj+bcS/FvjXAv9a4E9b4JuAQijhEUrZ1D7WfQmlMQXISnRFqxa5fouS0YQyHqlUWdqmoqqG+mdlk4VtVbrzpIXuPMHlpvZZ+WThOUL5WqEb7ov7F3VXKCWTyVWUbsKvKiz/tEk+v/BLD4XwTKFMTKRW5Jr8eLoCmdBnoeRP6bottIFCVbDh52WPwj2EUrZCF6+cAqGP33DxC/kFQvnah9LA4nYTqakh+rKkUll+JUMqlytd8spzviwJVRS1VWl8VWU7VEsqG1VS4n8YI9W/NSn1S0DxoZ8qqqKvx1co0xJsiyoiNdUSymv/osH/4jZfJmUqSwmFMZfJUagUhkFUhXEXbPaln/qDW1/1j85VBXKl7YVwwN/QR4VAKy2EZwrv/zGNVAjdCCEH4bciV7swB4VxUM7XP5BvKrRbuFT1s74W9kcQFSs+14VzhPdX4AkQniuUzAr//2peK+Sf2luSDYUQgdAngTJbVXg3/5458PldP4xR4Rr2+88stLcwL4Twztcl4f9Ee/+vPqNwHGRylPvQXzb0yn1MqNkU5v7nIe/C9UmOqnJ9Ldqr5CqFa0DxBhTdQ6EqQlm1XLQvfmskVNXUP5UUF+2jyqVcuP6b+6i0aJ34zj6qIrxbxff0L1shlEYLddfqf5p9uERAIZflEn/9OjmWDahdUb9ogDK4/+sVnudIvrKFQmFAzeaNqWKqi4qigKyUVzy++4S32QVoG5eleh0brIx1PjZSIc0l5VUc0dHPyZCqYVKmCtVrVKCUjlBJUXh7mSSDl0+e8DThHbkKXcrZ1KBKRQulhocQZxWO9JcPSUjRoFKtSuiVYOy/4vX5ElDkvHnArWf5VK5XCws9oRb5A7rJIe7OXeLlFjStVR5daSq3795DbFyD+lVKo/uxblpO+qtH3HqeR7VaNTDOT+DK/XhycgtKaK4CkZYB1es3prypHiJZNu+ex/H02WsyJGqYW1ehaqWyGAs8H8p2CPK0qSTEPOX562QkKvqUt6mGdTkz9ASuAaWimBRx2jtiHz7lVWoOIj1zKttUpayFIVpfcBcoFFJSnsfwVqxFWesyGOkK9eR/z/EloMhLf8XD27HIjMtQpVoFjIS5UfRoSVYiT27FIjGwpIpN2c9++3taVwRw5XKSk5PR1tZWJo8qZFnE34sm9uV7cvUsqVW9Kmaq6TyMieN9eu7nttLUxMSyPJUrVMDM4Bt158UbL8/jTdxT3ovVsapYEQvD4rR2/9NeKsjLTObNy0TQM8WqnEUhC6nw3uUkEfc0hthXKUoODOEQPgrMK9pQrUpljL/TDFlBDu/iX5At1cKysjWGAmOVMO3ys3mTEMvjZy/JzhM0FAr/bmBpTbXK1qimx/H4aTxZMiMqVLWhWjXLz4i5CnKSefsigQyJNhblKlDKRLfYoqdAKs4m6dUbEvNFmJYtTxmjogd/y1RygbtA4LVQQV3Jg/Djh1zo68sE3qYrKFutGhZ6304mFvgCUt694MXbHMwrV6fs9wz54835v3uFABSlUgrypajpaH+12QmkYEnxD4lN0qJWs1oY/ZnB/NJ6gt5MThqxDx+Rb1adOtamn/gl5FKyk55xPTqJMnUaUsVYhcS4m9x7L6JmfVvKFokuClpXBeJkHtx8SI55LZqWVyX69m3ik8Qlgk8hn8W8ii221a1QkxeQnfKaJ/ef8DarAC1DK2yEfdREt4jYsZAMLfXNc6LvPyNDpoaJVSWq16xEKd0PzMEKBIrvV7GPiXn2llwVPcpUrY5N5dJKna3PDwX5eWnEXL6HTv02VCrGyv0jE+srQCHNyyE+Zh+z7CejM+ECG8ZUL/p6vcNU24FEvkz9mCQkbOy52enkKmqz5Pgu3FpVRpZ4i7X+c1kReYu0AikaOpY0GT0DH+cBVDHRQhUZSfe2sWjJSnafiUMik2NYrjbd3Bbj1f8njLRFqMgkPDi6lDk+u7jyJBGpVIUyTToz2mMeDs2t0RPlkJGRy43tfuy8b46jux3WBmaYGGp880v7R4xS/NwvAUVs1ESGrHqP29ogetUozUf6d+lTfB1HEyruzrFAJypmncVhzAQuq/dj9UoP2lS3RFO560u4EeGO3ar3zF+2iBbpEQz13ELM6wyl2FpudjZSVU10tAVSIBU0S1fHzT8ch58rkH5zPT7+ERy7Gk9OngzTGj8xwHUWYzvZYmWggUKSxqW9fixbtZ/rT5PIl6pTqU1fXKZMolejShhpqpKfHM2uDf6s3HSGZ4lZiLRNqdPPCY/xQ/mpsjmaRQhJIFVKT7pL+NI5XCxoh9vUUTStava3MVJ+CSiyn58nyGM+RxKtGTPbjV9aVcdAEJuTZnN1rz9Lg36jfI8JTHLsRFUz7T87vD903Vdlo7n3WDl+BsHbzpNSoxtLPd34WXQRT58QTj1I/Yx8R6GqgpF1PXo4TMKpX0dqmmn/7iamyH/Ldt9FHH5mxOAJE+jW0OqH2vrNkxVyJLnJXD2xkYgd16jQdhSOw7phVQQU0u7tZdnSJaw7FoNcVLgwqWjo0Wa4O9MmO9P0m7WcArtfDnH3jxK+JoK0Up0Y6zYR2yLl6/x3d4latQjf8KO8zRWIqApbWL2zI67jHdG6uRaf4LU8SK/KQNdZeHr2o2yxTqTHnCUieCk7r+XSznEqI+17Y6374esjg8eXjrI2IJw7oto4uM9iWOPf5/TLT33H08v3SFExoV63RhTTmfzDdpakPePI5ggO3yzAzsONDtVLogUtAmq57zi7cwMb9jyly/SFDGtRvHd/+JH/lScKBIdJ0fe4efU9dR26UVbzc7KqvNQETqxyZ9kpSwJ+DaLR5z//OZsJaqNPL+I9bTpJHbxZNbk9H7g0FfkZxJwKpMfkXxm5cgvTflLnuO8A7DfmMHlZGHMGNShcRxX5pCacYqLdDJ51WMbx8Tp4Oo9ny8X3yo8/gYBQWMe19fWUIplq2vo0HxfE+pndUU+6R2TwHAIibpMqkaKha8lPDq54TbCntqlAyiYh8cEBlvn4EXU8DqmqCoZla9PZ1YslQ1pioK6CPD+bJ6cD8VgcxaWHSQI7FqXrt2Wk5xIm/FyRj3Iogl5HdirXTgcye/IWftn+nKlN/5zZigEKOeK0DG6fisTHJ5Dj9xIYsu4h64dXLXLPZRJ96jJxAuuXsMioqKKal8jO4Jmc1xxOxMalNLeScWr5GOwDrtF7/HT6NDAn7twWlm3+jQE+h1g6tB7qubEsGmvPyjt6THadiK1pDqeigthyRx2frYcYbGuCyvPD9B3gTLxFJ1xG9KasLI51gb48M+/L2rVLaaxzj2XzI7nx/g2SHCO0SkGZ1hNYONgWA+2/YjZ9MuaXgCJu+xSGBCcxba0fPYrLl8viCBg1mpWSbhz1H4N19gVGOU3m0M0sfnYJJmhKb6zNdFBRkXArwoPBoe+Y5b2QvlWk3Ih+TnZuASryJPYGBfC0VAeG9f8ZSx011LQNsGnQmDKSe7hPmMLptHLY2fWnrlEWBzev4nKODXN8ltKzkTW5NyIYPnkZORXaYterLaWyo9kQtglp3REs9hxHwwp6XIlYwJTAY1i3HkDfltXJiD7Oum1nqTdiCZ6ju2FtqkW+WMyr6MuEhwQRcfg85t1mEDTXiaaViqH0PzffvnnV1zkUcuKvbWfeXH/iKvZhgesYWlcxJunOTmZ5rSWzem/cXYbRqILpd9nb/qqmlkRsFTTBiyPPtWk3ZiT2HeuTc3kD8zadR79GR7o0qYqOqkwZDhEnPedQ1A7ui8szYe50hnSqh86HOgYhpFDUyI/hAOk7dvov5vBzQRxsAt0aFO7kwu8fzlGGIorHIITfCl/OEsGKEMbMev+Cswe3sTosgvviUoycPpeJg7tgqQQUCuJOb8JvzV5yyjalR5s6aAtxD1U1LIo8FEYleCgEJkFJRgp3zh9j/ZpQjtxMoPmIGcyZPol6RZILaU/Ps3blGq6lmdCpe3vK6IqU7n9Dy4pUq2KNamY8l49GsW3XHUzbOuLxRDvffAAAIABJREFUBbFVRuxZwpYtJOhgNGU7j2TK5Bn0r2+s7GfB+2j2b/FnaegBRFUHMGXBIgY3LNzcv2Wv5PsnCA/eSJx5VzwW2VOhGOuh8hqlGb9h38IbK78QE9+84F2GgjJVqmKu9FAUjs9n4SIVFWS57zi3J5zwA09L0PL4NEO/bO+HX4S2FA8VFaqhfmrf59cJ4ckPV37elsK/fvibcH2hjZTT5oO9itb3b4e3Pl3/ob8lteXLvxVOzU/ug+LzuGiwCm33he3z01/z2yYffPbKmH0wkJb6n2v3CIDiVOgMfE+UIeDUcmxFheG6r8bvQ9/ln96Tb4aePsiXu88mpd3Cz+TLBUAhyJf3nXyKISFRTG+izonlQ+i77AblWwxhxUpvutoYoKLIJ+3Fr7jauRPTyY/zs5sQfeMmz5PEqKnkE3thJ2sOvWWQmwtNSusglymwsGmEbXldfls/jaHeZ+g0yo2+jSxJuLyLFVvO02n2NvydfkKeEcdKt9F4n5cycfo0mpjmcHb3GjZdErNw66+MaapPdtwpRg0Zw03tNsyYMBir/KdErFrOTfV2RGwPo0VpkZLJM/3NS45vXcmyFeFEZ+vid/IVLg3/3KpZDFCksHmMO15XHtGklS1Pzu2mputpNo6q/nUMXjkn80n41Z9+U05iF7QG1zaVEWU8wr1XS243DiLC247Sgps97yl+Iwfhlz+M6C0uqN4Lo/9QX+ot3suSX+qipa5K/quj2HdzIXVQGHvcWhK/aSgD/FOZvXMrdrVLKdHbi1OL6e58hAH+EUzrbMW7U3vx9VnE7hcW9LUbxfDxPWhaxuijFsifM8fXV/15QHGOUWOX80ZDzMtkE9x8VmDXsiqGmgUfAYXH0oUMaF5cvvwNAY7DuF5mFIsn98Ha4iMm5tm+WYxedJlO8wIY07GeUtsi+fZGRrpspNyQucwe2pzoVQNZfN6UCYvm0cO2ArqiXK5FzMU5/C1Oc+YyqIEqYVOGc163NzPdR9O4YinUJAlsnD2FwPhaBCxwpnVNE25HRrA0bDvJJlZoix+RV2kgC91G0qyy2T+j5aH5QT8gm8sRXsxfcYLqdl6MaWNEVOAyTmbZ4O45kZ4NrX9Hr+KvmgGf7lMy9fZSrsvq4zJzNK1qGHJ//3KWHSiULx/ZRZAv/3C9nPhTa5i3/gRWnZyYaNcJPXESmRIVDI1N0NdWRyHLIzU5FYmKNsZ6uRxcsZTDzw2LAIUlUomYtNRU0jKyKJCJ0DMywcTUGF1NoexPjjg9mTSxFB2jUiWGp1Jj77Jl5Rq2XY/HyEqdXKkaP/VwZNLQbkWAIotrUaEEHUyg8YAxOPeoUZSHI+TYfEF/Xsy8BVmvObZhIyu3nYeyBsjzMjCt24uZri7UU3ooZLy8doDAtUdQ2PRk+tgumGhRlCvxiUI58dZOVgdtI7WaHdNnD/jMQ5ERe4YN/ms4dPs9xrWq07jVMCYMa46eioyXt35l37YtnLrxEixtsZviweDGJkjzc0hLSyI1TYxUpoqmtgEm5qXQ11Th+aVdrA7cwEvL7rh5DqNeKRO0RDKy0lNJSUtHLFGgpWtAKTNT9HU1UUOGODuD9Iwc5Coq5OfkItI0xMBAXZlTpWtoiLZIQV5uOskpKWRm5aOiqoGugQmmZkZoyZK/AyiEL1YxaSlJpGRkIxeojgXafBSIdIwxM9YiLzudtCwJIhUZ2dlS9AzNMTfTQSrOJC0lmcycfGRq6ugbmmJmYoSWhgoFeTmkJaci1TLG0lRfmeMj0NqnJGegbmSBsaaMjJRExApd9LUKSE5KR6qijrGxGSalDL+m3xZCAblZpKZlINIxQCH0N0OCjn4pLMyNUJXmkPT+PZl5CnQMTLGwMEFTRUq2cm6qYF7aAm2Bar0gj/TkRHJU9CljaYRKQR5ZyYkkpWUjQaDQ1sPM3AI9HTWy3jxmb7AnIac1mRK+iE7W5SlVLLz0CVBY4rvXk3IpSWTkK9DTN8HMwvSjp1AhKyAnM43EpBTEBQrUNfUxtTTDSPeTx+zjtP4BQDGtiTon/Uczacs7rKzyKdd2Pqvm9MZEVPAJUHT04/KCYvLlkmzlWuGyIoZ5EWvpaP1hrZcjTo7Fb3hrfi3vReQKJ8qpy5FkxbJ+2hgWv+rI1d3u6DzcxegRMzFz3c0Kx8ZoCKHsl2dw6T+e+x1WcdmrNY+3TmbAvDtM3X+cMXWNlODh3ZVVdBkURruggwT8UgFJWjQL+rqxJU+N7s0s2H/wIu5bY5hUTNn8R1bSYoDiJVFTtiDv04+hdZIY1K0volFniBxdowRAoUDy9gxjuzny7uflbPHvQyl1VbLj9zGwmxcNF2/Fs5eNkjNeOK6HDMN+nRZbfwtG89B8Bvi8IHBHCO0qGxfFg3JY79CCsAJn9q8ZzPmZvzD3dUeOb5pEWf1CZdGC5JtM6jMS7FbiO7oF2fe3ErzmNtrqb3hZpgternaU1vvrVUj/J4DCwSmYMvYDyV2/kZgav+Dl5YhtWV3uby70UHwNKL4lX57HGb+JzDpvgo+fK82rlVaGHuQ5cXg7jSGm0ig8JzTn2CwXThj0YanbIGqWK3Tipt7dxRT3jVQf7cGQhrn4TglCt/MEJg5uS7ki4Z/722Yzbf07HBbPpGdjSx5uPcyDPCPada7E2XWz2JHShJmTHWhe5Z8GFIK66BNCPeaw/WoOpQwLeJteFnuvKdh1rovx7wtf/sh78IfO/UNqo/uW470vmro9HbHv0Ah9VeX3FgqZmAcH1hCw9za1+jkzfkB9LocsYHe0Lv2dnOnVpBz5SXcJ9Q3mkUZ9HJy6kqBUG9VXAoouNdW5e2ova9dt5MjVR6Tn6mDzczdGTHTil5b1Ka2Rx8UofyIvJdHEbjx2bWryeSBITlLMPS6de4RmlZqUFd1k7ZaT6DQehqt9EaAoeMuh9f5s+S2Luq17Ud9CSr6aNuUr21C5Qmn0vsHln5eRwNUjV3mHBQ3rSdm7cT131JrhPmViIaBQ5HL/VAShURdQq9yJjvUtKZDnY16uElUqW2OqXxgX/57a6IbA9VxLUcGqkj5q2o1xnDSSqtppXD28l4NnbpIsySVbYky38bOwq63Kgyt7CVkXwoGzTxHnaGJeqQEDJrnQt5EJ54O88Nt8hhTt0jTv64TnDCeqSe4RtTaEzccu8iIZLKs0pO+48Yzo35kahrlcOxZJyLpdJEk1SIlJoWyTvrSslcOtGCmDZ3jQyiSZk/vWEBi+nduPMlFTN6J6s+6MnT6RvrYm3Nwfzvr9JXsoZHlpPLx4iFXLV7D70mMUQm5LWUtKaWpRvfcUFjrU5caBcEK2X0BTlse9WBHdR3niNrIcN7avY93m3dyMSyVfz4RaLfoxzsmZX9qVJ/nBadb4reB1LWdWzOyGrjybhxf2ELB8BxVG+DC2djqbvT04ll6PJlUT2BF+liwNM1p1ccBZEJGqYf65GGOBmJhrRwgOXYdKjdbk3trNrtPvsWnUh6nuwzBNOYO3z2quvyjApsUAZi6eS2fLLE5E+BF6WYcFIQtpYqZBWsI9In3mcEzUl00Bg8iPPsG6RUuJOP6YFFV1LMvUYbDzdEbaNSRhfxCuU/y4J9bAsnYrnBevZla3ih/fWSWgWDODRbtU6D3ShKMBO4nOAJs6nRk/ezZ929mgSz6pz68TtTKY1fvO8CpNjqF5TfpMmozzsF7U+DLn5kcARWM1TgaMZcGt8oz8WZPI1Xew37uFsfWMyPzgofgSUHxLvlxRQPrL0zj3noGpWyTB9rWV/ZRJcri9bQ5jgt4RcHIdVtdWYD/rCtMjNzGglpHynILcDHa5d8E7YQAnd47l2gJ7Jl+rzbkjCymrTO9RkJ8Rg0fPzrzsHE7UrNZI024SNvs8NtNG0Cp7J3X6L8N5yzNcm/yhJfGrk35Ivvzj1QoxR6b3Z9wpXVbu3kiPSrrKJJO0R+vo0mkT/SO249ra6qO3IHbHWPq4vSfw0Ub0ItwZuFGNXbuX0bDsp8Sq/dMasODuIHbsGc6vDgPwN3TkctBQjPUKv1YVmc/w/KUjz1oHssKtC6IXT4iWl6OxcSxnHkHdn+piofN98ZIfNdP/BFCMHBNI5Yl+9NK/wtxlB2jsMJcJvW15tWf2DwKKVPbOmMCi+DqsWzqGBpXMCl3akiRCJ/TnrI4dc6Y3YbfLLG7XHoX3xB5UtyxEvOK447iP80HffibDGqWxcPJWKttPw7nfT1jpF4aHEo4tYKLXXbr7LmDQz8WSmv635Ms/eigKRyv5wW7mTJnHtpvZ9JvhjYdjL6p8ocT6o+P6Z87/I4Ai+lAQc1buJ0PXhobVSqOhKhNStMlNe82VS7cRlWnD9NkT6dLMkCMBC9j98I8AinHUk5zAy3s1V7OtaNHMlnJaeTy+fo0krRo4uEykd3Nr3kdf494LMWVq2VK7ounv5LvIeXlhE74Rx9FtOvwjoFCkPWHzqiWs2nOD9Bw1ctPfIlbTo1Ld9jiMc6J/14aYfQy8lmzBEuXLC9K5tGcVviFbufdGDdXcFNKkMkzL2/LL8LE4DulEFRPN7wKK9YEbuFdgRXUbTZLeaNNrnAtNjd5yIHILV1/kUMpAzuNnCjq7zKat6nXWLQvk7HsDGrVqiIkohac3rhCbW4l+LuOok3mM4OCtvDBqxjDXMXQuK+PcFh+CT6dRr3Vb6pprkhR7n4cv8mlu78qUwQ15cmQNXvODeG3akm4dOtLYtjzix6c5ckuK/YwJmMfsJ2BxJOmVWtC0riUFSU+4df0RKjUHs8CzP5m/bWbd3pivQx4KCQm3jhC0aBGH3pnStn0LzAtSuX7uJNeTNOg9aRHLRtbh5vYA5vnvRtWmO706taZx4xooHm5m7rL9ULUjHZqVg5QEbl+4znvz1ngs96RRzg3W+AV9E1CMq5NO2FxHAs+KsG1Zk/o1ayNLfMRv5++h18mFwHnjqGFULIFPmkvs1QMsnDuDm/KGtLC1oRRZ3Lp0jviCUlhbVaRqjQqoZ0Zz7OIjKvZYyOapDbgQ4cfqEgDFcVFf1sxpy/mg2SzZ84JWA7tSTlvG22e3uBIrZtD8dQzQv8eKBXPYfkeXXm7ODOrWk58rf8p6yUt7wamQiUxY/gCrxjVo2KwhltJUrh8/wSP9FniHrqRLqXccCBzDlK3JtOzdgwbmOkrPx8XLcTQes5iFjm0/5cMJU/sHAcUJfycW3rVlzQo7jnmN4WhBb8JCxmOWfB5Xu+nE/FFAIZeQ9Gw39h2CsA3ZxdJu5ZQvmiDwFXt4CSPcruL2WxRVLvgyePF7VuxfS4eKhXFIaV42p727MvVwS/ZcmML1iUPwSO3Jwx2T0FN+fAlJ+4ksH1Cfs1VWsj2436fcoW/Il//oOvmnAIU8+TSDujqS0m0Dxzxbf1Q2THu8nq4dN9BPABStynx0lz3dPpY+094T/GhTIaAIV2XnHr/PAYVbAxbeKwQUpxwG4m/gwOVg+88AxZy+nYhvE0CQWxdK6XweR/vRjv/R80sGFMlMW7usxByKVZLuHPEfjXX2OUaODqD8xCCmdjHixFIXfG9UwDdgGsY3ghm+5h0zvwp5fMtDkca+GRNYGF/7K0AR4tyf87p2eE5vym4XD27XdmDpxJ4fAUVO7DHcxy/DyH4m9gKgcN1K5SFTGd9fABSFWenxxxYwyesePXy9GPifBigU0v/H3llAVbVt//9DNwgWWIjd3d2K3QWKoFiolCgoiIBKNwoqBtiF2N3djdiBgIjSDeec/9gHUKxb7777e+//3GPcMe6QfdZee6619/rsOeeaX5IfH2OZlQs7rqXRz3oJ9jOG0UBPcN/+s8cfAYrHh0NYuGwlZ2JSUVFSkCYY52TnUKCiRcuhRtiYT8ewVT00lFOJ/hFQeAfxWKGsh0LIoRhB5sm1rDmfRv/J0xnXpYF0V8aHe8dZu/M0Ki1HMNN4MAZaf9QiPwaK3PhbbF7lw6bbaTTvN4K+zWqQ/+waO7fv413VvixYYMOAuipkZ+VSJGx/lFdARU0DNeUvKog/Agpx9gfObg/Af+dplFoOZVTP1mimv+bk7m2c+liJSfOXYjOwEcm3drEqcDtp9cd/pzYqhDzC/dbxTLk5fbppcfNsLLX6T2VwtXi2bD1Eum4rGim+5OilNPrPc2RozTyePnhNKhqoqYmJu3+cA3u3cTOpBlPs3TBt+I7IwA28qjwaR7eBvDsYideqA6j3mIK9cS/KKciQk/iYA7u2cy3LgFnzp6FwcwMB/gepYbIU+6k9UE19zqHN4UTdFmFkb0sblTQe30tCUr4isrkJ3D2zg11HzyGuORF3z8lIbu1i7Z4n3wGFJDuOk9tWsTziIYYLl2EzuDnyuancO7aJ5WF7UOpjS6B5C25sDiJo2xP6uwVg0bMWaU9vsNHHmxMpdXH2XUwnfTXEeSncPrQJz4D91ByzhNndxWz08SXupx6KFNa7WbAvox/LfJzoVU+L7A8vORTuw+qjGUzz82ZCmzKZuAJQXN7L8iUuZPf0xM9+ODqZrzmyegWeW58z0j8U6351SH99k7AVbpwXDSDcczD3fggUThyTG06YQwcOLl+M3xEREx1nMr5TLZQURLx5n0oFg5bUU/3ExQgXPPaqsuxQIO3Uvp7neSlvORk6F4dtWcwM3oJ5T13k8jKIORmJ/eJIGlv4Mbf7R6yNHMkfvJDAGf1Qk5WQn/6B81sDWPO0Cn7+rrSpXKbd3wOK08GMmHcCo1VbsW0rz3E/c1zvtSJi23zK31jFGIttNLYMxcUwk4WjbYj9o0AhEYAiCuM+/rQK2Y37oBqfgeKZFCius+DiFmpd8GbC8vffA4W7ITaHu7L3gg035k3E/uNAYnZZfQUU3qNbcqGuABQj0Sx9hf7fAYWYN9GODLO8hsPZKEbX1PqcsZ32NILB/cIYvGY7tr1rlACFhMebzRm9JIPQ++GobXdgTFghm/b40aGGeslvReye1wbPF8bs2m7M2Zlj8JA14mLoFCqUeCjEaU+wHzGEpH6B+Fn2kQLFP3F8BxTbrZkY/JH5a70Z3ED3C9UKSZlTpxEuGka0l6l0l4cUKCx8sRnSAtW3h5g52x6lfq4M0TjHgq0pOKxw/SaH4mdAkc5Bpzm4xNZjlccMWteuJF1MJbnvCZk9nivlJuI4vwP7LRdwtc4kVlgOo5GeutQ8mU8PscAikAqTBQ9FOsutIqg21hqLMZ2oIt3eJOHFQRcsPWIZ4enMmE4N0SzNm/o/91AILrobBM9ZzvEXSqiXT+D+Rx1M5y/CfFBbKir/szGPPwIUD/f5snzXfer3ncrkfi2Qe32eraGrOfZWh2EWlhgPbkNFFaHuwkcpUOyOUWeMNORRjfzke6zxDuaxfHOmCCGP3cEceqHNOLM+JB5Yjdeqw3xEASHJXVrmQlJInliXQVNtsLcaT1O90jjs7z0ZP/FQiArIyc6iAAVUVNVRFmSdxRmc2+hL2M4XdBw/hgr5l/D1387L9xlo1WmHqdUiLEb3oEJJsuYPPRRC0mZuFrkFYhRUNVCVyqUX8ezsVgK89yDbwRh7pzHI/S5QhPNUsyPGE+txbdNB0ip1opN+GmcvPKLhcGP04g6y6UQGAy0dGVs3g+Nb1uC7ei8v8xVQlpWQnZ6CnG4HLBa7MqnuW9YHruO13micXPrwavcanBxWcidFhIaqnBSYimvEqFCv41gcl8+k/NujrI24SmszZ2YPrEt+WaBYuJBWklg2B3ux9shDCpTUUSjMIj1bQt0epngsn4To1s4fAoUo6QFRG/0JiynPEndvuks39BQS9+Ak4aGRvNcfx/IZLbixK5yNJ9OZ5OzK4EaqvLl7jNVBm/jUcCq+NgNKFg1IfnyRyEBv7lQai/Woahz09eZNIwuC7Q2LQx4X9+Lvs6M45NE4lUhPJ25pmeNfqjZakE7s2T34hO6npukK7Ic2+uLtKsrl6aV9+HuEUmVyEPYTmiNOfcupbSGEnSjANnA53WuokR4Xw85AF6KzurFq2SDuSoFCrSTkoVAS8nDiqPxwNnoM5/3JCBYsW8W158mIRHJoV2zOkKlmTDUbSn3FNM5vcMFjnzLLDgfRWe3r5/5LDkUVAk/60VJwvEpEpLy5y1onW27WNGfxoHzmDrXidqEK2iqyUvlyIT9UXATq+oMJ3urDoPpl9kqWAIXngkV87L2MkLk9UC15rMQF6Tw/Hcxoq1MYh23DsqVMMVDcbcXGXUupnZfEIT9Tlp7RYbmLEfuX2BPT3YvLbmVyKH4a8ijg46v9TOnnSWPfnXgOMygGioIcYve7Ybr4AYvPR1Lzki/GLq/w3BOOYZ3inhXlZXDMdRD253qz/9Q8bsw3YsHb3tzZO78kPCyhMCsB95Htud48lO3eQyheJaRFn8i/uYomRv5Y/KMhD/FHIq3G4ZowhAuRc9FV/ZJUlf/+CjMGGyM/NZyAqd1QV5RDXJTB3iXjmX+9JWf2L0H2UiBjrA5htiECk9b6KMvJUJT/hCXDRnKlsSv73IZyO2A0s49UIXyPB+0qaiEvIyblWRSTx3nSdP4aHEc1Q03pn1lMvgWKhAOLGL7iIVN8/DFqZ4CWdD+vRBqLcjGfzYOG9gRbGaL76XgJUPhgM6QlFVVzuOC1EPtNz9FvIeZCbAWW+y5nVMeySZk/Awq4E2GDVUQys7yXMLhlHdRlITvpPHZTXRB1t2SRWTeueJiwMaklixbPpGM9XRQQ8/zMKiw9zmNouZjxrcQEWi/kfVNjbKeOpL6uBogyORG8ALczyji4WtGnuT6fd/D/HwNFUc4HjqxZjPe+F/ScugyTlllscHfibF4X5tvNZUAb/c/bXH9vCf07/v5HgcIjujgp08ywPVrykPL8HKErXDmSoM/U+XaM69kAVdkUon2WsuO2AiNnz2VkVwNy390gZHkILzTaYG5hyGshh0IKFH1JOrSW1XsfoV6jJpU15BGK3chIJUR0aN5rEKNHdKdOxX8FKCRkJb/lcUwCsuWq0qBhNdQUZRGLCri9K4Dw6BgaDzeisdZb9u45S2JqDmpVG9Bv+HiGdGmKZsmk+RFQCHvxX8S8ICVPnTpN61JRKE4hLiL+6i5CQ6PJazaO+XYjkfkDQPFEowuz53Tm3sb1nH2bTeUKWhQV6jPKcgRpx1ex6Uwug+ZZUe/9Pvz9tpJRqxODhw6jdW1dks7vYuP2h7SdZ49JvXesD1zPa71RLHHpy+s9a1nuuYOP5Qyop6eGWKiSJN32oEqVuh0ZadwbmWeHWBd5jdZTlzK7f53PQLH3jpjxFmMpuLAOvw13aTJhMn07d6WOYhqnNm/kTLwett5myPwMKD4+Zl9kIMHXFLFy9WZIPSVkJHm8un2EVaGbSa03Cc9SoDiTwSQnFwY3VOPdg9OsDljHW73R+C4eQwUVWYSiee/unGadfyBv65tiNbQCUSs8eFFnOkFuI9ESpXPvxA58ffbT0MKT6Y1TifB04JqaCb4BZtSQl0Wc84m7R7bit/4MLSw9se5X90sydlEOTy/tJ8AjFN3JQThMaI4o5Q2ntgUTeqaI+f7L6VFdAIqHbPN3ZX9Od0KXD+LuBi9CTsrhtM6LblUUSX52i/WuzpzVGkNksAmaeVl8eP+EU9FRHLnwhOxP73gal0zVvgtZ7zGI5xuXsiJapRgoiv33n49ioLDD/ag2XkdW0klNIO5Ckh5fJWixA3FtrFjQPwubsU4k12pHM10lCqRAIeinKKJergVGdqZ0q1mciyA9JIWkvrqBn70dD5rMZ439UCopCteVIMpK5v6+ZcwIeceCDbsZopf8FVA0ks/nw+OjLB7tyPPmTVF6+YhcQ2/Ou/T73LxQH+JetAcWQS9w3BzOoFolS7tEROb7uzhOGM8Hw2DC5/dH4KeC7BSOBs9jwdEKRB3wQuNeBGZz1jMgYCtW3WshJyMkZT/Ff+p4oivM52LwKG6EzmBqhIjwk+vooqOMjKSI9PiTmBpaUsFqO2umtvxyv/9XQCFJuYv12HHEGYayyaoHqmUriOUmEmbRh2WvOhASsJSu1dVIe7IP29n2vO8fzgmXgajHH8PEeCaxzeaxevEk9NVkiTnizkynaLqvOIH3KANyzy6l5+xttJrri/PYjmjJpbPPfyYux1RYunoTE1qW4x/iCb4FisK4fYwdsoDU1mNxsDKlZZVyKIizeLwzhAW+R+nqEc78Ia3QfHuIKeaCh6IUKOQg4ylu1iaERt0hWW8A61b7MaqDAWoKJS6Bojd4TzHhejVTPKxHUbvyZ34k68YaJtmshG4zcTAdTG1tCZe2LGXptjeMsAtg1oAmJEdbYRpyh44mdswc2I4KkjgivBaw6W1DnJztMWykxP4V5njfUGXKPBtpbQpR3Bm8li7jUQ1zAhYY0Uq/zEP1fwgUwo6H+wdW4uyxB+Uhc1hsPpymlRR5HrUSO89tyLY1xt5yAq3qlP/LVd3+LGT8MaDwwWPvE1qPmIXZoGKgEHY5vDu1FWfPcJLqDMHO0owu9VQ4F2qP355YmhtbM2VwK5LPrMPdLxr59pNZZNufVzuDOPRcCHmMRXIpkk2nM+k41oyRPeqgriQmM/4BV+6/Q1W/NV1a10dDtoD8QjHyikooKnwB/e/v84uHQrX9ZKxLkjI/3D9J8Ap/7hXVx9RqJt0aa5P+/Arbw8O5mt+IKXOtGdm68m+arejVWfxDQrmj1EWalNmiIuR9fMoOf292XEyl72xrxvZpiFzKC05tD2P7rQJ6mNoxb1gzPv0eUPiG81i9MzbOY0g5vJHV6wTvQ226Dh2LpUUL7kasYtOFfAbNnE6FZ5H47n9Nh4n2WPWuQsq7W2wPCyLqmgLjFrgwpUEc4f4reaQ9gIWuExFdiiY87CjybU2wMO5CJQ0ZCjLe8ej+PeKKatCjZxMSz21izZYbtJnqzOz+XzwUe2+LGTOpL0ln17P+ZU0W2dvRWTeLpzf2E+AbSUKEPsYWAAAgAElEQVS5gSz3NEF8ayfhu5/Qz8aNSR2qflm7Cj5ybd86lvtFozd6LrbG/dHKfs/FnWvw33WJ2kbO+Js15brgoTidzqQlrgxuqE3G24fsDFpG5A0RJotdGN5Wj8LUd5zdGc7Kfc8ZMNcD85bphLvN53B+Vxy9HGhU8IR9a9xZfSIfI1c/zBunsNZlGpGJbVnoupihjSuS+vYe20JCOByvz1L/pfRrUOadUMZDIQDFojJAsep0EfMDltNTeO/HPWS7v4sUKMI8RvB0iwdL196kz7L1WLRWIub0ZpZ7bKWo2yK2uHXnwdFj3BPXZ3y/ZqjL5ZPy7CIb3ZdwXNwfvzU25O9YwpKd2dhuX80APS1UyhRmEkIeJ0ItsNn4hmHOwdgObIpsVjKXt4fgEhnDhGVBmDR7h4uZM5ldF7F0ZhfKqwpJjKm8uH2Oa6nVGTuyN1W+CqWIyU59xU5vW5YfyGamxwomd6qDQlE+aQ8vsNLNlcvlh7Nmixt1c5O+AorGikLbGVyLcmfaAn8SMrVpYbeJ8059vgKKu9EezPkWKJCQn5nIjkVDWHynET5By+irr8LHp8dwtnPkRRsPjvuNQfHNBezMzbhY1ZwNK2air5jP41PBWDpuoonTaTYa6/PxfACDpodQc2YQvqbdUClM4fhqK+y2ZrB40zFmty2Ttv0zoJCIycvJolBGGfUyxQV/9hL4cQ5F8gXGDRmDzNQzbJn69bbR3OcHmTJ0PgbLo1g2rCHy39SbfXsxHPNZC3haUJNqFVTJSHjF24pd2LQ+BMNGFZCTlXA2zJxZK6KQK98AHWUR8W/eIO5qwcnQBRhoKyNb+IlQ636s2JdMpSo1UBVnEvsujU5zfNloOxRtld+pgvdnV4rfOP87cTBxJgecJmO76QYF5SqjK1Q9LMrgw6t4yvc0J8DDjlb65ZE83YfZDH+qzyoDFMD7875Mnu7DeflOrA31lgKF6ldAYcrNaia4W4+iVhmgQJRFlLcprhuuIVbVRUNexNvEjxiMsGGV/WQaV9Wm8GMsvvamRJ77gKpWJRQK0niVrcxoK1ccjPtQTVuFhNt7cFzkzKVXEsqV06IwNZF4jSY4u7lh1KspWmXDCPmJbFoxh+2pHbCfN+Wf2+WhqEjqs2N4OXkRo9YH6/lT6dKocrHbtSiFo2uccN72iI6TFmI1tjf65f5apcM/O03+CFA82ueDR/RTWo2YhenAdpQrLYsiyuRouCO+W27RbIw9cycbIvdgI05uwZx6UoBe1fIoyktIT8un+UBTLGf249WuYA4/02TczNl0VLlPwHI/dlx5h1L5cqgpSshOSUai2wozaztM+jfmzakdHL6TSpO+I+jXpialm29/BhTem44jAIWVkWHxtlHJBy5tW423zw4eZitQQahJkpxMhkJtxlgtwMqkN5V/59ETgCJgZRh3lDpjJwCFtA5FHi+u7CXIPYjDD9LR1C2HQnYaHzJVaT9uBotsJ9G0ovJvJ2U+O8s6/7U8Vu2E1bIZqN8/TKDrEva+r8msxe7YGapzNDKUTecFD4UNTdNP4L00mHOJhejpaVKUmUZi4nvky7dkipUABLLsDnDG/XASHcZZMX90S94fW4Pb6jPkSbfdylGUnU62jBZdJ1hiP6uv1C2/dstNWpstYfaAuuSnPOfglnVE3xYxwcoYmauROLrsJKOyLhVVZMj4+IGEhALqdR2Ho9d01B4fYMPuWPrZuGJcBiiEgnapr26yOcAVvz0PUK6ihwaFfHgfT6ZiVUbMdcXTpIkUKCJOp2O8ZCmDG+pAwUcenNrEEsdV3EhRoWo1TWRzskhNKaBGd2OcPO3pIPeMQ+tdmeV/Bs1KNaiso0RObgEqquUZaOGBedN0wp2n4ncBatRWR7FIiYKMT+QU6THQxplF5j34qlyXABQX9xPgGYauSQAO40s9FCGEnS7E5jNQPJICxYGcbqwJnETO5e1Y2q3g+gdNGhjoFEs45GZQvqstaxd15+paF5aGn0FWqwrqaiAqyCYrX54mE1xYa9Gax9FemDpFIGoyBlt7J6Z2/lLorTiHwhbb1c/Qaykh94MWsqI00t4XUNPQEt+QWdTJS+LipqXMdT2CqGpVKVCI83NJy8inyURHghwmoPdNFF2cn8Xrc5uZY7OEK5k61K5eAWVJPrkfk0iTrcQcv21YG9YlP70YKJbdb8X67UtpLDx4kiKykm4RaDmD5ScSaWWzlYuOvb8BCk/mBr7AcesaBhpofP6buCiftzd2M2/2HO5k6qNfSY2s5AQ+6LQiIHQlY1vpUlSQw+XN9sxy3oBYpykVVEV8iI8nr60Jp9a5UqecLIW5n4hcNJjFW19TtWZdVERZvHz3kYbmPhxwHYdq2YqiUqBYSTPjIGZtfv55l4c47yO7VthyQceI5Vb9frcA3I+BIvUuC63skB+2GrcRtb4qE5ryKIqFSw/Qd7EXo5tX/EEJ0TxeXF1NgGMEp94UodfIkDnL5zGwUZWSSpGCsZO4uGMFgd4neZClSRvDScxdZEKbil92fYiy77Hd140Nu2KIF+szzMIC8yn9MFBV/EeT8X6kNlqUm8z5nVsI3XSAx4mJKCho0KGfMdNmjqOZfkVp7kjRm7MsXbYV3THWGHWrh3bpQl2QysEgW1bcLY+9jSX9mlUtjlVLP2QTiVy6lJhKQ5hj1ItqOqVRuxIvXP4Ljm70ZX3EZR6n6tB57CSmzRpJs8paKJU0kZV0nu2BIWw7HEOKXH2Gz5nBpJFd0NdSLXFb5vP2/i42eG/g0K1kVPS7Ymw7nRGdG1Fe5ZtE18KPHAz34kRmE6ZMGELz6tr/Ntt/VdhKpoCT6+3ZeAsGGlsypGM9NMosZPkpj9jo5cb1wiYYTzOjS4MqlDLZn4WEP3P+7wOFDi/Obmbj2dc07DmaoV2afI5rS5fVT7eIXLGa2zm1GDtnMt3qanA/eitr1m7ihaoBI4wGQNwLMlTqM3hEZxJPbudSnBp9R42hc30d0l7eZPfWCLYcvsL79CLqdxqMsYkZfdvURkshl1sHIoi+lUKLQeMZ3KH2bwCFhPd3DrLp4BWUmw5i4sDOlC8tkZ2RxO0zewmN3MnlmDTKVe/CSDMTjIa2QE/198OMRQm32LpjN08UWmBiPI56pR+3BVm8uX2GDZERRF94CqoN6TlqMtMm96SxbvE8/61to1lxN4neEs0r5eYYzRpFxfe3iNoUwtXsuoyfsZDuVVK4fHAXh27n0WXCNAxrirh9YjvBazdwNb6Qym260q1JNeTfvECxxXjMjFsQd2Ervv67ydQdgKWlOV0rZXHx4FZCtx3k4ds0dOu2YJjxHMb1FxKYs3lw7iB7j8bQcLg5YzrWoDDjHRcOR3M6VsTAKWY0VUjg6NZgVu06QZKCHo17dKWNlhypibm0nWBG9bTrHDz9ig5GMxnYtFKZqSdoURTx6c1DDm4OYW30RXLL1aFBs7oofkpCrelYXGd24OmpaA7cyGKg+Qy6GhSn04lz03hx/Rir10dw6Ho86jrN6DnUBAujLuhXUxZiYqS8ekR0sDebzz/BYMBwhnSrRcyJq1Q2nMvQqgls8nLivEx/+nXPZ/eqaAq0a2NkMZ9Jhh2+mr/F76g83t47z5aNu6kwyA7T/nURZyRy/egOdt8UYWxrQZvKymQlveTYltWcy2uNk/1YtLI+cic6koCVW0iu1oTxU0ah9OQ8tyRdWWo3CIW0l5zdEcnq0P08F0lQq9+YIVMsmdevI+UUC0hOuEqo+zL2PyzHOCsX7IYJNVKKj4KMRK5FBRNxQY0BJtWJcg/jwQfoazyX+TPHUkXIWRJ2OAh9OBKJV/guHrzJQFvPgCFTHZg6vAu6X5zBX70SRAW5vLh5go2hW9h/6yEycvLUadCVMTNnMrZ3E+lHTkFWClc3LyP8WQOcPaZTuwRMJIU5vL28DTvf7SgPXkbk9C/lJ0UFOTw9uxHPbe+YtsyRLlW/fteLi7J4dTuSIOd1nHpRROWGA5jtYsGgFjVKau9IKCp8z/VoXwJWHOZ+Xjla9ZnIXCczOlb6nO1BUfZjdgc6sybyEe8VajJo6kxmWwzD4NsURImIgphdjHPcythl+5nQuNgM4rxkNjvO4LSOKQGLhlDGV/XDV+cvtdHfWVF+yZf/mSX3r5/736g2WpRzD/857lzPa4y5nRk9m+r9UOTur1vlf+SXUrG3AhJv7GLNqijSG074bpfH/9eWkOSS9OoJ9x+8p3zjJtTT00amKJPYy/tYG3EE9Z7zcJ7WC43f57k/baYPsRelSZm3tabjHzCB3w5o/enmf/3gf8wCv4DiF1D8R0z5/06guE/IbEc2X4pHd9B45kwZS8+mQqLof4RJ/2s6ISQB3r98mO2bIzh5o5D2EyxZ5DiSL1kG/zW38tc6Ks7mwfGtuC/04IlWY1o0rCat1fH82WtyK3XEyXURg5qX9Wj8tcv86FcCUER4LuGOdJfHL6D4+yz7v9mSjPg7neX/TUP87K5/eSj+mfmQm5tLdna2VMVT6ZvCVv9MD37/KoLOQKnaqLq6OuK8WDYsWMrK7ad4Y9CLJYsWMm1gK9T+mR3Nv9/h/5IzitLiOLrJD5+VkTzPb8GEuXbMtxnwP/W1nJ8Vx7UjEQQH7ORCbDxi7Qo0NhzNvGmzGNS02hchp795TD8+v87OYA8eaE7C1W0EJVpuf/NVfjX3v2IBmezs7GJlmF/HdxYQthUlJSWhra0t1bn/Sojpl73+Vgvk5+cjQIWamhoKCv+ZK7KQQ5Geno6ysrJUwlzY615YUEBhkVgqAKaoqIi8nFwZYaa/1UT/3zYmkYgRFRZSUFSIWCInHX8FRfl/W77Of6Qhi1W6KMzLpUDQjZeVRV5JCRVFYQuk+LPC89/dd4lYRGFhAWIZBRT/12z+dxvzV3vIxMfH/wKKn0wEASAyMzOli4ec3C8/9r/reRHsXFhYSFFRkXRRFoSo/hMPwUORl5cnhcuy0FMMml9UHf8T+/5f0acSldSyqpr/Ff3+WztZrAAqPUrVY//W9n/Q2C+7/7st/D/T/q8cit8Z6l8hj3/mWfhvzKH4Zyzz6yq/LPDLAr8s8N9hgV9A8Qso/iNm6i+g+I8Yhl+d+GWBXxb4ZYG/bIGfAoVYiGfKyCNfIkH++QoSCaKiQkTSQIks8vJyyH5T3EoaEy0qksb9ZGTkpOd8duOVevPEIoqKREjFnWXlf7jdTtibLRKJEarqCyEHubJVOQWPoLgIkbj4b9+2/5ct8s0Pv/VQCDHHIpEEOeG+v7qoYJcixIJNhP4glrrwJcK9yckWq4OWvfeSNmQkwnnFdvjxIYOcvPxnCXmxSIRIJJwvg6xgE1nZb+5dgrhIhEhcYjfp+Hx9fWFvukg4RyguI1Pc32/HsGxfhXGUtvHvMrKgipqTI03K1NTUlCZlFsfVRSAni5zsN+MrnYNF0rwFYU78O/tVdky+rUMhLcNbYmvBjsI8lBXGXRifHwzol/EqOxt+Nu5CbQIRYokwzrLfzLW/YXZLJAj3I5GWHy4zPwS7C3NMKhby5ZCVFZ6/P/KcCf0W5h7S+fnVnUqvKczfL3+XtknxvZY+61I7ffPMCHNW2l9h3v9oLgrhASHXQPo+EZ7Nv8FGv9tE8b1Knw9h7H/zmsX2FnLgi8/9Rzr4u3fw/8cJJfNHLIP8b1aI/ZN3W/IsSIQ17Lu1R1gHxMjKCe9mQQqjiCLh+vLyX8+D0ve7rBxCcU/hXS+8d382+kJ7pdf6eh2Vla4D384x6Xr0eR0tWWu/uc2y66gw9769lzIrE6LCIpBX+MvVh38IFGJRDg8O7OOTQV96NqtQZsESk5/8llvHjnIzMROxsj5dDHvQzKAiiqXgIRGRnviEi0fOEvspD60qTenZryM1K6hLDS8cElEBCbHXOXfqBgl5StRo2p5eXZtSXv1LxUNRQQaxl89x5fZT0iQ6NO/ejU5N9VFVEoSFil92STHnuPtWlTbdWqKtovBveYl8CxRpT85y+E4Obfp0p1Z5NUprUiFO49bx49wV1WJk96ZoFr7j2PHTZFXtTt/WtdBW+VwykQ8xFzh0L4cO3Tqjl/uQqNN3SM0q+G6SCS9IBc0KdOo3lCbVdVCU5PDq3jWuXXvA+xxlarduT6fW9SmvoVxy7xIKsj7y6Molbsa8Ike2Ei27dKRFg+polBatEmrFJ7/m5tlLPIpLQaF8bTp0a0f96hVRLlPOVjpOEhGJ96/xNE2F+s3qU1lb9d+WKPc1UCiSmRjD+cM3ERk0pn27JlRSVy6xj4S8tDguH7hGVnkD2nRqjF45lZ8+oH/yFfKbp38LFJKij9w9dZ6bD1+SrlOLHp07oC+fyIXLt3j5PvMLpAmLnZo61es1o32zJlQrL4ji/c6CIs7iyc3rvEpXon7zFhhU+qM6HX/kjiVSOfWnj14i0apGnUa1PhcwKkp7y83rV7gRE0+BoLwuLOHyihg060SHdq35bf0xCaLCDF7de8jHfDVqtWpBpZLqvsLLMS89idhbN7n94BmZ8qrUa9aadi2boa2Qz6uHV7h04z6fCnVp1q4jHTvUoewd56fG8fzRA5LzylG7cRP0dDW/PHuIEWWmEx/7jOdZslRp1IQGlUvUyn7Ka8WJoMKbRE5R6S/NH1FeGi9jHvDsg5iG7dpjoPPza0qKsol79oiHz1Op2bozjar8pJLSHxm+/7lzhI+kIul4yamo8M3nkVQUSyi2deONOj1H96DS35GCJRGTm5bAjfMXyKvRhZ4tq1OaKi4R5ZP29g77zrylYe+BtNGT4fXNw5x4rUTP/oOoX740305EXsZbzhy6QJp+d0Y2lePc0aPceZWGgvw3nRQgQ1aWmu0HYdixHkqSQtITn3P5+DliP+aiWbkx3ft3pFYljc+Lvbgwj/fP7nD2xFUSCpWo3rAtvXq0oOLnbWYSivKzeHb9HBeuxZIpV54mnbrSrXUtVL69vlD4K+8Dl3ceR72fMa11/xrwfgMUQvWtfJ7cXMWsCQ5Ud7hHpHn9L1/H2S8InWeM1577fCoSpNoklO8yHg9vL8Y01UHoY+6bcyx3sGDVwTgKxWJk5ZUxGLeIzW6zaVRRWfoFF38xgHmLAjl+N0X6JaqsVZWO1gFssuhHOWHhFRdyNXI6c9yP8iQhC4HC1Op0YJprEPaGDVGXzyQzB+7ucGf73SrMdJyAnrw25bUVhOTov/X4FiiebZmN0coP2KwJZlgjvS9qo0VP8Zw6jbDMQRwLnkHNjNOYms/lRFZPVm70ZHDTKqhIoSufGxF2jA/5gIu3G53SNjLGfiNP3qUXV3PLz5d6hhQVhF0loKzXCPuQzUztVovEk24s9NjMpUfJFBSKUKnagGE2HjiO64q+trJQipHDa61xDT1J7Lss6ddzuVaG2C52ZlL3RlRQlSUv4QarfZwI2XmDxLQC5OSVqGZojpfDXHo3rkppQU+BalPen8fPYQE3FUeyZKE5HepW/KI6+Lda+XsPRWH8dYKXLGLDbS2mujoyeUBzdBRkkYjSORW+GPeNj2gxcRFzjXpSU6cU1v7mTn1L+mLx522jwvbWotz7BM9aQODWMyTVG4jnUjt6yF/CyWMlR+99QKHMV40wz5Uq1aavmR3zTUfQpprGby5ikoIEtnss49CLckyca8HANn9PVQahH0UFiZzaHcjqnfdoMsSKWcaGVClZCz/e2Yn3iuWsOfKUwpLaqjJKGvSe4oC97Tw6fKl4/LV1pF6jTB5e3cHKkEhy9cdgNX8eraXlEyRkJjzk4KYQgjfs48G7LMQysmjX6cRU6wXMGlCL65v9WOG/lpisBkywWYyT02iqlbmCAPLrfJay/mwSPabaM3fWZBpolWrgpHDrxC683cN4ptGRec5umLQr/5uTIT/pDbcOXyFRTo8ek7vz22f/uKn8lBccitjAvhuFTHRaSH+hHPZPDlHOe87sXM/6qKcYLnBjUpfq/97J+v9R6+K8LN5dvcTJk+/psngi9VS+3gWW9+kNx0MW4H26En6ng2n7d+TPC2qjzy7ibmtLcl8vVln2+Qy44vx0np70Z/C805it3IxtR0WOeY5kYmgKpitW4z6jG+qCK0FSQMqbE8wev5A3Pb05OlsFhxnmRJ5PlI6OuEjQ3pGgqKwkhQR5FU26zV3JRschKL67hp/jDAL2xUmFzOSV1Kg70opVrta01VNCUpTHu6sbsFu0nP0305CTk0FZuwrtZnuxzXYomgoyiAuyuL3TlhkuUcQm5ko/OtX1WzLBbQ1eUtmMkg98iZj83GSOb1vIgiWnmBYVx/wvRT3/1EwqAxSCPnwKRzZ44+oZxv3kDCaviyV8ct3P7rn3++dTc2IUhvODcJvUHB7sZ7bxIlRnrSJy+XgqKmSx12k8k9YnYesZiFmXKsQc8sVq6XraOZ9l7cx2KGfewdLIiA3JTQnzWUY33UyiQqxZsSeeBdtuMqeLDgqPI2k/fCEFHabjN9+E2qLHuC8w5UR+b0IjV9NL8xb2s/y4kpWFXL4GBaIcao50ZPX0zpT7m2XNv5Mv32HNxKBk5q/xYXDDb+TLzaYRkj+QI37mGGRdYOoMS6KvfaCpiTfrnI2op6uJLPncjnRgQth7Frm7Mbq1Np8+pVNYJEFG9I41C+y4rzsau1mDqaGhiIysIjq6lVFPPMnkqfbcVunMYqsZdKqYziZfW7bHlsPGayXjO9cn54IfQ23C0epswkLT4ehm3sBzqQvPdEfivsyaznVUObfSDqs1d+hqbMOMQS1JvbUFN+9wtId54j53FPV1VSnKy+XxpQP4rfDmwNUHGIxeQqDzdNrXqvBFdfBPTbPfP/lHORSpsYdZvNiZ80q98LGfS7/GesRdWIP1ighUu85kkfkYGun+nV/uv93PH5XeDrBYxtnU6kyYP50hbWsQdzSIZTvuYNB9MuN7NkVDvlAaBstOfMIWH39OvFbF1GURkwe3RVNGLA2NyMiUhq0Et71EGoaQKUpkp98KDr8SxMEsGNhST9o5AQik5yDsBhDc/1++JITdEcJ/X9r7Zs0Xi0iJe0LUulBCI3bxTsWA6QudmTNhQLGWB2KeHt+I34YTqLUZisnw9qgJ3/AysqhpaqOt/RNRPomYnNQkzkVvY2XIGi69zqDPdAcc58+luaDlkZ/CpaiVLAvehbjRaKymjaJK2g22hoZwJr8x0xctxai1NrHnt7N+7RFkWhuzcPGYrwpbpT8XgMKd4EMP0e09jjmzHJjYvqIUyvIS7rNnsy8+64+gWmcMc5a6MqGNgAjF9igttSPYq9g2EpLvHWJ90AZeVh7O4mXGVJeVKRYXldqwzLiU/Hux7YvbKz2ED5383GxyC0BVU7NEsKr4esXnfRkjUe57zkVtYMP+Z/Sz/locrOwoCdcu7m+Z3R7COMvIfL5+cT+FU0rHv3jeiEuvKVt8fsmEKf5dSRul/yacW2wPIXRcOp+E/y8NKxX3/YeHYNOS3ws2lirflulL6f0Lti6dn59t+jm8VjLXpSGs4ut8mdvF7Qlf7MJfClLfcn7DMtz3yeFyIIjOGgpfhXm/yJdXxf+EDy3lvozfd6Fcad9L//7lGt/dZ4l8uceCxXzq5UbIvC/y5ZKCdJ6dCmKE5UkmrtqKXTsFjvtOZJj7VSo0H0LQ+iDGNq2IjKSA1LensBq/gKd9fbjk3JOPSYlk5BYhSx4PDq5kacRbLPzd6aOvhkgoOa5TmfJKhZz0M2NM6Css3PyY0b06T4+vYsHyCBrO28lGu17w8T4rZpsQ/ESfoEBveuhmcjB8EW6bHjJn6yMW99Ig69FuBo224l3jKaxbaoF+wQMCnKazM74Za/cfZHDNYnXa1LdPWe/lTGDkfpKVKuJz/B1zWv/+O/tHZ5QBigQC+pvjlZCH0eSeXN8eRvWZJ4goIw522d2QKYfrse24L61U5JGRZLB78RCmXGnOuR2+tFSIZd6AHiQMiiDcwRAdBQEVEwmfNpbFCQN5sMcWboUxZvIq+oYdxq6XAUpCzCDzMlN7TuHFwCD2O/Qmds1YJq+R4HN4E/1raEh1GlJuhdJ/YiQDPNZjP6g+PD6Fi/U81r7UY9q8hcye0RN9tb9f5+OvA8U5ps4IIr2SmJjHEqYvDWOaYX20VQo+A4WDuxtjOpWVL4/D13Qy16uZ4W414itxsMc77Zjt84Cx3kFM7FQPLQXIeRHNFLNAtEfYs9ikO3f9RxFwtxa2nvb0blgVZYqI2evOtKAYJtkvYWIrGVZZmnGvihH2VkY0q1YOWT6w28WG5Xer4e02h55NdLgUGIxLxGHU27VGI+02SeUH4Ww9hY51Kv6jQCGodMZEe2DnsYWKhi5Yd1NhXaAftzW642w/nV6N9f5t/fnRw/JjLQ93romaMcfBnB4Ny/Fgny+e0bG0GTUL0wGlaqPS1yXvr27EMewIFbqaMndCHxSSX5CUJUvlajWopKWMuCCTd6/fkiWrSVVdWY6t8uDQS60SoNClKC+ThHdveP0uibxCJSpXq0lNfV00peEsEakJr4lPLaCcXnX0hLDKNzfx4eEV1niGcPBtPvWbapD6KZfGvSdjWaI2Chlc2byK4EPxtJ8wndmGDaQLmzSH49s8nDJt56e9ZI//KkIPPqBKx1pIUhOQr9mXhVZzaF4RshPvsMlvFZc+6GGycA496moLmoq8unyK6PMvqdplEEY965FUojaaWn/8d6W305+fYb3/Wo4/+IR2AwMadRjHHNOelJMp5NWNk+zbuYuLDxIRVWjCGMuFTGxTnqKCNBITXvLyzUfy8hXQ0NbFoI4BOipFPD69mZVBkcRV7IuF/RQ6G1SnnJKIlA/xvHz1ltQsCZrlq1CrTk0qagme1ULSPr4nISkV5OTI/pSGjEolKmrLkpMvoZJ+TXRUIDvzPW9evyQ+KRcZWTUq6ulTu1YVVCXJvwMUEgpyM0mMe8HLt0mIFDTQ1tFCWVwkFURY1LQAACAASURBVMyqU02D9A+JJKbkoCxXxPukXHR0a1Onrg6izE/Ev3xBQnImhUoqVK5em9o19KSig3mZn6RzKk+9Og0NKiInEZGVlsSb1+9RqVKPauqFJLx6QaZMRSprFfD82RsKZFSoYVCH6tUrofBd0F5EdvpH4t4loKxTHTLieB6fiU7lWtStq4dcQTqvnsYQn1pIxar1aFCnCork8SnhNXFpctRpVActBUG4KpOE18/5REWaNKyKXH4OaW+e8/R1EpkysmhpVaJug7poqSmQ+voOW3wWs+6iMtP8HRnSoikGFb4oZZYChfcxPTx2L0Dz+RPis8To6tWkboOaKMsXg4lYVEBmSiJPnr4gJUuEqroe9RrXkT573+W//AmgmN9WgRP+5thGZVC9SgYKdazZ4GuErmLhV0BxxbX/56dGlC/Il3tJ1UadNq/B0KBUvlxMdnIsyyf25l7LACK9x1EeCQU58ex0nsmCO825vN8Z1UfbMZviQhO3w6wYWR9ZROSm3sRhmCnn2rhz07Mf9zbOZqLHG5afOcaoGgqCS4TMJ1vpN8CdVp7RrBxXl9yP15nXYSYnajdlVv/KhK4+gPXmJ1i2+5eBIomTwadQ6D2AbpVjGDtwJPJTz7J5WsPPIY9nO2fTz+k1tuvWYdpaG7msWJZNG0GU+nT2h9tRNSmKYf296eK7DQfD2lKRLOG4Fz6F8QGw4VooqnsXMybgI2E7g+lmoFUSDypg04x2rEydTtT6CZy3HYlr2nBOhc9AV6M4dl6Uch/bkePJHh6C34xupF+PZNXej9TTjOWcqC1LFk6hpqYQX/t7j38FKEynB1LDdBoKO8M4p9MLtxVz6FBNkweb7KUeiu+B4g3epiXy5VZl5ctzOLFiDk43quDnNYf2dXWli4U45y1+M0y4X80Ep3kdObTQirOVxkqVShtWLRYPSnu0F1vbtdQ0dcC4dRYeVqGUGzKPueO6Ua1csSLU492O2ITGMXH5Ika0r07cySvESSrQupUmh4LnsyOlPfaWpv+c2mjZSpmFCWx3dWDVoafCI0ORemfmuVgyvHs9vlIb/nuH/Yet/b44mDYPo33x3B9Di2HmTOrbFs3SCZmbwrmIQIIOx9Le1IqZo5pyMcCF3Q9UGGsxh2EdapD/4S6hK4J4LN+cqRaDeLMnmEPPNaRAMaCeiHM7NxKyZhPnH8dJlRirtOiB0TwbzAZ1oaZqLhc2uRNx8QPtjSylyrHfyA2RFvecR/fjUatugEb6GQIFtdF2k7AqBYr8eKLX+rL9ahZ1W3RHVzaJXEUNmnXoSpsmdaUCdz/6Zi3Ies/j67FkyFaiftUPRK4N47Z8ZxZaz6V5RQnvb+8lZMNe0qsMYFzXqrx5cJm3WarUa9WRjm2bo6dZ/Iz/ljiYFCgC1nEjVZ6qBhrIyLfE1MqUhiopXD6wiwMX7pAhKiItW4uBsxYxvmEBV49H4hG0ljO3EhAVyaJVtS5DZllj1LUm11a64rP1LKnKlek41BznxeZUS7tEmFcgUZfvkZwFmtUa0H/KXCzMxtGuYh5XD20iOHATcXmypL7No063UXRvlM2tmCKMnBbRUf0dURFe+Gw8zKv4PGTllNFv1ZNpC+0x61mDu9EbWLfvxx6Kwuwkbh7ZhteKVZyIiUNWRQMdbS00dMrTdvxiPM2acmPvOoI2HEOcn8nT91qMmO6C1cQKHA31Zc2uw8R+yEeipIF+swHMnGnDtPGNSbl3ilD3IBKbziLYaQjq4iwentuDn/sOak31ZHqzDCKWL+BAsgENqjzhwI4H5Chq07zzaKwcbRncoSaKZQe9MIcnV48QGLiKgppNSL4RxYmbWeg37YWF7QwqJxxkuf8Gnn5UoEbrQdh5eDChbiFH13kRdkkFt/DltK+kRMrre0Qsc+SE3DA2Bo8l69pOvJyWsf3qB/Jl5NDUrs2wKdZYWQ3gQ5Qfc639iClUoFK9LsxesRqn4bU+P6NSoFi9AJfthfQYVsjhlad4naeAXs0OzHBwZtrEjpQT55H46CSBSz3ZeuE2H7NlUNGuSjdTGxbNM6Nt5W8Ui/8UUMhzwn86rnfrMM+wHGt8DjNg427sO1UkvYyH4iugyBOAwgOLb+XLhTDJ2+PMHLyEqo5b8R8nQH2x+urD3c5M9XzDipPrqHEtACOn+zht28DwBsVKpQKkHXAcwNJHQzm6bzY3nCZi/bAdl/c5oSuNEkkoyHjJ0uG9iO26lm0ufZDJiOXQusfUNRpE3XfhNBnnh8WWl5/VRv/sa/XHuzw+XGTMkO+BQpz9DK+ZUwg/X4hB48qIk1/yNLM+TuGrmdqpAplPwunXL4Ixm3Zg1a3KZ7p9vmsGw22SCHi8EfXIBYyNkGf3Hm9aV/2iLrrfriUud8exI2oSp03H4Kc1jSuBRmirF4swSzJe4jSyLy+7BxBkOwDVtCTiZCpRWz2R2DgxVevUoJzij194f9YoZc//V4BiyjR/alkGMKFaDEscQqg+zo2FEzqTEL2YCWGJfwIoUti70IJlb5qydoU5LWsVu3rJTybMYjRnVcfjaNeOPXMWcaepGR5zB9OgcnEoIOfFMRbM9ETD2J5JbVJxs9xGbeP5zB4lKCgW5x68OebKXJd7DPJ0ZVyXxpQrfYEUJBK5bE4xUFj9HwEFkP3mFG6WC1h3o4DJTu5YT+hLNa2fi3P/K+P9W7/9I0Dx+FAwdl6RPMtUp6Yg0y0rhAzkKMz6xJMX8dRsO54lDnPo0VqZ/f6u7IlRY/T02QxtV52C5HuEeQXxWLEFptMNebOrFChm0TB1D07ea3herhPjhhnSQD2b6wd2cy2pHKPmWDOhV2PyEl4S96kA7ao1qSokQf/0ZsTEXYjAK/IYaoJ8eSlQfHpMZMgyfDaf5X0aFOakkSenROWaHZhiacM0o95UUy52vZce37rFi16dwz9kFXeUupQAhZj4a7vwDwrl+DMxSnmpvH71giyxHGo6zRk7wxqbeUOoo6n4u0Cxzn89D8X6NGykQMIbCQOnWdNF5x1RkVu5kyChsk4hD58W0W+OA50LLrDSLZRHck0YZdIfXfkE7hzbz+knagy0sqWXynVW+W7gTYU+zHaYSnNesTvMmQ0P1RhiZEL3mmq8u3maI2djqT3cAvtpPXh9JJSlzsGk1B3FdKOxtKitxNNzURy4LcJ4wXQ07+zAb/lhyg0wYkhvAwrf3eL4vpO8Kz+QpW4TyLu6lbVRT74PeUhyeXZ5N57OblxWaouJ0Uhq5CVyeHskh58VMMxqOd5TmnFrmx9L/A+g2c0Mi/H9qVtdjdcn/HFaeY4qPcyZNLQ+xMdwfOcerogbs8Dbg94y91jtE0h849kE2w9ETZxFzIUo/H13om/iycymqax1MsH7tBw9Bw1kxKAuFL69wtbNh8hoN5W1y2xoVrHMTCrK5fnVaJY6WHGZfhiP6U89lRRpX8+8KKR2816MHtYJ5U+XCdt2knJdF7HTqSOXI30Iu6KK6yo32lVUJPXNfTZ7OnJMbiSrF3XjuOciAs+JMFtkQh0VEc/vHSXyWAxDF0Uyp94HNnras+6SCmY+ixjaqhV1S7N9hZBX6ltOrLJgptctqnQcgPHU/ugXJnF43VoO5zZgRWg4I/WS2bF8NA6nVDC2nEdffQ1Snl9h+8ZDVBzrir/NULTKfo3+SaA47jcdt3utWLN2OtdWTGTNs/aEb1tKzdQzWI0rDnn8IaAQ55P8cg/GfQJpFbobd8PiXBtxYQ7PD6/AxPYathe2UueCFxNWfCA4ejV9ahYnQBXlZXHa0xCbg13Zc8Gam3Mn4pA6hJgd80qSriUUZn/Ad2wLztYOYUfQqC9y5FL58lU0MfL/54AiJ/kS881nEnnmHSpK8kiKcpFRa8b81Zux7m9AzrN19O+3gdERO4uBosRD8WznDEbMf09ATATqkQsZu1GuGCiqfQGKffNb4nZPAIrJnJICxdTvgMJxRD9e9/AnwHYAFVS/kdr+N60ifxYoVuYN4rD/NAyyziEARY05AdgMrsIVH0vs9svivs6ZKvfCmBL2HvvvQh4/81CkFgPF6yasdf8aKEItRnNOChTtiZrjwO0mJUBRkluQ/eIYC2d6omlsj3GbNJZZbaOWke1XQPH6qCvzBKDw+g8EComY9zf34GTtxp7rH+k61wUXy3E0r6H5lzLz/5Vp8oeA4vBKFrgGcSYmBRUlBYRM7NzcPAoqVKWPyRwWmU2mU61KyMt8JPpHQOEdxGOFMkDxohzjpg3iw+FwNl4XMdJckM6ujZK8hI8xZwjddAz5hgOZOXk4tbX/aHLqj4Ei591ttq72IOoF9JgwmxFta5P38AzBgWu4JteGhQ7zGdpIjfS0TAqFLXMKymholUNTTflz5vmPgCLhRhQr3FzZ+VqNcbMtMevfBdWEJ2xeH8KOZzJMtnLCYWRLkktCHmk/CXmE+63juUpLBvQqz5XjD6jaezLDq8WzedtRcg060UT+MQfOpTHA0olxTZVIjk8iLjmTD0nveHjlIAdPHOSNuCVzFi/DtP47IoLW86ryaBxd+/M6aj3uYWeoMng6iyZ0RE1RjrwPT9m/cweXkiswzWYGKnc3Exx0nHqmS7Gd3AGF1Occ2hxO1G0RRvYO9NCD+NeJJKRmkfDqIVdPbufw1YdUbDUTT/dJiG/tYu2e74FCnPmKo5tX4rE7gfHOHszuVgOKsom9uAev4M0UdJhD4PTm3Ni8ktCdrxnq4YNZx6p8iL1CuGcAl0Xt8Aq0obEw/qIsHp/djY/bBtQNHbEYIM9WH1/e/gQoZjRJYcNyK05KRuEVaE8LHVny0+I4u3UlQVueM9rbH9NOZRJIi3J5dikKD9cVyA4JxMuyD8rCgr7eG7/NcUwKD2VqG11S3t4jwtuVo3m9WO0+mHuRPoR+BxROHJMbQZhDR464LcR9XzI9zc0w69sK3cqVkSiJ0alUBfW8eC5scMEjWpVlhwNp/41rMi/lLSfDLHGOkmC/aRtjGqogKcrh9Y1oFlv4UN7EC8veycyd4IGasQuBZp1RkpWhKPs957avIuSmKt7+7nSoWibZ8w8ChdHKLdgKORR+5rjea8XG7QuoGLMV43G+6EwPIMRYDruR1sT+WaDoG0irlbtwH1jjM1A8O7ScKbbXmX9xK7UveDNheSLB+9Z+DRQehtgc6sLeCzZcnzcRh0+DebTTskSpthgofMa05HwdAShGUuzHlsaD/mmgyCJsTEPcPnZj5bpAhhpUQLbgDeutTVlyVZd1e9bRmWiG9Amg78od2PXV/wwUMRHTGLMsm7C7a1Hf6cCYlTls3B1IR31h+1yxK2bnnFb4xJmwe7MR5+aMZoVoPBfCzKhQ4qEQpz1m4YgRfDQMxG9uL+k20X/i+BYonm+zwjjkE3bh3gysXyYpU/ySgKnT2CAZwR53E/QzzxQDhYUPNkNaUj7tHBbTLPnUxI6x1W+weNsnHNxdGdOpNmpCkogUMX8GFJkcXmrB0oe1CfGYRZs6lYpDO7kJBM6ayPUKk3Cybs8Bm/lcqmmEu+UIGpZsS8uIPYjdvGB0TQSgyMDdaj26o6yxGNOZqkIiBvB8nzNWfs8ZtcKJUZ0aoPn/2jvzsBzT9o9/KoUKhWRfs29jGWtky761KEuSRFQkWVJJi1SiTRsqIglRyb6XZaSYxpJ9jbG0KCUtz/I7nicis77zzvjNvNN5HP3Xc933fd7XdV/f6zy/5/f820QoxJS8OonbfC9SCjVo0+wF568XMMHKCSv9QTRR+jPo3L9/Fv0eQHEjYQOecbfppbcA0zF9UfgxlRh/H3ZfETPMbBHGk/vRUFkWxOWAIvaWMgZzLZjQpymlWdfYtL485WEydwxPYjdy6IEqhnO0eXUgFA//WB4WCSoDKZnmTDZfisMKI75pWh76/G37eUAhJe9JGXafyHRQSkr0BkKir9NNZxIqb0+zzjuaB1nF1Gjdn7m2q1hhpI36h/zKTwGFmBepsfiGxVKgoYfdAgNafEgXP724hwDvaN73MGSF0zQUfhNQhHG39gBmzexIyrZ4XtbpRZ8W+VxIeURPw5nUf7CfHScKGGu9Cp2mL9gbuI41YYd5o6hGk7p1ERfmUqzcETN7Z4zbZhLhH87jRvqsctHmSexmHO18Offs7Rf59Dp015qGo4cVDV+dYMv2S/Sa44zFKA1KKgGKpXR8m0KAswsRF55Su1Fz1GvKkJdXjHqfKXi6GyO6sudnAYXg5TXitvoQfk+N1R7e9Jf2EC/j+fVTRIRs53mLKbiZ9yBtbxjbzrxl5ioXxnesyZP0o4Ru3El+13l4L9KuSAFm37lIVOB6UlV0sdFvxmEfbx53siRwxRgUJRGK83H4bthNC2MvzDu/Ybu026ikffnU8uZgZW+5fS4On5AEmkx3w0Gn86fqLkERdy8cwNczhMbGAdhN647wzRNO7dpIyBkBy3zc0WqmRH7mTWL8XDjwTovgNeNIlwCKS0rlEYr68rx5cp2odY4clZtMpLc+BZcPsHqdL8fP3ySnUIxi7WYM0jfFavEchjQs4exWF7wSquN2eCOaX6z7Cg7F8Wb4n/TmGwmuFgt5k3mdCBdbvlM3wXGCkMUTLDiXV1b5/coo0qj1BPz3+aHTWcIg/rjBlpFz/yKeyxzIG+GO/0KtihSiqPQt988EYmhzipmh0Vh2pxxQpPdk215n2pVlkxRuwaJtAhzcTDizfjUZmp5cdPuMQ/ErKY+cxweZM2YtbT12463Tpny/L31HRrwrps63WX12Gy0u+GDkeo+1e8MZq1EejZZwrI44j8H+u9EkHrMkbcUMlj3UIi1uBfWkZw2JrMAz1uoM4GqvUHZ5jvtUmv31AUUaZu2n8cRiL4mW3aREF8kNvroYjuFYT7T2HcOuVyHW2uMpnh5BkOUwainIIRblEm1ryIqbA0mJt0cmJRB982imbovFvK+k1bOkvOUaNtqGXOvvScLqsVwLNGDu7loEHwpkUANJvbmYN7ei0Z3izwCnMOwnd5aeIL6GfQkoXh92YoxzKjO9Qpg9sAV1pAlGMaLsFFaamXOvhxsBC0einn2sEqBQUxRyc4sTcwOSUG4FN583x8N3LXr9Pydl/hKggOs7l7Iw5DGmPh7o9NKQIs6i5yexNPVAYeQSHGYP4bL3NDY/6oSdizWa7SRkKBF3jvth4Z2Crq2jlJQZsNiKR22NWD7fgI6NayPRzzi0filuF1Rxc1vIsG7NP308/p9THqL8R0T5rCTwwnumWq/GuOd7tq52YP/T9ixabcukAW1R/C09hz9xkvxHgEJnAabjykmZRS+vErbWheirNZi+YgUm43pQWyaHeG9nYlKroWu1CF2t1pQ8TyHAJYgHtb5l7qIPKQ8JoDDV5uWhLUQl5dC2V29a11eQCk/JSCoQRLVo1b0PmprdaFLnN7QXPn0tfyblIeLN4+skJd+mWuNODBrUmTrVy1ngaXv9CEvIoJueKQNavOPiuXRyC0ukpLxeA4fQr0srFD8ER34KKODNw7Ns3bybTCVN5llNo4OqLBJBt2eXYgn0jaGw2xSWO/4+QHGnliZW1oO5GRnO0TvZqNarT3X5dhhYj+P1oWB2nC1mnPVCWvy4j42bjqHcRweD8dp0bFqHR0e2ExxxhZ6L7JjV7hkR/hE8aaQnBRSPYjezPugosh0G0b9NHakwXHkpQXXqN+7IgGFdyE+PI3zHZXrNWY3FqLYVgCLuexGG5jq8OxdByKEsxphbMLx3NxqJXnFwUyiHH9ZnyXpTZH4BUAhz75C4IwDfJBmsXL3R71ITGXExD78/TGDgDnI7mLBhXncu7w0j8nQ+Rk6ujO+ozPMbZ9i0YQv3603Gz206DWpKSjYEPEk7ziYvf7K+mc+i8Srsc/fkfisz/L2mUFeYR/qJ3Xh7HKDz4nXM6/SGSM8VXFI2ZkPAPFrIyiAsyuLqwSh8tiTT1249i4a3+cRNE7zn7oUEKaBoaByAvQRQ5H4AFKcF2Pq5M1QKKG6wy9eVA0VahLiPIz18HRuPyeC43ZshTaqTdTeNsFXOJNWbwo6g2dQVllD49gVXks9yMfUeOU+uc/7ydWr2tmRzkCHPtjqzNr6GFFAMVK787S8HFEvxOFIHz8Ob0awli4yolJe3LrDBxo6soXYs087D1sgT2cGGDG+jSIlQKoGGrGw1lJRao2Uwim7qn2mDiAW8eZKGr90SUjSWsMNZFzUpuVOMoDCL7/c4Yh6eg1PkPsaovaoEKDpXKyP/4Xlcja05Uqsxaq+ewWQfkpxHVqxA4S8CCiGFr27iPG0iT4b4E75qopSHVfouiwPrrVh+tjnHDq5F6VoUs+f5MXjDflZqayArI6Lo7U3WTp3B0VYOpPhNJHXLAkyC8th4dg8j1BSQEQt4++QgU0ba0dphLyGzun4GoL56hOIZnsP7EZDTlw2B/kzurYZs6WMiFpthk1yP6IRtTOokZLuVNhbJjQgO3YRhTzUyz25ktoUTNWYnkGg3DKWsJGZNM+Z03Wns8VvFN2qlnN5szfz1p5gWcgWXMY0hxZueM/1oMd2T4CW6NBY9xX/5FPyvt8Q3Yhc6nWvzlfAEXwIKQfYJjAfP5VrLodi7OzK2fRNqlj7ltJ87ywOvoRcWjvWY7ig/TsRkrl9FhEJNUQ4E2YTYTsRtWyovm4xn26YN6PVrVTlCYTKLy81m41mJlAll16PQW+BOTqeZeC41padaMft8rfA4nIeJ8xbmjuhI/mE79NyO0cVgBU4mo1F/fwMP+wUcfD8Idzd7tDvU5LC3OSsOvmXmYlfMRnbj/fXdrHRYQ1av5fgvnU63z0+5/4+AQiwuJGWnNw5rT9La3I7lJqNpW0ee7DNbmbsykNyWOrismsvATurSKqCvYb8PUKzHM+4OvT4DFJJ7y0+NZ4WrDzdUh+K0zALtLqokb7bFI+YqXaY5YmXwLY/i1uGy4TC1h1ngtHQkD/cEcOi+pGzUCPlLEYTGZdJd34rZej1poCzk9Y2T7D1xHaWOI5is3Ru1GpLGlBKgIVFQ/TWnfIpQKPY1xuYDhyIn4wxBrq6czW7OrJUr0enfkOzLCQQHhHCt1lAW2i5jQrdf1lqQnpI+41Ast1nIN2pQlveY+E1r2Xr0Mf1NHDHT74P808vsDfZi02UR4yydcDLuz5vfEaG4paiJjZshBcciCQnYybWCNoyYOoulVl25GhnMjnMljJs/j3r3Ilkb95B+Rg6smtCKlzdOELx+HYfuNMDM3o1Z7TIJ893IDZVx2K8xRTYlliDf3RR2MGbpIh3aq8vw7mUGp44eJqO0A1OmavH2u51sjkql95eA4qoIg5navDgVRuiDVqxa7cjoRnmkHYvA1TuKolYz8PI0Rpi2h7CPKY/+n+mKCN6QdjACN7ctyI+1wtF6Fk0KMkkI8sI/IZ2elmvxMen8BaBQpfD5TeKCVhN8IgddOz/mjm+H8EUG+0N88TuVzwz79czrlEW4+yJi8/uyeoMXPQRXiXBfScTV2sxb48Pczrlsdp5F6P1OLHFxx2x4K7IzzrLR1ZdTZd/iH+CEVuvPNtpfARTBpwUs/QAo8jJvEOPrQkKRFpu8dHgQ7YlDaDIDHaNwGlqHi7E+OHrFozzOlR2O33I6MpJkcT8c5oyhsXIpubeTCXdeQWLZcHzCl1Ics4rVewqxjd7OxBY1K81vScrjRPACLDdnMMzGH4852tQofMABPzccEnNZ7BuCcftM1sxezIP2tng5GdK2vpiSt8+5GL+NxFftWbJwOm0qkSjEFOU9JX79UuzCMtDZ4M9KfU1USt+SmbQP12XePOw8j22xdjTP/wJQKICwpJDrJ4IwM7fnh4J69F8eTbLjiEqAIj3eU1rl4RgVxrgKH4spffeaOGdd5h1RZl1gKLO+rceT81uxWLIawaQIEt0nUe3HS6wwM2K3eCL7Qz3pWa+Q5Eg7LDziGON/nSCdBhSmbmLQDBeUdbzY4TgdtdJHhK02wu10DTbEnmdW18++Eb8YofioAC1R4fxSUuynX92fJ2W+OovBpCmITJLZPa9DxcvLSQ1Bf6I9lwokdbQS4e1SykrrM9Y+gGDHyahXk5NWFViYzSThqkTUSg5xWSlyQ+ZxfMta+jSvJQ03ZcTaMn1pCPdfyUjDqxKs2NLUl3PextSrKak8EBLvMgwL/0sUlMgj0fkurtWAqW6RBJsMoFaN35sr/u+3mZ82ByslOWA+Zp7xPM0vk6ZsJCU74lIxA+Y64e+0gHbqKghv7We2uTdNLPxZNrEnah+OcHnp25ht4MBx2T6EblovjVAofqRRCx7jNcOEK01n4bFMnzYNK4ewz20xxdozlvsvhYhFMpTWqM2Qhd4EWU1Co4EyoncviXAxxGN7Kq/eyoJQSFmTbti4rmfxpL40rKVA/r2TuNpbs/P4QwrK5JARCpHrrUvwutXo9GkrLTWrsJLnbHe3ZFfuQOysTdBs+/XKRjMvR+Fit5HCrsYst5lBj5YqH0L9ZaTtdsbG7wStxttgbzaxgoD637/tXx/hdwGK+HV4xN+jh44Fc8b2QbUiMyfkUowDTiGHaTh8OSvNp1AvMx4Hp7XsPHkH+doqNGzdGiWRLF2HT8VywSgexWzk0N1aTLO0ZFjDp4Ss8SRwTzIvSiVpDxEy4uq07qvLklU26A9qQXpMIDvPZ9HXwAzDoR345XiFiMzkrXhtP07NfiYsMRpDI+k/S5jnW1nnFsDBjB8pk3TYLYPaHYZjvWollvp9P+Vcf8FVgkdn8A0M4YrCIJYvWUhPaQxdwPN7J9ni68HWmDRySyTAR4CsfGvGzrXF3nEm3VWr/yopM+/uGcJ9NnNLaQA27pao3DyOn6sDe1+3xtLJi2VDq3EoMoitSSVMsF5O//fn2OC0hp0pdxEpKEil8sVCMbXrdmeWrROLJtciwc8Zu4gf6DRhPq5L9ODydhyct3KzoFgSc0RWLEfd5r2Zzk3aqwAACeVJREFUvmg5i0378DAxks3bU/nWfDULxrajNPc+iZFhxKUJMbIzRfH7aOwW+3GlWICCvDyy1STR1xq066eH4zpL6tw+xNbdtxi9zA2jgZ/LdklKazOIC3bF0S+OH0VyyMvJS9NPNeu3QddmDZ7GXUiJCSPyZB4z3VwZ36kuCPO5c3E/7svd2f/9C0TycsiK5Kih1IQhhgtwWmtJF8EjTkZ5YeK4jdwyeVSbNKVBo6Y0kFdgqLkX87rnE+FiTsAFEXVUcnn2sBCBUJYGLQYzz8UVa4OelaqFJLy5u+cS8PMIpqGpP/ZTe0gjFCeiNhJ6opSlQR4Mba5I3tObRHu7kPhuEGGbTClJS2DZkhUkpr1CqW4D1Fq1pVm1YhR7mLPFbSQ3Y9aweG0kj17LISNZMwry1G7akQkL1xM8XYMfDvpitNiXLBVNFnpvYtW4z6s8nnIyyJbl4U9p3P0lV5LyKS0rpYZiC0aauuDtZUCjolyuJfoxzzKQDIkErFiILLIoqmigt9QDd+tRqH45p8uKeJGWgLW1DXHpb6lWXZZqYhFyYjnqa/TAKWI3xr0aUZL/kmPeJrjd6EVEjDtdpWtJyLs3twmznYfdvnv0tNnJBWftiitI0hPp+zyx8rmH495wxrf+9K0Xi8rIvn2S5fN1iL4kg4K8JNIvg6LmdKJD1zOiTS0pNyvjsAemi9dy/blkfsuCnDxNZrjxXYAldRVAUFrE8Q2TMPE4w3tBTal2jUhRhVHOUcRZDa78tBJAkRpAF6NAzKMeVAhbiYpeEjxfh0Pqi4mSlrD+uv08oMi/hY/XBmSHObNoeNPPck5i3t49Q2BYDCl3XyNfoxZDpi9m2qie1K1eLgwjsdf349nps5tzmQLUO4zAdLEBvRqrfKZfX8ztpE1Ebkrm1rtadB+hh6npSJopVa8IrYmFL0iK8md34l1eipoy2sSYKaO/QVVBIr399exnu40K3pNx5jDb95/g3qvXyMsr03uIPnq6w2mupiSVGBe+SCUo9BD1RxkzvldLalf/QCEWFPLdHm8Cr9XGzNiIAe0alGtxSEyUxYGgYO7XHcKM8X1R/zKELc7lyqFwYmPTuJuvSp+JuhjqaNJMRbGC0V9SeIvTO7dz4Mxd3si1ZayxIeMGdaau4seyKDG5T89wIHwvp65lU6NZP/RN9dDs3AwlqW7IZyZ4Q9K+cC6+a8fksUNoLxXm+muskrCVTCnJMZ4ceKjEiMkzGdylWUVIXXL1soJMDof7k1rUgrEGBvRuo165tO2vuUVpL4bs7GxpO3upUmbRD/haruWSoBsLJToUneqSmZpIfOoLWvUZybAeGkgCUx+ttOABh0KjSS+oj7aRDn3bqPIs6Qh7YhN4qtiSMRMlDPv75FRrgdbwHmRfOszVFzUZoD2KHq1UKcm+z+mjCcSfTON1gQCNb0cwSWcyvTXUqcF7MpIPcjbjLe0HjWJQt6aUFwX/nInJvnWWA0k/UL2tFuMG90DlI/Apzef+90nsjjvClTt51G7cl7H6Exg9uA21f0eWUfg6g0NHj/GoWgcmjR9DywrWl5iCpzc4v38vB89fI1uxEQNHT0F3/GCa1i4/IPxa2WjRy5ucSjzF8+rtGT9VG9WcDE4l7uJGcQvGGMyhR7080pOPkXSzhJ5j9RnUUpa7aceJiYnl+xdlqH3Tj37tG8KjOwjbjEZ3QheyfjjC9u1HKKg7kBkz9OjTUMCNS8eJjpcozeaj3roL2jozGNG3PSpy77iblsSpCw9oM1Sfkd80QlD4kivnTnP5kYhBk3XoUDOX747vYVdiMtkK6rQf0I9uSiKynuXRfpQejQtvkJTynG7jDBncrvL2JeGvFOY85vyxXexJTKFYtRWtNRpScOcWZa0m42alybPLpzl7o4hB+gbSCjmpCYp4eT+NfXv3c/LqjyipdmaAti7Tx3VF5YPvi1484XxMBPtSH9Ny6CiG92zItdNp1B08Hc06j9nhvZqUmvpM063F8ciDlNZuyeSZpozp0+6nyriiUl7cTuNg/HFUtWYzeWALxIVZXL9wlOM3hEwwmUbnetUpys7kwqFYUks6Mt9sNCrF+Tw6d4StOw6QK1H41RuJ+NYF0kU9sZw9BIV3WVw/k0hM1FEeCEBJox3a+qYY9W6DHALysjKI3RrMqbvKjJo2n1nDNSr2gbLCbK6f2ElCujLDDTQ4tXkbGVlitHRnMVt/aAVPQKL98OT7Y2yOSuTWswJU1JujPX0+kzQ7fCAt/nStiAWl5DxIJ25XAkev3ZL27mil0Y+x02YwpJuU7EJZUT7XDoYS+6Q1ljZTaPrxvCsoJufmMTwjDlJt4EI8DLpVXEBU9p4nqQmEHX6F3iJzejaoDP/FolJePzxOTEA05x4LqN92KLOtDenTvG7Fc4sEhdy7tI1tgae4VVyHrlo6zDEfQ0vFjytfEl14xYXdvkTvvctr+WYMnzoTI71vP1V3fLwjsYiyB8ewDTjE6EWBjNX4sCWV5HIoaA2pdSazdM7g3zxQVHUb/Y3Np6p9+V+0O38x7D+x26igKB1fS08uC7phscIMrc5qVU2f/uB0kagkSoStQgP2IBG2WuYwpZL09h8c9p/xM1EBD9MvcursI1qNHI1Wx2aIS3O4eiKKoPCTNNWxx3GWJkp/wUnq9e3zRHqt+kDKnEb5FlllVR74Yx6oAhRVgOKPzZw/+Vf/SEDx/hqBC1YSGp+GUFMXe9uFGA7qVCma8ie76X9yOEHBC84fCCMgOJxLD9WZaLmCVY66laS3/ycfvOJ0WEzG6V24L7HlZK4aTRuqIFNWSHZ+MWq99fFwX8mIdip/iQte3/oAKFTN8PGdQcO/5CpVg/5bPFAFKH7jTWdmZtKgQQMUFBS+Wpvsf8vk+/w5PwIKSSqhRo3fW63wdT31ZcpDWHKf3W7rCY89weMWWiy1WYzx8K6fSLZf9/b+sVcTvH3Gmb0b8d28m8clvZk634L584ch7Sv2LzFhWS53Ug4TtmErx75/SGmjxnyrNxObGUZ82+iv60ya++gqByKCuKWsz/IVY34zR/4veR1Vj/kHPSCTk5PzSfbuDw7yv/oziQrgmzdvUFZWlva5r7K/xgMSP5eWllJSUiIFE39XX0vz3IWFUnBZXSoPLoNctWrIyZWXQQoEwvJywyr7Dz0g6RciRzU5idKtGKFQgFAoaVL1b7LyRlXVqsmVp80+aIIIhUKEnymT/tkekTbwkpOTEssFgn+bz/9sb1aNJ5OVlfXvWrf/wTuXbHR5eXkoKSn9bTe5/+Bx/rb/+hFQSECFBFDISaoL/oYmARTv3r2TAgrJX5VVeaDKA1UeqPLAJw9UpTx+YzZUkTK/znL5J3Iovo5nqq5S5YEqD1R54J/hgf8D5ut2iDmEmPwAAAAASUVORK5CYII="/>
        <xdr:cNvSpPr>
          <a:spLocks noChangeAspect="1" noChangeArrowheads="1"/>
        </xdr:cNvSpPr>
      </xdr:nvSpPr>
      <xdr:spPr bwMode="auto">
        <a:xfrm>
          <a:off x="6172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21" zoomScaleNormal="100" workbookViewId="0">
      <selection activeCell="F49" sqref="F4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358</v>
      </c>
      <c r="F46" s="1" t="s">
        <v>359</v>
      </c>
      <c r="G46" t="s">
        <v>360</v>
      </c>
      <c r="H46" t="s">
        <v>361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[Table("MstCmmMaterialType")]
	[Index(nameof(Code), Name="IX_MstCmmMaterialType_Code")]
	[Index(nameof(IsActive), Name="IX_MstCmmMaterialType_IsActive")]	public class MstCmmMaterialType: FullAuditedEntity&lt;long&gt;, IEntity&lt;long&gt;	
	{
		public const int MaxCodeLength = 4;
		public const int MaxNameLength = 25;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D68" s="48" t="str">
        <f>A.Backend!O7</f>
        <v xml:space="preserve">		public const string Pages_Master_Common_MaterialType = "Pages.Master.Common.MaterialType";
		public const string Pages_Master_Common_MaterialType_CreateEdit = "Pages.Master.Common.MaterialType.CreateEdit";
		public const string Pages_Master_Common_MaterialType_Delete = "Pages.Master.Common.MaterialType.Delete";
</v>
      </c>
      <c r="E68" s="48" t="str">
        <f>A.Backend!N7</f>
        <v xml:space="preserve">		var perMstCmmMaterialType = PARENTS.CreateChildPermission(AppPermissions.Pages_Master_Common_MaterialType, L( "MasterCommonMaterialType"), multiTenancySides: MultiTenancySides.Tenant);
		perMstCmmMaterialType.CreateChildPermission(AppPermissions.Pages_Master_Common_MaterialType_CreateEdit, L( "MasterCommonMaterialTypeCreateEdit"), multiTenancySides: MultiTenancySides.Tenant);
		perMstCmmMaterialType.CreateChildPermission(AppPermissions.Pages_Master_Common_MaterialType_Delete, L( "MasterCommonMaterialTypeDelete"), multiTenancySides: MultiTenancySides.Tenant);</v>
      </c>
      <c r="F68" s="48" t="str">
        <f>A.Backend!K7</f>
        <v>public virtual DbSet&lt;MstCmmMaterialType&gt; MstCmmMaterialTypes { get; set; }</v>
      </c>
      <c r="G68" s="48" t="str">
        <f ca="1">A.Backend!L7</f>
        <v xml:space="preserve">namespace prod.Master.Common
{
	public class MstCmmMaterialTypeConsts	
	{
		public const int MaxCodeLength = 4;
		public const int MaxNameLength = 25;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MstCmmMaterialTypeDto : EntityDto&lt;long?&gt;	
	{
		public virtual string Code { get; set; }
		public virtual string Name { get; set; }
		public virtual string IsActive { get; set; }
	}
	public class CreateOrEditMstCmmMaterialTypeDto : EntityDto&lt;long?&gt;	
	{
		[StringLength(MstCmmMaterialTypeConsts.MaxCodeLength)]
		public virtual string Code { get; set; }
		[StringLength(MstCmmMaterialTypeConsts.MaxNameLength)]
		public virtual string Name { get; set; }
		[StringLength(MstCmmMaterialTypeConsts.MaxIsActiveLength)]
		public virtual string IsActive { get; set; }
	}
	public class GetMstCmmMaterialTypeInput : PagedAndSortedResultRequestDto	
	{
		public virtual string Code { get; set; }
		public virtual string 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MstCmmMaterialTypeExportInput{
		public virtual string Code { get; set; }
		public virtual string 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IMstCmmMaterialTypeAppService : IApplicationService
	{
		Task&lt;PagedResultDto&lt;MstCmmMaterialTypeDto&gt;&gt; GetAll(GetMstCmmMaterialTypeInput input);
		Task CreateOrEdit(CreateOrEditMstCmmMaterialTypeDto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IMstCmmMaterialTypeExcelExporter : IApplicationService
	{
		FileDto ExportToFile(List&lt;MstCmmMaterialTypeDto&gt; mstcmmmaterialtype);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MstCmmMaterialTypeExcelExporter : NpoiExcelExporterBase, IMstCmmMaterialTypeExcelExporter
    {
        public MstCmmMaterialTypeExcelExporter(ITempFileCacheManager tempFileCacheManager) : base(tempFileCacheManager) { }
        public FileDto ExportToFile(List&lt;MstCmmMaterialTypeDto&gt; materialtype)
        {
            return CreateExcelPackage(
				"MasterCommonMaterialType.xlsx",
				excelPackage =&gt;
				 {
					var sheet = excelPackage.CreateSheet("MaterialType");
					AddHeader(
								sheet,
								("Code"),
								("Name"),
								("IsActive"),
							   );
					AddObjects(
						 sheet, 1, materialtype,                                       
								_ =&gt; _.Code,
								_ =&gt; _.Name,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[AbpAuthorize(AppPermissions.Pages_Master_Common_MaterialType)]
    public class MstCmmMaterialTypeAppService : vovinaAppServiceBase, IMstCmmMaterialTypeAppService
    {
        private readonly IDapperRepository&lt;MstCmmMaterialType, long&gt; _dapperRepo;
        private readonly IRepository&lt;MstCmmMaterialType, long&gt; _repo;
        private readonly IMstCmmMaterialTypeExcelExporter _calendarListExcelExporter;
        public MstCmmMaterialTypeAppService(IRepository&lt;MstCmmMaterialType,long&gt; repo, 
                                         IDapperRepository&lt;MstCmmMaterialType,long&gt; dapperRepo,
                                        IMstCmmMaterialTypeExcelExporter calendarListExcelExporter
            )
        {
            _repo = repo;
            _dapperRepo = dapperRepo;
            _calendarListExcelExporter = calendarListExcelExporter;
        }
        [AbpAuthorize(AppPermissions.Pages_Master_Common_MaterialType_CreateEdit)]
        public async Task CreateOrEdit(CreateOrEditMstCmmMaterialTypeDto input)
        {
            if (input.Id == null) await Create(input);
            else await Update(input);
        }
        //CREATE
        private async Task Create(CreateOrEditMstCmmMaterialTypeDto input)
        {          
            var mainObj = ObjectMapper.Map&lt;MstCmmMaterialType&gt;(input);
            await CurrentUnitOfWork.GetDbContext&lt;vovinaDbContext&gt;().AddAsync(mainObj);
        }
        // EDIT
        private async Task Update(CreateOrEditMstCmmMaterialTypeDto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[AbpAuthorize(AppPermissions.Pages_Master_Common_MaterialType_Delete)]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Task&lt;PagedResultDto&lt;MstCmmMaterialTypeDto&gt;&gt; GetAll(GetMstCmmMaterialTypeInput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MstCmmMaterialTypeDto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PagedResultDto&lt;MstCmmMaterialTypeDto&gt;(
                totalCount,
                 await paged.ToListAsync()
            );
        }
        public async Task&lt;FileDto&gt; GetMaterialTypeToExcel(MstCmmMaterialTypeExportInput input)
        {
            var query = from o in _repo.GetAll()
                        select new MstCmmMaterialTypeDto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_dapperRepo.ExecuteAsync(MstCmmMaterialTypeConsts.SP_MST_WPT_CALENDAR_GENERATE);
       // }
    }
}</v>
      </c>
      <c r="N68" s="58" t="str">
        <f>A.Backend!U7</f>
        <v xml:space="preserve">  configuration.CreateMap&lt;MstCmmMaterialTypeDto, MstCmmMaterialType&gt;();
  configuration.CreateMap&lt;MstCmmMaterialType, MstCmmMaterialTypeDto&gt;();
  configuration.CreateMap&lt;CreateOrEditMstCmmMaterialTypeDto, MstCmmMaterialType&gt;();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materialtype</v>
      </c>
      <c r="C73" s="66" t="str">
        <f>"create folder " &amp;B73</f>
        <v>create folder materialtype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25">
      <c r="B74" s="56" t="s">
        <v>229</v>
      </c>
      <c r="C74" s="28" t="str">
        <f>B.Frontend!H14</f>
        <v>materialtype.component.ts</v>
      </c>
      <c r="D74" s="28" t="str">
        <f>B.Frontend!I14</f>
        <v>materialtype.component.html</v>
      </c>
      <c r="E74" s="28" t="str">
        <f>B.Frontend!J14</f>
        <v>materialtype.component.less</v>
      </c>
      <c r="F74" s="28" t="str">
        <f>B.Frontend!K14</f>
        <v>create-or-edit-materialtype-modal.component.html</v>
      </c>
      <c r="G74" s="28" t="str">
        <f>B.Frontend!L14</f>
        <v>create-or-edit-materialtype-modal.component.ts</v>
      </c>
      <c r="H74" s="28" t="str">
        <f>B.Frontend!M14</f>
        <v>create-or-edit-materialtype-modal.component.less</v>
      </c>
      <c r="I74" s="28" t="str">
        <f>B.Frontend!N14</f>
        <v>materialtype.module.ts</v>
      </c>
      <c r="J74" s="28" t="str">
        <f>B.Frontend!O14</f>
        <v>materialtype-routing.module.ts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MstCmmMaterialTypeDto, MstCmmMaterialTypeServiceProxy } from '@shared/service-proxies/service-proxies';
import { finalize } from 'rxjs/internal/operators/finalize';
import { CreateOrEditMaterialTypeModalComponent } from './create-or-edit-materialtype-modal.component';
import { DatePipe } from '@angular/common';
import { FileDownloadService } from '@shared/utils/file-download.service';
import ceil from 'lodash-es/ceil';
import { Paginator } from 'primeng/paginator';
@Component({
    templateUrl: './materialtype.component.html',
    styleUrls: ['./materialtype.component.less'],
})
export class MaterialTypeComponent extends AppComponentBase implements OnInit {
    @ViewChild('createOrEditModalMaterialType', { static: true }) createOrEditModalMaterialType:| CreateOrEditMaterialTypeModalComponent|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MstCmmMaterialTypeDto = new MstCmmMaterialTypeDto();
    saveSelectedRow: MstCmmMaterialTypeDto = new MstCmmMaterialTypeDto();
    datas: MstCmmMaterialTypeDto = new MstCmmMaterialTypeDto();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MstCmmMaterialTypeServiceProxy,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MstCmmMaterialTypeDto[] } }) {
        this.saveSelectedRow = params.api.getSelectedRows()[0] ?? new MstCmmMaterialTypeDto();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MstCmmMaterialTypeDto):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this._service.getMaterialTypeToExcel(
			this.code,
			this.name,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Material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(click)="createOrEditModalMaterialType.show()"&gt;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(click)="createOrEditModalMaterialType.show(selectedRow)"&gt;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&lt;create-or-edit-materialtype-modal
    #createOrEditModalMaterialType
    (modalSave)="callBackDataGrid(dataParams)"
    (modalClose)="onChangeRowSelection(dataParams)"
&gt;
&lt;/create-or-edit-materialtype-modal&gt;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#createOrEditModalMaterialType="bs-modal"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MaterialType')}}&lt;/h3&gt;
                    &lt;h3 *ngIf="!rowdata.id"&gt;{{('Create New MaterialType')}}&lt;/h3&gt;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CreateOrEditMstCmmMaterialTypeDto, MstCmmMaterialTypeServiceProxy } from '@shared/service-proxies/service-proxies';
import { BsDatepickerDirective } from 'ngx-bootstrap/datepicker';
@Component({
    selector: 'create-or-edit-materialtype-modal',
    templateUrl: './create-or-edit-materialtype-modal.component.html',
    styleUrls: ['./create-or-edit-materialtype-modal.component.less']
    })
export class CreateOrEditMaterialTypeModalComponent extends AppComponentBase {
    @ViewChild('createOrEditModalMaterialType',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CreateOrEditMstCmmMaterialTypeDto = new CreateOrEditMstCmmMaterialTypeDto();
    active: boolean = false;
    saving: boolean = false;
    _isActive: boolean;
    constructor(
        injector: Injector,
        private _mstwptMaterialTypeService: MstCmmMaterialTypeServiceProxy,
    ) 
    {
        super(injector);
    }
    show(rowdata?: CreateOrEditMstCmmMaterialTypeDto): void {
        if (!rowdata) this.rowdata = new CreateOrEditMstCmmMaterialTypeDto();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this._mstwptMaterialTypeService.createOrEdit(this.rowdata)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MaterialTypeRoutingModule } from './materialtype-routing.module';
import { MaterialTypeComponent } from './materialtype.component';
import { CreateOrEditMaterialTypeModalComponent } from './create-or-edit-materialtype-modal.component';
@NgModule({
    declarations: [
       MaterialTypeComponent, 
        CreateOrEditMaterialTypeModalComponent
    ],
    imports: [
        AppSharedModule, MaterialTypeRoutingModule]
})
export class MaterialTypeModule {}</v>
      </c>
      <c r="J75" s="46" t="str">
        <f>B.Frontend!O10</f>
        <v>import {NgModule} from '@angular/core';
import {RouterModule, Routes} from '@angular/router';
import { MaterialTypeComponent } from './materialtype.component';
const routes: Routes = [{
    path: '',
    component: MaterialTypeComponent,
    pathMatch: 'full'
}];
@NgModule({
    imports: [RouterModule.forChild(routes)],
    exports: [RouterModule],
})
export class MaterialTypeRoutingModule {}</v>
      </c>
      <c r="K75" s="46" t="str">
        <f>B.Frontend!P10</f>
        <v xml:space="preserve"> new AppMenuItem("MaterialType", "Pages.Master.Common.MaterialType", "flaticon-book",   "/app/main/master/common/materialtype"),</v>
      </c>
      <c r="L75" s="47" t="str">
        <f>B.Frontend!Q10</f>
        <v>{
    path: 'master/common/materialtype',
    loadChildren: () =&gt; import('./master/common/materialtype/materialtype.module').then(m =&gt; m.MaterialTypeModule),
    data: { permission: 'Pages.Master.Common.MaterialType' }
},</v>
      </c>
      <c r="M75" s="45" t="str">
        <f>B.Frontend!R10</f>
        <v>ApiServiceProxies.MstCmmMaterialTypeServiceProxy,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B10" sqref="B10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363</v>
      </c>
      <c r="C3" s="9" t="s">
        <v>43</v>
      </c>
      <c r="D3" s="9" t="s">
        <v>44</v>
      </c>
      <c r="E3" s="9" t="s">
        <v>39</v>
      </c>
      <c r="F3" s="10" t="str">
        <f>"J"&amp;COUNTA($A:$A)</f>
        <v>J11</v>
      </c>
      <c r="G3" s="4" t="s">
        <v>57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56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MstCmmMaterialTypeExportInput{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364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MstCmmMaterialType: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MstCmmMaterialTypeConsts	
	{
</v>
      </c>
      <c r="F6" s="10" t="str">
        <f>REPT(CHAR(9),1)&amp;"public class "&amp;B3&amp;"Dto"&amp;K3&amp;REPT(CHAR(9),1)&amp;"
"&amp;REPT(CHAR(9),1)&amp;C3</f>
        <v xml:space="preserve">	public class MstCmmMaterialTypeDto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CreateOrEditMstCmmMaterialTypeDto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GetMstCmmMaterialTypeInput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MstCmmMaterialType</v>
      </c>
      <c r="C7" s="10" t="str">
        <f>REPT(CHAR(9),1)&amp;"[Table("""&amp;B7&amp;""")]"&amp;"
"</f>
        <v xml:space="preserve">	[Table("MstCmmMaterialType")]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[Table("MstCmmMaterialType")]
	[Index(nameof(Code), Name="IX_MstCmmMaterialType_Code")]
	[Index(nameof(IsActive), Name="IX_MstCmmMaterialType_IsActive")]	public class MstCmmMaterialType: FullAuditedEntity&lt;long&gt;, IEntity&lt;long&gt;	
	{
		public const int MaxCodeLength = 4;
		public const int MaxNameLength = 25;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DbSet&lt;MstCmmMaterialType&gt; MstCmmMaterialTypes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prod.Master.Common
{
	public class MstCmmMaterialTypeConsts	
	{
		public const int MaxCodeLength = 4;
		public const int MaxNameLength = 25;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prod.Master.Common.Dto
{
	public class MstCmmMaterialTypeDto : EntityDto&lt;long?&gt;	
	{
		public virtual string Code { get; set; }
		public virtual string Name { get; set; }
		public virtual string IsActive { get; set; }
	}
	public class CreateOrEditMstCmmMaterialTypeDto : EntityDto&lt;long?&gt;	
	{
		[StringLength(MstCmmMaterialTypeConsts.MaxCodeLength)]
		public virtual string Code { get; set; }
		[StringLength(MstCmmMaterialTypeConsts.MaxNameLength)]
		public virtual string Name { get; set; }
		[StringLength(MstCmmMaterialTypeConsts.MaxIsActiveLength)]
		public virtual string IsActive { get; set; }
	}
	public class GetMstCmmMaterialTypeInput : PagedAndSortedResultRequestDto	
	{
		public virtual string Code { get; set; }
		public virtual string 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perMstCmmMaterialType = PARENTS.CreateChildPermission(AppPermissions.Pages_Master_Common_MaterialType, L( "MasterCommonMaterialType"), multiTenancySides: MultiTenancySides.Tenant);
		perMstCmmMaterialType.CreateChildPermission(AppPermissions.Pages_Master_Common_MaterialType_CreateEdit, L( "MasterCommonMaterialTypeCreateEdit"), multiTenancySides: MultiTenancySides.Tenant);
		perMstCmmMaterialType.CreateChildPermission(AppPermissions.Pages_Master_Common_MaterialType_Delete, L( "MasterCommonMaterialTypeDelete"),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Pages_Master_Common_MaterialType = "Pages.Master.Common.MaterialType";
		public const string Pages_Master_Common_MaterialType_CreateEdit = "Pages.Master.Common.MaterialType.CreateEdit";
		public const string Pages_Master_Common_MaterialType_Delete = "Pages.Master.Common.MaterialType.Delete";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IMstCmmMaterialTypeAppService : IApplicationService
	{
		Task&lt;PagedResultDto&lt;MstCmmMaterialTypeDto&gt;&gt; GetAll(GetMstCmmMaterialTypeInput input);
		Task CreateOrEdit(CreateOrEditMstCmmMaterialTypeDto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[AbpAuthorize(AppPermissions.Pages_Master_Common_MaterialType)]
    public class MstCmmMaterialTypeAppService : vovinaAppServiceBase, IMstCmmMaterialTypeAppService
    {
        private readonly IDapperRepository&lt;MstCmmMaterialType, long&gt; _dapperRepo;
        private readonly IRepository&lt;MstCmmMaterialType, long&gt; _repo;
        private readonly IMstCmmMaterialTypeExcelExporter _calendarListExcelExporter;
        public MstCmmMaterialTypeAppService(IRepository&lt;MstCmmMaterialType,long&gt; repo, 
                                         IDapperRepository&lt;MstCmmMaterialType,long&gt; dapperRepo,
                                        IMstCmmMaterialTypeExcelExporter calendarListExcelExporter
            )
        {
            _repo = repo;
            _dapperRepo = dapperRepo;
            _calendarListExcelExporter = calendarListExcelExporter;
        }
        [AbpAuthorize(AppPermissions.Pages_Master_Common_MaterialType_CreateEdit)]
        public async Task CreateOrEdit(CreateOrEditMstCmmMaterialTypeDto input)
        {
            if (input.Id == null) await Create(input);
            else await Update(input);
        }
        //CREATE
        private async Task Create(CreateOrEditMstCmmMaterialTypeDto input)
        {          
            var mainObj = ObjectMapper.Map&lt;MstCmmMaterialType&gt;(input);
            await CurrentUnitOfWork.GetDbContext&lt;vovinaDbContext&gt;().AddAsync(mainObj);
        }
        // EDIT
        private async Task Update(CreateOrEditMstCmmMaterialTypeDto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[AbpAuthorize(AppPermissions.Pages_Master_Common_MaterialType_Delete)]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Task&lt;PagedResultDto&lt;MstCmmMaterialTypeDto&gt;&gt; GetAll(GetMstCmmMaterialTypeInput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MstCmmMaterialTypeDto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PagedResultDto&lt;MstCmmMaterialTypeDto&gt;(
                totalCount,
                 await paged.ToListAsync()
            );
        }
        public async Task&lt;FileDto&gt; GetMaterialTypeToExcel(MstCmmMaterialTypeExportInput input)
        {
            var query = from o in _repo.GetAll()
                        select new MstCmmMaterialTypeDto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_dapperRepo.ExecuteAsync(MstCmmMaterialTypeConsts.SP_MST_WPT_CALENDAR_GENERATE);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prod.Master.Common.Dto
{
	public class MstCmmMaterialTypeExportInput{
		public virtual string Code { get; set; }
		public virtual string 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IMstCmmMaterialTypeExcelExporter : IApplicationService
	{
		FileDto ExportToFile(List&lt;MstCmmMaterialTypeDto&gt; mstcmmmaterialtype);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MstCmmMaterialTypeExcelExporter : NpoiExcelExporterBase, IMstCmmMaterialTypeExcelExporter
    {
        public MstCmmMaterialTypeExcelExporter(ITempFileCacheManager tempFileCacheManager) : base(tempFileCacheManager) { }
        public FileDto ExportToFile(List&lt;MstCmmMaterialTypeDto&gt; materialtype)
        {
            return CreateExcelPackage(
				"MasterCommonMaterialType.xlsx",
				excelPackage =&gt;
				 {
					var sheet = excelPackage.CreateSheet("MaterialType");
					AddHeader(
								sheet,
								("Code"),
								("Name"),
								("IsActive"),
							   );
					AddObjects(
						 sheet, 1, materialtype,                                       
								_ =&gt; _.Code,
								_ =&gt; _.Name,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configuration.CreateMap&lt;MstCmmMaterialTypeDto, MstCmmMaterialType&gt;();
  configuration.CreateMap&lt;MstCmmMaterialType, MstCmmMaterialTypeDto&gt;();
  configuration.CreateMap&lt;CreateOrEditMstCmmMaterialTypeDto, MstCmmMaterialType&gt;();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353</v>
      </c>
      <c r="B9" t="s">
        <v>362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Name="IX_MstCmmMaterialType_Code")]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[StringLength(MstCmmMaterialTypeConsts.MaxCodeLength)]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365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25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25;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[StringLength(MstCmmMaterialTypeConsts.MaxNameLength)]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4" t="str">
        <f t="shared" ref="T10" si="23">REPT(CHAR(9),8)&amp;"("""&amp;D10&amp;"""),"</f>
        <v xml:space="preserve">								("Name"),</v>
      </c>
      <c r="V10" s="65" t="str">
        <f t="shared" ref="V10" si="24">REPT(CHAR(9),8)&amp;"_ =&gt; _."&amp;D10&amp;","</f>
        <v xml:space="preserve">								_ =&gt; _.Name,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324</v>
      </c>
      <c r="B11" t="s">
        <v>352</v>
      </c>
      <c r="C11" t="s">
        <v>1</v>
      </c>
      <c r="D11" t="str">
        <f>SUBSTITUTE(PROPER(A11),"_","")</f>
        <v>IsActive</v>
      </c>
      <c r="E11" t="str">
        <f t="shared" ref="E11" si="26">IFERROR(LEFT(B11, FIND("(",B11)-1),B11)</f>
        <v>nvarchar</v>
      </c>
      <c r="F11" s="6"/>
      <c r="G11" t="str">
        <f t="shared" ref="G11" si="27">IFERROR(MID(B11,FIND("(",B11) +1, FIND(")",B11) - FIND("(",B11) - 1),"")</f>
        <v>1</v>
      </c>
      <c r="H11" t="str">
        <f>+VLOOKUP(E11,'[1]Data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MaxIsActiveLength = 1;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6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Name="IX_MstCmmMaterialType_IsActive")]</v>
      </c>
      <c r="M11" t="str">
        <f t="shared" ref="M11" si="30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[StringLength(MstCmmMaterialTypeConsts.MaxIsActiveLength)]
		public virtual string IsActive { get; set; }
</v>
      </c>
      <c r="O11" t="str">
        <f t="shared" ref="O11" si="32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3">REPT(CHAR(9),7)&amp;D11&amp;" = o." &amp;D11 &amp;","</f>
        <v xml:space="preserve">							IsActive = o.IsActive,</v>
      </c>
      <c r="T11" s="64" t="str">
        <f t="shared" ref="T11" si="34">REPT(CHAR(9),8)&amp;"("""&amp;D11&amp;"""),"</f>
        <v xml:space="preserve">								("IsActive"),</v>
      </c>
      <c r="V11" s="65" t="str">
        <f t="shared" ref="V11" si="35">REPT(CHAR(9),8)&amp;"_ =&gt; _."&amp;D11&amp;","</f>
        <v xml:space="preserve">								_ =&gt; _.IsActive,</v>
      </c>
      <c r="W11" s="64" t="str">
        <f t="shared" ref="W11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MaxCodeLength = 4;
		public const int MaxNameLength = 25;
		public const int MaxIsActiveLength = 1;
</v>
      </c>
      <c r="J13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[StringLength(MaxIsActiveLength)]
		public virtual string IsActive { get; set; }
</v>
      </c>
      <c r="K13" s="32" t="str">
        <f ca="1">TEXTJOIN2("
", TRUE,INDIRECT( $J$1):INDIRECT( $J$3))</f>
        <v xml:space="preserve">	[Index(nameof(Code), Name="IX_MstCmmMaterialType_Code")]
	[Index(nameof(IsActive), Name="IX_MstCmmMaterialType_IsActive")]</v>
      </c>
      <c r="L13" s="12" t="s">
        <v>60</v>
      </c>
      <c r="M13" s="33" t="str">
        <f ca="1">TEXTJOIN2("
",TRUE,INDIRECT( $L$1):INDIRECT($L$3))</f>
        <v xml:space="preserve">		public virtual string Code { get; set; }
		public virtual string Name { get; set; }
		public virtual string IsActive { get; set; }
</v>
      </c>
      <c r="N13" s="30" t="str">
        <f ca="1">TEXTJOIN2("
",TRUE,INDIRECT( $M$1):INDIRECT($M$3))</f>
        <v xml:space="preserve">		[StringLength(MstCmmMaterialTypeConsts.MaxCodeLength)]
		public virtual string Code { get; set; }
		[StringLength(MstCmmMaterialTypeConsts.MaxNameLength)]
		public virtual string Name { get; set; }
		[StringLength(MstCmmMaterialTypeConsts.MaxIsActiveLength)]
		public virtual string IsActive { get; set; }
</v>
      </c>
      <c r="O13" s="30" t="str">
        <f ca="1">TEXTJOIN2("
",TRUE,INDIRECT( $N$1):INDIRECT($N$3))</f>
        <v xml:space="preserve">		public virtual string Code { get; set; }
		public virtual string Name { get; set; }
		public virtual string IsActive { get; set; }
</v>
      </c>
      <c r="P13" s="8" t="str">
        <f ca="1">TEXTJOIN2("
",TRUE,INDIRECT( $O$1):INDIRECT($O$3))</f>
        <v xml:space="preserve">							Code = o.Code,
							Name = o.Name,
							IsActive = o.IsActive,</v>
      </c>
      <c r="T13" s="8" t="str">
        <f ca="1">TEXTJOIN2("
",TRUE,INDIRECT( $T$2):INDIRECT($T$3))</f>
        <v xml:space="preserve">								("Code"),
								("Name"),
								("IsActive"),</v>
      </c>
      <c r="V13" s="8" t="str">
        <f ca="1">TEXTJOIN2("
",TRUE,INDIRECT( $V$2):INDIRECT($V$3))</f>
        <v xml:space="preserve">								_ =&gt; _.Code,
								_ =&gt; _.Name,
								_ =&gt; _.IsActive,</v>
      </c>
      <c r="W13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B7" sqref="B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212</v>
      </c>
      <c r="B1" s="39" t="s">
        <v>366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MstCmmMaterialType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MaterialType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materialtype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MstCmmMaterialTypeDto, MstCmmMaterialTypeServiceProxy } from '@shared/service-proxies/service-proxies';
import { finalize } from 'rxjs/internal/operators/finalize';
import { CreateOrEditMaterialTypeModalComponent } from './create-or-edit-materialtype-modal.component';
import { DatePipe } from '@angular/common';
import { FileDownloadService } from '@shared/utils/file-download.service';
import ceil from 'lodash-es/ceil';
import { Paginator } from 'primeng/paginator';
@Component({
    templateUrl: './materialtype.component.html',
    styleUrls: ['./materialtype.component.less'],
})
export class MaterialTypeComponent extends AppComponentBase implements OnInit {
    @ViewChild('createOrEditModalMaterialType', { static: true }) createOrEditModalMaterialType:| CreateOrEditMaterialTypeModalComponent|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MstCmmMaterialTypeDto = new MstCmmMaterialTypeDto();
    saveSelectedRow: MstCmmMaterialTypeDto = new MstCmmMaterialTypeDto();
    datas: MstCmmMaterialTypeDto = new MstCmmMaterialTypeDto();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MstCmmMaterialTypeServiceProxy,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MstCmmMaterialTypeDto[] } }) {
        this.saveSelectedRow = params.api.getSelectedRows()[0] ?? new MstCmmMaterialTypeDto();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MstCmmMaterialTypeDto):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this._service.getMaterialTypeToExcel(
			this.code,
			this.name,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Material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(click)="createOrEditModalMaterialType.show()"&gt;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(click)="createOrEditModalMaterialType.show(selectedRow)"&gt;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&lt;create-or-edit-materialtype-modal
    #createOrEditModalMaterialType
    (modalSave)="callBackDataGrid(dataParams)"
    (modalClose)="onChangeRowSelection(dataParams)"
&gt;
&lt;/create-or-edit-materialtype-modal&gt;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#createOrEditModalMaterialType="bs-modal"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MaterialType')}}&lt;/h3&gt;
                    &lt;h3 *ngIf="!rowdata.id"&gt;{{('Create New MaterialType')}}&lt;/h3&gt;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CreateOrEditMstCmmMaterialTypeDto, MstCmmMaterialTypeServiceProxy } from '@shared/service-proxies/service-proxies';
import { BsDatepickerDirective } from 'ngx-bootstrap/datepicker';
@Component({
    selector: 'create-or-edit-materialtype-modal',
    templateUrl: './create-or-edit-materialtype-modal.component.html',
    styleUrls: ['./create-or-edit-materialtype-modal.component.less']
    })
export class CreateOrEditMaterialTypeModalComponent extends AppComponentBase {
    @ViewChild('createOrEditModalMaterialType',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CreateOrEditMstCmmMaterialTypeDto = new CreateOrEditMstCmmMaterialTypeDto();
    active: boolean = false;
    saving: boolean = false;
    _isActive: boolean;
    constructor(
        injector: Injector,
        private _mstwptMaterialTypeService: MstCmmMaterialTypeServiceProxy,
    ) 
    {
        super(injector);
    }
    show(rowdata?: CreateOrEditMstCmmMaterialTypeDto): void {
        if (!rowdata) this.rowdata = new CreateOrEditMstCmmMaterialTypeDto();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this._mstwptMaterialTypeService.createOrEdit(this.rowdata)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MaterialTypeRoutingModule } from './materialtype-routing.module';
import { MaterialTypeComponent } from './materialtype.component';
import { CreateOrEditMaterialTypeModalComponent } from './create-or-edit-materialtype-modal.component';
@NgModule({
    declarations: [
       MaterialTypeComponent, 
        CreateOrEditMaterialTypeModalComponent
    ],
    imports: [
        AppSharedModule, MaterialTypeRoutingModule]
})
export class MaterialTypeModule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MaterialTypeComponent } from './materialtype.component';
const routes: Routes = [{
    path: '',
    component: MaterialTypeComponent,
    pathMatch: 'full'
}];
@NgModule({
    imports: [RouterModule.forChild(routes)],
    exports: [RouterModule],
})
export class MaterialTypeRoutingModule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AppMenuItem("MaterialType", "Pages.Master.Common.MaterialType", "flaticon-book",   "/app/main/master/common/materialtype"),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'master/common/materialtype',
    loadChildren: () =&gt; import('./master/common/materialtype/materialtype.module').then(m =&gt; m.MaterialTypeModule),
    data: { permission: 'Pages.Master.Common.MaterialType' }
},</v>
      </c>
      <c r="R10" s="47" t="str">
        <f>SUBSTITUTE(R9,"MstWptCalendar",$B$6)</f>
        <v>ApiServiceProxies.MstCmmMaterialTypeServiceProxy,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isActive : string = '' ; </v>
      </c>
      <c r="T13" s="63" t="str">
        <f ca="1">TEXTJOIN2("
",TRUE,INDIRECT(T11):INDIRECT(T12))</f>
        <v xml:space="preserve">			this.code,
			this.name,
			this.isActive,</v>
      </c>
      <c r="U13" s="63" t="str">
        <f ca="1">TEXTJOIN2("
",TRUE,INDIRECT(U11):INDIRECT(U12))</f>
        <v xml:space="preserve">		this.code = '',
		this.name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materialtype.component.ts</v>
      </c>
      <c r="I14" s="37" t="str">
        <f>B8&amp;".component.html"</f>
        <v>materialtype.component.html</v>
      </c>
      <c r="J14" s="36" t="str">
        <f>B8&amp;".component.less"</f>
        <v>materialtype.component.less</v>
      </c>
      <c r="K14" s="37" t="str">
        <f>"create-or-edit-"&amp;B8&amp;"-modal.component.html"</f>
        <v>create-or-edit-materialtype-modal.component.html</v>
      </c>
      <c r="L14" s="37" t="str">
        <f>"create-or-edit-"&amp;B8&amp;"-modal.component.ts"</f>
        <v>create-or-edit-materialtype-modal.component.ts</v>
      </c>
      <c r="M14" s="37" t="str">
        <f>"create-or-edit-"&amp;B8&amp;"-modal.component.less"</f>
        <v>create-or-edit-materialtype-modal.component.less</v>
      </c>
      <c r="N14" s="37" t="str">
        <f>B8&amp;".module.ts"</f>
        <v>materialtype.module.ts</v>
      </c>
      <c r="O14" s="37" t="str">
        <f>B8&amp;"-routing.module.ts"</f>
        <v>materialtype-routing.module.ts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6" si="0">SUBSTITUTE(PROPER(A15),"_","")</f>
        <v>Code</v>
      </c>
      <c r="C15" s="28" t="str">
        <f t="shared" ref="C15:C16" si="1">SUBSTITUTE(PROPER(A15),"_"," ")</f>
        <v>Code</v>
      </c>
      <c r="D15" s="28" t="str">
        <f t="shared" ref="D15:D16" si="2">LOWER(LEFT(B15,1))&amp;RIGHT(B15,LEN(B15) - 1)</f>
        <v>code</v>
      </c>
      <c r="E15" s="28" t="str">
        <f>A.Backend!H9</f>
        <v>string</v>
      </c>
      <c r="F15" s="28" t="str">
        <f>A.Backend!G9</f>
        <v>4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354</v>
      </c>
      <c r="B16" s="28" t="str">
        <f t="shared" si="0"/>
        <v>Name</v>
      </c>
      <c r="C16" s="28" t="str">
        <f t="shared" si="1"/>
        <v>Name</v>
      </c>
      <c r="D16" s="28" t="str">
        <f t="shared" si="2"/>
        <v>name</v>
      </c>
      <c r="E16" s="28" t="str">
        <f>A.Backend!H10</f>
        <v>string</v>
      </c>
      <c r="F16" s="28" t="str">
        <f>A.Backend!G10</f>
        <v>25</v>
      </c>
      <c r="G16" s="28" t="str">
        <f t="shared" si="3"/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name : string = '' ; </v>
      </c>
      <c r="T16" s="28" t="str">
        <f t="shared" ref="T16" si="10">REPT(CHAR(9),3)&amp;"this."&amp;D16&amp;","</f>
        <v xml:space="preserve">			this.name,</v>
      </c>
      <c r="U16" s="28" t="str">
        <f t="shared" ref="U16" si="11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s="28" t="s">
        <v>324</v>
      </c>
      <c r="B17" s="28" t="str">
        <f t="shared" ref="B17" si="12">SUBSTITUTE(PROPER(A17),"_","")</f>
        <v>IsActive</v>
      </c>
      <c r="C17" s="28" t="str">
        <f t="shared" ref="C17" si="13">SUBSTITUTE(PROPER(A17),"_"," ")</f>
        <v>Is Active</v>
      </c>
      <c r="D17" s="28" t="str">
        <f t="shared" ref="D17" si="14">LOWER(LEFT(B17,1))&amp;RIGHT(B17,LEN(B17) - 1)</f>
        <v>isActive</v>
      </c>
      <c r="E17" s="28" t="str">
        <f>A.Backend!H11</f>
        <v>string</v>
      </c>
      <c r="F17" s="28" t="str">
        <f>A.Backend!G11</f>
        <v>1</v>
      </c>
      <c r="G17" s="28" t="str">
        <f t="shared" ref="G17" si="15">IF(E17="string"," : string = '' ; ",IF(OR(E17="DateTime",E17="TimeSpan")," : any ;",IF(E17="int"," : number = 0 ;","")))</f>
        <v xml:space="preserve"> : string = '' ; </v>
      </c>
      <c r="H17" s="35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28"/>
      <c r="K17" s="35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0">REPT(CHAR(9),1)&amp;D17&amp;G17</f>
        <v xml:space="preserve">	isActive : string = '' ; </v>
      </c>
      <c r="T17" s="28" t="str">
        <f t="shared" ref="T17" si="21">REPT(CHAR(9),3)&amp;"this."&amp;D17&amp;","</f>
        <v xml:space="preserve">			this.isActive,</v>
      </c>
      <c r="U17" s="28" t="str">
        <f t="shared" ref="U17" si="22">IF(E17="int",REPT(CHAR(9),2)&amp;"this."&amp;D17&amp;" = 0,",REPT(CHAR(9),2)&amp;"this."&amp;D17&amp;" = '',")</f>
        <v xml:space="preserve">		this.isActive = '',</v>
      </c>
      <c r="V17" s="28" t="str">
        <f t="shared" ref="V17" si="23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B28" sqref="B2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10"/>
  <sheetViews>
    <sheetView workbookViewId="0">
      <selection activeCell="A10" sqref="A10:H10"/>
    </sheetView>
  </sheetViews>
  <sheetFormatPr defaultRowHeight="15" x14ac:dyDescent="0.25"/>
  <cols>
    <col min="1" max="41" width="3.7109375" customWidth="1"/>
  </cols>
  <sheetData>
    <row r="1" spans="1:41" ht="16.5" x14ac:dyDescent="0.25">
      <c r="A1" s="68" t="s">
        <v>367</v>
      </c>
      <c r="B1" s="68"/>
      <c r="C1" s="68"/>
      <c r="D1" s="68"/>
      <c r="E1" s="68"/>
      <c r="F1" s="68"/>
      <c r="G1" s="68"/>
      <c r="H1" s="69"/>
      <c r="I1" s="70" t="s">
        <v>368</v>
      </c>
      <c r="J1" s="71"/>
      <c r="K1" s="71"/>
      <c r="L1" s="71"/>
      <c r="M1" s="71"/>
      <c r="N1" s="71"/>
      <c r="O1" s="71"/>
      <c r="P1" s="71"/>
      <c r="Q1" s="71"/>
      <c r="R1" s="95"/>
      <c r="S1" s="96" t="s">
        <v>376</v>
      </c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</row>
    <row r="2" spans="1:41" ht="15" customHeight="1" x14ac:dyDescent="0.25">
      <c r="A2" s="72" t="s">
        <v>369</v>
      </c>
      <c r="B2" s="73"/>
      <c r="C2" s="73"/>
      <c r="D2" s="73"/>
      <c r="E2" s="73"/>
      <c r="F2" s="73"/>
      <c r="G2" s="73"/>
      <c r="H2" s="74"/>
      <c r="I2" s="81" t="s">
        <v>355</v>
      </c>
      <c r="J2" s="90"/>
      <c r="K2" s="90"/>
      <c r="L2" s="90"/>
      <c r="M2" s="90"/>
      <c r="N2" s="90"/>
      <c r="O2" s="90"/>
      <c r="P2" s="90"/>
      <c r="Q2" s="90"/>
      <c r="R2" s="98"/>
      <c r="S2" s="101" t="s">
        <v>377</v>
      </c>
      <c r="T2" s="102"/>
      <c r="U2" s="102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</row>
    <row r="3" spans="1:41" ht="15" customHeight="1" x14ac:dyDescent="0.25">
      <c r="A3" s="75"/>
      <c r="B3" s="76"/>
      <c r="C3" s="76"/>
      <c r="D3" s="76"/>
      <c r="E3" s="76"/>
      <c r="F3" s="76"/>
      <c r="G3" s="76"/>
      <c r="H3" s="77"/>
      <c r="I3" s="82"/>
      <c r="J3" s="91"/>
      <c r="K3" s="91"/>
      <c r="L3" s="91"/>
      <c r="M3" s="91"/>
      <c r="N3" s="91"/>
      <c r="O3" s="91"/>
      <c r="P3" s="91"/>
      <c r="Q3" s="91"/>
      <c r="R3" s="99"/>
      <c r="S3" s="101" t="s">
        <v>378</v>
      </c>
      <c r="T3" s="102"/>
      <c r="U3" s="102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</row>
    <row r="4" spans="1:41" ht="16.5" customHeight="1" x14ac:dyDescent="0.25">
      <c r="A4" s="78"/>
      <c r="B4" s="79"/>
      <c r="C4" s="79"/>
      <c r="D4" s="79"/>
      <c r="E4" s="79"/>
      <c r="F4" s="79"/>
      <c r="G4" s="79"/>
      <c r="H4" s="80"/>
      <c r="I4" s="83"/>
      <c r="J4" s="92"/>
      <c r="K4" s="92"/>
      <c r="L4" s="92"/>
      <c r="M4" s="92"/>
      <c r="N4" s="92"/>
      <c r="O4" s="92"/>
      <c r="P4" s="92"/>
      <c r="Q4" s="92"/>
      <c r="R4" s="100"/>
      <c r="S4" s="104" t="s">
        <v>379</v>
      </c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</row>
    <row r="5" spans="1:41" ht="16.5" customHeight="1" x14ac:dyDescent="0.25">
      <c r="A5" s="72" t="s">
        <v>370</v>
      </c>
      <c r="B5" s="73"/>
      <c r="C5" s="73"/>
      <c r="D5" s="73"/>
      <c r="E5" s="73"/>
      <c r="F5" s="73"/>
      <c r="G5" s="73"/>
      <c r="H5" s="73"/>
      <c r="I5" s="84" t="s">
        <v>357</v>
      </c>
      <c r="J5" s="85"/>
      <c r="K5" s="85"/>
      <c r="L5" s="85"/>
      <c r="M5" s="85"/>
      <c r="N5" s="85"/>
      <c r="O5" s="85"/>
      <c r="P5" s="85"/>
      <c r="Q5" s="85"/>
      <c r="R5" s="106"/>
      <c r="S5" s="104" t="s">
        <v>380</v>
      </c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</row>
    <row r="6" spans="1:41" ht="16.5" customHeight="1" x14ac:dyDescent="0.25">
      <c r="A6" s="75"/>
      <c r="B6" s="76"/>
      <c r="C6" s="76"/>
      <c r="D6" s="76"/>
      <c r="E6" s="76"/>
      <c r="F6" s="76"/>
      <c r="G6" s="76"/>
      <c r="H6" s="76"/>
      <c r="I6" s="84" t="s">
        <v>371</v>
      </c>
      <c r="J6" s="85"/>
      <c r="K6" s="85"/>
      <c r="L6" s="85"/>
      <c r="M6" s="85"/>
      <c r="N6" s="85"/>
      <c r="O6" s="85"/>
      <c r="P6" s="85"/>
      <c r="Q6" s="85"/>
      <c r="R6" s="106"/>
      <c r="S6" s="104" t="s">
        <v>381</v>
      </c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</row>
    <row r="7" spans="1:41" ht="16.5" customHeight="1" x14ac:dyDescent="0.25">
      <c r="A7" s="75"/>
      <c r="B7" s="76"/>
      <c r="C7" s="76"/>
      <c r="D7" s="76"/>
      <c r="E7" s="76"/>
      <c r="F7" s="76"/>
      <c r="G7" s="76"/>
      <c r="H7" s="76"/>
      <c r="I7" s="85" t="s">
        <v>372</v>
      </c>
      <c r="J7" s="85"/>
      <c r="K7" s="85"/>
      <c r="L7" s="85"/>
      <c r="M7" s="85"/>
      <c r="N7" s="85"/>
      <c r="O7" s="85"/>
      <c r="P7" s="85"/>
      <c r="Q7" s="85"/>
      <c r="R7" s="93"/>
      <c r="S7" s="104" t="s">
        <v>382</v>
      </c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</row>
    <row r="8" spans="1:41" ht="16.5" customHeight="1" x14ac:dyDescent="0.25">
      <c r="A8" s="75"/>
      <c r="B8" s="76"/>
      <c r="C8" s="76"/>
      <c r="D8" s="76"/>
      <c r="E8" s="76"/>
      <c r="F8" s="76"/>
      <c r="G8" s="76"/>
      <c r="H8" s="76"/>
      <c r="I8" s="85" t="s">
        <v>373</v>
      </c>
      <c r="J8" s="85"/>
      <c r="K8" s="85"/>
      <c r="L8" s="85"/>
      <c r="M8" s="85"/>
      <c r="N8" s="85"/>
      <c r="O8" s="85"/>
      <c r="P8" s="85"/>
      <c r="Q8" s="85"/>
      <c r="R8" s="93"/>
      <c r="S8" s="104" t="s">
        <v>383</v>
      </c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</row>
    <row r="9" spans="1:41" ht="16.5" customHeight="1" x14ac:dyDescent="0.25">
      <c r="A9" s="78"/>
      <c r="B9" s="79"/>
      <c r="C9" s="79"/>
      <c r="D9" s="79"/>
      <c r="E9" s="79"/>
      <c r="F9" s="79"/>
      <c r="G9" s="79"/>
      <c r="H9" s="79"/>
      <c r="I9" s="86" t="s">
        <v>356</v>
      </c>
      <c r="J9" s="86"/>
      <c r="K9" s="86"/>
      <c r="L9" s="86"/>
      <c r="M9" s="86"/>
      <c r="N9" s="86"/>
      <c r="O9" s="86"/>
      <c r="P9" s="86"/>
      <c r="Q9" s="86"/>
      <c r="R9" s="94"/>
      <c r="S9" s="107" t="s">
        <v>384</v>
      </c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O9" s="108"/>
    </row>
    <row r="10" spans="1:41" ht="16.5" customHeight="1" x14ac:dyDescent="0.25">
      <c r="A10" s="87" t="s">
        <v>374</v>
      </c>
      <c r="B10" s="88"/>
      <c r="C10" s="88"/>
      <c r="D10" s="88"/>
      <c r="E10" s="88"/>
      <c r="F10" s="88"/>
      <c r="G10" s="88"/>
      <c r="H10" s="89"/>
      <c r="I10" s="84" t="s">
        <v>375</v>
      </c>
      <c r="J10" s="85"/>
      <c r="K10" s="85"/>
      <c r="L10" s="85"/>
      <c r="M10" s="85"/>
      <c r="N10" s="85"/>
      <c r="O10" s="85"/>
      <c r="P10" s="85"/>
      <c r="Q10" s="85"/>
      <c r="R10" s="106"/>
      <c r="S10" s="104" t="s">
        <v>385</v>
      </c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</row>
  </sheetData>
  <mergeCells count="52">
    <mergeCell ref="I10:R10"/>
    <mergeCell ref="S10:AO10"/>
    <mergeCell ref="O8:Q8"/>
    <mergeCell ref="S8:AO8"/>
    <mergeCell ref="I9:K9"/>
    <mergeCell ref="L9:N9"/>
    <mergeCell ref="O9:Q9"/>
    <mergeCell ref="S9:AO9"/>
    <mergeCell ref="AC3:AE3"/>
    <mergeCell ref="AF3:AH3"/>
    <mergeCell ref="AI3:AJ3"/>
    <mergeCell ref="AK3:AM3"/>
    <mergeCell ref="AN3:AO3"/>
    <mergeCell ref="AK1:AM1"/>
    <mergeCell ref="AN1:AO1"/>
    <mergeCell ref="I2:R4"/>
    <mergeCell ref="S2:U2"/>
    <mergeCell ref="V2:X2"/>
    <mergeCell ref="Y2:Z2"/>
    <mergeCell ref="AA2:AB2"/>
    <mergeCell ref="AC2:AE2"/>
    <mergeCell ref="AF2:AH2"/>
    <mergeCell ref="AI2:AJ2"/>
    <mergeCell ref="AK2:AM2"/>
    <mergeCell ref="AN2:AO2"/>
    <mergeCell ref="S3:U3"/>
    <mergeCell ref="V3:X3"/>
    <mergeCell ref="Y3:Z3"/>
    <mergeCell ref="AA3:AB3"/>
    <mergeCell ref="Y1:Z1"/>
    <mergeCell ref="AA1:AB1"/>
    <mergeCell ref="AC1:AE1"/>
    <mergeCell ref="AF1:AH1"/>
    <mergeCell ref="AI1:AJ1"/>
    <mergeCell ref="A10:H10"/>
    <mergeCell ref="I1:R1"/>
    <mergeCell ref="S1:U1"/>
    <mergeCell ref="V1:X1"/>
    <mergeCell ref="S4:AO4"/>
    <mergeCell ref="I5:R5"/>
    <mergeCell ref="S5:AO5"/>
    <mergeCell ref="I6:R6"/>
    <mergeCell ref="S6:AO6"/>
    <mergeCell ref="I7:K7"/>
    <mergeCell ref="L7:N7"/>
    <mergeCell ref="O7:Q7"/>
    <mergeCell ref="S7:AO7"/>
    <mergeCell ref="I8:K8"/>
    <mergeCell ref="L8:N8"/>
    <mergeCell ref="A1:H1"/>
    <mergeCell ref="A2:H4"/>
    <mergeCell ref="A5:H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2023-06-10T05:19:23Z</dcterms:modified>
</cp:coreProperties>
</file>
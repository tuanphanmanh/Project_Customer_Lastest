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C16" i="5"/>
  <c r="B16" i="5"/>
  <c r="D16" i="5"/>
  <c r="D22" i="5"/>
  <c r="D24" i="5"/>
  <c r="D26" i="5"/>
  <c r="D28" i="5"/>
  <c r="D30" i="5"/>
  <c r="D32" i="5"/>
  <c r="E16" i="5"/>
  <c r="F16" i="5"/>
  <c r="G16" i="5"/>
  <c r="B17" i="5"/>
  <c r="D17" i="5" s="1"/>
  <c r="C17" i="5"/>
  <c r="E17" i="5"/>
  <c r="F17" i="5"/>
  <c r="G17" i="5"/>
  <c r="B18" i="5"/>
  <c r="D18" i="5" s="1"/>
  <c r="C18" i="5"/>
  <c r="E18" i="5"/>
  <c r="G18" i="5" s="1"/>
  <c r="F18" i="5"/>
  <c r="B19" i="5"/>
  <c r="D19" i="5" s="1"/>
  <c r="C19" i="5"/>
  <c r="E19" i="5"/>
  <c r="G19" i="5" s="1"/>
  <c r="F19" i="5"/>
  <c r="B20" i="5"/>
  <c r="D20" i="5" s="1"/>
  <c r="E20" i="5"/>
  <c r="G20" i="5" s="1"/>
  <c r="F20" i="5"/>
  <c r="B21" i="5"/>
  <c r="D21" i="5" s="1"/>
  <c r="C21" i="5"/>
  <c r="E21" i="5"/>
  <c r="T21" i="5" s="1"/>
  <c r="F21" i="5"/>
  <c r="G21" i="5"/>
  <c r="B22" i="5"/>
  <c r="C22" i="5"/>
  <c r="E22" i="5"/>
  <c r="F22" i="5"/>
  <c r="V22" i="5" s="1"/>
  <c r="G22" i="5"/>
  <c r="B23" i="5"/>
  <c r="D23" i="5" s="1"/>
  <c r="C23" i="5"/>
  <c r="E23" i="5"/>
  <c r="V23" i="5" s="1"/>
  <c r="F23" i="5"/>
  <c r="B24" i="5"/>
  <c r="C24" i="5"/>
  <c r="E24" i="5"/>
  <c r="G24" i="5" s="1"/>
  <c r="F24" i="5"/>
  <c r="V24" i="5" s="1"/>
  <c r="B25" i="5"/>
  <c r="D25" i="5" s="1"/>
  <c r="C25" i="5"/>
  <c r="E25" i="5"/>
  <c r="V25" i="5" s="1"/>
  <c r="F25" i="5"/>
  <c r="G25" i="5"/>
  <c r="B26" i="5"/>
  <c r="C26" i="5"/>
  <c r="E26" i="5"/>
  <c r="F26" i="5"/>
  <c r="V26" i="5" s="1"/>
  <c r="G26" i="5"/>
  <c r="B27" i="5"/>
  <c r="D27" i="5" s="1"/>
  <c r="C27" i="5"/>
  <c r="E27" i="5"/>
  <c r="V27" i="5" s="1"/>
  <c r="F27" i="5"/>
  <c r="B28" i="5"/>
  <c r="C28" i="5"/>
  <c r="E28" i="5"/>
  <c r="G28" i="5" s="1"/>
  <c r="F28" i="5"/>
  <c r="V28" i="5" s="1"/>
  <c r="B29" i="5"/>
  <c r="D29" i="5" s="1"/>
  <c r="C29" i="5"/>
  <c r="E29" i="5"/>
  <c r="V29" i="5" s="1"/>
  <c r="F29" i="5"/>
  <c r="G29" i="5"/>
  <c r="B30" i="5"/>
  <c r="C30" i="5"/>
  <c r="E30" i="5"/>
  <c r="F30" i="5"/>
  <c r="V30" i="5" s="1"/>
  <c r="G30" i="5"/>
  <c r="B31" i="5"/>
  <c r="D31" i="5" s="1"/>
  <c r="C31" i="5"/>
  <c r="E31" i="5"/>
  <c r="V31" i="5" s="1"/>
  <c r="F31" i="5"/>
  <c r="B32" i="5"/>
  <c r="C32" i="5"/>
  <c r="K32" i="5" s="1"/>
  <c r="E32" i="5"/>
  <c r="G32" i="5" s="1"/>
  <c r="F32" i="5"/>
  <c r="V32" i="5" s="1"/>
  <c r="B33" i="5"/>
  <c r="D33" i="5" s="1"/>
  <c r="C33" i="5"/>
  <c r="E33" i="5"/>
  <c r="F33" i="5"/>
  <c r="G33" i="5"/>
  <c r="E15" i="5"/>
  <c r="C15" i="5"/>
  <c r="B15" i="5"/>
  <c r="D15" i="5" s="1"/>
  <c r="L32" i="5"/>
  <c r="H32" i="5"/>
  <c r="S30" i="5"/>
  <c r="L30" i="5"/>
  <c r="H30" i="5"/>
  <c r="L28" i="5"/>
  <c r="K28" i="5"/>
  <c r="H28" i="5"/>
  <c r="U26" i="5"/>
  <c r="S26" i="5"/>
  <c r="L26" i="5"/>
  <c r="K26" i="5"/>
  <c r="H26" i="5"/>
  <c r="L24" i="5"/>
  <c r="K24" i="5"/>
  <c r="H24" i="5"/>
  <c r="U22" i="5"/>
  <c r="S22" i="5"/>
  <c r="L22" i="5"/>
  <c r="K22" i="5"/>
  <c r="H22" i="5"/>
  <c r="V21" i="5"/>
  <c r="L21" i="5"/>
  <c r="T25" i="1"/>
  <c r="P25" i="1"/>
  <c r="L25" i="1"/>
  <c r="H25" i="1"/>
  <c r="W25" i="1" s="1"/>
  <c r="G25" i="1"/>
  <c r="E25" i="1"/>
  <c r="D25" i="1"/>
  <c r="V25" i="1" s="1"/>
  <c r="L24" i="1"/>
  <c r="G24" i="1"/>
  <c r="E24" i="1"/>
  <c r="H24" i="1" s="1"/>
  <c r="D24" i="1"/>
  <c r="T24" i="1" s="1"/>
  <c r="T23" i="1"/>
  <c r="P23" i="1"/>
  <c r="L23" i="1"/>
  <c r="H23" i="1"/>
  <c r="W23" i="1" s="1"/>
  <c r="G23" i="1"/>
  <c r="E23" i="1"/>
  <c r="D23" i="1"/>
  <c r="V23" i="1" s="1"/>
  <c r="L22" i="1"/>
  <c r="G22" i="1"/>
  <c r="E22" i="1"/>
  <c r="H22" i="1" s="1"/>
  <c r="D22" i="1"/>
  <c r="T22" i="1" s="1"/>
  <c r="T21" i="1"/>
  <c r="L21" i="1"/>
  <c r="H21" i="1"/>
  <c r="W21" i="1" s="1"/>
  <c r="G21" i="1"/>
  <c r="E21" i="1"/>
  <c r="D21" i="1"/>
  <c r="V21" i="1" s="1"/>
  <c r="L20" i="1"/>
  <c r="G20" i="1"/>
  <c r="E20" i="1"/>
  <c r="H20" i="1" s="1"/>
  <c r="D20" i="1"/>
  <c r="T20" i="1" s="1"/>
  <c r="T19" i="1"/>
  <c r="L19" i="1"/>
  <c r="H19" i="1"/>
  <c r="W19" i="1" s="1"/>
  <c r="G19" i="1"/>
  <c r="E19" i="1"/>
  <c r="D19" i="1"/>
  <c r="V19" i="1" s="1"/>
  <c r="L26" i="1"/>
  <c r="G26" i="1"/>
  <c r="E26" i="1"/>
  <c r="H26" i="1" s="1"/>
  <c r="D26" i="1"/>
  <c r="T26" i="1" s="1"/>
  <c r="T18" i="1"/>
  <c r="P18" i="1"/>
  <c r="L18" i="1"/>
  <c r="H18" i="1"/>
  <c r="W18" i="1" s="1"/>
  <c r="G18" i="1"/>
  <c r="E18" i="1"/>
  <c r="D18" i="1"/>
  <c r="V18" i="1" s="1"/>
  <c r="L17" i="1"/>
  <c r="G17" i="1"/>
  <c r="E17" i="1"/>
  <c r="H17" i="1" s="1"/>
  <c r="D17" i="1"/>
  <c r="T17" i="1" s="1"/>
  <c r="P16" i="1"/>
  <c r="L16" i="1"/>
  <c r="H16" i="1"/>
  <c r="W16" i="1" s="1"/>
  <c r="G16" i="1"/>
  <c r="E16" i="1"/>
  <c r="D16" i="1"/>
  <c r="V16" i="1" s="1"/>
  <c r="L15" i="1"/>
  <c r="G15" i="1"/>
  <c r="E15" i="1"/>
  <c r="H15" i="1" s="1"/>
  <c r="D15" i="1"/>
  <c r="T16" i="1" l="1"/>
  <c r="P17" i="1"/>
  <c r="P21" i="1"/>
  <c r="P19" i="1"/>
  <c r="U32" i="5"/>
  <c r="S32" i="5"/>
  <c r="U29" i="5"/>
  <c r="K29" i="5"/>
  <c r="S29" i="5"/>
  <c r="H29" i="5"/>
  <c r="H31" i="5"/>
  <c r="U28" i="5"/>
  <c r="S28" i="5"/>
  <c r="U25" i="5"/>
  <c r="K25" i="5"/>
  <c r="S25" i="5"/>
  <c r="H25" i="5"/>
  <c r="K23" i="5"/>
  <c r="H23" i="5"/>
  <c r="H27" i="5"/>
  <c r="U27" i="5"/>
  <c r="K27" i="5"/>
  <c r="U24" i="5"/>
  <c r="S24" i="5"/>
  <c r="U21" i="5"/>
  <c r="K21" i="5"/>
  <c r="S21" i="5"/>
  <c r="H21" i="5"/>
  <c r="I21" i="5"/>
  <c r="I22" i="5"/>
  <c r="T22" i="5"/>
  <c r="I23" i="5"/>
  <c r="T23" i="5"/>
  <c r="I24" i="5"/>
  <c r="T24" i="5"/>
  <c r="I25" i="5"/>
  <c r="T25" i="5"/>
  <c r="I26" i="5"/>
  <c r="T26" i="5"/>
  <c r="I27" i="5"/>
  <c r="T27" i="5"/>
  <c r="I28" i="5"/>
  <c r="T28" i="5"/>
  <c r="I29" i="5"/>
  <c r="T29" i="5"/>
  <c r="I30" i="5"/>
  <c r="T30" i="5"/>
  <c r="I31" i="5"/>
  <c r="T31" i="5"/>
  <c r="I32" i="5"/>
  <c r="T32" i="5"/>
  <c r="K30" i="5"/>
  <c r="U30" i="5"/>
  <c r="K31" i="5"/>
  <c r="G31" i="5"/>
  <c r="S31" i="5" s="1"/>
  <c r="G27" i="5"/>
  <c r="S27" i="5" s="1"/>
  <c r="G23" i="5"/>
  <c r="S23" i="5" s="1"/>
  <c r="L23" i="5"/>
  <c r="L25" i="5"/>
  <c r="L27" i="5"/>
  <c r="L29" i="5"/>
  <c r="L31" i="5"/>
  <c r="M20" i="1"/>
  <c r="W20" i="1"/>
  <c r="O20" i="1"/>
  <c r="J20" i="1"/>
  <c r="N20" i="1"/>
  <c r="I20" i="1"/>
  <c r="M26" i="1"/>
  <c r="W26" i="1"/>
  <c r="O26" i="1"/>
  <c r="J26" i="1"/>
  <c r="N26" i="1"/>
  <c r="I26" i="1"/>
  <c r="M15" i="1"/>
  <c r="W15" i="1"/>
  <c r="O15" i="1"/>
  <c r="J15" i="1"/>
  <c r="N15" i="1"/>
  <c r="I15" i="1"/>
  <c r="M24" i="1"/>
  <c r="W24" i="1"/>
  <c r="O24" i="1"/>
  <c r="J24" i="1"/>
  <c r="N24" i="1"/>
  <c r="I24" i="1"/>
  <c r="T15" i="1"/>
  <c r="P15" i="1"/>
  <c r="V15" i="1"/>
  <c r="M17" i="1"/>
  <c r="W17" i="1"/>
  <c r="O17" i="1"/>
  <c r="J17" i="1"/>
  <c r="N17" i="1"/>
  <c r="I17" i="1"/>
  <c r="M22" i="1"/>
  <c r="W22" i="1"/>
  <c r="O22" i="1"/>
  <c r="J22" i="1"/>
  <c r="N22" i="1"/>
  <c r="I22" i="1"/>
  <c r="I18" i="1"/>
  <c r="I19" i="1"/>
  <c r="N19" i="1"/>
  <c r="P20" i="1"/>
  <c r="I21" i="1"/>
  <c r="N21" i="1"/>
  <c r="P22" i="1"/>
  <c r="I23" i="1"/>
  <c r="N23" i="1"/>
  <c r="P24" i="1"/>
  <c r="I25" i="1"/>
  <c r="N25" i="1"/>
  <c r="V17" i="1"/>
  <c r="V26" i="1"/>
  <c r="V20" i="1"/>
  <c r="V22" i="1"/>
  <c r="V24" i="1"/>
  <c r="M16" i="1"/>
  <c r="M18" i="1"/>
  <c r="M19" i="1"/>
  <c r="M21" i="1"/>
  <c r="M23" i="1"/>
  <c r="M25" i="1"/>
  <c r="I16" i="1"/>
  <c r="N16" i="1"/>
  <c r="N18" i="1"/>
  <c r="P26" i="1"/>
  <c r="J16" i="1"/>
  <c r="O16" i="1"/>
  <c r="J18" i="1"/>
  <c r="O18" i="1"/>
  <c r="J19" i="1"/>
  <c r="O19" i="1"/>
  <c r="J21" i="1"/>
  <c r="O21" i="1"/>
  <c r="J23" i="1"/>
  <c r="O23" i="1"/>
  <c r="J25" i="1"/>
  <c r="O25" i="1"/>
  <c r="U31" i="5" l="1"/>
  <c r="U23" i="5"/>
  <c r="L27" i="1"/>
  <c r="G27" i="1"/>
  <c r="E27" i="1"/>
  <c r="H27" i="1" s="1"/>
  <c r="D27" i="1"/>
  <c r="V27" i="1" s="1"/>
  <c r="W27" i="1" l="1"/>
  <c r="P27" i="1"/>
  <c r="T27" i="1"/>
  <c r="I27" i="1"/>
  <c r="N27" i="1"/>
  <c r="M27" i="1"/>
  <c r="J27" i="1"/>
  <c r="O27" i="1"/>
  <c r="B7" i="5"/>
  <c r="B6" i="5"/>
  <c r="B2" i="5"/>
  <c r="T33" i="5" l="1"/>
  <c r="I33" i="5"/>
  <c r="S33" i="5"/>
  <c r="U33" i="5"/>
  <c r="V33" i="5"/>
  <c r="K33" i="5"/>
  <c r="H33" i="5"/>
  <c r="B8" i="5"/>
  <c r="B3" i="5"/>
  <c r="L14" i="1"/>
  <c r="G14" i="1"/>
  <c r="E14" i="1"/>
  <c r="H14" i="1" s="1"/>
  <c r="D14" i="1"/>
  <c r="T14" i="1" s="1"/>
  <c r="S20" i="5" l="1"/>
  <c r="T20" i="5"/>
  <c r="U20" i="5"/>
  <c r="V20" i="5"/>
  <c r="K20" i="5"/>
  <c r="I20" i="5"/>
  <c r="H20" i="5"/>
  <c r="L33" i="5"/>
  <c r="L20" i="5"/>
  <c r="M14" i="1"/>
  <c r="I14" i="1"/>
  <c r="N14" i="1"/>
  <c r="V14" i="1"/>
  <c r="J14" i="1"/>
  <c r="O14" i="1"/>
  <c r="W14" i="1"/>
  <c r="P14" i="1"/>
  <c r="B6" i="1" l="1"/>
  <c r="G13" i="1"/>
  <c r="E13" i="1"/>
  <c r="H13" i="1" s="1"/>
  <c r="D13" i="1"/>
  <c r="V13" i="1" s="1"/>
  <c r="U19" i="5" l="1"/>
  <c r="I19" i="5"/>
  <c r="V19" i="5"/>
  <c r="K19" i="5"/>
  <c r="T19" i="5"/>
  <c r="S19" i="5"/>
  <c r="H19" i="5"/>
  <c r="L19" i="5"/>
  <c r="W13" i="1"/>
  <c r="N13" i="1"/>
  <c r="I13" i="1"/>
  <c r="M13" i="1"/>
  <c r="O13" i="1"/>
  <c r="J13" i="1"/>
  <c r="L13" i="1"/>
  <c r="P13" i="1"/>
  <c r="T13" i="1"/>
  <c r="L12" i="1"/>
  <c r="G12" i="1"/>
  <c r="E12" i="1"/>
  <c r="H12" i="1" s="1"/>
  <c r="D12" i="1"/>
  <c r="V12" i="1" s="1"/>
  <c r="G11" i="1"/>
  <c r="E11" i="1"/>
  <c r="H11" i="1" s="1"/>
  <c r="D11" i="1"/>
  <c r="T11" i="1" s="1"/>
  <c r="K18" i="5" l="1"/>
  <c r="U18" i="5"/>
  <c r="I18" i="5"/>
  <c r="T18" i="5"/>
  <c r="S18" i="5"/>
  <c r="V18" i="5"/>
  <c r="H18" i="5"/>
  <c r="T17" i="5"/>
  <c r="K17" i="5"/>
  <c r="S17" i="5"/>
  <c r="U17" i="5"/>
  <c r="I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D9" i="1"/>
  <c r="V9" i="1" s="1"/>
  <c r="K15" i="5" l="1"/>
  <c r="I15" i="5"/>
  <c r="T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E10" i="1"/>
  <c r="H10" i="1" s="1"/>
  <c r="D10" i="1"/>
  <c r="T10" i="1" s="1"/>
  <c r="H16" i="5" l="1"/>
  <c r="S16" i="5"/>
  <c r="U16" i="5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9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9" i="1"/>
  <c r="T13" i="5"/>
  <c r="T7" i="1" l="1"/>
  <c r="W29" i="1"/>
  <c r="G6" i="1" l="1"/>
  <c r="S13" i="5"/>
  <c r="I13" i="5"/>
  <c r="U13" i="5"/>
  <c r="K13" i="5"/>
  <c r="L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J29" i="1"/>
  <c r="I29" i="1"/>
  <c r="N29" i="1"/>
  <c r="O29" i="1"/>
  <c r="P29" i="1"/>
  <c r="Q7" i="1" l="1"/>
  <c r="M69" i="3" s="1"/>
  <c r="L7" i="1"/>
  <c r="G69" i="3" s="1"/>
  <c r="K69" i="3"/>
  <c r="J69" i="3"/>
  <c r="K29" i="1"/>
  <c r="M29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<sst xmlns="http://schemas.openxmlformats.org/spreadsheetml/2006/main" count="511" uniqueCount="397">
  <si>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</si>
  <si>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</si>
  <si>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</si>
  <si>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</si>
  <si>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</si>
  <si>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</si>
  <si>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</si>
  <si>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</si>
  <si>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</si>
  <si>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</si>
  <si>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</si>
  <si>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</si>
  <si>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</si>
  <si>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</si>
  <si>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</si>
  <si>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</si>
  <si>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</si>
  <si>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</si>
  <si>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</si>
  <si>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</si>
  <si>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</si>
  <si>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</si>
  <si>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</si>
  <si>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</si>
  <si>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</si>
  <si>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</si>
  <si>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</si>
  <si>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</si>
  <si>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</si>
  <si>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</si>
  <si>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</si>
  <si>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</si>
  <si>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</si>
  <si>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</si>
  <si>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</si>
  <si>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</si>
  <si>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</si>
  <si>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</si>
  <si>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</si>
  <si>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</si>
  <si>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</si>
  <si>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</si>
  <si>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</si>
  <si>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</si>
  <si>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</si>
  <si>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</si>
  <si>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</si>
  <si>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</si>
  <si>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</si>
  <si>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</si>
  <si>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</si>
  <si>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</si>
  <si>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</si>
  <si>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</si>
  <si>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</si>
  <si>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</si>
  <si>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</si>
  <si>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</si>
  <si>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</si>
  <si>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</si>
  <si>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</si>
  <si>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</si>
  <si>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</si>
  <si>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</si>
  <si>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</si>
  <si>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</si>
  <si>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</si>
  <si>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</si>
  <si>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</si>
  <si>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</si>
  <si>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</si>
  <si>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</si>
  <si>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</si>
  <si>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</si>
  <si>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</si>
  <si>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</si>
  <si>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</si>
  <si>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</si>
  <si>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</si>
  <si>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</si>
  <si>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</si>
  <si>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</si>
  <si>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</si>
  <si>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</si>
  <si>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</si>
  <si>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</si>
  <si>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</si>
  <si>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</si>
  <si>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</si>
  <si>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</si>
  <si>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</si>
  <si>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</si>
  <si>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</si>
  <si>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</si>
  <si>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</si>
  <si>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</si>
  <si>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</si>
  <si>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</si>
  <si>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</si>
  <si>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</si>
  <si>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</si>
  <si>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</si>
  <si>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</si>
  <si>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</si>
  <si>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</si>
  <si>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</si>
  <si>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</si>
  <si>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</si>
  <si>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</si>
  <si>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</si>
  <si>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</si>
  <si>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</si>
  <si>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</si>
  <si>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</si>
  <si>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</si>
  <si>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</si>
  <si>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</si>
  <si>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</si>
  <si>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</si>
  <si>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</si>
  <si>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</si>
  <si>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</si>
  <si>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</si>
  <si>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</si>
  <si>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</si>
  <si>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</si>
  <si>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</si>
  <si>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</si>
  <si>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</si>
  <si>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</si>
  <si>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</si>
  <si>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</si>
  <si>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</si>
  <si>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</si>
  <si>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</si>
  <si>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</si>
  <si>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</si>
  <si>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</si>
  <si>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</si>
  <si>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</si>
  <si>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</si>
  <si>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</si>
  <si>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</si>
  <si>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</si>
  <si>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</si>
  <si>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</si>
  <si>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</si>
  <si>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</si>
  <si>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</si>
  <si>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</si>
  <si>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</si>
  <si>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</si>
  <si>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</si>
  <si>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</si>
  <si>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</si>
  <si>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</si>
  <si>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</si>
  <si>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</si>
  <si>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</si>
  <si>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</si>
  <si>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</si>
  <si>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</si>
  <si>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</si>
  <si>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</si>
  <si>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</si>
  <si>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</si>
  <si>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</si>
  <si>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</si>
  <si>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</si>
  <si>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</si>
  <si>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</si>
  <si>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</si>
  <si>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</si>
  <si>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</si>
  <si>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</si>
  <si>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</si>
  <si>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</si>
  <si>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</si>
  <si>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</si>
  <si>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</si>
  <si>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</si>
  <si>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</si>
  <si>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</si>
  <si>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</si>
  <si>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</si>
  <si>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</si>
  <si>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</si>
  <si>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</si>
  <si>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</si>
  <si>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</si>
  <si>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</si>
  <si>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</si>
  <si>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</si>
  <si>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</si>
  <si>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</si>
  <si>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</si>
  <si>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</si>
  <si>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</si>
  <si>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</si>
  <si>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</si>
  <si>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</si>
  <si>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</si>
  <si>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</si>
  <si>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</si>
  <si>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</si>
  <si>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</si>
  <si>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</si>
  <si>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</si>
  <si>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</si>
  <si>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</si>
  <si>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</si>
  <si>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</si>
  <si>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</si>
  <si>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</si>
  <si>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</si>
  <si>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</si>
  <si>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</si>
  <si>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</si>
  <si>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</si>
  <si>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</si>
  <si>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</si>
  <si>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</si>
  <si>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</si>
  <si>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</si>
  <si>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</si>
  <si>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</si>
  <si>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</si>
  <si>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</si>
  <si>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</si>
  <si>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</si>
  <si>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</si>
  <si>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</si>
  <si>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</si>
  <si>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</si>
  <si>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</si>
  <si>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</si>
  <si>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</si>
  <si>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</si>
  <si>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</si>
  <si>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</si>
  <si>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</si>
  <si>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</si>
  <si>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</si>
  <si>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</si>
  <si>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</si>
  <si>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</si>
  <si>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</si>
  <si>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</si>
  <si>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</si>
  <si>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</si>
  <si>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</si>
  <si>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</si>
  <si>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</si>
  <si>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</si>
  <si>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</si>
  <si>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</si>
  <si>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</si>
  <si>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</si>
  <si>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</si>
  <si>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</si>
  <si>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</si>
  <si>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</si>
  <si>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</si>
  <si>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</si>
  <si>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</si>
  <si>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</si>
  <si>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</si>
  <si>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</si>
  <si>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</si>
  <si>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</si>
  <si>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</si>
  <si>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</si>
  <si>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</si>
  <si>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</si>
  <si>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</si>
  <si>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</si>
  <si>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</si>
  <si>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</si>
  <si>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</si>
  <si>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</si>
  <si>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</si>
  <si>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</si>
  <si>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</si>
  <si>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</si>
  <si>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</si>
  <si>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</si>
  <si>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</si>
  <si>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</si>
  <si>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</si>
  <si>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</si>
  <si>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</si>
  <si>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</si>
  <si>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</si>
  <si>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</si>
  <si>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</si>
  <si>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</si>
  <si>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</si>
  <si>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</si>
  <si>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</si>
  <si>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</si>
  <si>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</si>
  <si>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</si>
  <si>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</si>
  <si>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</si>
  <si>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</si>
  <si>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</si>
  <si>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</si>
  <si>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</si>
  <si>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</si>
  <si>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</si>
  <si>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</si>
  <si>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</si>
  <si>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</si>
  <si>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</si>
  <si>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</si>
  <si>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</si>
  <si>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</si>
  <si>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</si>
  <si>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</si>
  <si>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</si>
  <si>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</si>
  <si>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</si>
  <si>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</si>
  <si>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</si>
  <si>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</si>
  <si>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</si>
  <si>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</si>
  <si>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</si>
  <si>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</si>
  <si>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</si>
  <si>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</si>
  <si>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</si>
  <si>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</si>
  <si>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</si>
  <si>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</si>
  <si>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</si>
  <si>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</si>
  <si>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</si>
  <si>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</si>
  <si>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</si>
  <si>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</si>
  <si>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</si>
  <si>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</si>
  <si>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</si>
  <si>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</si>
  <si>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</si>
  <si>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</si>
  <si>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</si>
  <si>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</si>
  <si>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</si>
  <si>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</si>
  <si>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</si>
  <si>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</si>
  <si>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</si>
  <si>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</si>
  <si>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</si>
  <si>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</si>
  <si>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</si>
  <si>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</si>
  <si>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</si>
  <si>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</si>
  <si>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</si>
  <si>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MstCmmMMCheckingRule</t>
  </si>
  <si>
    <t>CmmMMCheckingRule</t>
  </si>
  <si>
    <t>RULE CODE</t>
  </si>
  <si>
    <t>RULE DESCRIPTION</t>
  </si>
  <si>
    <t>RULE ITEM</t>
  </si>
  <si>
    <t>FIELD 1 NAME</t>
  </si>
  <si>
    <t>FIELD 1 VALUE</t>
  </si>
  <si>
    <t>FIELD 2 NAME</t>
  </si>
  <si>
    <t>FIELD 2 VALUE</t>
  </si>
  <si>
    <t>FIELD 3 NAME</t>
  </si>
  <si>
    <t>FIELD 3 VALUE</t>
  </si>
  <si>
    <t>FIELD 4 NAME</t>
  </si>
  <si>
    <t>FIELD 4 VALUE</t>
  </si>
  <si>
    <t>FIELD 5 NAME</t>
  </si>
  <si>
    <t>FIELD 5 VALUE</t>
  </si>
  <si>
    <t>OPTION</t>
  </si>
  <si>
    <t>RESULTFIELD</t>
  </si>
  <si>
    <t>EXPECTEDRESULT</t>
  </si>
  <si>
    <t>CHECKOPTION</t>
  </si>
  <si>
    <t>ERRORMESSAGE</t>
  </si>
  <si>
    <t>nvarchar(50)</t>
  </si>
  <si>
    <t>nvarchar(5000)</t>
  </si>
  <si>
    <t>RULE_CODE</t>
  </si>
  <si>
    <t>RULE_DESCRIPTION</t>
  </si>
  <si>
    <t>RULE_ITEM</t>
  </si>
  <si>
    <t>FIELD_1_NAME</t>
  </si>
  <si>
    <t>FIELD_5_VALUE</t>
  </si>
  <si>
    <t>FIELD_5_NAME</t>
  </si>
  <si>
    <t>FIELD_1_VALUE</t>
  </si>
  <si>
    <t>FIELD_2_NAME</t>
  </si>
  <si>
    <t>FIELD_3_NAME</t>
  </si>
  <si>
    <t>FIELD_3_VALUE</t>
  </si>
  <si>
    <t>FIELD_4_NAME</t>
  </si>
  <si>
    <t>FIELD_4_VALUE</t>
  </si>
  <si>
    <t>FIELD_2_VALUE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</si>
</sst>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64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357</v>
      </c>
      <c r="F46" s="1" t="s">
        <v>358</v>
      </c>
      <c r="G46" t="s">
        <v>359</v>
      </c>
      <c r="H46" t="s">
        <v>360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354</v>
      </c>
      <c r="F51" s="1" t="s">
        <v>355</v>
      </c>
      <c r="G51" t="s">
        <v>356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[Table("MstCmmMMCheckingRule")]
	public class MstCmmMMCheckingRule: FullAuditedEntity&lt;long&gt;, IEntity&lt;long&gt;	
	{
		public const int MaxRuleCodeLength = 50;
		public const int MaxRuleDescriptionLength = 5000;
		public const int MaxRuleItemLength = 50;
		public const int MaxField1NameLength = 50;
		public const int MaxField1ValueLength = 50;
		public const int MaxField2NameLength = 50;
		public const int MaxField2ValueLength = 50;
		public const int MaxField3NameLength = 50;
		public const int MaxField3ValueLength = 50;
		public const int MaxField4NameLength = 50;
		public const int MaxField4ValueLength = 50;
		public const int MaxField5NameLength = 50;
		public const int MaxField5ValueLength = 50;
		public const int MaxOptionLength = 50;
		public const int MaxResultfieldLength = 50;
		public const int MaxExpectedresultLength = 50;
		public const int MaxCheckoptionLength = 50;
		public const int MaxErrormessageLength = 5000;
		public const int MaxIsActiveLength = 1;
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[StringLength(MaxField1NameLength)]
		public virtual string Field1Name { get; set; }
		[StringLength(MaxField1ValueLength)]
		public virtual string Field1Value { get; set; }
		[StringLength(MaxField2NameLength)]
		public virtual string Field2Name { get; set; }
		[StringLength(MaxField2ValueLength)]
		public virtual string Field2Value { get; set; }
		[StringLength(MaxField3NameLength)]
		public virtual string Field3Name { get; set; }
		[StringLength(MaxField3ValueLength)]
		public virtual string Field3Value { get; set; }
		[StringLength(MaxField4NameLength)]
		public virtual string Field4Name { get; set; }
		[StringLength(MaxField4ValueLength)]
		public virtual string Field4Value { get; set; }
		[StringLength(MaxField5NameLength)]
		public virtual string Field5Name { get; set; }
		[StringLength(MaxField5ValueLength)]
		public virtual string Field5Value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[StringLength(MaxCheckoptionLength)]
		public virtual string Checkoption { get; set; }
		[StringLength(MaxErrormessageLength)]
		public virtual string Errormessage { get; set; }
		[StringLength(MaxIsActiveLength)]
		public virtual string IsActive { get; set; }
	}
}
</v>
      </c>
      <c r="D69" s="48" t="str">
        <f>A.Backend!O7</f>
        <v xml:space="preserve">		public const string Pages_Master_Cmm_CmmMMCheckingRule = "Pages.Master.Cmm.CmmMMCheckingRule";
		public const string Pages_Master_Cmm_CmmMMCheckingRule_CreateEdit = "Pages.Master.Cmm.CmmMMCheckingRule.CreateEdit";
		public const string Pages_Master_Cmm_CmmMMCheckingRule_Delete = "Pages.Master.Cmm.CmmMMCheckingRule.Delete";
</v>
      </c>
      <c r="E69" s="48" t="str">
        <f>A.Backend!N7</f>
        <v xml:space="preserve">		var perMstCmmMMCheckingRule = PARENTS.CreateChildPermission(AppPermissions.Pages_Master_Cmm_CmmMMCheckingRule, L( "MasterCmmCmmMMCheckingRule"), multiTenancySides: MultiTenancySides.Tenant);
		perMstCmmMMCheckingRule.CreateChildPermission(AppPermissions.Pages_Master_Cmm_CmmMMCheckingRule_CreateEdit, L( "MasterCmmCmmMMCheckingRuleCreateEdit"), multiTenancySides: MultiTenancySides.Tenant);
		perMstCmmMMCheckingRule.CreateChildPermission(AppPermissions.Pages_Master_Cmm_CmmMMCheckingRule_Delete, L( "MasterCmmCmmMMCheckingRuleDelete"), multiTenancySides: MultiTenancySides.Tenant);</v>
      </c>
      <c r="F69" s="48" t="str">
        <f>A.Backend!K7</f>
        <v>public virtual DbSet&lt;MstCmmMMCheckingRule&gt; MstCmmMMCheckingRules { get; set; }</v>
      </c>
      <c r="G69" s="48" t="str">
        <f ca="1">A.Backend!L7</f>
        <v xml:space="preserve">namespace prod.Master.Cmm
{
	public class MstCmmMMCheckingRuleConsts	
	{
		public const int MaxRuleCodeLength = 50;
		public const int MaxRuleDescriptionLength = 5000;
		public const int MaxRuleItemLength = 50;
		public const int MaxField1NameLength = 50;
		public const int MaxField1ValueLength = 50;
		public const int MaxField2NameLength = 50;
		public const int MaxField2ValueLength = 50;
		public const int MaxField3NameLength = 50;
		public const int MaxField3ValueLength = 50;
		public const int MaxField4NameLength = 50;
		public const int MaxField4ValueLength = 50;
		public const int MaxField5NameLength = 50;
		public const int MaxField5ValueLength = 50;
		public const int MaxOptionLength = 50;
		public const int MaxResultfieldLength = 50;
		public const int MaxExpectedresultLength = 50;
		public const int MaxCheckoptionLength = 50;
		public const int MaxErrormessageLength = 5000;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MstCmmMMCheckingRuleDto : EntityDto&lt;long?&gt;	
	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	public class CreateOrEditMstCmmMMCheckingRuleDto : EntityDto&lt;long?&gt;	
	{
		[StringLength(MstCmmMMCheckingRuleConsts.MaxRuleCodeLength)]
		public virtual string RuleCode { get; set; }
		[StringLength(MstCmmMMCheckingRuleConsts.MaxRuleDescriptionLength)]
		public virtual string RuleDescription { get; set; }
		[StringLength(MstCmmMMCheckingRuleConsts.MaxRuleItemLength)]
		public virtual string RuleItem { get; set; }
		[StringLength(MstCmmMMCheckingRuleConsts.MaxField1NameLength)]
		public virtual string Field1Name { get; set; }
		[StringLength(MstCmmMMCheckingRuleConsts.MaxField1ValueLength)]
		public virtual string Field1Value { get; set; }
		[StringLength(MstCmmMMCheckingRuleConsts.MaxField2NameLength)]
		public virtual string Field2Name { get; set; }
		[StringLength(MstCmmMMCheckingRuleConsts.MaxField2ValueLength)]
		public virtual string Field2Value { get; set; }
		[StringLength(MstCmmMMCheckingRuleConsts.MaxField3NameLength)]
		public virtual string Field3Name { get; set; }
		[StringLength(MstCmmMMCheckingRuleConsts.MaxField3ValueLength)]
		public virtual string Field3Value { get; set; }
		[StringLength(MstCmmMMCheckingRuleConsts.MaxField4NameLength)]
		public virtual string Field4Name { get; set; }
		[StringLength(MstCmmMMCheckingRuleConsts.MaxField4ValueLength)]
		public virtual string Field4Value { get; set; }
		[StringLength(MstCmmMMCheckingRuleConsts.MaxField5NameLength)]
		public virtual string Field5Name { get; set; }
		[StringLength(MstCmmMMCheckingRuleConsts.MaxField5ValueLength)]
		public virtual string Field5Value { get; set; }
		[StringLength(MstCmmMMCheckingRuleConsts.MaxOptionLength)]
		public virtual string Option { get; set; }
		[StringLength(MstCmmMMCheckingRuleConsts.MaxResultfieldLength)]
		public virtual string Resultfield { get; set; }
		[StringLength(MstCmmMMCheckingRuleConsts.MaxExpectedresultLength)]
		public virtual string Expectedresult { get; set; }
		[StringLength(MstCmmMMCheckingRuleConsts.MaxCheckoptionLength)]
		public virtual string Checkoption { get; set; }
		[StringLength(MstCmmMMCheckingRuleConsts.MaxErrormessageLength)]
		public virtual string Errormessage { get; set; }
		[StringLength(MstCmmMMCheckingRuleConsts.MaxIsActiveLength)]
		public virtual string IsActive { get; set; }
	}
	public class GetMstCmmMMCheckingRuleInput : PagedAndSortedResultRequestDto	
	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MstCmmMMCheckingRuleExportInput{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IMstCmmMMCheckingRuleAppService : IApplicationService
	{
		Task&lt;PagedResultDto&lt;MstCmmMMCheckingRuleDto&gt;&gt; GetAll(GetMstCmmMMCheckingRuleInput input);
		Task CreateOrEdit(CreateOrEditMstCmmMMCheckingRuleDto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IMstCmmMMCheckingRuleExcelExporter : IApplicationService
	{
		FileDto ExportToFile(List&lt;MstCmmMMCheckingRuleDto&gt; mstcmmmmcheckingrule);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MstCmmMMCheckingRuleExcelExporter : NpoiExcelExporterBase, IMstCmmMMCheckingRuleExcelExporter
    {
        public MstCmmMMCheckingRuleExcelExporter(ITempFileCacheManager tempFileCacheManager) : base(tempFileCacheManager) { }
        public FileDto ExportToFile(List&lt;MstCmmMMCheckingRuleDto&gt; cmmmmcheckingrule)
        {
            return CreateExcelPackage(
				"MasterCmmCmmMMCheckingRule.xlsx",
				excelPackage =&gt;
				 {
					var sheet = excelPackage.CreateSheet("CmmMMCheckingRule");
					AddHeader(
								sheet,
								("RuleCode"),
								("RuleDescription"),
								("RuleItem"),
								("Field1Name"),
								("Field1Value"),
								("Field2Name"),
								("Field2Value"),
								("Field3Name"),
								("Field3Value"),
								("Field4Name"),
								("Field4Value"),
								("Field5Name"),
								("Field5Value"),
								("Option"),
								("Resultfield"),
								("Expectedresult"),
								("Checkoption"),
								("Errormessage"),
								("IsActive"),
							   );
					AddObjects(
						 sheet, 1, cmmmmcheckingrule,                                       
								_ =&gt; _.RuleCode,
								_ =&gt; _.RuleDescription,
								_ =&gt; _.RuleItem,
								_ =&gt; _.Field1Name,
								_ =&gt; _.Field1Value,
								_ =&gt; _.Field2Name,
								_ =&gt; _.Field2Value,
								_ =&gt; _.Field3Name,
								_ =&gt; _.Field3Value,
								_ =&gt; _.Field4Name,
								_ =&gt; _.Field4Value,
								_ =&gt; _.Field5Name,
								_ =&gt; _.Field5Value,
								_ =&gt; _.Option,
								_ =&gt; _.Resultfield,
								_ =&gt; _.Expectedresult,
								_ =&gt; _.Checkoption,
								_ =&gt; _.Errormessage,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[AbpAuthorize(AppPermissions.Pages_Master_Cmm_CmmMMCheckingRule)]
    public class MstCmmMMCheckingRuleAppService : vovinaAppServiceBase, IMstCmmMMCheckingRuleAppService
    {
        private readonly IDapperRepository&lt;MstCmmMMCheckingRule, long&gt; _dapperRepo;
        private readonly IRepository&lt;MstCmmMMCheckingRule, long&gt; _repo;
        private readonly IMstCmmMMCheckingRuleExcelExporter _calendarListExcelExporter;
        public MstCmmMMCheckingRuleAppService(IRepository&lt;MstCmmMMCheckingRule,long&gt; repo, 
                                         IDapperRepository&lt;MstCmmMMCheckingRule,long&gt; dapperRepo,
                                        IMstCmmMMCheckingRuleExcelExporter calendarListExcelExporter
            )
        {
            _repo = repo;
            _dapperRepo = dapperRepo;
            _calendarListExcelExporter = calendarListExcelExporter;
        }
        [AbpAuthorize(AppPermissions.Pages_Master_Cmm_CmmMMCheckingRule_CreateEdit)]
        public async Task CreateOrEdit(CreateOrEditMstCmmMMCheckingRuleDto input)
        {
            if (input.Id == null) await Create(input);
            else await Update(input);
        }
        //CREATE
        private async Task Create(CreateOrEditMstCmmMMCheckingRuleDto input)
        {          
            var mainObj = ObjectMapper.Map&lt;MstCmmMMCheckingRule&gt;(input);
            await CurrentUnitOfWork.GetDbContext&lt;vovinaDbContext&gt;().AddAsync(mainObj);
        }
        // EDIT
        private async Task Update(CreateOrEditMstCmmMMCheckingRuleDto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[AbpAuthorize(AppPermissions.Pages_Master_Cmm_CmmMMCheckingRule_Delete)]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Task&lt;PagedResultDto&lt;MstCmmMMCheckingRuleDto&gt;&gt; GetAll(GetMstCmmMMCheckingRuleInput input)
        {
            var filtered = _repo.GetAll()
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.WhereIf(!string.IsNullOrWhiteSpace(input.Field1Name), e =&gt; e.Field1Name.Contains(input.Field1Name))
				.WhereIf(!string.IsNullOrWhiteSpace(input.Field1Value), e =&gt; e.Field1Value.Contains(input.Field1Value))
				.WhereIf(!string.IsNullOrWhiteSpace(input.Field2Name), e =&gt; e.Field2Name.Contains(input.Field2Name))
				.WhereIf(!string.IsNullOrWhiteSpace(input.Field2Value), e =&gt; e.Field2Value.Contains(input.Field2Value))
				.WhereIf(!string.IsNullOrWhiteSpace(input.Field3Name), e =&gt; e.Field3Name.Contains(input.Field3Name))
				.WhereIf(!string.IsNullOrWhiteSpace(input.Field3Value), e =&gt; e.Field3Value.Contains(input.Field3Value))
				.WhereIf(!string.IsNullOrWhiteSpace(input.Field4Name), e =&gt; e.Field4Name.Contains(input.Field4Name))
				.WhereIf(!string.IsNullOrWhiteSpace(input.Field4Value), e =&gt; e.Field4Value.Contains(input.Field4Value))
				.WhereIf(!string.IsNullOrWhiteSpace(input.Field5Name), e =&gt; e.Field5Name.Contains(input.Field5Name))
				.WhereIf(!string.IsNullOrWhiteSpace(input.Field5Value), e =&gt; e.Field5Value.Contains(input.Field5Value))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.WhereIf(!string.IsNullOrWhiteSpace(input.Checkoption), e =&gt; e.Checkoption.Contains(input.Checkoption))
				.WhereIf(!string.IsNullOrWhiteSpace(input.Errormessage), e =&gt; e.Errormessage.Contains(input.Errormessage))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MstCmmMMCheckingRuleDto
                        {
							Id = o.Id,
							RuleCode = o.RuleCode,
							RuleDescription = o.RuleDescription,
							RuleItem = o.RuleItem,
							Field1Name = o.Field1Name,
							Field1Value = o.Field1Value,
							Field2Name = o.Field2Name,
							Field2Value = o.Field2Value,
							Field3Name = o.Field3Name,
							Field3Value = o.Field3Value,
							Field4Name = o.Field4Name,
							Field4Value = o.Field4Value,
							Field5Name = o.Field5Name,
							Field5Value = o.Field5Value,
							Option = o.Option,
							Resultfield = o.Resultfield,
							Expectedresult = o.Expectedresult,
							Checkoption = o.Checkoption,
							Errormessage = o.Errormessage,
							IsActive = o.IsActive,
                        };
            var totalCount = await filtered.CountAsync();
			var paged = system.PageBy(input);
            return new PagedResultDto&lt;MstCmmMMCheckingRuleDto&gt;(
                totalCount,
                 await paged.ToListAsync()
            );
        }
        public async Task&lt;FileDto&gt; GetCmmMMCheckingRuleToExcel(MstCmmMMCheckingRuleExportInput input)
        {
            var query = from o in _repo.GetAll()
                        select new MstCmmMMCheckingRuleDto
                        {
							Id = o.Id,
							RuleCode = o.RuleCode,
							RuleDescription = o.RuleDescription,
							RuleItem = o.RuleItem,
							Field1Name = o.Field1Name,
							Field1Value = o.Field1Value,
							Field2Name = o.Field2Name,
							Field2Value = o.Field2Value,
							Field3Name = o.Field3Name,
							Field3Value = o.Field3Value,
							Field4Name = o.Field4Name,
							Field4Value = o.Field4Value,
							Field5Name = o.Field5Name,
							Field5Value = o.Field5Value,
							Option = o.Option,
							Resultfield = o.Resultfield,
							Expectedresult = o.Expectedresult,
							Checkoption = o.Checkoption,
							Errormessage = o.Errormessage,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_dapperRepo.ExecuteAsync(MstCmmMMCheckingRuleConsts.SP_MST_WPT_CALENDAR_GENERATE);
       // }
    }
}</v>
      </c>
      <c r="N69" s="58" t="str">
        <f>A.Backend!U7</f>
        <v xml:space="preserve">  configuration.CreateMap&lt;MstCmmMMCheckingRuleDto, MstCmmMMCheckingRule&gt;();
  configuration.CreateMap&lt;MstCmmMMCheckingRule, MstCmmMMCheckingRuleDto&gt;();
  configuration.CreateMap&lt;CreateOrEditMstCmmMMCheckingRuleDto, MstCmmMMCheckingRule&gt;();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cmmmmcheckingrule</v>
      </c>
      <c r="C74" s="66" t="str">
        <f>"create folder " &amp;B74</f>
        <v>create folder cmmmmcheckingrule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cmmmmcheckingrule.component.ts</v>
      </c>
      <c r="D75" s="28" t="str">
        <f>B.Frontend!I14</f>
        <v>cmmmmcheckingrule.component.html</v>
      </c>
      <c r="E75" s="28" t="str">
        <f>B.Frontend!J14</f>
        <v>cmmmmcheckingrule.component.less</v>
      </c>
      <c r="F75" s="28" t="str">
        <f>B.Frontend!K14</f>
        <v>create-or-edit-cmmmmcheckingrule-modal.component.html</v>
      </c>
      <c r="G75" s="28" t="str">
        <f>B.Frontend!L14</f>
        <v>create-or-edit-cmmmmcheckingrule-modal.component.ts</v>
      </c>
      <c r="H75" s="28" t="str">
        <f>B.Frontend!M14</f>
        <v>create-or-edit-cmmmmcheckingrule-modal.component.less</v>
      </c>
      <c r="I75" s="28" t="str">
        <f>B.Frontend!N14</f>
        <v>cmmmmcheckingrule.module.ts</v>
      </c>
      <c r="J75" s="28" t="str">
        <f>B.Frontend!O14</f>
        <v>cmmmmcheckingrule-routing.module.ts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MstCmmMMCheckingRuleDto, MstCmmMMCheckingRuleServiceProxy } from '@shared/service-proxies/service-proxies';
import { finalize } from 'rxjs/internal/operators/finalize';
import { CreateOrEditCmmMMCheckingRuleModalComponent } from './create-or-edit-cmmmmcheckingrule-modal.component';
import { DatePipe } from '@angular/common';
import { FileDownloadService } from '@shared/utils/file-download.service';
import ceil from 'lodash-es/ceil';
import { Paginator } from 'primeng/paginator';
@Component({
    templateUrl: './cmmmmcheckingrule.component.html',
    styleUrls: ['./cmmmmcheckingrule.component.less'],
})
export class CmmMMCheckingRuleComponent extends AppComponentBase implements OnInit {
    @ViewChild('createOrEditModalCmmMMCheckingRule', { static: true }) createOrEditModalCmmMMCheckingRule:| CreateOrEditCmmMMCheckingRuleModalComponent|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MstCmmMMCheckingRuleDto = new MstCmmMMCheckingRuleDto();
    saveSelectedRow: MstCmmMMCheckingRuleDto = new MstCmmMMCheckingRuleDto();
    datas: MstCmmMMCheckingRuleDto = new MstCmmMMCheckingRuleDto();
    isLoading: boolean = false;
    dataParams: GridParams | undefined;
    rowData: any[] = [];
    gridApi!: GridApi;
    rowSelection = 'multiple';
    filter: string = '';
	pipe = new DatePipe('en-US');
	frameworkComponents: FrameworkComponent;
    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MstCmmMMCheckingRuleServiceProxy,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this.l('Rule Code'),headerTooltip: this.l('Rule Code'),field: 'rule Code',flex: 1},
			{headerName: this.l('Rule Description'),headerTooltip: this.l('Rule Description'),field: 'rule Description',flex: 1},
			{headerName: this.l('Rule Item'),headerTooltip: this.l('Rule Item'),field: 'rule Item',flex: 1},
			{headerName: this.l('Field 1 Name'),headerTooltip: this.l('Field 1 Name'),field: 'field 1 Name',flex: 1},
			{headerName: this.l('Field 1 Value'),headerTooltip: this.l('Field 1 Value'),field: 'field 1 Value',flex: 1},
			{headerName: this.l('Field 2 Name'),headerTooltip: this.l('Field 2 Name'),field: 'field 2 Name',flex: 1},
			{headerName: this.l('Field 2 Value'),headerTooltip: this.l('Field 2 Value'),field: 'field 2 Value',flex: 1},
			{headerName: this.l('Field 3 Name'),headerTooltip: this.l('Field 3 Name'),field: 'field 3 Name',flex: 1},
			{headerName: this.l('Field 3 Value'),headerTooltip: this.l('Field 3 Value'),field: 'field 3 Value',flex: 1},
			{headerName: this.l('Field 4 Name'),headerTooltip: this.l('Field 4 Name'),field: 'field 4 Name',flex: 1},
			{headerName: this.l('Field 4 Value'),headerTooltip: this.l('Field 4 Value'),field: 'field 4 Value',flex: 1},
			{headerName: this.l('Field 5 Name'),headerTooltip: this.l('Field 5 Name'),field: 'field 5 Name',flex: 1},
			{headerName: this.l('Field 5 Value'),headerTooltip: this.l('Field 5 Value'),field: 'field 5 Value',flex: 1},
			{headerName: this.l('Option'),headerTooltip: this.l('Option'),field: 'option',flex: 1},
			{headerName: this.l('Resultfield'),headerTooltip: this.l('Resultfield'),field: 'resultfield',flex: 1},
			{headerName: this.l('Expectedresult'),headerTooltip: this.l('Expectedresult'),field: 'expectedresult',flex: 1},
			{headerName: this.l('Checkoption'),headerTooltip: this.l('Checkoption'),field: 'checkoption',flex: 1},
			{headerName: this.l('Errormessage'),headerTooltip: this.l('Errormessage'),field: 'errormessage',flex: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			'',
            this.paginationParams.skipCount,
            this.paginationParams.pageSize
        );
    }
    onChangeRowSelection(params: { api: { getSelectedRows: () =&gt; MstCmmMMCheckingRuleDto[] } }) {
        this.saveSelectedRow = params.api.getSelectedRows()[0] ?? new MstCmmMMCheckingRuleDto();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MstCmmMMCheckingRuleDto):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this._service.getCmmMMCheckingRuleToExcel(
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[(ngModel)]='rule Code' name='rule Code'
									class='form-control' [placeholder]="l('Rule Code')"
									type='text' (keyup.enter)='searchDatas()'&gt;
								&lt;/div&gt;
								&lt;div class='input-search'&gt;
									&lt;input [(ngModel)]='rule Description' name='rule Description'
									class='form-control' [placeholder]="l('Rule Description')"
									type='text' (keyup.enter)='searchDatas()'&gt;
								&lt;/div&gt;
								&lt;div class='input-search'&gt;
									&lt;input [(ngModel)]='rule Item' name='rule Item'
									class='form-control' [placeholder]="l('Rule Item')"
									type='text' (keyup.enter)='searchDatas()'&gt;
								&lt;/div&gt;
								&lt;div class='input-search'&gt;
									&lt;input [(ngModel)]='field 1 Name' name='field 1 Name'
									class='form-control' [placeholder]="l('Field 1 Name')"
									type='text' (keyup.enter)='searchDatas()'&gt;
								&lt;/div&gt;
								&lt;div class='input-search'&gt;
									&lt;input [(ngModel)]='field 1 Value' name='field 1 Value'
									class='form-control' [placeholder]="l('Field 1 Value')"
									type='text' (keyup.enter)='searchDatas()'&gt;
								&lt;/div&gt;
								&lt;div class='input-search'&gt;
									&lt;input [(ngModel)]='field 2 Name' name='field 2 Name'
									class='form-control' [placeholder]="l('Field 2 Name')"
									type='text' (keyup.enter)='searchDatas()'&gt;
								&lt;/div&gt;
								&lt;div class='input-search'&gt;
									&lt;input [(ngModel)]='field 2 Value' name='field 2 Value'
									class='form-control' [placeholder]="l('Field 2 Value')"
									type='text' (keyup.enter)='searchDatas()'&gt;
								&lt;/div&gt;
								&lt;div class='input-search'&gt;
									&lt;input [(ngModel)]='field 3 Name' name='field 3 Name'
									class='form-control' [placeholder]="l('Field 3 Name')"
									type='text' (keyup.enter)='searchDatas()'&gt;
								&lt;/div&gt;
								&lt;div class='input-search'&gt;
									&lt;input [(ngModel)]='field 3 Value' name='field 3 Value'
									class='form-control' [placeholder]="l('Field 3 Value')"
									type='text' (keyup.enter)='searchDatas()'&gt;
								&lt;/div&gt;
								&lt;div class='input-search'&gt;
									&lt;input [(ngModel)]='field 4 Name' name='field 4 Name'
									class='form-control' [placeholder]="l('Field 4 Name')"
									type='text' (keyup.enter)='searchDatas()'&gt;
								&lt;/div&gt;
								&lt;div class='input-search'&gt;
									&lt;input [(ngModel)]='field 4 Value' name='field 4 Value'
									class='form-control' [placeholder]="l('Field 4 Value')"
									type='text' (keyup.enter)='searchDatas()'&gt;
								&lt;/div&gt;
								&lt;div class='input-search'&gt;
									&lt;input [(ngModel)]='field 5 Name' name='field 5 Name'
									class='form-control' [placeholder]="l('Field 5 Name')"
									type='text' (keyup.enter)='searchDatas()'&gt;
								&lt;/div&gt;
								&lt;div class='input-search'&gt;
									&lt;input [(ngModel)]='field 5 Value' name='field 5 Value'
									class='form-control' [placeholder]="l('Field 5 Value')"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[placeholder]="l('Resultfield')"
									type='text' (keyup.enter)='searchDatas()'&gt;
								&lt;/div&gt;
								&lt;div class='input-search'&gt;
									&lt;input [(ngModel)]='expectedresult' name='expectedresult'
									class='form-control' [placeholder]="l('Expectedresult')"
									type='text' (keyup.enter)='searchDatas()'&gt;
								&lt;/div&gt;
								&lt;div class='input-search'&gt;
									&lt;input [(ngModel)]='checkoption' name='checkoption'
									class='form-control' [placeholder]="l('Checkoption')"
									type='text' (keyup.enter)='searchDatas()'&gt;
								&lt;/div&gt;
								&lt;div class='input-search'&gt;
									&lt;input [(ngModel)]='errormessage' name='errormessage'
									class='form-control' [placeholder]="l('Errormessage')"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(click)="createOrEditModalCmmMMCheckingRule.show()"&gt;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(click)="createOrEditModalCmmMMCheckingRule.show(selectedRow)"&gt;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&lt;create-or-edit-cmmmmcheckingrule-modal
    #createOrEditModalCmmMMCheckingRule
    (modalSave)="callBackDataGrid(dataParams)"
    (modalClose)="onChangeRowSelection(dataParams)"
&gt;
&lt;/create-or-edit-cmmmmcheckingrule-modal&gt;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#createOrEditModalCmmMMCheckingRule="bs-modal"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CmmMMCheckingRule')}}&lt;/h3&gt;
                    &lt;h3 *ngIf="!rowdata.id"&gt;{{('Create New CmmMMCheckingRule')}}&lt;/h3&gt;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title'&gt;Rule Code&lt;/label&gt;
						&lt;input type='text' class='col-md-10 form-control input-text' name='Rule Code' [(ngModel)]='rowdata.rule Code'&gt;
					&lt;/div&gt;
					&lt;div class='col-md-12 form-group row'&gt;
						&lt;label class='col-md-2 form-control title'&gt;Rule Description&lt;/label&gt;
						&lt;input type='text' class='col-md-10 form-control input-text' name='Rule Description' [(ngModel)]='rowdata.rule Description'&gt;
					&lt;/div&gt;
					&lt;div class='col-md-12 form-group row'&gt;
						&lt;label class='col-md-2 form-control title'&gt;Rule Item&lt;/label&gt;
						&lt;input type='text' class='col-md-10 form-control input-text' name='Rule Item' [(ngModel)]='rowdata.rule Item'&gt;
					&lt;/div&gt;
					&lt;div class='col-md-12 form-group row'&gt;
						&lt;label class='col-md-2 form-control title'&gt;Field 1 Name&lt;/label&gt;
						&lt;input type='text' class='col-md-10 form-control input-text' name='Field 1 Name' [(ngModel)]='rowdata.field 1 Name'&gt;
					&lt;/div&gt;
					&lt;div class='col-md-12 form-group row'&gt;
						&lt;label class='col-md-2 form-control title'&gt;Field 1 Value&lt;/label&gt;
						&lt;input type='text' class='col-md-10 form-control input-text' name='Field 1 Value' [(ngModel)]='rowdata.field 1 Value'&gt;
					&lt;/div&gt;
					&lt;div class='col-md-12 form-group row'&gt;
						&lt;label class='col-md-2 form-control title'&gt;Field 2 Name&lt;/label&gt;
						&lt;input type='text' class='col-md-10 form-control input-text' name='Field 2 Name' [(ngModel)]='rowdata.field 2 Name'&gt;
					&lt;/div&gt;
					&lt;div class='col-md-12 form-group row'&gt;
						&lt;label class='col-md-2 form-control title'&gt;Field 2 Value&lt;/label&gt;
						&lt;input type='text' class='col-md-10 form-control input-text' name='Field 2 Value' [(ngModel)]='rowdata.field 2 Value'&gt;
					&lt;/div&gt;
					&lt;div class='col-md-12 form-group row'&gt;
						&lt;label class='col-md-2 form-control title'&gt;Field 3 Name&lt;/label&gt;
						&lt;input type='text' class='col-md-10 form-control input-text' name='Field 3 Name' [(ngModel)]='rowdata.field 3 Name'&gt;
					&lt;/div&gt;
					&lt;div class='col-md-12 form-group row'&gt;
						&lt;label class='col-md-2 form-control title'&gt;Field 3 Value&lt;/label&gt;
						&lt;input type='text' class='col-md-10 form-control input-text' name='Field 3 Value' [(ngModel)]='rowdata.field 3 Value'&gt;
					&lt;/div&gt;
					&lt;div class='col-md-12 form-group row'&gt;
						&lt;label class='col-md-2 form-control title'&gt;Field 4 Name&lt;/label&gt;
						&lt;input type='text' class='col-md-10 form-control input-text' name='Field 4 Name' [(ngModel)]='rowdata.field 4 Name'&gt;
					&lt;/div&gt;
					&lt;div class='col-md-12 form-group row'&gt;
						&lt;label class='col-md-2 form-control title'&gt;Field 4 Value&lt;/label&gt;
						&lt;input type='text' class='col-md-10 form-control input-text' name='Field 4 Value' [(ngModel)]='rowdata.field 4 Value'&gt;
					&lt;/div&gt;
					&lt;div class='col-md-12 form-group row'&gt;
						&lt;label class='col-md-2 form-control title'&gt;Field 5 Name&lt;/label&gt;
						&lt;input type='text' class='col-md-10 form-control input-text' name='Field 5 Name' [(ngModel)]='rowdata.field 5 Name'&gt;
					&lt;/div&gt;
					&lt;div class='col-md-12 form-group row'&gt;
						&lt;label class='col-md-2 form-control title'&gt;Field 5 Value&lt;/label&gt;
						&lt;input type='text' class='col-md-10 form-control input-text' name='Field 5 Value' [(ngModel)]='rowdata.field 5 Value'&gt;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title'&gt;Resultfield&lt;/label&gt;
						&lt;input type='text' class='col-md-10 form-control input-text' name='Resultfield' [(ngModel)]='rowdata.resultfield'&gt;
					&lt;/div&gt;
					&lt;div class='col-md-12 form-group row'&gt;
						&lt;label class='col-md-2 form-control title'&gt;Expectedresult&lt;/label&gt;
						&lt;input type='text' class='col-md-10 form-control input-text' name='Expectedresult' [(ngModel)]='rowdata.expectedresult'&gt;
					&lt;/div&gt;
					&lt;div class='col-md-12 form-group row'&gt;
						&lt;label class='col-md-2 form-control title'&gt;Checkoption&lt;/label&gt;
						&lt;input type='text' class='col-md-10 form-control input-text' name='Checkoption' [(ngModel)]='rowdata.checkoption'&gt;
					&lt;/div&gt;
					&lt;div class='col-md-12 form-group row'&gt;
						&lt;label class='col-md-2 form-control title'&gt;Errormessage&lt;/label&gt;
						&lt;input type='text' class='col-md-10 form-control input-text' name='Errormessage' [(ngModel)]='rowdata.errormessage'&gt;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CreateOrEditMstCmmMMCheckingRuleDto, MstCmmMMCheckingRuleServiceProxy } from '@shared/service-proxies/service-proxies';
import { BsDatepickerDirective } from 'ngx-bootstrap/datepicker';
@Component({
    selector: 'create-or-edit-cmmmmcheckingrule-modal',
    templateUrl: './create-or-edit-cmmmmcheckingrule-modal.component.html',
    styleUrls: ['./create-or-edit-cmmmmcheckingrule-modal.component.less']
    })
export class CreateOrEditCmmMMCheckingRuleModalComponent extends AppComponentBase {
    @ViewChild('createOrEditModalCmmMMCheckingRule',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CreateOrEditMstCmmMMCheckingRuleDto = new CreateOrEditMstCmmMMCheckingRuleDto();
    active: boolean = false;
    saving: boolean = false;
    _isActive: boolean;
    constructor(
        injector: Injector,
        private _mstwptCmmMMCheckingRuleService: MstCmmMMCheckingRuleServiceProxy,
    ) 
    {
        super(injector);
    }
    show(rowdata?: CreateOrEditMstCmmMMCheckingRuleDto): void {
        if (!rowdata) this.rowdata = new CreateOrEditMstCmmMMCheckingRuleDto();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this._mstwptCmmMMCheckingRuleService.createOrEdit(this.rowdata)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CmmMMCheckingRuleRoutingModule } from './cmmmmcheckingrule-routing.module';
import { CmmMMCheckingRuleComponent } from './cmmmmcheckingrule.component';
import { CreateOrEditCmmMMCheckingRuleModalComponent } from './create-or-edit-cmmmmcheckingrule-modal.component';
@NgModule({
    declarations: [
       CmmMMCheckingRuleComponent, 
        CreateOrEditCmmMMCheckingRuleModalComponent
    ],
    imports: [
        AppSharedModule, CmmMMCheckingRuleRoutingModule]
})
export class CmmMMCheckingRuleModule {}</v>
      </c>
      <c r="J76" s="46" t="str">
        <f>B.Frontend!O10</f>
        <v>import {NgModule} from '@angular/core';
import {RouterModule, Routes} from '@angular/router';
import { CmmMMCheckingRuleComponent } from './cmmmmcheckingrule.component';
const routes: Routes = [{
    path: '',
    component: CmmMMCheckingRuleComponent,
    pathMatch: 'full'
}];
@NgModule({
    imports: [RouterModule.forChild(routes)],
    exports: [RouterModule],
})
export class CmmMMCheckingRuleRoutingModule {}</v>
      </c>
      <c r="K76" s="46" t="str">
        <f>B.Frontend!P10</f>
        <v xml:space="preserve"> new AppMenuItem("CmmMMCheckingRule", "Pages.Master.Cmm.CmmMMCheckingRule", "flaticon-book",   "/app/main/master/cmm/cmmmmcheckingrule"),</v>
      </c>
      <c r="L76" s="47" t="str">
        <f>B.Frontend!Q10</f>
        <v>{
    path: 'master/cmm/cmmmmcheckingrule',
    loadChildren: () =&gt; import('./master/cmm/cmmmmcheckingrule/cmmmmcheckingrule.module').then(m =&gt; m.CmmMMCheckingRuleModule),
    data: { permission: 'Pages.Master.Cmm.CmmMMCheckingRule' }
},</v>
      </c>
      <c r="M76" s="45" t="str">
        <f>B.Frontend!R10</f>
        <v>ApiServiceProxies.MstCmmMMCheckingRuleServiceProxy,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9"/>
  <sheetViews>
    <sheetView tabSelected="1" workbookViewId="0">
      <pane xSplit="1" topLeftCell="B1" activePane="topRight" state="frozen"/>
      <selection pane="topRight" activeCell="A15" sqref="A1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361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40</v>
      </c>
      <c r="D3" s="9" t="s">
        <v>41</v>
      </c>
      <c r="E3" s="9" t="s">
        <v>36</v>
      </c>
      <c r="F3" s="10" t="str">
        <f>"J"&amp;COUNTA($A:$A)</f>
        <v>J27</v>
      </c>
      <c r="G3" s="4" t="s">
        <v>53</v>
      </c>
      <c r="H3" s="9" t="str">
        <f>"I"&amp;COUNTA($A:$A)</f>
        <v>I27</v>
      </c>
      <c r="I3" s="9" t="str">
        <f>REPT(CHAR(9),2)&amp;"[Required]"&amp;"
"</f>
        <v xml:space="preserve">		[Required]
</v>
      </c>
      <c r="J3" s="10" t="str">
        <f>"L"&amp;COUNTA($A:$A)</f>
        <v>L27</v>
      </c>
      <c r="K3" s="5" t="s">
        <v>52</v>
      </c>
      <c r="L3" s="10" t="str">
        <f>"M"&amp;COUNTA($A:$A)</f>
        <v>M27</v>
      </c>
      <c r="M3" s="10" t="str">
        <f>"N"&amp;COUNTA($A:$A)</f>
        <v>N27</v>
      </c>
      <c r="N3" s="10" t="str">
        <f>"O"&amp;COUNTA($A:$A)</f>
        <v>O27</v>
      </c>
      <c r="O3" s="10" t="str">
        <f>"P"&amp;COUNTA($A:$A)</f>
        <v>P27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MstCmmMMCheckingRuleExportInput{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T27</v>
      </c>
      <c r="V3" s="10" t="str">
        <f>"V"&amp;COUNTA($A:$A)</f>
        <v>V27</v>
      </c>
      <c r="W3" s="9" t="str">
        <f>"W"&amp;COUNTA($A:$A)</f>
        <v>W27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MstCmmMMCheckingRule: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MstCmmMMCheckingRuleConsts	
	{
</v>
      </c>
      <c r="F6" s="10" t="str">
        <f>REPT(CHAR(9),1)&amp;"public class "&amp;B3&amp;"Dto"&amp;K3&amp;REPT(CHAR(9),1)&amp;"
"&amp;REPT(CHAR(9),1)&amp;C3</f>
        <v xml:space="preserve">	public class MstCmmMMCheckingRuleDto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CreateOrEditMstCmmMMCheckingRuleDto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GetMstCmmMMCheckingRuleInput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MstCmmMMCheckingRule</v>
      </c>
      <c r="C7" s="10" t="str">
        <f>REPT(CHAR(9),1)&amp;"[Table("""&amp;B7&amp;""")]"&amp;"
"</f>
        <v xml:space="preserve">	[Table("MstCmmMMCheckingRule")]
</v>
      </c>
      <c r="D7" s="10"/>
      <c r="E7" s="10"/>
      <c r="F7" s="10"/>
      <c r="G7" s="10"/>
      <c r="H7" s="10"/>
      <c r="I7" s="10"/>
      <c r="J7" t="str">
        <f ca="1">SUBSTITUTE(SUBSTITUTE((B1&amp;C6&amp;C7&amp;K29&amp;D6&amp;I29&amp;E3&amp;J29&amp;""&amp;REPT(CHAR(9),1)&amp;D3&amp;D3),"WorkingPattern",$Q$3),"Master",$B$4)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[Table("MstCmmMMCheckingRule")]
	public class MstCmmMMCheckingRule: FullAuditedEntity&lt;long&gt;, IEntity&lt;long&gt;	
	{
		public const int MaxRuleCodeLength = 50;
		public const int MaxRuleDescriptionLength = 5000;
		public const int MaxRuleItemLength = 50;
		public const int MaxField1NameLength = 50;
		public const int MaxField1ValueLength = 50;
		public const int MaxField2NameLength = 50;
		public const int MaxField2ValueLength = 50;
		public const int MaxField3NameLength = 50;
		public const int MaxField3ValueLength = 50;
		public const int MaxField4NameLength = 50;
		public const int MaxField4ValueLength = 50;
		public const int MaxField5NameLength = 50;
		public const int MaxField5ValueLength = 50;
		public const int MaxOptionLength = 50;
		public const int MaxResultfieldLength = 50;
		public const int MaxExpectedresultLength = 50;
		public const int MaxCheckoptionLength = 50;
		public const int MaxErrormessageLength = 5000;
		public const int MaxIsActiveLength = 1;
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[StringLength(MaxField1NameLength)]
		public virtual string Field1Name { get; set; }
		[StringLength(MaxField1ValueLength)]
		public virtual string Field1Value { get; set; }
		[StringLength(MaxField2NameLength)]
		public virtual string Field2Name { get; set; }
		[StringLength(MaxField2ValueLength)]
		public virtual string Field2Value { get; set; }
		[StringLength(MaxField3NameLength)]
		public virtual string Field3Name { get; set; }
		[StringLength(MaxField3ValueLength)]
		public virtual string Field3Value { get; set; }
		[StringLength(MaxField4NameLength)]
		public virtual string Field4Name { get; set; }
		[StringLength(MaxField4ValueLength)]
		public virtual string Field4Value { get; set; }
		[StringLength(MaxField5NameLength)]
		public virtual string Field5Name { get; set; }
		[StringLength(MaxField5ValueLength)]
		public virtual string Field5Value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[StringLength(MaxCheckoptionLength)]
		public virtual string Checkoption { get; set; }
		[StringLength(MaxErrormessageLength)]
		public virtual string Errormessage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DbSet&lt;MstCmmMMCheckingRule&gt; MstCmmMMCheckingRules { get; set; }</v>
      </c>
      <c r="L7" t="str">
        <f ca="1">SUBSTITUTE(SUBSTITUTE((C6&amp;E6&amp;I29&amp;"
"&amp;REPT(CHAR(9),2)&amp;"// Define Store Name: Format SP_ + &lt;Store Name&gt; = &lt;Store Name&gt;
"&amp;E3&amp;REPT(CHAR(9),1)&amp;D3&amp;D3),"WorkingPattern",$Q$3),"Master",$B$4)</f>
        <v xml:space="preserve">namespace prod.Master.Cmm
{
	public class MstCmmMMCheckingRuleConsts	
	{
		public const int MaxRuleCodeLength = 50;
		public const int MaxRuleDescriptionLength = 5000;
		public const int MaxRuleItemLength = 50;
		public const int MaxField1NameLength = 50;
		public const int MaxField1ValueLength = 50;
		public const int MaxField2NameLength = 50;
		public const int MaxField2ValueLength = 50;
		public const int MaxField3NameLength = 50;
		public const int MaxField3ValueLength = 50;
		public const int MaxField4NameLength = 50;
		public const int MaxField4ValueLength = 50;
		public const int MaxField5NameLength = 50;
		public const int MaxField5ValueLength = 50;
		public const int MaxOptionLength = 50;
		public const int MaxResultfieldLength = 50;
		public const int MaxExpectedresultLength = 50;
		public const int MaxCheckoptionLength = 50;
		public const int MaxErrormessageLength = 5000;
		public const int MaxIsActiveLength = 1;
		// Define Store Name: Format SP_ + &lt;Store Name&gt; = &lt;Store Name&gt;
	}
}
</v>
      </c>
      <c r="M7" t="str">
        <f ca="1">SUBSTITUTE(SUBSTITUTE((C1&amp;"namespace "&amp;B6&amp;".Dto"&amp;E3&amp;C3&amp;F6&amp;M29&amp;E3&amp;REPT(CHAR(9),1)&amp;D3&amp;G6&amp;N29&amp;REPT(CHAR(9),1)&amp;D3&amp;H6&amp;O29&amp;"
"&amp;REPT(CHAR(9),1)&amp;D3&amp;D3),"WorkingPattern",$Q$3),"Master",$B$4)</f>
        <v xml:space="preserve">using Abp.Application.Services.Dto;
using System;
using System.ComponentModel.DataAnnotations;
namespace prod.Master.Cmm.Dto
{
	public class MstCmmMMCheckingRuleDto : EntityDto&lt;long?&gt;	
	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	public class CreateOrEditMstCmmMMCheckingRuleDto : EntityDto&lt;long?&gt;	
	{
		[StringLength(MstCmmMMCheckingRuleConsts.MaxRuleCodeLength)]
		public virtual string RuleCode { get; set; }
		[StringLength(MstCmmMMCheckingRuleConsts.MaxRuleDescriptionLength)]
		public virtual string RuleDescription { get; set; }
		[StringLength(MstCmmMMCheckingRuleConsts.MaxRuleItemLength)]
		public virtual string RuleItem { get; set; }
		[StringLength(MstCmmMMCheckingRuleConsts.MaxField1NameLength)]
		public virtual string Field1Name { get; set; }
		[StringLength(MstCmmMMCheckingRuleConsts.MaxField1ValueLength)]
		public virtual string Field1Value { get; set; }
		[StringLength(MstCmmMMCheckingRuleConsts.MaxField2NameLength)]
		public virtual string Field2Name { get; set; }
		[StringLength(MstCmmMMCheckingRuleConsts.MaxField2ValueLength)]
		public virtual string Field2Value { get; set; }
		[StringLength(MstCmmMMCheckingRuleConsts.MaxField3NameLength)]
		public virtual string Field3Name { get; set; }
		[StringLength(MstCmmMMCheckingRuleConsts.MaxField3ValueLength)]
		public virtual string Field3Value { get; set; }
		[StringLength(MstCmmMMCheckingRuleConsts.MaxField4NameLength)]
		public virtual string Field4Name { get; set; }
		[StringLength(MstCmmMMCheckingRuleConsts.MaxField4ValueLength)]
		public virtual string Field4Value { get; set; }
		[StringLength(MstCmmMMCheckingRuleConsts.MaxField5NameLength)]
		public virtual string Field5Name { get; set; }
		[StringLength(MstCmmMMCheckingRuleConsts.MaxField5ValueLength)]
		public virtual string Field5Value { get; set; }
		[StringLength(MstCmmMMCheckingRuleConsts.MaxOptionLength)]
		public virtual string Option { get; set; }
		[StringLength(MstCmmMMCheckingRuleConsts.MaxResultfieldLength)]
		public virtual string Resultfield { get; set; }
		[StringLength(MstCmmMMCheckingRuleConsts.MaxExpectedresultLength)]
		public virtual string Expectedresult { get; set; }
		[StringLength(MstCmmMMCheckingRuleConsts.MaxCheckoptionLength)]
		public virtual string Checkoption { get; set; }
		[StringLength(MstCmmMMCheckingRuleConsts.MaxErrormessageLength)]
		public virtual string Errormessage { get; set; }
		[StringLength(MstCmmMMCheckingRuleConsts.MaxIsActiveLength)]
		public virtual string IsActive { get; set; }
	}
	public class GetMstCmmMMCheckingRuleInput : PagedAndSortedResultRequestDto	
	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perMstCmmMMCheckingRule = PARENTS.CreateChildPermission(AppPermissions.Pages_Master_Cmm_CmmMMCheckingRule, L( "MasterCmmCmmMMCheckingRule"), multiTenancySides: MultiTenancySides.Tenant);
		perMstCmmMMCheckingRule.CreateChildPermission(AppPermissions.Pages_Master_Cmm_CmmMMCheckingRule_CreateEdit, L( "MasterCmmCmmMMCheckingRuleCreateEdit"), multiTenancySides: MultiTenancySides.Tenant);
		perMstCmmMMCheckingRule.CreateChildPermission(AppPermissions.Pages_Master_Cmm_CmmMMCheckingRule_Delete, L( "MasterCmmCmmMMCheckingRuleDelete"),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Pages_Master_Cmm_CmmMMCheckingRule = "Pages.Master.Cmm.CmmMMCheckingRule";
		public const string Pages_Master_Cmm_CmmMMCheckingRule_CreateEdit = "Pages.Master.Cmm.CmmMMCheckingRule.CreateEdit";
		public const string Pages_Master_Cmm_CmmMMCheckingRule_Delete = "Pages.Master.Cmm.CmmMMCheckingRule.Delete";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IMstCmmMMCheckingRuleAppService : IApplicationService
	{
		Task&lt;PagedResultDto&lt;MstCmmMMCheckingRuleDto&gt;&gt; GetAll(GetMstCmmMMCheckingRuleInput input);
		Task CreateOrEdit(CreateOrEditMstCmmMMCheckingRuleDto input);
		Task Delete(EntityDto input);
	}
}
</v>
      </c>
      <c r="Q7" t="str">
        <f ca="1">SUBSTITUTE(SUBSTITUTE(SUBSTITUTE(SUBSTITUTE(SUBSTITUTE(SUBSTITUTE(E1,"MstWptCalendar",$B$3),"&lt;PROPERTIES&gt;",P29),"Calendar",$B$5),"WorkingPattern",$Q$3),"Master",$B$4),"&lt;PARAMS_SEARCH&gt;",$W$29)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[AbpAuthorize(AppPermissions.Pages_Master_Cmm_CmmMMCheckingRule)]
    public class MstCmmMMCheckingRuleAppService : vovinaAppServiceBase, IMstCmmMMCheckingRuleAppService
    {
        private readonly IDapperRepository&lt;MstCmmMMCheckingRule, long&gt; _dapperRepo;
        private readonly IRepository&lt;MstCmmMMCheckingRule, long&gt; _repo;
        private readonly IMstCmmMMCheckingRuleExcelExporter _calendarListExcelExporter;
        public MstCmmMMCheckingRuleAppService(IRepository&lt;MstCmmMMCheckingRule,long&gt; repo, 
                                         IDapperRepository&lt;MstCmmMMCheckingRule,long&gt; dapperRepo,
                                        IMstCmmMMCheckingRuleExcelExporter calendarListExcelExporter
            )
        {
            _repo = repo;
            _dapperRepo = dapperRepo;
            _calendarListExcelExporter = calendarListExcelExporter;
        }
        [AbpAuthorize(AppPermissions.Pages_Master_Cmm_CmmMMCheckingRule_CreateEdit)]
        public async Task CreateOrEdit(CreateOrEditMstCmmMMCheckingRuleDto input)
        {
            if (input.Id == null) await Create(input);
            else await Update(input);
        }
        //CREATE
        private async Task Create(CreateOrEditMstCmmMMCheckingRuleDto input)
        {          
            var mainObj = ObjectMapper.Map&lt;MstCmmMMCheckingRule&gt;(input);
            await CurrentUnitOfWork.GetDbContext&lt;vovinaDbContext&gt;().AddAsync(mainObj);
        }
        // EDIT
        private async Task Update(CreateOrEditMstCmmMMCheckingRuleDto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[AbpAuthorize(AppPermissions.Pages_Master_Cmm_CmmMMCheckingRule_Delete)]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Task&lt;PagedResultDto&lt;MstCmmMMCheckingRuleDto&gt;&gt; GetAll(GetMstCmmMMCheckingRuleInput input)
        {
            var filtered = _repo.GetAll()
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.WhereIf(!string.IsNullOrWhiteSpace(input.Field1Name), e =&gt; e.Field1Name.Contains(input.Field1Name))
				.WhereIf(!string.IsNullOrWhiteSpace(input.Field1Value), e =&gt; e.Field1Value.Contains(input.Field1Value))
				.WhereIf(!string.IsNullOrWhiteSpace(input.Field2Name), e =&gt; e.Field2Name.Contains(input.Field2Name))
				.WhereIf(!string.IsNullOrWhiteSpace(input.Field2Value), e =&gt; e.Field2Value.Contains(input.Field2Value))
				.WhereIf(!string.IsNullOrWhiteSpace(input.Field3Name), e =&gt; e.Field3Name.Contains(input.Field3Name))
				.WhereIf(!string.IsNullOrWhiteSpace(input.Field3Value), e =&gt; e.Field3Value.Contains(input.Field3Value))
				.WhereIf(!string.IsNullOrWhiteSpace(input.Field4Name), e =&gt; e.Field4Name.Contains(input.Field4Name))
				.WhereIf(!string.IsNullOrWhiteSpace(input.Field4Value), e =&gt; e.Field4Value.Contains(input.Field4Value))
				.WhereIf(!string.IsNullOrWhiteSpace(input.Field5Name), e =&gt; e.Field5Name.Contains(input.Field5Name))
				.WhereIf(!string.IsNullOrWhiteSpace(input.Field5Value), e =&gt; e.Field5Value.Contains(input.Field5Value))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.WhereIf(!string.IsNullOrWhiteSpace(input.Checkoption), e =&gt; e.Checkoption.Contains(input.Checkoption))
				.WhereIf(!string.IsNullOrWhiteSpace(input.Errormessage), e =&gt; e.Errormessage.Contains(input.Errormessage))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MstCmmMMCheckingRuleDto
                        {
							Id = o.Id,
							RuleCode = o.RuleCode,
							RuleDescription = o.RuleDescription,
							RuleItem = o.RuleItem,
							Field1Name = o.Field1Name,
							Field1Value = o.Field1Value,
							Field2Name = o.Field2Name,
							Field2Value = o.Field2Value,
							Field3Name = o.Field3Name,
							Field3Value = o.Field3Value,
							Field4Name = o.Field4Name,
							Field4Value = o.Field4Value,
							Field5Name = o.Field5Name,
							Field5Value = o.Field5Value,
							Option = o.Option,
							Resultfield = o.Resultfield,
							Expectedresult = o.Expectedresult,
							Checkoption = o.Checkoption,
							Errormessage = o.Errormessage,
							IsActive = o.IsActive,
                        };
            var totalCount = await filtered.CountAsync();
			var paged = system.PageBy(input);
            return new PagedResultDto&lt;MstCmmMMCheckingRuleDto&gt;(
                totalCount,
                 await paged.ToListAsync()
            );
        }
        public async Task&lt;FileDto&gt; GetCmmMMCheckingRuleToExcel(MstCmmMMCheckingRuleExportInput input)
        {
            var query = from o in _repo.GetAll()
                        select new MstCmmMMCheckingRuleDto
                        {
							Id = o.Id,
							RuleCode = o.RuleCode,
							RuleDescription = o.RuleDescription,
							RuleItem = o.RuleItem,
							Field1Name = o.Field1Name,
							Field1Value = o.Field1Value,
							Field2Name = o.Field2Name,
							Field2Value = o.Field2Value,
							Field3Name = o.Field3Name,
							Field3Value = o.Field3Value,
							Field4Name = o.Field4Name,
							Field4Value = o.Field4Value,
							Field5Name = o.Field5Name,
							Field5Value = o.Field5Value,
							Option = o.Option,
							Resultfield = o.Resultfield,
							Expectedresult = o.Expectedresult,
							Checkoption = o.Checkoption,
							Errormessage = o.Errormessage,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_dapperRepo.ExecuteAsync(MstCmmMMCheckingRuleConsts.SP_MST_WPT_CALENDAR_GENERATE);
       // }
    }
}</v>
      </c>
      <c r="R7" t="str">
        <f ca="1">SUBSTITUTE(SUBSTITUTE((C1&amp;"namespace "&amp;B6&amp;".Dto"&amp;E3&amp;C3&amp;R3&amp;M29&amp;E3&amp;REPT(CHAR(9),1)&amp;D3&amp;D3),"WorkingPattern",$Q$3),"Master",$B$4)</f>
        <v xml:space="preserve">using Abp.Application.Services.Dto;
using System;
using System.ComponentModel.DataAnnotations;
namespace prod.Master.Cmm.Dto
{
	public class MstCmmMMCheckingRuleExportInput{
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IMstCmmMMCheckingRuleExcelExporter : IApplicationService
	{
		FileDto ExportToFile(List&lt;MstCmmMMCheckingRuleDto&gt; mstcmmmmcheckingrule);
	}
}
</v>
      </c>
      <c r="T7" s="26" t="str">
        <f ca="1">SUBSTITUTE(SUBSTITUTE(SUBSTITUTE(SUBSTITUTE(SUBSTITUTE(SUBSTITUTE(SUBSTITUTE(T1,"MstWptCalendar",$B$3),"&lt;PROPERTIES1&gt;",V29),"&lt;PROPERTIES&gt;",T29),"Calendar",$B$5),"calendar",LOWER(B5)),"WorkingPattern",$Q$3),"Master",$B$4)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MstCmmMMCheckingRuleExcelExporter : NpoiExcelExporterBase, IMstCmmMMCheckingRuleExcelExporter
    {
        public MstCmmMMCheckingRuleExcelExporter(ITempFileCacheManager tempFileCacheManager) : base(tempFileCacheManager) { }
        public FileDto ExportToFile(List&lt;MstCmmMMCheckingRuleDto&gt; cmmmmcheckingrule)
        {
            return CreateExcelPackage(
				"MasterCmmCmmMMCheckingRule.xlsx",
				excelPackage =&gt;
				 {
					var sheet = excelPackage.CreateSheet("CmmMMCheckingRule");
					AddHeader(
								sheet,
								("RuleCode"),
								("RuleDescription"),
								("RuleItem"),
								("Field1Name"),
								("Field1Value"),
								("Field2Name"),
								("Field2Value"),
								("Field3Name"),
								("Field3Value"),
								("Field4Name"),
								("Field4Value"),
								("Field5Name"),
								("Field5Value"),
								("Option"),
								("Resultfield"),
								("Expectedresult"),
								("Checkoption"),
								("Errormessage"),
								("IsActive"),
							   );
					AddObjects(
						 sheet, 1, cmmmmcheckingrule,                                       
								_ =&gt; _.RuleCode,
								_ =&gt; _.RuleDescription,
								_ =&gt; _.RuleItem,
								_ =&gt; _.Field1Name,
								_ =&gt; _.Field1Value,
								_ =&gt; _.Field2Name,
								_ =&gt; _.Field2Value,
								_ =&gt; _.Field3Name,
								_ =&gt; _.Field3Value,
								_ =&gt; _.Field4Name,
								_ =&gt; _.Field4Value,
								_ =&gt; _.Field5Name,
								_ =&gt; _.Field5Value,
								_ =&gt; _.Option,
								_ =&gt; _.Resultfield,
								_ =&gt; _.Expectedresult,
								_ =&gt; _.Checkoption,
								_ =&gt; _.Errormessage,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configuration.CreateMap&lt;MstCmmMMCheckingRuleDto, MstCmmMMCheckingRule&gt;();
  configuration.CreateMap&lt;MstCmmMMCheckingRule, MstCmmMMCheckingRuleDto&gt;();
  configuration.CreateMap&lt;CreateOrEditMstCmmMMCheckingRuleDto, MstCmmMMCheckingRule&gt;();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384</v>
      </c>
      <c r="B9" s="28" t="s">
        <v>382</v>
      </c>
      <c r="C9" t="s">
        <v>1</v>
      </c>
      <c r="D9" t="str">
        <f t="shared" ref="D9" si="0">SUBSTITUTE(PROPER(A9),"_","")</f>
        <v>RuleCode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MaxRuleCodeLength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[StringLength(MaxRuleCodeLength)]
		public virtual string RuleCode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RuleCode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[StringLength(MstCmmMMCheckingRuleConsts.MaxRuleCodeLength)]
		public virtual string RuleCode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RuleCode { get; set; }
</v>
      </c>
      <c r="P9" t="str">
        <f t="shared" ref="P9" si="9">REPT(CHAR(9),7)&amp;D9&amp;" = o." &amp;D9 &amp;","</f>
        <v xml:space="preserve">							RuleCode = o.RuleCode,</v>
      </c>
      <c r="T9" s="63" t="str">
        <f t="shared" ref="T9" si="10">REPT(CHAR(9),8)&amp;"("""&amp;D9&amp;"""),"</f>
        <v xml:space="preserve">								("RuleCode"),</v>
      </c>
      <c r="V9" s="64" t="str">
        <f t="shared" ref="V9" si="11">REPT(CHAR(9),8)&amp;"_ =&gt; _."&amp;D9&amp;","</f>
        <v xml:space="preserve">								_ =&gt; _.RuleCode,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.WhereIf(!string.IsNullOrWhiteSpace(input.RuleCode), e =&gt; e.RuleCode.Contains(input.RuleCode))</v>
      </c>
    </row>
    <row r="10" spans="1:23" customFormat="1" ht="18.75" customHeight="1" x14ac:dyDescent="0.25">
      <c r="A10" s="28" t="s">
        <v>385</v>
      </c>
      <c r="B10" s="28" t="s">
        <v>383</v>
      </c>
      <c r="C10" t="s">
        <v>1</v>
      </c>
      <c r="D10" t="str">
        <f t="shared" ref="D10:D11" si="13">SUBSTITUTE(PROPER(A10),"_","")</f>
        <v>RuleDescription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MaxRuleDescriptionLength = 5000;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[StringLength(MaxRuleDescriptionLength)]
		public virtual string RuleDescription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RuleDescription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[StringLength(MstCmmMMCheckingRuleConsts.MaxRuleDescriptionLength)]
		public virtual string RuleDescription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RuleDescription { get; set; }
</v>
      </c>
      <c r="P10" t="str">
        <f t="shared" ref="P10:P11" si="22">REPT(CHAR(9),7)&amp;D10&amp;" = o." &amp;D10 &amp;","</f>
        <v xml:space="preserve">							RuleDescription = o.RuleDescription,</v>
      </c>
      <c r="T10" s="63" t="str">
        <f t="shared" ref="T10:T11" si="23">REPT(CHAR(9),8)&amp;"("""&amp;D10&amp;"""),"</f>
        <v xml:space="preserve">								("RuleDescription"),</v>
      </c>
      <c r="V10" s="64" t="str">
        <f t="shared" ref="V10:V11" si="24">REPT(CHAR(9),8)&amp;"_ =&gt; _."&amp;D10&amp;","</f>
        <v xml:space="preserve">								_ =&gt; _.RuleDescription,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.WhereIf(!string.IsNullOrWhiteSpace(input.RuleDescription), e =&gt; e.RuleDescription.Contains(input.RuleDescription))</v>
      </c>
    </row>
    <row r="11" spans="1:23" customFormat="1" ht="18.75" customHeight="1" x14ac:dyDescent="0.25">
      <c r="A11" s="28" t="s">
        <v>386</v>
      </c>
      <c r="B11" s="28" t="s">
        <v>382</v>
      </c>
      <c r="C11" t="s">
        <v>1</v>
      </c>
      <c r="D11" t="str">
        <f t="shared" si="13"/>
        <v>RuleItem</v>
      </c>
      <c r="E11" t="str">
        <f t="shared" si="14"/>
        <v>nvarchar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MaxRuleItemLength = 50;
</v>
      </c>
      <c r="J11" t="str">
        <f t="shared" si="17"/>
        <v xml:space="preserve">		[StringLength(MaxRuleItemLength)]
		public virtual string RuleItem { get; set; }
</v>
      </c>
      <c r="K11" s="6"/>
      <c r="L11" t="str">
        <f t="shared" si="18"/>
        <v/>
      </c>
      <c r="M11" t="str">
        <f t="shared" si="19"/>
        <v xml:space="preserve">		public virtual string RuleItem { get; set; }
</v>
      </c>
      <c r="N11" t="str">
        <f t="shared" si="20"/>
        <v xml:space="preserve">		[StringLength(MstCmmMMCheckingRuleConsts.MaxRuleItemLength)]
		public virtual string RuleItem { get; set; }
</v>
      </c>
      <c r="O11" t="str">
        <f t="shared" si="21"/>
        <v xml:space="preserve">		public virtual string RuleItem { get; set; }
</v>
      </c>
      <c r="P11" t="str">
        <f t="shared" si="22"/>
        <v xml:space="preserve">							RuleItem = o.RuleItem,</v>
      </c>
      <c r="T11" s="63" t="str">
        <f t="shared" si="23"/>
        <v xml:space="preserve">								("RuleItem"),</v>
      </c>
      <c r="V11" s="64" t="str">
        <f t="shared" si="24"/>
        <v xml:space="preserve">								_ =&gt; _.RuleItem,</v>
      </c>
      <c r="W11" s="63" t="str">
        <f t="shared" si="25"/>
        <v xml:space="preserve">				.WhereIf(!string.IsNullOrWhiteSpace(input.RuleItem), e =&gt; e.RuleItem.Contains(input.RuleItem))</v>
      </c>
    </row>
    <row r="12" spans="1:23" customFormat="1" ht="18.75" customHeight="1" x14ac:dyDescent="0.25">
      <c r="A12" s="28" t="s">
        <v>387</v>
      </c>
      <c r="B12" s="28" t="s">
        <v>382</v>
      </c>
      <c r="C12" t="s">
        <v>1</v>
      </c>
      <c r="D12" t="str">
        <f t="shared" ref="D12:D13" si="26">SUBSTITUTE(PROPER(A12),"_","")</f>
        <v>Field1Name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MaxField1NameLength = 50;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[StringLength(MaxField1NameLength)]
		public virtual string Field1Name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Field1Name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[StringLength(MstCmmMMCheckingRuleConsts.MaxField1NameLength)]
		public virtual string Field1Name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Field1Name { get; set; }
</v>
      </c>
      <c r="P12" t="str">
        <f t="shared" ref="P12:P13" si="35">REPT(CHAR(9),7)&amp;D12&amp;" = o." &amp;D12 &amp;","</f>
        <v xml:space="preserve">							Field1Name = o.Field1Name,</v>
      </c>
      <c r="T12" s="63" t="str">
        <f t="shared" ref="T12:T13" si="36">REPT(CHAR(9),8)&amp;"("""&amp;D12&amp;"""),"</f>
        <v xml:space="preserve">								("Field1Name"),</v>
      </c>
      <c r="V12" s="64" t="str">
        <f t="shared" ref="V12:V13" si="37">REPT(CHAR(9),8)&amp;"_ =&gt; _."&amp;D12&amp;","</f>
        <v xml:space="preserve">								_ =&gt; _.Field1Name,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.WhereIf(!string.IsNullOrWhiteSpace(input.Field1Name), e =&gt; e.Field1Name.Contains(input.Field1Name))</v>
      </c>
    </row>
    <row r="13" spans="1:23" customFormat="1" ht="18.75" customHeight="1" x14ac:dyDescent="0.25">
      <c r="A13" s="28" t="s">
        <v>390</v>
      </c>
      <c r="B13" s="28" t="s">
        <v>382</v>
      </c>
      <c r="C13" t="s">
        <v>1</v>
      </c>
      <c r="D13" t="str">
        <f t="shared" si="26"/>
        <v>Field1Value</v>
      </c>
      <c r="E13" t="str">
        <f t="shared" si="27"/>
        <v>nvarchar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MaxField1ValueLength = 50;
</v>
      </c>
      <c r="J13" t="str">
        <f t="shared" si="30"/>
        <v xml:space="preserve">		[StringLength(MaxField1ValueLength)]
		public virtual string Field1Value { get; set; }
</v>
      </c>
      <c r="K13" s="6"/>
      <c r="L13" t="str">
        <f t="shared" si="31"/>
        <v/>
      </c>
      <c r="M13" t="str">
        <f t="shared" si="32"/>
        <v xml:space="preserve">		public virtual string Field1Value { get; set; }
</v>
      </c>
      <c r="N13" t="str">
        <f t="shared" si="33"/>
        <v xml:space="preserve">		[StringLength(MstCmmMMCheckingRuleConsts.MaxField1ValueLength)]
		public virtual string Field1Value { get; set; }
</v>
      </c>
      <c r="O13" t="str">
        <f t="shared" si="34"/>
        <v xml:space="preserve">		public virtual string Field1Value { get; set; }
</v>
      </c>
      <c r="P13" t="str">
        <f t="shared" si="35"/>
        <v xml:space="preserve">							Field1Value = o.Field1Value,</v>
      </c>
      <c r="T13" s="63" t="str">
        <f t="shared" si="36"/>
        <v xml:space="preserve">								("Field1Value"),</v>
      </c>
      <c r="V13" s="64" t="str">
        <f t="shared" si="37"/>
        <v xml:space="preserve">								_ =&gt; _.Field1Value,</v>
      </c>
      <c r="W13" s="63" t="str">
        <f t="shared" si="38"/>
        <v xml:space="preserve">				.WhereIf(!string.IsNullOrWhiteSpace(input.Field1Value), e =&gt; e.Field1Value.Contains(input.Field1Value))</v>
      </c>
    </row>
    <row r="14" spans="1:23" customFormat="1" ht="18.75" customHeight="1" x14ac:dyDescent="0.25">
      <c r="A14" s="28" t="s">
        <v>391</v>
      </c>
      <c r="B14" s="28" t="s">
        <v>382</v>
      </c>
      <c r="C14" t="s">
        <v>1</v>
      </c>
      <c r="D14" t="str">
        <f t="shared" ref="D14:D20" si="39">SUBSTITUTE(PROPER(A14),"_","")</f>
        <v>Field2Name</v>
      </c>
      <c r="E14" t="str">
        <f t="shared" ref="E14:E20" si="40">IFERROR(LEFT(B14, FIND("(",B14)-1),B14)</f>
        <v>nvarchar</v>
      </c>
      <c r="F14" s="6"/>
      <c r="G14" t="str">
        <f t="shared" ref="G14:G20" si="41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20" si="42">IF(H14="string",REPT(CHAR(9),2)&amp;"public const int Max"&amp;D14&amp;"Length = "&amp;G14&amp;";"&amp;$E$3,"" )</f>
        <v xml:space="preserve">		public const int MaxField2NameLength = 50;
</v>
      </c>
      <c r="J14" t="str">
        <f t="shared" ref="J14:J20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[StringLength(MaxField2NameLength)]
		public virtual string Field2Name { get; set; }
</v>
      </c>
      <c r="K14" s="6"/>
      <c r="L14" t="str">
        <f t="shared" ref="L14:L20" si="44">IF(K14="","",REPT(CHAR(9),1)&amp;"[Index(nameof("&amp;IF(D14="","",""&amp;D14)&amp;")"&amp;", Name="&amp;"""IX_"&amp;$B$7&amp;"_"&amp;D14&amp;""")]")</f>
        <v/>
      </c>
      <c r="M14" t="str">
        <f t="shared" ref="M14:M20" si="45">REPT(CHAR(9),2)&amp;"public virtual "&amp;IF(OR(H14="DateTime",H14="TimeSpan"),H14&amp;"?",H14)&amp;IF(C14="?","? "," ")&amp;D14&amp;" { get; set; }" &amp; "
"</f>
        <v xml:space="preserve">		public virtual string Field2Name { get; set; }
</v>
      </c>
      <c r="N14" t="str">
        <f t="shared" ref="N14:N20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[StringLength(MstCmmMMCheckingRuleConsts.MaxField2NameLength)]
		public virtual string Field2Name { get; set; }
</v>
      </c>
      <c r="O14" t="str">
        <f t="shared" ref="O14:O20" si="47">IF(OR(H14="string",H14="DateTime",H14="int"),REPT(CHAR(9),2)&amp;"public virtual "&amp;IF(OR(H14="DateTime",H14="TimeSpan"),H14&amp;"?",H14)&amp;IF(C14="?","? "," ")&amp;D14&amp;" { get; set; }"&amp;$E$3,"")</f>
        <v xml:space="preserve">		public virtual string Field2Name { get; set; }
</v>
      </c>
      <c r="P14" t="str">
        <f t="shared" ref="P14:P20" si="48">REPT(CHAR(9),7)&amp;D14&amp;" = o." &amp;D14 &amp;","</f>
        <v xml:space="preserve">							Field2Name = o.Field2Name,</v>
      </c>
      <c r="T14" s="63" t="str">
        <f t="shared" ref="T14:T20" si="49">REPT(CHAR(9),8)&amp;"("""&amp;D14&amp;"""),"</f>
        <v xml:space="preserve">								("Field2Name"),</v>
      </c>
      <c r="V14" s="64" t="str">
        <f t="shared" ref="V14:V20" si="50">REPT(CHAR(9),8)&amp;"_ =&gt; _."&amp;D14&amp;","</f>
        <v xml:space="preserve">								_ =&gt; _.Field2Name,</v>
      </c>
      <c r="W14" s="63" t="str">
        <f t="shared" ref="W14:W20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.WhereIf(!string.IsNullOrWhiteSpace(input.Field2Name), e =&gt; e.Field2Name.Contains(input.Field2Name))</v>
      </c>
    </row>
    <row r="15" spans="1:23" customFormat="1" ht="18.75" customHeight="1" x14ac:dyDescent="0.25">
      <c r="A15" s="28" t="s">
        <v>396</v>
      </c>
      <c r="B15" s="28" t="s">
        <v>382</v>
      </c>
      <c r="C15" t="s">
        <v>1</v>
      </c>
      <c r="D15" t="str">
        <f t="shared" si="39"/>
        <v>Field2Value</v>
      </c>
      <c r="E15" t="str">
        <f t="shared" si="40"/>
        <v>nvarchar</v>
      </c>
      <c r="F15" s="6"/>
      <c r="G15" t="str">
        <f t="shared" si="41"/>
        <v>50</v>
      </c>
      <c r="H15" t="str">
        <f>+VLOOKUP(E15,'Data Type Mapping'!A:B,2,)</f>
        <v>string</v>
      </c>
      <c r="I15" t="str">
        <f t="shared" si="42"/>
        <v xml:space="preserve">		public const int MaxField2ValueLength = 50;
</v>
      </c>
      <c r="J15" t="str">
        <f t="shared" si="43"/>
        <v xml:space="preserve">		[StringLength(MaxField2ValueLength)]
		public virtual string Field2Value { get; set; }
</v>
      </c>
      <c r="K15" s="6"/>
      <c r="L15" t="str">
        <f t="shared" si="44"/>
        <v/>
      </c>
      <c r="M15" t="str">
        <f t="shared" si="45"/>
        <v xml:space="preserve">		public virtual string Field2Value { get; set; }
</v>
      </c>
      <c r="N15" t="str">
        <f t="shared" si="46"/>
        <v xml:space="preserve">		[StringLength(MstCmmMMCheckingRuleConsts.MaxField2ValueLength)]
		public virtual string Field2Value { get; set; }
</v>
      </c>
      <c r="O15" t="str">
        <f t="shared" si="47"/>
        <v xml:space="preserve">		public virtual string Field2Value { get; set; }
</v>
      </c>
      <c r="P15" t="str">
        <f t="shared" si="48"/>
        <v xml:space="preserve">							Field2Value = o.Field2Value,</v>
      </c>
      <c r="T15" s="63" t="str">
        <f t="shared" si="49"/>
        <v xml:space="preserve">								("Field2Value"),</v>
      </c>
      <c r="V15" s="64" t="str">
        <f t="shared" si="50"/>
        <v xml:space="preserve">								_ =&gt; _.Field2Value,</v>
      </c>
      <c r="W15" s="63" t="str">
        <f t="shared" si="51"/>
        <v xml:space="preserve">				.WhereIf(!string.IsNullOrWhiteSpace(input.Field2Value), e =&gt; e.Field2Value.Contains(input.Field2Value))</v>
      </c>
    </row>
    <row r="16" spans="1:23" customFormat="1" ht="18.75" customHeight="1" x14ac:dyDescent="0.25">
      <c r="A16" s="28" t="s">
        <v>392</v>
      </c>
      <c r="B16" s="28" t="s">
        <v>382</v>
      </c>
      <c r="C16" t="s">
        <v>1</v>
      </c>
      <c r="D16" t="str">
        <f t="shared" si="39"/>
        <v>Field3Name</v>
      </c>
      <c r="E16" t="str">
        <f t="shared" si="40"/>
        <v>nvarchar</v>
      </c>
      <c r="F16" s="6"/>
      <c r="G16" t="str">
        <f t="shared" si="41"/>
        <v>50</v>
      </c>
      <c r="H16" t="str">
        <f>+VLOOKUP(E16,'Data Type Mapping'!A:B,2,)</f>
        <v>string</v>
      </c>
      <c r="I16" t="str">
        <f t="shared" si="42"/>
        <v xml:space="preserve">		public const int MaxField3NameLength = 50;
</v>
      </c>
      <c r="J16" t="str">
        <f t="shared" si="43"/>
        <v xml:space="preserve">		[StringLength(MaxField3NameLength)]
		public virtual string Field3Name { get; set; }
</v>
      </c>
      <c r="K16" s="6"/>
      <c r="L16" t="str">
        <f t="shared" si="44"/>
        <v/>
      </c>
      <c r="M16" t="str">
        <f t="shared" si="45"/>
        <v xml:space="preserve">		public virtual string Field3Name { get; set; }
</v>
      </c>
      <c r="N16" t="str">
        <f t="shared" si="46"/>
        <v xml:space="preserve">		[StringLength(MstCmmMMCheckingRuleConsts.MaxField3NameLength)]
		public virtual string Field3Name { get; set; }
</v>
      </c>
      <c r="O16" t="str">
        <f t="shared" si="47"/>
        <v xml:space="preserve">		public virtual string Field3Name { get; set; }
</v>
      </c>
      <c r="P16" t="str">
        <f t="shared" si="48"/>
        <v xml:space="preserve">							Field3Name = o.Field3Name,</v>
      </c>
      <c r="T16" s="63" t="str">
        <f t="shared" si="49"/>
        <v xml:space="preserve">								("Field3Name"),</v>
      </c>
      <c r="V16" s="64" t="str">
        <f t="shared" si="50"/>
        <v xml:space="preserve">								_ =&gt; _.Field3Name,</v>
      </c>
      <c r="W16" s="63" t="str">
        <f t="shared" si="51"/>
        <v xml:space="preserve">				.WhereIf(!string.IsNullOrWhiteSpace(input.Field3Name), e =&gt; e.Field3Name.Contains(input.Field3Name))</v>
      </c>
    </row>
    <row r="17" spans="1:23" customFormat="1" ht="18.75" customHeight="1" x14ac:dyDescent="0.25">
      <c r="A17" s="28" t="s">
        <v>393</v>
      </c>
      <c r="B17" s="28" t="s">
        <v>382</v>
      </c>
      <c r="C17" t="s">
        <v>1</v>
      </c>
      <c r="D17" t="str">
        <f t="shared" si="39"/>
        <v>Field3Value</v>
      </c>
      <c r="E17" t="str">
        <f t="shared" si="40"/>
        <v>nvarchar</v>
      </c>
      <c r="F17" s="6"/>
      <c r="G17" t="str">
        <f t="shared" si="41"/>
        <v>50</v>
      </c>
      <c r="H17" t="str">
        <f>+VLOOKUP(E17,'Data Type Mapping'!A:B,2,)</f>
        <v>string</v>
      </c>
      <c r="I17" t="str">
        <f t="shared" si="42"/>
        <v xml:space="preserve">		public const int MaxField3ValueLength = 50;
</v>
      </c>
      <c r="J17" t="str">
        <f t="shared" si="43"/>
        <v xml:space="preserve">		[StringLength(MaxField3ValueLength)]
		public virtual string Field3Value { get; set; }
</v>
      </c>
      <c r="K17" s="6"/>
      <c r="L17" t="str">
        <f t="shared" si="44"/>
        <v/>
      </c>
      <c r="M17" t="str">
        <f t="shared" si="45"/>
        <v xml:space="preserve">		public virtual string Field3Value { get; set; }
</v>
      </c>
      <c r="N17" t="str">
        <f t="shared" si="46"/>
        <v xml:space="preserve">		[StringLength(MstCmmMMCheckingRuleConsts.MaxField3ValueLength)]
		public virtual string Field3Value { get; set; }
</v>
      </c>
      <c r="O17" t="str">
        <f t="shared" si="47"/>
        <v xml:space="preserve">		public virtual string Field3Value { get; set; }
</v>
      </c>
      <c r="P17" t="str">
        <f t="shared" si="48"/>
        <v xml:space="preserve">							Field3Value = o.Field3Value,</v>
      </c>
      <c r="T17" s="63" t="str">
        <f t="shared" si="49"/>
        <v xml:space="preserve">								("Field3Value"),</v>
      </c>
      <c r="V17" s="64" t="str">
        <f t="shared" si="50"/>
        <v xml:space="preserve">								_ =&gt; _.Field3Value,</v>
      </c>
      <c r="W17" s="63" t="str">
        <f t="shared" si="51"/>
        <v xml:space="preserve">				.WhereIf(!string.IsNullOrWhiteSpace(input.Field3Value), e =&gt; e.Field3Value.Contains(input.Field3Value))</v>
      </c>
    </row>
    <row r="18" spans="1:23" customFormat="1" ht="18.75" customHeight="1" x14ac:dyDescent="0.25">
      <c r="A18" s="28" t="s">
        <v>394</v>
      </c>
      <c r="B18" s="28" t="s">
        <v>382</v>
      </c>
      <c r="C18" t="s">
        <v>1</v>
      </c>
      <c r="D18" t="str">
        <f t="shared" si="39"/>
        <v>Field4Name</v>
      </c>
      <c r="E18" t="str">
        <f t="shared" si="40"/>
        <v>nvarchar</v>
      </c>
      <c r="F18" s="6"/>
      <c r="G18" t="str">
        <f t="shared" si="41"/>
        <v>50</v>
      </c>
      <c r="H18" t="str">
        <f>+VLOOKUP(E18,'Data Type Mapping'!A:B,2,)</f>
        <v>string</v>
      </c>
      <c r="I18" t="str">
        <f t="shared" si="42"/>
        <v xml:space="preserve">		public const int MaxField4NameLength = 50;
</v>
      </c>
      <c r="J18" t="str">
        <f t="shared" si="43"/>
        <v xml:space="preserve">		[StringLength(MaxField4NameLength)]
		public virtual string Field4Name { get; set; }
</v>
      </c>
      <c r="K18" s="6"/>
      <c r="L18" t="str">
        <f t="shared" si="44"/>
        <v/>
      </c>
      <c r="M18" t="str">
        <f t="shared" si="45"/>
        <v xml:space="preserve">		public virtual string Field4Name { get; set; }
</v>
      </c>
      <c r="N18" t="str">
        <f t="shared" si="46"/>
        <v xml:space="preserve">		[StringLength(MstCmmMMCheckingRuleConsts.MaxField4NameLength)]
		public virtual string Field4Name { get; set; }
</v>
      </c>
      <c r="O18" t="str">
        <f t="shared" si="47"/>
        <v xml:space="preserve">		public virtual string Field4Name { get; set; }
</v>
      </c>
      <c r="P18" t="str">
        <f t="shared" si="48"/>
        <v xml:space="preserve">							Field4Name = o.Field4Name,</v>
      </c>
      <c r="T18" s="63" t="str">
        <f t="shared" si="49"/>
        <v xml:space="preserve">								("Field4Name"),</v>
      </c>
      <c r="V18" s="64" t="str">
        <f t="shared" si="50"/>
        <v xml:space="preserve">								_ =&gt; _.Field4Name,</v>
      </c>
      <c r="W18" s="63" t="str">
        <f t="shared" si="51"/>
        <v xml:space="preserve">				.WhereIf(!string.IsNullOrWhiteSpace(input.Field4Name), e =&gt; e.Field4Name.Contains(input.Field4Name))</v>
      </c>
    </row>
    <row r="19" spans="1:23" customFormat="1" ht="18.75" customHeight="1" x14ac:dyDescent="0.25">
      <c r="A19" s="28" t="s">
        <v>395</v>
      </c>
      <c r="B19" s="28" t="s">
        <v>382</v>
      </c>
      <c r="C19" t="s">
        <v>1</v>
      </c>
      <c r="D19" t="str">
        <f t="shared" si="39"/>
        <v>Field4Value</v>
      </c>
      <c r="E19" t="str">
        <f t="shared" si="40"/>
        <v>nvarchar</v>
      </c>
      <c r="F19" s="6"/>
      <c r="G19" t="str">
        <f t="shared" si="41"/>
        <v>50</v>
      </c>
      <c r="H19" t="str">
        <f>+VLOOKUP(E19,'Data Type Mapping'!A:B,2,)</f>
        <v>string</v>
      </c>
      <c r="I19" t="str">
        <f t="shared" si="42"/>
        <v xml:space="preserve">		public const int MaxField4ValueLength = 50;
</v>
      </c>
      <c r="J19" t="str">
        <f t="shared" si="43"/>
        <v xml:space="preserve">		[StringLength(MaxField4ValueLength)]
		public virtual string Field4Value { get; set; }
</v>
      </c>
      <c r="K19" s="6"/>
      <c r="L19" t="str">
        <f t="shared" si="44"/>
        <v/>
      </c>
      <c r="M19" t="str">
        <f t="shared" si="45"/>
        <v xml:space="preserve">		public virtual string Field4Value { get; set; }
</v>
      </c>
      <c r="N19" t="str">
        <f t="shared" si="46"/>
        <v xml:space="preserve">		[StringLength(MstCmmMMCheckingRuleConsts.MaxField4ValueLength)]
		public virtual string Field4Value { get; set; }
</v>
      </c>
      <c r="O19" t="str">
        <f t="shared" si="47"/>
        <v xml:space="preserve">		public virtual string Field4Value { get; set; }
</v>
      </c>
      <c r="P19" t="str">
        <f t="shared" si="48"/>
        <v xml:space="preserve">							Field4Value = o.Field4Value,</v>
      </c>
      <c r="T19" s="63" t="str">
        <f t="shared" si="49"/>
        <v xml:space="preserve">								("Field4Value"),</v>
      </c>
      <c r="V19" s="64" t="str">
        <f t="shared" si="50"/>
        <v xml:space="preserve">								_ =&gt; _.Field4Value,</v>
      </c>
      <c r="W19" s="63" t="str">
        <f t="shared" si="51"/>
        <v xml:space="preserve">				.WhereIf(!string.IsNullOrWhiteSpace(input.Field4Value), e =&gt; e.Field4Value.Contains(input.Field4Value))</v>
      </c>
    </row>
    <row r="20" spans="1:23" customFormat="1" ht="18.75" customHeight="1" x14ac:dyDescent="0.25">
      <c r="A20" s="28" t="s">
        <v>389</v>
      </c>
      <c r="B20" s="28" t="s">
        <v>382</v>
      </c>
      <c r="C20" t="s">
        <v>1</v>
      </c>
      <c r="D20" t="str">
        <f t="shared" si="39"/>
        <v>Field5Name</v>
      </c>
      <c r="E20" t="str">
        <f t="shared" si="40"/>
        <v>nvarchar</v>
      </c>
      <c r="F20" s="6"/>
      <c r="G20" t="str">
        <f t="shared" si="41"/>
        <v>50</v>
      </c>
      <c r="H20" t="str">
        <f>+VLOOKUP(E20,'Data Type Mapping'!A:B,2,)</f>
        <v>string</v>
      </c>
      <c r="I20" t="str">
        <f t="shared" si="42"/>
        <v xml:space="preserve">		public const int MaxField5NameLength = 50;
</v>
      </c>
      <c r="J20" t="str">
        <f t="shared" si="43"/>
        <v xml:space="preserve">		[StringLength(MaxField5NameLength)]
		public virtual string Field5Name { get; set; }
</v>
      </c>
      <c r="K20" s="6"/>
      <c r="L20" t="str">
        <f t="shared" si="44"/>
        <v/>
      </c>
      <c r="M20" t="str">
        <f t="shared" si="45"/>
        <v xml:space="preserve">		public virtual string Field5Name { get; set; }
</v>
      </c>
      <c r="N20" t="str">
        <f t="shared" si="46"/>
        <v xml:space="preserve">		[StringLength(MstCmmMMCheckingRuleConsts.MaxField5NameLength)]
		public virtual string Field5Name { get; set; }
</v>
      </c>
      <c r="O20" t="str">
        <f t="shared" si="47"/>
        <v xml:space="preserve">		public virtual string Field5Name { get; set; }
</v>
      </c>
      <c r="P20" t="str">
        <f t="shared" si="48"/>
        <v xml:space="preserve">							Field5Name = o.Field5Name,</v>
      </c>
      <c r="T20" s="63" t="str">
        <f t="shared" si="49"/>
        <v xml:space="preserve">								("Field5Name"),</v>
      </c>
      <c r="V20" s="64" t="str">
        <f t="shared" si="50"/>
        <v xml:space="preserve">								_ =&gt; _.Field5Name,</v>
      </c>
      <c r="W20" s="63" t="str">
        <f t="shared" si="51"/>
        <v xml:space="preserve">				.WhereIf(!string.IsNullOrWhiteSpace(input.Field5Name), e =&gt; e.Field5Name.Contains(input.Field5Name))</v>
      </c>
    </row>
    <row r="21" spans="1:23" customFormat="1" ht="18.75" customHeight="1" x14ac:dyDescent="0.25">
      <c r="A21" s="28" t="s">
        <v>388</v>
      </c>
      <c r="B21" s="28" t="s">
        <v>382</v>
      </c>
      <c r="C21" t="s">
        <v>1</v>
      </c>
      <c r="D21" t="str">
        <f t="shared" ref="D21:D25" si="52">SUBSTITUTE(PROPER(A21),"_","")</f>
        <v>Field5Value</v>
      </c>
      <c r="E21" t="str">
        <f t="shared" ref="E21:E25" si="53">IFERROR(LEFT(B21, FIND("(",B21)-1),B21)</f>
        <v>nvarchar</v>
      </c>
      <c r="F21" s="6"/>
      <c r="G21" t="str">
        <f t="shared" ref="G21:G25" si="54">IFERROR(MID(B21,FIND("(",B21) +1, FIND(")",B21) - FIND("(",B21) - 1),"")</f>
        <v>50</v>
      </c>
      <c r="H21" t="str">
        <f>+VLOOKUP(E21,'Data Type Mapping'!A:B,2,)</f>
        <v>string</v>
      </c>
      <c r="I21" t="str">
        <f t="shared" ref="I21:I25" si="55">IF(H21="string",REPT(CHAR(9),2)&amp;"public const int Max"&amp;D21&amp;"Length = "&amp;G21&amp;";"&amp;$E$3,"" )</f>
        <v xml:space="preserve">		public const int MaxField5ValueLength = 50;
</v>
      </c>
      <c r="J21" t="str">
        <f t="shared" ref="J21:J25" si="56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[StringLength(MaxField5ValueLength)]
		public virtual string Field5Value { get; set; }
</v>
      </c>
      <c r="K21" s="6"/>
      <c r="L21" t="str">
        <f t="shared" ref="L21:L25" si="57">IF(K21="","",REPT(CHAR(9),1)&amp;"[Index(nameof("&amp;IF(D21="","",""&amp;D21)&amp;")"&amp;", Name="&amp;"""IX_"&amp;$B$7&amp;"_"&amp;D21&amp;""")]")</f>
        <v/>
      </c>
      <c r="M21" t="str">
        <f t="shared" ref="M21:M25" si="58">REPT(CHAR(9),2)&amp;"public virtual "&amp;IF(OR(H21="DateTime",H21="TimeSpan"),H21&amp;"?",H21)&amp;IF(C21="?","? "," ")&amp;D21&amp;" { get; set; }" &amp; "
"</f>
        <v xml:space="preserve">		public virtual string Field5Value { get; set; }
</v>
      </c>
      <c r="N21" t="str">
        <f t="shared" ref="N21:N25" si="5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[StringLength(MstCmmMMCheckingRuleConsts.MaxField5ValueLength)]
		public virtual string Field5Value { get; set; }
</v>
      </c>
      <c r="O21" t="str">
        <f t="shared" ref="O21:O25" si="60">IF(OR(H21="string",H21="DateTime",H21="int"),REPT(CHAR(9),2)&amp;"public virtual "&amp;IF(OR(H21="DateTime",H21="TimeSpan"),H21&amp;"?",H21)&amp;IF(C21="?","? "," ")&amp;D21&amp;" { get; set; }"&amp;$E$3,"")</f>
        <v xml:space="preserve">		public virtual string Field5Value { get; set; }
</v>
      </c>
      <c r="P21" t="str">
        <f t="shared" ref="P21:P25" si="61">REPT(CHAR(9),7)&amp;D21&amp;" = o." &amp;D21 &amp;","</f>
        <v xml:space="preserve">							Field5Value = o.Field5Value,</v>
      </c>
      <c r="T21" s="63" t="str">
        <f t="shared" ref="T21:T25" si="62">REPT(CHAR(9),8)&amp;"("""&amp;D21&amp;"""),"</f>
        <v xml:space="preserve">								("Field5Value"),</v>
      </c>
      <c r="V21" s="64" t="str">
        <f t="shared" ref="V21:V25" si="63">REPT(CHAR(9),8)&amp;"_ =&gt; _."&amp;D21&amp;","</f>
        <v xml:space="preserve">								_ =&gt; _.Field5Value,</v>
      </c>
      <c r="W21" s="63" t="str">
        <f t="shared" ref="W21:W25" si="64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.WhereIf(!string.IsNullOrWhiteSpace(input.Field5Value), e =&gt; e.Field5Value.Contains(input.Field5Value))</v>
      </c>
    </row>
    <row r="22" spans="1:23" customFormat="1" ht="18.75" customHeight="1" x14ac:dyDescent="0.25">
      <c r="A22" s="28" t="s">
        <v>377</v>
      </c>
      <c r="B22" s="28" t="s">
        <v>382</v>
      </c>
      <c r="C22" t="s">
        <v>1</v>
      </c>
      <c r="D22" t="str">
        <f t="shared" si="52"/>
        <v>Option</v>
      </c>
      <c r="E22" t="str">
        <f t="shared" si="53"/>
        <v>nvarchar</v>
      </c>
      <c r="F22" s="6"/>
      <c r="G22" t="str">
        <f t="shared" si="54"/>
        <v>50</v>
      </c>
      <c r="H22" t="str">
        <f>+VLOOKUP(E22,'Data Type Mapping'!A:B,2,)</f>
        <v>string</v>
      </c>
      <c r="I22" t="str">
        <f t="shared" si="55"/>
        <v xml:space="preserve">		public const int MaxOptionLength = 50;
</v>
      </c>
      <c r="J22" t="str">
        <f t="shared" si="56"/>
        <v xml:space="preserve">		[StringLength(MaxOptionLength)]
		public virtual string Option { get; set; }
</v>
      </c>
      <c r="K22" s="6"/>
      <c r="L22" t="str">
        <f t="shared" si="57"/>
        <v/>
      </c>
      <c r="M22" t="str">
        <f t="shared" si="58"/>
        <v xml:space="preserve">		public virtual string Option { get; set; }
</v>
      </c>
      <c r="N22" t="str">
        <f t="shared" si="59"/>
        <v xml:space="preserve">		[StringLength(MstCmmMMCheckingRuleConsts.MaxOptionLength)]
		public virtual string Option { get; set; }
</v>
      </c>
      <c r="O22" t="str">
        <f t="shared" si="60"/>
        <v xml:space="preserve">		public virtual string Option { get; set; }
</v>
      </c>
      <c r="P22" t="str">
        <f t="shared" si="61"/>
        <v xml:space="preserve">							Option = o.Option,</v>
      </c>
      <c r="T22" s="63" t="str">
        <f t="shared" si="62"/>
        <v xml:space="preserve">								("Option"),</v>
      </c>
      <c r="V22" s="64" t="str">
        <f t="shared" si="63"/>
        <v xml:space="preserve">								_ =&gt; _.Option,</v>
      </c>
      <c r="W22" s="63" t="str">
        <f t="shared" si="64"/>
        <v xml:space="preserve">				.WhereIf(!string.IsNullOrWhiteSpace(input.Option), e =&gt; e.Option.Contains(input.Option))</v>
      </c>
    </row>
    <row r="23" spans="1:23" customFormat="1" ht="18.75" customHeight="1" x14ac:dyDescent="0.25">
      <c r="A23" s="28" t="s">
        <v>378</v>
      </c>
      <c r="B23" s="28" t="s">
        <v>382</v>
      </c>
      <c r="C23" t="s">
        <v>1</v>
      </c>
      <c r="D23" t="str">
        <f t="shared" si="52"/>
        <v>Resultfield</v>
      </c>
      <c r="E23" t="str">
        <f t="shared" si="53"/>
        <v>nvarchar</v>
      </c>
      <c r="F23" s="6"/>
      <c r="G23" t="str">
        <f t="shared" si="54"/>
        <v>50</v>
      </c>
      <c r="H23" t="str">
        <f>+VLOOKUP(E23,'Data Type Mapping'!A:B,2,)</f>
        <v>string</v>
      </c>
      <c r="I23" t="str">
        <f t="shared" si="55"/>
        <v xml:space="preserve">		public const int MaxResultfieldLength = 50;
</v>
      </c>
      <c r="J23" t="str">
        <f t="shared" si="56"/>
        <v xml:space="preserve">		[StringLength(MaxResultfieldLength)]
		public virtual string Resultfield { get; set; }
</v>
      </c>
      <c r="K23" s="6"/>
      <c r="L23" t="str">
        <f t="shared" si="57"/>
        <v/>
      </c>
      <c r="M23" t="str">
        <f t="shared" si="58"/>
        <v xml:space="preserve">		public virtual string Resultfield { get; set; }
</v>
      </c>
      <c r="N23" t="str">
        <f t="shared" si="59"/>
        <v xml:space="preserve">		[StringLength(MstCmmMMCheckingRuleConsts.MaxResultfieldLength)]
		public virtual string Resultfield { get; set; }
</v>
      </c>
      <c r="O23" t="str">
        <f t="shared" si="60"/>
        <v xml:space="preserve">		public virtual string Resultfield { get; set; }
</v>
      </c>
      <c r="P23" t="str">
        <f t="shared" si="61"/>
        <v xml:space="preserve">							Resultfield = o.Resultfield,</v>
      </c>
      <c r="T23" s="63" t="str">
        <f t="shared" si="62"/>
        <v xml:space="preserve">								("Resultfield"),</v>
      </c>
      <c r="V23" s="64" t="str">
        <f t="shared" si="63"/>
        <v xml:space="preserve">								_ =&gt; _.Resultfield,</v>
      </c>
      <c r="W23" s="63" t="str">
        <f t="shared" si="64"/>
        <v xml:space="preserve">				.WhereIf(!string.IsNullOrWhiteSpace(input.Resultfield), e =&gt; e.Resultfield.Contains(input.Resultfield))</v>
      </c>
    </row>
    <row r="24" spans="1:23" customFormat="1" ht="18.75" customHeight="1" x14ac:dyDescent="0.25">
      <c r="A24" s="28" t="s">
        <v>379</v>
      </c>
      <c r="B24" s="28" t="s">
        <v>382</v>
      </c>
      <c r="C24" t="s">
        <v>1</v>
      </c>
      <c r="D24" t="str">
        <f t="shared" si="52"/>
        <v>Expectedresult</v>
      </c>
      <c r="E24" t="str">
        <f t="shared" si="53"/>
        <v>nvarchar</v>
      </c>
      <c r="F24" s="6"/>
      <c r="G24" t="str">
        <f t="shared" si="54"/>
        <v>50</v>
      </c>
      <c r="H24" t="str">
        <f>+VLOOKUP(E24,'Data Type Mapping'!A:B,2,)</f>
        <v>string</v>
      </c>
      <c r="I24" t="str">
        <f t="shared" si="55"/>
        <v xml:space="preserve">		public const int MaxExpectedresultLength = 50;
</v>
      </c>
      <c r="J24" t="str">
        <f t="shared" si="56"/>
        <v xml:space="preserve">		[StringLength(MaxExpectedresultLength)]
		public virtual string Expectedresult { get; set; }
</v>
      </c>
      <c r="K24" s="6"/>
      <c r="L24" t="str">
        <f t="shared" si="57"/>
        <v/>
      </c>
      <c r="M24" t="str">
        <f t="shared" si="58"/>
        <v xml:space="preserve">		public virtual string Expectedresult { get; set; }
</v>
      </c>
      <c r="N24" t="str">
        <f t="shared" si="59"/>
        <v xml:space="preserve">		[StringLength(MstCmmMMCheckingRuleConsts.MaxExpectedresultLength)]
		public virtual string Expectedresult { get; set; }
</v>
      </c>
      <c r="O24" t="str">
        <f t="shared" si="60"/>
        <v xml:space="preserve">		public virtual string Expectedresult { get; set; }
</v>
      </c>
      <c r="P24" t="str">
        <f t="shared" si="61"/>
        <v xml:space="preserve">							Expectedresult = o.Expectedresult,</v>
      </c>
      <c r="T24" s="63" t="str">
        <f t="shared" si="62"/>
        <v xml:space="preserve">								("Expectedresult"),</v>
      </c>
      <c r="V24" s="64" t="str">
        <f t="shared" si="63"/>
        <v xml:space="preserve">								_ =&gt; _.Expectedresult,</v>
      </c>
      <c r="W24" s="63" t="str">
        <f t="shared" si="64"/>
        <v xml:space="preserve">				.WhereIf(!string.IsNullOrWhiteSpace(input.Expectedresult), e =&gt; e.Expectedresult.Contains(input.Expectedresult))</v>
      </c>
    </row>
    <row r="25" spans="1:23" customFormat="1" ht="18.75" customHeight="1" x14ac:dyDescent="0.25">
      <c r="A25" s="28" t="s">
        <v>380</v>
      </c>
      <c r="B25" s="28" t="s">
        <v>382</v>
      </c>
      <c r="C25" t="s">
        <v>1</v>
      </c>
      <c r="D25" t="str">
        <f t="shared" si="52"/>
        <v>Checkoption</v>
      </c>
      <c r="E25" t="str">
        <f t="shared" si="53"/>
        <v>nvarchar</v>
      </c>
      <c r="F25" s="6"/>
      <c r="G25" t="str">
        <f t="shared" si="54"/>
        <v>50</v>
      </c>
      <c r="H25" t="str">
        <f>+VLOOKUP(E25,'Data Type Mapping'!A:B,2,)</f>
        <v>string</v>
      </c>
      <c r="I25" t="str">
        <f t="shared" si="55"/>
        <v xml:space="preserve">		public const int MaxCheckoptionLength = 50;
</v>
      </c>
      <c r="J25" t="str">
        <f t="shared" si="56"/>
        <v xml:space="preserve">		[StringLength(MaxCheckoptionLength)]
		public virtual string Checkoption { get; set; }
</v>
      </c>
      <c r="K25" s="6"/>
      <c r="L25" t="str">
        <f t="shared" si="57"/>
        <v/>
      </c>
      <c r="M25" t="str">
        <f t="shared" si="58"/>
        <v xml:space="preserve">		public virtual string Checkoption { get; set; }
</v>
      </c>
      <c r="N25" t="str">
        <f t="shared" si="59"/>
        <v xml:space="preserve">		[StringLength(MstCmmMMCheckingRuleConsts.MaxCheckoptionLength)]
		public virtual string Checkoption { get; set; }
</v>
      </c>
      <c r="O25" t="str">
        <f t="shared" si="60"/>
        <v xml:space="preserve">		public virtual string Checkoption { get; set; }
</v>
      </c>
      <c r="P25" t="str">
        <f t="shared" si="61"/>
        <v xml:space="preserve">							Checkoption = o.Checkoption,</v>
      </c>
      <c r="T25" s="63" t="str">
        <f t="shared" si="62"/>
        <v xml:space="preserve">								("Checkoption"),</v>
      </c>
      <c r="V25" s="64" t="str">
        <f t="shared" si="63"/>
        <v xml:space="preserve">								_ =&gt; _.Checkoption,</v>
      </c>
      <c r="W25" s="63" t="str">
        <f t="shared" si="64"/>
        <v xml:space="preserve">				.WhereIf(!string.IsNullOrWhiteSpace(input.Checkoption), e =&gt; e.Checkoption.Contains(input.Checkoption))</v>
      </c>
    </row>
    <row r="26" spans="1:23" customFormat="1" ht="18.75" customHeight="1" x14ac:dyDescent="0.25">
      <c r="A26" s="28" t="s">
        <v>381</v>
      </c>
      <c r="B26" s="28" t="s">
        <v>383</v>
      </c>
      <c r="C26" t="s">
        <v>1</v>
      </c>
      <c r="D26" t="str">
        <f t="shared" ref="D26" si="65">SUBSTITUTE(PROPER(A26),"_","")</f>
        <v>Errormessage</v>
      </c>
      <c r="E26" t="str">
        <f t="shared" ref="E26" si="66">IFERROR(LEFT(B26, FIND("(",B26)-1),B26)</f>
        <v>nvarchar</v>
      </c>
      <c r="F26" s="6"/>
      <c r="G26" t="str">
        <f t="shared" ref="G26" si="67">IFERROR(MID(B26,FIND("(",B26) +1, FIND(")",B26) - FIND("(",B26) - 1),"")</f>
        <v>5000</v>
      </c>
      <c r="H26" t="str">
        <f>+VLOOKUP(E26,'Data Type Mapping'!A:B,2,)</f>
        <v>string</v>
      </c>
      <c r="I26" t="str">
        <f t="shared" ref="I26" si="68">IF(H26="string",REPT(CHAR(9),2)&amp;"public const int Max"&amp;D26&amp;"Length = "&amp;G26&amp;";"&amp;$E$3,"" )</f>
        <v xml:space="preserve">		public const int MaxErrormessageLength = 5000;
</v>
      </c>
      <c r="J26" t="str">
        <f t="shared" ref="J26" si="69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[StringLength(MaxErrormessageLength)]
		public virtual string Errormessage { get; set; }
</v>
      </c>
      <c r="K26" s="6"/>
      <c r="L26" t="str">
        <f t="shared" ref="L26" si="70">IF(K26="","",REPT(CHAR(9),1)&amp;"[Index(nameof("&amp;IF(D26="","",""&amp;D26)&amp;")"&amp;", Name="&amp;"""IX_"&amp;$B$7&amp;"_"&amp;D26&amp;""")]")</f>
        <v/>
      </c>
      <c r="M26" t="str">
        <f t="shared" ref="M26" si="71">REPT(CHAR(9),2)&amp;"public virtual "&amp;IF(OR(H26="DateTime",H26="TimeSpan"),H26&amp;"?",H26)&amp;IF(C26="?","? "," ")&amp;D26&amp;" { get; set; }" &amp; "
"</f>
        <v xml:space="preserve">		public virtual string Errormessage { get; set; }
</v>
      </c>
      <c r="N26" t="str">
        <f t="shared" ref="N26" si="72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[StringLength(MstCmmMMCheckingRuleConsts.MaxErrormessageLength)]
		public virtual string Errormessage { get; set; }
</v>
      </c>
      <c r="O26" t="str">
        <f t="shared" ref="O26" si="73">IF(OR(H26="string",H26="DateTime",H26="int"),REPT(CHAR(9),2)&amp;"public virtual "&amp;IF(OR(H26="DateTime",H26="TimeSpan"),H26&amp;"?",H26)&amp;IF(C26="?","? "," ")&amp;D26&amp;" { get; set; }"&amp;$E$3,"")</f>
        <v xml:space="preserve">		public virtual string Errormessage { get; set; }
</v>
      </c>
      <c r="P26" t="str">
        <f t="shared" ref="P26" si="74">REPT(CHAR(9),7)&amp;D26&amp;" = o." &amp;D26 &amp;","</f>
        <v xml:space="preserve">							Errormessage = o.Errormessage,</v>
      </c>
      <c r="T26" s="63" t="str">
        <f t="shared" ref="T26" si="75">REPT(CHAR(9),8)&amp;"("""&amp;D26&amp;"""),"</f>
        <v xml:space="preserve">								("Errormessage"),</v>
      </c>
      <c r="V26" s="64" t="str">
        <f t="shared" ref="V26" si="76">REPT(CHAR(9),8)&amp;"_ =&gt; _."&amp;D26&amp;","</f>
        <v xml:space="preserve">								_ =&gt; _.Errormessage,</v>
      </c>
      <c r="W26" s="63" t="str">
        <f t="shared" ref="W26" si="77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.WhereIf(!string.IsNullOrWhiteSpace(input.Errormessage), e =&gt; e.Errormessage.Contains(input.Errormessage))</v>
      </c>
    </row>
    <row r="27" spans="1:23" customFormat="1" ht="18.75" customHeight="1" x14ac:dyDescent="0.25">
      <c r="A27" s="28" t="s">
        <v>318</v>
      </c>
      <c r="B27" s="28" t="s">
        <v>353</v>
      </c>
      <c r="C27" t="s">
        <v>1</v>
      </c>
      <c r="D27" t="str">
        <f t="shared" ref="D27" si="78">SUBSTITUTE(PROPER(A27),"_","")</f>
        <v>IsActive</v>
      </c>
      <c r="E27" t="str">
        <f t="shared" ref="E27" si="79">IFERROR(LEFT(B27, FIND("(",B27)-1),B27)</f>
        <v>varchar</v>
      </c>
      <c r="F27" s="6"/>
      <c r="G27" t="str">
        <f t="shared" ref="G27" si="80">IFERROR(MID(B27,FIND("(",B27) +1, FIND(")",B27) - FIND("(",B27) - 1),"")</f>
        <v>1</v>
      </c>
      <c r="H27" t="str">
        <f>+VLOOKUP(E27,'Data Type Mapping'!A:B,2,)</f>
        <v>string</v>
      </c>
      <c r="I27" t="str">
        <f t="shared" ref="I27" si="81">IF(H27="string",REPT(CHAR(9),2)&amp;"public const int Max"&amp;D27&amp;"Length = "&amp;G27&amp;";"&amp;$E$3,"" )</f>
        <v xml:space="preserve">		public const int MaxIsActiveLength = 1;
</v>
      </c>
      <c r="J27" t="str">
        <f t="shared" ref="J27" si="82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[StringLength(MaxIsActiveLength)]
		public virtual string IsActive { get; set; }
</v>
      </c>
      <c r="K27" s="6"/>
      <c r="L27" t="str">
        <f t="shared" ref="L27" si="83">IF(K27="","",REPT(CHAR(9),1)&amp;"[Index(nameof("&amp;IF(D27="","",""&amp;D27)&amp;")"&amp;", Name="&amp;"""IX_"&amp;$B$7&amp;"_"&amp;D27&amp;""")]")</f>
        <v/>
      </c>
      <c r="M27" t="str">
        <f t="shared" ref="M27" si="84">REPT(CHAR(9),2)&amp;"public virtual "&amp;IF(OR(H27="DateTime",H27="TimeSpan"),H27&amp;"?",H27)&amp;IF(C27="?","? "," ")&amp;D27&amp;" { get; set; }" &amp; "
"</f>
        <v xml:space="preserve">		public virtual string IsActive { get; set; }
</v>
      </c>
      <c r="N27" t="str">
        <f t="shared" ref="N27" si="85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[StringLength(MstCmmMMCheckingRuleConsts.MaxIsActiveLength)]
		public virtual string IsActive { get; set; }
</v>
      </c>
      <c r="O27" t="str">
        <f t="shared" ref="O27" si="86">IF(OR(H27="string",H27="DateTime",H27="int"),REPT(CHAR(9),2)&amp;"public virtual "&amp;IF(OR(H27="DateTime",H27="TimeSpan"),H27&amp;"?",H27)&amp;IF(C27="?","? "," ")&amp;D27&amp;" { get; set; }"&amp;$E$3,"")</f>
        <v xml:space="preserve">		public virtual string IsActive { get; set; }
</v>
      </c>
      <c r="P27" t="str">
        <f t="shared" ref="P27" si="87">REPT(CHAR(9),7)&amp;D27&amp;" = o." &amp;D27 &amp;","</f>
        <v xml:space="preserve">							IsActive = o.IsActive,</v>
      </c>
      <c r="T27" s="63" t="str">
        <f t="shared" ref="T27" si="88">REPT(CHAR(9),8)&amp;"("""&amp;D27&amp;"""),"</f>
        <v xml:space="preserve">								("IsActive"),</v>
      </c>
      <c r="V27" s="64" t="str">
        <f t="shared" ref="V27" si="89">REPT(CHAR(9),8)&amp;"_ =&gt; _."&amp;D27&amp;","</f>
        <v xml:space="preserve">								_ =&gt; _.IsActive,</v>
      </c>
      <c r="W27" s="63" t="str">
        <f t="shared" ref="W27" si="90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.WhereIf(!string.IsNullOrWhiteSpace(input.IsActive), e =&gt; e.IsActive.Contains(input.IsActive))</v>
      </c>
    </row>
    <row r="29" spans="1:23" ht="45.75" customHeight="1" x14ac:dyDescent="0.25">
      <c r="H29" s="11"/>
      <c r="I29" s="31" t="str">
        <f ca="1">TEXTJOIN2("
", TRUE,INDIRECT( $H$1):INDIRECT( $H$3))</f>
        <v xml:space="preserve">		public const int MaxRuleCodeLength = 50;
		public const int MaxRuleDescriptionLength = 5000;
		public const int MaxRuleItemLength = 50;
		public const int MaxField1NameLength = 50;
		public const int MaxField1ValueLength = 50;
		public const int MaxField2NameLength = 50;
		public const int MaxField2ValueLength = 50;
		public const int MaxField3NameLength = 50;
		public const int MaxField3ValueLength = 50;
		public const int MaxField4NameLength = 50;
		public const int MaxField4ValueLength = 50;
		public const int MaxField5NameLength = 50;
		public const int MaxField5ValueLength = 50;
		public const int MaxOptionLength = 50;
		public const int MaxResultfieldLength = 50;
		public const int MaxExpectedresultLength = 50;
		public const int MaxCheckoptionLength = 50;
		public const int MaxErrormessageLength = 5000;
		public const int MaxIsActiveLength = 1;
</v>
      </c>
      <c r="J29" s="30" t="str">
        <f ca="1">TEXTJOIN2("
", TRUE,INDIRECT( $F$1):INDIRECT( $F$3))</f>
        <v xml:space="preserve">		[StringLength(MaxRuleCodeLength)]
		public virtual string RuleCode { get; set; }
		[StringLength(MaxRuleDescriptionLength)]
		public virtual string RuleDescription { get; set; }
		[StringLength(MaxRuleItemLength)]
		public virtual string RuleItem { get; set; }
		[StringLength(MaxField1NameLength)]
		public virtual string Field1Name { get; set; }
		[StringLength(MaxField1ValueLength)]
		public virtual string Field1Value { get; set; }
		[StringLength(MaxField2NameLength)]
		public virtual string Field2Name { get; set; }
		[StringLength(MaxField2ValueLength)]
		public virtual string Field2Value { get; set; }
		[StringLength(MaxField3NameLength)]
		public virtual string Field3Name { get; set; }
		[StringLength(MaxField3ValueLength)]
		public virtual string Field3Value { get; set; }
		[StringLength(MaxField4NameLength)]
		public virtual string Field4Name { get; set; }
		[StringLength(MaxField4ValueLength)]
		public virtual string Field4Value { get; set; }
		[StringLength(MaxField5NameLength)]
		public virtual string Field5Name { get; set; }
		[StringLength(MaxField5ValueLength)]
		public virtual string Field5Value { get; set; }
		[StringLength(MaxOptionLength)]
		public virtual string Option { get; set; }
		[StringLength(MaxResultfieldLength)]
		public virtual string Resultfield { get; set; }
		[StringLength(MaxExpectedresultLength)]
		public virtual string Expectedresult { get; set; }
		[StringLength(MaxCheckoptionLength)]
		public virtual string Checkoption { get; set; }
		[StringLength(MaxErrormessageLength)]
		public virtual string Errormessage { get; set; }
		[StringLength(MaxIsActiveLength)]
		public virtual string IsActive { get; set; }
</v>
      </c>
      <c r="K29" s="32" t="str">
        <f ca="1">TEXTJOIN2("
", TRUE,INDIRECT( $J$1):INDIRECT( $J$3))</f>
        <v/>
      </c>
      <c r="L29" s="12" t="s">
        <v>56</v>
      </c>
      <c r="M29" s="33" t="str">
        <f ca="1">TEXTJOIN2("
",TRUE,INDIRECT( $L$1):INDIRECT($L$3))</f>
        <v xml:space="preserve">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</v>
      </c>
      <c r="N29" s="30" t="str">
        <f ca="1">TEXTJOIN2("
",TRUE,INDIRECT( $M$1):INDIRECT($M$3))</f>
        <v xml:space="preserve">		[StringLength(MstCmmMMCheckingRuleConsts.MaxRuleCodeLength)]
		public virtual string RuleCode { get; set; }
		[StringLength(MstCmmMMCheckingRuleConsts.MaxRuleDescriptionLength)]
		public virtual string RuleDescription { get; set; }
		[StringLength(MstCmmMMCheckingRuleConsts.MaxRuleItemLength)]
		public virtual string RuleItem { get; set; }
		[StringLength(MstCmmMMCheckingRuleConsts.MaxField1NameLength)]
		public virtual string Field1Name { get; set; }
		[StringLength(MstCmmMMCheckingRuleConsts.MaxField1ValueLength)]
		public virtual string Field1Value { get; set; }
		[StringLength(MstCmmMMCheckingRuleConsts.MaxField2NameLength)]
		public virtual string Field2Name { get; set; }
		[StringLength(MstCmmMMCheckingRuleConsts.MaxField2ValueLength)]
		public virtual string Field2Value { get; set; }
		[StringLength(MstCmmMMCheckingRuleConsts.MaxField3NameLength)]
		public virtual string Field3Name { get; set; }
		[StringLength(MstCmmMMCheckingRuleConsts.MaxField3ValueLength)]
		public virtual string Field3Value { get; set; }
		[StringLength(MstCmmMMCheckingRuleConsts.MaxField4NameLength)]
		public virtual string Field4Name { get; set; }
		[StringLength(MstCmmMMCheckingRuleConsts.MaxField4ValueLength)]
		public virtual string Field4Value { get; set; }
		[StringLength(MstCmmMMCheckingRuleConsts.MaxField5NameLength)]
		public virtual string Field5Name { get; set; }
		[StringLength(MstCmmMMCheckingRuleConsts.MaxField5ValueLength)]
		public virtual string Field5Value { get; set; }
		[StringLength(MstCmmMMCheckingRuleConsts.MaxOptionLength)]
		public virtual string Option { get; set; }
		[StringLength(MstCmmMMCheckingRuleConsts.MaxResultfieldLength)]
		public virtual string Resultfield { get; set; }
		[StringLength(MstCmmMMCheckingRuleConsts.MaxExpectedresultLength)]
		public virtual string Expectedresult { get; set; }
		[StringLength(MstCmmMMCheckingRuleConsts.MaxCheckoptionLength)]
		public virtual string Checkoption { get; set; }
		[StringLength(MstCmmMMCheckingRuleConsts.MaxErrormessageLength)]
		public virtual string Errormessage { get; set; }
		[StringLength(MstCmmMMCheckingRuleConsts.MaxIsActiveLength)]
		public virtual string IsActive { get; set; }
</v>
      </c>
      <c r="O29" s="30" t="str">
        <f ca="1">TEXTJOIN2("
",TRUE,INDIRECT( $N$1):INDIRECT($N$3))</f>
        <v xml:space="preserve">		public virtual string RuleCode { get; set; }
		public virtual string RuleDescription { get; set; }
		public virtual string RuleItem { get; set; }
		public virtual string Field1Name { get; set; }
		public virtual string Field1Value { get; set; }
		public virtual string Field2Name { get; set; }
		public virtual string Field2Value { get; set; }
		public virtual string Field3Name { get; set; }
		public virtual string Field3Value { get; set; }
		public virtual string Field4Name { get; set; }
		public virtual string Field4Value { get; set; }
		public virtual string Field5Name { get; set; }
		public virtual string Field5Value { get; set; }
		public virtual string Option { get; set; }
		public virtual string Resultfield { get; set; }
		public virtual string Expectedresult { get; set; }
		public virtual string Checkoption { get; set; }
		public virtual string Errormessage { get; set; }
		public virtual string IsActive { get; set; }
</v>
      </c>
      <c r="P29" s="8" t="str">
        <f ca="1">TEXTJOIN2("
",TRUE,INDIRECT( $O$1):INDIRECT($O$3))</f>
        <v xml:space="preserve">							RuleCode = o.RuleCode,
							RuleDescription = o.RuleDescription,
							RuleItem = o.RuleItem,
							Field1Name = o.Field1Name,
							Field1Value = o.Field1Value,
							Field2Name = o.Field2Name,
							Field2Value = o.Field2Value,
							Field3Name = o.Field3Name,
							Field3Value = o.Field3Value,
							Field4Name = o.Field4Name,
							Field4Value = o.Field4Value,
							Field5Name = o.Field5Name,
							Field5Value = o.Field5Value,
							Option = o.Option,
							Resultfield = o.Resultfield,
							Expectedresult = o.Expectedresult,
							Checkoption = o.Checkoption,
							Errormessage = o.Errormessage,
							IsActive = o.IsActive,</v>
      </c>
      <c r="T29" s="8" t="str">
        <f ca="1">TEXTJOIN2("
",TRUE,INDIRECT( $T$2):INDIRECT($T$3))</f>
        <v xml:space="preserve">								("RuleCode"),
								("RuleDescription"),
								("RuleItem"),
								("Field1Name"),
								("Field1Value"),
								("Field2Name"),
								("Field2Value"),
								("Field3Name"),
								("Field3Value"),
								("Field4Name"),
								("Field4Value"),
								("Field5Name"),
								("Field5Value"),
								("Option"),
								("Resultfield"),
								("Expectedresult"),
								("Checkoption"),
								("Errormessage"),
								("IsActive"),</v>
      </c>
      <c r="V29" s="8" t="str">
        <f ca="1">TEXTJOIN2("
",TRUE,INDIRECT( $V$2):INDIRECT($V$3))</f>
        <v xml:space="preserve">								_ =&gt; _.RuleCode,
								_ =&gt; _.RuleDescription,
								_ =&gt; _.RuleItem,
								_ =&gt; _.Field1Name,
								_ =&gt; _.Field1Value,
								_ =&gt; _.Field2Name,
								_ =&gt; _.Field2Value,
								_ =&gt; _.Field3Name,
								_ =&gt; _.Field3Value,
								_ =&gt; _.Field4Name,
								_ =&gt; _.Field4Value,
								_ =&gt; _.Field5Name,
								_ =&gt; _.Field5Value,
								_ =&gt; _.Option,
								_ =&gt; _.Resultfield,
								_ =&gt; _.Expectedresult,
								_ =&gt; _.Checkoption,
								_ =&gt; _.Errormessage,
								_ =&gt; _.IsActive,</v>
      </c>
      <c r="W29" s="8" t="str">
        <f ca="1">TEXTJOIN2("
",TRUE,INDIRECT( $W$2):INDIRECT($W$3))</f>
        <v xml:space="preserve">				.WhereIf(!string.IsNullOrWhiteSpace(input.RuleCode), e =&gt; e.RuleCode.Contains(input.RuleCode))
				.WhereIf(!string.IsNullOrWhiteSpace(input.RuleDescription), e =&gt; e.RuleDescription.Contains(input.RuleDescription))
				.WhereIf(!string.IsNullOrWhiteSpace(input.RuleItem), e =&gt; e.RuleItem.Contains(input.RuleItem))
				.WhereIf(!string.IsNullOrWhiteSpace(input.Field1Name), e =&gt; e.Field1Name.Contains(input.Field1Name))
				.WhereIf(!string.IsNullOrWhiteSpace(input.Field1Value), e =&gt; e.Field1Value.Contains(input.Field1Value))
				.WhereIf(!string.IsNullOrWhiteSpace(input.Field2Name), e =&gt; e.Field2Name.Contains(input.Field2Name))
				.WhereIf(!string.IsNullOrWhiteSpace(input.Field2Value), e =&gt; e.Field2Value.Contains(input.Field2Value))
				.WhereIf(!string.IsNullOrWhiteSpace(input.Field3Name), e =&gt; e.Field3Name.Contains(input.Field3Name))
				.WhereIf(!string.IsNullOrWhiteSpace(input.Field3Value), e =&gt; e.Field3Value.Contains(input.Field3Value))
				.WhereIf(!string.IsNullOrWhiteSpace(input.Field4Name), e =&gt; e.Field4Name.Contains(input.Field4Name))
				.WhereIf(!string.IsNullOrWhiteSpace(input.Field4Value), e =&gt; e.Field4Value.Contains(input.Field4Value))
				.WhereIf(!string.IsNullOrWhiteSpace(input.Field5Name), e =&gt; e.Field5Name.Contains(input.Field5Name))
				.WhereIf(!string.IsNullOrWhiteSpace(input.Field5Value), e =&gt; e.Field5Value.Contains(input.Field5Value))
				.WhereIf(!string.IsNullOrWhiteSpace(input.Option), e =&gt; e.Option.Contains(input.Option))
				.WhereIf(!string.IsNullOrWhiteSpace(input.Resultfield), e =&gt; e.Resultfield.Contains(input.Resultfield))
				.WhereIf(!string.IsNullOrWhiteSpace(input.Expectedresult), e =&gt; e.Expectedresult.Contains(input.Expectedresult))
				.WhereIf(!string.IsNullOrWhiteSpace(input.Checkoption), e =&gt; e.Checkoption.Contains(input.Checkoption))
				.WhereIf(!string.IsNullOrWhiteSpace(input.Errormessage), e =&gt; e.Errormessage.Contains(input.Errormessage))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5"/>
  <sheetViews>
    <sheetView topLeftCell="A10" workbookViewId="0">
      <selection activeCell="D36" sqref="D3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MstCmmMMCheckingRule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CmmMMCheckingRule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cmmmmcheckingrule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MstCmmMMCheckingRuleDto, MstCmmMMCheckingRuleServiceProxy } from '@shared/service-proxies/service-proxies';
import { finalize } from 'rxjs/internal/operators/finalize';
import { CreateOrEditCmmMMCheckingRuleModalComponent } from './create-or-edit-cmmmmcheckingrule-modal.component';
import { DatePipe } from '@angular/common';
import { FileDownloadService } from '@shared/utils/file-download.service';
import ceil from 'lodash-es/ceil';
import { Paginator } from 'primeng/paginator';
@Component({
    templateUrl: './cmmmmcheckingrule.component.html',
    styleUrls: ['./cmmmmcheckingrule.component.less'],
})
export class CmmMMCheckingRuleComponent extends AppComponentBase implements OnInit {
    @ViewChild('createOrEditModalCmmMMCheckingRule', { static: true }) createOrEditModalCmmMMCheckingRule:| CreateOrEditCmmMMCheckingRuleModalComponent|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MstCmmMMCheckingRuleDto = new MstCmmMMCheckingRuleDto();
    saveSelectedRow: MstCmmMMCheckingRuleDto = new MstCmmMMCheckingRuleDto();
    datas: MstCmmMMCheckingRuleDto = new MstCmmMMCheckingRuleDto();
    isLoading: boolean = false;
    dataParams: GridParams | undefined;
    rowData: any[] = [];
    gridApi!: GridApi;
    rowSelection = 'multiple';
    filter: string = '';
	pipe = new DatePipe('en-US');
	frameworkComponents: FrameworkComponent;
    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MstCmmMMCheckingRuleServiceProxy,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this.l('Rule Code'),headerTooltip: this.l('Rule Code'),field: 'rule Code',flex: 1},
			{headerName: this.l('Rule Description'),headerTooltip: this.l('Rule Description'),field: 'rule Description',flex: 1},
			{headerName: this.l('Rule Item'),headerTooltip: this.l('Rule Item'),field: 'rule Item',flex: 1},
			{headerName: this.l('Field 1 Name'),headerTooltip: this.l('Field 1 Name'),field: 'field 1 Name',flex: 1},
			{headerName: this.l('Field 1 Value'),headerTooltip: this.l('Field 1 Value'),field: 'field 1 Value',flex: 1},
			{headerName: this.l('Field 2 Name'),headerTooltip: this.l('Field 2 Name'),field: 'field 2 Name',flex: 1},
			{headerName: this.l('Field 2 Value'),headerTooltip: this.l('Field 2 Value'),field: 'field 2 Value',flex: 1},
			{headerName: this.l('Field 3 Name'),headerTooltip: this.l('Field 3 Name'),field: 'field 3 Name',flex: 1},
			{headerName: this.l('Field 3 Value'),headerTooltip: this.l('Field 3 Value'),field: 'field 3 Value',flex: 1},
			{headerName: this.l('Field 4 Name'),headerTooltip: this.l('Field 4 Name'),field: 'field 4 Name',flex: 1},
			{headerName: this.l('Field 4 Value'),headerTooltip: this.l('Field 4 Value'),field: 'field 4 Value',flex: 1},
			{headerName: this.l('Field 5 Name'),headerTooltip: this.l('Field 5 Name'),field: 'field 5 Name',flex: 1},
			{headerName: this.l('Field 5 Value'),headerTooltip: this.l('Field 5 Value'),field: 'field 5 Value',flex: 1},
			{headerName: this.l('Option'),headerTooltip: this.l('Option'),field: 'option',flex: 1},
			{headerName: this.l('Resultfield'),headerTooltip: this.l('Resultfield'),field: 'resultfield',flex: 1},
			{headerName: this.l('Expectedresult'),headerTooltip: this.l('Expectedresult'),field: 'expectedresult',flex: 1},
			{headerName: this.l('Checkoption'),headerTooltip: this.l('Checkoption'),field: 'checkoption',flex: 1},
			{headerName: this.l('Errormessage'),headerTooltip: this.l('Errormessage'),field: 'errormessage',flex: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			'',
            this.paginationParams.skipCount,
            this.paginationParams.pageSize
        );
    }
    onChangeRowSelection(params: { api: { getSelectedRows: () =&gt; MstCmmMMCheckingRuleDto[] } }) {
        this.saveSelectedRow = params.api.getSelectedRows()[0] ?? new MstCmmMMCheckingRuleDto();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MstCmmMMCheckingRuleDto):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this._service.getCmmMMCheckingRuleToExcel(
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[(ngModel)]='rule Code' name='rule Code'
									class='form-control' [placeholder]="l('Rule Code')"
									type='text' (keyup.enter)='searchDatas()'&gt;
								&lt;/div&gt;
								&lt;div class='input-search'&gt;
									&lt;input [(ngModel)]='rule Description' name='rule Description'
									class='form-control' [placeholder]="l('Rule Description')"
									type='text' (keyup.enter)='searchDatas()'&gt;
								&lt;/div&gt;
								&lt;div class='input-search'&gt;
									&lt;input [(ngModel)]='rule Item' name='rule Item'
									class='form-control' [placeholder]="l('Rule Item')"
									type='text' (keyup.enter)='searchDatas()'&gt;
								&lt;/div&gt;
								&lt;div class='input-search'&gt;
									&lt;input [(ngModel)]='field 1 Name' name='field 1 Name'
									class='form-control' [placeholder]="l('Field 1 Name')"
									type='text' (keyup.enter)='searchDatas()'&gt;
								&lt;/div&gt;
								&lt;div class='input-search'&gt;
									&lt;input [(ngModel)]='field 1 Value' name='field 1 Value'
									class='form-control' [placeholder]="l('Field 1 Value')"
									type='text' (keyup.enter)='searchDatas()'&gt;
								&lt;/div&gt;
								&lt;div class='input-search'&gt;
									&lt;input [(ngModel)]='field 2 Name' name='field 2 Name'
									class='form-control' [placeholder]="l('Field 2 Name')"
									type='text' (keyup.enter)='searchDatas()'&gt;
								&lt;/div&gt;
								&lt;div class='input-search'&gt;
									&lt;input [(ngModel)]='field 2 Value' name='field 2 Value'
									class='form-control' [placeholder]="l('Field 2 Value')"
									type='text' (keyup.enter)='searchDatas()'&gt;
								&lt;/div&gt;
								&lt;div class='input-search'&gt;
									&lt;input [(ngModel)]='field 3 Name' name='field 3 Name'
									class='form-control' [placeholder]="l('Field 3 Name')"
									type='text' (keyup.enter)='searchDatas()'&gt;
								&lt;/div&gt;
								&lt;div class='input-search'&gt;
									&lt;input [(ngModel)]='field 3 Value' name='field 3 Value'
									class='form-control' [placeholder]="l('Field 3 Value')"
									type='text' (keyup.enter)='searchDatas()'&gt;
								&lt;/div&gt;
								&lt;div class='input-search'&gt;
									&lt;input [(ngModel)]='field 4 Name' name='field 4 Name'
									class='form-control' [placeholder]="l('Field 4 Name')"
									type='text' (keyup.enter)='searchDatas()'&gt;
								&lt;/div&gt;
								&lt;div class='input-search'&gt;
									&lt;input [(ngModel)]='field 4 Value' name='field 4 Value'
									class='form-control' [placeholder]="l('Field 4 Value')"
									type='text' (keyup.enter)='searchDatas()'&gt;
								&lt;/div&gt;
								&lt;div class='input-search'&gt;
									&lt;input [(ngModel)]='field 5 Name' name='field 5 Name'
									class='form-control' [placeholder]="l('Field 5 Name')"
									type='text' (keyup.enter)='searchDatas()'&gt;
								&lt;/div&gt;
								&lt;div class='input-search'&gt;
									&lt;input [(ngModel)]='field 5 Value' name='field 5 Value'
									class='form-control' [placeholder]="l('Field 5 Value')"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[placeholder]="l('Resultfield')"
									type='text' (keyup.enter)='searchDatas()'&gt;
								&lt;/div&gt;
								&lt;div class='input-search'&gt;
									&lt;input [(ngModel)]='expectedresult' name='expectedresult'
									class='form-control' [placeholder]="l('Expectedresult')"
									type='text' (keyup.enter)='searchDatas()'&gt;
								&lt;/div&gt;
								&lt;div class='input-search'&gt;
									&lt;input [(ngModel)]='checkoption' name='checkoption'
									class='form-control' [placeholder]="l('Checkoption')"
									type='text' (keyup.enter)='searchDatas()'&gt;
								&lt;/div&gt;
								&lt;div class='input-search'&gt;
									&lt;input [(ngModel)]='errormessage' name='errormessage'
									class='form-control' [placeholder]="l('Errormessage')"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(click)="createOrEditModalCmmMMCheckingRule.show()"&gt;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(click)="createOrEditModalCmmMMCheckingRule.show(selectedRow)"&gt;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&lt;create-or-edit-cmmmmcheckingrule-modal
    #createOrEditModalCmmMMCheckingRule
    (modalSave)="callBackDataGrid(dataParams)"
    (modalClose)="onChangeRowSelection(dataParams)"
&gt;
&lt;/create-or-edit-cmmmmcheckingrule-modal&gt;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#createOrEditModalCmmMMCheckingRule="bs-modal"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CmmMMCheckingRule')}}&lt;/h3&gt;
                    &lt;h3 *ngIf="!rowdata.id"&gt;{{('Create New CmmMMCheckingRule')}}&lt;/h3&gt;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title'&gt;Rule Code&lt;/label&gt;
						&lt;input type='text' class='col-md-10 form-control input-text' name='Rule Code' [(ngModel)]='rowdata.rule Code'&gt;
					&lt;/div&gt;
					&lt;div class='col-md-12 form-group row'&gt;
						&lt;label class='col-md-2 form-control title'&gt;Rule Description&lt;/label&gt;
						&lt;input type='text' class='col-md-10 form-control input-text' name='Rule Description' [(ngModel)]='rowdata.rule Description'&gt;
					&lt;/div&gt;
					&lt;div class='col-md-12 form-group row'&gt;
						&lt;label class='col-md-2 form-control title'&gt;Rule Item&lt;/label&gt;
						&lt;input type='text' class='col-md-10 form-control input-text' name='Rule Item' [(ngModel)]='rowdata.rule Item'&gt;
					&lt;/div&gt;
					&lt;div class='col-md-12 form-group row'&gt;
						&lt;label class='col-md-2 form-control title'&gt;Field 1 Name&lt;/label&gt;
						&lt;input type='text' class='col-md-10 form-control input-text' name='Field 1 Name' [(ngModel)]='rowdata.field 1 Name'&gt;
					&lt;/div&gt;
					&lt;div class='col-md-12 form-group row'&gt;
						&lt;label class='col-md-2 form-control title'&gt;Field 1 Value&lt;/label&gt;
						&lt;input type='text' class='col-md-10 form-control input-text' name='Field 1 Value' [(ngModel)]='rowdata.field 1 Value'&gt;
					&lt;/div&gt;
					&lt;div class='col-md-12 form-group row'&gt;
						&lt;label class='col-md-2 form-control title'&gt;Field 2 Name&lt;/label&gt;
						&lt;input type='text' class='col-md-10 form-control input-text' name='Field 2 Name' [(ngModel)]='rowdata.field 2 Name'&gt;
					&lt;/div&gt;
					&lt;div class='col-md-12 form-group row'&gt;
						&lt;label class='col-md-2 form-control title'&gt;Field 2 Value&lt;/label&gt;
						&lt;input type='text' class='col-md-10 form-control input-text' name='Field 2 Value' [(ngModel)]='rowdata.field 2 Value'&gt;
					&lt;/div&gt;
					&lt;div class='col-md-12 form-group row'&gt;
						&lt;label class='col-md-2 form-control title'&gt;Field 3 Name&lt;/label&gt;
						&lt;input type='text' class='col-md-10 form-control input-text' name='Field 3 Name' [(ngModel)]='rowdata.field 3 Name'&gt;
					&lt;/div&gt;
					&lt;div class='col-md-12 form-group row'&gt;
						&lt;label class='col-md-2 form-control title'&gt;Field 3 Value&lt;/label&gt;
						&lt;input type='text' class='col-md-10 form-control input-text' name='Field 3 Value' [(ngModel)]='rowdata.field 3 Value'&gt;
					&lt;/div&gt;
					&lt;div class='col-md-12 form-group row'&gt;
						&lt;label class='col-md-2 form-control title'&gt;Field 4 Name&lt;/label&gt;
						&lt;input type='text' class='col-md-10 form-control input-text' name='Field 4 Name' [(ngModel)]='rowdata.field 4 Name'&gt;
					&lt;/div&gt;
					&lt;div class='col-md-12 form-group row'&gt;
						&lt;label class='col-md-2 form-control title'&gt;Field 4 Value&lt;/label&gt;
						&lt;input type='text' class='col-md-10 form-control input-text' name='Field 4 Value' [(ngModel)]='rowdata.field 4 Value'&gt;
					&lt;/div&gt;
					&lt;div class='col-md-12 form-group row'&gt;
						&lt;label class='col-md-2 form-control title'&gt;Field 5 Name&lt;/label&gt;
						&lt;input type='text' class='col-md-10 form-control input-text' name='Field 5 Name' [(ngModel)]='rowdata.field 5 Name'&gt;
					&lt;/div&gt;
					&lt;div class='col-md-12 form-group row'&gt;
						&lt;label class='col-md-2 form-control title'&gt;Field 5 Value&lt;/label&gt;
						&lt;input type='text' class='col-md-10 form-control input-text' name='Field 5 Value' [(ngModel)]='rowdata.field 5 Value'&gt;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title'&gt;Resultfield&lt;/label&gt;
						&lt;input type='text' class='col-md-10 form-control input-text' name='Resultfield' [(ngModel)]='rowdata.resultfield'&gt;
					&lt;/div&gt;
					&lt;div class='col-md-12 form-group row'&gt;
						&lt;label class='col-md-2 form-control title'&gt;Expectedresult&lt;/label&gt;
						&lt;input type='text' class='col-md-10 form-control input-text' name='Expectedresult' [(ngModel)]='rowdata.expectedresult'&gt;
					&lt;/div&gt;
					&lt;div class='col-md-12 form-group row'&gt;
						&lt;label class='col-md-2 form-control title'&gt;Checkoption&lt;/label&gt;
						&lt;input type='text' class='col-md-10 form-control input-text' name='Checkoption' [(ngModel)]='rowdata.checkoption'&gt;
					&lt;/div&gt;
					&lt;div class='col-md-12 form-group row'&gt;
						&lt;label class='col-md-2 form-control title'&gt;Errormessage&lt;/label&gt;
						&lt;input type='text' class='col-md-10 form-control input-text' name='Errormessage' [(ngModel)]='rowdata.errormessage'&gt;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CreateOrEditMstCmmMMCheckingRuleDto, MstCmmMMCheckingRuleServiceProxy } from '@shared/service-proxies/service-proxies';
import { BsDatepickerDirective } from 'ngx-bootstrap/datepicker';
@Component({
    selector: 'create-or-edit-cmmmmcheckingrule-modal',
    templateUrl: './create-or-edit-cmmmmcheckingrule-modal.component.html',
    styleUrls: ['./create-or-edit-cmmmmcheckingrule-modal.component.less']
    })
export class CreateOrEditCmmMMCheckingRuleModalComponent extends AppComponentBase {
    @ViewChild('createOrEditModalCmmMMCheckingRule',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CreateOrEditMstCmmMMCheckingRuleDto = new CreateOrEditMstCmmMMCheckingRuleDto();
    active: boolean = false;
    saving: boolean = false;
    _isActive: boolean;
    constructor(
        injector: Injector,
        private _mstwptCmmMMCheckingRuleService: MstCmmMMCheckingRuleServiceProxy,
    ) 
    {
        super(injector);
    }
    show(rowdata?: CreateOrEditMstCmmMMCheckingRuleDto): void {
        if (!rowdata) this.rowdata = new CreateOrEditMstCmmMMCheckingRuleDto();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this._mstwptCmmMMCheckingRuleService.createOrEdit(this.rowdata)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CmmMMCheckingRuleRoutingModule } from './cmmmmcheckingrule-routing.module';
import { CmmMMCheckingRuleComponent } from './cmmmmcheckingrule.component';
import { CreateOrEditCmmMMCheckingRuleModalComponent } from './create-or-edit-cmmmmcheckingrule-modal.component';
@NgModule({
    declarations: [
       CmmMMCheckingRuleComponent, 
        CreateOrEditCmmMMCheckingRuleModalComponent
    ],
    imports: [
        AppSharedModule, CmmMMCheckingRuleRoutingModule]
})
export class CmmMMCheckingRuleModule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CmmMMCheckingRuleComponent } from './cmmmmcheckingrule.component';
const routes: Routes = [{
    path: '',
    component: CmmMMCheckingRuleComponent,
    pathMatch: 'full'
}];
@NgModule({
    imports: [RouterModule.forChild(routes)],
    exports: [RouterModule],
})
export class CmmMMCheckingRuleRoutingModule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AppMenuItem("CmmMMCheckingRule", "Pages.Master.Cmm.CmmMMCheckingRule", "flaticon-book",   "/app/main/master/cmm/cmmmmcheckingrule"),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'master/cmm/cmmmmcheckingrule',
    loadChildren: () =&gt; import('./master/cmm/cmmmmcheckingrule/cmmmmcheckingrule.module').then(m =&gt; m.CmmMMCheckingRuleModule),
    data: { permission: 'Pages.Master.Cmm.CmmMMCheckingRule' }
},</v>
      </c>
      <c r="R10" s="47" t="str">
        <f>SUBSTITUTE(R9,"MstWptCalendar",$B$6)</f>
        <v>ApiServiceProxies.MstCmmMMCheckingRuleServiceProxy,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H33</v>
      </c>
      <c r="I12" s="28" t="str">
        <f>"I"&amp;COUNTA($A:$A)</f>
        <v>I33</v>
      </c>
      <c r="J12" s="28"/>
      <c r="K12" s="28" t="str">
        <f>"K"&amp;COUNTA($A:$A)</f>
        <v>K33</v>
      </c>
      <c r="L12" s="28" t="str">
        <f>"L"&amp;COUNTA($A:$A)</f>
        <v>L33</v>
      </c>
      <c r="M12" s="28"/>
      <c r="N12" s="28"/>
      <c r="O12" s="28"/>
      <c r="P12" s="28"/>
      <c r="Q12" s="28"/>
      <c r="R12" s="28"/>
      <c r="S12" s="28" t="str">
        <f>"S"&amp;COUNTA($A:$A)</f>
        <v>S33</v>
      </c>
      <c r="T12" s="28" t="str">
        <f>"T"&amp;COUNTA($A:$A)</f>
        <v>T33</v>
      </c>
      <c r="U12" s="28" t="str">
        <f>"U"&amp;COUNTA($A:$A)</f>
        <v>U33</v>
      </c>
      <c r="V12" s="28" t="str">
        <f>"V"&amp;COUNTA($A:$A)</f>
        <v>V33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this.l('Rule Code'),headerTooltip: this.l('Rule Code'),field: 'rule Code',flex: 1},
			{headerName: this.l('Rule Description'),headerTooltip: this.l('Rule Description'),field: 'rule Description',flex: 1},
			{headerName: this.l('Rule Item'),headerTooltip: this.l('Rule Item'),field: 'rule Item',flex: 1},
			{headerName: this.l('Field 1 Name'),headerTooltip: this.l('Field 1 Name'),field: 'field 1 Name',flex: 1},
			{headerName: this.l('Field 1 Value'),headerTooltip: this.l('Field 1 Value'),field: 'field 1 Value',flex: 1},
			{headerName: this.l('Field 2 Name'),headerTooltip: this.l('Field 2 Name'),field: 'field 2 Name',flex: 1},
			{headerName: this.l('Field 2 Value'),headerTooltip: this.l('Field 2 Value'),field: 'field 2 Value',flex: 1},
			{headerName: this.l('Field 3 Name'),headerTooltip: this.l('Field 3 Name'),field: 'field 3 Name',flex: 1},
			{headerName: this.l('Field 3 Value'),headerTooltip: this.l('Field 3 Value'),field: 'field 3 Value',flex: 1},
			{headerName: this.l('Field 4 Name'),headerTooltip: this.l('Field 4 Name'),field: 'field 4 Name',flex: 1},
			{headerName: this.l('Field 4 Value'),headerTooltip: this.l('Field 4 Value'),field: 'field 4 Value',flex: 1},
			{headerName: this.l('Field 5 Name'),headerTooltip: this.l('Field 5 Name'),field: 'field 5 Name',flex: 1},
			{headerName: this.l('Field 5 Value'),headerTooltip: this.l('Field 5 Value'),field: 'field 5 Value',flex: 1},
			{headerName: this.l('Option'),headerTooltip: this.l('Option'),field: 'option',flex: 1},
			{headerName: this.l('Resultfield'),headerTooltip: this.l('Resultfield'),field: 'resultfield',flex: 1},
			{headerName: this.l('Expectedresult'),headerTooltip: this.l('Expectedresult'),field: 'expectedresult',flex: 1},
			{headerName: this.l('Checkoption'),headerTooltip: this.l('Checkoption'),field: 'checkoption',flex: 1},
			{headerName: this.l('Errormessage'),headerTooltip: this.l('Errormessage'),field: 'errormessage',flex: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[(ngModel)]='rule Code' name='rule Code'
									class='form-control' [placeholder]="l('Rule Code')"
									type='text' (keyup.enter)='searchDatas()'&gt;
								&lt;/div&gt;
								&lt;div class='input-search'&gt;
									&lt;input [(ngModel)]='rule Description' name='rule Description'
									class='form-control' [placeholder]="l('Rule Description')"
									type='text' (keyup.enter)='searchDatas()'&gt;
								&lt;/div&gt;
								&lt;div class='input-search'&gt;
									&lt;input [(ngModel)]='rule Item' name='rule Item'
									class='form-control' [placeholder]="l('Rule Item')"
									type='text' (keyup.enter)='searchDatas()'&gt;
								&lt;/div&gt;
								&lt;div class='input-search'&gt;
									&lt;input [(ngModel)]='field 1 Name' name='field 1 Name'
									class='form-control' [placeholder]="l('Field 1 Name')"
									type='text' (keyup.enter)='searchDatas()'&gt;
								&lt;/div&gt;
								&lt;div class='input-search'&gt;
									&lt;input [(ngModel)]='field 1 Value' name='field 1 Value'
									class='form-control' [placeholder]="l('Field 1 Value')"
									type='text' (keyup.enter)='searchDatas()'&gt;
								&lt;/div&gt;
								&lt;div class='input-search'&gt;
									&lt;input [(ngModel)]='field 2 Name' name='field 2 Name'
									class='form-control' [placeholder]="l('Field 2 Name')"
									type='text' (keyup.enter)='searchDatas()'&gt;
								&lt;/div&gt;
								&lt;div class='input-search'&gt;
									&lt;input [(ngModel)]='field 2 Value' name='field 2 Value'
									class='form-control' [placeholder]="l('Field 2 Value')"
									type='text' (keyup.enter)='searchDatas()'&gt;
								&lt;/div&gt;
								&lt;div class='input-search'&gt;
									&lt;input [(ngModel)]='field 3 Name' name='field 3 Name'
									class='form-control' [placeholder]="l('Field 3 Name')"
									type='text' (keyup.enter)='searchDatas()'&gt;
								&lt;/div&gt;
								&lt;div class='input-search'&gt;
									&lt;input [(ngModel)]='field 3 Value' name='field 3 Value'
									class='form-control' [placeholder]="l('Field 3 Value')"
									type='text' (keyup.enter)='searchDatas()'&gt;
								&lt;/div&gt;
								&lt;div class='input-search'&gt;
									&lt;input [(ngModel)]='field 4 Name' name='field 4 Name'
									class='form-control' [placeholder]="l('Field 4 Name')"
									type='text' (keyup.enter)='searchDatas()'&gt;
								&lt;/div&gt;
								&lt;div class='input-search'&gt;
									&lt;input [(ngModel)]='field 4 Value' name='field 4 Value'
									class='form-control' [placeholder]="l('Field 4 Value')"
									type='text' (keyup.enter)='searchDatas()'&gt;
								&lt;/div&gt;
								&lt;div class='input-search'&gt;
									&lt;input [(ngModel)]='field 5 Name' name='field 5 Name'
									class='form-control' [placeholder]="l('Field 5 Name')"
									type='text' (keyup.enter)='searchDatas()'&gt;
								&lt;/div&gt;
								&lt;div class='input-search'&gt;
									&lt;input [(ngModel)]='field 5 Value' name='field 5 Value'
									class='form-control' [placeholder]="l('Field 5 Value')"
									type='text' (keyup.enter)='searchDatas()'&gt;
								&lt;/div&gt;
								&lt;div class='input-search'&gt;
									&lt;input [(ngModel)]='option' name='option'
									class='form-control' [placeholder]="l('Option')"
									type='text' (keyup.enter)='searchDatas()'&gt;
								&lt;/div&gt;
								&lt;div class='input-search'&gt;
									&lt;input [(ngModel)]='resultfield' name='resultfield'
									class='form-control' [placeholder]="l('Resultfield')"
									type='text' (keyup.enter)='searchDatas()'&gt;
								&lt;/div&gt;
								&lt;div class='input-search'&gt;
									&lt;input [(ngModel)]='expectedresult' name='expectedresult'
									class='form-control' [placeholder]="l('Expectedresult')"
									type='text' (keyup.enter)='searchDatas()'&gt;
								&lt;/div&gt;
								&lt;div class='input-search'&gt;
									&lt;input [(ngModel)]='checkoption' name='checkoption'
									class='form-control' [placeholder]="l('Checkoption')"
									type='text' (keyup.enter)='searchDatas()'&gt;
								&lt;/div&gt;
								&lt;div class='input-search'&gt;
									&lt;input [(ngModel)]='errormessage' name='errormessage'
									class='form-control' [placeholder]="l('Errormessage')"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title'&gt;Rule Code&lt;/label&gt;
						&lt;input type='text' class='col-md-10 form-control input-text' name='Rule Code' [(ngModel)]='rowdata.rule Code'&gt;
					&lt;/div&gt;
					&lt;div class='col-md-12 form-group row'&gt;
						&lt;label class='col-md-2 form-control title'&gt;Rule Description&lt;/label&gt;
						&lt;input type='text' class='col-md-10 form-control input-text' name='Rule Description' [(ngModel)]='rowdata.rule Description'&gt;
					&lt;/div&gt;
					&lt;div class='col-md-12 form-group row'&gt;
						&lt;label class='col-md-2 form-control title'&gt;Rule Item&lt;/label&gt;
						&lt;input type='text' class='col-md-10 form-control input-text' name='Rule Item' [(ngModel)]='rowdata.rule Item'&gt;
					&lt;/div&gt;
					&lt;div class='col-md-12 form-group row'&gt;
						&lt;label class='col-md-2 form-control title'&gt;Field 1 Name&lt;/label&gt;
						&lt;input type='text' class='col-md-10 form-control input-text' name='Field 1 Name' [(ngModel)]='rowdata.field 1 Name'&gt;
					&lt;/div&gt;
					&lt;div class='col-md-12 form-group row'&gt;
						&lt;label class='col-md-2 form-control title'&gt;Field 1 Value&lt;/label&gt;
						&lt;input type='text' class='col-md-10 form-control input-text' name='Field 1 Value' [(ngModel)]='rowdata.field 1 Value'&gt;
					&lt;/div&gt;
					&lt;div class='col-md-12 form-group row'&gt;
						&lt;label class='col-md-2 form-control title'&gt;Field 2 Name&lt;/label&gt;
						&lt;input type='text' class='col-md-10 form-control input-text' name='Field 2 Name' [(ngModel)]='rowdata.field 2 Name'&gt;
					&lt;/div&gt;
					&lt;div class='col-md-12 form-group row'&gt;
						&lt;label class='col-md-2 form-control title'&gt;Field 2 Value&lt;/label&gt;
						&lt;input type='text' class='col-md-10 form-control input-text' name='Field 2 Value' [(ngModel)]='rowdata.field 2 Value'&gt;
					&lt;/div&gt;
					&lt;div class='col-md-12 form-group row'&gt;
						&lt;label class='col-md-2 form-control title'&gt;Field 3 Name&lt;/label&gt;
						&lt;input type='text' class='col-md-10 form-control input-text' name='Field 3 Name' [(ngModel)]='rowdata.field 3 Name'&gt;
					&lt;/div&gt;
					&lt;div class='col-md-12 form-group row'&gt;
						&lt;label class='col-md-2 form-control title'&gt;Field 3 Value&lt;/label&gt;
						&lt;input type='text' class='col-md-10 form-control input-text' name='Field 3 Value' [(ngModel)]='rowdata.field 3 Value'&gt;
					&lt;/div&gt;
					&lt;div class='col-md-12 form-group row'&gt;
						&lt;label class='col-md-2 form-control title'&gt;Field 4 Name&lt;/label&gt;
						&lt;input type='text' class='col-md-10 form-control input-text' name='Field 4 Name' [(ngModel)]='rowdata.field 4 Name'&gt;
					&lt;/div&gt;
					&lt;div class='col-md-12 form-group row'&gt;
						&lt;label class='col-md-2 form-control title'&gt;Field 4 Value&lt;/label&gt;
						&lt;input type='text' class='col-md-10 form-control input-text' name='Field 4 Value' [(ngModel)]='rowdata.field 4 Value'&gt;
					&lt;/div&gt;
					&lt;div class='col-md-12 form-group row'&gt;
						&lt;label class='col-md-2 form-control title'&gt;Field 5 Name&lt;/label&gt;
						&lt;input type='text' class='col-md-10 form-control input-text' name='Field 5 Name' [(ngModel)]='rowdata.field 5 Name'&gt;
					&lt;/div&gt;
					&lt;div class='col-md-12 form-group row'&gt;
						&lt;label class='col-md-2 form-control title'&gt;Field 5 Value&lt;/label&gt;
						&lt;input type='text' class='col-md-10 form-control input-text' name='Field 5 Value' [(ngModel)]='rowdata.field 5 Value'&gt;
					&lt;/div&gt;
					&lt;div class='col-md-12 form-group row'&gt;
						&lt;label class='col-md-2 form-control title'&gt;Option&lt;/label&gt;
						&lt;input type='text' class='col-md-10 form-control input-text' name='Option' [(ngModel)]='rowdata.option'&gt;
					&lt;/div&gt;
					&lt;div class='col-md-12 form-group row'&gt;
						&lt;label class='col-md-2 form-control title'&gt;Resultfield&lt;/label&gt;
						&lt;input type='text' class='col-md-10 form-control input-text' name='Resultfield' [(ngModel)]='rowdata.resultfield'&gt;
					&lt;/div&gt;
					&lt;div class='col-md-12 form-group row'&gt;
						&lt;label class='col-md-2 form-control title'&gt;Expectedresult&lt;/label&gt;
						&lt;input type='text' class='col-md-10 form-control input-text' name='Expectedresult' [(ngModel)]='rowdata.expectedresult'&gt;
					&lt;/div&gt;
					&lt;div class='col-md-12 form-group row'&gt;
						&lt;label class='col-md-2 form-control title'&gt;Checkoption&lt;/label&gt;
						&lt;input type='text' class='col-md-10 form-control input-text' name='Checkoption' [(ngModel)]='rowdata.checkoption'&gt;
					&lt;/div&gt;
					&lt;div class='col-md-12 form-group row'&gt;
						&lt;label class='col-md-2 form-control title'&gt;Errormessage&lt;/label&gt;
						&lt;input type='text' class='col-md-10 form-control input-text' name='Errormessage' [(ngModel)]='rowdata.errormessage'&gt;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</v>
      </c>
      <c r="T13" s="62" t="str">
        <f ca="1">TEXTJOIN2("
",TRUE,INDIRECT(T11):INDIRECT(T12))</f>
        <v xml:space="preserve">			this.,
			this.rule Code,
			this.rule Description,
			this.rule Item,
			this.field 1 Name,
			this.field 1 Value,
			this.field 2 Name,
			this.field 2 Value,
			this.field 3 Name,
			this.field 3 Value,
			this.field 4 Name,
			this.field 4 Value,
			this.field 5 Name,
			this.field 5 Value,
			this.option,
			this.resultfield,
			this.expectedresult,
			this.checkoption,
</v>
      </c>
      <c r="U13" s="62" t="str">
        <f ca="1">TEXTJOIN2("
",TRUE,INDIRECT(U11):INDIRECT(U12))</f>
        <v xml:space="preserve">	rule Code : string = '' ; 
	rule Description : string = '' ; 
	rule Item : string = '' ; 
	field 1 Name : string = '' ; 
	field 1 Value : string = '' ; 
	field 2 Name : string = '' ; 
	field 2 Value : string = '' ; 
	field 3 Name : string = '' ; 
	field 3 Value : string = '' ; 
	field 4 Name : string = '' ; 
	field 4 Value : string = '' ; 
	field 5 Name : string = '' ; 
	field 5 Value : string = '' ; 
	option : string = '' ; 
	resultfield : string = '' ; 
	expectedresult : string = '' ; 
	checkoption : string = '' ; 
	errormessage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cmmmmcheckingrule.component.ts</v>
      </c>
      <c r="I14" s="37" t="str">
        <f>B8&amp;".component.html"</f>
        <v>cmmmmcheckingrule.component.html</v>
      </c>
      <c r="J14" s="36" t="str">
        <f>B8&amp;".component.less"</f>
        <v>cmmmmcheckingrule.component.less</v>
      </c>
      <c r="K14" s="37" t="str">
        <f>"create-or-edit-"&amp;B8&amp;"-modal.component.html"</f>
        <v>create-or-edit-cmmmmcheckingrule-modal.component.html</v>
      </c>
      <c r="L14" s="37" t="str">
        <f>"create-or-edit-"&amp;B8&amp;"-modal.component.ts"</f>
        <v>create-or-edit-cmmmmcheckingrule-modal.component.ts</v>
      </c>
      <c r="M14" s="37" t="str">
        <f>"create-or-edit-"&amp;B8&amp;"-modal.component.less"</f>
        <v>create-or-edit-cmmmmcheckingrule-modal.component.less</v>
      </c>
      <c r="N14" s="37" t="str">
        <f>B8&amp;".module.ts"</f>
        <v>cmmmmcheckingrule.module.ts</v>
      </c>
      <c r="O14" s="37" t="str">
        <f>B8&amp;"-routing.module.ts"</f>
        <v>cmmmmcheckingrule-routing.module.ts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364</v>
      </c>
      <c r="B15" s="28" t="str">
        <f>SUBSTITUTE(PROPER(A15),"_","")</f>
        <v>Rule Code</v>
      </c>
      <c r="C15" s="28" t="str">
        <f>SUBSTITUTE(PROPER(A15),"_"," ")</f>
        <v>Rule Code</v>
      </c>
      <c r="D15" s="28" t="str">
        <f>LOWER(LEFT(B15,1))&amp;RIGHT(B15,LEN(B15) - 1)</f>
        <v>rule Code</v>
      </c>
      <c r="E15" s="28" t="str">
        <f>A.Backend!H9</f>
        <v>string</v>
      </c>
      <c r="F15" s="28" t="str">
        <f>A.Backend!G9</f>
        <v>50</v>
      </c>
      <c r="G15" s="28" t="str">
        <f t="shared" ref="G15" si="0">IF(E15="string"," : string = '' ; ",IF(OR(E15="DateTime",E15="TimeSpan")," : any ;",IF(E15="int"," : number = 0 ;","")))</f>
        <v xml:space="preserve"> : string = '' ; </v>
      </c>
      <c r="H15" s="35" t="str">
        <f t="shared" ref="H15" si="1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this.l('Rule Code'),headerTooltip: this.l('Rule Code'),field: 'rule Code',flex: 1},</v>
      </c>
      <c r="I15" s="35" t="str">
        <f t="shared" ref="I15:I33" si="2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[(ngModel)]='rule Code' name='rule Code'
									class='form-control' [placeholder]="l('Rule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title'&gt;Rule Code&lt;/label&gt;
						&lt;input type='text' class='col-md-10 form-control input-text' name='Rule Code' [(ngModel)]='rowdata.rule Code'&gt;
					&lt;/div&gt;</v>
      </c>
      <c r="L15" s="56" t="str">
        <f t="shared" ref="L15" si="3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rule 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rule Code : string = '' ; </v>
      </c>
      <c r="V15" s="28" t="str">
        <f t="shared" ref="V15" si="4">IF(AND(E15="string",F15="1"),D15,"")</f>
        <v/>
      </c>
    </row>
    <row r="16" spans="1:22" ht="18" customHeight="1" x14ac:dyDescent="0.25">
      <c r="A16" s="28" t="s">
        <v>365</v>
      </c>
      <c r="B16" s="28" t="str">
        <f>SUBSTITUTE(PROPER(A16),"_","")</f>
        <v>Rule Description</v>
      </c>
      <c r="C16" s="28" t="str">
        <f>SUBSTITUTE(PROPER(A16),"_"," ")</f>
        <v>Rule Description</v>
      </c>
      <c r="D16" s="28" t="str">
        <f t="shared" ref="D16:D33" si="5">LOWER(LEFT(B16,1))&amp;RIGHT(B16,LEN(B16) - 1)</f>
        <v>rule Description</v>
      </c>
      <c r="E16" s="28" t="str">
        <f>A.Backend!H10</f>
        <v>string</v>
      </c>
      <c r="F16" s="28" t="str">
        <f>A.Backend!G10</f>
        <v>5000</v>
      </c>
      <c r="G16" s="28" t="str">
        <f t="shared" ref="G16:G33" si="6">IF(E16="string"," : string = '' ; ",IF(OR(E16="DateTime",E16="TimeSpan")," : any ;",IF(E16="int"," : number = 0 ;","")))</f>
        <v xml:space="preserve"> : string = '' ; </v>
      </c>
      <c r="H16" s="35" t="str">
        <f t="shared" ref="H16:H33" si="7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this.l('Rule Description'),headerTooltip: this.l('Rule Description'),field: 'rule Description',flex: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[(ngModel)]='rule Description' name='rule Description'
									class='form-control' [placeholder]="l('Rule Description')"
									type='text' (keyup.enter)='searchDatas()'&gt;
								&lt;/div&gt;</v>
      </c>
      <c r="J16" s="28"/>
      <c r="K16" s="35" t="str">
        <f t="shared" ref="K16:K33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title'&gt;Rule Description&lt;/label&gt;
						&lt;input type='text' class='col-md-10 form-control input-text' name='Rule Description' [(ngModel)]='rowdata.rule Description'&gt;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3" si="10">IF(AND(E16="string",F16 &lt;&gt;"1"),(REPT(CHAR(9),1)&amp;D16&amp;G16),"")</f>
        <v xml:space="preserve">	rule Description : string = '' ; </v>
      </c>
      <c r="T16" s="28" t="str">
        <f>IF(AND(E16="string",F16 &lt;&gt;"1"),(REPT(CHAR(9),3)&amp;"this."&amp;D15&amp;","),"")</f>
        <v xml:space="preserve">			this.rule Code,</v>
      </c>
      <c r="U16" s="28" t="str">
        <f t="shared" ref="U16:U33" si="11">IF(AND(E16="string",F16 &lt;&gt;"1"),(REPT(CHAR(9),1)&amp;D16&amp;G16),"")</f>
        <v xml:space="preserve">	rule Description : string = '' ; </v>
      </c>
      <c r="V16" s="28" t="str">
        <f t="shared" ref="V16:V33" si="12">IF(AND(E16="string",F16="1"),D16,"")</f>
        <v/>
      </c>
    </row>
    <row r="17" spans="1:22" ht="18" customHeight="1" x14ac:dyDescent="0.25">
      <c r="A17" s="28" t="s">
        <v>366</v>
      </c>
      <c r="B17" s="28" t="str">
        <f t="shared" ref="B16:B33" si="13">SUBSTITUTE(PROPER(A17),"_","")</f>
        <v>Rule Item</v>
      </c>
      <c r="C17" s="28" t="str">
        <f t="shared" ref="C16:C33" si="14">SUBSTITUTE(PROPER(A17),"_"," ")</f>
        <v>Rule Item</v>
      </c>
      <c r="D17" s="28" t="str">
        <f t="shared" si="5"/>
        <v>rule Item</v>
      </c>
      <c r="E17" s="28" t="str">
        <f>A.Backend!H11</f>
        <v>string</v>
      </c>
      <c r="F17" s="28" t="str">
        <f>A.Backend!G11</f>
        <v>50</v>
      </c>
      <c r="G17" s="28" t="str">
        <f t="shared" si="6"/>
        <v xml:space="preserve"> : string = '' ; </v>
      </c>
      <c r="H17" s="35" t="str">
        <f t="shared" si="7"/>
        <v xml:space="preserve">			{headerName: this.l('Rule Item'),headerTooltip: this.l('Rule Item'),field: 'rule Item',flex: 1},</v>
      </c>
      <c r="I17" s="35" t="str">
        <f t="shared" si="2"/>
        <v xml:space="preserve">								&lt;div class='input-search'&gt;
									&lt;input [(ngModel)]='rule Item' name='rule Item'
									class='form-control' [placeholder]="l('Rule Item')"
									type='text' (keyup.enter)='searchDatas()'&gt;
								&lt;/div&gt;</v>
      </c>
      <c r="J17" s="28"/>
      <c r="K17" s="35" t="str">
        <f t="shared" si="8"/>
        <v xml:space="preserve">					&lt;div class='col-md-12 form-group row'&gt;
						&lt;label class='col-md-2 form-control title'&gt;Rule Item&lt;/label&gt;
						&lt;input type='text' class='col-md-10 form-control input-text' name='Rule Item' [(ngModel)]='rowdata.rule Item'&gt;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 xml:space="preserve">	rule Item : string = '' ; </v>
      </c>
      <c r="T17" s="28" t="str">
        <f t="shared" ref="T17:T20" si="15">IF(AND(E17="string",F17 &lt;&gt;"1"),(REPT(CHAR(9),3)&amp;"this."&amp;D16&amp;","),"")</f>
        <v xml:space="preserve">			this.rule Description,</v>
      </c>
      <c r="U17" s="28" t="str">
        <f t="shared" si="11"/>
        <v xml:space="preserve">	rule Item : string = '' ; </v>
      </c>
      <c r="V17" s="28" t="str">
        <f t="shared" si="12"/>
        <v/>
      </c>
    </row>
    <row r="18" spans="1:22" ht="15" customHeight="1" x14ac:dyDescent="0.25">
      <c r="A18" s="28" t="s">
        <v>367</v>
      </c>
      <c r="B18" s="28" t="str">
        <f t="shared" si="13"/>
        <v>Field 1 Name</v>
      </c>
      <c r="C18" s="28" t="str">
        <f t="shared" si="14"/>
        <v>Field 1 Name</v>
      </c>
      <c r="D18" s="28" t="str">
        <f t="shared" si="5"/>
        <v>field 1 Name</v>
      </c>
      <c r="E18" s="28" t="str">
        <f>A.Backend!H12</f>
        <v>string</v>
      </c>
      <c r="F18" s="28" t="str">
        <f>A.Backend!G12</f>
        <v>50</v>
      </c>
      <c r="G18" s="28" t="str">
        <f t="shared" si="6"/>
        <v xml:space="preserve"> : string = '' ; </v>
      </c>
      <c r="H18" s="35" t="str">
        <f t="shared" si="7"/>
        <v xml:space="preserve">			{headerName: this.l('Field 1 Name'),headerTooltip: this.l('Field 1 Name'),field: 'field 1 Name',flex: 1},</v>
      </c>
      <c r="I18" s="35" t="str">
        <f t="shared" si="2"/>
        <v xml:space="preserve">								&lt;div class='input-search'&gt;
									&lt;input [(ngModel)]='field 1 Name' name='field 1 Name'
									class='form-control' [placeholder]="l('Field 1 Name')"
									type='text' (keyup.enter)='searchDatas()'&gt;
								&lt;/div&gt;</v>
      </c>
      <c r="J18" s="28"/>
      <c r="K18" s="35" t="str">
        <f t="shared" si="8"/>
        <v xml:space="preserve">					&lt;div class='col-md-12 form-group row'&gt;
						&lt;label class='col-md-2 form-control title'&gt;Field 1 Name&lt;/label&gt;
						&lt;input type='text' class='col-md-10 form-control input-text' name='Field 1 Name' [(ngModel)]='rowdata.field 1 Name'&gt;
					&lt;/div&gt;</v>
      </c>
      <c r="L18" s="56" t="str">
        <f t="shared" ref="L18:L33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0"/>
        <v xml:space="preserve">	field 1 Name : string = '' ; </v>
      </c>
      <c r="T18" s="28" t="str">
        <f t="shared" si="15"/>
        <v xml:space="preserve">			this.rule Item,</v>
      </c>
      <c r="U18" s="28" t="str">
        <f t="shared" si="11"/>
        <v xml:space="preserve">	field 1 Name : string = '' ; </v>
      </c>
      <c r="V18" s="28" t="str">
        <f t="shared" si="12"/>
        <v/>
      </c>
    </row>
    <row r="19" spans="1:22" ht="18" customHeight="1" x14ac:dyDescent="0.25">
      <c r="A19" s="28" t="s">
        <v>368</v>
      </c>
      <c r="B19" s="28" t="str">
        <f t="shared" si="13"/>
        <v>Field 1 Value</v>
      </c>
      <c r="C19" s="28" t="str">
        <f t="shared" si="14"/>
        <v>Field 1 Value</v>
      </c>
      <c r="D19" s="28" t="str">
        <f t="shared" si="5"/>
        <v>field 1 Value</v>
      </c>
      <c r="E19" s="28" t="str">
        <f>A.Backend!H13</f>
        <v>string</v>
      </c>
      <c r="F19" s="28" t="str">
        <f>A.Backend!G13</f>
        <v>50</v>
      </c>
      <c r="G19" s="28" t="str">
        <f t="shared" si="6"/>
        <v xml:space="preserve"> : string = '' ; </v>
      </c>
      <c r="H19" s="35" t="str">
        <f t="shared" si="7"/>
        <v xml:space="preserve">			{headerName: this.l('Field 1 Value'),headerTooltip: this.l('Field 1 Value'),field: 'field 1 Value',flex: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[(ngModel)]='field 1 Value' name='field 1 Value'
									class='form-control' [placeholder]="l('Field 1 Value')"
									type='text' (keyup.enter)='searchDatas()'&gt;
								&lt;/div&gt;</v>
      </c>
      <c r="J19" s="28"/>
      <c r="K19" s="35" t="str">
        <f t="shared" si="8"/>
        <v xml:space="preserve">					&lt;div class='col-md-12 form-group row'&gt;
						&lt;label class='col-md-2 form-control title'&gt;Field 1 Value&lt;/label&gt;
						&lt;input type='text' class='col-md-10 form-control input-text' name='Field 1 Value' [(ngModel)]='rowdata.field 1 Value'&gt;
					&lt;/div&gt;</v>
      </c>
      <c r="L19" s="56" t="str">
        <f t="shared" si="16"/>
        <v/>
      </c>
      <c r="M19" s="28"/>
      <c r="N19" s="28"/>
      <c r="O19" s="28"/>
      <c r="P19" s="28"/>
      <c r="Q19" s="28"/>
      <c r="R19" s="28"/>
      <c r="S19" s="28" t="str">
        <f t="shared" si="10"/>
        <v xml:space="preserve">	field 1 Value : string = '' ; </v>
      </c>
      <c r="T19" s="28" t="str">
        <f t="shared" si="15"/>
        <v xml:space="preserve">			this.field 1 Name,</v>
      </c>
      <c r="U19" s="28" t="str">
        <f t="shared" si="11"/>
        <v xml:space="preserve">	field 1 Value : string = '' ; </v>
      </c>
      <c r="V19" s="28" t="str">
        <f t="shared" si="12"/>
        <v/>
      </c>
    </row>
    <row r="20" spans="1:22" ht="15" customHeight="1" x14ac:dyDescent="0.25">
      <c r="A20" s="28" t="s">
        <v>369</v>
      </c>
      <c r="B20" s="28" t="str">
        <f t="shared" si="13"/>
        <v>Field 2 Name</v>
      </c>
      <c r="C20" s="28" t="str">
        <f>SUBSTITUTE(PROPER(A20),"_"," ")</f>
        <v>Field 2 Name</v>
      </c>
      <c r="D20" s="28" t="str">
        <f t="shared" si="5"/>
        <v>field 2 Name</v>
      </c>
      <c r="E20" s="28" t="str">
        <f>A.Backend!H14</f>
        <v>string</v>
      </c>
      <c r="F20" s="28" t="str">
        <f>A.Backend!G14</f>
        <v>50</v>
      </c>
      <c r="G20" s="28" t="str">
        <f t="shared" si="6"/>
        <v xml:space="preserve"> : string = '' ; </v>
      </c>
      <c r="H20" s="35" t="str">
        <f t="shared" si="7"/>
        <v xml:space="preserve">			{headerName: this.l('Field 2 Name'),headerTooltip: this.l('Field 2 Name'),field: 'field 2 Name',flex: 1},</v>
      </c>
      <c r="I20" s="35" t="str">
        <f t="shared" si="2"/>
        <v xml:space="preserve">								&lt;div class='input-search'&gt;
									&lt;input [(ngModel)]='field 2 Name' name='field 2 Name'
									class='form-control' [placeholder]="l('Field 2 Name')"
									type='text' (keyup.enter)='searchDatas()'&gt;
								&lt;/div&gt;</v>
      </c>
      <c r="J20" s="28"/>
      <c r="K20" s="35" t="str">
        <f t="shared" si="8"/>
        <v xml:space="preserve">					&lt;div class='col-md-12 form-group row'&gt;
						&lt;label class='col-md-2 form-control title'&gt;Field 2 Name&lt;/label&gt;
						&lt;input type='text' class='col-md-10 form-control input-text' name='Field 2 Name' [(ngModel)]='rowdata.field 2 Name'&gt;
					&lt;/div&gt;</v>
      </c>
      <c r="L20" s="56" t="str">
        <f t="shared" si="16"/>
        <v/>
      </c>
      <c r="M20" s="28"/>
      <c r="N20" s="28"/>
      <c r="O20" s="28"/>
      <c r="P20" s="28"/>
      <c r="Q20" s="28"/>
      <c r="R20" s="28"/>
      <c r="S20" s="28" t="str">
        <f t="shared" si="10"/>
        <v xml:space="preserve">	field 2 Name : string = '' ; </v>
      </c>
      <c r="T20" s="28" t="str">
        <f t="shared" si="15"/>
        <v xml:space="preserve">			this.field 1 Value,</v>
      </c>
      <c r="U20" s="28" t="str">
        <f t="shared" si="11"/>
        <v xml:space="preserve">	field 2 Name : string = '' ; </v>
      </c>
      <c r="V20" s="28" t="str">
        <f t="shared" si="12"/>
        <v/>
      </c>
    </row>
    <row r="21" spans="1:22" ht="18" customHeight="1" x14ac:dyDescent="0.25">
      <c r="A21" s="28" t="s">
        <v>370</v>
      </c>
      <c r="B21" s="28" t="str">
        <f t="shared" ref="B21:B29" si="17">SUBSTITUTE(PROPER(A21),"_","")</f>
        <v>Field 2 Value</v>
      </c>
      <c r="C21" s="28" t="str">
        <f t="shared" ref="C21:C29" si="18">SUBSTITUTE(PROPER(A21),"_"," ")</f>
        <v>Field 2 Value</v>
      </c>
      <c r="D21" s="28" t="str">
        <f t="shared" ref="D21:D29" si="19">LOWER(LEFT(B21,1))&amp;RIGHT(B21,LEN(B21) - 1)</f>
        <v>field 2 Value</v>
      </c>
      <c r="E21" s="28" t="str">
        <f>A.Backend!H15</f>
        <v>string</v>
      </c>
      <c r="F21" s="28" t="str">
        <f>A.Backend!G15</f>
        <v>50</v>
      </c>
      <c r="G21" s="28" t="str">
        <f t="shared" ref="G21:G29" si="20">IF(E21="string"," : string = '' ; ",IF(OR(E21="DateTime",E21="TimeSpan")," : any ;",IF(E21="int"," : number = 0 ;","")))</f>
        <v xml:space="preserve"> : string = '' ; </v>
      </c>
      <c r="H21" s="35" t="str">
        <f t="shared" ref="H21:H29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this.l('Field 2 Value'),headerTooltip: this.l('Field 2 Value'),field: 'field 2 Value',flex: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[(ngModel)]='field 2 Value' name='field 2 Value'
									class='form-control' [placeholder]="l('Field 2 Value')"
									type='text' (keyup.enter)='searchDatas()'&gt;
								&lt;/div&gt;</v>
      </c>
      <c r="J21" s="28"/>
      <c r="K21" s="35" t="str">
        <f t="shared" ref="K21:K29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title'&gt;Field 2 Value&lt;/label&gt;
						&lt;input type='text' class='col-md-10 form-control input-text' name='Field 2 Value' [(ngModel)]='rowdata.field 2 Value'&gt;
					&lt;/div&gt;</v>
      </c>
      <c r="L21" s="56" t="str">
        <f t="shared" si="16"/>
        <v/>
      </c>
      <c r="M21" s="28"/>
      <c r="N21" s="28"/>
      <c r="O21" s="28"/>
      <c r="P21" s="28"/>
      <c r="Q21" s="28"/>
      <c r="R21" s="28"/>
      <c r="S21" s="28" t="str">
        <f t="shared" ref="S21:S29" si="23">IF(AND(E21="string",F21 &lt;&gt;"1"),(REPT(CHAR(9),1)&amp;D21&amp;G21),"")</f>
        <v xml:space="preserve">	field 2 Value : string = '' ; </v>
      </c>
      <c r="T21" s="28" t="str">
        <f>IF(AND(E21="string",F21 &lt;&gt;"1"),(REPT(CHAR(9),3)&amp;"this."&amp;D20&amp;","),"")</f>
        <v xml:space="preserve">			this.field 2 Name,</v>
      </c>
      <c r="U21" s="28" t="str">
        <f t="shared" ref="U21:U29" si="24">IF(AND(E21="string",F21 &lt;&gt;"1"),(REPT(CHAR(9),1)&amp;D21&amp;G21),"")</f>
        <v xml:space="preserve">	field 2 Value : string = '' ; </v>
      </c>
      <c r="V21" s="28" t="str">
        <f t="shared" ref="V21:V29" si="25">IF(AND(E21="string",F21="1"),D21,"")</f>
        <v/>
      </c>
    </row>
    <row r="22" spans="1:22" ht="18" customHeight="1" x14ac:dyDescent="0.25">
      <c r="A22" s="28" t="s">
        <v>371</v>
      </c>
      <c r="B22" s="28" t="str">
        <f t="shared" si="17"/>
        <v>Field 3 Name</v>
      </c>
      <c r="C22" s="28" t="str">
        <f t="shared" si="18"/>
        <v>Field 3 Name</v>
      </c>
      <c r="D22" s="28" t="str">
        <f t="shared" si="19"/>
        <v>field 3 Name</v>
      </c>
      <c r="E22" s="28" t="str">
        <f>A.Backend!H16</f>
        <v>string</v>
      </c>
      <c r="F22" s="28" t="str">
        <f>A.Backend!G16</f>
        <v>50</v>
      </c>
      <c r="G22" s="28" t="str">
        <f t="shared" si="20"/>
        <v xml:space="preserve"> : string = '' ; </v>
      </c>
      <c r="H22" s="35" t="str">
        <f t="shared" si="21"/>
        <v xml:space="preserve">			{headerName: this.l('Field 3 Name'),headerTooltip: this.l('Field 3 Name'),field: 'field 3 Name',flex: 1},</v>
      </c>
      <c r="I22" s="35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[(ngModel)]='field 3 Name' name='field 3 Name'
									class='form-control' [placeholder]="l('Field 3 Name')"
									type='text' (keyup.enter)='searchDatas()'&gt;
								&lt;/div&gt;</v>
      </c>
      <c r="J22" s="28"/>
      <c r="K22" s="35" t="str">
        <f t="shared" si="22"/>
        <v xml:space="preserve">					&lt;div class='col-md-12 form-group row'&gt;
						&lt;label class='col-md-2 form-control title'&gt;Field 3 Name&lt;/label&gt;
						&lt;input type='text' class='col-md-10 form-control input-text' name='Field 3 Name' [(ngModel)]='rowdata.field 3 Name'&gt;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3"/>
        <v xml:space="preserve">	field 3 Name : string = '' ; </v>
      </c>
      <c r="T22" s="28" t="str">
        <f t="shared" ref="T22:T29" si="27">IF(AND(E22="string",F22 &lt;&gt;"1"),(REPT(CHAR(9),3)&amp;"this."&amp;D21&amp;","),"")</f>
        <v xml:space="preserve">			this.field 2 Value,</v>
      </c>
      <c r="U22" s="28" t="str">
        <f t="shared" si="24"/>
        <v xml:space="preserve">	field 3 Name : string = '' ; </v>
      </c>
      <c r="V22" s="28" t="str">
        <f t="shared" si="25"/>
        <v/>
      </c>
    </row>
    <row r="23" spans="1:22" ht="15" customHeight="1" x14ac:dyDescent="0.25">
      <c r="A23" s="28" t="s">
        <v>372</v>
      </c>
      <c r="B23" s="28" t="str">
        <f t="shared" si="17"/>
        <v>Field 3 Value</v>
      </c>
      <c r="C23" s="28" t="str">
        <f t="shared" si="18"/>
        <v>Field 3 Value</v>
      </c>
      <c r="D23" s="28" t="str">
        <f t="shared" si="19"/>
        <v>field 3 Value</v>
      </c>
      <c r="E23" s="28" t="str">
        <f>A.Backend!H17</f>
        <v>string</v>
      </c>
      <c r="F23" s="28" t="str">
        <f>A.Backend!G17</f>
        <v>50</v>
      </c>
      <c r="G23" s="28" t="str">
        <f t="shared" si="20"/>
        <v xml:space="preserve"> : string = '' ; </v>
      </c>
      <c r="H23" s="35" t="str">
        <f t="shared" si="21"/>
        <v xml:space="preserve">			{headerName: this.l('Field 3 Value'),headerTooltip: this.l('Field 3 Value'),field: 'field 3 Value',flex: 1},</v>
      </c>
      <c r="I23" s="35" t="str">
        <f t="shared" si="26"/>
        <v xml:space="preserve">								&lt;div class='input-search'&gt;
									&lt;input [(ngModel)]='field 3 Value' name='field 3 Value'
									class='form-control' [placeholder]="l('Field 3 Value')"
									type='text' (keyup.enter)='searchDatas()'&gt;
								&lt;/div&gt;</v>
      </c>
      <c r="J23" s="28"/>
      <c r="K23" s="35" t="str">
        <f t="shared" si="22"/>
        <v xml:space="preserve">					&lt;div class='col-md-12 form-group row'&gt;
						&lt;label class='col-md-2 form-control title'&gt;Field 3 Value&lt;/label&gt;
						&lt;input type='text' class='col-md-10 form-control input-text' name='Field 3 Value' [(ngModel)]='rowdata.field 3 Value'&gt;
					&lt;/div&gt;</v>
      </c>
      <c r="L23" s="56" t="str">
        <f t="shared" ref="L23:L25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 xml:space="preserve">	field 3 Value : string = '' ; </v>
      </c>
      <c r="T23" s="28" t="str">
        <f t="shared" si="27"/>
        <v xml:space="preserve">			this.field 3 Name,</v>
      </c>
      <c r="U23" s="28" t="str">
        <f t="shared" si="24"/>
        <v xml:space="preserve">	field 3 Value : string = '' ; </v>
      </c>
      <c r="V23" s="28" t="str">
        <f t="shared" si="25"/>
        <v/>
      </c>
    </row>
    <row r="24" spans="1:22" ht="18" customHeight="1" x14ac:dyDescent="0.25">
      <c r="A24" s="28" t="s">
        <v>373</v>
      </c>
      <c r="B24" s="28" t="str">
        <f t="shared" si="17"/>
        <v>Field 4 Name</v>
      </c>
      <c r="C24" s="28" t="str">
        <f t="shared" si="18"/>
        <v>Field 4 Name</v>
      </c>
      <c r="D24" s="28" t="str">
        <f t="shared" si="19"/>
        <v>field 4 Name</v>
      </c>
      <c r="E24" s="28" t="str">
        <f>A.Backend!H18</f>
        <v>string</v>
      </c>
      <c r="F24" s="28" t="str">
        <f>A.Backend!G18</f>
        <v>50</v>
      </c>
      <c r="G24" s="28" t="str">
        <f t="shared" si="20"/>
        <v xml:space="preserve"> : string = '' ; </v>
      </c>
      <c r="H24" s="35" t="str">
        <f t="shared" si="21"/>
        <v xml:space="preserve">			{headerName: this.l('Field 4 Name'),headerTooltip: this.l('Field 4 Name'),field: 'field 4 Name',flex: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[(ngModel)]='field 4 Name' name='field 4 Name'
									class='form-control' [placeholder]="l('Field 4 Name')"
									type='text' (keyup.enter)='searchDatas()'&gt;
								&lt;/div&gt;</v>
      </c>
      <c r="J24" s="28"/>
      <c r="K24" s="35" t="str">
        <f t="shared" si="22"/>
        <v xml:space="preserve">					&lt;div class='col-md-12 form-group row'&gt;
						&lt;label class='col-md-2 form-control title'&gt;Field 4 Name&lt;/label&gt;
						&lt;input type='text' class='col-md-10 form-control input-text' name='Field 4 Name' [(ngModel)]='rowdata.field 4 Name'&gt;
					&lt;/div&gt;</v>
      </c>
      <c r="L24" s="56" t="str">
        <f t="shared" si="28"/>
        <v/>
      </c>
      <c r="M24" s="28"/>
      <c r="N24" s="28"/>
      <c r="O24" s="28"/>
      <c r="P24" s="28"/>
      <c r="Q24" s="28"/>
      <c r="R24" s="28"/>
      <c r="S24" s="28" t="str">
        <f t="shared" si="23"/>
        <v xml:space="preserve">	field 4 Name : string = '' ; </v>
      </c>
      <c r="T24" s="28" t="str">
        <f t="shared" si="27"/>
        <v xml:space="preserve">			this.field 3 Value,</v>
      </c>
      <c r="U24" s="28" t="str">
        <f t="shared" si="24"/>
        <v xml:space="preserve">	field 4 Name : string = '' ; </v>
      </c>
      <c r="V24" s="28" t="str">
        <f t="shared" si="25"/>
        <v/>
      </c>
    </row>
    <row r="25" spans="1:22" ht="15" customHeight="1" x14ac:dyDescent="0.25">
      <c r="A25" s="28" t="s">
        <v>374</v>
      </c>
      <c r="B25" s="28" t="str">
        <f t="shared" si="17"/>
        <v>Field 4 Value</v>
      </c>
      <c r="C25" s="28" t="str">
        <f t="shared" si="18"/>
        <v>Field 4 Value</v>
      </c>
      <c r="D25" s="28" t="str">
        <f t="shared" si="19"/>
        <v>field 4 Value</v>
      </c>
      <c r="E25" s="28" t="str">
        <f>A.Backend!H19</f>
        <v>string</v>
      </c>
      <c r="F25" s="28" t="str">
        <f>A.Backend!G19</f>
        <v>50</v>
      </c>
      <c r="G25" s="28" t="str">
        <f t="shared" si="20"/>
        <v xml:space="preserve"> : string = '' ; </v>
      </c>
      <c r="H25" s="35" t="str">
        <f t="shared" si="21"/>
        <v xml:space="preserve">			{headerName: this.l('Field 4 Value'),headerTooltip: this.l('Field 4 Value'),field: 'field 4 Value',flex: 1},</v>
      </c>
      <c r="I25" s="35" t="str">
        <f t="shared" ref="I25:I27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[(ngModel)]='field 4 Value' name='field 4 Value'
									class='form-control' [placeholder]="l('Field 4 Value')"
									type='text' (keyup.enter)='searchDatas()'&gt;
								&lt;/div&gt;</v>
      </c>
      <c r="J25" s="28"/>
      <c r="K25" s="35" t="str">
        <f t="shared" si="22"/>
        <v xml:space="preserve">					&lt;div class='col-md-12 form-group row'&gt;
						&lt;label class='col-md-2 form-control title'&gt;Field 4 Value&lt;/label&gt;
						&lt;input type='text' class='col-md-10 form-control input-text' name='Field 4 Value' [(ngModel)]='rowdata.field 4 Value'&gt;
					&lt;/div&gt;</v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 xml:space="preserve">	field 4 Value : string = '' ; </v>
      </c>
      <c r="T25" s="28" t="str">
        <f t="shared" si="27"/>
        <v xml:space="preserve">			this.field 4 Name,</v>
      </c>
      <c r="U25" s="28" t="str">
        <f t="shared" si="24"/>
        <v xml:space="preserve">	field 4 Value : string = '' ; </v>
      </c>
      <c r="V25" s="28" t="str">
        <f t="shared" si="25"/>
        <v/>
      </c>
    </row>
    <row r="26" spans="1:22" ht="18" customHeight="1" x14ac:dyDescent="0.25">
      <c r="A26" s="28" t="s">
        <v>375</v>
      </c>
      <c r="B26" s="28" t="str">
        <f t="shared" si="17"/>
        <v>Field 5 Name</v>
      </c>
      <c r="C26" s="28" t="str">
        <f t="shared" si="18"/>
        <v>Field 5 Name</v>
      </c>
      <c r="D26" s="28" t="str">
        <f t="shared" si="19"/>
        <v>field 5 Name</v>
      </c>
      <c r="E26" s="28" t="str">
        <f>A.Backend!H20</f>
        <v>string</v>
      </c>
      <c r="F26" s="28" t="str">
        <f>A.Backend!G20</f>
        <v>50</v>
      </c>
      <c r="G26" s="28" t="str">
        <f t="shared" si="20"/>
        <v xml:space="preserve"> : string = '' ; </v>
      </c>
      <c r="H26" s="35" t="str">
        <f t="shared" si="21"/>
        <v xml:space="preserve">			{headerName: this.l('Field 5 Name'),headerTooltip: this.l('Field 5 Name'),field: 'field 5 Name',flex: 1},</v>
      </c>
      <c r="I26" s="35" t="str">
        <f t="shared" si="29"/>
        <v xml:space="preserve">								&lt;div class='input-search'&gt;
									&lt;input [(ngModel)]='field 5 Name' name='field 5 Name'
									class='form-control' [placeholder]="l('Field 5 Name')"
									type='text' (keyup.enter)='searchDatas()'&gt;
								&lt;/div&gt;</v>
      </c>
      <c r="J26" s="28"/>
      <c r="K26" s="35" t="str">
        <f t="shared" si="22"/>
        <v xml:space="preserve">					&lt;div class='col-md-12 form-group row'&gt;
						&lt;label class='col-md-2 form-control title'&gt;Field 5 Name&lt;/label&gt;
						&lt;input type='text' class='col-md-10 form-control input-text' name='Field 5 Name' [(ngModel)]='rowdata.field 5 Name'&gt;
					&lt;/div&gt;</v>
      </c>
      <c r="L26" s="56" t="str">
        <f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23"/>
        <v xml:space="preserve">	field 5 Name : string = '' ; </v>
      </c>
      <c r="T26" s="28" t="str">
        <f t="shared" si="27"/>
        <v xml:space="preserve">			this.field 4 Value,</v>
      </c>
      <c r="U26" s="28" t="str">
        <f t="shared" si="24"/>
        <v xml:space="preserve">	field 5 Name : string = '' ; </v>
      </c>
      <c r="V26" s="28" t="str">
        <f t="shared" si="25"/>
        <v/>
      </c>
    </row>
    <row r="27" spans="1:22" ht="15" customHeight="1" x14ac:dyDescent="0.25">
      <c r="A27" s="28" t="s">
        <v>376</v>
      </c>
      <c r="B27" s="28" t="str">
        <f t="shared" si="17"/>
        <v>Field 5 Value</v>
      </c>
      <c r="C27" s="28" t="str">
        <f t="shared" si="18"/>
        <v>Field 5 Value</v>
      </c>
      <c r="D27" s="28" t="str">
        <f t="shared" si="19"/>
        <v>field 5 Value</v>
      </c>
      <c r="E27" s="28" t="str">
        <f>A.Backend!H21</f>
        <v>string</v>
      </c>
      <c r="F27" s="28" t="str">
        <f>A.Backend!G21</f>
        <v>50</v>
      </c>
      <c r="G27" s="28" t="str">
        <f t="shared" si="20"/>
        <v xml:space="preserve"> : string = '' ; </v>
      </c>
      <c r="H27" s="35" t="str">
        <f t="shared" si="21"/>
        <v xml:space="preserve">			{headerName: this.l('Field 5 Value'),headerTooltip: this.l('Field 5 Value'),field: 'field 5 Value',flex: 1},</v>
      </c>
      <c r="I27" s="35" t="str">
        <f t="shared" si="29"/>
        <v xml:space="preserve">								&lt;div class='input-search'&gt;
									&lt;input [(ngModel)]='field 5 Value' name='field 5 Value'
									class='form-control' [placeholder]="l('Field 5 Value')"
									type='text' (keyup.enter)='searchDatas()'&gt;
								&lt;/div&gt;</v>
      </c>
      <c r="J27" s="28"/>
      <c r="K27" s="35" t="str">
        <f t="shared" si="22"/>
        <v xml:space="preserve">					&lt;div class='col-md-12 form-group row'&gt;
						&lt;label class='col-md-2 form-control title'&gt;Field 5 Value&lt;/label&gt;
						&lt;input type='text' class='col-md-10 form-control input-text' name='Field 5 Value' [(ngModel)]='rowdata.field 5 Value'&gt;
					&lt;/div&gt;</v>
      </c>
      <c r="L27" s="56" t="str">
        <f t="shared" ref="L27:L30" si="30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23"/>
        <v xml:space="preserve">	field 5 Value : string = '' ; </v>
      </c>
      <c r="T27" s="28" t="str">
        <f t="shared" si="27"/>
        <v xml:space="preserve">			this.field 5 Name,</v>
      </c>
      <c r="U27" s="28" t="str">
        <f t="shared" si="24"/>
        <v xml:space="preserve">	field 5 Value : string = '' ; </v>
      </c>
      <c r="V27" s="28" t="str">
        <f t="shared" si="25"/>
        <v/>
      </c>
    </row>
    <row r="28" spans="1:22" ht="18" customHeight="1" x14ac:dyDescent="0.25">
      <c r="A28" s="28" t="s">
        <v>377</v>
      </c>
      <c r="B28" s="28" t="str">
        <f t="shared" si="17"/>
        <v>Option</v>
      </c>
      <c r="C28" s="28" t="str">
        <f t="shared" si="18"/>
        <v>Option</v>
      </c>
      <c r="D28" s="28" t="str">
        <f t="shared" si="19"/>
        <v>option</v>
      </c>
      <c r="E28" s="28" t="str">
        <f>A.Backend!H22</f>
        <v>string</v>
      </c>
      <c r="F28" s="28" t="str">
        <f>A.Backend!G22</f>
        <v>50</v>
      </c>
      <c r="G28" s="28" t="str">
        <f t="shared" si="20"/>
        <v xml:space="preserve"> : string = '' ; </v>
      </c>
      <c r="H28" s="35" t="str">
        <f t="shared" si="21"/>
        <v xml:space="preserve">			{headerName: this.l('Option'),headerTooltip: this.l('Option'),field: 'option',flex: 1},</v>
      </c>
      <c r="I28" s="35" t="str">
        <f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[(ngModel)]='option' name='option'
									class='form-control' [placeholder]="l('Option')"
									type='text' (keyup.enter)='searchDatas()'&gt;
								&lt;/div&gt;</v>
      </c>
      <c r="J28" s="28"/>
      <c r="K28" s="35" t="str">
        <f t="shared" si="22"/>
        <v xml:space="preserve">					&lt;div class='col-md-12 form-group row'&gt;
						&lt;label class='col-md-2 form-control title'&gt;Option&lt;/label&gt;
						&lt;input type='text' class='col-md-10 form-control input-text' name='Option' [(ngModel)]='rowdata.option'&gt;
					&lt;/div&gt;</v>
      </c>
      <c r="L28" s="56" t="str">
        <f t="shared" si="30"/>
        <v/>
      </c>
      <c r="M28" s="28"/>
      <c r="N28" s="28"/>
      <c r="O28" s="28"/>
      <c r="P28" s="28"/>
      <c r="Q28" s="28"/>
      <c r="R28" s="28"/>
      <c r="S28" s="28" t="str">
        <f t="shared" si="23"/>
        <v xml:space="preserve">	option : string = '' ; </v>
      </c>
      <c r="T28" s="28" t="str">
        <f t="shared" si="27"/>
        <v xml:space="preserve">			this.field 5 Value,</v>
      </c>
      <c r="U28" s="28" t="str">
        <f t="shared" si="24"/>
        <v xml:space="preserve">	option : string = '' ; </v>
      </c>
      <c r="V28" s="28" t="str">
        <f t="shared" si="25"/>
        <v/>
      </c>
    </row>
    <row r="29" spans="1:22" ht="15" customHeight="1" x14ac:dyDescent="0.25">
      <c r="A29" s="28" t="s">
        <v>378</v>
      </c>
      <c r="B29" s="28" t="str">
        <f t="shared" si="17"/>
        <v>Resultfield</v>
      </c>
      <c r="C29" s="28" t="str">
        <f t="shared" si="18"/>
        <v>Resultfield</v>
      </c>
      <c r="D29" s="28" t="str">
        <f t="shared" si="19"/>
        <v>resultfield</v>
      </c>
      <c r="E29" s="28" t="str">
        <f>A.Backend!H23</f>
        <v>string</v>
      </c>
      <c r="F29" s="28" t="str">
        <f>A.Backend!G23</f>
        <v>50</v>
      </c>
      <c r="G29" s="28" t="str">
        <f t="shared" si="20"/>
        <v xml:space="preserve"> : string = '' ; </v>
      </c>
      <c r="H29" s="35" t="str">
        <f t="shared" si="21"/>
        <v xml:space="preserve">			{headerName: this.l('Resultfield'),headerTooltip: this.l('Resultfield'),field: 'resultfield',flex: 1},</v>
      </c>
      <c r="I29" s="35" t="str">
        <f t="shared" ref="I29" si="31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IF(AND(E29="string",F29 &lt;&gt;"1"),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[(ngModel)]='resultfield' name='resultfield'
									class='form-control' [placeholder]="l('Resultfield')"
									type='text' (keyup.enter)='searchDatas()'&gt;
								&lt;/div&gt;</v>
      </c>
      <c r="J29" s="28"/>
      <c r="K29" s="35" t="str">
        <f t="shared" si="22"/>
        <v xml:space="preserve">					&lt;div class='col-md-12 form-group row'&gt;
						&lt;label class='col-md-2 form-control title'&gt;Resultfield&lt;/label&gt;
						&lt;input type='text' class='col-md-10 form-control input-text' name='Resultfield' [(ngModel)]='rowdata.resultfield'&gt;
					&lt;/div&gt;</v>
      </c>
      <c r="L29" s="56" t="str">
        <f t="shared" si="30"/>
        <v/>
      </c>
      <c r="M29" s="28"/>
      <c r="N29" s="28"/>
      <c r="O29" s="28"/>
      <c r="P29" s="28"/>
      <c r="Q29" s="28"/>
      <c r="R29" s="28"/>
      <c r="S29" s="28" t="str">
        <f t="shared" si="23"/>
        <v xml:space="preserve">	resultfield : string = '' ; </v>
      </c>
      <c r="T29" s="28" t="str">
        <f t="shared" si="27"/>
        <v xml:space="preserve">			this.option,</v>
      </c>
      <c r="U29" s="28" t="str">
        <f t="shared" si="24"/>
        <v xml:space="preserve">	resultfield : string = '' ; </v>
      </c>
      <c r="V29" s="28" t="str">
        <f t="shared" si="25"/>
        <v/>
      </c>
    </row>
    <row r="30" spans="1:22" ht="18" customHeight="1" x14ac:dyDescent="0.25">
      <c r="A30" s="28" t="s">
        <v>379</v>
      </c>
      <c r="B30" s="28" t="str">
        <f t="shared" ref="B30:B32" si="32">SUBSTITUTE(PROPER(A30),"_","")</f>
        <v>Expectedresult</v>
      </c>
      <c r="C30" s="28" t="str">
        <f t="shared" ref="C30:C32" si="33">SUBSTITUTE(PROPER(A30),"_"," ")</f>
        <v>Expectedresult</v>
      </c>
      <c r="D30" s="28" t="str">
        <f t="shared" ref="D30:D32" si="34">LOWER(LEFT(B30,1))&amp;RIGHT(B30,LEN(B30) - 1)</f>
        <v>expectedresult</v>
      </c>
      <c r="E30" s="28" t="str">
        <f>A.Backend!H24</f>
        <v>string</v>
      </c>
      <c r="F30" s="28" t="str">
        <f>A.Backend!G24</f>
        <v>50</v>
      </c>
      <c r="G30" s="28" t="str">
        <f t="shared" ref="G30:G32" si="35">IF(E30="string"," : string = '' ; ",IF(OR(E30="DateTime",E30="TimeSpan")," : any ;",IF(E30="int"," : number = 0 ;","")))</f>
        <v xml:space="preserve"> : string = '' ; </v>
      </c>
      <c r="H30" s="35" t="str">
        <f t="shared" ref="H30:H32" si="36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this.l('Expectedresult'),headerTooltip: this.l('Expectedresult'),field: 'expectedresult',flex: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[(ngModel)]='expectedresult' name='expectedresult'
									class='form-control' [placeholder]="l('Expectedresult')"
									type='text' (keyup.enter)='searchDatas()'&gt;
								&lt;/div&gt;</v>
      </c>
      <c r="J30" s="28"/>
      <c r="K30" s="35" t="str">
        <f t="shared" ref="K30:K32" si="37">IF(OR(E30="DateTime?",E30="TimeSpan?"),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IF(OR(E30="int?",E30="long?"),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title'&gt;Expectedresult&lt;/label&gt;
						&lt;input type='text' class='col-md-10 form-control input-text' name='Expectedresult' [(ngModel)]='rowdata.expectedresult'&gt;
					&lt;/div&gt;</v>
      </c>
      <c r="L30" s="56" t="str">
        <f t="shared" si="30"/>
        <v/>
      </c>
      <c r="M30" s="28"/>
      <c r="N30" s="28"/>
      <c r="O30" s="28"/>
      <c r="P30" s="28"/>
      <c r="Q30" s="28"/>
      <c r="R30" s="28"/>
      <c r="S30" s="28" t="str">
        <f t="shared" ref="S30:S32" si="38">IF(AND(E30="string",F30 &lt;&gt;"1"),(REPT(CHAR(9),1)&amp;D30&amp;G30),"")</f>
        <v xml:space="preserve">	expectedresult : string = '' ; </v>
      </c>
      <c r="T30" s="28" t="str">
        <f>IF(AND(E30="string",F30 &lt;&gt;"1"),(REPT(CHAR(9),3)&amp;"this."&amp;D29&amp;","),"")</f>
        <v xml:space="preserve">			this.resultfield,</v>
      </c>
      <c r="U30" s="28" t="str">
        <f t="shared" ref="U30:U32" si="39">IF(AND(E30="string",F30 &lt;&gt;"1"),(REPT(CHAR(9),1)&amp;D30&amp;G30),"")</f>
        <v xml:space="preserve">	expectedresult : string = '' ; </v>
      </c>
      <c r="V30" s="28" t="str">
        <f t="shared" ref="V30:V32" si="40">IF(AND(E30="string",F30="1"),D30,"")</f>
        <v/>
      </c>
    </row>
    <row r="31" spans="1:22" ht="18" customHeight="1" x14ac:dyDescent="0.25">
      <c r="A31" s="28" t="s">
        <v>380</v>
      </c>
      <c r="B31" s="28" t="str">
        <f t="shared" si="32"/>
        <v>Checkoption</v>
      </c>
      <c r="C31" s="28" t="str">
        <f t="shared" si="33"/>
        <v>Checkoption</v>
      </c>
      <c r="D31" s="28" t="str">
        <f t="shared" si="34"/>
        <v>checkoption</v>
      </c>
      <c r="E31" s="28" t="str">
        <f>A.Backend!H25</f>
        <v>string</v>
      </c>
      <c r="F31" s="28" t="str">
        <f>A.Backend!G25</f>
        <v>50</v>
      </c>
      <c r="G31" s="28" t="str">
        <f t="shared" si="35"/>
        <v xml:space="preserve"> : string = '' ; </v>
      </c>
      <c r="H31" s="35" t="str">
        <f t="shared" si="36"/>
        <v xml:space="preserve">			{headerName: this.l('Checkoption'),headerTooltip: this.l('Checkoption'),field: 'checkoption',flex: 1},</v>
      </c>
      <c r="I31" s="35" t="str">
        <f t="shared" ref="I31:I32" si="41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[(ngModel)]='checkoption' name='checkoption'
									class='form-control' [placeholder]="l('Checkoption')"
									type='text' (keyup.enter)='searchDatas()'&gt;
								&lt;/div&gt;</v>
      </c>
      <c r="J31" s="28"/>
      <c r="K31" s="35" t="str">
        <f t="shared" si="37"/>
        <v xml:space="preserve">					&lt;div class='col-md-12 form-group row'&gt;
						&lt;label class='col-md-2 form-control title'&gt;Checkoption&lt;/label&gt;
						&lt;input type='text' class='col-md-10 form-control input-text' name='Checkoption' [(ngModel)]='rowdata.checkoption'&gt;
					&lt;/div&gt;</v>
      </c>
      <c r="L31" s="56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38"/>
        <v xml:space="preserve">	checkoption : string = '' ; </v>
      </c>
      <c r="T31" s="28" t="str">
        <f t="shared" ref="T31:T32" si="42">IF(AND(E31="string",F31 &lt;&gt;"1"),(REPT(CHAR(9),3)&amp;"this."&amp;D30&amp;","),"")</f>
        <v xml:space="preserve">			this.expectedresult,</v>
      </c>
      <c r="U31" s="28" t="str">
        <f t="shared" si="39"/>
        <v xml:space="preserve">	checkoption : string = '' ; </v>
      </c>
      <c r="V31" s="28" t="str">
        <f t="shared" si="40"/>
        <v/>
      </c>
    </row>
    <row r="32" spans="1:22" ht="15" customHeight="1" x14ac:dyDescent="0.25">
      <c r="A32" s="28" t="s">
        <v>381</v>
      </c>
      <c r="B32" s="28" t="str">
        <f t="shared" si="32"/>
        <v>Errormessage</v>
      </c>
      <c r="C32" s="28" t="str">
        <f t="shared" si="33"/>
        <v>Errormessage</v>
      </c>
      <c r="D32" s="28" t="str">
        <f t="shared" si="34"/>
        <v>errormessage</v>
      </c>
      <c r="E32" s="28" t="str">
        <f>A.Backend!H26</f>
        <v>string</v>
      </c>
      <c r="F32" s="28" t="str">
        <f>A.Backend!G26</f>
        <v>5000</v>
      </c>
      <c r="G32" s="28" t="str">
        <f t="shared" si="35"/>
        <v xml:space="preserve"> : string = '' ; </v>
      </c>
      <c r="H32" s="35" t="str">
        <f t="shared" si="36"/>
        <v xml:space="preserve">			{headerName: this.l('Errormessage'),headerTooltip: this.l('Errormessage'),field: 'errormessage',flex: 1},</v>
      </c>
      <c r="I32" s="35" t="str">
        <f t="shared" si="41"/>
        <v xml:space="preserve">								&lt;div class='input-search'&gt;
									&lt;input [(ngModel)]='errormessage' name='errormessage'
									class='form-control' [placeholder]="l('Errormessage')"
									type='text' (keyup.enter)='searchDatas()'&gt;
								&lt;/div&gt;</v>
      </c>
      <c r="J32" s="28"/>
      <c r="K32" s="35" t="str">
        <f t="shared" si="37"/>
        <v xml:space="preserve">					&lt;div class='col-md-12 form-group row'&gt;
						&lt;label class='col-md-2 form-control title'&gt;Errormessage&lt;/label&gt;
						&lt;input type='text' class='col-md-10 form-control input-text' name='Errormessage' [(ngModel)]='rowdata.errormessage'&gt;
					&lt;/div&gt;</v>
      </c>
      <c r="L32" s="56" t="str">
        <f t="shared" ref="L32" si="43"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38"/>
        <v xml:space="preserve">	errormessage : string = '' ; </v>
      </c>
      <c r="T32" s="28" t="str">
        <f t="shared" si="42"/>
        <v xml:space="preserve">			this.checkoption,</v>
      </c>
      <c r="U32" s="28" t="str">
        <f t="shared" si="39"/>
        <v xml:space="preserve">	errormessage : string = '' ; </v>
      </c>
      <c r="V32" s="28" t="str">
        <f t="shared" si="40"/>
        <v/>
      </c>
    </row>
    <row r="33" spans="1:22" ht="18" customHeight="1" x14ac:dyDescent="0.25">
      <c r="A33" s="28" t="s">
        <v>318</v>
      </c>
      <c r="B33" s="28" t="str">
        <f t="shared" si="13"/>
        <v>IsActive</v>
      </c>
      <c r="C33" s="28" t="str">
        <f t="shared" si="14"/>
        <v>Is Active</v>
      </c>
      <c r="D33" s="28" t="str">
        <f t="shared" si="5"/>
        <v>isActive</v>
      </c>
      <c r="E33" s="28" t="str">
        <f>A.Backend!H27</f>
        <v>string</v>
      </c>
      <c r="F33" s="28" t="str">
        <f>A.Backend!G27</f>
        <v>1</v>
      </c>
      <c r="G33" s="28" t="str">
        <f t="shared" si="6"/>
        <v xml:space="preserve"> : string = '' ; </v>
      </c>
      <c r="H33" s="35" t="str">
        <f t="shared" si="7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3" s="35" t="str">
        <f t="shared" si="2"/>
        <v/>
      </c>
      <c r="J33" s="28"/>
      <c r="K33" s="35" t="str">
        <f t="shared" si="8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3" s="56" t="str">
        <f t="shared" si="16"/>
        <v/>
      </c>
      <c r="M33" s="28"/>
      <c r="N33" s="28"/>
      <c r="O33" s="28"/>
      <c r="P33" s="28"/>
      <c r="Q33" s="28"/>
      <c r="R33" s="28"/>
      <c r="S33" s="28" t="str">
        <f t="shared" si="10"/>
        <v/>
      </c>
      <c r="T33" s="28" t="str">
        <f>IF(AND(E33="string",F33 &lt;&gt;"1"),(REPT(CHAR(9),3)&amp;"this."&amp;D20&amp;","),"")</f>
        <v/>
      </c>
      <c r="U33" s="28" t="str">
        <f t="shared" si="11"/>
        <v/>
      </c>
      <c r="V33" s="28" t="str">
        <f t="shared" si="12"/>
        <v>isActive</v>
      </c>
    </row>
    <row r="3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352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2023-07-24T07:06:38Z</dcterms:modified>
</cp:coreProperties>
</file>
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master\common\"/>
    </mc:Choice>
  </mc:AlternateContent>
  <bookViews>
    <workbookView xWindow="0" yWindow="271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B6" i="1" l="1"/>
  <c r="C16" i="5" l="1"/>
  <c r="B16" i="5"/>
  <c r="D16" i="5" s="1"/>
  <c r="C15" i="5"/>
  <c r="B15" i="5"/>
  <c r="D15" i="5" s="1"/>
  <c r="T15" i="5" s="1"/>
  <c r="T16" i="5" l="1"/>
  <c r="C17" i="5" l="1"/>
  <c r="B17" i="5"/>
  <c r="D17" i="5" s="1"/>
  <c r="G11" i="1"/>
  <c r="E11" i="1"/>
  <c r="H11" i="1" s="1"/>
  <c r="D11" i="1"/>
  <c r="V11" i="1" s="1"/>
  <c r="V17" i="5" l="1"/>
  <c r="H17" i="5"/>
  <c r="T17" i="5"/>
  <c r="K17" i="5"/>
  <c r="W11" i="1"/>
  <c r="J11" i="1"/>
  <c r="I11" i="1"/>
  <c r="O11" i="1"/>
  <c r="N11" i="1"/>
  <c r="M11" i="1"/>
  <c r="P11" i="1"/>
  <c r="T11" i="1"/>
  <c r="G9" i="1"/>
  <c r="F15" i="5" s="1"/>
  <c r="E9" i="1"/>
  <c r="H9" i="1" s="1"/>
  <c r="E15" i="5" s="1"/>
  <c r="D9" i="1"/>
  <c r="V9" i="1" s="1"/>
  <c r="I17" i="5" l="1"/>
  <c r="G17" i="5"/>
  <c r="S17" i="5" s="1"/>
  <c r="U17" i="5"/>
  <c r="L17" i="5"/>
  <c r="H15" i="5"/>
  <c r="G15" i="5"/>
  <c r="S15" i="5" s="1"/>
  <c r="V15" i="5"/>
  <c r="I15" i="5"/>
  <c r="K15" i="5"/>
  <c r="U15" i="5"/>
  <c r="L15" i="5"/>
  <c r="W9" i="1"/>
  <c r="P9" i="1"/>
  <c r="T9" i="1"/>
  <c r="I9" i="1"/>
  <c r="N9" i="1"/>
  <c r="M9" i="1"/>
  <c r="J9" i="1"/>
  <c r="O9" i="1"/>
  <c r="Q3" i="1" l="1"/>
  <c r="G10" i="1" l="1"/>
  <c r="E10" i="1"/>
  <c r="H10" i="1" s="1"/>
  <c r="D10" i="1"/>
  <c r="T10" i="1" s="1"/>
  <c r="H16" i="5" l="1"/>
  <c r="I16" i="5"/>
  <c r="G16" i="5"/>
  <c r="S16" i="5" s="1"/>
  <c r="V16" i="5"/>
  <c r="K16" i="5"/>
  <c r="U16" i="5"/>
  <c r="L16" i="5"/>
  <c r="P10" i="1"/>
  <c r="V10" i="1"/>
  <c r="W10" i="1"/>
  <c r="J10" i="1"/>
  <c r="I10" i="1"/>
  <c r="O10" i="1"/>
  <c r="N10" i="1"/>
  <c r="M10" i="1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3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3" i="1"/>
  <c r="T7" i="1" l="1"/>
  <c r="W13" i="1"/>
  <c r="G6" i="1" l="1"/>
  <c r="I13" i="5"/>
  <c r="S13" i="5"/>
  <c r="H13" i="5"/>
  <c r="K13" i="5"/>
  <c r="L13" i="5"/>
  <c r="U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1" i="1" s="1"/>
  <c r="L9" i="1" l="1"/>
  <c r="L10" i="1"/>
  <c r="C7" i="1"/>
  <c r="O13" i="1"/>
  <c r="I13" i="1"/>
  <c r="P13" i="1"/>
  <c r="J13" i="1"/>
  <c r="N13" i="1"/>
  <c r="Q7" i="1" l="1"/>
  <c r="M68" i="3" s="1"/>
  <c r="L7" i="1"/>
  <c r="G68" i="3" s="1"/>
  <c r="K68" i="3"/>
  <c r="J68" i="3"/>
  <c r="K13" i="1"/>
  <c r="M1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<sst xmlns="http://schemas.openxmlformats.org/spreadsheetml/2006/main" count="445" uniqueCount="363">
  <si>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</si>
  <si>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</si>
  <si>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</si>
  <si>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</si>
  <si>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</si>
  <si>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</si>
  <si>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</si>
  <si>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</si>
  <si>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</si>
  <si>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</si>
  <si>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</si>
  <si>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</si>
  <si>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</si>
  <si>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</si>
  <si>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</si>
  <si>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</si>
  <si>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</si>
  <si>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</si>
  <si>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</si>
  <si>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</si>
  <si>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</si>
  <si>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</si>
  <si>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</si>
  <si>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</si>
  <si>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</si>
  <si>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</si>
  <si>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</si>
  <si>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</si>
  <si>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</si>
  <si>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</si>
  <si>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</si>
  <si>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</si>
  <si>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</si>
  <si>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</si>
  <si>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</si>
  <si>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</si>
  <si>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</si>
  <si>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</si>
  <si>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</si>
  <si>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</si>
  <si>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</si>
  <si>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</si>
  <si>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</si>
  <si>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</si>
  <si>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</si>
  <si>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</si>
  <si>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</si>
  <si>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</si>
  <si>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</si>
  <si>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</si>
  <si>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</si>
  <si>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</si>
  <si>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</si>
  <si>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</si>
  <si>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</si>
  <si>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</si>
  <si>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</si>
  <si>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</si>
  <si>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</si>
  <si>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</si>
  <si>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</si>
  <si>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</si>
  <si>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</si>
  <si>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</si>
  <si>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</si>
  <si>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</si>
  <si>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</si>
  <si>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</si>
  <si>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</si>
  <si>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</si>
  <si>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</si>
  <si>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</si>
  <si>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</si>
  <si>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</si>
  <si>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</si>
  <si>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</si>
  <si>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</si>
  <si>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</si>
  <si>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</si>
  <si>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</si>
  <si>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</si>
  <si>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</si>
  <si>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</si>
  <si>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</si>
  <si>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</si>
  <si>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</si>
  <si>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</si>
  <si>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</si>
  <si>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</si>
  <si>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</si>
  <si>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</si>
  <si>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</si>
  <si>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</si>
  <si>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</si>
  <si>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</si>
  <si>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</si>
  <si>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</si>
  <si>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</si>
  <si>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</si>
  <si>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</si>
  <si>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</si>
  <si>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</si>
  <si>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</si>
  <si>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</si>
  <si>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</si>
  <si>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</si>
  <si>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</si>
  <si>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</si>
  <si>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</si>
  <si>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</si>
  <si>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</si>
  <si>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</si>
  <si>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</si>
  <si>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</si>
  <si>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</si>
  <si>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</si>
  <si>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</si>
  <si>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</si>
  <si>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</si>
  <si>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</si>
  <si>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</si>
  <si>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</si>
  <si>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</si>
  <si>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</si>
  <si>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</si>
  <si>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</si>
  <si>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</si>
  <si>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</si>
  <si>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</si>
  <si>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</si>
  <si>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</si>
  <si>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</si>
  <si>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</si>
  <si>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</si>
  <si>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</si>
  <si>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</si>
  <si>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</si>
  <si>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</si>
  <si>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</si>
  <si>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</si>
  <si>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</si>
  <si>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</si>
  <si>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</si>
  <si>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</si>
  <si>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</si>
  <si>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</si>
  <si>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</si>
  <si>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</si>
  <si>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</si>
  <si>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</si>
  <si>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</si>
  <si>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</si>
  <si>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</si>
  <si>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</si>
  <si>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</si>
  <si>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</si>
  <si>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</si>
  <si>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</si>
  <si>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</si>
  <si>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</si>
  <si>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</si>
  <si>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</si>
  <si>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</si>
  <si>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</si>
  <si>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</si>
  <si>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</si>
  <si>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</si>
  <si>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</si>
  <si>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</si>
  <si>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</si>
  <si>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</si>
  <si>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</si>
  <si>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</si>
  <si>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</si>
  <si>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</si>
  <si>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</si>
  <si>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</si>
  <si>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</si>
  <si>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</si>
  <si>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</si>
  <si>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</si>
  <si>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</si>
  <si>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</si>
  <si>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</si>
  <si>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</si>
  <si>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</si>
  <si>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</si>
  <si>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</si>
  <si>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</si>
  <si>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</si>
  <si>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</si>
  <si>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</si>
  <si>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</si>
  <si>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</si>
  <si>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</si>
  <si>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</si>
  <si>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</si>
  <si>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</si>
  <si>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</si>
  <si>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</si>
  <si>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</si>
  <si>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</si>
  <si>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</si>
  <si>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</si>
  <si>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</si>
  <si>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</si>
  <si>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</si>
  <si>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</si>
  <si>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</si>
  <si>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</si>
  <si>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</si>
  <si>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</si>
  <si>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</si>
  <si>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</si>
  <si>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</si>
  <si>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</si>
  <si>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</si>
  <si>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</si>
  <si>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</si>
  <si>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</si>
  <si>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</si>
  <si>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</si>
  <si>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</si>
  <si>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</si>
  <si>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</si>
  <si>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</si>
  <si>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</si>
  <si>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</si>
  <si>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</si>
  <si>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</si>
  <si>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</si>
  <si>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</si>
  <si>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</si>
  <si>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</si>
  <si>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</si>
  <si>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</si>
  <si>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</si>
  <si>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</si>
  <si>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</si>
  <si>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</si>
  <si>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</si>
  <si>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</si>
  <si>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</si>
  <si>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</si>
  <si>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</si>
  <si>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</si>
  <si>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</si>
  <si>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</si>
  <si>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</si>
  <si>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</si>
  <si>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</si>
  <si>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</si>
  <si>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</si>
  <si>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</si>
  <si>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</si>
  <si>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</si>
  <si>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</si>
  <si>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</si>
  <si>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</si>
  <si>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</si>
  <si>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</si>
  <si>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</si>
  <si>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</si>
  <si>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</si>
  <si>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</si>
  <si>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</si>
  <si>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</si>
  <si>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</si>
  <si>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</si>
  <si>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</si>
  <si>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</si>
  <si>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</si>
  <si>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</si>
  <si>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</si>
  <si>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</si>
  <si>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</si>
  <si>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</si>
  <si>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</si>
  <si>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</si>
  <si>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</si>
  <si>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</si>
  <si>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</si>
  <si>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</si>
  <si>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</si>
  <si>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</si>
  <si>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</si>
  <si>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</si>
  <si>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</si>
  <si>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</si>
  <si>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</si>
  <si>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</si>
  <si>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</si>
  <si>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</si>
  <si>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</si>
  <si>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</si>
  <si>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</si>
  <si>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</si>
  <si>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</si>
  <si>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</si>
  <si>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</si>
  <si>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</si>
  <si>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</si>
  <si>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</si>
  <si>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</si>
  <si>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</si>
  <si>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</si>
  <si>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</si>
  <si>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</si>
  <si>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</si>
  <si>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</si>
  <si>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</si>
  <si>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</si>
  <si>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</si>
  <si>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</si>
  <si>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</si>
  <si>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</si>
  <si>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</si>
  <si>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</si>
  <si>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</si>
  <si>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</si>
  <si>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</si>
  <si>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</si>
  <si>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</si>
  <si>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</si>
  <si>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</si>
  <si>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</si>
  <si>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</si>
  <si>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</si>
  <si>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</si>
  <si>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</si>
  <si>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</si>
  <si>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</si>
  <si>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</si>
  <si>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</si>
  <si>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</si>
  <si>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</si>
  <si>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</si>
  <si>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</si>
  <si>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</si>
  <si>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</si>
  <si>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</si>
  <si>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</si>
  <si>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</si>
  <si>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</si>
  <si>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</si>
  <si>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</si>
  <si>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</si>
  <si>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</si>
  <si>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</si>
  <si>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</si>
  <si>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</si>
  <si>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</si>
  <si>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</si>
  <si>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</si>
  <si>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Master.Common</t>
  </si>
  <si>
    <t>Master Common Devanning Case Type</t>
  </si>
  <si>
    <t>nvarchar(2)</t>
  </si>
  <si>
    <t>nvarchar(1)</t>
  </si>
  <si>
    <t>MstCmmShopType</t>
  </si>
  <si>
    <t>ShopType</t>
  </si>
  <si>
    <t>nvarchar(20)</t>
  </si>
  <si>
    <t>CODE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</si>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</sst>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ductTmv/prod/docs/design/loga/ekb/LgaEkbProgre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>
        <row r="12">
          <cell r="G12" t="str">
            <v/>
          </cell>
        </row>
      </sheetData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</v>
          </cell>
        </row>
        <row r="7">
          <cell r="A7" t="str">
            <v>smallint</v>
          </cell>
          <cell r="B7" t="str">
            <v>int</v>
          </cell>
        </row>
        <row r="8">
          <cell r="A8" t="str">
            <v>int</v>
          </cell>
          <cell r="B8" t="str">
            <v>int</v>
          </cell>
        </row>
        <row r="9">
          <cell r="A9" t="str">
            <v>bigint</v>
          </cell>
          <cell r="B9" t="str">
            <v>long</v>
          </cell>
        </row>
        <row r="10">
          <cell r="A10" t="str">
            <v>smallmoney</v>
          </cell>
          <cell r="B10" t="str">
            <v>decimal</v>
          </cell>
        </row>
        <row r="11">
          <cell r="A11" t="str">
            <v>money</v>
          </cell>
          <cell r="B11" t="str">
            <v>decimal</v>
          </cell>
        </row>
        <row r="12">
          <cell r="A12" t="str">
            <v>numeric</v>
          </cell>
          <cell r="B12" t="str">
            <v>decimal</v>
          </cell>
        </row>
        <row r="13">
          <cell r="A13" t="str">
            <v>decimal</v>
          </cell>
          <cell r="B13" t="str">
            <v>decimal</v>
          </cell>
        </row>
        <row r="14">
          <cell r="A14" t="str">
            <v>real</v>
          </cell>
          <cell r="B14" t="str">
            <v>decimal</v>
          </cell>
        </row>
        <row r="15">
          <cell r="A15" t="str">
            <v>float</v>
          </cell>
          <cell r="B15" t="str">
            <v>decimal</v>
          </cell>
        </row>
        <row r="16">
          <cell r="A16" t="str">
            <v>smalldatetime</v>
          </cell>
          <cell r="B16" t="str">
            <v>DateTime</v>
          </cell>
        </row>
        <row r="17">
          <cell r="A17" t="str">
            <v>datetime</v>
          </cell>
          <cell r="B17" t="str">
            <v>DateTime</v>
          </cell>
        </row>
        <row r="18">
          <cell r="A18" t="str">
            <v>datetime2</v>
          </cell>
          <cell r="B18" t="str">
            <v>DateTime</v>
          </cell>
        </row>
        <row r="19">
          <cell r="A19" t="str">
            <v>date</v>
          </cell>
          <cell r="B19" t="str">
            <v>DateTime</v>
          </cell>
        </row>
        <row r="20">
          <cell r="A20" t="str">
            <v>time</v>
          </cell>
          <cell r="B20" t="str">
            <v>TimeSpan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16" zoomScaleNormal="100" workbookViewId="0">
      <selection activeCell="E48" sqref="E48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D18" t="s">
        <v>351</v>
      </c>
      <c r="F18" s="1" t="s">
        <v>353</v>
      </c>
      <c r="G18" s="17" t="s">
        <v>352</v>
      </c>
    </row>
    <row r="19" spans="1:7" x14ac:dyDescent="0.2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2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2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2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2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2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2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2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2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2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2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2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2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2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2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2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2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2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2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2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2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2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2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25">
      <c r="A42" s="1"/>
      <c r="B42" s="17"/>
      <c r="C42" t="s">
        <v>325</v>
      </c>
      <c r="F42" s="1" t="s">
        <v>338</v>
      </c>
      <c r="G42" s="17" t="s">
        <v>338</v>
      </c>
    </row>
    <row r="43" spans="1:8" x14ac:dyDescent="0.25">
      <c r="A43" s="1"/>
      <c r="B43" s="17"/>
      <c r="D43" t="s">
        <v>326</v>
      </c>
      <c r="F43" s="1" t="s">
        <v>332</v>
      </c>
      <c r="G43" s="17" t="s">
        <v>339</v>
      </c>
    </row>
    <row r="44" spans="1:8" x14ac:dyDescent="0.25">
      <c r="A44" s="1"/>
      <c r="B44" s="17"/>
      <c r="D44" t="s">
        <v>328</v>
      </c>
      <c r="F44" s="1" t="s">
        <v>333</v>
      </c>
      <c r="G44" s="17" t="s">
        <v>340</v>
      </c>
    </row>
    <row r="45" spans="1:8" x14ac:dyDescent="0.25">
      <c r="A45" s="1"/>
      <c r="B45" s="17"/>
      <c r="D45" t="s">
        <v>327</v>
      </c>
      <c r="F45" s="1" t="s">
        <v>334</v>
      </c>
      <c r="G45" s="17" t="s">
        <v>341</v>
      </c>
    </row>
    <row r="46" spans="1:8" x14ac:dyDescent="0.25">
      <c r="A46" s="1"/>
      <c r="B46" s="17"/>
      <c r="D46" t="s">
        <v>330</v>
      </c>
      <c r="F46" s="1" t="s">
        <v>335</v>
      </c>
      <c r="G46" s="17" t="s">
        <v>342</v>
      </c>
    </row>
    <row r="47" spans="1:8" x14ac:dyDescent="0.25">
      <c r="A47" s="1"/>
      <c r="B47" s="17"/>
      <c r="D47" t="s">
        <v>348</v>
      </c>
      <c r="F47" s="1" t="s">
        <v>349</v>
      </c>
      <c r="G47" s="17" t="s">
        <v>350</v>
      </c>
    </row>
    <row r="48" spans="1:8" x14ac:dyDescent="0.25">
      <c r="A48" s="1"/>
      <c r="B48" s="17"/>
      <c r="D48" t="s">
        <v>331</v>
      </c>
      <c r="F48" s="1" t="s">
        <v>336</v>
      </c>
      <c r="G48" s="17" t="s">
        <v>343</v>
      </c>
    </row>
    <row r="49" spans="1:7" x14ac:dyDescent="0.25">
      <c r="A49" s="1"/>
      <c r="B49" s="17"/>
      <c r="D49" t="s">
        <v>329</v>
      </c>
      <c r="F49" s="1" t="s">
        <v>337</v>
      </c>
      <c r="G49" s="17" t="s">
        <v>344</v>
      </c>
    </row>
    <row r="50" spans="1:7" x14ac:dyDescent="0.25">
      <c r="A50" s="1"/>
      <c r="B50" s="17"/>
      <c r="D50" t="s">
        <v>345</v>
      </c>
      <c r="F50" s="1" t="s">
        <v>346</v>
      </c>
      <c r="G50" s="17" t="s">
        <v>347</v>
      </c>
    </row>
    <row r="51" spans="1:7" x14ac:dyDescent="0.25">
      <c r="A51" s="1"/>
      <c r="B51" s="17"/>
    </row>
    <row r="52" spans="1:7" x14ac:dyDescent="0.25">
      <c r="A52" s="1"/>
      <c r="B52" s="17" t="s">
        <v>86</v>
      </c>
    </row>
    <row r="53" spans="1:7" x14ac:dyDescent="0.25">
      <c r="A53" s="1"/>
      <c r="B53" s="17" t="s">
        <v>83</v>
      </c>
    </row>
    <row r="54" spans="1:7" x14ac:dyDescent="0.25">
      <c r="A54" s="1"/>
      <c r="B54" s="17"/>
      <c r="C54" s="19" t="s">
        <v>80</v>
      </c>
    </row>
    <row r="55" spans="1:7" x14ac:dyDescent="0.25">
      <c r="A55" s="1"/>
      <c r="B55" s="17"/>
      <c r="C55" s="18" t="s">
        <v>81</v>
      </c>
    </row>
    <row r="56" spans="1:7" x14ac:dyDescent="0.25">
      <c r="A56" s="1"/>
      <c r="B56" s="17"/>
      <c r="C56" s="18" t="s">
        <v>82</v>
      </c>
    </row>
    <row r="57" spans="1:7" x14ac:dyDescent="0.25">
      <c r="A57" s="1"/>
      <c r="B57" s="17" t="s">
        <v>106</v>
      </c>
      <c r="C57" s="18"/>
    </row>
    <row r="58" spans="1:7" x14ac:dyDescent="0.25">
      <c r="A58" s="1"/>
      <c r="B58" s="17"/>
      <c r="C58" s="18" t="s">
        <v>107</v>
      </c>
    </row>
    <row r="59" spans="1:7" x14ac:dyDescent="0.25">
      <c r="A59" s="1"/>
      <c r="B59" s="17"/>
      <c r="C59" s="18" t="s">
        <v>108</v>
      </c>
    </row>
    <row r="60" spans="1:7" x14ac:dyDescent="0.25">
      <c r="A60" s="1"/>
      <c r="B60" s="17"/>
      <c r="C60" s="18" t="s">
        <v>109</v>
      </c>
    </row>
    <row r="61" spans="1:7" x14ac:dyDescent="0.25">
      <c r="A61" s="1"/>
      <c r="B61" s="17"/>
      <c r="C61" s="18" t="s">
        <v>111</v>
      </c>
    </row>
    <row r="62" spans="1:7" x14ac:dyDescent="0.25">
      <c r="A62" s="1"/>
      <c r="B62" s="17"/>
      <c r="C62" s="18" t="s">
        <v>113</v>
      </c>
    </row>
    <row r="63" spans="1:7" x14ac:dyDescent="0.25">
      <c r="A63" s="1"/>
      <c r="B63" s="17"/>
      <c r="C63" s="18" t="s">
        <v>112</v>
      </c>
    </row>
    <row r="64" spans="1:7" x14ac:dyDescent="0.25">
      <c r="A64" s="1"/>
      <c r="B64" s="17"/>
      <c r="C64" s="18" t="s">
        <v>110</v>
      </c>
    </row>
    <row r="65" spans="2:14" ht="21" customHeight="1" x14ac:dyDescent="0.25">
      <c r="B65" s="21" t="s">
        <v>78</v>
      </c>
    </row>
    <row r="66" spans="2:14" ht="21" customHeight="1" x14ac:dyDescent="0.25">
      <c r="B66" s="63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3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[Table("MstCmmShopType")]
	[Index(nameof(Code), Name="IX_MstCmmShopType_Code")]
	[Index(nameof(IsActive), Name="IX_MstCmmShopType_IsActive")]	public class MstCmmShopType: FullAuditedEntity&lt;long&gt;, IEntity&lt;long&gt;	
	{
		public const int MaxCodeLength = 2;
		public const int MaxNameLength = 20;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D68" s="51" t="str">
        <f>A.Backend!O7</f>
        <v xml:space="preserve">		public const string Pages_Master_Common_ShopType = "Pages.Master.Common.ShopType";
		public const string Pages_Master_Common_ShopType_CreateEdit = "Pages.Master.Common.ShopType.CreateEdit";
		public const string Pages_Master_Common_ShopType_Delete = "Pages.Master.Common.ShopType.Delete";
</v>
      </c>
      <c r="E68" s="51" t="str">
        <f>A.Backend!N7</f>
        <v xml:space="preserve">		var perMstCmmShopType = PARENTS.CreateChildPermission(AppPermissions.Pages_Master_Common_ShopType, L( "MasterCommonShopType"), multiTenancySides: MultiTenancySides.Tenant);
		perMstCmmShopType.CreateChildPermission(AppPermissions.Pages_Master_Common_ShopType_CreateEdit, L( "MasterCommonShopTypeCreateEdit"), multiTenancySides: MultiTenancySides.Tenant);
		perMstCmmShopType.CreateChildPermission(AppPermissions.Pages_Master_Common_ShopType_Delete, L( "MasterCommonShopTypeDelete"), multiTenancySides: MultiTenancySides.Tenant);</v>
      </c>
      <c r="F68" s="51" t="str">
        <f>A.Backend!K7</f>
        <v>public virtual DbSet&lt;MstCmmShopType&gt; MstCmmShopTypes { get; set; }</v>
      </c>
      <c r="G68" s="51" t="str">
        <f ca="1">A.Backend!L7</f>
        <v xml:space="preserve">namespace prod.Master.Common
{
	public class MstCmmShopTypeConsts	
	{
		public const int MaxCodeLength = 2;
		public const int MaxNameLength = 20;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prod.Master.Common.Dto
{
	public class MstCmmShopTypeDto : EntityDto&lt;long?&gt;	
	{
		public virtual string Code { get; set; }
		public virtual string Name { get; set; }
		public virtual string IsActive { get; set; }
	}
	public class CreateOrEditMstCmmShopTypeDto : EntityDto&lt;long?&gt;	
	{
		[StringLength(MstCmmShopTypeConsts.MaxCodeLength)]
		public virtual string Code { get; set; }
		[StringLength(MstCmmShopTypeConsts.MaxNameLength)]
		public virtual string Name { get; set; }
		[StringLength(MstCmmShopTypeConsts.MaxIsActiveLength)]
		public virtual string IsActive { get; set; }
	}
	public class GetMstCmmShopTypeInput : PagedAndSortedResultRequestDto	
	{
		public virtual string Code { get; set; }
		public virtual string Name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prod.Master.Common.Dto
{
	public class MstCmmShopTypeExportInput{
		public virtual string Code { get; set; }
		public virtual string Name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vovina.Master.Common.Dto;
namespace prod.Master.Common
{
	public interface IMstCmmShopTypeAppService : IApplicationService
	{
		Task&lt;PagedResultDto&lt;MstCmmShopTypeDto&gt;&gt; GetAll(GetMstCmmShopTypeInput input);
		Task CreateOrEdit(CreateOrEditMstCmmShopTypeDto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IMstCmmShopTypeExcelExporter : IApplicationService
	{
		FileDto ExportToFile(List&lt;MstCmmShopTypeDto&gt; mstcmmshoptype);
	}
}
</v>
      </c>
      <c r="L68" s="51" t="str">
        <f ca="1">A.Backend!T7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MstCmmShopTypeExcelExporter : NpoiExcelExporterBase, IMstCmmShopTypeExcelExporter
    {
        public MstCmmShopTypeExcelExporter(ITempFileCacheManager tempFileCacheManager) : base(tempFileCacheManager) { }
        public FileDto ExportToFile(List&lt;MstCmmShopTypeDto&gt; shoptype)
        {
            return CreateExcelPackage(
				"MasterCommonShopType.xlsx",
				excelPackage =&gt;
				 {
					var sheet = excelPackage.CreateSheet("ShopType");
					AddHeader(
								sheet,
								("Code"),
								("Name"),
								("IsActive"),
							   );
					AddObjects(
						 sheet, 1, shoptype,                                       
								_ =&gt; _.Code,
								_ =&gt; _.Name,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[AbpAuthorize(AppPermissions.Pages_Master_Common_ShopType)]
    public class MstCmmShopTypeAppService : vovinaAppServiceBase, IMstCmmShopTypeAppService
    {
        private readonly IDapperRepository&lt;MstCmmShopType, long&gt; _dapperRepo;
        private readonly IRepository&lt;MstCmmShopType, long&gt; _repo;
        private readonly IMstCmmShopTypeExcelExporter _calendarListExcelExporter;
        public MstCmmShopTypeAppService(IRepository&lt;MstCmmShopType,long&gt; repo, 
                                         IDapperRepository&lt;MstCmmShopType,long&gt; dapperRepo,
                                        IMstCmmShopTypeExcelExporter calendarListExcelExporter
            )
        {
            _repo = repo;
            _dapperRepo = dapperRepo;
            _calendarListExcelExporter = calendarListExcelExporter;
        }
        [AbpAuthorize(AppPermissions.Pages_Master_Common_ShopType_CreateEdit)]
        public async Task CreateOrEdit(CreateOrEditMstCmmShopTypeDto input)
        {
            if (input.Id == null) await Create(input);
            else await Update(input);
        }
        //CREATE
        private async Task Create(CreateOrEditMstCmmShopTypeDto input)
        {          
            var mainObj = ObjectMapper.Map&lt;MstCmmShopType&gt;(input);
            await CurrentUnitOfWork.GetDbContext&lt;vovinaDbContext&gt;().AddAsync(mainObj);
        }
        // EDIT
        private async Task Update(CreateOrEditMstCmmShopTypeDto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[AbpAuthorize(AppPermissions.Pages_Master_Common_ShopType_Delete)]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Task&lt;PagedResultDto&lt;MstCmmShopTypeDto&gt;&gt; GetAll(GetMstCmmShopTypeInput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MstCmmShopTypeDto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PagedResultDto&lt;MstCmmShopTypeDto&gt;(
                totalCount,
                 await paged.ToListAsync()
            );
        }
        public async Task&lt;FileDto&gt; GetShopTypeToExcel(MstCmmShopTypeExportInput input)
        {
            var query = from o in _repo.GetAll()
                        select new MstCmmShopTypeDto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_dapperRepo.ExecuteAsync(MstCmmShopTypeConsts.SP_MST_WPT_CALENDAR_GENERATE);
       // }
    }
}</v>
      </c>
      <c r="N68" s="62" t="str">
        <f>A.Backend!U7</f>
        <v xml:space="preserve">  configuration.CreateMap&lt;MstCmmShopTypeDto, MstCmmShopType&gt;();
  configuration.CreateMap&lt;MstCmmShopType, MstCmmShopTypeDto&gt;();
  configuration.CreateMap&lt;CreateOrEditMstCmmShopTypeDto, MstCmmShopType&gt;();</v>
      </c>
    </row>
    <row r="69" spans="2:14" s="16" customFormat="1" ht="21.75" customHeight="1" x14ac:dyDescent="0.2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2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25">
      <c r="C71" s="29"/>
      <c r="D71" s="29"/>
      <c r="E71" s="29"/>
      <c r="G71" s="29"/>
      <c r="H71" s="29"/>
    </row>
    <row r="72" spans="2:14" x14ac:dyDescent="0.25">
      <c r="B72" s="1" t="s">
        <v>73</v>
      </c>
    </row>
    <row r="73" spans="2:14" ht="21" x14ac:dyDescent="0.35">
      <c r="B73" t="str">
        <f>B.Frontend!B8</f>
        <v>shoptype</v>
      </c>
      <c r="C73" s="72" t="str">
        <f>"create folder " &amp;B73</f>
        <v>create folder shoptype</v>
      </c>
      <c r="D73" s="72"/>
      <c r="E73" s="72"/>
      <c r="F73" s="72"/>
      <c r="G73" s="72"/>
      <c r="H73" s="72"/>
      <c r="I73" s="72"/>
      <c r="J73" s="72"/>
      <c r="K73" s="73" t="s">
        <v>228</v>
      </c>
      <c r="L73" s="73"/>
      <c r="M73" s="31"/>
    </row>
    <row r="74" spans="2:14" s="28" customFormat="1" ht="18" customHeight="1" x14ac:dyDescent="0.25">
      <c r="B74" s="60" t="s">
        <v>229</v>
      </c>
      <c r="C74" s="31" t="str">
        <f>B.Frontend!H14</f>
        <v>shoptype.component.ts</v>
      </c>
      <c r="D74" s="31" t="str">
        <f>B.Frontend!I14</f>
        <v>shoptype.component.html</v>
      </c>
      <c r="E74" s="31" t="str">
        <f>B.Frontend!J14</f>
        <v>shoptype.component.less</v>
      </c>
      <c r="F74" s="31" t="str">
        <f>B.Frontend!K14</f>
        <v>create-or-edit-shoptype-modal.component.html</v>
      </c>
      <c r="G74" s="31" t="str">
        <f>B.Frontend!L14</f>
        <v>create-or-edit-shoptype-modal.component.ts</v>
      </c>
      <c r="H74" s="31" t="str">
        <f>B.Frontend!M14</f>
        <v>create-or-edit-shoptype-modal.component.less</v>
      </c>
      <c r="I74" s="31" t="str">
        <f>B.Frontend!N14</f>
        <v>shoptype.module.ts</v>
      </c>
      <c r="J74" s="31" t="str">
        <f>B.Frontend!O14</f>
        <v>shoptype-routing.module.ts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2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MstCmmShopTypeDto, MstCmmShopTypeServiceProxy } from '@shared/service-proxies/service-proxies';
import { finalize } from 'rxjs/internal/operators/finalize';
import { CreateOrEditShopTypeModalComponent } from './create-or-edit-shoptype-modal.component';
import { DatePipe } from '@angular/common';
import { FileDownloadService } from '@shared/utils/file-download.service';
import ceil from 'lodash-es/ceil';
import { Paginator } from 'primeng/paginator';
@Component({
    templateUrl: './shoptype.component.html',
    styleUrls: ['./shoptype.component.less'],
})
export class ShopTypeComponent extends AppComponentBase implements OnInit {
    @ViewChild('createOrEditModalShopType', { static: true }) createOrEditModalShopType:| CreateOrEditShopTypeModalComponent|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MstCmmShopTypeDto = new MstCmmShopTypeDto();
    saveSelectedRow: MstCmmShopTypeDto = new MstCmmShopTypeDto();
    datas: MstCmmShopTypeDto = new MstCmmShopTypeDto();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MstCmmShopTypeServiceProxy,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MstCmmShopTypeDto[] } }) {
        this.saveSelectedRow = params.api.getSelectedRows()[0] ?? new MstCmmShopTypeDto();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MstCmmShopTypeDto):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this._service.getShopTypeToExcel(
			this.code,
			this.name,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Devanning Case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(click)="createOrEditModalShopType.show()"&gt;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(click)="createOrEditModalShopType.show(selectedRow)"&gt;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&lt;create-or-edit-shoptype-modal
    #createOrEditModalShopType
    (modalSave)="callBackDataGrid(dataParams)"
    (modalClose)="onChangeRowSelection(dataParams)"
&gt;
&lt;/create-or-edit-shoptype-modal&gt;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#createOrEditModalShopType="bs-modal"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ShopType')}}&lt;/h3&gt;
                    &lt;h3 *ngIf="!rowdata.id"&gt;{{('Create New ShopType')}}&lt;/h3&gt;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CreateOrEditMstCmmShopTypeDto, MstCmmShopTypeServiceProxy } from '@shared/service-proxies/service-proxies';
import { BsDatepickerDirective } from 'ngx-bootstrap/datepicker';
@Component({
    selector: 'create-or-edit-shoptype-modal',
    templateUrl: './create-or-edit-shoptype-modal.component.html',
    styleUrls: ['./create-or-edit-shoptype-modal.component.less']
    })
export class CreateOrEditShopTypeModalComponent extends AppComponentBase {
    @ViewChild('createOrEditModalShopType',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CreateOrEditMstCmmShopTypeDto = new CreateOrEditMstCmmShopTypeDto();
    active: boolean = false;
    saving: boolean = false;
    _isActive: boolean;
    constructor(
        injector: Injector,
        private _mstwptShopTypeService: MstCmmShopTypeServiceProxy,
    ) 
    {
        super(injector);
    }
    show(rowdata?: CreateOrEditMstCmmShopTypeDto): void {
        if (!rowdata) this.rowdata = new CreateOrEditMstCmmShopTypeDto();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this._mstwptShopTypeService.createOrEdit(this.rowdata)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ShopTypeRoutingModule } from './shoptype-routing.module';
import { ShopTypeComponent } from './shoptype.component';
import { CreateOrEditShopTypeModalComponent } from './create-or-edit-shoptype-modal.component';
@NgModule({
    declarations: [
       ShopTypeComponent, 
        CreateOrEditShopTypeModalComponent
    ],
    imports: [
        AppSharedModule, ShopTypeRoutingModule]
})
export class ShopTypeModule {}</v>
      </c>
      <c r="J75" s="49" t="str">
        <f>B.Frontend!O10</f>
        <v>import {NgModule} from '@angular/core';
import {RouterModule, Routes} from '@angular/router';
import { ShopTypeComponent } from './shoptype.component';
const routes: Routes = [{
    path: '',
    component: ShopTypeComponent,
    pathMatch: 'full'
}];
@NgModule({
    imports: [RouterModule.forChild(routes)],
    exports: [RouterModule],
})
export class ShopTypeRoutingModule {}</v>
      </c>
      <c r="K75" s="49" t="str">
        <f>B.Frontend!P10</f>
        <v xml:space="preserve"> new AppMenuItem("ShopType", "Pages.Master.Common.ShopType", "flaticon-book",   "/app/main/master/common/shoptype"),</v>
      </c>
      <c r="L75" s="50" t="str">
        <f>B.Frontend!Q10</f>
        <v>{
    path: 'master/common/shoptype',
    loadChildren: () =&gt; import('./master/common/shoptype/shoptype.module').then(m =&gt; m.ShopTypeModule),
    data: { permission: 'Pages.Master.Common.ShopType' }
},</v>
      </c>
      <c r="M75" s="48" t="str">
        <f>B.Frontend!R10</f>
        <v>ApiServiceProxies.MstCmmShopTypeServiceProxy,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3"/>
  <sheetViews>
    <sheetView tabSelected="1" workbookViewId="0">
      <pane xSplit="1" topLeftCell="B1" activePane="topRight" state="frozen"/>
      <selection pane="topRight" activeCell="G13" sqref="G1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vovina.Master.Common.Dto;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354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358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Common</v>
      </c>
      <c r="R3" s="32" t="str">
        <f>REPT(CHAR(9),1)&amp;"public class "&amp;B3&amp;"ExportInput"&amp;C3</f>
        <v xml:space="preserve">	public class MstCmmShopTypeExportInput{
</v>
      </c>
      <c r="S3" s="11" t="str">
        <f>"namespace "&amp;$B$6&amp;".Exporting
"&amp;$C$3</f>
        <v xml:space="preserve">namespace prod.Master.Common.Exporting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359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4.95" customHeight="1" x14ac:dyDescent="0.25">
      <c r="A6" s="1" t="s">
        <v>6</v>
      </c>
      <c r="B6" s="10" t="str">
        <f>"prod."&amp;B2</f>
        <v>prod.Master.Common</v>
      </c>
      <c r="C6" s="11" t="str">
        <f>"namespace "&amp;$B$6&amp;"
"&amp;$C$3</f>
        <v xml:space="preserve">namespace prod.Master.Common
{
</v>
      </c>
      <c r="D6" s="11" t="str">
        <f>REPT(CHAR(9),1)&amp;"public class "&amp;B3&amp;G3&amp;REPT(CHAR(9),1)&amp;"
"&amp;REPT(CHAR(9),1)&amp;C3</f>
        <v xml:space="preserve">	public class MstCmmShopType: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MstCmmShopTypeConsts	
	{
</v>
      </c>
      <c r="F6" s="11" t="str">
        <f>REPT(CHAR(9),1)&amp;"public class "&amp;B3&amp;"Dto"&amp;K3&amp;REPT(CHAR(9),1)&amp;"
"&amp;REPT(CHAR(9),1)&amp;C3</f>
        <v xml:space="preserve">	public class MstCmmShopTypeDto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CreateOrEditMstCmmShopTypeDto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GetMstCmmShopTypeInput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4.95" customHeight="1" x14ac:dyDescent="0.25">
      <c r="A7" s="1" t="s">
        <v>13</v>
      </c>
      <c r="B7" s="10" t="str">
        <f>B3</f>
        <v>MstCmmShopType</v>
      </c>
      <c r="C7" s="11" t="str">
        <f>REPT(CHAR(9),1)&amp;"[Table("""&amp;B7&amp;""")]"&amp;"
"</f>
        <v xml:space="preserve">	[Table("MstCmmShopType")]
</v>
      </c>
      <c r="D7" s="11"/>
      <c r="E7" s="11"/>
      <c r="F7" s="11"/>
      <c r="G7" s="11"/>
      <c r="H7" s="11"/>
      <c r="I7" s="11"/>
      <c r="J7" s="6" t="str">
        <f ca="1">SUBSTITUTE(SUBSTITUTE((B1&amp;C6&amp;C7&amp;K13&amp;D6&amp;I13&amp;E3&amp;J13&amp;""&amp;REPT(CHAR(9),1)&amp;D3&amp;D3),"WorkingPattern",$Q$3),"Master",$B$4)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prod.Master.Common
{
	[Table("MstCmmShopType")]
	[Index(nameof(Code), Name="IX_MstCmmShopType_Code")]
	[Index(nameof(IsActive), Name="IX_MstCmmShopType_IsActive")]	public class MstCmmShopType: FullAuditedEntity&lt;long&gt;, IEntity&lt;long&gt;	
	{
		public const int MaxCodeLength = 2;
		public const int MaxNameLength = 20;
		public const int MaxIsActiveLength = 1;
		[StringLength(MaxCodeLength)]
		public virtual string Code { get; set; }
		[StringLength(MaxNameLength)]
		public virtual string Name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DbSet&lt;MstCmmShopType&gt; MstCmmShopTypes { get; set; }</v>
      </c>
      <c r="L7" t="str">
        <f ca="1">SUBSTITUTE(SUBSTITUTE((C6&amp;E6&amp;I13&amp;"
"&amp;REPT(CHAR(9),2)&amp;"// Define Store Name: Format SP_ + &lt;Store Name&gt; = &lt;Store Name&gt;
"&amp;E3&amp;REPT(CHAR(9),1)&amp;D3&amp;D3),"WorkingPattern",$Q$3),"Master",$B$4)</f>
        <v xml:space="preserve">namespace prod.Master.Common
{
	public class MstCmmShopTypeConsts	
	{
		public const int MaxCodeLength = 2;
		public const int MaxNameLength = 20;
		public const int MaxIsActiveLength = 1;
		// Define Store Name: Format SP_ + &lt;Store Name&gt; = &lt;Store Name&gt;
	}
}
</v>
      </c>
      <c r="M7" t="str">
        <f ca="1">SUBSTITUTE(SUBSTITUTE((C1&amp;"namespace "&amp;B6&amp;".Dto"&amp;E3&amp;C3&amp;F6&amp;M13&amp;E3&amp;REPT(CHAR(9),1)&amp;D3&amp;G6&amp;N13&amp;REPT(CHAR(9),1)&amp;D3&amp;H6&amp;O13&amp;"
"&amp;REPT(CHAR(9),1)&amp;D3&amp;D3),"WorkingPattern",$Q$3),"Master",$B$4)</f>
        <v xml:space="preserve">using Abp.Application.Services.Dto;
using System;
using System.ComponentModel.DataAnnotations;
namespace prod.Master.Common.Dto
{
	public class MstCmmShopTypeDto : EntityDto&lt;long?&gt;	
	{
		public virtual string Code { get; set; }
		public virtual string Name { get; set; }
		public virtual string IsActive { get; set; }
	}
	public class CreateOrEditMstCmmShopTypeDto : EntityDto&lt;long?&gt;	
	{
		[StringLength(MstCmmShopTypeConsts.MaxCodeLength)]
		public virtual string Code { get; set; }
		[StringLength(MstCmmShopTypeConsts.MaxNameLength)]
		public virtual string Name { get; set; }
		[StringLength(MstCmmShopTypeConsts.MaxIsActiveLength)]
		public virtual string IsActive { get; set; }
	}
	public class GetMstCmmShopTypeInput : PagedAndSortedResultRequestDto	
	{
		public virtual string Code { get; set; }
		public virtual string Name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perMstCmmShopType = PARENTS.CreateChildPermission(AppPermissions.Pages_Master_Common_ShopType, L( "MasterCommonShopType"), multiTenancySides: MultiTenancySides.Tenant);
		perMstCmmShopType.CreateChildPermission(AppPermissions.Pages_Master_Common_ShopType_CreateEdit, L( "MasterCommonShopTypeCreateEdit"), multiTenancySides: MultiTenancySides.Tenant);
		perMstCmmShopType.CreateChildPermission(AppPermissions.Pages_Master_Common_ShopType_Delete, L( "MasterCommonShopTypeDelete"),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Pages_Master_Common_ShopType = "Pages.Master.Common.ShopType";
		public const string Pages_Master_Common_ShopType_CreateEdit = "Pages.Master.Common.ShopType.CreateEdit";
		public const string Pages_Master_Common_ShopType_Delete = "Pages.Master.Common.ShopType.Delete";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
{
	public interface IMstCmmShopTypeAppService : IApplicationService
	{
		Task&lt;PagedResultDto&lt;MstCmmShopTypeDto&gt;&gt; GetAll(GetMstCmmShopTypeInput input);
		Task CreateOrEdit(CreateOrEditMstCmmShopTypeDto input);
		Task Delete(EntityDto input);
	}
}
</v>
      </c>
      <c r="Q7" t="str">
        <f ca="1">SUBSTITUTE(SUBSTITUTE(SUBSTITUTE(SUBSTITUTE(SUBSTITUTE(SUBSTITUTE(E1,"MstWptCalendar",$B$3),"&lt;PROPERTIES&gt;",P13),"Calendar",$B$5),"WorkingPattern",$Q$3),"Master",$B$4),"&lt;PARAMS_SEARCH&gt;",$W$13)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vovina.Master.Common.Dto;
using vovina.Master.Common.Exporting;
namespace vovina.Master.Common
{
    [AbpAuthorize(AppPermissions.Pages_Master_Common_ShopType)]
    public class MstCmmShopTypeAppService : vovinaAppServiceBase, IMstCmmShopTypeAppService
    {
        private readonly IDapperRepository&lt;MstCmmShopType, long&gt; _dapperRepo;
        private readonly IRepository&lt;MstCmmShopType, long&gt; _repo;
        private readonly IMstCmmShopTypeExcelExporter _calendarListExcelExporter;
        public MstCmmShopTypeAppService(IRepository&lt;MstCmmShopType,long&gt; repo, 
                                         IDapperRepository&lt;MstCmmShopType,long&gt; dapperRepo,
                                        IMstCmmShopTypeExcelExporter calendarListExcelExporter
            )
        {
            _repo = repo;
            _dapperRepo = dapperRepo;
            _calendarListExcelExporter = calendarListExcelExporter;
        }
        [AbpAuthorize(AppPermissions.Pages_Master_Common_ShopType_CreateEdit)]
        public async Task CreateOrEdit(CreateOrEditMstCmmShopTypeDto input)
        {
            if (input.Id == null) await Create(input);
            else await Update(input);
        }
        //CREATE
        private async Task Create(CreateOrEditMstCmmShopTypeDto input)
        {          
            var mainObj = ObjectMapper.Map&lt;MstCmmShopType&gt;(input);
            await CurrentUnitOfWork.GetDbContext&lt;vovinaDbContext&gt;().AddAsync(mainObj);
        }
        // EDIT
        private async Task Update(CreateOrEditMstCmmShopTypeDto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[AbpAuthorize(AppPermissions.Pages_Master_Common_ShopType_Delete)]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Task&lt;PagedResultDto&lt;MstCmmShopTypeDto&gt;&gt; GetAll(GetMstCmmShopTypeInput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MstCmmShopTypeDto
                        {
							Id = o.Id,
							Code = o.Code,
							Name = o.Name,
							IsActive = o.IsActive,
                        };
            var totalCount = await filtered.CountAsync();
			var paged = system.PageBy(input);
            return new PagedResultDto&lt;MstCmmShopTypeDto&gt;(
                totalCount,
                 await paged.ToListAsync()
            );
        }
        public async Task&lt;FileDto&gt; GetShopTypeToExcel(MstCmmShopTypeExportInput input)
        {
            var query = from o in _repo.GetAll()
                        select new MstCmmShopTypeDto
                        {
							Id = o.Id,
							Code = o.Code,
							Name = o.Name,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_dapperRepo.ExecuteAsync(MstCmmShopTypeConsts.SP_MST_WPT_CALENDAR_GENERATE);
       // }
    }
}</v>
      </c>
      <c r="R7" t="str">
        <f ca="1">SUBSTITUTE(SUBSTITUTE((C1&amp;"namespace "&amp;B6&amp;".Dto"&amp;E3&amp;C3&amp;R3&amp;M13&amp;E3&amp;REPT(CHAR(9),1)&amp;D3&amp;D3),"WorkingPattern",$Q$3),"Master",$B$4)</f>
        <v xml:space="preserve">using Abp.Application.Services.Dto;
using System;
using System.ComponentModel.DataAnnotations;
namespace prod.Master.Common.Dto
{
	public class MstCmmShopTypeExportInput{
		public virtual string Code { get; set; }
		public virtual string Name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vovina.Master.Common.Dto;
namespace prod.Master.Common.Exporting
{
	public interface IMstCmmShopTypeExcelExporter : IApplicationService
	{
		FileDto ExportToFile(List&lt;MstCmmShopTypeDto&gt; mstcmmshoptype);
	}
}
</v>
      </c>
      <c r="T7" s="28" t="str">
        <f ca="1">SUBSTITUTE(SUBSTITUTE(SUBSTITUTE(SUBSTITUTE(SUBSTITUTE(SUBSTITUTE(SUBSTITUTE(T1,"MstWptCalendar",$B$3),"&lt;PROPERTIES1&gt;",V13),"&lt;PROPERTIES&gt;",T13),"Calendar",$B$5),"calendar",LOWER(B5)),"WorkingPattern",$Q$3),"Master",$B$4)</f>
        <v>using System.Collections.Generic;
using vovina.DataExporting.Excel.NPOI;
using vovina.Dto;
using vovina.Master.Common.Exporting;
using vovina.Master.Common.Dto;
using vovina.Storage;
using vovina.Master.Common.Dto;
namespace vovina.Master.Common.Exporting
{
    public class MstCmmShopTypeExcelExporter : NpoiExcelExporterBase, IMstCmmShopTypeExcelExporter
    {
        public MstCmmShopTypeExcelExporter(ITempFileCacheManager tempFileCacheManager) : base(tempFileCacheManager) { }
        public FileDto ExportToFile(List&lt;MstCmmShopTypeDto&gt; shoptype)
        {
            return CreateExcelPackage(
				"MasterCommonShopType.xlsx",
				excelPackage =&gt;
				 {
					var sheet = excelPackage.CreateSheet("ShopType");
					AddHeader(
								sheet,
								("Code"),
								("Name"),
								("IsActive"),
							   );
					AddObjects(
						 sheet, 1, shoptype,                                       
								_ =&gt; _.Code,
								_ =&gt; _.Name,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configuration.CreateMap&lt;MstCmmShopTypeDto, MstCmmShopType&gt;();
  configuration.CreateMap&lt;MstCmmShopType, MstCmmShopTypeDto&gt;();
  configuration.CreateMap&lt;CreateOrEditMstCmmShopTypeDto, MstCmmShopType&gt;();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t="s">
        <v>361</v>
      </c>
      <c r="B9" t="s">
        <v>356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7"/>
      <c r="G9" t="str">
        <f t="shared" ref="G9" si="2">IFERROR(MID(B9,FIND("(",B9) +1, FIND(")",B9) - FIND("(",B9) - 1),"")</f>
        <v>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Name="IX_MstCmmShopType_Code")]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[StringLength(MstCmmShopTypeConsts.MaxCodeLength)]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t="s">
        <v>362</v>
      </c>
      <c r="B10" t="s">
        <v>360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7"/>
      <c r="G10" t="str">
        <f t="shared" ref="G10" si="15">IFERROR(MID(B10,FIND("(",B10) +1, FIND(")",B10) - FIND("(",B10) - 1),"")</f>
        <v>20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20;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7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[StringLength(MstCmmShopTypeConsts.MaxNameLength)]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9" t="str">
        <f t="shared" ref="T10" si="23">REPT(CHAR(9),8)&amp;"("""&amp;D10&amp;"""),"</f>
        <v xml:space="preserve">								("Name"),</v>
      </c>
      <c r="V10" s="70" t="str">
        <f t="shared" ref="V10" si="24">REPT(CHAR(9),8)&amp;"_ =&gt; _."&amp;D10&amp;","</f>
        <v xml:space="preserve">								_ =&gt; _.Name,</v>
      </c>
      <c r="W10" s="69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22.5" customHeight="1" x14ac:dyDescent="0.25">
      <c r="A11" t="s">
        <v>324</v>
      </c>
      <c r="B11" t="s">
        <v>357</v>
      </c>
      <c r="C11" t="s">
        <v>1</v>
      </c>
      <c r="D11" t="str">
        <f>SUBSTITUTE(PROPER(A11),"_","")</f>
        <v>IsActive</v>
      </c>
      <c r="E11" t="str">
        <f t="shared" ref="E11" si="26">IFERROR(LEFT(B11, FIND("(",B11)-1),B11)</f>
        <v>nvarchar</v>
      </c>
      <c r="F11" s="7"/>
      <c r="G11" t="str">
        <f t="shared" ref="G11" si="27">IFERROR(MID(B11,FIND("(",B11) +1, FIND(")",B11) - FIND("(",B11) - 1),"")</f>
        <v>1</v>
      </c>
      <c r="H11" t="str">
        <f>+VLOOKUP(E11,'[1]Data Type Mapping'!A:B,2,)</f>
        <v>string</v>
      </c>
      <c r="I11" t="str">
        <f t="shared" ref="I11" si="28">IF(H11="string",REPT(CHAR(9),2)&amp;"public const int Max"&amp;D11&amp;"Length = "&amp;G11&amp;";"&amp;$E$3,"" )</f>
        <v xml:space="preserve">		public const int MaxIsActiveLength = 1;
</v>
      </c>
      <c r="J11" t="str">
        <f t="shared" ref="J11" si="29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7" t="s">
        <v>206</v>
      </c>
      <c r="L11" t="str">
        <f>IF(K11="","",REPT(CHAR(9),1)&amp;"[Index(nameof("&amp;IF(D11="","",""&amp;D11)&amp;")"&amp;", Name="&amp;"""IX_"&amp;$B$7&amp;"_"&amp;D11&amp;""")]")</f>
        <v xml:space="preserve">	[Index(nameof(IsActive), Name="IX_MstCmmShopType_IsActive")]</v>
      </c>
      <c r="M11" t="str">
        <f t="shared" ref="M11" si="30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1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[StringLength(MstCmmShopTypeConsts.MaxIsActiveLength)]
		public virtual string IsActive { get; set; }
</v>
      </c>
      <c r="O11" t="str">
        <f t="shared" ref="O11" si="32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3">REPT(CHAR(9),7)&amp;D11&amp;" = o." &amp;D11 &amp;","</f>
        <v xml:space="preserve">							IsActive = o.IsActive,</v>
      </c>
      <c r="T11" s="69" t="str">
        <f t="shared" ref="T11" si="34">REPT(CHAR(9),8)&amp;"("""&amp;D11&amp;"""),"</f>
        <v xml:space="preserve">								("IsActive"),</v>
      </c>
      <c r="V11" s="70" t="str">
        <f t="shared" ref="V11" si="35">REPT(CHAR(9),8)&amp;"_ =&gt; _."&amp;D11&amp;","</f>
        <v xml:space="preserve">								_ =&gt; _.IsActive,</v>
      </c>
      <c r="W11" s="69" t="str">
        <f t="shared" ref="W11" si="36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3" spans="1:23" ht="45.75" customHeight="1" x14ac:dyDescent="0.25">
      <c r="H13" s="12"/>
      <c r="I13" s="34" t="str">
        <f ca="1">TEXTJOIN2("
", TRUE,INDIRECT( $H$1):INDIRECT( $H$3))</f>
        <v xml:space="preserve">		public const int MaxCodeLength = 2;
		public const int MaxNameLength = 20;
		public const int MaxIsActiveLength = 1;
</v>
      </c>
      <c r="J13" s="33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[StringLength(MaxIsActiveLength)]
		public virtual string IsActive { get; set; }
</v>
      </c>
      <c r="K13" s="35" t="str">
        <f ca="1">TEXTJOIN2("
", TRUE,INDIRECT( $J$1):INDIRECT( $J$3))</f>
        <v xml:space="preserve">	[Index(nameof(Code), Name="IX_MstCmmShopType_Code")]
	[Index(nameof(IsActive), Name="IX_MstCmmShopType_IsActive")]</v>
      </c>
      <c r="L13" s="13" t="s">
        <v>60</v>
      </c>
      <c r="M13" s="36" t="str">
        <f ca="1">TEXTJOIN2("
",TRUE,INDIRECT( $L$1):INDIRECT($L$3))</f>
        <v xml:space="preserve">		public virtual string Code { get; set; }
		public virtual string Name { get; set; }
		public virtual string IsActive { get; set; }
</v>
      </c>
      <c r="N13" s="33" t="str">
        <f ca="1">TEXTJOIN2("
",TRUE,INDIRECT( $M$1):INDIRECT($M$3))</f>
        <v xml:space="preserve">		[StringLength(MstCmmShopTypeConsts.MaxCodeLength)]
		public virtual string Code { get; set; }
		[StringLength(MstCmmShopTypeConsts.MaxNameLength)]
		public virtual string Name { get; set; }
		[StringLength(MstCmmShopTypeConsts.MaxIsActiveLength)]
		public virtual string IsActive { get; set; }
</v>
      </c>
      <c r="O13" s="33" t="str">
        <f ca="1">TEXTJOIN2("
",TRUE,INDIRECT( $N$1):INDIRECT($N$3))</f>
        <v xml:space="preserve">		public virtual string Code { get; set; }
		public virtual string Name { get; set; }
		public virtual string IsActive { get; set; }
</v>
      </c>
      <c r="P13" s="9" t="str">
        <f ca="1">TEXTJOIN2("
",TRUE,INDIRECT( $O$1):INDIRECT($O$3))</f>
        <v xml:space="preserve">							Code = o.Code,
							Name = o.Name,
							IsActive = o.IsActive,</v>
      </c>
      <c r="T13" s="9" t="str">
        <f ca="1">TEXTJOIN2("
",TRUE,INDIRECT( $T$2):INDIRECT($T$3))</f>
        <v xml:space="preserve">								("Code"),
								("Name"),
								("IsActive"),</v>
      </c>
      <c r="V13" s="9" t="str">
        <f ca="1">TEXTJOIN2("
",TRUE,INDIRECT( $V$2):INDIRECT($V$3))</f>
        <v xml:space="preserve">								_ =&gt; _.Code,
								_ =&gt; _.Name,
								_ =&gt; _.IsActive,</v>
      </c>
      <c r="W13" s="9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9"/>
  <sheetViews>
    <sheetView workbookViewId="0">
      <selection activeCell="B33" sqref="B33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60" x14ac:dyDescent="0.25">
      <c r="A1" s="41" t="s">
        <v>212</v>
      </c>
      <c r="B1" s="42" t="s">
        <v>355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Common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common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MstCmmShopType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ShopType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shoptype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MstCmmShopTypeDto, MstCmmShopTypeServiceProxy } from '@shared/service-proxies/service-proxies';
import { finalize } from 'rxjs/internal/operators/finalize';
import { CreateOrEditShopTypeModalComponent } from './create-or-edit-shoptype-modal.component';
import { DatePipe } from '@angular/common';
import { FileDownloadService } from '@shared/utils/file-download.service';
import ceil from 'lodash-es/ceil';
import { Paginator } from 'primeng/paginator';
@Component({
    templateUrl: './shoptype.component.html',
    styleUrls: ['./shoptype.component.less'],
})
export class ShopTypeComponent extends AppComponentBase implements OnInit {
    @ViewChild('createOrEditModalShopType', { static: true }) createOrEditModalShopType:| CreateOrEditShopTypeModalComponent|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MstCmmShopTypeDto = new MstCmmShopTypeDto();
    saveSelectedRow: MstCmmShopTypeDto = new MstCmmShopTypeDto();
    datas: MstCmmShopTypeDto = new MstCmmShopTypeDto();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MstCmmShopTypeServiceProxy,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this.isActive,
			'',
            this.paginationParams.skipCount,
            this.paginationParams.pageSize
        );
    }
    onChangeRowSelection(params: { api: { getSelectedRows: () =&gt; MstCmmShopTypeDto[] } }) {
        this.saveSelectedRow = params.api.getSelectedRows()[0] ?? new MstCmmShopTypeDto();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MstCmmShopTypeDto):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this._service.getShopTypeToExcel(
			this.code,
			this.name,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Devanning Case Type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(click)="createOrEditModalShopType.show()"&gt;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(click)="createOrEditModalShopType.show(selectedRow)"&gt;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&lt;create-or-edit-shoptype-modal
    #createOrEditModalShopType
    (modalSave)="callBackDataGrid(dataParams)"
    (modalClose)="onChangeRowSelection(dataParams)"
&gt;
&lt;/create-or-edit-shoptype-modal&gt;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#createOrEditModalShopType="bs-modal"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ShopType')}}&lt;/h3&gt;
                    &lt;h3 *ngIf="!rowdata.id"&gt;{{('Create New ShopType')}}&lt;/h3&gt;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CreateOrEditMstCmmShopTypeDto, MstCmmShopTypeServiceProxy } from '@shared/service-proxies/service-proxies';
import { BsDatepickerDirective } from 'ngx-bootstrap/datepicker';
@Component({
    selector: 'create-or-edit-shoptype-modal',
    templateUrl: './create-or-edit-shoptype-modal.component.html',
    styleUrls: ['./create-or-edit-shoptype-modal.component.less']
    })
export class CreateOrEditShopTypeModalComponent extends AppComponentBase {
    @ViewChild('createOrEditModalShopType',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CreateOrEditMstCmmShopTypeDto = new CreateOrEditMstCmmShopTypeDto();
    active: boolean = false;
    saving: boolean = false;
    _isActive: boolean;
    constructor(
        injector: Injector,
        private _mstwptShopTypeService: MstCmmShopTypeServiceProxy,
    ) 
    {
        super(injector);
    }
    show(rowdata?: CreateOrEditMstCmmShopTypeDto): void {
        if (!rowdata) this.rowdata = new CreateOrEditMstCmmShopTypeDto();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this._mstwptShopTypeService.createOrEdit(this.rowdata)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ShopTypeRoutingModule } from './shoptype-routing.module';
import { ShopTypeComponent } from './shoptype.component';
import { CreateOrEditShopTypeModalComponent } from './create-or-edit-shoptype-modal.component';
@NgModule({
    declarations: [
       ShopTypeComponent, 
        CreateOrEditShopTypeModalComponent
    ],
    imports: [
        AppSharedModule, ShopTypeRoutingModule]
})
export class ShopTypeModule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ShopTypeComponent } from './shoptype.component';
const routes: Routes = [{
    path: '',
    component: ShopTypeComponent,
    pathMatch: 'full'
}];
@NgModule({
    imports: [RouterModule.forChild(routes)],
    exports: [RouterModule],
})
export class ShopTypeRoutingModule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AppMenuItem("ShopType", "Pages.Master.Common.ShopType", "flaticon-book",   "/app/main/master/common/shoptype"),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'master/common/shoptype',
    loadChildren: () =&gt; import('./master/common/shoptype/shoptype.module').then(m =&gt; m.ShopTypeModule),
    data: { permission: 'Pages.Master.Common.ShopType' }
},</v>
      </c>
      <c r="R10" s="50" t="str">
        <f>SUBSTITUTE(R9,"MstWptCalendar",$B$6)</f>
        <v>ApiServiceProxies.MstCmmShopTypeServiceProxy,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code : string = '' ; 
	name : string = '' ; 
	isActive : string = '' ; </v>
      </c>
      <c r="T13" s="68" t="str">
        <f ca="1">TEXTJOIN2("
",TRUE,INDIRECT(T11):INDIRECT(T12))</f>
        <v xml:space="preserve">			this.code,
			this.name,
			this.isActive,</v>
      </c>
      <c r="U13" s="68" t="str">
        <f ca="1">TEXTJOIN2("
",TRUE,INDIRECT(U11):INDIRECT(U12))</f>
        <v xml:space="preserve">		this.code = '',
		this.name = '',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shoptype.component.ts</v>
      </c>
      <c r="I14" s="40" t="str">
        <f>B8&amp;".component.html"</f>
        <v>shoptype.component.html</v>
      </c>
      <c r="J14" s="39" t="str">
        <f>B8&amp;".component.less"</f>
        <v>shoptype.component.less</v>
      </c>
      <c r="K14" s="40" t="str">
        <f>"create-or-edit-"&amp;B8&amp;"-modal.component.html"</f>
        <v>create-or-edit-shoptype-modal.component.html</v>
      </c>
      <c r="L14" s="40" t="str">
        <f>"create-or-edit-"&amp;B8&amp;"-modal.component.ts"</f>
        <v>create-or-edit-shoptype-modal.component.ts</v>
      </c>
      <c r="M14" s="40" t="str">
        <f>"create-or-edit-"&amp;B8&amp;"-modal.component.less"</f>
        <v>create-or-edit-shoptype-modal.component.less</v>
      </c>
      <c r="N14" s="40" t="str">
        <f>B8&amp;".module.ts"</f>
        <v>shoptype.module.ts</v>
      </c>
      <c r="O14" s="40" t="str">
        <f>B8&amp;"-routing.module.ts"</f>
        <v>shoptype-routing.module.ts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25">
      <c r="A15" s="31" t="s">
        <v>361</v>
      </c>
      <c r="B15" s="31" t="str">
        <f t="shared" ref="B15:B16" si="0">SUBSTITUTE(PROPER(A15),"_","")</f>
        <v>Code</v>
      </c>
      <c r="C15" s="31" t="str">
        <f t="shared" ref="C15:C16" si="1">SUBSTITUTE(PROPER(A15),"_"," ")</f>
        <v>Code</v>
      </c>
      <c r="D15" s="31" t="str">
        <f t="shared" ref="D15:D16" si="2">LOWER(LEFT(B15,1))&amp;RIGHT(B15,LEN(B15) - 1)</f>
        <v>code</v>
      </c>
      <c r="E15" s="31" t="str">
        <f>A.Backend!H9</f>
        <v>string</v>
      </c>
      <c r="F15" s="31" t="str">
        <f>A.Backend!G9</f>
        <v>2</v>
      </c>
      <c r="G15" s="31" t="str">
        <f t="shared" ref="G15:G16" si="3">IF(E15="string"," : string = '' ; ",IF(OR(E15="DateTime",E15="TimeSpan")," : any ;",IF(E15="int"," : number = 0 ;","")))</f>
        <v xml:space="preserve"> : string = '' ; </v>
      </c>
      <c r="H15" s="38" t="str">
        <f t="shared" ref="H15:H16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:I16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:K16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:L16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:V16" si="8">IF(AND(E15="string",F15="1"),D15,"")</f>
        <v/>
      </c>
    </row>
    <row r="16" spans="1:22" ht="18" customHeight="1" x14ac:dyDescent="0.25">
      <c r="A16" s="31" t="s">
        <v>362</v>
      </c>
      <c r="B16" s="31" t="str">
        <f t="shared" si="0"/>
        <v>Name</v>
      </c>
      <c r="C16" s="31" t="str">
        <f t="shared" si="1"/>
        <v>Name</v>
      </c>
      <c r="D16" s="31" t="str">
        <f t="shared" si="2"/>
        <v>name</v>
      </c>
      <c r="E16" s="31" t="str">
        <f>A.Backend!H10</f>
        <v>string</v>
      </c>
      <c r="F16" s="31" t="str">
        <f>A.Backend!G10</f>
        <v>20</v>
      </c>
      <c r="G16" s="31" t="str">
        <f t="shared" si="3"/>
        <v xml:space="preserve"> : string = '' ; </v>
      </c>
      <c r="H16" s="38" t="str">
        <f t="shared" si="4"/>
        <v xml:space="preserve">			{headerName: this.l('Name'),headerTooltip: this.l('Name'),field: 'name',flex: 1},</v>
      </c>
      <c r="I16" s="38" t="str">
        <f t="shared" si="5"/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31"/>
      <c r="K16" s="38" t="str">
        <f t="shared" si="6"/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60" t="str">
        <f t="shared" si="7"/>
        <v/>
      </c>
      <c r="M16" s="31"/>
      <c r="N16" s="31"/>
      <c r="O16" s="31"/>
      <c r="P16" s="31"/>
      <c r="Q16" s="31"/>
      <c r="R16" s="31"/>
      <c r="S16" s="31" t="str">
        <f t="shared" ref="S16" si="9">REPT(CHAR(9),1)&amp;D16&amp;G16</f>
        <v xml:space="preserve">	name : string = '' ; </v>
      </c>
      <c r="T16" s="31" t="str">
        <f t="shared" ref="T16" si="10">REPT(CHAR(9),3)&amp;"this."&amp;D16&amp;","</f>
        <v xml:space="preserve">			this.name,</v>
      </c>
      <c r="U16" s="31" t="str">
        <f t="shared" ref="U16" si="11">IF(E16="int",REPT(CHAR(9),2)&amp;"this."&amp;D16&amp;" = 0,",REPT(CHAR(9),2)&amp;"this."&amp;D16&amp;" = '',")</f>
        <v xml:space="preserve">		this.name = '',</v>
      </c>
      <c r="V16" s="31" t="str">
        <f t="shared" si="8"/>
        <v/>
      </c>
    </row>
    <row r="17" spans="1:22" ht="18" customHeight="1" x14ac:dyDescent="0.25">
      <c r="A17" s="31" t="s">
        <v>324</v>
      </c>
      <c r="B17" s="31" t="str">
        <f t="shared" ref="B17" si="12">SUBSTITUTE(PROPER(A17),"_","")</f>
        <v>IsActive</v>
      </c>
      <c r="C17" s="31" t="str">
        <f t="shared" ref="C17" si="13">SUBSTITUTE(PROPER(A17),"_"," ")</f>
        <v>Is Active</v>
      </c>
      <c r="D17" s="31" t="str">
        <f t="shared" ref="D17" si="14">LOWER(LEFT(B17,1))&amp;RIGHT(B17,LEN(B17) - 1)</f>
        <v>isActive</v>
      </c>
      <c r="E17" s="31" t="str">
        <f>A.Backend!H11</f>
        <v>string</v>
      </c>
      <c r="F17" s="31" t="str">
        <f>A.Backend!G11</f>
        <v>1</v>
      </c>
      <c r="G17" s="31" t="str">
        <f t="shared" ref="G17" si="15">IF(E17="string"," : string = '' ; ",IF(OR(E17="DateTime",E17="TimeSpan")," : any ;",IF(E17="int"," : number = 0 ;","")))</f>
        <v xml:space="preserve"> : string = '' ; </v>
      </c>
      <c r="H17" s="38" t="str">
        <f t="shared" ref="H17" si="16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8" t="str">
        <f t="shared" ref="I17" si="17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ref="K17" si="18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60" t="str">
        <f t="shared" ref="L17" si="19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20">REPT(CHAR(9),1)&amp;D17&amp;G17</f>
        <v xml:space="preserve">	isActive : string = '' ; </v>
      </c>
      <c r="T17" s="31" t="str">
        <f t="shared" ref="T17" si="21">REPT(CHAR(9),3)&amp;"this."&amp;D17&amp;","</f>
        <v xml:space="preserve">			this.isActive,</v>
      </c>
      <c r="U17" s="31" t="str">
        <f t="shared" ref="U17" si="22">IF(E17="int",REPT(CHAR(9),2)&amp;"this."&amp;D17&amp;" = 0,",REPT(CHAR(9),2)&amp;"this."&amp;D17&amp;" = '',")</f>
        <v xml:space="preserve">		this.isActive = '',</v>
      </c>
      <c r="V17" s="31" t="str">
        <f t="shared" ref="V17" si="23">IF(AND(E17="string",F17="1"),D17,"")</f>
        <v>isActive</v>
      </c>
    </row>
    <row r="1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2023-04-11T12:07:12Z</dcterms:modified>
</cp:coreProperties>
</file>
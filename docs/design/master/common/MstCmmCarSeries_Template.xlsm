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master\common\"/>
    </mc:Choice>
  </mc:AlternateContent>
  <bookViews>
    <workbookView xWindow="-120" yWindow="-120" windowWidth="19440" windowHeight="15000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5" l="1"/>
  <c r="D16" i="5" s="1"/>
  <c r="C16" i="5"/>
  <c r="B7" i="5" l="1"/>
  <c r="B6" i="5"/>
  <c r="B2" i="5"/>
  <c r="B8" i="5" l="1"/>
  <c r="B3" i="5"/>
  <c r="B6" i="1" l="1"/>
  <c r="C15" i="5" l="1"/>
  <c r="B15" i="5"/>
  <c r="D15" i="5" s="1"/>
  <c r="G9" i="1" l="1"/>
  <c r="F15" i="5" s="1"/>
  <c r="E9" i="1"/>
  <c r="H9" i="1" s="1"/>
  <c r="E15" i="5" s="1"/>
  <c r="D9" i="1"/>
  <c r="V9" i="1" s="1"/>
  <c r="I15" i="5" l="1"/>
  <c r="T15" i="5"/>
  <c r="K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10" i="1" l="1"/>
  <c r="F16" i="5" s="1"/>
  <c r="E10" i="1"/>
  <c r="H10" i="1" s="1"/>
  <c r="E16" i="5" s="1"/>
  <c r="D10" i="1"/>
  <c r="T10" i="1" s="1"/>
  <c r="H16" i="5" l="1"/>
  <c r="K16" i="5"/>
  <c r="I16" i="5"/>
  <c r="G16" i="5"/>
  <c r="S16" i="5" s="1"/>
  <c r="V16" i="5"/>
  <c r="T16" i="5"/>
  <c r="L16" i="5"/>
  <c r="P10" i="1"/>
  <c r="V10" i="1"/>
  <c r="W10" i="1"/>
  <c r="J10" i="1"/>
  <c r="I10" i="1"/>
  <c r="O10" i="1"/>
  <c r="N10" i="1"/>
  <c r="M10" i="1"/>
  <c r="U16" i="5" l="1"/>
  <c r="W3" i="1"/>
  <c r="V3" i="1"/>
  <c r="V12" i="1"/>
  <c r="W12" i="1"/>
  <c r="U7" i="1" l="1"/>
  <c r="T3" i="1" l="1"/>
  <c r="F3" i="1"/>
  <c r="J12" i="1"/>
  <c r="T12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N12" i="1"/>
  <c r="P12" i="1"/>
  <c r="O12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T7" i="1" l="1"/>
  <c r="G6" i="1" l="1"/>
  <c r="L13" i="5"/>
  <c r="H13" i="5"/>
  <c r="S13" i="5"/>
  <c r="K13" i="5"/>
  <c r="U13" i="5"/>
  <c r="I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M12" i="1"/>
  <c r="I12" i="1"/>
  <c r="C6" i="1" l="1"/>
  <c r="P7" i="1" s="1"/>
  <c r="S3" i="1"/>
  <c r="S7" i="1" s="1"/>
  <c r="E6" i="1"/>
  <c r="F69" i="3"/>
  <c r="I3" i="1" l="1"/>
  <c r="B7" i="1"/>
  <c r="L9" i="1" l="1"/>
  <c r="L10" i="1"/>
  <c r="C7" i="1"/>
  <c r="K12" i="1"/>
  <c r="Q7" i="1" l="1"/>
  <c r="M69" i="3" s="1"/>
  <c r="L7" i="1"/>
  <c r="G69" i="3" s="1"/>
  <c r="K69" i="3"/>
  <c r="J69" i="3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<sst xmlns="http://schemas.openxmlformats.org/spreadsheetml/2006/main" count="443" uniqueCount="366">
  <si>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</si>
  <si>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</si>
  <si>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</si>
  <si>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</si>
  <si>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</si>
  <si>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</si>
  <si>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</si>
  <si>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</si>
  <si>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</si>
  <si>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</si>
  <si>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</si>
  <si>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</si>
  <si>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</si>
  <si>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</si>
  <si>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</si>
  <si>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</si>
  <si>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</si>
  <si>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</si>
  <si>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</si>
  <si>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</si>
  <si>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</si>
  <si>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</si>
  <si>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</si>
  <si>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</si>
  <si>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</si>
  <si>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</si>
  <si>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</si>
  <si>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</si>
  <si>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</si>
  <si>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</si>
  <si>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</si>
  <si>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</si>
  <si>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</si>
  <si>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</si>
  <si>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</si>
  <si>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</si>
  <si>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</si>
  <si>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</si>
  <si>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</si>
  <si>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</si>
  <si>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</si>
  <si>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</si>
  <si>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</si>
  <si>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</si>
  <si>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</si>
  <si>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</si>
  <si>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</si>
  <si>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</si>
  <si>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</si>
  <si>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</si>
  <si>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</si>
  <si>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</si>
  <si>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</si>
  <si>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</si>
  <si>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</si>
  <si>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</si>
  <si>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</si>
  <si>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</si>
  <si>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</si>
  <si>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</si>
  <si>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</si>
  <si>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</si>
  <si>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</si>
  <si>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</si>
  <si>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</si>
  <si>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</si>
  <si>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</si>
  <si>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</si>
  <si>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</si>
  <si>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</si>
  <si>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</si>
  <si>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</si>
  <si>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</si>
  <si>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</si>
  <si>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</si>
  <si>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</si>
  <si>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</si>
  <si>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</si>
  <si>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</si>
  <si>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</si>
  <si>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</si>
  <si>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</si>
  <si>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</si>
  <si>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</si>
  <si>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</si>
  <si>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</si>
  <si>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</si>
  <si>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</si>
  <si>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</si>
  <si>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</si>
  <si>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</si>
  <si>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</si>
  <si>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</si>
  <si>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</si>
  <si>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</si>
  <si>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</si>
  <si>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</si>
  <si>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</si>
  <si>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</si>
  <si>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</si>
  <si>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</si>
  <si>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</si>
  <si>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</si>
  <si>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</si>
  <si>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</si>
  <si>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</si>
  <si>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</si>
  <si>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</si>
  <si>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</si>
  <si>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</si>
  <si>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</si>
  <si>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</si>
  <si>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</si>
  <si>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</si>
  <si>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</si>
  <si>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</si>
  <si>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</si>
  <si>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</si>
  <si>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</si>
  <si>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</si>
  <si>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</si>
  <si>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</si>
  <si>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</si>
  <si>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</si>
  <si>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</si>
  <si>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</si>
  <si>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</si>
  <si>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</si>
  <si>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</si>
  <si>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</si>
  <si>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</si>
  <si>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</si>
  <si>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</si>
  <si>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</si>
  <si>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</si>
  <si>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</si>
  <si>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</si>
  <si>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</si>
  <si>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</si>
  <si>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</si>
  <si>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</si>
  <si>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</si>
  <si>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</si>
  <si>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</si>
  <si>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</si>
  <si>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</si>
  <si>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</si>
  <si>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</si>
  <si>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</si>
  <si>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</si>
  <si>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</si>
  <si>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</si>
  <si>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</si>
  <si>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</si>
  <si>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</si>
  <si>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</si>
  <si>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</si>
  <si>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</si>
  <si>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</si>
  <si>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</si>
  <si>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</si>
  <si>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</si>
  <si>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</si>
  <si>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</si>
  <si>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</si>
  <si>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</si>
  <si>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</si>
  <si>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</si>
  <si>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</si>
  <si>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</si>
  <si>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</si>
  <si>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</si>
  <si>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</si>
  <si>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</si>
  <si>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</si>
  <si>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</si>
  <si>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</si>
  <si>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</si>
  <si>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</si>
  <si>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</si>
  <si>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</si>
  <si>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</si>
  <si>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</si>
  <si>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</si>
  <si>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</si>
  <si>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</si>
  <si>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</si>
  <si>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</si>
  <si>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</si>
  <si>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</si>
  <si>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</si>
  <si>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</si>
  <si>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</si>
  <si>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</si>
  <si>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</si>
  <si>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</si>
  <si>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</si>
  <si>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</si>
  <si>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</si>
  <si>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</si>
  <si>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</si>
  <si>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</si>
  <si>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</si>
  <si>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</si>
  <si>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</si>
  <si>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</si>
  <si>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</si>
  <si>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</si>
  <si>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</si>
  <si>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</si>
  <si>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</si>
  <si>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</si>
  <si>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</si>
  <si>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</si>
  <si>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</si>
  <si>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</si>
  <si>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</si>
  <si>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</si>
  <si>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</si>
  <si>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</si>
  <si>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</si>
  <si>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</si>
  <si>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</si>
  <si>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</si>
  <si>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</si>
  <si>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</si>
  <si>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</si>
  <si>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</si>
  <si>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</si>
  <si>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</si>
  <si>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</si>
  <si>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</si>
  <si>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</si>
  <si>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</si>
  <si>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</si>
  <si>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</si>
  <si>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</si>
  <si>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</si>
  <si>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</si>
  <si>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</si>
  <si>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</si>
  <si>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</si>
  <si>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</si>
  <si>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</si>
  <si>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</si>
  <si>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</si>
  <si>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</si>
  <si>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</si>
  <si>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</si>
  <si>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</si>
  <si>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</si>
  <si>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</si>
  <si>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</si>
  <si>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</si>
  <si>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</si>
  <si>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</si>
  <si>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</si>
  <si>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</si>
  <si>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</si>
  <si>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</si>
  <si>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</si>
  <si>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</si>
  <si>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</si>
  <si>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</si>
  <si>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</si>
  <si>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</si>
  <si>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</si>
  <si>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</si>
  <si>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</si>
  <si>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</si>
  <si>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</si>
  <si>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</si>
  <si>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</si>
  <si>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</si>
  <si>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</si>
  <si>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</si>
  <si>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</si>
  <si>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</si>
  <si>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</si>
  <si>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</si>
  <si>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</si>
  <si>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</si>
  <si>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</si>
  <si>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</si>
  <si>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</si>
  <si>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</si>
  <si>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</si>
  <si>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</si>
  <si>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</si>
  <si>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</si>
  <si>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</si>
  <si>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</si>
  <si>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</si>
  <si>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</si>
  <si>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</si>
  <si>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</si>
  <si>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</si>
  <si>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</si>
  <si>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</si>
  <si>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</si>
  <si>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</si>
  <si>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</si>
  <si>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</si>
  <si>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</si>
  <si>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</si>
  <si>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</si>
  <si>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</si>
  <si>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</si>
  <si>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</si>
  <si>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</si>
  <si>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</si>
  <si>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</si>
  <si>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</si>
  <si>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</si>
  <si>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</si>
  <si>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</si>
  <si>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</si>
  <si>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</si>
  <si>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</si>
  <si>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</si>
  <si>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</si>
  <si>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</si>
  <si>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</si>
  <si>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</si>
  <si>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</si>
  <si>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</si>
  <si>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</si>
  <si>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</si>
  <si>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</si>
  <si>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</si>
  <si>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</si>
  <si>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</si>
  <si>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</si>
  <si>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</si>
  <si>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</si>
  <si>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</si>
  <si>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</si>
  <si>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</si>
  <si>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</si>
  <si>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</si>
  <si>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</si>
  <si>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</si>
  <si>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</si>
  <si>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</si>
  <si>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</si>
  <si>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</si>
  <si>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</si>
  <si>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</si>
  <si>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</si>
  <si>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</si>
  <si>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</si>
  <si>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CPS</t>
  </si>
  <si>
    <t>Cps</t>
  </si>
  <si>
    <t>InvCps</t>
  </si>
  <si>
    <t>IHP</t>
  </si>
  <si>
    <t>Ihp</t>
  </si>
  <si>
    <t>InvIhp</t>
  </si>
  <si>
    <t>Inhouse Part</t>
  </si>
  <si>
    <t>nvarchar(50)</t>
  </si>
  <si>
    <t>Master.Cmm</t>
  </si>
  <si>
    <t>MstCmmCarSeries</t>
  </si>
  <si>
    <t>CarSeries</t>
  </si>
  <si>
    <t>Setup Car Series</t>
  </si>
  <si>
    <t>CODE</t>
  </si>
  <si>
    <t>NAME</t>
  </si>
  <si>
    <t>nvarchar(10)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</si>
</sst>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opLeftCell="A64" zoomScaleNormal="100" workbookViewId="0">
      <selection activeCell="C83" sqref="C83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341</v>
      </c>
      <c r="F18" s="1" t="s">
        <v>343</v>
      </c>
      <c r="G18" t="s">
        <v>342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318</v>
      </c>
      <c r="F42" s="1" t="s">
        <v>329</v>
      </c>
      <c r="G42" t="s">
        <v>329</v>
      </c>
    </row>
    <row r="43" spans="1:8" x14ac:dyDescent="0.25">
      <c r="A43" s="1"/>
      <c r="D43" t="s">
        <v>319</v>
      </c>
      <c r="F43" s="1" t="s">
        <v>324</v>
      </c>
      <c r="G43" t="s">
        <v>330</v>
      </c>
    </row>
    <row r="44" spans="1:8" x14ac:dyDescent="0.25">
      <c r="A44" s="1"/>
      <c r="D44" t="s">
        <v>321</v>
      </c>
      <c r="F44" s="1" t="s">
        <v>325</v>
      </c>
      <c r="G44" t="s">
        <v>331</v>
      </c>
    </row>
    <row r="45" spans="1:8" x14ac:dyDescent="0.25">
      <c r="A45" s="1"/>
      <c r="D45" t="s">
        <v>320</v>
      </c>
      <c r="F45" s="1" t="s">
        <v>326</v>
      </c>
      <c r="G45" t="s">
        <v>332</v>
      </c>
    </row>
    <row r="46" spans="1:8" x14ac:dyDescent="0.25">
      <c r="A46" s="1"/>
      <c r="D46" t="s">
        <v>354</v>
      </c>
      <c r="F46" s="1" t="s">
        <v>355</v>
      </c>
      <c r="G46" t="s">
        <v>356</v>
      </c>
      <c r="H46" t="s">
        <v>357</v>
      </c>
    </row>
    <row r="47" spans="1:8" x14ac:dyDescent="0.25">
      <c r="A47" s="1"/>
      <c r="D47" t="s">
        <v>338</v>
      </c>
      <c r="F47" s="1" t="s">
        <v>339</v>
      </c>
      <c r="G47" t="s">
        <v>340</v>
      </c>
    </row>
    <row r="48" spans="1:8" x14ac:dyDescent="0.25">
      <c r="A48" s="1"/>
      <c r="D48" t="s">
        <v>323</v>
      </c>
      <c r="F48" s="1" t="s">
        <v>327</v>
      </c>
      <c r="G48" t="s">
        <v>333</v>
      </c>
    </row>
    <row r="49" spans="1:7" x14ac:dyDescent="0.25">
      <c r="A49" s="1"/>
      <c r="D49" t="s">
        <v>322</v>
      </c>
      <c r="F49" s="1" t="s">
        <v>328</v>
      </c>
      <c r="G49" t="s">
        <v>334</v>
      </c>
    </row>
    <row r="50" spans="1:7" x14ac:dyDescent="0.25">
      <c r="A50" s="1"/>
      <c r="D50" t="s">
        <v>335</v>
      </c>
      <c r="F50" s="1" t="s">
        <v>336</v>
      </c>
      <c r="G50" t="s">
        <v>337</v>
      </c>
    </row>
    <row r="51" spans="1:7" x14ac:dyDescent="0.25">
      <c r="A51" s="1"/>
      <c r="D51" t="s">
        <v>351</v>
      </c>
      <c r="F51" s="1" t="s">
        <v>352</v>
      </c>
      <c r="G51" t="s">
        <v>353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[Table("MstCmmCarSeries")]
	public class MstCmmCarSeries: FullAuditedEntity&lt;long&gt;, IEntity&lt;long&gt;	
	{
		public const int MaxCodeLength = 10;
		public const int MaxNameLength = 50;
		[StringLength(MaxCodeLength)]
		public virtual string Code { get; set; }
		[StringLength(MaxNameLength)]
		public virtual string Name { get; set; }
	}
}
</v>
      </c>
      <c r="D69" s="48" t="str">
        <f>A.Backend!O7</f>
        <v xml:space="preserve">		public const string Pages_Master_Cmm_CarSeries = "Pages.Master.Cmm.CarSeries";
		public const string Pages_Master_Cmm_CarSeries_CreateEdit = "Pages.Master.Cmm.CarSeries.CreateEdit";
		public const string Pages_Master_Cmm_CarSeries_Delete = "Pages.Master.Cmm.CarSeries.Delete";
</v>
      </c>
      <c r="E69" s="48" t="str">
        <f>A.Backend!N7</f>
        <v xml:space="preserve">		var perMstCmmCarSeries = PARENTS.CreateChildPermission(AppPermissions.Pages_Master_Cmm_CarSeries, L( "MasterCmmCarSeries"), multiTenancySides: MultiTenancySides.Tenant);
		perMstCmmCarSeries.CreateChildPermission(AppPermissions.Pages_Master_Cmm_CarSeries_CreateEdit, L( "MasterCmmCarSeriesCreateEdit"), multiTenancySides: MultiTenancySides.Tenant);
		perMstCmmCarSeries.CreateChildPermission(AppPermissions.Pages_Master_Cmm_CarSeries_Delete, L( "MasterCmmCarSeriesDelete"), multiTenancySides: MultiTenancySides.Tenant);</v>
      </c>
      <c r="F69" s="48" t="str">
        <f>A.Backend!K7</f>
        <v>public virtual DbSet&lt;MstCmmCarSeries&gt; MstCmmCarSeriess { get; set; }</v>
      </c>
      <c r="G69" s="48" t="str">
        <f ca="1">A.Backend!L7</f>
        <v xml:space="preserve">namespace prod.Master.Cmm
{
	public class MstCmmCarSeriesConsts	
	{
		public const int MaxCodeLength = 10;
		public const int MaxNameLength = 50;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prod.Master.Cmm.Dto
{
	public class MstCmmCarSeriesDto : EntityDto&lt;long?&gt;	
	{
		public virtual string Code { get; set; }
		public virtual string Name { get; set; }
	}
	public class CreateOrEditMstCmmCarSeriesDto : EntityDto&lt;long?&gt;	
	{
		[StringLength(MstCmmCarSeriesConsts.MaxCodeLength)]
		public virtual string Code { get; set; }
		[StringLength(MstCmmCarSeriesConsts.MaxNameLength)]
		public virtual string Name { get; set; }
	}
	public class GetMstCmmCarSeriesInput : PagedAndSortedResultRequestDto	
	{
		public virtual string Code { get; set; }
		public virtual string Name { get; set; }
	}
}
</v>
      </c>
      <c r="I69" s="48" t="str">
        <f ca="1">A.Backend!R7</f>
        <v xml:space="preserve">using Abp.Application.Services.Dto;
using System;
using System.ComponentModel.DataAnnotations;
namespace prod.Master.Cmm.Dto
{
	public class MstCmmCarSeriesExportInput{
		public virtual string Code { get; set; }
		public virtual string Name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vovina.Master.Cmm.Dto;
namespace prod.Master.Cmm
{
	public interface IMstCmmCarSeriesAppService : IApplicationService
	{
		Task&lt;PagedResultDto&lt;MstCmmCarSeriesDto&gt;&gt; GetAll(GetMstCmmCarSeriesInput input);
		Task CreateOrEdit(CreateOrEditMstCmmCarSeriesDto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vovina.Master.Cmm.Dto;
namespace prod.Master.Cmm.Exporting
{
	public interface IMstCmmCarSeriesExcelExporter : IApplicationService
	{
		FileDto ExportToFile(List&lt;MstCmmCarSeriesDto&gt; mstcmmcarseries);
	}
}
</v>
      </c>
      <c r="L69" s="48" t="str">
        <f ca="1">A.Backend!T7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MstCmmCarSeriesExcelExporter : NpoiExcelExporterBase, IMstCmmCarSeriesExcelExporter
    {
        public MstCmmCarSeriesExcelExporter(ITempFileCacheManager tempFileCacheManager) : base(tempFileCacheManager) { }
        public FileDto ExportToFile(List&lt;MstCmmCarSeriesDto&gt; carseries)
        {
            return CreateExcelPackage(
				"MasterCmmCarSeries.xlsx",
				excelPackage =&gt;
				 {
					var sheet = excelPackage.CreateSheet("CarSeries");
					AddHeader(
								sheet,
								("Code"),
								("Name"),
							   );
					AddObjects(
						 sheet, 1, carseries,                                       
								_ =&gt; _.Code,
								_ =&gt; _.Name,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[AbpAuthorize(AppPermissions.Pages_Master_Cmm_CarSeries)]
    public class MstCmmCarSeriesAppService : vovinaAppServiceBase, IMstCmmCarSeriesAppService
    {
        private readonly IDapperRepository&lt;MstCmmCarSeries, long&gt; _dapperRepo;
        private readonly IRepository&lt;MstCmmCarSeries, long&gt; _repo;
        private readonly IMstCmmCarSeriesExcelExporter _calendarListExcelExporter;
        public MstCmmCarSeriesAppService(IRepository&lt;MstCmmCarSeries,long&gt; repo, 
                                         IDapperRepository&lt;MstCmmCarSeries,long&gt; dapperRepo,
                                        IMstCmmCarSeriesExcelExporter calendarListExcelExporter
            )
        {
            _repo = repo;
            _dapperRepo = dapperRepo;
            _calendarListExcelExporter = calendarListExcelExporter;
        }
        [AbpAuthorize(AppPermissions.Pages_Master_Cmm_CarSeries_CreateEdit)]
        public async Task CreateOrEdit(CreateOrEditMstCmmCarSeriesDto input)
        {
            if (input.Id == null) await Create(input);
            else await Update(input);
        }
        //CREATE
        private async Task Create(CreateOrEditMstCmmCarSeriesDto input)
        {          
            var mainObj = ObjectMapper.Map&lt;MstCmmCarSeries&gt;(input);
            await CurrentUnitOfWork.GetDbContext&lt;vovinaDbContext&gt;().AddAsync(mainObj);
        }
        // EDIT
        private async Task Update(CreateOrEditMstCmmCarSeriesDto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[AbpAuthorize(AppPermissions.Pages_Master_Cmm_CarSeries_Delete)]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Task&lt;PagedResultDto&lt;MstCmmCarSeriesDto&gt;&gt; GetAll(GetMstCmmCarSeriesInput input)
        {
            var filtered = _repo.GetAll()
				.WhereIf(!string.IsNullOrWhiteSpace(input.Code), e =&gt; e.Code.Contains(input.Code))
				.WhereIf(!string.IsNullOrWhiteSpace(input.Name), e =&gt; e.Name.Contains(input.Name))                   
				;
            var pageAndFiltered = filtered.OrderBy(s =&gt; s.Id);
            var system = from o in pageAndFiltered
                         select new MstCmmCarSeriesDto
                        {
							Id = o.Id,
							Code = o.Code,
							Name = o.Name,
                        };
            var totalCount = await filtered.CountAsync();
			var paged = system.PageBy(input);
            return new PagedResultDto&lt;MstCmmCarSeriesDto&gt;(
                totalCount,
                 await paged.ToListAsync()
            );
        }
        public async Task&lt;FileDto&gt; GetCarSeriesToExcel(MstCmmCarSeriesExportInput input)
        {
            var query = from o in _repo.GetAll()
                        select new MstCmmCarSeriesDto
                        {
							Id = o.Id,
							Code = o.Code,
							Name = o.Name,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_dapperRepo.ExecuteAsync(MstCmmCarSeriesConsts.SP_MST_WPT_CALENDAR_GENERATE);
       // }
    }
}</v>
      </c>
      <c r="N69" s="58" t="str">
        <f>A.Backend!U7</f>
        <v xml:space="preserve">  configuration.CreateMap&lt;MstCmmCarSeriesDto, MstCmmCarSeries&gt;();
  configuration.CreateMap&lt;MstCmmCarSeries, MstCmmCarSeriesDto&gt;();
  configuration.CreateMap&lt;CreateOrEditMstCmmCarSeriesDto, MstCmmCarSeries&gt;();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carseries</v>
      </c>
      <c r="C74" s="66" t="str">
        <f>"create folder " &amp;B74</f>
        <v>create folder carseries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carseries.component.ts</v>
      </c>
      <c r="D75" s="28" t="str">
        <f>B.Frontend!I14</f>
        <v>carseries.component.html</v>
      </c>
      <c r="E75" s="28" t="str">
        <f>B.Frontend!J14</f>
        <v>carseries.component.less</v>
      </c>
      <c r="F75" s="28" t="str">
        <f>B.Frontend!K14</f>
        <v>create-or-edit-carseries-modal.component.html</v>
      </c>
      <c r="G75" s="28" t="str">
        <f>B.Frontend!L14</f>
        <v>create-or-edit-carseries-modal.component.ts</v>
      </c>
      <c r="H75" s="28" t="str">
        <f>B.Frontend!M14</f>
        <v>create-or-edit-carseries-modal.component.less</v>
      </c>
      <c r="I75" s="28" t="str">
        <f>B.Frontend!N14</f>
        <v>carseries.module.ts</v>
      </c>
      <c r="J75" s="28" t="str">
        <f>B.Frontend!O14</f>
        <v>carseries-routing.module.ts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MstCmmCarSeriesDto, MstCmmCarSeriesServiceProxy } from '@shared/service-proxies/service-proxies';
import { finalize } from 'rxjs/internal/operators/finalize';
import { CreateOrEditCarSeriesModalComponent } from './create-or-edit-carseries-modal.component';
import { DatePipe } from '@angular/common';
import { FileDownloadService } from '@shared/utils/file-download.service';
import ceil from 'lodash-es/ceil';
import { Paginator } from 'primeng/paginator';
@Component({
    templateUrl: './carseries.component.html',
    styleUrls: ['./carseries.component.less'],
})
export class CarSeriesComponent extends AppComponentBase implements OnInit {
    @ViewChild('createOrEditModalCarSeries', { static: true }) createOrEditModalCarSeries:| CreateOrEditCarSeriesModalComponent|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MstCmmCarSeriesDto = new MstCmmCarSeriesDto();
    saveSelectedRow: MstCmmCarSeriesDto = new MstCmmCarSeriesDto();
    datas: MstCmmCarSeriesDto = new MstCmmCarSeriesDto();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MstCmmCarSeriesServiceProxy,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this.code,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code : string = '' ; 
	name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this.code,
			'',
            this.paginationParams.skipCount,
            this.paginationParams.pageSize
        );
    }
    onChangeRowSelection(params: { api: { getSelectedRows: () =&gt; MstCmmCarSeriesDto[] } }) {
        this.saveSelectedRow = params.api.getSelectedRows()[0] ?? new MstCmmCarSeriesDto();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MstCmmCarSeriesDto):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this._service.getCarSeriesToExcel(
			this.,
			this.code,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Setup Car Series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(click)="createOrEditModalCarSeries.show()"&gt;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(click)="createOrEditModalCarSeries.show(selectedRow)"&gt;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&lt;create-or-edit-carseries-modal
    #createOrEditModalCarSeries
    (modalSave)="callBackDataGrid(dataParams)"
    (modalClose)="onChangeRowSelection(dataParams)"
&gt;
&lt;/create-or-edit-carseries-modal&gt;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#createOrEditModalCarSeries="bs-modal"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CarSeries')}}&lt;/h3&gt;
                    &lt;h3 *ngIf="!rowdata.id"&gt;{{('Create New CarSeries')}}&lt;/h3&gt;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CreateOrEditMstCmmCarSeriesDto, MstCmmCarSeriesServiceProxy } from '@shared/service-proxies/service-proxies';
import { BsDatepickerDirective } from 'ngx-bootstrap/datepicker';
@Component({
    selector: 'create-or-edit-carseries-modal',
    templateUrl: './create-or-edit-carseries-modal.component.html',
    styleUrls: ['./create-or-edit-carseries-modal.component.less']
    })
export class CreateOrEditCarSeriesModalComponent extends AppComponentBase {
    @ViewChild('createOrEditModalCarSeries',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CreateOrEditMstCmmCarSeriesDto = new CreateOrEditMstCmmCarSeriesDto();
    active: boolean = false;
    saving: boolean = false;
    _: boolean;
    constructor(
        injector: Injector,
        private _mstwptCarSeriesService: MstCmmCarSeriesServiceProxy,
    ) 
    {
        super(injector);
    }
    show(rowdata?: CreateOrEditMstCmmCarSeriesDto): void {
        if (!rowdata) this.rowdata = new CreateOrEditMstCmmCarSeriesDto();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this._mstwptCarSeriesService.createOrEdit(this.rowdata)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CarSeriesRoutingModule } from './carseries-routing.module';
import { CarSeriesComponent } from './carseries.component';
import { CreateOrEditCarSeriesModalComponent } from './create-or-edit-carseries-modal.component';
@NgModule({
    declarations: [
       CarSeriesComponent, 
        CreateOrEditCarSeriesModalComponent
    ],
    imports: [
        AppSharedModule, CarSeriesRoutingModule]
})
export class CarSeriesModule {}</v>
      </c>
      <c r="J76" s="46" t="str">
        <f>B.Frontend!O10</f>
        <v>import {NgModule} from '@angular/core';
import {RouterModule, Routes} from '@angular/router';
import { CarSeriesComponent } from './carseries.component';
const routes: Routes = [{
    path: '',
    component: CarSeriesComponent,
    pathMatch: 'full'
}];
@NgModule({
    imports: [RouterModule.forChild(routes)],
    exports: [RouterModule],
})
export class CarSeriesRoutingModule {}</v>
      </c>
      <c r="K76" s="46" t="str">
        <f>B.Frontend!P10</f>
        <v xml:space="preserve"> new AppMenuItem("CarSeries", "Pages.Master.Cmm.CarSeries", "flaticon-book",   "/app/main/master/cmm/carseries"),</v>
      </c>
      <c r="L76" s="47" t="str">
        <f>B.Frontend!Q10</f>
        <v>{
    path: 'master/cmm/carseries',
    loadChildren: () =&gt; import('./master/cmm/carseries/carseries.module').then(m =&gt; m.CarSeriesModule),
    data: { permission: 'Pages.Master.Cmm.CarSeries' }
},</v>
      </c>
      <c r="M76" s="45" t="str">
        <f>B.Frontend!R10</f>
        <v>ApiServiceProxies.MstCmmCarSeriesServiceProxy,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2"/>
  <sheetViews>
    <sheetView workbookViewId="0">
      <pane xSplit="1" topLeftCell="B1" activePane="topRight" state="frozen"/>
      <selection pane="topRight" activeCell="A9" sqref="A9:A10"/>
    </sheetView>
  </sheetViews>
  <sheetFormatPr defaultColWidth="9.140625" defaultRowHeight="15" x14ac:dyDescent="0.25"/>
  <cols>
    <col min="1" max="1" width="41.85546875" style="7" customWidth="1"/>
    <col min="2" max="2" width="24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vovina.Master.Cmm.Dto;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359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360</v>
      </c>
      <c r="C3" s="9" t="s">
        <v>40</v>
      </c>
      <c r="D3" s="9" t="s">
        <v>41</v>
      </c>
      <c r="E3" s="9" t="s">
        <v>36</v>
      </c>
      <c r="F3" s="10" t="str">
        <f>"J"&amp;COUNTA($A:$A)</f>
        <v>J10</v>
      </c>
      <c r="G3" s="4" t="s">
        <v>53</v>
      </c>
      <c r="H3" s="9" t="str">
        <f>"I"&amp;COUNTA($A:$A)</f>
        <v>I10</v>
      </c>
      <c r="I3" s="9" t="str">
        <f>REPT(CHAR(9),2)&amp;"[Required]"&amp;"
"</f>
        <v xml:space="preserve">		[Required]
</v>
      </c>
      <c r="J3" s="10" t="str">
        <f>"L"&amp;COUNTA($A:$A)</f>
        <v>L10</v>
      </c>
      <c r="K3" s="5" t="s">
        <v>52</v>
      </c>
      <c r="L3" s="10" t="str">
        <f>"M"&amp;COUNTA($A:$A)</f>
        <v>M10</v>
      </c>
      <c r="M3" s="10" t="str">
        <f>"N"&amp;COUNTA($A:$A)</f>
        <v>N10</v>
      </c>
      <c r="N3" s="10" t="str">
        <f>"O"&amp;COUNTA($A:$A)</f>
        <v>O10</v>
      </c>
      <c r="O3" s="10" t="str">
        <f>"P"&amp;COUNTA($A:$A)</f>
        <v>P10</v>
      </c>
      <c r="Q3" s="10" t="str">
        <f>RIGHT(B2,(LEN(B2)-FIND(".",B2,1)))</f>
        <v>Cmm</v>
      </c>
      <c r="R3" s="29" t="str">
        <f>REPT(CHAR(9),1)&amp;"public class "&amp;B3&amp;"ExportInput"&amp;C3</f>
        <v xml:space="preserve">	public class MstCmmCarSeriesExportInput{
</v>
      </c>
      <c r="S3" s="10" t="str">
        <f>"namespace "&amp;$B$6&amp;".Exporting
"&amp;$C$3</f>
        <v xml:space="preserve">namespace prod.Master.Cmm.Exporting
{
</v>
      </c>
      <c r="T3" s="10" t="str">
        <f>"T"&amp;COUNTA($A:$A)</f>
        <v>T10</v>
      </c>
      <c r="V3" s="10" t="str">
        <f>"V"&amp;COUNTA($A:$A)</f>
        <v>V10</v>
      </c>
      <c r="W3" s="9" t="str">
        <f>"W"&amp;COUNTA($A:$A)</f>
        <v>W10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361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prod.Master.Cmm</v>
      </c>
      <c r="C6" s="10" t="str">
        <f>"namespace "&amp;$B$6&amp;"
"&amp;$C$3</f>
        <v xml:space="preserve">namespace prod.Master.Cmm
{
</v>
      </c>
      <c r="D6" s="10" t="str">
        <f>REPT(CHAR(9),1)&amp;"public class "&amp;B3&amp;G3&amp;REPT(CHAR(9),1)&amp;"
"&amp;REPT(CHAR(9),1)&amp;C3</f>
        <v xml:space="preserve">	public class MstCmmCarSeries: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MstCmmCarSeriesConsts	
	{
</v>
      </c>
      <c r="F6" s="10" t="str">
        <f>REPT(CHAR(9),1)&amp;"public class "&amp;B3&amp;"Dto"&amp;K3&amp;REPT(CHAR(9),1)&amp;"
"&amp;REPT(CHAR(9),1)&amp;C3</f>
        <v xml:space="preserve">	public class MstCmmCarSeriesDto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CreateOrEditMstCmmCarSeriesDto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GetMstCmmCarSeriesInput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MstCmmCarSeries</v>
      </c>
      <c r="C7" s="10" t="str">
        <f>REPT(CHAR(9),1)&amp;"[Table("""&amp;B7&amp;""")]"&amp;"
"</f>
        <v xml:space="preserve">	[Table("MstCmmCarSeries")]
</v>
      </c>
      <c r="D7" s="10"/>
      <c r="E7" s="10"/>
      <c r="F7" s="10"/>
      <c r="G7" s="10"/>
      <c r="H7" s="10"/>
      <c r="I7" s="10"/>
      <c r="J7" t="str">
        <f ca="1">SUBSTITUTE(SUBSTITUTE((B1&amp;C6&amp;C7&amp;K12&amp;D6&amp;I12&amp;E3&amp;J12&amp;""&amp;REPT(CHAR(9),1)&amp;D3&amp;D3),"WorkingPattern",$Q$3),"Master",$B$4)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[Table("MstCmmCarSeries")]
	public class MstCmmCarSeries: FullAuditedEntity&lt;long&gt;, IEntity&lt;long&gt;	
	{
		public const int MaxCodeLength = 10;
		public const int MaxNameLength = 50;
		[StringLength(MaxCodeLength)]
		public virtual string Code { get; set; }
		[StringLength(MaxNameLength)]
		public virtual string Name { get; set; }
	}
}
</v>
      </c>
      <c r="K7" t="str">
        <f>SUBSTITUTE(SUBSTITUTE(("public virtual DbSet&lt;"&amp;B3&amp;"&gt; "&amp;B3&amp;"s { get; set; }"),"WorkingPattern",$Q$3),"Master",$B$4)</f>
        <v>public virtual DbSet&lt;MstCmmCarSeries&gt; MstCmmCarSeriess { get; set; }</v>
      </c>
      <c r="L7" t="str">
        <f ca="1">SUBSTITUTE(SUBSTITUTE((C6&amp;E6&amp;I12&amp;"
"&amp;REPT(CHAR(9),2)&amp;"// Define Store Name: Format SP_ + &lt;Store Name&gt; = &lt;Store Name&gt;
"&amp;E3&amp;REPT(CHAR(9),1)&amp;D3&amp;D3),"WorkingPattern",$Q$3),"Master",$B$4)</f>
        <v xml:space="preserve">namespace prod.Master.Cmm
{
	public class MstCmmCarSeriesConsts	
	{
		public const int MaxCodeLength = 10;
		public const int MaxNameLength = 50;
		// Define Store Name: Format SP_ + &lt;Store Name&gt; = &lt;Store Name&gt;
	}
}
</v>
      </c>
      <c r="M7" t="str">
        <f ca="1">SUBSTITUTE(SUBSTITUTE((C1&amp;"namespace "&amp;B6&amp;".Dto"&amp;E3&amp;C3&amp;F6&amp;M12&amp;E3&amp;REPT(CHAR(9),1)&amp;D3&amp;G6&amp;N12&amp;REPT(CHAR(9),1)&amp;D3&amp;H6&amp;O12&amp;"
"&amp;REPT(CHAR(9),1)&amp;D3&amp;D3),"WorkingPattern",$Q$3),"Master",$B$4)</f>
        <v xml:space="preserve">using Abp.Application.Services.Dto;
using System;
using System.ComponentModel.DataAnnotations;
namespace prod.Master.Cmm.Dto
{
	public class MstCmmCarSeriesDto : EntityDto&lt;long?&gt;	
	{
		public virtual string Code { get; set; }
		public virtual string Name { get; set; }
	}
	public class CreateOrEditMstCmmCarSeriesDto : EntityDto&lt;long?&gt;	
	{
		[StringLength(MstCmmCarSeriesConsts.MaxCodeLength)]
		public virtual string Code { get; set; }
		[StringLength(MstCmmCarSeriesConsts.MaxNameLength)]
		public virtual string Name { get; set; }
	}
	public class GetMstCmmCarSeriesInput : PagedAndSortedResultRequestDto	
	{
		public virtual string Code { get; set; }
		public virtual string Name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perMstCmmCarSeries = PARENTS.CreateChildPermission(AppPermissions.Pages_Master_Cmm_CarSeries, L( "MasterCmmCarSeries"), multiTenancySides: MultiTenancySides.Tenant);
		perMstCmmCarSeries.CreateChildPermission(AppPermissions.Pages_Master_Cmm_CarSeries_CreateEdit, L( "MasterCmmCarSeriesCreateEdit"), multiTenancySides: MultiTenancySides.Tenant);
		perMstCmmCarSeries.CreateChildPermission(AppPermissions.Pages_Master_Cmm_CarSeries_Delete, L( "MasterCmmCarSeriesDelete"),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Pages_Master_Cmm_CarSeries = "Pages.Master.Cmm.CarSeries";
		public const string Pages_Master_Cmm_CarSeries_CreateEdit = "Pages.Master.Cmm.CarSeries.CreateEdit";
		public const string Pages_Master_Cmm_CarSeries_Delete = "Pages.Master.Cmm.CarSeries.Delete";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
{
	public interface IMstCmmCarSeriesAppService : IApplicationService
	{
		Task&lt;PagedResultDto&lt;MstCmmCarSeriesDto&gt;&gt; GetAll(GetMstCmmCarSeriesInput input);
		Task CreateOrEdit(CreateOrEditMstCmmCarSeriesDto input);
		Task Delete(EntityDto input);
	}
}
</v>
      </c>
      <c r="Q7" t="str">
        <f ca="1">SUBSTITUTE(SUBSTITUTE(SUBSTITUTE(SUBSTITUTE(SUBSTITUTE(SUBSTITUTE(E1,"MstWptCalendar",$B$3),"&lt;PROPERTIES&gt;",P12),"Calendar",$B$5),"WorkingPattern",$Q$3),"Master",$B$4),"&lt;PARAMS_SEARCH&gt;",$W$12)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[AbpAuthorize(AppPermissions.Pages_Master_Cmm_CarSeries)]
    public class MstCmmCarSeriesAppService : vovinaAppServiceBase, IMstCmmCarSeriesAppService
    {
        private readonly IDapperRepository&lt;MstCmmCarSeries, long&gt; _dapperRepo;
        private readonly IRepository&lt;MstCmmCarSeries, long&gt; _repo;
        private readonly IMstCmmCarSeriesExcelExporter _calendarListExcelExporter;
        public MstCmmCarSeriesAppService(IRepository&lt;MstCmmCarSeries,long&gt; repo, 
                                         IDapperRepository&lt;MstCmmCarSeries,long&gt; dapperRepo,
                                        IMstCmmCarSeriesExcelExporter calendarListExcelExporter
            )
        {
            _repo = repo;
            _dapperRepo = dapperRepo;
            _calendarListExcelExporter = calendarListExcelExporter;
        }
        [AbpAuthorize(AppPermissions.Pages_Master_Cmm_CarSeries_CreateEdit)]
        public async Task CreateOrEdit(CreateOrEditMstCmmCarSeriesDto input)
        {
            if (input.Id == null) await Create(input);
            else await Update(input);
        }
        //CREATE
        private async Task Create(CreateOrEditMstCmmCarSeriesDto input)
        {          
            var mainObj = ObjectMapper.Map&lt;MstCmmCarSeries&gt;(input);
            await CurrentUnitOfWork.GetDbContext&lt;vovinaDbContext&gt;().AddAsync(mainObj);
        }
        // EDIT
        private async Task Update(CreateOrEditMstCmmCarSeriesDto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[AbpAuthorize(AppPermissions.Pages_Master_Cmm_CarSeries_Delete)]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Task&lt;PagedResultDto&lt;MstCmmCarSeriesDto&gt;&gt; GetAll(GetMstCmmCarSeriesInput input)
        {
            var filtered = _repo.GetAll()
				.WhereIf(!string.IsNullOrWhiteSpace(input.Code), e =&gt; e.Code.Contains(input.Code))
				.WhereIf(!string.IsNullOrWhiteSpace(input.Name), e =&gt; e.Name.Contains(input.Name))                   
				;
            var pageAndFiltered = filtered.OrderBy(s =&gt; s.Id);
            var system = from o in pageAndFiltered
                         select new MstCmmCarSeriesDto
                        {
							Id = o.Id,
							Code = o.Code,
							Name = o.Name,
                        };
            var totalCount = await filtered.CountAsync();
			var paged = system.PageBy(input);
            return new PagedResultDto&lt;MstCmmCarSeriesDto&gt;(
                totalCount,
                 await paged.ToListAsync()
            );
        }
        public async Task&lt;FileDto&gt; GetCarSeriesToExcel(MstCmmCarSeriesExportInput input)
        {
            var query = from o in _repo.GetAll()
                        select new MstCmmCarSeriesDto
                        {
							Id = o.Id,
							Code = o.Code,
							Name = o.Name,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_dapperRepo.ExecuteAsync(MstCmmCarSeriesConsts.SP_MST_WPT_CALENDAR_GENERATE);
       // }
    }
}</v>
      </c>
      <c r="R7" t="str">
        <f ca="1">SUBSTITUTE(SUBSTITUTE((C1&amp;"namespace "&amp;B6&amp;".Dto"&amp;E3&amp;C3&amp;R3&amp;M12&amp;E3&amp;REPT(CHAR(9),1)&amp;D3&amp;D3),"WorkingPattern",$Q$3),"Master",$B$4)</f>
        <v xml:space="preserve">using Abp.Application.Services.Dto;
using System;
using System.ComponentModel.DataAnnotations;
namespace prod.Master.Cmm.Dto
{
	public class MstCmmCarSeriesExportInput{
		public virtual string Code { get; set; }
		public virtual string Name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prod.Master.Cmm.Exporting
{
	public interface IMstCmmCarSeriesExcelExporter : IApplicationService
	{
		FileDto ExportToFile(List&lt;MstCmmCarSeriesDto&gt; mstcmmcarseries);
	}
}
</v>
      </c>
      <c r="T7" s="26" t="str">
        <f ca="1">SUBSTITUTE(SUBSTITUTE(SUBSTITUTE(SUBSTITUTE(SUBSTITUTE(SUBSTITUTE(SUBSTITUTE(T1,"MstWptCalendar",$B$3),"&lt;PROPERTIES1&gt;",V12),"&lt;PROPERTIES&gt;",T12),"Calendar",$B$5),"calendar",LOWER(B5)),"WorkingPattern",$Q$3),"Master",$B$4)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MstCmmCarSeriesExcelExporter : NpoiExcelExporterBase, IMstCmmCarSeriesExcelExporter
    {
        public MstCmmCarSeriesExcelExporter(ITempFileCacheManager tempFileCacheManager) : base(tempFileCacheManager) { }
        public FileDto ExportToFile(List&lt;MstCmmCarSeriesDto&gt; carseries)
        {
            return CreateExcelPackage(
				"MasterCmmCarSeries.xlsx",
				excelPackage =&gt;
				 {
					var sheet = excelPackage.CreateSheet("CarSeries");
					AddHeader(
								sheet,
								("Code"),
								("Name"),
							   );
					AddObjects(
						 sheet, 1, carseries,                                       
								_ =&gt; _.Code,
								_ =&gt; _.Name,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configuration.CreateMap&lt;MstCmmCarSeriesDto, MstCmmCarSeries&gt;();
  configuration.CreateMap&lt;MstCmmCarSeries, MstCmmCarSeriesDto&gt;();
  configuration.CreateMap&lt;CreateOrEditMstCmmCarSeriesDto, MstCmmCarSeries&gt;();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363</v>
      </c>
      <c r="B9" s="28" t="s">
        <v>365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10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10;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[StringLength(MstCmmCarSeriesConsts.MaxCodeLength)]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3" t="str">
        <f t="shared" ref="T9" si="10">REPT(CHAR(9),8)&amp;"("""&amp;D9&amp;"""),"</f>
        <v xml:space="preserve">								("Code"),</v>
      </c>
      <c r="V9" s="64" t="str">
        <f t="shared" ref="V9" si="11">REPT(CHAR(9),8)&amp;"_ =&gt; _."&amp;D9&amp;","</f>
        <v xml:space="preserve">								_ =&gt; _.Code,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25">
      <c r="A10" s="28" t="s">
        <v>364</v>
      </c>
      <c r="B10" s="28" t="s">
        <v>358</v>
      </c>
      <c r="C10" t="s">
        <v>1</v>
      </c>
      <c r="D10" t="str">
        <f t="shared" ref="D10" si="13">SUBSTITUTE(PROPER(A10),"_","")</f>
        <v>Name</v>
      </c>
      <c r="E10" t="str">
        <f t="shared" ref="E10" si="14">IFERROR(LEFT(B10, FIND("(",B10)-1),B10)</f>
        <v>nvarchar</v>
      </c>
      <c r="F10" s="6"/>
      <c r="G10" t="str">
        <f t="shared" ref="G10" si="15">IFERROR(MID(B10,FIND("(",B10) +1, FIND(")",B10) - FIND("(",B10) - 1),"")</f>
        <v>50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MaxNameLength = 50;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[StringLength(MaxNameLength)]
		public virtual string Name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Name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[StringLength(MstCmmCarSeriesConsts.MaxNameLength)]
		public virtual string Name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Name { get; set; }
</v>
      </c>
      <c r="P10" t="str">
        <f t="shared" ref="P10" si="22">REPT(CHAR(9),7)&amp;D10&amp;" = o." &amp;D10 &amp;","</f>
        <v xml:space="preserve">							Name = o.Name,</v>
      </c>
      <c r="T10" s="63" t="str">
        <f t="shared" ref="T10" si="23">REPT(CHAR(9),8)&amp;"("""&amp;D10&amp;"""),"</f>
        <v xml:space="preserve">								("Name"),</v>
      </c>
      <c r="V10" s="64" t="str">
        <f t="shared" ref="V10" si="24">REPT(CHAR(9),8)&amp;"_ =&gt; _."&amp;D10&amp;","</f>
        <v xml:space="preserve">								_ =&gt; _.Name,</v>
      </c>
      <c r="W10" s="63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.WhereIf(!string.IsNullOrWhiteSpace(input.Name), e =&gt; e.Name.Contains(input.Name))</v>
      </c>
    </row>
    <row r="12" spans="1:23" ht="45.75" customHeight="1" x14ac:dyDescent="0.25">
      <c r="H12" s="11"/>
      <c r="I12" s="31" t="str">
        <f ca="1">TEXTJOIN2("
", TRUE,INDIRECT( $H$1):INDIRECT( $H$3))</f>
        <v xml:space="preserve">		public const int MaxCodeLength = 10;
		public const int MaxNameLength = 50;
</v>
      </c>
      <c r="J12" s="30" t="str">
        <f ca="1">TEXTJOIN2("
", TRUE,INDIRECT( $F$1):INDIRECT( $F$3))</f>
        <v xml:space="preserve">		[StringLength(MaxCodeLength)]
		public virtual string Code { get; set; }
		[StringLength(MaxNameLength)]
		public virtual string Name { get; set; }
</v>
      </c>
      <c r="K12" s="32" t="str">
        <f ca="1">TEXTJOIN2("
", TRUE,INDIRECT( $J$1):INDIRECT( $J$3))</f>
        <v/>
      </c>
      <c r="L12" s="12" t="s">
        <v>56</v>
      </c>
      <c r="M12" s="33" t="str">
        <f ca="1">TEXTJOIN2("
",TRUE,INDIRECT( $L$1):INDIRECT($L$3))</f>
        <v xml:space="preserve">		public virtual string Code { get; set; }
		public virtual string Name { get; set; }
</v>
      </c>
      <c r="N12" s="30" t="str">
        <f ca="1">TEXTJOIN2("
",TRUE,INDIRECT( $M$1):INDIRECT($M$3))</f>
        <v xml:space="preserve">		[StringLength(MstCmmCarSeriesConsts.MaxCodeLength)]
		public virtual string Code { get; set; }
		[StringLength(MstCmmCarSeriesConsts.MaxNameLength)]
		public virtual string Name { get; set; }
</v>
      </c>
      <c r="O12" s="30" t="str">
        <f ca="1">TEXTJOIN2("
",TRUE,INDIRECT( $N$1):INDIRECT($N$3))</f>
        <v xml:space="preserve">		public virtual string Code { get; set; }
		public virtual string Name { get; set; }
</v>
      </c>
      <c r="P12" s="8" t="str">
        <f ca="1">TEXTJOIN2("
",TRUE,INDIRECT( $O$1):INDIRECT($O$3))</f>
        <v xml:space="preserve">							Code = o.Code,
							Name = o.Name,</v>
      </c>
      <c r="T12" s="8" t="str">
        <f ca="1">TEXTJOIN2("
",TRUE,INDIRECT( $T$2):INDIRECT($T$3))</f>
        <v xml:space="preserve">								("Code"),
								("Name"),</v>
      </c>
      <c r="V12" s="8" t="str">
        <f ca="1">TEXTJOIN2("
",TRUE,INDIRECT( $V$2):INDIRECT($V$3))</f>
        <v xml:space="preserve">								_ =&gt; _.Code,
								_ =&gt; _.Name,</v>
      </c>
      <c r="W12" s="8" t="str">
        <f ca="1">TEXTJOIN2("
",TRUE,INDIRECT( $W$2):INDIRECT($W$3))</f>
        <v xml:space="preserve">				.WhereIf(!string.IsNullOrWhiteSpace(input.Code), e =&gt; e.Code.Contains(input.Code))
				.WhereIf(!string.IsNullOrWhiteSpace(input.Name), e =&gt; e.Name.Contains(input.Name))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8"/>
  <sheetViews>
    <sheetView tabSelected="1" workbookViewId="0">
      <selection activeCell="B25" sqref="B25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362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Cmm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cmm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MstCmmCarSeries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CarSeries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carseries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MstCmmCarSeriesDto, MstCmmCarSeriesServiceProxy } from '@shared/service-proxies/service-proxies';
import { finalize } from 'rxjs/internal/operators/finalize';
import { CreateOrEditCarSeriesModalComponent } from './create-or-edit-carseries-modal.component';
import { DatePipe } from '@angular/common';
import { FileDownloadService } from '@shared/utils/file-download.service';
import ceil from 'lodash-es/ceil';
import { Paginator } from 'primeng/paginator';
@Component({
    templateUrl: './carseries.component.html',
    styleUrls: ['./carseries.component.less'],
})
export class CarSeriesComponent extends AppComponentBase implements OnInit {
    @ViewChild('createOrEditModalCarSeries', { static: true }) createOrEditModalCarSeries:| CreateOrEditCarSeriesModalComponent|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MstCmmCarSeriesDto = new MstCmmCarSeriesDto();
    saveSelectedRow: MstCmmCarSeriesDto = new MstCmmCarSeriesDto();
    datas: MstCmmCarSeriesDto = new MstCmmCarSeriesDto();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MstCmmCarSeriesServiceProxy,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this.code,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code : string = '' ; 
	name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this.code,
			'',
            this.paginationParams.skipCount,
            this.paginationParams.pageSize
        );
    }
    onChangeRowSelection(params: { api: { getSelectedRows: () =&gt; MstCmmCarSeriesDto[] } }) {
        this.saveSelectedRow = params.api.getSelectedRows()[0] ?? new MstCmmCarSeriesDto();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MstCmmCarSeriesDto):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this._service.getCarSeriesToExcel(
			this.,
			this.code,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Setup Car Series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(click)="createOrEditModalCarSeries.show()"&gt;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(click)="createOrEditModalCarSeries.show(selectedRow)"&gt;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&lt;create-or-edit-carseries-modal
    #createOrEditModalCarSeries
    (modalSave)="callBackDataGrid(dataParams)"
    (modalClose)="onChangeRowSelection(dataParams)"
&gt;
&lt;/create-or-edit-carseries-modal&gt;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#createOrEditModalCarSeries="bs-modal"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CarSeries')}}&lt;/h3&gt;
                    &lt;h3 *ngIf="!rowdata.id"&gt;{{('Create New CarSeries')}}&lt;/h3&gt;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CreateOrEditMstCmmCarSeriesDto, MstCmmCarSeriesServiceProxy } from '@shared/service-proxies/service-proxies';
import { BsDatepickerDirective } from 'ngx-bootstrap/datepicker';
@Component({
    selector: 'create-or-edit-carseries-modal',
    templateUrl: './create-or-edit-carseries-modal.component.html',
    styleUrls: ['./create-or-edit-carseries-modal.component.less']
    })
export class CreateOrEditCarSeriesModalComponent extends AppComponentBase {
    @ViewChild('createOrEditModalCarSeries',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CreateOrEditMstCmmCarSeriesDto = new CreateOrEditMstCmmCarSeriesDto();
    active: boolean = false;
    saving: boolean = false;
    _: boolean;
    constructor(
        injector: Injector,
        private _mstwptCarSeriesService: MstCmmCarSeriesServiceProxy,
    ) 
    {
        super(injector);
    }
    show(rowdata?: CreateOrEditMstCmmCarSeriesDto): void {
        if (!rowdata) this.rowdata = new CreateOrEditMstCmmCarSeriesDto();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this._mstwptCarSeriesService.createOrEdit(this.rowdata)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CarSeriesRoutingModule } from './carseries-routing.module';
import { CarSeriesComponent } from './carseries.component';
import { CreateOrEditCarSeriesModalComponent } from './create-or-edit-carseries-modal.component';
@NgModule({
    declarations: [
       CarSeriesComponent, 
        CreateOrEditCarSeriesModalComponent
    ],
    imports: [
        AppSharedModule, CarSeriesRoutingModule]
})
export class CarSeriesModule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CarSeriesComponent } from './carseries.component';
const routes: Routes = [{
    path: '',
    component: CarSeriesComponent,
    pathMatch: 'full'
}];
@NgModule({
    imports: [RouterModule.forChild(routes)],
    exports: [RouterModule],
})
export class CarSeriesRoutingModule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AppMenuItem("CarSeries", "Pages.Master.Cmm.CarSeries", "flaticon-book",   "/app/main/master/cmm/carseries"),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'master/cmm/carseries',
    loadChildren: () =&gt; import('./master/cmm/carseries/carseries.module').then(m =&gt; m.CarSeriesModule),
    data: { permission: 'Pages.Master.Cmm.CarSeries' }
},</v>
      </c>
      <c r="R10" s="47" t="str">
        <f>SUBSTITUTE(R9,"MstWptCalendar",$B$6)</f>
        <v>ApiServiceProxies.MstCmmCarSeriesServiceProxy,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H16</v>
      </c>
      <c r="I12" s="28" t="str">
        <f>"I"&amp;COUNTA($A:$A)</f>
        <v>I16</v>
      </c>
      <c r="J12" s="28"/>
      <c r="K12" s="28" t="str">
        <f>"K"&amp;COUNTA($A:$A)</f>
        <v>K16</v>
      </c>
      <c r="L12" s="28" t="str">
        <f>"L"&amp;COUNTA($A:$A)</f>
        <v>L16</v>
      </c>
      <c r="M12" s="28"/>
      <c r="N12" s="28"/>
      <c r="O12" s="28"/>
      <c r="P12" s="28"/>
      <c r="Q12" s="28"/>
      <c r="R12" s="28"/>
      <c r="S12" s="28" t="str">
        <f>"S"&amp;COUNTA($A:$A)</f>
        <v>S16</v>
      </c>
      <c r="T12" s="28" t="str">
        <f>"T"&amp;COUNTA($A:$A)</f>
        <v>T16</v>
      </c>
      <c r="U12" s="28" t="str">
        <f>"U"&amp;COUNTA($A:$A)</f>
        <v>U16</v>
      </c>
      <c r="V12" s="28" t="str">
        <f>"V"&amp;COUNTA($A:$A)</f>
        <v>V16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this.l('Code'),headerTooltip: this.l('Code'),field: 'code',flex: 1},
			{headerName: this.l('Name'),headerTooltip: this.l('Name'),field: 'name',flex: 1},</v>
      </c>
      <c r="I13" s="35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code : string = '' ; 
	name : string = '' ; </v>
      </c>
      <c r="T13" s="62" t="str">
        <f ca="1">TEXTJOIN2("
",TRUE,INDIRECT(T11):INDIRECT(T12))</f>
        <v xml:space="preserve">			this.,
			this.code,</v>
      </c>
      <c r="U13" s="62" t="str">
        <f ca="1">TEXTJOIN2("
",TRUE,INDIRECT(U11):INDIRECT(U12))</f>
        <v xml:space="preserve">	code : string = '' ; 
	name : string = '' ; </v>
      </c>
      <c r="V13" s="28" t="str">
        <f ca="1">TEXTJOIN2("
",TRUE,INDIRECT(V11):INDIRECT(V12))</f>
        <v/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carseries.component.ts</v>
      </c>
      <c r="I14" s="37" t="str">
        <f>B8&amp;".component.html"</f>
        <v>carseries.component.html</v>
      </c>
      <c r="J14" s="36" t="str">
        <f>B8&amp;".component.less"</f>
        <v>carseries.component.less</v>
      </c>
      <c r="K14" s="37" t="str">
        <f>"create-or-edit-"&amp;B8&amp;"-modal.component.html"</f>
        <v>create-or-edit-carseries-modal.component.html</v>
      </c>
      <c r="L14" s="37" t="str">
        <f>"create-or-edit-"&amp;B8&amp;"-modal.component.ts"</f>
        <v>create-or-edit-carseries-modal.component.ts</v>
      </c>
      <c r="M14" s="37" t="str">
        <f>"create-or-edit-"&amp;B8&amp;"-modal.component.less"</f>
        <v>create-or-edit-carseries-modal.component.less</v>
      </c>
      <c r="N14" s="37" t="str">
        <f>B8&amp;".module.ts"</f>
        <v>carseries.module.ts</v>
      </c>
      <c r="O14" s="37" t="str">
        <f>B8&amp;"-routing.module.ts"</f>
        <v>carseries-routing.module.ts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363</v>
      </c>
      <c r="B15" s="28" t="str">
        <f t="shared" ref="B15" si="0">SUBSTITUTE(PROPER(A15),"_","")</f>
        <v>Code</v>
      </c>
      <c r="C15" s="28" t="str">
        <f t="shared" ref="C15" si="1">SUBSTITUTE(PROPER(A15),"_"," ")</f>
        <v>Code</v>
      </c>
      <c r="D15" s="28" t="str">
        <f t="shared" ref="D15" si="2">LOWER(LEFT(B15,1))&amp;RIGHT(B15,LEN(B15) - 1)</f>
        <v>code</v>
      </c>
      <c r="E15" s="28" t="str">
        <f>A.Backend!H9</f>
        <v>string</v>
      </c>
      <c r="F15" s="28" t="str">
        <f>A.Backend!G9</f>
        <v>10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5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code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code : string = '' ; </v>
      </c>
      <c r="V15" s="28" t="str">
        <f t="shared" ref="V15" si="7">IF(AND(E15="string",F15="1"),D15,"")</f>
        <v/>
      </c>
    </row>
    <row r="16" spans="1:22" ht="18" customHeight="1" x14ac:dyDescent="0.25">
      <c r="A16" s="28" t="s">
        <v>364</v>
      </c>
      <c r="B16" s="28" t="str">
        <f t="shared" ref="B16" si="8">SUBSTITUTE(PROPER(A16),"_","")</f>
        <v>Name</v>
      </c>
      <c r="C16" s="28" t="str">
        <f t="shared" ref="C16" si="9">SUBSTITUTE(PROPER(A16),"_"," ")</f>
        <v>Name</v>
      </c>
      <c r="D16" s="28" t="str">
        <f t="shared" ref="D16" si="10">LOWER(LEFT(B16,1))&amp;RIGHT(B16,LEN(B16) - 1)</f>
        <v>name</v>
      </c>
      <c r="E16" s="28" t="str">
        <f>A.Backend!H10</f>
        <v>string</v>
      </c>
      <c r="F16" s="28" t="str">
        <f>A.Backend!G10</f>
        <v>50</v>
      </c>
      <c r="G16" s="28" t="str">
        <f t="shared" ref="G16" si="11">IF(E16="string"," : string = '' ; ",IF(OR(E16="DateTime",E16="TimeSpan")," : any ;",IF(E16="int"," : number = 0 ;","")))</f>
        <v xml:space="preserve"> : string = '' ; </v>
      </c>
      <c r="H16" s="35" t="str">
        <f t="shared" ref="H16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this.l('Name'),headerTooltip: this.l('Name'),field: 'name',flex: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28"/>
      <c r="K16" s="35" t="str">
        <f t="shared" ref="K16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" si="15">IF(AND(E16="string",F16 &lt;&gt;"1"),(REPT(CHAR(9),1)&amp;D16&amp;G16),"")</f>
        <v xml:space="preserve">	name : string = '' ; </v>
      </c>
      <c r="T16" s="28" t="str">
        <f>IF(AND(E16="string",F16 &lt;&gt;"1"),(REPT(CHAR(9),3)&amp;"this."&amp;D15&amp;","),"")</f>
        <v xml:space="preserve">			this.code,</v>
      </c>
      <c r="U16" s="28" t="str">
        <f t="shared" ref="U16" si="16">IF(AND(E16="string",F16 &lt;&gt;"1"),(REPT(CHAR(9),1)&amp;D16&amp;G16),"")</f>
        <v xml:space="preserve">	name : string = '' ; </v>
      </c>
      <c r="V16" s="28" t="str">
        <f t="shared" ref="V16" si="17">IF(AND(E16="string",F16="1"),D16,"")</f>
        <v/>
      </c>
    </row>
    <row r="18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350</v>
      </c>
    </row>
    <row r="6" spans="1:2" x14ac:dyDescent="0.25">
      <c r="A6" t="s">
        <v>23</v>
      </c>
      <c r="B6" t="s">
        <v>349</v>
      </c>
    </row>
    <row r="7" spans="1:2" x14ac:dyDescent="0.25">
      <c r="A7" t="s">
        <v>24</v>
      </c>
      <c r="B7" t="s">
        <v>344</v>
      </c>
    </row>
    <row r="8" spans="1:2" x14ac:dyDescent="0.25">
      <c r="A8" t="s">
        <v>4</v>
      </c>
      <c r="B8" t="s">
        <v>344</v>
      </c>
    </row>
    <row r="9" spans="1:2" x14ac:dyDescent="0.25">
      <c r="A9" t="s">
        <v>0</v>
      </c>
      <c r="B9" t="s">
        <v>345</v>
      </c>
    </row>
    <row r="10" spans="1:2" x14ac:dyDescent="0.25">
      <c r="A10" t="s">
        <v>25</v>
      </c>
      <c r="B10" t="s">
        <v>348</v>
      </c>
    </row>
    <row r="11" spans="1:2" x14ac:dyDescent="0.25">
      <c r="A11" t="s">
        <v>26</v>
      </c>
      <c r="B11" t="s">
        <v>348</v>
      </c>
    </row>
    <row r="12" spans="1:2" x14ac:dyDescent="0.25">
      <c r="A12" t="s">
        <v>27</v>
      </c>
      <c r="B12" t="s">
        <v>348</v>
      </c>
    </row>
    <row r="13" spans="1:2" x14ac:dyDescent="0.25">
      <c r="A13" t="s">
        <v>28</v>
      </c>
      <c r="B13" t="s">
        <v>348</v>
      </c>
    </row>
    <row r="14" spans="1:2" x14ac:dyDescent="0.25">
      <c r="A14" t="s">
        <v>29</v>
      </c>
      <c r="B14" t="s">
        <v>348</v>
      </c>
    </row>
    <row r="15" spans="1:2" x14ac:dyDescent="0.25">
      <c r="A15" t="s">
        <v>30</v>
      </c>
      <c r="B15" t="s">
        <v>348</v>
      </c>
    </row>
    <row r="16" spans="1:2" x14ac:dyDescent="0.25">
      <c r="A16" t="s">
        <v>31</v>
      </c>
      <c r="B16" t="s">
        <v>346</v>
      </c>
    </row>
    <row r="17" spans="1:2" x14ac:dyDescent="0.25">
      <c r="A17" t="s">
        <v>3</v>
      </c>
      <c r="B17" t="s">
        <v>346</v>
      </c>
    </row>
    <row r="18" spans="1:2" x14ac:dyDescent="0.25">
      <c r="A18" t="s">
        <v>33</v>
      </c>
      <c r="B18" t="s">
        <v>346</v>
      </c>
    </row>
    <row r="19" spans="1:2" x14ac:dyDescent="0.25">
      <c r="A19" t="s">
        <v>2</v>
      </c>
      <c r="B19" t="s">
        <v>346</v>
      </c>
    </row>
    <row r="20" spans="1:2" x14ac:dyDescent="0.25">
      <c r="A20" t="s">
        <v>262</v>
      </c>
      <c r="B20" t="s">
        <v>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2023-09-04T03:53:15Z</dcterms:modified>
</cp:coreProperties>
</file>
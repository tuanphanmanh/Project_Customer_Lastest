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lus+\docs\design\master\common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5" l="1"/>
  <c r="L14" i="1"/>
  <c r="G14" i="1"/>
  <c r="E14" i="1"/>
  <c r="H14" i="1" s="1"/>
  <c r="D14" i="1"/>
  <c r="V14" i="1" s="1"/>
  <c r="B20" i="5" l="1"/>
  <c r="D20" i="5" s="1"/>
  <c r="F20" i="5" s="1"/>
  <c r="N14" i="1"/>
  <c r="I14" i="1"/>
  <c r="M14" i="1"/>
  <c r="O14" i="1"/>
  <c r="J14" i="1"/>
  <c r="P14" i="1"/>
  <c r="T14" i="1"/>
  <c r="B2" i="5"/>
  <c r="B3" i="5" s="1"/>
  <c r="B21" i="5"/>
  <c r="D21" i="5" s="1"/>
  <c r="C19" i="5"/>
  <c r="B18" i="5"/>
  <c r="D18" i="5" s="1"/>
  <c r="L15" i="1"/>
  <c r="G15" i="1"/>
  <c r="E15" i="1"/>
  <c r="H15" i="1" s="1"/>
  <c r="D15" i="1"/>
  <c r="V15" i="1" s="1"/>
  <c r="L13" i="1"/>
  <c r="G13" i="1"/>
  <c r="E13" i="1"/>
  <c r="H13" i="1" s="1"/>
  <c r="D13" i="1"/>
  <c r="V13" i="1" s="1"/>
  <c r="G12" i="1"/>
  <c r="E12" i="1"/>
  <c r="H12" i="1" s="1"/>
  <c r="D12" i="1"/>
  <c r="E20" i="5" l="1"/>
  <c r="H20" i="5"/>
  <c r="P13" i="1"/>
  <c r="O13" i="1"/>
  <c r="C18" i="5"/>
  <c r="F18" i="5" s="1"/>
  <c r="C21" i="5"/>
  <c r="B19" i="5"/>
  <c r="D19" i="5" s="1"/>
  <c r="F19" i="5" s="1"/>
  <c r="T13" i="1"/>
  <c r="J12" i="1"/>
  <c r="N12" i="1"/>
  <c r="I12" i="1"/>
  <c r="M12" i="1"/>
  <c r="O12" i="1"/>
  <c r="I15" i="1"/>
  <c r="N15" i="1"/>
  <c r="J15" i="1"/>
  <c r="O15" i="1"/>
  <c r="M15" i="1"/>
  <c r="I13" i="1"/>
  <c r="P12" i="1"/>
  <c r="J13" i="1"/>
  <c r="T12" i="1"/>
  <c r="V12" i="1"/>
  <c r="M13" i="1"/>
  <c r="P15" i="1"/>
  <c r="N13" i="1"/>
  <c r="T15" i="1"/>
  <c r="B6" i="5"/>
  <c r="E18" i="5" l="1"/>
  <c r="H18" i="5"/>
  <c r="H21" i="5"/>
  <c r="E21" i="5"/>
  <c r="E19" i="5"/>
  <c r="F21" i="5"/>
  <c r="H19" i="5"/>
  <c r="U7" i="1" l="1"/>
  <c r="B7" i="5" l="1"/>
  <c r="Q3" i="1" l="1"/>
  <c r="O7" i="1" s="1"/>
  <c r="V3" i="1"/>
  <c r="T3" i="1"/>
  <c r="F3" i="1"/>
  <c r="B4" i="5" l="1"/>
  <c r="N7" i="1"/>
  <c r="E38" i="3" s="1"/>
  <c r="K7" i="1"/>
  <c r="H6" i="1"/>
  <c r="O10" i="5" l="1"/>
  <c r="M45" i="3" s="1"/>
  <c r="N38" i="3" l="1"/>
  <c r="B8" i="5"/>
  <c r="B5" i="5"/>
  <c r="D9" i="1"/>
  <c r="M10" i="5" l="1"/>
  <c r="K45" i="3" s="1"/>
  <c r="N10" i="5"/>
  <c r="L45" i="3" s="1"/>
  <c r="I10" i="5"/>
  <c r="G45" i="3" s="1"/>
  <c r="B43" i="3"/>
  <c r="C43" i="3" s="1"/>
  <c r="J14" i="5"/>
  <c r="H44" i="3" s="1"/>
  <c r="I14" i="5"/>
  <c r="G44" i="3" s="1"/>
  <c r="H14" i="5"/>
  <c r="F44" i="3" s="1"/>
  <c r="L44" i="3"/>
  <c r="K44" i="3"/>
  <c r="L14" i="5"/>
  <c r="J44" i="3" s="1"/>
  <c r="K14" i="5"/>
  <c r="I44" i="3" s="1"/>
  <c r="G14" i="5"/>
  <c r="E44" i="3" s="1"/>
  <c r="F14" i="5"/>
  <c r="D44" i="3" s="1"/>
  <c r="E14" i="5"/>
  <c r="C44" i="3" s="1"/>
  <c r="L10" i="5"/>
  <c r="J45" i="3" s="1"/>
  <c r="K10" i="5"/>
  <c r="I45" i="3" s="1"/>
  <c r="J10" i="5"/>
  <c r="H45" i="3" s="1"/>
  <c r="G10" i="5"/>
  <c r="E45" i="3" s="1"/>
  <c r="N3" i="1" l="1"/>
  <c r="M3" i="1"/>
  <c r="O3" i="1"/>
  <c r="D10" i="1"/>
  <c r="D11" i="1"/>
  <c r="C15" i="5" l="1"/>
  <c r="B15" i="5"/>
  <c r="D15" i="5" s="1"/>
  <c r="F15" i="5" l="1"/>
  <c r="E12" i="5"/>
  <c r="F12" i="5"/>
  <c r="H12" i="5"/>
  <c r="H15" i="5"/>
  <c r="E15" i="5"/>
  <c r="C17" i="5"/>
  <c r="B17" i="5"/>
  <c r="D17" i="5" s="1"/>
  <c r="C16" i="5"/>
  <c r="B16" i="5"/>
  <c r="D16" i="5" s="1"/>
  <c r="F17" i="5" l="1"/>
  <c r="F16" i="5"/>
  <c r="H16" i="5"/>
  <c r="H17" i="5"/>
  <c r="E16" i="5"/>
  <c r="E17" i="5"/>
  <c r="R3" i="1"/>
  <c r="D1" i="1"/>
  <c r="F6" i="1"/>
  <c r="E13" i="5"/>
  <c r="H13" i="5"/>
  <c r="F13" i="5"/>
  <c r="H10" i="5" l="1"/>
  <c r="F45" i="3" s="1"/>
  <c r="E10" i="5"/>
  <c r="C45" i="3" s="1"/>
  <c r="F10" i="5"/>
  <c r="D45" i="3" s="1"/>
  <c r="V9" i="1"/>
  <c r="T9" i="1"/>
  <c r="T11" i="1"/>
  <c r="V11" i="1"/>
  <c r="V10" i="1"/>
  <c r="T10" i="1"/>
  <c r="L11" i="1"/>
  <c r="G9" i="1"/>
  <c r="G10" i="1"/>
  <c r="G11" i="1"/>
  <c r="E9" i="1"/>
  <c r="H9" i="1" s="1"/>
  <c r="E10" i="1"/>
  <c r="H10" i="1" s="1"/>
  <c r="E11" i="1"/>
  <c r="H11" i="1" s="1"/>
  <c r="P9" i="1"/>
  <c r="P10" i="1"/>
  <c r="P11" i="1"/>
  <c r="T17" i="1"/>
  <c r="V17" i="1"/>
  <c r="T7" i="1" l="1"/>
  <c r="O11" i="1"/>
  <c r="M11" i="1"/>
  <c r="I11" i="1"/>
  <c r="O10" i="1"/>
  <c r="M10" i="1"/>
  <c r="I10" i="1"/>
  <c r="O9" i="1"/>
  <c r="M9" i="1"/>
  <c r="I9" i="1"/>
  <c r="G6" i="1" l="1"/>
  <c r="L38" i="3" l="1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12" i="1" s="1"/>
  <c r="L9" i="1" l="1"/>
  <c r="L10" i="1"/>
  <c r="N11" i="1"/>
  <c r="J11" i="1"/>
  <c r="N9" i="1"/>
  <c r="J9" i="1"/>
  <c r="N10" i="1"/>
  <c r="J10" i="1"/>
  <c r="C7" i="1"/>
  <c r="O17" i="1"/>
  <c r="I17" i="1"/>
  <c r="N17" i="1"/>
  <c r="P17" i="1"/>
  <c r="J17" i="1"/>
  <c r="Q7" i="1" l="1"/>
  <c r="M38" i="3" s="1"/>
  <c r="L7" i="1"/>
  <c r="G38" i="3" s="1"/>
  <c r="K38" i="3"/>
  <c r="J38" i="3"/>
  <c r="K17" i="1"/>
  <c r="M17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<sst xmlns="http://schemas.openxmlformats.org/spreadsheetml/2006/main" count="346" uniqueCount="274">
  <si>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</si>
  <si>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</si>
  <si>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</si>
  <si>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</si>
  <si>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</si>
  <si>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</si>
  <si>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</si>
  <si>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</si>
  <si>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</si>
  <si>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</si>
  <si>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</si>
  <si>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</si>
  <si>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</si>
  <si>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</si>
  <si>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</si>
  <si>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</si>
  <si>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</si>
  <si>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</si>
  <si>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</si>
  <si>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</si>
  <si>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</si>
  <si>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</si>
  <si>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</si>
  <si>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</si>
  <si>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</si>
  <si>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</si>
  <si>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</si>
  <si>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</si>
  <si>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</si>
  <si>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</si>
  <si>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</si>
  <si>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</si>
  <si>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</si>
  <si>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</si>
  <si>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</si>
  <si>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</si>
  <si>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</si>
  <si>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</si>
  <si>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</si>
  <si>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</si>
  <si>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</si>
  <si>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</si>
  <si>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</si>
  <si>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</si>
  <si>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</si>
  <si>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</si>
  <si>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</si>
  <si>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</si>
  <si>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</si>
  <si>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</si>
  <si>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</si>
  <si>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</si>
  <si>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</si>
  <si>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</si>
  <si>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</si>
  <si>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</si>
  <si>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</si>
  <si>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</si>
  <si>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</si>
  <si>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</si>
  <si>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</si>
  <si>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</si>
  <si>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</si>
  <si>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</si>
  <si>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</si>
  <si>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</si>
  <si>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</si>
  <si>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</si>
  <si>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</si>
  <si>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</si>
  <si>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</si>
  <si>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</si>
  <si>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</si>
  <si>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</si>
  <si>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</si>
  <si>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</si>
  <si>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</si>
  <si>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</si>
  <si>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</si>
  <si>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</si>
  <si>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</si>
  <si>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</si>
  <si>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</si>
  <si>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</si>
  <si>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</si>
  <si>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</si>
  <si>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</si>
  <si>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</si>
  <si>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</si>
  <si>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</si>
  <si>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</si>
  <si>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</si>
  <si>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</si>
  <si>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</si>
  <si>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</si>
  <si>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</si>
  <si>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</si>
  <si>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</si>
  <si>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</si>
  <si>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</si>
  <si>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</si>
  <si>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</si>
  <si>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</si>
  <si>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</si>
  <si>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</si>
  <si>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</si>
  <si>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</si>
  <si>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</si>
  <si>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</si>
  <si>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</si>
  <si>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</si>
  <si>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</si>
  <si>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</si>
  <si>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</si>
  <si>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</si>
  <si>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</si>
  <si>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</si>
  <si>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</si>
  <si>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</si>
  <si>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</si>
  <si>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</si>
  <si>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</si>
  <si>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</si>
  <si>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</si>
  <si>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</si>
  <si>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</si>
  <si>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</si>
  <si>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</si>
  <si>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</si>
  <si>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</si>
  <si>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</si>
  <si>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</si>
  <si>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</si>
  <si>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</si>
  <si>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</si>
  <si>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</si>
  <si>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</si>
  <si>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</si>
  <si>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</si>
  <si>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</si>
  <si>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</si>
  <si>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</si>
  <si>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</si>
  <si>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</si>
  <si>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</si>
  <si>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</si>
  <si>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</si>
  <si>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</si>
  <si>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</si>
  <si>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</si>
  <si>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</si>
  <si>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</si>
  <si>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</si>
  <si>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</si>
  <si>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</si>
  <si>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</si>
  <si>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</si>
  <si>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</si>
  <si>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</si>
  <si>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</si>
  <si>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</si>
  <si>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</si>
  <si>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</si>
  <si>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</si>
  <si>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</si>
  <si>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</si>
  <si>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</si>
  <si>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</si>
  <si>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</si>
  <si>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</si>
  <si>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</si>
  <si>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</si>
  <si>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</si>
  <si>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</si>
  <si>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</si>
  <si>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</si>
  <si>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</si>
  <si>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</si>
  <si>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</si>
  <si>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</si>
  <si>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</si>
  <si>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</si>
  <si>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</si>
  <si>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</si>
  <si>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</si>
  <si>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</si>
  <si>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</si>
  <si>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</si>
  <si>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</si>
  <si>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</si>
  <si>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</si>
  <si>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</si>
  <si>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</si>
  <si>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</si>
  <si>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</si>
  <si>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</si>
  <si>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</si>
  <si>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</si>
  <si>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</si>
  <si>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</si>
  <si>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</si>
  <si>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</si>
  <si>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</si>
  <si>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</si>
  <si>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</si>
  <si>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</si>
  <si>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</si>
  <si>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</si>
  <si>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</si>
  <si>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</si>
  <si>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</si>
  <si>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</si>
  <si>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</si>
  <si>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</si>
  <si>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</si>
  <si>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</si>
  <si>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</si>
  <si>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</si>
  <si>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</si>
  <si>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</si>
  <si>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
                    &lt;PROPERTIES&gt;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</si>
  <si>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selector: 'create-or-edit-calendar-modal',
  templateUrl: './create-or-edit-calendar-modal.component.html',
  styleUrls: ['./create-or-edit-calendar-modal.component.less']
})
export class CreateOrEditCalendarModalComponent extends AppComponentBase {
  @ViewChild('createOrEditModalCalendar',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CreateOrEditMstWptCalendarDto = new CreateOrEditMstWptCalendarDto();
  active: boolean = false;
  saving: boolean = false;
  _isActive: boolean;
  constructor(
    injector: Injector,
    private _mstwptCalendarService: MstWptCalendarServiceProxy,
    ) {
    super(injector);
  }
  show(rowdata?: CreateOrEditMstWptCalendarDto): void {
    if (!rowdata) this.rowdata = new CreateOrEditMstWptCalendarDto();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this._mstwptCalendarService.createOrEdit(this.rowdata)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t>
  </si>
  <si>
    <t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</si>
  <si>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</si>
  <si>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</si>
  <si>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</si>
  <si>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</si>
  <si>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</si>
  <si>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</si>
  <si>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{
                        path: 'master/workingpattern/calendar',
                        loadChildren: () =&gt; import('./master/workingpattern/calendar/calendar.module').then(m =&gt; m.CalendarModule),
                        data: { permission: 'Pages.Master.WorkingPattern.Calendar' }
                    },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</si>
  <si>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</si>
  <si>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</si>
  <si>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</si>
  <si>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</si>
  <si>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</si>
  <si>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</si>
  <si>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</si>
  <si>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</si>
  <si>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</si>
  <si>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                                 "MasterWorkingPatternCalendar.xlsx",
                                 excelPackage =&gt;
                                 {
                                     var sheet = excelPackage.CreateSheet("Calendar");
                                     AddHeader(
                                               sheet,
                                                      &lt;PROPERTIES&gt;
                                               );
                                     AddObjects(
                                         sheet, 1, calendar,
                                         &lt;PROPERTIES1&gt;
                                         );
                                     for (var i = 0; i &lt; 8; i++)
                                     {
                                         sheet.AutoSizeColumn(i);
                                     }
                                 });
        }
    }
}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</si>
  <si>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</si>
  <si>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</si>
  <si>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</si>
  <si>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</si>
  <si>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</si>
  <si>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</si>
  <si>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</si>
  <si>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</si>
  <si>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</si>
  <si>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</si>
  <si>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</si>
  <si>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</si>
  <si>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</si>
  <si>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nvarchar(50)</t>
  </si>
  <si>
    <t>nvarchar(1)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</si>
  <si>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_repo.GetAll();
                       // .WhereIf(input.WorkingDate.HasValue, t =&gt; t.WorkingDate == input.WorkingDate.Value)
                       // .WhereIf(!string.IsNullOrWhiteSpace(input.WorkingType), e =&gt; e.WorkingType.Contains(input.WorkingType))
                        //.WhereIf(!string.IsNullOrWhiteSpace(input.WorkingStatus), e =&gt; e.WorkingStatus.Contains(input.WorkingStatus));
            var pageAndFiltered = filtered.OrderBy(s =&gt; s.WorkingType);
            var system = from o in pageAndFiltered
                         select new MstWptCalendarDto
                         {Id = o.Id,
                              &lt;PROPERTIES&gt;
 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{Id = o.Id,
                               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</si>
  <si>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E15</t>
  </si>
  <si>
    <t>F15</t>
  </si>
  <si>
    <t>H15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</si>
  <si>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
        | CreateOrEditCalendarModalComponent
        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filter: string = '';
    workingType: string = '';
    workingStatus: string = '';
    today: Date = new Date();
    pipe = new DatePipe('en-US');
    gridApi!: GridApi;
    rowSelection = 'multiple';
    workingDate: any;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
                headerName: this.l('STT'),
                headerTooltip: this.l('STT'),
                cellRenderer: (params) =&gt;
                    params.rowIndex + 1 + this.paginationParams.pageSize * (this.paginationParams.pageNum - 1),
                cellClass: ['text-center'],
                width: 55,
            },
          &lt;PROPERTIES&gt;      	  
        ];
    }
    ngOnInit(): void {
        this.paginationParams = { pageNum: 1, pageSize: 20, totalCount: 0 };
    }
    searchDatas(): void {
        // this.paginator.changePage(this.paginator.getPage());
        this._service
            .getAll(
                this.workingDate,
                this.workingType,
                this.workingStatus,
                undefined,
                '',
                '',
                '',
                this.paginationParams.skipCount,
                this.paginationParams.pageSize
            )
            .pipe(finalize(() =&gt; this.gridTableService.selectFirstRow(this.dataParams!.api)))
            .subscribe((result) =&gt; {
                this.paginationParams.totalCount = result.totalCount;
                this.rowData = result.items;
                this.paginationParams.totalPage = ceil(result.totalCount / (this.paginationParams.pageSize ?? 0));
            });
    }
    clearTextSearch() {
        this.workingDate = '';
        this.workingType = '';
        this.workingStatus = '';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           this.workingDate,
            this.workingType,
            this.workingStatus,
            undefined,
            '',
            '',
            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this.message.confirm(this.l('AreYouSureToDelete', system.workingType),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this._service.getCalendarToExcel(undefined, '', '', undefined, '', '').subscribe((result) =&gt; {
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</si>
  <si>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
                &lt;div class="prod-cont"&gt;
                    &lt;div class="ui-g-12"&gt;
                        &lt;div class="form-group m-form__group align-items-center"&gt;
                            &lt;div class="input-group"&gt;
                              &lt;!-- 	&lt;PROPERTIES&gt;  --&gt;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</si>
  <si>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Master.Common</t>
  </si>
  <si>
    <t>MstCmmLookup</t>
  </si>
  <si>
    <t>Lookup</t>
  </si>
  <si>
    <t>DOMAIN_CODE</t>
  </si>
  <si>
    <t>varchar(50)</t>
  </si>
  <si>
    <t>ITEM_CODE</t>
  </si>
  <si>
    <t>ITEM_VALUE</t>
  </si>
  <si>
    <t>nvarchar(1024)</t>
  </si>
  <si>
    <t>ITEM_ORDER</t>
  </si>
  <si>
    <t>DESCRIPTION</t>
  </si>
  <si>
    <t>IS_USE</t>
  </si>
  <si>
    <t>IS_RESTRICT</t>
  </si>
  <si>
    <t>Master Common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</si>
</sst>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opLeftCell="F35" workbookViewId="0">
      <selection activeCell="N38" sqref="N38"/>
    </sheetView>
  </sheetViews>
  <sheetFormatPr defaultRowHeight="15" x14ac:dyDescent="0.25"/>
  <cols>
    <col min="1" max="1" width="3.5703125" customWidth="1"/>
    <col min="2" max="2" width="18.5703125" customWidth="1"/>
    <col min="3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238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238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235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231</v>
      </c>
    </row>
    <row r="38" spans="1:14" s="16" customFormat="1" ht="21.75" customHeight="1" thickBot="1" x14ac:dyDescent="0.3">
      <c r="B38" s="52" t="s">
        <v>230</v>
      </c>
      <c r="C38" s="51" t="e">
        <f ca="1">A.Backend!J7</f>
        <v>#NAME?</v>
      </c>
      <c r="D38" s="51" t="str">
        <f>A.Backend!O7</f>
        <v xml:space="preserve">		public const string Pages_Master_Common_Lookup = "Pages.Master.Common.Lookup";
		public const string Pages_Master_Common_Lookup_CreateEdit = "Pages.Master.Common.Lookup.CreateEdit";
		public const string Pages_Master_Common_Lookup_Delete = "Pages.Master.Common.Lookup.Delete";
</v>
      </c>
      <c r="E38" s="51" t="str">
        <f>A.Backend!N7</f>
        <v xml:space="preserve">		var perMstCmmLookup = PARENTS.CreateChildPermission(AppPermissions.Pages_Master_Common_Lookup, L( "MasterCommonLookup"));
		perMstCmmLookup.CreateChildPermission(AppPermissions.Pages_Master_Common_Lookup_CreateEdit, L( "MasterCommonLookupCreateEdit"));
		perMstCmmLookup.CreateChildPermission(AppPermissions.Pages_Master_Common_Lookup_Delete, L( "MasterCommonLookupDelete"));</v>
      </c>
      <c r="F38" s="51" t="str">
        <f>A.Backend!K7</f>
        <v>public virtual DbSet&lt;MstCmmLookup&gt; MstCmmLookups { get; set; }</v>
      </c>
      <c r="G38" s="51" t="e">
        <f ca="1">A.Backend!L7</f>
        <v>#NAME?</v>
      </c>
      <c r="H38" s="51" t="e">
        <f ca="1">A.Backend!M7</f>
        <v>#NAME?</v>
      </c>
      <c r="I38" s="51" t="e">
        <f ca="1">A.Backend!R7</f>
        <v>#NAME?</v>
      </c>
      <c r="J38" s="51" t="str">
        <f>A.Backend!P7</f>
        <v xml:space="preserve">using Abp.Application.Services;
using Abp.Application.Services.Dto;
using System.Collections.Generic;using vovina.Dto;
using System.Threading.Tasks;
using vovina.Master.Common.Dto;
namespace vovina.Master.Common
{
	public interface IMstCmmLookupAppService : IApplicationService
	{
		Task&lt;PagedResultDto&lt;MstCmmLookupDto&gt;&gt; GetAll(GetMstCmmLookupInput input);
		Task CreateOrEdit(CreateOrEditMstCmmLookupDto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vovina.Master.Common.Dto;
namespace vovina.Master.Common.Exporting
{
	public interface IMstCmmLookupExcelExporter : IApplicationService
	{
		FileDto ExportToFile(List&lt;MstCmmLookupDto&gt; mstcmmlookup);
	}
}
</v>
      </c>
      <c r="L38" s="51" t="e">
        <f ca="1">A.Backend!T7</f>
        <v>#NAME?</v>
      </c>
      <c r="M38" s="59" t="e">
        <f ca="1">A.Backend!Q7</f>
        <v>#NAME?</v>
      </c>
      <c r="N38" s="62" t="str">
        <f>A.Backend!U7</f>
        <v xml:space="preserve">  configuration.CreateMap&lt;MstCmmLookupDto, MstCmmLookup&gt;();
  configuration.CreateMap&lt;MstCmmLookup, MstCmmLookupDto&gt;();
  configuration.CreateMap&lt;CreateOrEditMstCmmLookupDto, MstCmmLookup&gt;();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lookup</v>
      </c>
      <c r="C43" s="68" t="str">
        <f>"create folder " &amp;B43</f>
        <v>create folder lookup</v>
      </c>
      <c r="D43" s="68"/>
      <c r="E43" s="68"/>
      <c r="F43" s="68"/>
      <c r="G43" s="68"/>
      <c r="H43" s="68"/>
      <c r="I43" s="68"/>
      <c r="J43" s="68"/>
      <c r="K43" s="69" t="s">
        <v>232</v>
      </c>
      <c r="L43" s="69"/>
      <c r="M43" s="31"/>
    </row>
    <row r="44" spans="1:14" s="28" customFormat="1" ht="18" customHeight="1" x14ac:dyDescent="0.25">
      <c r="B44" s="60" t="s">
        <v>233</v>
      </c>
      <c r="C44" s="31" t="str">
        <f>B.Frontend!E14</f>
        <v>lookup.component.ts</v>
      </c>
      <c r="D44" s="31" t="str">
        <f>B.Frontend!F14</f>
        <v>lookup.component.html</v>
      </c>
      <c r="E44" s="31" t="str">
        <f>B.Frontend!G14</f>
        <v>lookup.component.less</v>
      </c>
      <c r="F44" s="31" t="str">
        <f>B.Frontend!H14</f>
        <v>create-or-edit-lookup-modal.component.html</v>
      </c>
      <c r="G44" s="31" t="str">
        <f>B.Frontend!I14</f>
        <v>create-or-edit-lookup-modal.component.ts</v>
      </c>
      <c r="H44" s="31" t="str">
        <f>B.Frontend!J14</f>
        <v>create-or-edit-lookup-modal.component.less</v>
      </c>
      <c r="I44" s="31" t="str">
        <f>B.Frontend!K14</f>
        <v>lookup.module.ts</v>
      </c>
      <c r="J44" s="31" t="str">
        <f>B.Frontend!L14</f>
        <v>lookup-routing.module.ts</v>
      </c>
      <c r="K44" s="31" t="str">
        <f>B.Frontend!M14</f>
        <v>app.navigation.service.ts</v>
      </c>
      <c r="L44" s="31" t="str">
        <f>B.Frontend!N14</f>
        <v>main.routing.module.ts</v>
      </c>
      <c r="M44" s="60" t="s">
        <v>236</v>
      </c>
    </row>
    <row r="45" spans="1:14" ht="21.75" customHeight="1" x14ac:dyDescent="0.25">
      <c r="B45" s="61" t="s">
        <v>230</v>
      </c>
      <c r="C45" s="49" t="e">
        <f ca="1">B.Frontend!E10</f>
        <v>#NAME?</v>
      </c>
      <c r="D45" s="49" t="e">
        <f ca="1">B.Frontend!F10</f>
        <v>#NAME?</v>
      </c>
      <c r="E45" s="49" t="str">
        <f>B.Frontend!G10</f>
        <v>.input-search{
    width: 250px;
    border-radius: 10px;
    margin-left: 10px;
}
.btn-search{
    width: 50px;
    margin-left: 10px;
}</v>
      </c>
      <c r="F45" s="49" t="e">
        <f ca="1">B.Frontend!H10</f>
        <v>#NAME?</v>
      </c>
      <c r="G45" s="49" t="str">
        <f>B.Frontend!I10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CreateOrEditMstCmmLookupDto, MstCmmLookupServiceProxy } from '@shared/service-proxies/service-proxies';
import { BsDatepickerDirective } from 'ngx-bootstrap/datepicker';
@Component({
  selector: 'create-or-edit-lookup-modal',
  templateUrl: './create-or-edit-lookup-modal.component.html',
  styleUrls: ['./create-or-edit-lookup-modal.component.less']
})
export class CreateOrEditLookupModalComponent extends AppComponentBase {
  @ViewChild('createOrEditModalLookup',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CreateOrEditMstCmmLookupDto = new CreateOrEditMstCmmLookupDto();
  active: boolean = false;
  saving: boolean = false;
  _isActive: boolean;
  constructor(
    injector: Injector,
    private _mstwptLookupService: MstCmmLookupServiceProxy,
    ) {
    super(injector);
  }
  show(rowdata?: CreateOrEditMstCmmLookupDto): void {
    if (!rowdata) this.rowdata = new CreateOrEditMstCmmLookupDto();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this._mstwptLookupService.createOrEdit(this.rowdata)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v>
      </c>
      <c r="H45" s="49" t="str">
        <f>B.Frontend!J10</f>
        <v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v>
      </c>
      <c r="I45" s="49" t="str">
        <f>B.Frontend!K10</f>
        <v>import {NgModule} from '@angular/core';
import {AppSharedModule} from '@app/shared/app-shared.module';
import { LookupRoutingModule } from './lookup-routing.module';
import { LookupComponent } from './lookup.component';
import { CreateOrEditLookupModalComponent } from './create-or-edit-lookup-modal.component';
@NgModule({
    declarations: [
       LookupComponent, 
        CreateOrEditLookupModalComponent
    ],
    imports: [
        AppSharedModule, LookupRoutingModule]
})
export class LookupModule {}</v>
      </c>
      <c r="J45" s="49" t="str">
        <f>B.Frontend!L10</f>
        <v>import {NgModule} from '@angular/core';
import {RouterModule, Routes} from '@angular/router';
import { LookupComponent } from './lookup.component';
const routes: Routes = [{
    path: '',
    component: LookupComponent,
    pathMatch: 'full'
}];
@NgModule({
    imports: [RouterModule.forChild(routes)],
    exports: [RouterModule],
})
export class LookupRoutingModule {}</v>
      </c>
      <c r="K45" s="49" t="str">
        <f>B.Frontend!M10</f>
        <v xml:space="preserve"> new AppMenuItem("Lookup", "Pages.Master.Common.Lookup", "flaticon-book",   "/app/main/master/common/lookup"),</v>
      </c>
      <c r="L45" s="50" t="str">
        <f>B.Frontend!N10</f>
        <v>{
                        path: 'master/common/lookup',
                        loadChildren: () =&gt; import('./master/common/lookup/lookup.module').then(m =&gt; m.LookupModule),
                        data: { permission: 'Pages.Master.Common.Lookup' }
                    },</v>
      </c>
      <c r="M45" s="48" t="str">
        <f>B.Frontend!O10</f>
        <v>ApiServiceProxies.MstCmmLookupServiceProxy,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7"/>
  <sheetViews>
    <sheetView tabSelected="1" workbookViewId="0">
      <pane xSplit="1" topLeftCell="B1" activePane="topRight" state="frozen"/>
      <selection pane="topRight" activeCell="D9" sqref="D9:D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20.7109375" style="8" customWidth="1"/>
    <col min="22" max="22" width="17.85546875" style="8" customWidth="1"/>
    <col min="23" max="16384" width="9.140625" style="8"/>
  </cols>
  <sheetData>
    <row r="1" spans="1:22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10" t="s">
        <v>255</v>
      </c>
      <c r="F1" s="11" t="s">
        <v>244</v>
      </c>
      <c r="H1" s="11" t="s">
        <v>245</v>
      </c>
      <c r="J1" s="11" t="s">
        <v>246</v>
      </c>
      <c r="L1" s="11" t="s">
        <v>247</v>
      </c>
      <c r="M1" s="11" t="s">
        <v>248</v>
      </c>
      <c r="N1" s="11" t="s">
        <v>249</v>
      </c>
      <c r="O1" s="11" t="s">
        <v>250</v>
      </c>
      <c r="T1" s="10" t="s">
        <v>239</v>
      </c>
      <c r="U1" s="10" t="s">
        <v>234</v>
      </c>
    </row>
    <row r="2" spans="1:22" s="11" customFormat="1" x14ac:dyDescent="0.25">
      <c r="A2" s="1" t="s">
        <v>12</v>
      </c>
      <c r="B2" s="30" t="s">
        <v>261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251</v>
      </c>
      <c r="V2" s="11" t="s">
        <v>252</v>
      </c>
    </row>
    <row r="3" spans="1:22" s="11" customFormat="1" ht="33" customHeight="1" x14ac:dyDescent="0.25">
      <c r="A3" s="1" t="s">
        <v>5</v>
      </c>
      <c r="B3" s="30" t="s">
        <v>262</v>
      </c>
      <c r="C3" s="10" t="s">
        <v>43</v>
      </c>
      <c r="D3" s="10" t="s">
        <v>44</v>
      </c>
      <c r="E3" s="10" t="s">
        <v>39</v>
      </c>
      <c r="F3" s="11" t="str">
        <f>"J"&amp;COUNTA($A:$A)</f>
        <v>J15</v>
      </c>
      <c r="G3" s="4" t="s">
        <v>57</v>
      </c>
      <c r="H3" s="10" t="str">
        <f>"I"&amp;COUNTA($A:$A)</f>
        <v>I15</v>
      </c>
      <c r="I3" s="10" t="str">
        <f>REPT(CHAR(9),2)&amp;"[Required]"&amp;"
"</f>
        <v xml:space="preserve">		[Required]
</v>
      </c>
      <c r="J3" s="11" t="str">
        <f>"L"&amp;COUNTA($A:$A)</f>
        <v>L15</v>
      </c>
      <c r="K3" s="5" t="s">
        <v>56</v>
      </c>
      <c r="L3" s="11" t="str">
        <f>"M"&amp;COUNTA($A:$A)</f>
        <v>M15</v>
      </c>
      <c r="M3" s="11" t="str">
        <f>"N"&amp;COUNTA($A:$A)</f>
        <v>N15</v>
      </c>
      <c r="N3" s="11" t="str">
        <f>"O"&amp;COUNTA($A:$A)</f>
        <v>O15</v>
      </c>
      <c r="O3" s="11" t="str">
        <f>"P"&amp;COUNTA($A:$A)</f>
        <v>P15</v>
      </c>
      <c r="Q3" s="11" t="str">
        <f>RIGHT(B2,(LEN(B2)-FIND(".",B2,1)))</f>
        <v>Common</v>
      </c>
      <c r="R3" s="32" t="str">
        <f>REPT(CHAR(9),1)&amp;"public class "&amp;B3&amp;"ExportInput"&amp;C3</f>
        <v xml:space="preserve">	public class MstCmmLookupExportInput{
</v>
      </c>
      <c r="S3" s="11" t="str">
        <f>"namespace "&amp;$B$6&amp;".Exporting
"&amp;$C$3</f>
        <v xml:space="preserve">namespace vovina.Master.Common.Exporting
{
</v>
      </c>
      <c r="T3" s="11" t="str">
        <f>"T"&amp;COUNTA($A:$A)</f>
        <v>T15</v>
      </c>
      <c r="V3" s="11" t="str">
        <f>"V"&amp;COUNTA($A:$A)</f>
        <v>V15</v>
      </c>
    </row>
    <row r="4" spans="1:22" s="11" customFormat="1" ht="33" customHeight="1" x14ac:dyDescent="0.25">
      <c r="A4" s="1" t="s">
        <v>242</v>
      </c>
      <c r="B4" s="64" t="s">
        <v>88</v>
      </c>
      <c r="C4" s="10"/>
      <c r="D4" s="10"/>
      <c r="E4" s="10"/>
      <c r="G4" s="4"/>
      <c r="H4" s="10"/>
      <c r="I4" s="10"/>
      <c r="K4" s="5"/>
      <c r="R4" s="32"/>
    </row>
    <row r="5" spans="1:22" s="11" customFormat="1" ht="33" customHeight="1" x14ac:dyDescent="0.25">
      <c r="A5" s="1" t="s">
        <v>243</v>
      </c>
      <c r="B5" s="64" t="s">
        <v>263</v>
      </c>
      <c r="C5" s="10"/>
      <c r="D5" s="10"/>
      <c r="E5" s="10"/>
      <c r="G5" s="4"/>
      <c r="H5" s="10"/>
      <c r="I5" s="10"/>
      <c r="K5" s="5"/>
      <c r="R5" s="32"/>
    </row>
    <row r="6" spans="1:22" customFormat="1" ht="16.5" customHeight="1" x14ac:dyDescent="0.25">
      <c r="A6" s="1" t="s">
        <v>6</v>
      </c>
      <c r="B6" s="10" t="str">
        <f>"vovina."&amp;B2</f>
        <v>vovina.Master.Common</v>
      </c>
      <c r="C6" s="11" t="str">
        <f>"namespace "&amp;$B$6&amp;"
"&amp;$C$3</f>
        <v xml:space="preserve">namespace vovina.Master.Common
{
</v>
      </c>
      <c r="D6" s="11" t="str">
        <f>REPT(CHAR(9),1)&amp;"public class "&amp;B3&amp;G3&amp;REPT(CHAR(9),1)&amp;"
"&amp;REPT(CHAR(9),1)&amp;C3</f>
        <v xml:space="preserve">	public class MstCmmLookup: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MstCmmLookupConsts	
	{
</v>
      </c>
      <c r="F6" s="11" t="str">
        <f>REPT(CHAR(9),1)&amp;"public class "&amp;B3&amp;"Dto"&amp;K3&amp;REPT(CHAR(9),1)&amp;"
"&amp;REPT(CHAR(9),1)&amp;C3</f>
        <v xml:space="preserve">	public class MstCmmLookupDto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CreateOrEditMstCmmLookupDto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GetMstCmmLookupInput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241</v>
      </c>
      <c r="O6" s="1" t="s">
        <v>240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231</v>
      </c>
    </row>
    <row r="7" spans="1:22" customFormat="1" ht="15.75" customHeight="1" x14ac:dyDescent="0.25">
      <c r="A7" s="1" t="s">
        <v>13</v>
      </c>
      <c r="B7" s="10" t="str">
        <f>B3</f>
        <v>MstCmmLookup</v>
      </c>
      <c r="C7" s="11" t="str">
        <f>REPT(CHAR(9),1)&amp;"[Table("""&amp;B7&amp;""")]"&amp;"
"</f>
        <v xml:space="preserve">	[Table("MstCmmLookup")]
</v>
      </c>
      <c r="D7" s="11"/>
      <c r="E7" s="11"/>
      <c r="F7" s="11"/>
      <c r="G7" s="11"/>
      <c r="H7" s="11"/>
      <c r="I7" s="11"/>
      <c r="J7" s="6" t="e">
        <f ca="1">SUBSTITUTE(SUBSTITUTE((B1&amp;C6&amp;C7&amp;K17&amp;D6&amp;I17&amp;E3&amp;J17&amp;""&amp;REPT(CHAR(9),1)&amp;D3&amp;D3),"WorkingPattern",$Q$3),"Master",$B$4)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DbSet&lt;MstCmmLookup&gt; MstCmmLookups { get; set; }</v>
      </c>
      <c r="L7" t="e">
        <f ca="1">SUBSTITUTE(SUBSTITUTE((C6&amp;E6&amp;I17&amp;"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perMstCmmLookup = PARENTS.CreateChildPermission(AppPermissions.Pages_Master_Common_Lookup, L( "MasterCommonLookup"));
		perMstCmmLookup.CreateChildPermission(AppPermissions.Pages_Master_Common_Lookup_CreateEdit, L( "MasterCommonLookupCreateEdit"));
		perMstCmmLookup.CreateChildPermission(AppPermissions.Pages_Master_Common_Lookup_Delete, L( "MasterCommonLookupDelete"));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Pages_Master_Common_Lookup = "Pages.Master.Common.Lookup";
		public const string Pages_Master_Common_Lookup_CreateEdit = "Pages.Master.Common.Lookup.CreateEdit";
		public const string Pages_Master_Common_Lookup_Delete = "Pages.Master.Common.Lookup.Delete";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vovina.Master.Common
{
	public interface IMstCmmLookupAppService : IApplicationService
	{
		Task&lt;PagedResultDto&lt;MstCmmLookupDto&gt;&gt; GetAll(GetMstCmmLookupInput input);
		Task CreateOrEdit(CreateOrEditMstCmmLookupDto input);
		Task Delete(EntityDto input);
	}
}
</v>
      </c>
      <c r="Q7" t="e">
        <f ca="1">SUBSTITUTE(SUBSTITUTE(SUBSTITUTE(SUBSTITUTE(SUBSTITUTE(E1,"MstWptCalendar",$B$3),"&lt;PROPERTIES&gt;",P17),"Calendar",$B$5),"WorkingPattern",$Q$3),"Master",$B$4)</f>
        <v>#NAME?</v>
      </c>
      <c r="R7" t="e">
        <f ca="1">SUBSTITUTE(SUBSTITUTE((C1&amp;"namespace "&amp;B6&amp;".Dto"&amp;E3&amp;C3&amp;R3&amp;M17&amp;E3&amp;REPT(CHAR(9),1)&amp;D3&amp;D3),"WorkingPattern",$Q$3),"Master",$B$4)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vovina.Master.Common.Exporting
{
	public interface IMstCmmLookupExcelExporter : IApplicationService
	{
		FileDto ExportToFile(List&lt;MstCmmLookupDto&gt; mstcmmlookup);
	}
}
</v>
      </c>
      <c r="T7" s="28" t="e">
        <f ca="1">SUBSTITUTE(SUBSTITUTE(SUBSTITUTE(SUBSTITUTE(SUBSTITUTE(SUBSTITUTE(SUBSTITUTE(T1,"MstWptCalendar",$B$3),"&lt;PROPERTIES1&gt;",V17),"&lt;PROPERTIES&gt;",T17),"Calendar",$B$5),"calendar",LOWER(B5)),"WorkingPattern",$Q$3),"Master",$B$4)</f>
        <v>#NAME?</v>
      </c>
      <c r="U7" s="28" t="str">
        <f>SUBSTITUTE(SUBSTITUTE(U1,"MstWptCalendar",$B$3),"Master",$B$4)</f>
        <v xml:space="preserve">  configuration.CreateMap&lt;MstCmmLookupDto, MstCmmLookup&gt;();
  configuration.CreateMap&lt;MstCmmLookup, MstCmmLookupDto&gt;();
  configuration.CreateMap&lt;CreateOrEditMstCmmLookupDto, MstCmmLookup&gt;();</v>
      </c>
      <c r="V7" s="28"/>
    </row>
    <row r="8" spans="1:22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</row>
    <row r="9" spans="1:22" customFormat="1" ht="22.5" customHeight="1" x14ac:dyDescent="0.25">
      <c r="A9" t="s">
        <v>264</v>
      </c>
      <c r="B9" t="s">
        <v>265</v>
      </c>
      <c r="C9" t="s">
        <v>1</v>
      </c>
      <c r="D9" t="str">
        <f>SUBSTITUTE(PROPER(A9),"_","")</f>
        <v>DomainCode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MaxDomainCodeLength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[StringLength(MaxDomainCodeLength)]
		public virtual string DomainCode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[Index(nameof(DomainCode), Name="IX_MstCmmLookup_DomainCode")]</v>
      </c>
      <c r="M9" t="str">
        <f t="shared" ref="M9:M11" si="4">REPT(CHAR(9),2)&amp;"public virtual "&amp;H9&amp;IF(C9="?","? "," ")&amp;D9&amp;" { get; set; }" &amp; "
"</f>
        <v xml:space="preserve">		public virtual string DomainCode { get; set; }
</v>
      </c>
      <c r="N9" t="str">
        <f t="shared" ref="N9:N11" si="5">IF(C9="Checked","",$I$3)&amp;IF(H9="string",REPT(CHAR(9),2)&amp;"[StringLength("&amp;$B$3&amp;"Consts.Max"&amp;D9&amp;"Length"&amp;")]"&amp;$E$3,"")&amp;REPT(CHAR(9),2)&amp;"public virtual "&amp;H9&amp;IF(C9="?","? "," ")&amp;D9&amp;" { get; set; }" &amp; "
"</f>
        <v xml:space="preserve">		[StringLength(MstCmmLookupConsts.MaxDomainCodeLength)]
		public virtual string DomainCode { get; set; }
</v>
      </c>
      <c r="O9" t="str">
        <f t="shared" ref="O9:O11" si="6">IF(OR(H9="string",H9="DateTime"),REPT(CHAR(9),2)&amp;"public virtual "&amp;H9&amp;IF(C9="?","? "," ")&amp;D9&amp;" { get; set; }"&amp;$E$3,"")</f>
        <v xml:space="preserve">		public virtual string DomainCode { get; set; }
</v>
      </c>
      <c r="P9" t="str">
        <f t="shared" ref="P9:P11" si="7">REPT(CHAR(9),7)&amp;D9&amp;" = o." &amp;D9 &amp;","</f>
        <v xml:space="preserve">							DomainCode = o.DomainCode,</v>
      </c>
      <c r="T9" s="28" t="str">
        <f>"("""&amp;D9&amp;"""),"</f>
        <v>("DomainCode"),</v>
      </c>
      <c r="V9" t="str">
        <f t="shared" ref="V9:V15" si="8">"_ =&gt; _."&amp;D9&amp;","</f>
        <v>_ =&gt; _.DomainCode,</v>
      </c>
    </row>
    <row r="10" spans="1:22" customFormat="1" ht="21" customHeight="1" x14ac:dyDescent="0.25">
      <c r="A10" t="s">
        <v>266</v>
      </c>
      <c r="B10" t="s">
        <v>253</v>
      </c>
      <c r="C10" t="s">
        <v>1</v>
      </c>
      <c r="D10" t="str">
        <f t="shared" ref="D10:D11" si="9">SUBSTITUTE(PROPER(A10),"_","")</f>
        <v>ItemCode</v>
      </c>
      <c r="E10" t="str">
        <f t="shared" si="0"/>
        <v>nvarchar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MaxItemCodeLength = 50;
</v>
      </c>
      <c r="J10" t="str">
        <f t="shared" si="3"/>
        <v xml:space="preserve">		[StringLength(MaxItemCodeLength)]
		public virtual string ItemCode { get; set; }
</v>
      </c>
      <c r="K10" s="7"/>
      <c r="L10" t="str">
        <f t="shared" ref="L10:L11" si="10">IF(K10="","",REPT(CHAR(9),1)&amp;"[Index(nameof("&amp;IF(D10="","",""&amp;D10)&amp;")"&amp;", Name="&amp;"""IX_"&amp;$B$7&amp;"_"&amp;D10&amp;""")]")</f>
        <v/>
      </c>
      <c r="M10" t="str">
        <f t="shared" si="4"/>
        <v xml:space="preserve">		public virtual string ItemCode { get; set; }
</v>
      </c>
      <c r="N10" t="str">
        <f t="shared" si="5"/>
        <v xml:space="preserve">		[StringLength(MstCmmLookupConsts.MaxItemCodeLength)]
		public virtual string ItemCode { get; set; }
</v>
      </c>
      <c r="O10" t="str">
        <f t="shared" si="6"/>
        <v xml:space="preserve">		public virtual string ItemCode { get; set; }
</v>
      </c>
      <c r="P10" t="str">
        <f t="shared" si="7"/>
        <v xml:space="preserve">							ItemCode = o.ItemCode,</v>
      </c>
      <c r="T10" s="28" t="str">
        <f t="shared" ref="T10:T11" si="11">"("""&amp;D10&amp;"""),"</f>
        <v>("ItemCode"),</v>
      </c>
      <c r="V10" t="str">
        <f t="shared" si="8"/>
        <v>_ =&gt; _.ItemCode,</v>
      </c>
    </row>
    <row r="11" spans="1:22" customFormat="1" ht="18.75" customHeight="1" x14ac:dyDescent="0.25">
      <c r="A11" t="s">
        <v>267</v>
      </c>
      <c r="B11" t="s">
        <v>268</v>
      </c>
      <c r="C11" t="s">
        <v>1</v>
      </c>
      <c r="D11" t="str">
        <f t="shared" si="9"/>
        <v>ItemValue</v>
      </c>
      <c r="E11" t="str">
        <f t="shared" si="0"/>
        <v>nvarchar</v>
      </c>
      <c r="F11" s="7" t="s">
        <v>19</v>
      </c>
      <c r="G11" t="str">
        <f t="shared" si="1"/>
        <v>1024</v>
      </c>
      <c r="H11" t="str">
        <f>+VLOOKUP(E11,'Data Type Mapping'!A:B,2,)</f>
        <v>string</v>
      </c>
      <c r="I11" t="str">
        <f t="shared" si="2"/>
        <v xml:space="preserve">		public const int MaxItemValueLength = 1024;
</v>
      </c>
      <c r="J11" t="str">
        <f t="shared" si="3"/>
        <v xml:space="preserve">		[Column(TypeName="nvarchar")]
		[StringLength(MaxItemValueLength)]
		public virtual string ItemValue { get; set; }
</v>
      </c>
      <c r="K11" s="7"/>
      <c r="L11" t="str">
        <f t="shared" si="10"/>
        <v/>
      </c>
      <c r="M11" t="str">
        <f t="shared" si="4"/>
        <v xml:space="preserve">		public virtual string ItemValue { get; set; }
</v>
      </c>
      <c r="N11" t="str">
        <f t="shared" si="5"/>
        <v xml:space="preserve">		[StringLength(MstCmmLookupConsts.MaxItemValueLength)]
		public virtual string ItemValue { get; set; }
</v>
      </c>
      <c r="O11" t="str">
        <f t="shared" si="6"/>
        <v xml:space="preserve">		public virtual string ItemValue { get; set; }
</v>
      </c>
      <c r="P11" t="str">
        <f t="shared" si="7"/>
        <v xml:space="preserve">							ItemValue = o.ItemValue,</v>
      </c>
      <c r="T11" s="28" t="str">
        <f t="shared" si="11"/>
        <v>("ItemValue"),</v>
      </c>
      <c r="V11" t="str">
        <f t="shared" si="8"/>
        <v>_ =&gt; _.ItemValue,</v>
      </c>
    </row>
    <row r="12" spans="1:22" customFormat="1" ht="22.5" customHeight="1" x14ac:dyDescent="0.25">
      <c r="A12" t="s">
        <v>269</v>
      </c>
      <c r="B12" t="s">
        <v>4</v>
      </c>
      <c r="C12" t="s">
        <v>1</v>
      </c>
      <c r="D12" t="str">
        <f>SUBSTITUTE(PROPER(A12),"_","")</f>
        <v>ItemOrder</v>
      </c>
      <c r="E12" t="str">
        <f t="shared" ref="E12:E15" si="12">IFERROR(LEFT(B12, FIND("(",B12)-1),B12)</f>
        <v>int</v>
      </c>
      <c r="F12" s="7"/>
      <c r="G12" t="str">
        <f t="shared" ref="G12:G15" si="13">IFERROR(MID(B12,FIND("(",B12) +1, FIND(")",B12) - FIND("(",B12) - 1),"")</f>
        <v/>
      </c>
      <c r="H12" t="str">
        <f>+VLOOKUP(E12,'Data Type Mapping'!A:B,2,)</f>
        <v>int</v>
      </c>
      <c r="I12" t="str">
        <f t="shared" ref="I12:I15" si="14">IF(H12="string",REPT(CHAR(9),2)&amp;"public const int Max"&amp;D12&amp;"Length = "&amp;G12&amp;";"&amp;$E$3,"" )</f>
        <v/>
      </c>
      <c r="J12" t="str">
        <f t="shared" ref="J12:J15" si="15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 ItemOrder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[Index(nameof(ItemOrder), Name="IX_MstCmmLookup_ItemOrder")]</v>
      </c>
      <c r="M12" t="str">
        <f t="shared" ref="M12:M15" si="16">REPT(CHAR(9),2)&amp;"public virtual "&amp;H12&amp;IF(C12="?","? "," ")&amp;D12&amp;" { get; set; }" &amp; "
"</f>
        <v xml:space="preserve">		public virtual int ItemOrder { get; set; }
</v>
      </c>
      <c r="N12" t="str">
        <f t="shared" ref="N12:N15" si="17">IF(C12="Checked","",$I$3)&amp;IF(H12="string",REPT(CHAR(9),2)&amp;"[StringLength("&amp;$B$3&amp;"Consts.Max"&amp;D12&amp;"Length"&amp;")]"&amp;$E$3,"")&amp;REPT(CHAR(9),2)&amp;"public virtual "&amp;H12&amp;IF(C12="?","? "," ")&amp;D12&amp;" { get; set; }" &amp; "
"</f>
        <v xml:space="preserve">		public virtual int ItemOrder { get; set; }
</v>
      </c>
      <c r="O12" t="str">
        <f t="shared" ref="O12:O15" si="18">IF(OR(H12="string",H12="DateTime"),REPT(CHAR(9),2)&amp;"public virtual "&amp;H12&amp;IF(C12="?","? "," ")&amp;D12&amp;" { get; set; }"&amp;$E$3,"")</f>
        <v/>
      </c>
      <c r="P12" t="str">
        <f t="shared" ref="P12:P15" si="19">REPT(CHAR(9),7)&amp;D12&amp;" = o." &amp;D12 &amp;","</f>
        <v xml:space="preserve">							ItemOrder = o.ItemOrder,</v>
      </c>
      <c r="T12" s="28" t="str">
        <f>"("""&amp;D12&amp;"""),"</f>
        <v>("ItemOrder"),</v>
      </c>
      <c r="V12" t="str">
        <f t="shared" si="8"/>
        <v>_ =&gt; _.ItemOrder,</v>
      </c>
    </row>
    <row r="13" spans="1:22" customFormat="1" ht="21" customHeight="1" x14ac:dyDescent="0.25">
      <c r="A13" t="s">
        <v>270</v>
      </c>
      <c r="B13" t="s">
        <v>268</v>
      </c>
      <c r="C13" t="s">
        <v>1</v>
      </c>
      <c r="D13" t="str">
        <f t="shared" ref="D13:D15" si="20">SUBSTITUTE(PROPER(A13),"_","")</f>
        <v>Description</v>
      </c>
      <c r="E13" t="str">
        <f t="shared" si="12"/>
        <v>nvarchar</v>
      </c>
      <c r="F13" s="7" t="s">
        <v>19</v>
      </c>
      <c r="G13" t="str">
        <f t="shared" si="13"/>
        <v>1024</v>
      </c>
      <c r="H13" t="str">
        <f>+VLOOKUP(E13,'Data Type Mapping'!A:B,2,)</f>
        <v>string</v>
      </c>
      <c r="I13" t="str">
        <f t="shared" si="14"/>
        <v xml:space="preserve">		public const int MaxDescriptionLength = 1024;
</v>
      </c>
      <c r="J13" t="str">
        <f t="shared" si="15"/>
        <v xml:space="preserve">		[Column(TypeName="nvarchar")]
		[StringLength(MaxDescriptionLength)]
		public virtual string Description { get; set; }
</v>
      </c>
      <c r="K13" s="7"/>
      <c r="L13" t="str">
        <f t="shared" ref="L13:L15" si="21">IF(K13="","",REPT(CHAR(9),1)&amp;"[Index(nameof("&amp;IF(D13="","",""&amp;D13)&amp;")"&amp;", Name="&amp;"""IX_"&amp;$B$7&amp;"_"&amp;D13&amp;""")]")</f>
        <v/>
      </c>
      <c r="M13" t="str">
        <f t="shared" si="16"/>
        <v xml:space="preserve">		public virtual string Description { get; set; }
</v>
      </c>
      <c r="N13" t="str">
        <f t="shared" si="17"/>
        <v xml:space="preserve">		[StringLength(MstCmmLookupConsts.MaxDescriptionLength)]
		public virtual string Description { get; set; }
</v>
      </c>
      <c r="O13" t="str">
        <f t="shared" si="18"/>
        <v xml:space="preserve">		public virtual string Description { get; set; }
</v>
      </c>
      <c r="P13" t="str">
        <f t="shared" si="19"/>
        <v xml:space="preserve">							Description = o.Description,</v>
      </c>
      <c r="T13" s="28" t="str">
        <f t="shared" ref="T13:T15" si="22">"("""&amp;D13&amp;"""),"</f>
        <v>("Description"),</v>
      </c>
      <c r="V13" t="str">
        <f t="shared" si="8"/>
        <v>_ =&gt; _.Description,</v>
      </c>
    </row>
    <row r="14" spans="1:22" customFormat="1" ht="18.75" customHeight="1" x14ac:dyDescent="0.25">
      <c r="A14" t="s">
        <v>271</v>
      </c>
      <c r="B14" t="s">
        <v>254</v>
      </c>
      <c r="C14" t="s">
        <v>1</v>
      </c>
      <c r="D14" t="str">
        <f t="shared" ref="D14" si="23">SUBSTITUTE(PROPER(A14),"_","")</f>
        <v>IsUse</v>
      </c>
      <c r="E14" t="str">
        <f t="shared" ref="E14" si="24">IFERROR(LEFT(B14, FIND("(",B14)-1),B14)</f>
        <v>nvarchar</v>
      </c>
      <c r="F14" s="7"/>
      <c r="G14" t="str">
        <f t="shared" ref="G14" si="25">IFERROR(MID(B14,FIND("(",B14) +1, FIND(")",B14) - FIND("(",B14) - 1),"")</f>
        <v>1</v>
      </c>
      <c r="H14" t="str">
        <f>+VLOOKUP(E14,'Data Type Mapping'!A:B,2,)</f>
        <v>string</v>
      </c>
      <c r="I14" t="str">
        <f t="shared" ref="I14" si="26">IF(H14="string",REPT(CHAR(9),2)&amp;"public const int Max"&amp;D14&amp;"Length = "&amp;G14&amp;";"&amp;$E$3,"" )</f>
        <v xml:space="preserve">		public const int MaxIsUseLength = 1;
</v>
      </c>
      <c r="J14" t="str">
        <f t="shared" ref="J14" si="27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[StringLength(MaxIsUseLength)]
		public virtual string IsUse { get; set; }
</v>
      </c>
      <c r="K14" s="7"/>
      <c r="L14" t="str">
        <f t="shared" ref="L14" si="28">IF(K14="","",REPT(CHAR(9),1)&amp;"[Index(nameof("&amp;IF(D14="","",""&amp;D14)&amp;")"&amp;", Name="&amp;"""IX_"&amp;$B$7&amp;"_"&amp;D14&amp;""")]")</f>
        <v/>
      </c>
      <c r="M14" t="str">
        <f t="shared" ref="M14" si="29">REPT(CHAR(9),2)&amp;"public virtual "&amp;H14&amp;IF(C14="?","? "," ")&amp;D14&amp;" { get; set; }" &amp; "
"</f>
        <v xml:space="preserve">		public virtual string IsUse { get; set; }
</v>
      </c>
      <c r="N14" t="str">
        <f t="shared" ref="N14" si="30">IF(C14="Checked","",$I$3)&amp;IF(H14="string",REPT(CHAR(9),2)&amp;"[StringLength("&amp;$B$3&amp;"Consts.Max"&amp;D14&amp;"Length"&amp;")]"&amp;$E$3,"")&amp;REPT(CHAR(9),2)&amp;"public virtual "&amp;H14&amp;IF(C14="?","? "," ")&amp;D14&amp;" { get; set; }" &amp; "
"</f>
        <v xml:space="preserve">		[StringLength(MstCmmLookupConsts.MaxIsUseLength)]
		public virtual string IsUse { get; set; }
</v>
      </c>
      <c r="O14" t="str">
        <f t="shared" ref="O14" si="31">IF(OR(H14="string",H14="DateTime"),REPT(CHAR(9),2)&amp;"public virtual "&amp;H14&amp;IF(C14="?","? "," ")&amp;D14&amp;" { get; set; }"&amp;$E$3,"")</f>
        <v xml:space="preserve">		public virtual string IsUse { get; set; }
</v>
      </c>
      <c r="P14" t="str">
        <f t="shared" ref="P14" si="32">REPT(CHAR(9),7)&amp;D14&amp;" = o." &amp;D14 &amp;","</f>
        <v xml:space="preserve">							IsUse = o.IsUse,</v>
      </c>
      <c r="T14" s="28" t="str">
        <f t="shared" ref="T14" si="33">"("""&amp;D14&amp;"""),"</f>
        <v>("IsUse"),</v>
      </c>
      <c r="V14" t="str">
        <f t="shared" ref="V14" si="34">"_ =&gt; _."&amp;D14&amp;","</f>
        <v>_ =&gt; _.IsUse,</v>
      </c>
    </row>
    <row r="15" spans="1:22" customFormat="1" ht="18.75" customHeight="1" x14ac:dyDescent="0.25">
      <c r="A15" t="s">
        <v>272</v>
      </c>
      <c r="B15" t="s">
        <v>254</v>
      </c>
      <c r="C15" t="s">
        <v>1</v>
      </c>
      <c r="D15" t="str">
        <f t="shared" si="20"/>
        <v>IsRestrict</v>
      </c>
      <c r="E15" t="str">
        <f t="shared" si="12"/>
        <v>nvarchar</v>
      </c>
      <c r="F15" s="7"/>
      <c r="G15" t="str">
        <f t="shared" si="13"/>
        <v>1</v>
      </c>
      <c r="H15" t="str">
        <f>+VLOOKUP(E15,'Data Type Mapping'!A:B,2,)</f>
        <v>string</v>
      </c>
      <c r="I15" t="str">
        <f t="shared" si="14"/>
        <v xml:space="preserve">		public const int MaxIsRestrictLength = 1;
</v>
      </c>
      <c r="J15" t="str">
        <f t="shared" si="15"/>
        <v xml:space="preserve">		[StringLength(MaxIsRestrictLength)]
		public virtual string IsRestrict { get; set; }
</v>
      </c>
      <c r="K15" s="7"/>
      <c r="L15" t="str">
        <f t="shared" si="21"/>
        <v/>
      </c>
      <c r="M15" t="str">
        <f t="shared" si="16"/>
        <v xml:space="preserve">		public virtual string IsRestrict { get; set; }
</v>
      </c>
      <c r="N15" t="str">
        <f t="shared" si="17"/>
        <v xml:space="preserve">		[StringLength(MstCmmLookupConsts.MaxIsRestrictLength)]
		public virtual string IsRestrict { get; set; }
</v>
      </c>
      <c r="O15" t="str">
        <f t="shared" si="18"/>
        <v xml:space="preserve">		public virtual string IsRestrict { get; set; }
</v>
      </c>
      <c r="P15" t="str">
        <f t="shared" si="19"/>
        <v xml:space="preserve">							IsRestrict = o.IsRestrict,</v>
      </c>
      <c r="T15" s="28" t="str">
        <f t="shared" si="22"/>
        <v>("IsRestrict"),</v>
      </c>
      <c r="V15" t="str">
        <f t="shared" si="8"/>
        <v>_ =&gt; _.IsRestrict,</v>
      </c>
    </row>
    <row r="17" spans="8:22" ht="45.75" customHeight="1" x14ac:dyDescent="0.25">
      <c r="H17" s="12"/>
      <c r="I17" s="34" t="e">
        <f ca="1">TEXTJOIN2("
", TRUE,INDIRECT( $H$1):INDIRECT( $H$3))</f>
        <v>#NAME?</v>
      </c>
      <c r="J17" s="33" t="e">
        <f ca="1">TEXTJOIN2("
", TRUE,INDIRECT( $F$1):INDIRECT( $F$3))</f>
        <v>#NAME?</v>
      </c>
      <c r="K17" s="35" t="e">
        <f ca="1">TEXTJOIN2("
", TRUE,INDIRECT( $J$1):INDIRECT( $J$3))</f>
        <v>#NAME?</v>
      </c>
      <c r="L17" s="13" t="s">
        <v>60</v>
      </c>
      <c r="M17" s="36" t="e">
        <f ca="1">TEXTJOIN2("
",TRUE,INDIRECT( $L$1):INDIRECT($L$3))</f>
        <v>#NAME?</v>
      </c>
      <c r="N17" s="33" t="e">
        <f ca="1">TEXTJOIN2("
",TRUE,INDIRECT( $M$1):INDIRECT($M$3))</f>
        <v>#NAME?</v>
      </c>
      <c r="O17" s="33" t="e">
        <f ca="1">TEXTJOIN2("
",TRUE,INDIRECT( $N$1):INDIRECT($N$3))</f>
        <v>#NAME?</v>
      </c>
      <c r="P17" s="9" t="e">
        <f ca="1">TEXTJOIN2("
",TRUE,INDIRECT( $O$1):INDIRECT($O$3))</f>
        <v>#NAME?</v>
      </c>
      <c r="T17" s="9" t="e">
        <f ca="1">TEXTJOIN2("
",TRUE,INDIRECT( $T$2):INDIRECT($T$3))</f>
        <v>#NAME?</v>
      </c>
      <c r="V17" s="9" t="e">
        <f ca="1">TEXTJOIN2("
",TRUE,INDIRECT( $V$2):INDIRECT($V$3))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4"/>
  <sheetViews>
    <sheetView workbookViewId="0">
      <selection activeCell="E20" sqref="E20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4" width="15.140625" customWidth="1"/>
    <col min="5" max="5" width="24.42578125" customWidth="1"/>
    <col min="6" max="6" width="26.140625" customWidth="1"/>
    <col min="7" max="7" width="22.28515625" customWidth="1"/>
    <col min="8" max="8" width="25.85546875" customWidth="1"/>
    <col min="9" max="9" width="23.7109375" customWidth="1"/>
    <col min="10" max="10" width="23.42578125" customWidth="1"/>
    <col min="11" max="11" width="20.42578125" customWidth="1"/>
    <col min="12" max="12" width="20.5703125" customWidth="1"/>
    <col min="13" max="13" width="25.85546875" customWidth="1"/>
    <col min="14" max="15" width="25.42578125" customWidth="1"/>
  </cols>
  <sheetData>
    <row r="1" spans="1:15" ht="45" x14ac:dyDescent="0.25">
      <c r="A1" s="41" t="s">
        <v>212</v>
      </c>
      <c r="B1" s="42" t="s">
        <v>273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1:15" x14ac:dyDescent="0.25">
      <c r="A2" s="41" t="s">
        <v>242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</row>
    <row r="3" spans="1:15" x14ac:dyDescent="0.25">
      <c r="A3" s="41" t="s">
        <v>242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</row>
    <row r="4" spans="1:15" x14ac:dyDescent="0.25">
      <c r="A4" s="41" t="s">
        <v>214</v>
      </c>
      <c r="B4" s="43" t="str">
        <f>A.Backend!Q3</f>
        <v>Common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</row>
    <row r="5" spans="1:15" x14ac:dyDescent="0.25">
      <c r="A5" s="41" t="s">
        <v>214</v>
      </c>
      <c r="B5" s="43" t="str">
        <f>LOWER(B4)</f>
        <v>common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</row>
    <row r="6" spans="1:15" x14ac:dyDescent="0.25">
      <c r="A6" s="41" t="s">
        <v>227</v>
      </c>
      <c r="B6" s="44" t="str">
        <f>A.Backend!B3</f>
        <v>MstCmmLookup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</row>
    <row r="7" spans="1:15" x14ac:dyDescent="0.25">
      <c r="A7" s="41" t="s">
        <v>215</v>
      </c>
      <c r="B7" s="43" t="str">
        <f>A.Backend!B5</f>
        <v>Lookup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</row>
    <row r="8" spans="1:15" x14ac:dyDescent="0.25">
      <c r="A8" s="41" t="s">
        <v>213</v>
      </c>
      <c r="B8" s="43" t="str">
        <f>LOWER(B7)</f>
        <v>lookup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</row>
    <row r="9" spans="1:15" ht="18.75" customHeight="1" x14ac:dyDescent="0.25">
      <c r="A9" s="53" t="s">
        <v>216</v>
      </c>
      <c r="B9" s="54"/>
      <c r="C9" s="53"/>
      <c r="D9" s="53"/>
      <c r="E9" s="45" t="s">
        <v>259</v>
      </c>
      <c r="F9" s="46" t="s">
        <v>260</v>
      </c>
      <c r="G9" s="45" t="s">
        <v>219</v>
      </c>
      <c r="H9" s="47" t="s">
        <v>220</v>
      </c>
      <c r="I9" s="46" t="s">
        <v>221</v>
      </c>
      <c r="J9" s="45" t="s">
        <v>222</v>
      </c>
      <c r="K9" s="45" t="s">
        <v>223</v>
      </c>
      <c r="L9" s="45" t="s">
        <v>224</v>
      </c>
      <c r="M9" s="46" t="s">
        <v>226</v>
      </c>
      <c r="N9" s="45" t="s">
        <v>229</v>
      </c>
      <c r="O9" s="45" t="s">
        <v>237</v>
      </c>
    </row>
    <row r="10" spans="1:15" ht="18.75" customHeight="1" x14ac:dyDescent="0.25">
      <c r="A10" s="55" t="s">
        <v>217</v>
      </c>
      <c r="B10" s="56"/>
      <c r="C10" s="57"/>
      <c r="D10" s="57"/>
      <c r="E10" s="48" t="e">
        <f ca="1">SUBSTITUTE(SUBSTITUTE(SUBSTITUTE(SUBSTITUTE(E9,"MstWptCalendar",$B$6),"Calendar",$B$7),"calendar",$B$8),"&lt;PROPERTIES&gt;",E13)</f>
        <v>#NAME?</v>
      </c>
      <c r="F10" s="48" t="e">
        <f ca="1">SUBSTITUTE(SUBSTITUTE(SUBSTITUTE(SUBSTITUTE(SUBSTITUTE(F9,"MstWptCalendar",$B$6),"Calendar",$B$7),"calendar",$B$8),"&lt;PROPERTIES&gt;",F13),"&lt;FULL_TITLE&gt;",B1)</f>
        <v>#NAME?</v>
      </c>
      <c r="G10" s="48" t="str">
        <f>G9</f>
        <v>.input-search{
    width: 250px;
    border-radius: 10px;
    margin-left: 10px;
}
.btn-search{
    width: 50px;
    margin-left: 10px;
}</v>
      </c>
      <c r="H10" s="48" t="e">
        <f ca="1">SUBSTITUTE(SUBSTITUTE(SUBSTITUTE(SUBSTITUTE(H9,"MstWptCalendar",$B$6),"Calendar",$B$7),"calendar",$B$8),"&lt;PROPERTIES&gt;",H13)</f>
        <v>#NAME?</v>
      </c>
      <c r="I10" s="48" t="str">
        <f>SUBSTITUTE(SUBSTITUTE(SUBSTITUTE(I9,"MstWptCalendar",$B$6),"Calendar",$B$7),"calendar",$B$8)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CreateOrEditMstCmmLookupDto, MstCmmLookupServiceProxy } from '@shared/service-proxies/service-proxies';
import { BsDatepickerDirective } from 'ngx-bootstrap/datepicker';
@Component({
  selector: 'create-or-edit-lookup-modal',
  templateUrl: './create-or-edit-lookup-modal.component.html',
  styleUrls: ['./create-or-edit-lookup-modal.component.less']
})
export class CreateOrEditLookupModalComponent extends AppComponentBase {
  @ViewChild('createOrEditModalLookup', { static: true }) modal: ModalDirective | undefined;
  @ViewChild('nameInput') nameInput: ElementRef;
  @ViewChild('datepicker', { static: false }) datepicker!: BsDatepickerDirective;
  @Output() modalSave: EventEmitter&lt;any&gt; = new EventEmitter&lt;any&gt;();
  @Output() modalClose: EventEmitter&lt;any&gt; = new EventEmitter&lt;any&gt;();
  rowdata: CreateOrEditMstCmmLookupDto = new CreateOrEditMstCmmLookupDto();
  active: boolean = false;
  saving: boolean = false;
  _isActive: boolean;
  constructor(
    injector: Injector,
    private _mstwptLookupService: MstCmmLookupServiceProxy,
    ) {
    super(injector);
  }
  show(rowdata?: CreateOrEditMstCmmLookupDto): void {
    if (!rowdata) this.rowdata = new CreateOrEditMstCmmLookupDto();
    else this.rowdata = rowdata;
    const dateValue =  this.rowdata.workingDate ? new Date(this.rowdata.workingDate?.toString()) : new Date();
    this.datepicker?.bsValueChange.emit(dateValue);
    this._isActive = (this.rowdata.isActive == "N")? false: true;
    this.active = true;
    this.modal.show();
  } 
  changeActive(event){
    this._isActive = event.target.checked;
  }
  save(): void {
    this.saving = true; 
    this.rowdata.isActive = (this._isActive == true) ? 'Y' : 'N'
    this._mstwptLookupService.createOrEdit(this.rowdata)
      .pipe( finalize(() =&gt;  this.saving = false))
      .subscribe(() =&gt; {
        this.notify.info(this.l('SavedSuccessfully'));
        this.close();
        this.modal?.hide();
        this.modalSave.emit(this.rowdata);
      });
    this.saving = false;
  }
  close(): void {
    this.active = false;
    this.modal?.hide();
    this.modalClose.emit(null);
  }
  @HostListener('document:keydown', ['$event']) 
    onKeydownHandler(event: KeyboardEvent) {
    if (event.key === "Escape") {
        this.close();
    }
}
}</v>
      </c>
      <c r="J10" s="48" t="str">
        <f>J9</f>
        <v>.modal-header{
  border-bottom: none;
}
.title-form{
  margin-left: 40% !important;
}
.form-input{
  margin-left: 3%;
  margin-top: 2%;
}
.form-input .form-group .title{
  border-radius: 5px !important;
  padding-top: 1% !important;
  text-align: center;
  background-color: #b3ecec !important;
}
.form-input .form-group .input-text{
  border-radius: 5px !important;
  text-align: center;
  border: 1px solid #d8b3fb !important;
}
.form-input .form-group .checkboxActive{
  text-align: left !important;
  padding-left: 15%;
}</v>
      </c>
      <c r="K10" s="48" t="str">
        <f>SUBSTITUTE(SUBSTITUTE(SUBSTITUTE(K9,"MstWptCalendar",$B$6),"Calendar",$B$7),"calendar",$B$8)</f>
        <v>import {NgModule} from '@angular/core';
import {AppSharedModule} from '@app/shared/app-shared.module';
import { LookupRoutingModule } from './lookup-routing.module';
import { LookupComponent } from './lookup.component';
import { CreateOrEditLookupModalComponent } from './create-or-edit-lookup-modal.component';
@NgModule({
    declarations: [
       LookupComponent, 
        CreateOrEditLookupModalComponent
    ],
    imports: [
        AppSharedModule, LookupRoutingModule]
})
export class LookupModule {}</v>
      </c>
      <c r="L10" s="48" t="str">
        <f>SUBSTITUTE(SUBSTITUTE(SUBSTITUTE(L9,"MstWptCalendar",$B$6),"Calendar",$B$7),"calendar",$B$8)</f>
        <v>import {NgModule} from '@angular/core';
import {RouterModule, Routes} from '@angular/router';
import { LookupComponent } from './lookup.component';
const routes: Routes = [{
    path: '',
    component: LookupComponent,
    pathMatch: 'full'
}];
@NgModule({
    imports: [RouterModule.forChild(routes)],
    exports: [RouterModule],
})
export class LookupRoutingModule {}</v>
      </c>
      <c r="M10" s="48" t="str">
        <f>SUBSTITUTE(SUBSTITUTE(SUBSTITUTE(SUBSTITUTE(SUBSTITUTE(SUBSTITUTE(SUBSTITUTE(M9,"MstWptCalendar",$B$6),"Calendar",$B$7),"calendar",$B$8),"WorkingPattern",$B$4),"workingpattern",$B$5),"Master",$B$2),"master",$B$3)</f>
        <v xml:space="preserve"> new AppMenuItem("Lookup", "Pages.Master.Common.Lookup", "flaticon-book",   "/app/main/master/common/lookup"),</v>
      </c>
      <c r="N10" s="48" t="str">
        <f>SUBSTITUTE(SUBSTITUTE(SUBSTITUTE(SUBSTITUTE(SUBSTITUTE(SUBSTITUTE(SUBSTITUTE(N9,"MstWptCalendar",$B$6),"Calendar",$B$7),"calendar",$B$8),"WorkingPattern",$B$4),"workingpattern",$B$5),"Master",$B$2),"master",$B$3)</f>
        <v>{
                        path: 'master/common/lookup',
                        loadChildren: () =&gt; import('./master/common/lookup/lookup.module').then(m =&gt; m.LookupModule),
                        data: { permission: 'Pages.Master.Common.Lookup' }
                    },</v>
      </c>
      <c r="O10" s="50" t="str">
        <f>SUBSTITUTE(O9,"MstWptCalendar",$B$6)</f>
        <v>ApiServiceProxies.MstCmmLookupServiceProxy,</v>
      </c>
    </row>
    <row r="11" spans="1:15" x14ac:dyDescent="0.25">
      <c r="A11" s="58">
        <v>1</v>
      </c>
      <c r="B11" s="37">
        <v>1</v>
      </c>
      <c r="C11" s="31"/>
      <c r="D11" s="31"/>
      <c r="E11" s="31" t="s">
        <v>256</v>
      </c>
      <c r="F11" s="31" t="s">
        <v>257</v>
      </c>
      <c r="G11" s="31"/>
      <c r="H11" s="31" t="s">
        <v>258</v>
      </c>
      <c r="I11" s="31"/>
      <c r="J11" s="38"/>
      <c r="K11" s="31"/>
      <c r="L11" s="31"/>
      <c r="M11" s="31"/>
      <c r="N11" s="31"/>
      <c r="O11" s="31"/>
    </row>
    <row r="12" spans="1:15" x14ac:dyDescent="0.25">
      <c r="A12" s="58">
        <v>2</v>
      </c>
      <c r="B12" s="37"/>
      <c r="C12" s="31"/>
      <c r="D12" s="31"/>
      <c r="E12" s="31" t="str">
        <f>"E"&amp;COUNTA($A:$A)</f>
        <v>E21</v>
      </c>
      <c r="F12" s="31" t="str">
        <f>"F"&amp;COUNTA($A:$A)</f>
        <v>F21</v>
      </c>
      <c r="G12" s="31"/>
      <c r="H12" s="31" t="str">
        <f>"H"&amp;COUNTA($A:$A)</f>
        <v>H21</v>
      </c>
      <c r="I12" s="31"/>
      <c r="J12" s="31"/>
      <c r="K12" s="31"/>
      <c r="L12" s="31"/>
      <c r="M12" s="31"/>
      <c r="N12" s="31"/>
      <c r="O12" s="31"/>
    </row>
    <row r="13" spans="1:15" ht="17.25" customHeight="1" x14ac:dyDescent="0.25">
      <c r="A13" s="58">
        <v>3</v>
      </c>
      <c r="B13" s="31"/>
      <c r="C13" s="31"/>
      <c r="D13" s="31"/>
      <c r="E13" s="38" t="e">
        <f ca="1">TEXTJOIN2("
",TRUE,INDIRECT(E11):INDIRECT(E12))</f>
        <v>#NAME?</v>
      </c>
      <c r="F13" s="38" t="e">
        <f ca="1">TEXTJOIN2("
",TRUE,INDIRECT(F11):INDIRECT(F12))</f>
        <v>#NAME?</v>
      </c>
      <c r="G13" s="31"/>
      <c r="H13" s="38" t="e">
        <f ca="1">TEXTJOIN2("
",TRUE,INDIRECT(H11):INDIRECT(H12))</f>
        <v>#NAME?</v>
      </c>
      <c r="I13" s="31"/>
      <c r="J13" s="31"/>
      <c r="K13" s="31"/>
      <c r="L13" s="31"/>
      <c r="M13" s="31"/>
      <c r="N13" s="31"/>
      <c r="O13" s="31"/>
    </row>
    <row r="14" spans="1:15" x14ac:dyDescent="0.25">
      <c r="A14" s="41" t="s">
        <v>218</v>
      </c>
      <c r="B14" s="31"/>
      <c r="C14" s="31"/>
      <c r="D14" s="31"/>
      <c r="E14" s="39" t="str">
        <f>B8&amp;".component.ts"</f>
        <v>lookup.component.ts</v>
      </c>
      <c r="F14" s="40" t="str">
        <f>B8&amp;".component.html"</f>
        <v>lookup.component.html</v>
      </c>
      <c r="G14" s="39" t="str">
        <f>B8&amp;".component.less"</f>
        <v>lookup.component.less</v>
      </c>
      <c r="H14" s="40" t="str">
        <f>"create-or-edit-"&amp;B8&amp;"-modal.component.html"</f>
        <v>create-or-edit-lookup-modal.component.html</v>
      </c>
      <c r="I14" s="40" t="str">
        <f>"create-or-edit-"&amp;B8&amp;"-modal.component.ts"</f>
        <v>create-or-edit-lookup-modal.component.ts</v>
      </c>
      <c r="J14" s="40" t="str">
        <f>"create-or-edit-"&amp;B8&amp;"-modal.component.less"</f>
        <v>create-or-edit-lookup-modal.component.less</v>
      </c>
      <c r="K14" s="40" t="str">
        <f>B8&amp;".module.ts"</f>
        <v>lookup.module.ts</v>
      </c>
      <c r="L14" s="40" t="str">
        <f>B8&amp;"-routing.module.ts"</f>
        <v>lookup-routing.module.ts</v>
      </c>
      <c r="M14" s="40" t="s">
        <v>225</v>
      </c>
      <c r="N14" s="40" t="s">
        <v>228</v>
      </c>
      <c r="O14" s="41" t="s">
        <v>236</v>
      </c>
    </row>
    <row r="15" spans="1:15" ht="18" customHeight="1" x14ac:dyDescent="0.25">
      <c r="A15" s="44" t="s">
        <v>264</v>
      </c>
      <c r="B15" s="31" t="str">
        <f>SUBSTITUTE(PROPER(A15),"_","")</f>
        <v>DomainCode</v>
      </c>
      <c r="C15" s="31" t="str">
        <f>SUBSTITUTE(PROPER(A15),"_"," ")</f>
        <v>Domain Code</v>
      </c>
      <c r="D15" s="31" t="str">
        <f>LOWER(LEFT(B15,1))&amp;RIGHT(B15,LEN(B15) - 1)</f>
        <v>domainCode</v>
      </c>
      <c r="E15" s="38" t="str">
        <f>"{headerName: this.l('"&amp;C15&amp;"'),headerTooltip: this.l('"&amp;C15&amp;"'),field: '"&amp;D15&amp;"',flex: 1,},"</f>
        <v>{headerName: this.l('Domain Code'),headerTooltip: this.l('Domain Code'),field: 'domainCode',flex: 1,},</v>
      </c>
      <c r="F15" s="38" t="str">
        <f>"&lt;div class='input-search'&gt;&lt;input [(ngModel)]='"&amp;D15&amp;"' name='"&amp;D15&amp;"' class='form-control'  placeholder='"&amp;C15&amp;"' /&gt;&lt;/div&gt;"</f>
        <v>&lt;div class='input-search'&gt;&lt;input [(ngModel)]='domainCode' name='domainCode' class='form-control'  placeholder='Domain Code' /&gt;&lt;/div&gt;</v>
      </c>
      <c r="G15" s="31"/>
      <c r="H15" s="38" t="str">
        <f>"&lt;div class='col-md-12 form-group row'&gt;&lt;label class='col-md-2 form-control title'&gt;"&amp;C15&amp;"&lt;/label&gt;&lt;input type='text' class='col-md-10 form-control input-text' name='"&amp;B15&amp;"' [(ngModel)]='rowdata."&amp;D15&amp;"'&gt;&lt;/div&gt;"</f>
        <v>&lt;div class='col-md-12 form-group row'&gt;&lt;label class='col-md-2 form-control title'&gt;Domain Code&lt;/label&gt;&lt;input type='text' class='col-md-10 form-control input-text' name='DomainCode' [(ngModel)]='rowdata.domainCode'&gt;&lt;/div&gt;</v>
      </c>
      <c r="I15" s="31"/>
      <c r="J15" s="31"/>
      <c r="K15" s="31"/>
      <c r="L15" s="31"/>
      <c r="M15" s="31"/>
      <c r="N15" s="31"/>
      <c r="O15" s="31"/>
    </row>
    <row r="16" spans="1:15" ht="15" customHeight="1" x14ac:dyDescent="0.25">
      <c r="A16" s="44" t="s">
        <v>266</v>
      </c>
      <c r="B16" s="31" t="str">
        <f t="shared" ref="B16:B17" si="0">SUBSTITUTE(PROPER(A16),"_","")</f>
        <v>ItemCode</v>
      </c>
      <c r="C16" s="31" t="str">
        <f t="shared" ref="C16:C17" si="1">SUBSTITUTE(PROPER(A16),"_"," ")</f>
        <v>Item Code</v>
      </c>
      <c r="D16" s="31" t="str">
        <f t="shared" ref="D16:D17" si="2">LOWER(LEFT(B16,1))&amp;RIGHT(B16,LEN(B16) - 1)</f>
        <v>itemCode</v>
      </c>
      <c r="E16" s="38" t="str">
        <f t="shared" ref="E16:E17" si="3">"{headerName: this.l('"&amp;C16&amp;"'),headerTooltip: this.l('"&amp;C16&amp;"'),field: '"&amp;D16&amp;"',flex: 1,},"</f>
        <v>{headerName: this.l('Item Code'),headerTooltip: this.l('Item Code'),field: 'itemCode',flex: 1,},</v>
      </c>
      <c r="F16" s="38" t="str">
        <f t="shared" ref="F16:F17" si="4">"&lt;div class='input-search'&gt;&lt;input [(ngModel)]='"&amp;D16&amp;"' name='"&amp;D16&amp;"' class='form-control'  placeholder='"&amp;C16&amp;"' /&gt;&lt;/div&gt;"</f>
        <v>&lt;div class='input-search'&gt;&lt;input [(ngModel)]='itemCode' name='itemCode' class='form-control'  placeholder='Item Code' /&gt;&lt;/div&gt;</v>
      </c>
      <c r="G16" s="31"/>
      <c r="H16" s="38" t="str">
        <f t="shared" ref="H16:H17" si="5">"&lt;div class='col-md-12 form-group row'&gt;&lt;label class='col-md-2 form-control title'&gt;"&amp;C16&amp;"&lt;/label&gt;&lt;input type='text' class='col-md-10 form-control input-text' name='"&amp;B16&amp;"' [(ngModel)]='rowdata."&amp;D16&amp;"'&gt;&lt;/div&gt;"</f>
        <v>&lt;div class='col-md-12 form-group row'&gt;&lt;label class='col-md-2 form-control title'&gt;Item Code&lt;/label&gt;&lt;input type='text' class='col-md-10 form-control input-text' name='ItemCode' [(ngModel)]='rowdata.itemCode'&gt;&lt;/div&gt;</v>
      </c>
      <c r="I16" s="31"/>
      <c r="J16" s="31"/>
      <c r="K16" s="31"/>
      <c r="L16" s="31"/>
      <c r="M16" s="31"/>
      <c r="N16" s="31"/>
      <c r="O16" s="31"/>
    </row>
    <row r="17" spans="1:15" ht="18" customHeight="1" x14ac:dyDescent="0.25">
      <c r="A17" s="44" t="s">
        <v>267</v>
      </c>
      <c r="B17" s="31" t="str">
        <f t="shared" si="0"/>
        <v>ItemValue</v>
      </c>
      <c r="C17" s="31" t="str">
        <f t="shared" si="1"/>
        <v>Item Value</v>
      </c>
      <c r="D17" s="31" t="str">
        <f t="shared" si="2"/>
        <v>itemValue</v>
      </c>
      <c r="E17" s="38" t="str">
        <f t="shared" si="3"/>
        <v>{headerName: this.l('Item Value'),headerTooltip: this.l('Item Value'),field: 'itemValue',flex: 1,},</v>
      </c>
      <c r="F17" s="38" t="str">
        <f t="shared" si="4"/>
        <v>&lt;div class='input-search'&gt;&lt;input [(ngModel)]='itemValue' name='itemValue' class='form-control'  placeholder='Item Value' /&gt;&lt;/div&gt;</v>
      </c>
      <c r="G17" s="31"/>
      <c r="H17" s="38" t="str">
        <f t="shared" si="5"/>
        <v>&lt;div class='col-md-12 form-group row'&gt;&lt;label class='col-md-2 form-control title'&gt;Item Value&lt;/label&gt;&lt;input type='text' class='col-md-10 form-control input-text' name='ItemValue' [(ngModel)]='rowdata.itemValue'&gt;&lt;/div&gt;</v>
      </c>
      <c r="I17" s="31"/>
      <c r="J17" s="31"/>
      <c r="K17" s="31"/>
      <c r="L17" s="31"/>
      <c r="M17" s="31"/>
      <c r="N17" s="31"/>
      <c r="O17" s="31"/>
    </row>
    <row r="18" spans="1:15" ht="18" customHeight="1" x14ac:dyDescent="0.25">
      <c r="A18" s="44" t="s">
        <v>269</v>
      </c>
      <c r="B18" s="31" t="str">
        <f>SUBSTITUTE(PROPER(A18),"_","")</f>
        <v>ItemOrder</v>
      </c>
      <c r="C18" s="31" t="str">
        <f>SUBSTITUTE(PROPER(A18),"_"," ")</f>
        <v>Item Order</v>
      </c>
      <c r="D18" s="31" t="str">
        <f>LOWER(LEFT(B18,1))&amp;RIGHT(B18,LEN(B18) - 1)</f>
        <v>itemOrder</v>
      </c>
      <c r="E18" s="38" t="str">
        <f>"{headerName: this.l('"&amp;C18&amp;"'),headerTooltip: this.l('"&amp;C18&amp;"'),field: '"&amp;D18&amp;"',flex: 1,},"</f>
        <v>{headerName: this.l('Item Order'),headerTooltip: this.l('Item Order'),field: 'itemOrder',flex: 1,},</v>
      </c>
      <c r="F18" s="38" t="str">
        <f>"&lt;div class='input-search'&gt;&lt;input [(ngModel)]='"&amp;D18&amp;"' name='"&amp;D18&amp;"' class='form-control'  placeholder='"&amp;C18&amp;"' /&gt;&lt;/div&gt;"</f>
        <v>&lt;div class='input-search'&gt;&lt;input [(ngModel)]='itemOrder' name='itemOrder' class='form-control'  placeholder='Item Order' /&gt;&lt;/div&gt;</v>
      </c>
      <c r="G18" s="31"/>
      <c r="H18" s="38" t="str">
        <f>"&lt;div class='col-md-12 form-group row'&gt;&lt;label class='col-md-2 form-control title'&gt;"&amp;C18&amp;"&lt;/label&gt;&lt;input type='text' class='col-md-10 form-control input-text' name='"&amp;B18&amp;"' [(ngModel)]='rowdata."&amp;D18&amp;"'&gt;&lt;/div&gt;"</f>
        <v>&lt;div class='col-md-12 form-group row'&gt;&lt;label class='col-md-2 form-control title'&gt;Item Order&lt;/label&gt;&lt;input type='text' class='col-md-10 form-control input-text' name='ItemOrder' [(ngModel)]='rowdata.itemOrder'&gt;&lt;/div&gt;</v>
      </c>
      <c r="I18" s="31"/>
      <c r="J18" s="31"/>
      <c r="K18" s="31"/>
      <c r="L18" s="31"/>
      <c r="M18" s="31"/>
      <c r="N18" s="31"/>
      <c r="O18" s="31"/>
    </row>
    <row r="19" spans="1:15" ht="15" customHeight="1" x14ac:dyDescent="0.25">
      <c r="A19" s="44" t="s">
        <v>270</v>
      </c>
      <c r="B19" s="31" t="str">
        <f t="shared" ref="B19:B21" si="6">SUBSTITUTE(PROPER(A19),"_","")</f>
        <v>Description</v>
      </c>
      <c r="C19" s="31" t="str">
        <f t="shared" ref="C19:C21" si="7">SUBSTITUTE(PROPER(A19),"_"," ")</f>
        <v>Description</v>
      </c>
      <c r="D19" s="31" t="str">
        <f t="shared" ref="D19:D21" si="8">LOWER(LEFT(B19,1))&amp;RIGHT(B19,LEN(B19) - 1)</f>
        <v>description</v>
      </c>
      <c r="E19" s="38" t="str">
        <f t="shared" ref="E19:E21" si="9">"{headerName: this.l('"&amp;C19&amp;"'),headerTooltip: this.l('"&amp;C19&amp;"'),field: '"&amp;D19&amp;"',flex: 1,},"</f>
        <v>{headerName: this.l('Description'),headerTooltip: this.l('Description'),field: 'description',flex: 1,},</v>
      </c>
      <c r="F19" s="38" t="str">
        <f t="shared" ref="F19:F21" si="10">"&lt;div class='input-search'&gt;&lt;input [(ngModel)]='"&amp;D19&amp;"' name='"&amp;D19&amp;"' class='form-control'  placeholder='"&amp;C19&amp;"' /&gt;&lt;/div&gt;"</f>
        <v>&lt;div class='input-search'&gt;&lt;input [(ngModel)]='description' name='description' class='form-control'  placeholder='Description' /&gt;&lt;/div&gt;</v>
      </c>
      <c r="G19" s="31"/>
      <c r="H19" s="38" t="str">
        <f t="shared" ref="H19:H21" si="11">"&lt;div class='col-md-12 form-group row'&gt;&lt;label class='col-md-2 form-control title'&gt;"&amp;C19&amp;"&lt;/label&gt;&lt;input type='text' class='col-md-10 form-control input-text' name='"&amp;B19&amp;"' [(ngModel)]='rowdata."&amp;D19&amp;"'&gt;&lt;/div&gt;"</f>
        <v>&lt;div class='col-md-12 form-group row'&gt;&lt;label class='col-md-2 form-control title'&gt;Description&lt;/label&gt;&lt;input type='text' class='col-md-10 form-control input-text' name='Description' [(ngModel)]='rowdata.description'&gt;&lt;/div&gt;</v>
      </c>
      <c r="I19" s="31"/>
      <c r="J19" s="31"/>
      <c r="K19" s="31"/>
      <c r="L19" s="31"/>
      <c r="M19" s="31"/>
      <c r="N19" s="31"/>
      <c r="O19" s="31"/>
    </row>
    <row r="20" spans="1:15" ht="18" customHeight="1" x14ac:dyDescent="0.25">
      <c r="A20" s="44" t="s">
        <v>271</v>
      </c>
      <c r="B20" s="31" t="str">
        <f t="shared" ref="B20" si="12">SUBSTITUTE(PROPER(A20),"_","")</f>
        <v>IsUse</v>
      </c>
      <c r="C20" s="31" t="str">
        <f t="shared" ref="C20" si="13">SUBSTITUTE(PROPER(A20),"_"," ")</f>
        <v>Is Use</v>
      </c>
      <c r="D20" s="31" t="str">
        <f t="shared" ref="D20" si="14">LOWER(LEFT(B20,1))&amp;RIGHT(B20,LEN(B20) - 1)</f>
        <v>isUse</v>
      </c>
      <c r="E20" s="38" t="str">
        <f t="shared" ref="E20" si="15">"{headerName: this.l('"&amp;C20&amp;"'),headerTooltip: this.l('"&amp;C20&amp;"'),field: '"&amp;D20&amp;"',flex: 1,},"</f>
        <v>{headerName: this.l('Is Use'),headerTooltip: this.l('Is Use'),field: 'isUse',flex: 1,},</v>
      </c>
      <c r="F20" s="38" t="str">
        <f t="shared" ref="F20" si="16">"&lt;div class='input-search'&gt;&lt;input [(ngModel)]='"&amp;D20&amp;"' name='"&amp;D20&amp;"' class='form-control'  placeholder='"&amp;C20&amp;"' /&gt;&lt;/div&gt;"</f>
        <v>&lt;div class='input-search'&gt;&lt;input [(ngModel)]='isUse' name='isUse' class='form-control'  placeholder='Is Use' /&gt;&lt;/div&gt;</v>
      </c>
      <c r="G20" s="31"/>
      <c r="H20" s="38" t="str">
        <f t="shared" ref="H20" si="17">"&lt;div class='col-md-12 form-group row'&gt;&lt;label class='col-md-2 form-control title'&gt;"&amp;C20&amp;"&lt;/label&gt;&lt;input type='text' class='col-md-10 form-control input-text' name='"&amp;B20&amp;"' [(ngModel)]='rowdata."&amp;D20&amp;"'&gt;&lt;/div&gt;"</f>
        <v>&lt;div class='col-md-12 form-group row'&gt;&lt;label class='col-md-2 form-control title'&gt;Is Use&lt;/label&gt;&lt;input type='text' class='col-md-10 form-control input-text' name='IsUse' [(ngModel)]='rowdata.isUse'&gt;&lt;/div&gt;</v>
      </c>
      <c r="I20" s="31"/>
      <c r="J20" s="31"/>
      <c r="K20" s="31"/>
      <c r="L20" s="31"/>
      <c r="M20" s="31"/>
      <c r="N20" s="31"/>
      <c r="O20" s="31"/>
    </row>
    <row r="21" spans="1:15" ht="18" customHeight="1" x14ac:dyDescent="0.25">
      <c r="A21" s="44" t="s">
        <v>272</v>
      </c>
      <c r="B21" s="31" t="str">
        <f t="shared" si="6"/>
        <v>IsRestrict</v>
      </c>
      <c r="C21" s="31" t="str">
        <f t="shared" si="7"/>
        <v>Is Restrict</v>
      </c>
      <c r="D21" s="31" t="str">
        <f t="shared" si="8"/>
        <v>isRestrict</v>
      </c>
      <c r="E21" s="38" t="str">
        <f t="shared" si="9"/>
        <v>{headerName: this.l('Is Restrict'),headerTooltip: this.l('Is Restrict'),field: 'isRestrict',flex: 1,},</v>
      </c>
      <c r="F21" s="38" t="str">
        <f t="shared" si="10"/>
        <v>&lt;div class='input-search'&gt;&lt;input [(ngModel)]='isRestrict' name='isRestrict' class='form-control'  placeholder='Is Restrict' /&gt;&lt;/div&gt;</v>
      </c>
      <c r="G21" s="31"/>
      <c r="H21" s="38" t="str">
        <f t="shared" si="11"/>
        <v>&lt;div class='col-md-12 form-group row'&gt;&lt;label class='col-md-2 form-control title'&gt;Is Restrict&lt;/label&gt;&lt;input type='text' class='col-md-10 form-control input-text' name='IsRestrict' [(ngModel)]='rowdata.isRestrict'&gt;&lt;/div&gt;</v>
      </c>
      <c r="I21" s="31"/>
      <c r="J21" s="31"/>
      <c r="K21" s="31"/>
      <c r="L21" s="31"/>
      <c r="M21" s="31"/>
      <c r="N21" s="31"/>
      <c r="O21" s="31"/>
    </row>
    <row r="24" spans="1:15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9"/>
  <sheetViews>
    <sheetView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duyvu</cp:lastModifiedBy>
  <dcterms:created xsi:type="dcterms:W3CDTF">2022-04-01T07:31:40Z</dcterms:created>
  <dcterms:modified xsi:type="dcterms:W3CDTF">2023-06-01T04:36:03Z</dcterms:modified>
</cp:coreProperties>
</file>
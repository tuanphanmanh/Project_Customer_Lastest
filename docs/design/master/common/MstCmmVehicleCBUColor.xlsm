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mms\docs\design\master\common\"/>
    </mc:Choice>
  </mc:AlternateContent>
  <xr:revisionPtr revIDLastSave="0" documentId="13_ncr:1_{25940CEC-483E-4969-9114-672744DF2EE1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5" l="1"/>
  <c r="B16" i="5"/>
  <c r="D16" i="5" s="1"/>
  <c r="B17" i="5"/>
  <c r="D17" i="5" s="1"/>
  <c r="C17" i="5"/>
  <c r="C15" i="5"/>
  <c r="B15" i="5"/>
  <c r="D15" i="5" s="1"/>
  <c r="B7" i="5" l="1"/>
  <c r="B6" i="5"/>
  <c r="B2" i="5"/>
  <c r="B8" i="5" l="1"/>
  <c r="B3" i="5"/>
  <c r="B6" i="1" l="1"/>
  <c r="G11" i="1" l="1"/>
  <c r="F17" i="5" s="1"/>
  <c r="E11" i="1"/>
  <c r="H11" i="1" s="1"/>
  <c r="E17" i="5" s="1"/>
  <c r="G17" i="5" s="1"/>
  <c r="D11" i="1"/>
  <c r="T11" i="1" s="1"/>
  <c r="T17" i="5" l="1"/>
  <c r="K17" i="5"/>
  <c r="S17" i="5"/>
  <c r="U17" i="5"/>
  <c r="I17" i="5"/>
  <c r="V17" i="5"/>
  <c r="H17" i="5"/>
  <c r="L17" i="5"/>
  <c r="M11" i="1"/>
  <c r="L11" i="1"/>
  <c r="P11" i="1"/>
  <c r="I11" i="1"/>
  <c r="N11" i="1"/>
  <c r="V11" i="1"/>
  <c r="J11" i="1"/>
  <c r="O11" i="1"/>
  <c r="W11" i="1"/>
  <c r="G9" i="1" l="1"/>
  <c r="F15" i="5" s="1"/>
  <c r="E9" i="1"/>
  <c r="H9" i="1" s="1"/>
  <c r="E15" i="5" s="1"/>
  <c r="D9" i="1"/>
  <c r="V9" i="1" s="1"/>
  <c r="K15" i="5" l="1"/>
  <c r="I15" i="5"/>
  <c r="T15" i="5"/>
  <c r="H15" i="5"/>
  <c r="G15" i="5"/>
  <c r="U15" i="5" s="1"/>
  <c r="V15" i="5"/>
  <c r="L15" i="5"/>
  <c r="W9" i="1"/>
  <c r="P9" i="1"/>
  <c r="T9" i="1"/>
  <c r="I9" i="1"/>
  <c r="N9" i="1"/>
  <c r="M9" i="1"/>
  <c r="J9" i="1"/>
  <c r="O9" i="1"/>
  <c r="S15" i="5" l="1"/>
  <c r="Q3" i="1"/>
  <c r="B4" i="5" s="1"/>
  <c r="B5" i="5" s="1"/>
  <c r="G10" i="1" l="1"/>
  <c r="F16" i="5" s="1"/>
  <c r="E10" i="1"/>
  <c r="H10" i="1" s="1"/>
  <c r="E16" i="5" s="1"/>
  <c r="G16" i="5" s="1"/>
  <c r="D10" i="1"/>
  <c r="T10" i="1" s="1"/>
  <c r="H16" i="5" l="1"/>
  <c r="S16" i="5"/>
  <c r="U16" i="5"/>
  <c r="T16" i="5"/>
  <c r="V16" i="5"/>
  <c r="K16" i="5"/>
  <c r="I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1"/>
  <c r="T13" i="5"/>
  <c r="T7" i="1" l="1"/>
  <c r="W13" i="1"/>
  <c r="G6" i="1" l="1"/>
  <c r="S13" i="5"/>
  <c r="L13" i="5"/>
  <c r="K13" i="5"/>
  <c r="U13" i="5"/>
  <c r="H13" i="5"/>
  <c r="I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9" i="1" l="1"/>
  <c r="L10" i="1"/>
  <c r="C7" i="1"/>
  <c r="J13" i="1"/>
  <c r="P13" i="1"/>
  <c r="I13" i="1"/>
  <c r="N13" i="1"/>
  <c r="O13" i="1"/>
  <c r="Q7" i="1" l="1"/>
  <c r="M69" i="3" s="1"/>
  <c r="L7" i="1"/>
  <c r="G69" i="3" s="1"/>
  <c r="K69" i="3"/>
  <c r="J69" i="3"/>
  <c r="K13" i="1"/>
  <c r="M13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8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<sst xmlns="http://schemas.openxmlformats.org/spreadsheetml/2006/main" count="447" uniqueCount="366">
  <si>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</si>
  <si>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</si>
  <si>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</si>
  <si>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</si>
  <si>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</si>
  <si>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</si>
  <si>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</si>
  <si>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</si>
  <si>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</si>
  <si>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</si>
  <si>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</si>
  <si>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</si>
  <si>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</si>
  <si>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</si>
  <si>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</si>
  <si>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</si>
  <si>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</si>
  <si>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</si>
  <si>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</si>
  <si>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</si>
  <si>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</si>
  <si>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</si>
  <si>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</si>
  <si>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</si>
  <si>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</si>
  <si>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</si>
  <si>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</si>
  <si>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</si>
  <si>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</si>
  <si>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</si>
  <si>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</si>
  <si>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</si>
  <si>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</si>
  <si>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</si>
  <si>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</si>
  <si>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</si>
  <si>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</si>
  <si>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</si>
  <si>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</si>
  <si>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</si>
  <si>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</si>
  <si>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</si>
  <si>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</si>
  <si>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</si>
  <si>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</si>
  <si>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</si>
  <si>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</si>
  <si>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</si>
  <si>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</si>
  <si>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</si>
  <si>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</si>
  <si>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</si>
  <si>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</si>
  <si>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</si>
  <si>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</si>
  <si>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</si>
  <si>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</si>
  <si>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</si>
  <si>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</si>
  <si>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</si>
  <si>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</si>
  <si>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</si>
  <si>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</si>
  <si>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</si>
  <si>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</si>
  <si>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</si>
  <si>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</si>
  <si>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</si>
  <si>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</si>
  <si>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</si>
  <si>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</si>
  <si>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</si>
  <si>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</si>
  <si>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</si>
  <si>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</si>
  <si>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</si>
  <si>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</si>
  <si>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</si>
  <si>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</si>
  <si>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</si>
  <si>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</si>
  <si>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</si>
  <si>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</si>
  <si>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</si>
  <si>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</si>
  <si>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</si>
  <si>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</si>
  <si>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</si>
  <si>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</si>
  <si>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</si>
  <si>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</si>
  <si>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</si>
  <si>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</si>
  <si>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</si>
  <si>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</si>
  <si>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</si>
  <si>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</si>
  <si>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</si>
  <si>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</si>
  <si>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</si>
  <si>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</si>
  <si>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</si>
  <si>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</si>
  <si>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</si>
  <si>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</si>
  <si>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</si>
  <si>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</si>
  <si>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</si>
  <si>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</si>
  <si>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</si>
  <si>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</si>
  <si>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</si>
  <si>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</si>
  <si>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</si>
  <si>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</si>
  <si>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</si>
  <si>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</si>
  <si>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</si>
  <si>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</si>
  <si>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</si>
  <si>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</si>
  <si>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</si>
  <si>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</si>
  <si>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</si>
  <si>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</si>
  <si>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</si>
  <si>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</si>
  <si>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</si>
  <si>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</si>
  <si>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</si>
  <si>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</si>
  <si>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</si>
  <si>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</si>
  <si>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</si>
  <si>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</si>
  <si>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</si>
  <si>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</si>
  <si>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</si>
  <si>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</si>
  <si>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</si>
  <si>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</si>
  <si>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</si>
  <si>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</si>
  <si>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</si>
  <si>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</si>
  <si>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</si>
  <si>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</si>
  <si>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</si>
  <si>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</si>
  <si>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</si>
  <si>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</si>
  <si>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</si>
  <si>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</si>
  <si>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</si>
  <si>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</si>
  <si>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</si>
  <si>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</si>
  <si>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</si>
  <si>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</si>
  <si>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</si>
  <si>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</si>
  <si>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</si>
  <si>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</si>
  <si>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</si>
  <si>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</si>
  <si>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</si>
  <si>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</si>
  <si>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</si>
  <si>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</si>
  <si>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</si>
  <si>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</si>
  <si>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</si>
  <si>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</si>
  <si>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</si>
  <si>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</si>
  <si>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</si>
  <si>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</si>
  <si>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</si>
  <si>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</si>
  <si>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</si>
  <si>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</si>
  <si>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</si>
  <si>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</si>
  <si>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</si>
  <si>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</si>
  <si>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</si>
  <si>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</si>
  <si>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</si>
  <si>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</si>
  <si>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</si>
  <si>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</si>
  <si>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</si>
  <si>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</si>
  <si>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</si>
  <si>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</si>
  <si>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</si>
  <si>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</si>
  <si>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</si>
  <si>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</si>
  <si>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</si>
  <si>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</si>
  <si>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</si>
  <si>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</si>
  <si>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</si>
  <si>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</si>
  <si>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</si>
  <si>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</si>
  <si>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</si>
  <si>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</si>
  <si>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</si>
  <si>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</si>
  <si>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</si>
  <si>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</si>
  <si>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</si>
  <si>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</si>
  <si>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</si>
  <si>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</si>
  <si>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</si>
  <si>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</si>
  <si>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</si>
  <si>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</si>
  <si>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</si>
  <si>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</si>
  <si>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</si>
  <si>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</si>
  <si>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</si>
  <si>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</si>
  <si>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</si>
  <si>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</si>
  <si>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</si>
  <si>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</si>
  <si>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</si>
  <si>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</si>
  <si>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</si>
  <si>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</si>
  <si>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</si>
  <si>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</si>
  <si>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</si>
  <si>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</si>
  <si>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</si>
  <si>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</si>
  <si>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</si>
  <si>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</si>
  <si>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</si>
  <si>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</si>
  <si>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</si>
  <si>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</si>
  <si>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</si>
  <si>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</si>
  <si>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</si>
  <si>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</si>
  <si>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</si>
  <si>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</si>
  <si>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</si>
  <si>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</si>
  <si>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</si>
  <si>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</si>
  <si>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</si>
  <si>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</si>
  <si>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</si>
  <si>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</si>
  <si>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</si>
  <si>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</si>
  <si>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</si>
  <si>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</si>
  <si>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</si>
  <si>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</si>
  <si>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</si>
  <si>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</si>
  <si>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</si>
  <si>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</si>
  <si>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</si>
  <si>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</si>
  <si>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</si>
  <si>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</si>
  <si>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</si>
  <si>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</si>
  <si>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</si>
  <si>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</si>
  <si>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</si>
  <si>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</si>
  <si>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</si>
  <si>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</si>
  <si>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</si>
  <si>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</si>
  <si>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</si>
  <si>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</si>
  <si>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</si>
  <si>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</si>
  <si>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</si>
  <si>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</si>
  <si>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</si>
  <si>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</si>
  <si>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</si>
  <si>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</si>
  <si>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</si>
  <si>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</si>
  <si>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</si>
  <si>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</si>
  <si>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</si>
  <si>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</si>
  <si>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</si>
  <si>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</si>
  <si>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</si>
  <si>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</si>
  <si>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</si>
  <si>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</si>
  <si>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</si>
  <si>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</si>
  <si>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</si>
  <si>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</si>
  <si>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</si>
  <si>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</si>
  <si>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</si>
  <si>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</si>
  <si>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</si>
  <si>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</si>
  <si>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</si>
  <si>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</si>
  <si>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</si>
  <si>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</si>
  <si>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</si>
  <si>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</si>
  <si>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</si>
  <si>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</si>
  <si>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</si>
  <si>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</si>
  <si>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</si>
  <si>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</si>
  <si>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</si>
  <si>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</si>
  <si>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</si>
  <si>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</si>
  <si>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</si>
  <si>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</si>
  <si>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</si>
  <si>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</si>
  <si>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</si>
  <si>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</si>
  <si>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</si>
  <si>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</si>
  <si>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</si>
  <si>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</si>
  <si>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</si>
  <si>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</si>
  <si>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</si>
  <si>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</si>
  <si>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</si>
  <si>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</si>
  <si>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</si>
  <si>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</si>
  <si>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CPS</t>
  </si>
  <si>
    <t>Cps</t>
  </si>
  <si>
    <t>InvCps</t>
  </si>
  <si>
    <t>IHP</t>
  </si>
  <si>
    <t>Ihp</t>
  </si>
  <si>
    <t>InvIhp</t>
  </si>
  <si>
    <t>Inhouse Part</t>
  </si>
  <si>
    <t>Master.Cmm</t>
  </si>
  <si>
    <t>nvarchar(50)</t>
  </si>
  <si>
    <t>EXT_COLOR</t>
  </si>
  <si>
    <t>INT_COLOR</t>
  </si>
  <si>
    <t>VEHICLE_ID</t>
  </si>
  <si>
    <t>MstCmmVehicleCBUColor</t>
  </si>
  <si>
    <t>VehicleCBUColor</t>
  </si>
  <si>
    <t>Vehicle CBU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</si>
</sst>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8"/>
  <sheetViews>
    <sheetView tabSelected="1" topLeftCell="A64" zoomScaleNormal="100" workbookViewId="0">
      <selection activeCell="F69" sqref="F6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354</v>
      </c>
      <c r="F46" s="1" t="s">
        <v>355</v>
      </c>
      <c r="G46" t="s">
        <v>356</v>
      </c>
      <c r="H46" t="s">
        <v>357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351</v>
      </c>
      <c r="F51" s="1" t="s">
        <v>352</v>
      </c>
      <c r="G51" t="s">
        <v>353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[Table("MstCmmVehicleCBUColor")]
	public class MstCmmVehicleCBUColor: FullAuditedEntity&lt;long&gt;, IEntity&lt;long&gt;	
	{
		public const int MaxExtColorLength = 50;
		public const int MaxIntColorLength = 50;
		[StringLength(MaxExtColorLength)]
		public virtual string ExtColor { get; set; }
		[StringLength(MaxIntColorLength)]
		public virtual string IntColor { get; set; }
		public virtual long? VehicleId { get; set; }
	}
}
</v>
      </c>
      <c r="D69" s="48" t="str">
        <f>A.Backend!O7</f>
        <v xml:space="preserve">		public const string Pages_Master_Cmm_VehicleCBUColor = "Pages.Master.Cmm.VehicleCBUColor";
		public const string Pages_Master_Cmm_VehicleCBUColor_CreateEdit = "Pages.Master.Cmm.VehicleCBUColor.CreateEdit";
		public const string Pages_Master_Cmm_VehicleCBUColor_Delete = "Pages.Master.Cmm.VehicleCBUColor.Delete";
</v>
      </c>
      <c r="E69" s="48" t="str">
        <f>A.Backend!N7</f>
        <v xml:space="preserve">		var perMstCmmVehicleCBUColor = PARENTS.CreateChildPermission(AppPermissions.Pages_Master_Cmm_VehicleCBUColor, L( "MasterCmmVehicleCBUColor"), multiTenancySides: MultiTenancySides.Tenant);
		perMstCmmVehicleCBUColor.CreateChildPermission(AppPermissions.Pages_Master_Cmm_VehicleCBUColor_CreateEdit, L( "MasterCmmVehicleCBUColorCreateEdit"), multiTenancySides: MultiTenancySides.Tenant);
		perMstCmmVehicleCBUColor.CreateChildPermission(AppPermissions.Pages_Master_Cmm_VehicleCBUColor_Delete, L( "MasterCmmVehicleCBUColorDelete"), multiTenancySides: MultiTenancySides.Tenant);</v>
      </c>
      <c r="F69" s="48" t="str">
        <f>A.Backend!K7</f>
        <v>public virtual DbSet&lt;MstCmmVehicleCBUColor&gt; MstCmmVehicleCBUColors { get; set; }</v>
      </c>
      <c r="G69" s="48" t="str">
        <f ca="1">A.Backend!L7</f>
        <v xml:space="preserve">namespace prod.Master.Cmm
{
	public class MstCmmVehicleCBUColorConsts	
	{
		public const int MaxExtColorLength = 50;
		public const int MaxIntColorLength = 50;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prod.Master.Cmm.Dto
{
	public class MstCmmVehicleCBUColorDto : EntityDto&lt;long?&gt;	
	{
		public virtual string ExtColor { get; set; }
		public virtual string IntColor { get; set; }
		public virtual long? VehicleId { get; set; }
	}
	public class CreateOrEditMstCmmVehicleCBUColorDto : EntityDto&lt;long?&gt;	
	{
		[StringLength(MstCmmVehicleCBUColorConsts.MaxExtColorLength)]
		public virtual string ExtColor { get; set; }
		[StringLength(MstCmmVehicleCBUColorConsts.MaxIntColorLength)]
		public virtual string IntColor { get; set; }
		public virtual long? VehicleId { get; set; }
	}
	public class GetMstCmmVehicleCBUColorInput : PagedAndSortedResultRequestDto	
	{
		public virtual string ExtColor { get; set; }
		public virtual string IntColor { get; set; }
	}
}
</v>
      </c>
      <c r="I69" s="48" t="str">
        <f ca="1">A.Backend!R7</f>
        <v xml:space="preserve">using Abp.Application.Services.Dto;
using System;
using System.ComponentModel.DataAnnotations;
namespace prod.Master.Cmm.Dto
{
	public class MstCmmVehicleCBUColorExportInput{
		public virtual string ExtColor { get; set; }
		public virtual string IntColor { get; set; }
		public virtual long? VehicleId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vovina.Master.Cmm.Dto;
namespace prod.Master.Cmm
{
	public interface IMstCmmVehicleCBUColorAppService : IApplicationService
	{
		Task&lt;PagedResultDto&lt;MstCmmVehicleCBUColorDto&gt;&gt; GetAll(GetMstCmmVehicleCBUColorInput input);
		Task CreateOrEdit(CreateOrEditMstCmmVehicleCBUColorDto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vovina.Master.Cmm.Dto;
namespace prod.Master.Cmm.Exporting
{
	public interface IMstCmmVehicleCBUColorExcelExporter : IApplicationService
	{
		FileDto ExportToFile(List&lt;MstCmmVehicleCBUColorDto&gt; mstcmmvehiclecbucolor);
	}
}
</v>
      </c>
      <c r="L69" s="48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MstCmmVehicleCBUColorExcelExporter : NpoiExcelExporterBase, IMstCmmVehicleCBUColorExcelExporter
    {
        public MstCmmVehicleCBUColorExcelExporter(ITempFileCacheManager tempFileCacheManager) : base(tempFileCacheManager) { }
        public FileDto ExportToFile(List&lt;MstCmmVehicleCBUColorDto&gt; vehiclecbucolor)
        {
            return CreateExcelPackage(
				"MasterCmmVehicleCBUColor.xlsx",
				excelPackage =&gt;
				 {
					var sheet = excelPackage.CreateSheet("VehicleCBUColor");
					AddHeader(
								sheet,
								("ExtColor"),
								("IntColor"),
								("VehicleId"),
							   );
					AddObjects(
						 sheet, 1, vehiclecbucolor,                                       
								_ =&gt; _.ExtColor,
								_ =&gt; _.IntColor,
								_ =&gt; _.VehicleId,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[AbpAuthorize(AppPermissions.Pages_Master_Cmm_VehicleCBUColor)]
    public class MstCmmVehicleCBUColorAppService : vovinaAppServiceBase, IMstCmmVehicleCBUColorAppService
    {
        private readonly IDapperRepository&lt;MstCmmVehicleCBUColor, long&gt; _dapperRepo;
        private readonly IRepository&lt;MstCmmVehicleCBUColor, long&gt; _repo;
        private readonly IMstCmmVehicleCBUColorExcelExporter _calendarListExcelExporter;
        public MstCmmVehicleCBUColorAppService(IRepository&lt;MstCmmVehicleCBUColor,long&gt; repo, 
                                         IDapperRepository&lt;MstCmmVehicleCBUColor,long&gt; dapperRepo,
                                        IMstCmmVehicleCBUColorExcelExporter calendarListExcelExporter
            )
        {
            _repo = repo;
            _dapperRepo = dapperRepo;
            _calendarListExcelExporter = calendarListExcelExporter;
        }
        [AbpAuthorize(AppPermissions.Pages_Master_Cmm_VehicleCBUColor_CreateEdit)]
        public async Task CreateOrEdit(CreateOrEditMstCmmVehicleCBUColorDto input)
        {
            if (input.Id == null) await Create(input);
            else await Update(input);
        }
        //CREATE
        private async Task Create(CreateOrEditMstCmmVehicleCBUColorDto input)
        {          
            var mainObj = ObjectMapper.Map&lt;MstCmmVehicleCBUColor&gt;(input);
            await CurrentUnitOfWork.GetDbContext&lt;vovinaDbContext&gt;().AddAsync(mainObj);
        }
        // EDIT
        private async Task Update(CreateOrEditMstCmmVehicleCBUColorDto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[AbpAuthorize(AppPermissions.Pages_Master_Cmm_VehicleCBUColor_Delete)]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Task&lt;PagedResultDto&lt;MstCmmVehicleCBUColorDto&gt;&gt; GetAll(GetMstCmmVehicleCBUColorInput input)
        {
            var filtered = _repo.GetAll()
				.WhereIf(!string.IsNullOrWhiteSpace(input.ExtColor), e =&gt; e.ExtColor.Contains(input.ExtColor))
				.WhereIf(!string.IsNullOrWhiteSpace(input.IntColor), e =&gt; e.IntColor.Contains(input.IntColor))
				;
            var pageAndFiltered = filtered.OrderBy(s =&gt; s.Id);
            var system = from o in pageAndFiltered
                         select new MstCmmVehicleCBUColorDto
                        {
							Id = o.Id,
							ExtColor = o.ExtColor,
							IntColor = o.IntColor,
							VehicleId = o.VehicleId,
                        };
            var totalCount = await filtered.CountAsync();
			var paged = system.PageBy(input);
            return new PagedResultDto&lt;MstCmmVehicleCBUColorDto&gt;(
                totalCount,
                 await paged.ToListAsync()
            );
        }
        public async Task&lt;FileDto&gt; GetVehicleCBUColorToExcel(MstCmmVehicleCBUColorExportInput input)
        {
            var query = from o in _repo.GetAll()
                        select new MstCmmVehicleCBUColorDto
                        {
							Id = o.Id,
							ExtColor = o.ExtColor,
							IntColor = o.IntColor,
							VehicleId = o.VehicleId,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_dapperRepo.ExecuteAsync(MstCmmVehicleCBUColorConsts.SP_MST_WPT_CALENDAR_GENERATE);
       // }
    }
}</v>
      </c>
      <c r="N69" s="58" t="str">
        <f>A.Backend!U7</f>
        <v xml:space="preserve">  configuration.CreateMap&lt;MstCmmVehicleCBUColorDto, MstCmmVehicleCBUColor&gt;();
  configuration.CreateMap&lt;MstCmmVehicleCBUColor, MstCmmVehicleCBUColorDto&gt;();
  configuration.CreateMap&lt;CreateOrEditMstCmmVehicleCBUColorDto, MstCmmVehicleCBUColor&gt;();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vehiclecbucolor</v>
      </c>
      <c r="C74" s="66" t="str">
        <f>"create folder " &amp;B74</f>
        <v>create folder vehiclecbucolor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vehiclecbucolor.component.ts</v>
      </c>
      <c r="D75" s="28" t="str">
        <f>B.Frontend!I14</f>
        <v>vehiclecbucolor.component.html</v>
      </c>
      <c r="E75" s="28" t="str">
        <f>B.Frontend!J14</f>
        <v>vehiclecbucolor.component.less</v>
      </c>
      <c r="F75" s="28" t="str">
        <f>B.Frontend!K14</f>
        <v>create-or-edit-vehiclecbucolor-modal.component.html</v>
      </c>
      <c r="G75" s="28" t="str">
        <f>B.Frontend!L14</f>
        <v>create-or-edit-vehiclecbucolor-modal.component.ts</v>
      </c>
      <c r="H75" s="28" t="str">
        <f>B.Frontend!M14</f>
        <v>create-or-edit-vehiclecbucolor-modal.component.less</v>
      </c>
      <c r="I75" s="28" t="str">
        <f>B.Frontend!N14</f>
        <v>vehiclecbucolor.module.ts</v>
      </c>
      <c r="J75" s="28" t="str">
        <f>B.Frontend!O14</f>
        <v>vehiclecbucolor-routing.module.ts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MstCmmVehicleCBUColorDto, MstCmmVehicleCBUColorServiceProxy } from '@shared/service-proxies/service-proxies';
import { finalize } from 'rxjs/internal/operators/finalize';
import { CreateOrEditVehicleCBUColorModalComponent } from './create-or-edit-vehiclecbucolor-modal.component';
import { DatePipe } from '@angular/common';
import { FileDownloadService } from '@shared/utils/file-download.service';
import ceil from 'lodash-es/ceil';
import { Paginator } from 'primeng/paginator';
@Component({
    templateUrl: './vehiclecbucolor.component.html',
    styleUrls: ['./vehiclecbucolor.component.less'],
})
export class VehicleCBUColorComponent extends AppComponentBase implements OnInit {
    @ViewChild('createOrEditModalVehicleCBUColor', { static: true }) createOrEditModalVehicleCBUColor:| CreateOrEditVehicleCBUColorModalComponent|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MstCmmVehicleCBUColorDto = new MstCmmVehicleCBUColorDto();
    saveSelectedRow: MstCmmVehicleCBUColorDto = new MstCmmVehicleCBUColorDto();
    datas: MstCmmVehicleCBUColorDto = new MstCmmVehicleCBUColorDto();
    isLoading: boolean = false;
    dataParams: GridParams | undefined;
    rowData: any[] = [];
    gridApi!: GridApi;
    rowSelection = 'multiple';
    filter: string = '';
	pipe = new DatePipe('en-US');
	frameworkComponents: FrameworkComponent;
    	extColor : string = '' ; 
	intColor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MstCmmVehicleCBUColorServiceProxy,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this.l('Ext Color'),headerTooltip: this.l('Ext Color'),field: 'extColor',flex: 1},
			{headerName: this.l('Int Color'),headerTooltip: this.l('Int Color'),field: 'intColor',flex: 1},
			{headerName: this.l('Vehicle Id'),headerTooltip: this.l('Vehicle Id'),field: 'vehicleId',flex: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this.extColor,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extColor : string = '' ; 
	intColor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this.extColor,
			'',
            this.paginationParams.skipCount,
            this.paginationParams.pageSize
        );
    }
    onChangeRowSelection(params: { api: { getSelectedRows: () =&gt; MstCmmVehicleCBUColorDto[] } }) {
        this.saveSelectedRow = params.api.getSelectedRows()[0] ?? new MstCmmVehicleCBUColorDto();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MstCmmVehicleCBUColorDto):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this._service.getVehicleCBUColorToExcel(
			this.,
			this.extColor,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Vehicle CBU Color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[(ngModel)]='extColor' name='extColor'
									class='form-control' [placeholder]="l('Ext Color')"
									type='text' (keyup.enter)='searchDatas()'&gt;
								&lt;/div&gt;
								&lt;div class='input-search'&gt;
									&lt;input [(ngModel)]='intColor' name='intColor'
									class='form-control' [placeholder]="l('Int Color')"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(click)="createOrEditModalVehicleCBUColor.show()"&gt;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(click)="createOrEditModalVehicleCBUColor.show(selectedRow)"&gt;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&lt;create-or-edit-vehiclecbucolor-modal
    #createOrEditModalVehicleCBUColor
    (modalSave)="callBackDataGrid(dataParams)"
    (modalClose)="onChangeRowSelection(dataParams)"
&gt;
&lt;/create-or-edit-vehiclecbucolor-modal&gt;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#createOrEditModalVehicleCBUColor="bs-modal"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VehicleCBUColor')}}&lt;/h3&gt;
                    &lt;h3 *ngIf="!rowdata.id"&gt;{{('Create New VehicleCBUColor')}}&lt;/h3&gt;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title'&gt;Ext Color&lt;/label&gt;
						&lt;input type='text' class='col-md-10 form-control input-text' name='ExtColor' [(ngModel)]='rowdata.extColor'&gt;
					&lt;/div&gt;
					&lt;div class='col-md-12 form-group row'&gt;
						&lt;label class='col-md-2 form-control title'&gt;Int Color&lt;/label&gt;
						&lt;input type='text' class='col-md-10 form-control input-text' name='IntColor' [(ngModel)]='rowdata.intColor'&gt;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CreateOrEditMstCmmVehicleCBUColorDto, MstCmmVehicleCBUColorServiceProxy } from '@shared/service-proxies/service-proxies';
import { BsDatepickerDirective } from 'ngx-bootstrap/datepicker';
@Component({
    selector: 'create-or-edit-vehiclecbucolor-modal',
    templateUrl: './create-or-edit-vehiclecbucolor-modal.component.html',
    styleUrls: ['./create-or-edit-vehiclecbucolor-modal.component.less']
    })
export class CreateOrEditVehicleCBUColorModalComponent extends AppComponentBase {
    @ViewChild('createOrEditModalVehicleCBUColor',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CreateOrEditMstCmmVehicleCBUColorDto = new CreateOrEditMstCmmVehicleCBUColorDto();
    active: boolean = false;
    saving: boolean = false;
    _: boolean;
    constructor(
        injector: Injector,
        private _mstwptVehicleCBUColorService: MstCmmVehicleCBUColorServiceProxy,
    ) 
    {
        super(injector);
    }
    show(rowdata?: CreateOrEditMstCmmVehicleCBUColorDto): void {
        if (!rowdata) this.rowdata = new CreateOrEditMstCmmVehicleCBUColorDto();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this._mstwptVehicleCBUColorService.createOrEdit(this.rowdata)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VehicleCBUColorRoutingModule } from './vehiclecbucolor-routing.module';
import { VehicleCBUColorComponent } from './vehiclecbucolor.component';
import { CreateOrEditVehicleCBUColorModalComponent } from './create-or-edit-vehiclecbucolor-modal.component';
@NgModule({
    declarations: [
       VehicleCBUColorComponent, 
        CreateOrEditVehicleCBUColorModalComponent
    ],
    imports: [
        AppSharedModule, VehicleCBUColorRoutingModule]
})
export class VehicleCBUColorModule {}</v>
      </c>
      <c r="J76" s="46" t="str">
        <f>B.Frontend!O10</f>
        <v>import {NgModule} from '@angular/core';
import {RouterModule, Routes} from '@angular/router';
import { VehicleCBUColorComponent } from './vehiclecbucolor.component';
const routes: Routes = [{
    path: '',
    component: VehicleCBUColorComponent,
    pathMatch: 'full'
}];
@NgModule({
    imports: [RouterModule.forChild(routes)],
    exports: [RouterModule],
})
export class VehicleCBUColorRoutingModule {}</v>
      </c>
      <c r="K76" s="46" t="str">
        <f>B.Frontend!P10</f>
        <v xml:space="preserve"> new AppMenuItem("VehicleCBUColor", "Pages.Master.Cmm.VehicleCBUColor", "flaticon-book",   "/app/main/master/cmm/vehiclecbucolor"),</v>
      </c>
      <c r="L76" s="47" t="str">
        <f>B.Frontend!Q10</f>
        <v>{
    path: 'master/cmm/vehiclecbucolor',
    loadChildren: () =&gt; import('./master/cmm/vehiclecbucolor/vehiclecbucolor.module').then(m =&gt; m.VehicleCBUColorModule),
    data: { permission: 'Pages.Master.Cmm.VehicleCBUColor' }
},</v>
      </c>
      <c r="M76" s="45" t="str">
        <f>B.Frontend!R10</f>
        <v>ApiServiceProxies.MstCmmVehicleCBUColorServiceProxy,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3"/>
  <sheetViews>
    <sheetView workbookViewId="0">
      <pane xSplit="1" topLeftCell="B1" activePane="topRight" state="frozen"/>
      <selection pane="topRight" activeCell="A9" sqref="A9:A11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358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363</v>
      </c>
      <c r="C3" s="9" t="s">
        <v>40</v>
      </c>
      <c r="D3" s="9" t="s">
        <v>41</v>
      </c>
      <c r="E3" s="9" t="s">
        <v>36</v>
      </c>
      <c r="F3" s="10" t="str">
        <f>"J"&amp;COUNTA($A:$A)</f>
        <v>J11</v>
      </c>
      <c r="G3" s="4" t="s">
        <v>53</v>
      </c>
      <c r="H3" s="9" t="str">
        <f>"I"&amp;COUNTA($A:$A)</f>
        <v>I11</v>
      </c>
      <c r="I3" s="9" t="str">
        <f>REPT(CHAR(9),2)&amp;"[Required]"&amp;"
"</f>
        <v xml:space="preserve">		[Required]
</v>
      </c>
      <c r="J3" s="10" t="str">
        <f>"L"&amp;COUNTA($A:$A)</f>
        <v>L11</v>
      </c>
      <c r="K3" s="5" t="s">
        <v>52</v>
      </c>
      <c r="L3" s="10" t="str">
        <f>"M"&amp;COUNTA($A:$A)</f>
        <v>M11</v>
      </c>
      <c r="M3" s="10" t="str">
        <f>"N"&amp;COUNTA($A:$A)</f>
        <v>N11</v>
      </c>
      <c r="N3" s="10" t="str">
        <f>"O"&amp;COUNTA($A:$A)</f>
        <v>O11</v>
      </c>
      <c r="O3" s="10" t="str">
        <f>"P"&amp;COUNTA($A:$A)</f>
        <v>P11</v>
      </c>
      <c r="Q3" s="10" t="str">
        <f>RIGHT(B2,(LEN(B2)-FIND(".",B2,1)))</f>
        <v>Cmm</v>
      </c>
      <c r="R3" s="29" t="str">
        <f>REPT(CHAR(9),1)&amp;"public class "&amp;B3&amp;"ExportInput"&amp;C3</f>
        <v xml:space="preserve">	public class MstCmmVehicleCBUColorExportInput{
</v>
      </c>
      <c r="S3" s="10" t="str">
        <f>"namespace "&amp;$B$6&amp;".Exporting
"&amp;$C$3</f>
        <v xml:space="preserve">namespace prod.Master.Cmm.Exporting
{
</v>
      </c>
      <c r="T3" s="10" t="str">
        <f>"T"&amp;COUNTA($A:$A)</f>
        <v>T11</v>
      </c>
      <c r="V3" s="10" t="str">
        <f>"V"&amp;COUNTA($A:$A)</f>
        <v>V11</v>
      </c>
      <c r="W3" s="9" t="str">
        <f>"W"&amp;COUNTA($A:$A)</f>
        <v>W11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364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prod.Master.Cmm</v>
      </c>
      <c r="C6" s="10" t="str">
        <f>"namespace "&amp;$B$6&amp;"
"&amp;$C$3</f>
        <v xml:space="preserve">namespace prod.Master.Cmm
{
</v>
      </c>
      <c r="D6" s="10" t="str">
        <f>REPT(CHAR(9),1)&amp;"public class "&amp;B3&amp;G3&amp;REPT(CHAR(9),1)&amp;"
"&amp;REPT(CHAR(9),1)&amp;C3</f>
        <v xml:space="preserve">	public class MstCmmVehicleCBUColor: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MstCmmVehicleCBUColorConsts	
	{
</v>
      </c>
      <c r="F6" s="10" t="str">
        <f>REPT(CHAR(9),1)&amp;"public class "&amp;B3&amp;"Dto"&amp;K3&amp;REPT(CHAR(9),1)&amp;"
"&amp;REPT(CHAR(9),1)&amp;C3</f>
        <v xml:space="preserve">	public class MstCmmVehicleCBUColorDto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CreateOrEditMstCmmVehicleCBUColorDto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GetMstCmmVehicleCBUColorInput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MstCmmVehicleCBUColor</v>
      </c>
      <c r="C7" s="10" t="str">
        <f>REPT(CHAR(9),1)&amp;"[Table("""&amp;B7&amp;""")]"&amp;"
"</f>
        <v xml:space="preserve">	[Table("MstCmmVehicleCBUColor")]
</v>
      </c>
      <c r="D7" s="10"/>
      <c r="E7" s="10"/>
      <c r="F7" s="10"/>
      <c r="G7" s="10"/>
      <c r="H7" s="10"/>
      <c r="I7" s="10"/>
      <c r="J7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[Table("MstCmmVehicleCBUColor")]
	public class MstCmmVehicleCBUColor: FullAuditedEntity&lt;long&gt;, IEntity&lt;long&gt;	
	{
		public const int MaxExtColorLength = 50;
		public const int MaxIntColorLength = 50;
		[StringLength(MaxExtColorLength)]
		public virtual string ExtColor { get; set; }
		[StringLength(MaxIntColorLength)]
		public virtual string IntColor { get; set; }
		public virtual long? VehicleId { get; set; }
	}
}
</v>
      </c>
      <c r="K7" t="str">
        <f>SUBSTITUTE(SUBSTITUTE(("public virtual DbSet&lt;"&amp;B3&amp;"&gt; "&amp;B3&amp;"s { get; set; }"),"WorkingPattern",$Q$3),"Master",$B$4)</f>
        <v>public virtual DbSet&lt;MstCmmVehicleCBUColor&gt; MstCmmVehicleCBUColors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prod.Master.Cmm
{
	public class MstCmmVehicleCBUColorConsts	
	{
		public const int MaxExtColorLength = 50;
		public const int MaxIntColorLength = 50;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prod.Master.Cmm.Dto
{
	public class MstCmmVehicleCBUColorDto : EntityDto&lt;long?&gt;	
	{
		public virtual string ExtColor { get; set; }
		public virtual string IntColor { get; set; }
		public virtual long? VehicleId { get; set; }
	}
	public class CreateOrEditMstCmmVehicleCBUColorDto : EntityDto&lt;long?&gt;	
	{
		[StringLength(MstCmmVehicleCBUColorConsts.MaxExtColorLength)]
		public virtual string ExtColor { get; set; }
		[StringLength(MstCmmVehicleCBUColorConsts.MaxIntColorLength)]
		public virtual string IntColor { get; set; }
		public virtual long? VehicleId { get; set; }
	}
	public class GetMstCmmVehicleCBUColorInput : PagedAndSortedResultRequestDto	
	{
		public virtual string ExtColor { get; set; }
		public virtual string IntColor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perMstCmmVehicleCBUColor = PARENTS.CreateChildPermission(AppPermissions.Pages_Master_Cmm_VehicleCBUColor, L( "MasterCmmVehicleCBUColor"), multiTenancySides: MultiTenancySides.Tenant);
		perMstCmmVehicleCBUColor.CreateChildPermission(AppPermissions.Pages_Master_Cmm_VehicleCBUColor_CreateEdit, L( "MasterCmmVehicleCBUColorCreateEdit"), multiTenancySides: MultiTenancySides.Tenant);
		perMstCmmVehicleCBUColor.CreateChildPermission(AppPermissions.Pages_Master_Cmm_VehicleCBUColor_Delete, L( "MasterCmmVehicleCBUColorDelete"),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Pages_Master_Cmm_VehicleCBUColor = "Pages.Master.Cmm.VehicleCBUColor";
		public const string Pages_Master_Cmm_VehicleCBUColor_CreateEdit = "Pages.Master.Cmm.VehicleCBUColor.CreateEdit";
		public const string Pages_Master_Cmm_VehicleCBUColor_Delete = "Pages.Master.Cmm.VehicleCBUColor.Delete";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
{
	public interface IMstCmmVehicleCBUColorAppService : IApplicationService
	{
		Task&lt;PagedResultDto&lt;MstCmmVehicleCBUColorDto&gt;&gt; GetAll(GetMstCmmVehicleCBUColorInput input);
		Task CreateOrEdit(CreateOrEditMstCmmVehicleCBUColorDto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[AbpAuthorize(AppPermissions.Pages_Master_Cmm_VehicleCBUColor)]
    public class MstCmmVehicleCBUColorAppService : vovinaAppServiceBase, IMstCmmVehicleCBUColorAppService
    {
        private readonly IDapperRepository&lt;MstCmmVehicleCBUColor, long&gt; _dapperRepo;
        private readonly IRepository&lt;MstCmmVehicleCBUColor, long&gt; _repo;
        private readonly IMstCmmVehicleCBUColorExcelExporter _calendarListExcelExporter;
        public MstCmmVehicleCBUColorAppService(IRepository&lt;MstCmmVehicleCBUColor,long&gt; repo, 
                                         IDapperRepository&lt;MstCmmVehicleCBUColor,long&gt; dapperRepo,
                                        IMstCmmVehicleCBUColorExcelExporter calendarListExcelExporter
            )
        {
            _repo = repo;
            _dapperRepo = dapperRepo;
            _calendarListExcelExporter = calendarListExcelExporter;
        }
        [AbpAuthorize(AppPermissions.Pages_Master_Cmm_VehicleCBUColor_CreateEdit)]
        public async Task CreateOrEdit(CreateOrEditMstCmmVehicleCBUColorDto input)
        {
            if (input.Id == null) await Create(input);
            else await Update(input);
        }
        //CREATE
        private async Task Create(CreateOrEditMstCmmVehicleCBUColorDto input)
        {          
            var mainObj = ObjectMapper.Map&lt;MstCmmVehicleCBUColor&gt;(input);
            await CurrentUnitOfWork.GetDbContext&lt;vovinaDbContext&gt;().AddAsync(mainObj);
        }
        // EDIT
        private async Task Update(CreateOrEditMstCmmVehicleCBUColorDto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[AbpAuthorize(AppPermissions.Pages_Master_Cmm_VehicleCBUColor_Delete)]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Task&lt;PagedResultDto&lt;MstCmmVehicleCBUColorDto&gt;&gt; GetAll(GetMstCmmVehicleCBUColorInput input)
        {
            var filtered = _repo.GetAll()
				.WhereIf(!string.IsNullOrWhiteSpace(input.ExtColor), e =&gt; e.ExtColor.Contains(input.ExtColor))
				.WhereIf(!string.IsNullOrWhiteSpace(input.IntColor), e =&gt; e.IntColor.Contains(input.IntColor))
				;
            var pageAndFiltered = filtered.OrderBy(s =&gt; s.Id);
            var system = from o in pageAndFiltered
                         select new MstCmmVehicleCBUColorDto
                        {
							Id = o.Id,
							ExtColor = o.ExtColor,
							IntColor = o.IntColor,
							VehicleId = o.VehicleId,
                        };
            var totalCount = await filtered.CountAsync();
			var paged = system.PageBy(input);
            return new PagedResultDto&lt;MstCmmVehicleCBUColorDto&gt;(
                totalCount,
                 await paged.ToListAsync()
            );
        }
        public async Task&lt;FileDto&gt; GetVehicleCBUColorToExcel(MstCmmVehicleCBUColorExportInput input)
        {
            var query = from o in _repo.GetAll()
                        select new MstCmmVehicleCBUColorDto
                        {
							Id = o.Id,
							ExtColor = o.ExtColor,
							IntColor = o.IntColor,
							VehicleId = o.VehicleId,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_dapperRepo.ExecuteAsync(MstCmmVehicleCBUColorConsts.SP_MST_WPT_CALENDAR_GENERATE);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prod.Master.Cmm.Dto
{
	public class MstCmmVehicleCBUColorExportInput{
		public virtual string ExtColor { get; set; }
		public virtual string IntColor { get; set; }
		public virtual long? VehicleId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prod.Master.Cmm.Exporting
{
	public interface IMstCmmVehicleCBUColorExcelExporter : IApplicationService
	{
		FileDto ExportToFile(List&lt;MstCmmVehicleCBUColorDto&gt; mstcmmvehiclecbucolor);
	}
}
</v>
      </c>
      <c r="T7" s="26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MstCmmVehicleCBUColorExcelExporter : NpoiExcelExporterBase, IMstCmmVehicleCBUColorExcelExporter
    {
        public MstCmmVehicleCBUColorExcelExporter(ITempFileCacheManager tempFileCacheManager) : base(tempFileCacheManager) { }
        public FileDto ExportToFile(List&lt;MstCmmVehicleCBUColorDto&gt; vehiclecbucolor)
        {
            return CreateExcelPackage(
				"MasterCmmVehicleCBUColor.xlsx",
				excelPackage =&gt;
				 {
					var sheet = excelPackage.CreateSheet("VehicleCBUColor");
					AddHeader(
								sheet,
								("ExtColor"),
								("IntColor"),
								("VehicleId"),
							   );
					AddObjects(
						 sheet, 1, vehiclecbucolor,                                       
								_ =&gt; _.ExtColor,
								_ =&gt; _.IntColor,
								_ =&gt; _.VehicleId,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configuration.CreateMap&lt;MstCmmVehicleCBUColorDto, MstCmmVehicleCBUColor&gt;();
  configuration.CreateMap&lt;MstCmmVehicleCBUColor, MstCmmVehicleCBUColorDto&gt;();
  configuration.CreateMap&lt;CreateOrEditMstCmmVehicleCBUColorDto, MstCmmVehicleCBUColor&gt;();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360</v>
      </c>
      <c r="B9" s="28" t="s">
        <v>359</v>
      </c>
      <c r="C9" t="s">
        <v>1</v>
      </c>
      <c r="D9" t="str">
        <f t="shared" ref="D9" si="0">SUBSTITUTE(PROPER(A9),"_","")</f>
        <v>ExtColor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MaxExtColorLength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[StringLength(MaxExtColorLength)]
		public virtual string ExtColor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ExtColor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[StringLength(MstCmmVehicleCBUColorConsts.MaxExtColorLength)]
		public virtual string ExtColor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ExtColor { get; set; }
</v>
      </c>
      <c r="P9" t="str">
        <f t="shared" ref="P9" si="9">REPT(CHAR(9),7)&amp;D9&amp;" = o." &amp;D9 &amp;","</f>
        <v xml:space="preserve">							ExtColor = o.ExtColor,</v>
      </c>
      <c r="T9" s="63" t="str">
        <f t="shared" ref="T9" si="10">REPT(CHAR(9),8)&amp;"("""&amp;D9&amp;"""),"</f>
        <v xml:space="preserve">								("ExtColor"),</v>
      </c>
      <c r="V9" s="64" t="str">
        <f t="shared" ref="V9" si="11">REPT(CHAR(9),8)&amp;"_ =&gt; _."&amp;D9&amp;","</f>
        <v xml:space="preserve">								_ =&gt; _.ExtColor,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.WhereIf(!string.IsNullOrWhiteSpace(input.ExtColor), e =&gt; e.ExtColor.Contains(input.ExtColor))</v>
      </c>
    </row>
    <row r="10" spans="1:23" customFormat="1" ht="18.75" customHeight="1" x14ac:dyDescent="0.25">
      <c r="A10" s="28" t="s">
        <v>361</v>
      </c>
      <c r="B10" s="28" t="s">
        <v>359</v>
      </c>
      <c r="C10" t="s">
        <v>1</v>
      </c>
      <c r="D10" t="str">
        <f t="shared" ref="D10:D11" si="13">SUBSTITUTE(PROPER(A10),"_","")</f>
        <v>IntColor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MaxIntColorLength = 50;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[StringLength(MaxIntColorLength)]
		public virtual string IntColor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IntColor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[StringLength(MstCmmVehicleCBUColorConsts.MaxIntColorLength)]
		public virtual string IntColor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IntColor { get; set; }
</v>
      </c>
      <c r="P10" t="str">
        <f t="shared" ref="P10:P11" si="22">REPT(CHAR(9),7)&amp;D10&amp;" = o." &amp;D10 &amp;","</f>
        <v xml:space="preserve">							IntColor = o.IntColor,</v>
      </c>
      <c r="T10" s="63" t="str">
        <f t="shared" ref="T10:T11" si="23">REPT(CHAR(9),8)&amp;"("""&amp;D10&amp;"""),"</f>
        <v xml:space="preserve">								("IntColor"),</v>
      </c>
      <c r="V10" s="64" t="str">
        <f t="shared" ref="V10:V11" si="24">REPT(CHAR(9),8)&amp;"_ =&gt; _."&amp;D10&amp;","</f>
        <v xml:space="preserve">								_ =&gt; _.IntColor,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.WhereIf(!string.IsNullOrWhiteSpace(input.IntColor), e =&gt; e.IntColor.Contains(input.IntColor))</v>
      </c>
    </row>
    <row r="11" spans="1:23" customFormat="1" ht="18.75" customHeight="1" x14ac:dyDescent="0.25">
      <c r="A11" s="28" t="s">
        <v>362</v>
      </c>
      <c r="B11" s="28" t="s">
        <v>0</v>
      </c>
      <c r="C11" t="s">
        <v>1</v>
      </c>
      <c r="D11" t="str">
        <f t="shared" si="13"/>
        <v>VehicleId</v>
      </c>
      <c r="E11" t="str">
        <f t="shared" si="14"/>
        <v>bigint</v>
      </c>
      <c r="F11" s="6"/>
      <c r="G11" t="str">
        <f t="shared" si="15"/>
        <v/>
      </c>
      <c r="H11" t="str">
        <f>+VLOOKUP(E11,'Data Type Mapping'!A:B,2,)</f>
        <v>long?</v>
      </c>
      <c r="I11" t="str">
        <f t="shared" si="16"/>
        <v/>
      </c>
      <c r="J11" t="str">
        <f t="shared" si="17"/>
        <v xml:space="preserve">		public virtual long? VehicleId { get; set; }
</v>
      </c>
      <c r="K11" s="6"/>
      <c r="L11" t="str">
        <f t="shared" si="18"/>
        <v/>
      </c>
      <c r="M11" t="str">
        <f t="shared" si="19"/>
        <v xml:space="preserve">		public virtual long? VehicleId { get; set; }
</v>
      </c>
      <c r="N11" t="str">
        <f t="shared" si="20"/>
        <v xml:space="preserve">		public virtual long? VehicleId { get; set; }
</v>
      </c>
      <c r="O11" t="str">
        <f t="shared" si="21"/>
        <v/>
      </c>
      <c r="P11" t="str">
        <f t="shared" si="22"/>
        <v xml:space="preserve">							VehicleId = o.VehicleId,</v>
      </c>
      <c r="T11" s="63" t="str">
        <f t="shared" si="23"/>
        <v xml:space="preserve">								("VehicleId"),</v>
      </c>
      <c r="V11" s="64" t="str">
        <f t="shared" si="24"/>
        <v xml:space="preserve">								_ =&gt; _.VehicleId,</v>
      </c>
      <c r="W11" s="63" t="str">
        <f t="shared" si="25"/>
        <v/>
      </c>
    </row>
    <row r="13" spans="1:23" ht="45.75" customHeight="1" x14ac:dyDescent="0.25">
      <c r="H13" s="11"/>
      <c r="I13" s="31" t="str">
        <f ca="1">TEXTJOIN2("
", TRUE,INDIRECT( $H$1):INDIRECT( $H$3))</f>
        <v xml:space="preserve">		public const int MaxExtColorLength = 50;
		public const int MaxIntColorLength = 50;
</v>
      </c>
      <c r="J13" s="30" t="str">
        <f ca="1">TEXTJOIN2("
", TRUE,INDIRECT( $F$1):INDIRECT( $F$3))</f>
        <v xml:space="preserve">		[StringLength(MaxExtColorLength)]
		public virtual string ExtColor { get; set; }
		[StringLength(MaxIntColorLength)]
		public virtual string IntColor { get; set; }
		public virtual long? VehicleId { get; set; }
</v>
      </c>
      <c r="K13" s="32" t="str">
        <f ca="1">TEXTJOIN2("
", TRUE,INDIRECT( $J$1):INDIRECT( $J$3))</f>
        <v/>
      </c>
      <c r="L13" s="12" t="s">
        <v>56</v>
      </c>
      <c r="M13" s="33" t="str">
        <f ca="1">TEXTJOIN2("
",TRUE,INDIRECT( $L$1):INDIRECT($L$3))</f>
        <v xml:space="preserve">		public virtual string ExtColor { get; set; }
		public virtual string IntColor { get; set; }
		public virtual long? VehicleId { get; set; }
</v>
      </c>
      <c r="N13" s="30" t="str">
        <f ca="1">TEXTJOIN2("
",TRUE,INDIRECT( $M$1):INDIRECT($M$3))</f>
        <v xml:space="preserve">		[StringLength(MstCmmVehicleCBUColorConsts.MaxExtColorLength)]
		public virtual string ExtColor { get; set; }
		[StringLength(MstCmmVehicleCBUColorConsts.MaxIntColorLength)]
		public virtual string IntColor { get; set; }
		public virtual long? VehicleId { get; set; }
</v>
      </c>
      <c r="O13" s="30" t="str">
        <f ca="1">TEXTJOIN2("
",TRUE,INDIRECT( $N$1):INDIRECT($N$3))</f>
        <v xml:space="preserve">		public virtual string ExtColor { get; set; }
		public virtual string IntColor { get; set; }
</v>
      </c>
      <c r="P13" s="8" t="str">
        <f ca="1">TEXTJOIN2("
",TRUE,INDIRECT( $O$1):INDIRECT($O$3))</f>
        <v xml:space="preserve">							ExtColor = o.ExtColor,
							IntColor = o.IntColor,
							VehicleId = o.VehicleId,</v>
      </c>
      <c r="T13" s="8" t="str">
        <f ca="1">TEXTJOIN2("
",TRUE,INDIRECT( $T$2):INDIRECT($T$3))</f>
        <v xml:space="preserve">								("ExtColor"),
								("IntColor"),
								("VehicleId"),</v>
      </c>
      <c r="V13" s="8" t="str">
        <f ca="1">TEXTJOIN2("
",TRUE,INDIRECT( $V$2):INDIRECT($V$3))</f>
        <v xml:space="preserve">								_ =&gt; _.ExtColor,
								_ =&gt; _.IntColor,
								_ =&gt; _.VehicleId,</v>
      </c>
      <c r="W13" s="8" t="str">
        <f ca="1">TEXTJOIN2("
",TRUE,INDIRECT( $W$2):INDIRECT($W$3))</f>
        <v xml:space="preserve">				.WhereIf(!string.IsNullOrWhiteSpace(input.ExtColor), e =&gt; e.ExtColor.Contains(input.ExtColor))
				.WhereIf(!string.IsNullOrWhiteSpace(input.IntColor), e =&gt; e.IntColor.Contains(input.IntColor))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19"/>
  <sheetViews>
    <sheetView workbookViewId="0">
      <selection activeCell="B12" sqref="B12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365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Cmm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cmm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MstCmmVehicleCBUColor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VehicleCBUColor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vehiclecbucolor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MstCmmVehicleCBUColorDto, MstCmmVehicleCBUColorServiceProxy } from '@shared/service-proxies/service-proxies';
import { finalize } from 'rxjs/internal/operators/finalize';
import { CreateOrEditVehicleCBUColorModalComponent } from './create-or-edit-vehiclecbucolor-modal.component';
import { DatePipe } from '@angular/common';
import { FileDownloadService } from '@shared/utils/file-download.service';
import ceil from 'lodash-es/ceil';
import { Paginator } from 'primeng/paginator';
@Component({
    templateUrl: './vehiclecbucolor.component.html',
    styleUrls: ['./vehiclecbucolor.component.less'],
})
export class VehicleCBUColorComponent extends AppComponentBase implements OnInit {
    @ViewChild('createOrEditModalVehicleCBUColor', { static: true }) createOrEditModalVehicleCBUColor:| CreateOrEditVehicleCBUColorModalComponent|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MstCmmVehicleCBUColorDto = new MstCmmVehicleCBUColorDto();
    saveSelectedRow: MstCmmVehicleCBUColorDto = new MstCmmVehicleCBUColorDto();
    datas: MstCmmVehicleCBUColorDto = new MstCmmVehicleCBUColorDto();
    isLoading: boolean = false;
    dataParams: GridParams | undefined;
    rowData: any[] = [];
    gridApi!: GridApi;
    rowSelection = 'multiple';
    filter: string = '';
	pipe = new DatePipe('en-US');
	frameworkComponents: FrameworkComponent;
    	extColor : string = '' ; 
	intColor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MstCmmVehicleCBUColorServiceProxy,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this.l('Ext Color'),headerTooltip: this.l('Ext Color'),field: 'extColor',flex: 1},
			{headerName: this.l('Int Color'),headerTooltip: this.l('Int Color'),field: 'intColor',flex: 1},
			{headerName: this.l('Vehicle Id'),headerTooltip: this.l('Vehicle Id'),field: 'vehicleId',flex: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this.extColor,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extColor : string = '' ; 
	intColor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this.extColor,
			'',
            this.paginationParams.skipCount,
            this.paginationParams.pageSize
        );
    }
    onChangeRowSelection(params: { api: { getSelectedRows: () =&gt; MstCmmVehicleCBUColorDto[] } }) {
        this.saveSelectedRow = params.api.getSelectedRows()[0] ?? new MstCmmVehicleCBUColorDto();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MstCmmVehicleCBUColorDto):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this._service.getVehicleCBUColorToExcel(
			this.,
			this.extColor,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Vehicle CBU Color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[(ngModel)]='extColor' name='extColor'
									class='form-control' [placeholder]="l('Ext Color')"
									type='text' (keyup.enter)='searchDatas()'&gt;
								&lt;/div&gt;
								&lt;div class='input-search'&gt;
									&lt;input [(ngModel)]='intColor' name='intColor'
									class='form-control' [placeholder]="l('Int Color')"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(click)="createOrEditModalVehicleCBUColor.show()"&gt;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(click)="createOrEditModalVehicleCBUColor.show(selectedRow)"&gt;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&lt;create-or-edit-vehiclecbucolor-modal
    #createOrEditModalVehicleCBUColor
    (modalSave)="callBackDataGrid(dataParams)"
    (modalClose)="onChangeRowSelection(dataParams)"
&gt;
&lt;/create-or-edit-vehiclecbucolor-modal&gt;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#createOrEditModalVehicleCBUColor="bs-modal"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VehicleCBUColor')}}&lt;/h3&gt;
                    &lt;h3 *ngIf="!rowdata.id"&gt;{{('Create New VehicleCBUColor')}}&lt;/h3&gt;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title'&gt;Ext Color&lt;/label&gt;
						&lt;input type='text' class='col-md-10 form-control input-text' name='ExtColor' [(ngModel)]='rowdata.extColor'&gt;
					&lt;/div&gt;
					&lt;div class='col-md-12 form-group row'&gt;
						&lt;label class='col-md-2 form-control title'&gt;Int Color&lt;/label&gt;
						&lt;input type='text' class='col-md-10 form-control input-text' name='IntColor' [(ngModel)]='rowdata.intColor'&gt;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CreateOrEditMstCmmVehicleCBUColorDto, MstCmmVehicleCBUColorServiceProxy } from '@shared/service-proxies/service-proxies';
import { BsDatepickerDirective } from 'ngx-bootstrap/datepicker';
@Component({
    selector: 'create-or-edit-vehiclecbucolor-modal',
    templateUrl: './create-or-edit-vehiclecbucolor-modal.component.html',
    styleUrls: ['./create-or-edit-vehiclecbucolor-modal.component.less']
    })
export class CreateOrEditVehicleCBUColorModalComponent extends AppComponentBase {
    @ViewChild('createOrEditModalVehicleCBUColor',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CreateOrEditMstCmmVehicleCBUColorDto = new CreateOrEditMstCmmVehicleCBUColorDto();
    active: boolean = false;
    saving: boolean = false;
    _: boolean;
    constructor(
        injector: Injector,
        private _mstwptVehicleCBUColorService: MstCmmVehicleCBUColorServiceProxy,
    ) 
    {
        super(injector);
    }
    show(rowdata?: CreateOrEditMstCmmVehicleCBUColorDto): void {
        if (!rowdata) this.rowdata = new CreateOrEditMstCmmVehicleCBUColorDto();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this._mstwptVehicleCBUColorService.createOrEdit(this.rowdata)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VehicleCBUColorRoutingModule } from './vehiclecbucolor-routing.module';
import { VehicleCBUColorComponent } from './vehiclecbucolor.component';
import { CreateOrEditVehicleCBUColorModalComponent } from './create-or-edit-vehiclecbucolor-modal.component';
@NgModule({
    declarations: [
       VehicleCBUColorComponent, 
        CreateOrEditVehicleCBUColorModalComponent
    ],
    imports: [
        AppSharedModule, VehicleCBUColorRoutingModule]
})
export class VehicleCBUColorModule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VehicleCBUColorComponent } from './vehiclecbucolor.component';
const routes: Routes = [{
    path: '',
    component: VehicleCBUColorComponent,
    pathMatch: 'full'
}];
@NgModule({
    imports: [RouterModule.forChild(routes)],
    exports: [RouterModule],
})
export class VehicleCBUColorRoutingModule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AppMenuItem("VehicleCBUColor", "Pages.Master.Cmm.VehicleCBUColor", "flaticon-book",   "/app/main/master/cmm/vehiclecbucolor"),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'master/cmm/vehiclecbucolor',
    loadChildren: () =&gt; import('./master/cmm/vehiclecbucolor/vehiclecbucolor.module').then(m =&gt; m.VehicleCBUColorModule),
    data: { permission: 'Pages.Master.Cmm.VehicleCBUColor' }
},</v>
      </c>
      <c r="R10" s="47" t="str">
        <f>SUBSTITUTE(R9,"MstWptCalendar",$B$6)</f>
        <v>ApiServiceProxies.MstCmmVehicleCBUColorServiceProxy,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H17</v>
      </c>
      <c r="I12" s="28" t="str">
        <f>"I"&amp;COUNTA($A:$A)</f>
        <v>I17</v>
      </c>
      <c r="J12" s="28"/>
      <c r="K12" s="28" t="str">
        <f>"K"&amp;COUNTA($A:$A)</f>
        <v>K17</v>
      </c>
      <c r="L12" s="28" t="str">
        <f>"L"&amp;COUNTA($A:$A)</f>
        <v>L17</v>
      </c>
      <c r="M12" s="28"/>
      <c r="N12" s="28"/>
      <c r="O12" s="28"/>
      <c r="P12" s="28"/>
      <c r="Q12" s="28"/>
      <c r="R12" s="28"/>
      <c r="S12" s="28" t="str">
        <f>"S"&amp;COUNTA($A:$A)</f>
        <v>S17</v>
      </c>
      <c r="T12" s="28" t="str">
        <f>"T"&amp;COUNTA($A:$A)</f>
        <v>T17</v>
      </c>
      <c r="U12" s="28" t="str">
        <f>"U"&amp;COUNTA($A:$A)</f>
        <v>U17</v>
      </c>
      <c r="V12" s="28" t="str">
        <f>"V"&amp;COUNTA($A:$A)</f>
        <v>V17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this.l('Ext Color'),headerTooltip: this.l('Ext Color'),field: 'extColor',flex: 1},
			{headerName: this.l('Int Color'),headerTooltip: this.l('Int Color'),field: 'intColor',flex: 1},
			{headerName: this.l('Vehicle Id'),headerTooltip: this.l('Vehicle Id'),field: 'vehicleId',flex: 1},</v>
      </c>
      <c r="I13" s="35" t="str">
        <f ca="1">TEXTJOIN2("
",TRUE,INDIRECT(I11):INDIRECT(I12))</f>
        <v xml:space="preserve">								&lt;div class='input-search'&gt;
									&lt;input [(ngModel)]='extColor' name='extColor'
									class='form-control' [placeholder]="l('Ext Color')"
									type='text' (keyup.enter)='searchDatas()'&gt;
								&lt;/div&gt;
								&lt;div class='input-search'&gt;
									&lt;input [(ngModel)]='intColor' name='intColor'
									class='form-control' [placeholder]="l('Int Color')"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title'&gt;Ext Color&lt;/label&gt;
						&lt;input type='text' class='col-md-10 form-control input-text' name='ExtColor' [(ngModel)]='rowdata.extColor'&gt;
					&lt;/div&gt;
					&lt;div class='col-md-12 form-group row'&gt;
						&lt;label class='col-md-2 form-control title'&gt;Int Color&lt;/label&gt;
						&lt;input type='text' class='col-md-10 form-control input-text' name='IntColor' [(ngModel)]='rowdata.intColor'&gt;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extColor : string = '' ; 
	intColor : string = '' ; 
</v>
      </c>
      <c r="T13" s="62" t="str">
        <f ca="1">TEXTJOIN2("
",TRUE,INDIRECT(T11):INDIRECT(T12))</f>
        <v xml:space="preserve">			this.,
			this.extColor,
</v>
      </c>
      <c r="U13" s="62" t="str">
        <f ca="1">TEXTJOIN2("
",TRUE,INDIRECT(U11):INDIRECT(U12))</f>
        <v xml:space="preserve">	extColor : string = '' ; 
	intColor : string = '' ; 
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vehiclecbucolor.component.ts</v>
      </c>
      <c r="I14" s="37" t="str">
        <f>B8&amp;".component.html"</f>
        <v>vehiclecbucolor.component.html</v>
      </c>
      <c r="J14" s="36" t="str">
        <f>B8&amp;".component.less"</f>
        <v>vehiclecbucolor.component.less</v>
      </c>
      <c r="K14" s="37" t="str">
        <f>"create-or-edit-"&amp;B8&amp;"-modal.component.html"</f>
        <v>create-or-edit-vehiclecbucolor-modal.component.html</v>
      </c>
      <c r="L14" s="37" t="str">
        <f>"create-or-edit-"&amp;B8&amp;"-modal.component.ts"</f>
        <v>create-or-edit-vehiclecbucolor-modal.component.ts</v>
      </c>
      <c r="M14" s="37" t="str">
        <f>"create-or-edit-"&amp;B8&amp;"-modal.component.less"</f>
        <v>create-or-edit-vehiclecbucolor-modal.component.less</v>
      </c>
      <c r="N14" s="37" t="str">
        <f>B8&amp;".module.ts"</f>
        <v>vehiclecbucolor.module.ts</v>
      </c>
      <c r="O14" s="37" t="str">
        <f>B8&amp;"-routing.module.ts"</f>
        <v>vehiclecbucolor-routing.module.ts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360</v>
      </c>
      <c r="B15" s="28" t="str">
        <f>SUBSTITUTE(PROPER(A15),"_","")</f>
        <v>ExtColor</v>
      </c>
      <c r="C15" s="28" t="str">
        <f>SUBSTITUTE(PROPER(A15),"_"," ")</f>
        <v>Ext Color</v>
      </c>
      <c r="D15" s="28" t="str">
        <f>LOWER(LEFT(B15,1))&amp;RIGHT(B15,LEN(B15) - 1)</f>
        <v>extColor</v>
      </c>
      <c r="E15" s="28" t="str">
        <f>A.Backend!H9</f>
        <v>string</v>
      </c>
      <c r="F15" s="28" t="str">
        <f>A.Backend!G9</f>
        <v>50</v>
      </c>
      <c r="G15" s="28" t="str">
        <f t="shared" ref="G15" si="0">IF(E15="string"," : string = '' ; ",IF(OR(E15="DateTime",E15="TimeSpan")," : any ;",IF(E15="int"," : number = 0 ;","")))</f>
        <v xml:space="preserve"> : string = '' ; </v>
      </c>
      <c r="H15" s="35" t="str">
        <f t="shared" ref="H15" si="1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this.l('Ext Color'),headerTooltip: this.l('Ext Color'),field: 'extColor',flex: 1},</v>
      </c>
      <c r="I15" s="35" t="str">
        <f t="shared" ref="I15:I17" si="2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[(ngModel)]='extColor' name='extColor'
									class='form-control' [placeholder]="l('Ext Color')"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title'&gt;Ext Color&lt;/label&gt;
						&lt;input type='text' class='col-md-10 form-control input-text' name='ExtColor' [(ngModel)]='rowdata.extColor'&gt;
					&lt;/div&gt;</v>
      </c>
      <c r="L15" s="56" t="str">
        <f t="shared" ref="L15" si="3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extColor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extColor : string = '' ; </v>
      </c>
      <c r="V15" s="28" t="str">
        <f t="shared" ref="V15" si="4">IF(AND(E15="string",F15="1"),D15,"")</f>
        <v/>
      </c>
    </row>
    <row r="16" spans="1:22" ht="18" customHeight="1" x14ac:dyDescent="0.25">
      <c r="A16" s="28" t="s">
        <v>361</v>
      </c>
      <c r="B16" s="28" t="str">
        <f>SUBSTITUTE(PROPER(A16),"_","")</f>
        <v>IntColor</v>
      </c>
      <c r="C16" s="28" t="str">
        <f>SUBSTITUTE(PROPER(A16),"_"," ")</f>
        <v>Int Color</v>
      </c>
      <c r="D16" s="28" t="str">
        <f t="shared" ref="D16:D17" si="5">LOWER(LEFT(B16,1))&amp;RIGHT(B16,LEN(B16) - 1)</f>
        <v>intColor</v>
      </c>
      <c r="E16" s="28" t="str">
        <f>A.Backend!H10</f>
        <v>string</v>
      </c>
      <c r="F16" s="28" t="str">
        <f>A.Backend!G10</f>
        <v>50</v>
      </c>
      <c r="G16" s="28" t="str">
        <f t="shared" ref="G16:G17" si="6">IF(E16="string"," : string = '' ; ",IF(OR(E16="DateTime",E16="TimeSpan")," : any ;",IF(E16="int"," : number = 0 ;","")))</f>
        <v xml:space="preserve"> : string = '' ; </v>
      </c>
      <c r="H16" s="35" t="str">
        <f t="shared" ref="H16:H17" si="7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this.l('Int Color'),headerTooltip: this.l('Int Color'),field: 'intColor',flex: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[(ngModel)]='intColor' name='intColor'
									class='form-control' [placeholder]="l('Int Color')"
									type='text' (keyup.enter)='searchDatas()'&gt;
								&lt;/div&gt;</v>
      </c>
      <c r="J16" s="28"/>
      <c r="K16" s="35" t="str">
        <f t="shared" ref="K16:K17" si="8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title'&gt;Int Color&lt;/label&gt;
						&lt;input type='text' class='col-md-10 form-control input-text' name='IntColor' [(ngModel)]='rowdata.intColor'&gt;
					&lt;/div&gt;</v>
      </c>
      <c r="L16" s="56" t="str">
        <f t="shared" ref="L16" si="9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7" si="10">IF(AND(E16="string",F16 &lt;&gt;"1"),(REPT(CHAR(9),1)&amp;D16&amp;G16),"")</f>
        <v xml:space="preserve">	intColor : string = '' ; </v>
      </c>
      <c r="T16" s="28" t="str">
        <f>IF(AND(E16="string",F16 &lt;&gt;"1"),(REPT(CHAR(9),3)&amp;"this."&amp;D15&amp;","),"")</f>
        <v xml:space="preserve">			this.extColor,</v>
      </c>
      <c r="U16" s="28" t="str">
        <f t="shared" ref="U16:U17" si="11">IF(AND(E16="string",F16 &lt;&gt;"1"),(REPT(CHAR(9),1)&amp;D16&amp;G16),"")</f>
        <v xml:space="preserve">	intColor : string = '' ; </v>
      </c>
      <c r="V16" s="28" t="str">
        <f t="shared" ref="V16:V17" si="12">IF(AND(E16="string",F16="1"),D16,"")</f>
        <v/>
      </c>
    </row>
    <row r="17" spans="1:22" ht="18" customHeight="1" x14ac:dyDescent="0.25">
      <c r="A17" s="28" t="s">
        <v>362</v>
      </c>
      <c r="B17" s="28" t="str">
        <f t="shared" ref="B17" si="13">SUBSTITUTE(PROPER(A17),"_","")</f>
        <v>VehicleId</v>
      </c>
      <c r="C17" s="28" t="str">
        <f t="shared" ref="C17" si="14">SUBSTITUTE(PROPER(A17),"_"," ")</f>
        <v>Vehicle Id</v>
      </c>
      <c r="D17" s="28" t="str">
        <f t="shared" si="5"/>
        <v>vehicleId</v>
      </c>
      <c r="E17" s="28" t="str">
        <f>A.Backend!H11</f>
        <v>long?</v>
      </c>
      <c r="F17" s="28" t="str">
        <f>A.Backend!G11</f>
        <v/>
      </c>
      <c r="G17" s="28" t="str">
        <f t="shared" si="6"/>
        <v/>
      </c>
      <c r="H17" s="35" t="str">
        <f t="shared" si="7"/>
        <v xml:space="preserve">			{headerName: this.l('Vehicle Id'),headerTooltip: this.l('Vehicle Id'),field: 'vehicleId',flex: 1},</v>
      </c>
      <c r="I17" s="35" t="str">
        <f t="shared" si="2"/>
        <v/>
      </c>
      <c r="J17" s="28"/>
      <c r="K17" s="35" t="str">
        <f t="shared" si="8"/>
        <v xml:space="preserve">					&lt;div class='col-md-12 form-group row'&gt;
						&lt;label class='col-md-2 form-control title'&gt;Vehicle Id&lt;/label&gt;
						&lt;input type='number' class='col-md-10 form-control input-text' name='VehicleId' [(ngModel)]='rowdata.vehicleId'&gt;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0"/>
        <v/>
      </c>
      <c r="T17" s="28" t="str">
        <f t="shared" ref="T17" si="15">IF(AND(E17="string",F17 &lt;&gt;"1"),(REPT(CHAR(9),3)&amp;"this."&amp;D16&amp;","),"")</f>
        <v/>
      </c>
      <c r="U17" s="28" t="str">
        <f t="shared" si="11"/>
        <v/>
      </c>
      <c r="V17" s="28" t="str">
        <f t="shared" si="12"/>
        <v/>
      </c>
    </row>
    <row r="1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admin</cp:lastModifiedBy>
  <dcterms:created xsi:type="dcterms:W3CDTF">2022-04-01T07:31:40Z</dcterms:created>
  <dcterms:modified xsi:type="dcterms:W3CDTF">2023-08-15T12:24:57Z</dcterms:modified>
</cp:coreProperties>
</file>
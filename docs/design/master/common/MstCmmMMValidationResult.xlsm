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master\common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5" l="1"/>
  <c r="C16" i="5"/>
  <c r="B16" i="5"/>
  <c r="D16" i="5"/>
  <c r="E16" i="5"/>
  <c r="F16" i="5"/>
  <c r="G16" i="5"/>
  <c r="B17" i="5"/>
  <c r="D17" i="5" s="1"/>
  <c r="C17" i="5"/>
  <c r="E17" i="5"/>
  <c r="F17" i="5"/>
  <c r="G17" i="5"/>
  <c r="B18" i="5"/>
  <c r="D18" i="5" s="1"/>
  <c r="C18" i="5"/>
  <c r="E18" i="5"/>
  <c r="G18" i="5" s="1"/>
  <c r="F18" i="5"/>
  <c r="B19" i="5"/>
  <c r="D19" i="5" s="1"/>
  <c r="C19" i="5"/>
  <c r="E19" i="5"/>
  <c r="G19" i="5" s="1"/>
  <c r="F19" i="5"/>
  <c r="B20" i="5"/>
  <c r="D20" i="5" s="1"/>
  <c r="B21" i="5"/>
  <c r="D21" i="5" s="1"/>
  <c r="C21" i="5"/>
  <c r="E21" i="5"/>
  <c r="F21" i="5"/>
  <c r="G21" i="5"/>
  <c r="B22" i="5"/>
  <c r="D22" i="5" s="1"/>
  <c r="C22" i="5"/>
  <c r="E22" i="5"/>
  <c r="F22" i="5"/>
  <c r="V22" i="5" s="1"/>
  <c r="G22" i="5"/>
  <c r="B23" i="5"/>
  <c r="D23" i="5" s="1"/>
  <c r="C23" i="5"/>
  <c r="E23" i="5"/>
  <c r="V23" i="5" s="1"/>
  <c r="F23" i="5"/>
  <c r="B24" i="5"/>
  <c r="D24" i="5" s="1"/>
  <c r="C24" i="5"/>
  <c r="E24" i="5"/>
  <c r="G24" i="5" s="1"/>
  <c r="F24" i="5"/>
  <c r="V24" i="5" s="1"/>
  <c r="B25" i="5"/>
  <c r="D25" i="5" s="1"/>
  <c r="C25" i="5"/>
  <c r="E25" i="5"/>
  <c r="V25" i="5" s="1"/>
  <c r="F25" i="5"/>
  <c r="G25" i="5"/>
  <c r="B26" i="5"/>
  <c r="D26" i="5" s="1"/>
  <c r="C26" i="5"/>
  <c r="E26" i="5"/>
  <c r="F26" i="5"/>
  <c r="V26" i="5" s="1"/>
  <c r="G26" i="5"/>
  <c r="B27" i="5"/>
  <c r="D27" i="5" s="1"/>
  <c r="C27" i="5"/>
  <c r="E27" i="5"/>
  <c r="V27" i="5" s="1"/>
  <c r="F27" i="5"/>
  <c r="B28" i="5"/>
  <c r="D28" i="5" s="1"/>
  <c r="K28" i="5" s="1"/>
  <c r="C28" i="5"/>
  <c r="E28" i="5"/>
  <c r="G28" i="5" s="1"/>
  <c r="F28" i="5"/>
  <c r="V28" i="5" s="1"/>
  <c r="B29" i="5"/>
  <c r="D29" i="5" s="1"/>
  <c r="C29" i="5"/>
  <c r="E29" i="5"/>
  <c r="V29" i="5" s="1"/>
  <c r="F29" i="5"/>
  <c r="G29" i="5"/>
  <c r="B30" i="5"/>
  <c r="D30" i="5" s="1"/>
  <c r="C30" i="5"/>
  <c r="B31" i="5"/>
  <c r="D31" i="5" s="1"/>
  <c r="C31" i="5"/>
  <c r="B32" i="5"/>
  <c r="D32" i="5" s="1"/>
  <c r="C32" i="5"/>
  <c r="E32" i="5"/>
  <c r="G32" i="5" s="1"/>
  <c r="F32" i="5"/>
  <c r="V32" i="5" s="1"/>
  <c r="B33" i="5"/>
  <c r="D33" i="5" s="1"/>
  <c r="C33" i="5"/>
  <c r="E33" i="5"/>
  <c r="F33" i="5"/>
  <c r="G33" i="5"/>
  <c r="C15" i="5"/>
  <c r="B15" i="5"/>
  <c r="D15" i="5" s="1"/>
  <c r="L32" i="5"/>
  <c r="L28" i="5"/>
  <c r="L26" i="5"/>
  <c r="L24" i="5"/>
  <c r="L22" i="5"/>
  <c r="V21" i="5"/>
  <c r="L21" i="5"/>
  <c r="P25" i="1"/>
  <c r="L25" i="1"/>
  <c r="G25" i="1"/>
  <c r="F31" i="5" s="1"/>
  <c r="E25" i="1"/>
  <c r="H25" i="1" s="1"/>
  <c r="E31" i="5" s="1"/>
  <c r="V31" i="5" s="1"/>
  <c r="D25" i="1"/>
  <c r="V25" i="1" s="1"/>
  <c r="L24" i="1"/>
  <c r="G24" i="1"/>
  <c r="F30" i="5" s="1"/>
  <c r="E24" i="1"/>
  <c r="H24" i="1" s="1"/>
  <c r="E30" i="5" s="1"/>
  <c r="D24" i="1"/>
  <c r="T24" i="1" s="1"/>
  <c r="L23" i="1"/>
  <c r="H23" i="1"/>
  <c r="W23" i="1" s="1"/>
  <c r="G23" i="1"/>
  <c r="E23" i="1"/>
  <c r="D23" i="1"/>
  <c r="V23" i="1" s="1"/>
  <c r="L22" i="1"/>
  <c r="G22" i="1"/>
  <c r="E22" i="1"/>
  <c r="H22" i="1" s="1"/>
  <c r="D22" i="1"/>
  <c r="T22" i="1" s="1"/>
  <c r="T21" i="1"/>
  <c r="L21" i="1"/>
  <c r="H21" i="1"/>
  <c r="G21" i="1"/>
  <c r="E21" i="1"/>
  <c r="D21" i="1"/>
  <c r="V21" i="1" s="1"/>
  <c r="L20" i="1"/>
  <c r="G20" i="1"/>
  <c r="E20" i="1"/>
  <c r="H20" i="1" s="1"/>
  <c r="D20" i="1"/>
  <c r="T20" i="1" s="1"/>
  <c r="L19" i="1"/>
  <c r="H19" i="1"/>
  <c r="W19" i="1" s="1"/>
  <c r="G19" i="1"/>
  <c r="E19" i="1"/>
  <c r="D19" i="1"/>
  <c r="V19" i="1" s="1"/>
  <c r="L26" i="1"/>
  <c r="G26" i="1"/>
  <c r="E26" i="1"/>
  <c r="H26" i="1" s="1"/>
  <c r="D26" i="1"/>
  <c r="T26" i="1" s="1"/>
  <c r="T18" i="1"/>
  <c r="P18" i="1"/>
  <c r="L18" i="1"/>
  <c r="H18" i="1"/>
  <c r="W18" i="1" s="1"/>
  <c r="G18" i="1"/>
  <c r="E18" i="1"/>
  <c r="D18" i="1"/>
  <c r="V18" i="1" s="1"/>
  <c r="L17" i="1"/>
  <c r="G17" i="1"/>
  <c r="E17" i="1"/>
  <c r="H17" i="1" s="1"/>
  <c r="D17" i="1"/>
  <c r="T17" i="1" s="1"/>
  <c r="L16" i="1"/>
  <c r="H16" i="1"/>
  <c r="G16" i="1"/>
  <c r="E16" i="1"/>
  <c r="D16" i="1"/>
  <c r="V16" i="1" s="1"/>
  <c r="L15" i="1"/>
  <c r="G15" i="1"/>
  <c r="E15" i="1"/>
  <c r="H15" i="1" s="1"/>
  <c r="D15" i="1"/>
  <c r="V30" i="5" l="1"/>
  <c r="L30" i="5"/>
  <c r="G30" i="5"/>
  <c r="H32" i="5"/>
  <c r="H24" i="5"/>
  <c r="T21" i="5"/>
  <c r="K22" i="5"/>
  <c r="S22" i="5"/>
  <c r="U22" i="5"/>
  <c r="H22" i="5"/>
  <c r="S26" i="5"/>
  <c r="U26" i="5"/>
  <c r="K26" i="5"/>
  <c r="H26" i="5"/>
  <c r="H30" i="5"/>
  <c r="S30" i="5"/>
  <c r="H28" i="5"/>
  <c r="K24" i="5"/>
  <c r="K32" i="5"/>
  <c r="T19" i="1"/>
  <c r="W21" i="1"/>
  <c r="P23" i="1"/>
  <c r="T25" i="1"/>
  <c r="P16" i="1"/>
  <c r="W16" i="1"/>
  <c r="T23" i="1"/>
  <c r="W25" i="1"/>
  <c r="T16" i="1"/>
  <c r="P17" i="1"/>
  <c r="P21" i="1"/>
  <c r="P19" i="1"/>
  <c r="U32" i="5"/>
  <c r="S32" i="5"/>
  <c r="U29" i="5"/>
  <c r="K29" i="5"/>
  <c r="S29" i="5"/>
  <c r="H29" i="5"/>
  <c r="H31" i="5"/>
  <c r="U28" i="5"/>
  <c r="S28" i="5"/>
  <c r="U25" i="5"/>
  <c r="K25" i="5"/>
  <c r="S25" i="5"/>
  <c r="H25" i="5"/>
  <c r="K23" i="5"/>
  <c r="H23" i="5"/>
  <c r="H27" i="5"/>
  <c r="U27" i="5"/>
  <c r="K27" i="5"/>
  <c r="U24" i="5"/>
  <c r="S24" i="5"/>
  <c r="U21" i="5"/>
  <c r="K21" i="5"/>
  <c r="S21" i="5"/>
  <c r="H21" i="5"/>
  <c r="I21" i="5"/>
  <c r="I22" i="5"/>
  <c r="T22" i="5"/>
  <c r="I23" i="5"/>
  <c r="T23" i="5"/>
  <c r="I24" i="5"/>
  <c r="T24" i="5"/>
  <c r="I25" i="5"/>
  <c r="T25" i="5"/>
  <c r="I26" i="5"/>
  <c r="T26" i="5"/>
  <c r="I27" i="5"/>
  <c r="T27" i="5"/>
  <c r="I28" i="5"/>
  <c r="T28" i="5"/>
  <c r="I29" i="5"/>
  <c r="T29" i="5"/>
  <c r="I30" i="5"/>
  <c r="T30" i="5"/>
  <c r="I31" i="5"/>
  <c r="T31" i="5"/>
  <c r="I32" i="5"/>
  <c r="T32" i="5"/>
  <c r="K30" i="5"/>
  <c r="U30" i="5"/>
  <c r="K31" i="5"/>
  <c r="G31" i="5"/>
  <c r="S31" i="5" s="1"/>
  <c r="G27" i="5"/>
  <c r="S27" i="5" s="1"/>
  <c r="G23" i="5"/>
  <c r="S23" i="5" s="1"/>
  <c r="L23" i="5"/>
  <c r="L25" i="5"/>
  <c r="L27" i="5"/>
  <c r="L29" i="5"/>
  <c r="L31" i="5"/>
  <c r="M20" i="1"/>
  <c r="W20" i="1"/>
  <c r="O20" i="1"/>
  <c r="J20" i="1"/>
  <c r="N20" i="1"/>
  <c r="I20" i="1"/>
  <c r="M26" i="1"/>
  <c r="W26" i="1"/>
  <c r="O26" i="1"/>
  <c r="J26" i="1"/>
  <c r="N26" i="1"/>
  <c r="I26" i="1"/>
  <c r="M15" i="1"/>
  <c r="W15" i="1"/>
  <c r="O15" i="1"/>
  <c r="J15" i="1"/>
  <c r="N15" i="1"/>
  <c r="I15" i="1"/>
  <c r="M24" i="1"/>
  <c r="W24" i="1"/>
  <c r="O24" i="1"/>
  <c r="J24" i="1"/>
  <c r="N24" i="1"/>
  <c r="I24" i="1"/>
  <c r="T15" i="1"/>
  <c r="P15" i="1"/>
  <c r="V15" i="1"/>
  <c r="M17" i="1"/>
  <c r="W17" i="1"/>
  <c r="O17" i="1"/>
  <c r="J17" i="1"/>
  <c r="N17" i="1"/>
  <c r="I17" i="1"/>
  <c r="M22" i="1"/>
  <c r="W22" i="1"/>
  <c r="O22" i="1"/>
  <c r="J22" i="1"/>
  <c r="N22" i="1"/>
  <c r="I22" i="1"/>
  <c r="I18" i="1"/>
  <c r="I19" i="1"/>
  <c r="N19" i="1"/>
  <c r="P20" i="1"/>
  <c r="I21" i="1"/>
  <c r="N21" i="1"/>
  <c r="P22" i="1"/>
  <c r="I23" i="1"/>
  <c r="N23" i="1"/>
  <c r="P24" i="1"/>
  <c r="I25" i="1"/>
  <c r="N25" i="1"/>
  <c r="V17" i="1"/>
  <c r="V26" i="1"/>
  <c r="V20" i="1"/>
  <c r="V22" i="1"/>
  <c r="V24" i="1"/>
  <c r="M16" i="1"/>
  <c r="M18" i="1"/>
  <c r="M19" i="1"/>
  <c r="M21" i="1"/>
  <c r="M23" i="1"/>
  <c r="M25" i="1"/>
  <c r="I16" i="1"/>
  <c r="N16" i="1"/>
  <c r="N18" i="1"/>
  <c r="P26" i="1"/>
  <c r="J16" i="1"/>
  <c r="O16" i="1"/>
  <c r="J18" i="1"/>
  <c r="O18" i="1"/>
  <c r="J19" i="1"/>
  <c r="O19" i="1"/>
  <c r="J21" i="1"/>
  <c r="O21" i="1"/>
  <c r="J23" i="1"/>
  <c r="O23" i="1"/>
  <c r="J25" i="1"/>
  <c r="O25" i="1"/>
  <c r="U31" i="5" l="1"/>
  <c r="U23" i="5"/>
  <c r="L27" i="1"/>
  <c r="G27" i="1"/>
  <c r="E27" i="1"/>
  <c r="H27" i="1" s="1"/>
  <c r="D27" i="1"/>
  <c r="V27" i="1" s="1"/>
  <c r="W27" i="1" l="1"/>
  <c r="P27" i="1"/>
  <c r="T27" i="1"/>
  <c r="I27" i="1"/>
  <c r="N27" i="1"/>
  <c r="M27" i="1"/>
  <c r="J27" i="1"/>
  <c r="O27" i="1"/>
  <c r="B7" i="5"/>
  <c r="B6" i="5"/>
  <c r="B2" i="5"/>
  <c r="T33" i="5" l="1"/>
  <c r="I33" i="5"/>
  <c r="S33" i="5"/>
  <c r="U33" i="5"/>
  <c r="V33" i="5"/>
  <c r="K33" i="5"/>
  <c r="H33" i="5"/>
  <c r="B8" i="5"/>
  <c r="B3" i="5"/>
  <c r="L14" i="1"/>
  <c r="G14" i="1"/>
  <c r="F20" i="5" s="1"/>
  <c r="E14" i="1"/>
  <c r="H14" i="1" s="1"/>
  <c r="E20" i="5" s="1"/>
  <c r="G20" i="5" s="1"/>
  <c r="D14" i="1"/>
  <c r="T14" i="1" s="1"/>
  <c r="S20" i="5" l="1"/>
  <c r="T20" i="5"/>
  <c r="U20" i="5"/>
  <c r="V20" i="5"/>
  <c r="K20" i="5"/>
  <c r="I20" i="5"/>
  <c r="H20" i="5"/>
  <c r="L33" i="5"/>
  <c r="L20" i="5"/>
  <c r="M14" i="1"/>
  <c r="I14" i="1"/>
  <c r="N14" i="1"/>
  <c r="V14" i="1"/>
  <c r="J14" i="1"/>
  <c r="O14" i="1"/>
  <c r="W14" i="1"/>
  <c r="P14" i="1"/>
  <c r="B6" i="1" l="1"/>
  <c r="G13" i="1"/>
  <c r="E13" i="1"/>
  <c r="H13" i="1" s="1"/>
  <c r="D13" i="1"/>
  <c r="V13" i="1" s="1"/>
  <c r="U19" i="5" l="1"/>
  <c r="I19" i="5"/>
  <c r="V19" i="5"/>
  <c r="K19" i="5"/>
  <c r="T19" i="5"/>
  <c r="S19" i="5"/>
  <c r="H19" i="5"/>
  <c r="L19" i="5"/>
  <c r="W13" i="1"/>
  <c r="N13" i="1"/>
  <c r="I13" i="1"/>
  <c r="M13" i="1"/>
  <c r="O13" i="1"/>
  <c r="J13" i="1"/>
  <c r="L13" i="1"/>
  <c r="P13" i="1"/>
  <c r="T13" i="1"/>
  <c r="L12" i="1"/>
  <c r="G12" i="1"/>
  <c r="E12" i="1"/>
  <c r="H12" i="1" s="1"/>
  <c r="D12" i="1"/>
  <c r="V12" i="1" s="1"/>
  <c r="G11" i="1"/>
  <c r="E11" i="1"/>
  <c r="H11" i="1" s="1"/>
  <c r="D11" i="1"/>
  <c r="T11" i="1" s="1"/>
  <c r="K18" i="5" l="1"/>
  <c r="U18" i="5"/>
  <c r="I18" i="5"/>
  <c r="T18" i="5"/>
  <c r="S18" i="5"/>
  <c r="V18" i="5"/>
  <c r="H18" i="5"/>
  <c r="T17" i="5"/>
  <c r="K17" i="5"/>
  <c r="S17" i="5"/>
  <c r="U17" i="5"/>
  <c r="I17" i="5"/>
  <c r="V17" i="5"/>
  <c r="H17" i="5"/>
  <c r="L18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K15" i="5" l="1"/>
  <c r="I15" i="5"/>
  <c r="T15" i="5"/>
  <c r="H15" i="5"/>
  <c r="G15" i="5"/>
  <c r="U15" i="5" s="1"/>
  <c r="V15" i="5"/>
  <c r="L15" i="5"/>
  <c r="W9" i="1"/>
  <c r="P9" i="1"/>
  <c r="T9" i="1"/>
  <c r="I9" i="1"/>
  <c r="N9" i="1"/>
  <c r="M9" i="1"/>
  <c r="J9" i="1"/>
  <c r="O9" i="1"/>
  <c r="S15" i="5" l="1"/>
  <c r="Q3" i="1"/>
  <c r="B4" i="5" s="1"/>
  <c r="B5" i="5" s="1"/>
  <c r="G10" i="1" l="1"/>
  <c r="E10" i="1"/>
  <c r="H10" i="1" s="1"/>
  <c r="D10" i="1"/>
  <c r="T10" i="1" s="1"/>
  <c r="H16" i="5" l="1"/>
  <c r="S16" i="5"/>
  <c r="U16" i="5"/>
  <c r="T16" i="5"/>
  <c r="V16" i="5"/>
  <c r="K16" i="5"/>
  <c r="I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29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29" i="1"/>
  <c r="T7" i="1" l="1"/>
  <c r="W29" i="1"/>
  <c r="G6" i="1" l="1"/>
  <c r="L13" i="5"/>
  <c r="S13" i="5"/>
  <c r="K13" i="5"/>
  <c r="U13" i="5"/>
  <c r="H13" i="5"/>
  <c r="I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B7" i="1"/>
  <c r="L9" i="1" l="1"/>
  <c r="L10" i="1"/>
  <c r="C7" i="1"/>
  <c r="P29" i="1"/>
  <c r="O29" i="1"/>
  <c r="J29" i="1"/>
  <c r="N29" i="1"/>
  <c r="I29" i="1"/>
  <c r="Q7" i="1" l="1"/>
  <c r="M69" i="3" s="1"/>
  <c r="L7" i="1"/>
  <c r="G69" i="3" s="1"/>
  <c r="K69" i="3"/>
  <c r="J69" i="3"/>
  <c r="K29" i="1"/>
  <c r="M29" i="1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<sst xmlns="http://schemas.openxmlformats.org/spreadsheetml/2006/main" count="511" uniqueCount="384">
  <si>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</si>
  <si>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</si>
  <si>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</si>
  <si>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</si>
  <si>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</si>
  <si>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</si>
  <si>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</si>
  <si>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</si>
  <si>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</si>
  <si>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</si>
  <si>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</si>
  <si>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</si>
  <si>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</si>
  <si>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</si>
  <si>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</si>
  <si>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</si>
  <si>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</si>
  <si>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</si>
  <si>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</si>
  <si>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</si>
  <si>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</si>
  <si>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</si>
  <si>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</si>
  <si>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</si>
  <si>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</si>
  <si>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</si>
  <si>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</si>
  <si>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</si>
  <si>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</si>
  <si>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</si>
  <si>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</si>
  <si>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</si>
  <si>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</si>
  <si>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</si>
  <si>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</si>
  <si>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</si>
  <si>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</si>
  <si>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</si>
  <si>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</si>
  <si>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</si>
  <si>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</si>
  <si>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</si>
  <si>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</si>
  <si>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</si>
  <si>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</si>
  <si>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</si>
  <si>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</si>
  <si>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</si>
  <si>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</si>
  <si>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</si>
  <si>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</si>
  <si>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</si>
  <si>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</si>
  <si>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</si>
  <si>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</si>
  <si>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</si>
  <si>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</si>
  <si>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</si>
  <si>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</si>
  <si>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</si>
  <si>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</si>
  <si>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</si>
  <si>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</si>
  <si>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</si>
  <si>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</si>
  <si>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</si>
  <si>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</si>
  <si>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</si>
  <si>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</si>
  <si>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</si>
  <si>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</si>
  <si>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</si>
  <si>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</si>
  <si>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</si>
  <si>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</si>
  <si>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</si>
  <si>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</si>
  <si>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</si>
  <si>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</si>
  <si>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</si>
  <si>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</si>
  <si>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</si>
  <si>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</si>
  <si>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</si>
  <si>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</si>
  <si>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</si>
  <si>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</si>
  <si>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</si>
  <si>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</si>
  <si>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</si>
  <si>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</si>
  <si>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</si>
  <si>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</si>
  <si>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</si>
  <si>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</si>
  <si>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</si>
  <si>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</si>
  <si>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</si>
  <si>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</si>
  <si>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</si>
  <si>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</si>
  <si>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</si>
  <si>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</si>
  <si>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</si>
  <si>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</si>
  <si>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</si>
  <si>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</si>
  <si>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</si>
  <si>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</si>
  <si>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</si>
  <si>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</si>
  <si>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</si>
  <si>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</si>
  <si>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</si>
  <si>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</si>
  <si>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</si>
  <si>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</si>
  <si>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</si>
  <si>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</si>
  <si>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</si>
  <si>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</si>
  <si>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</si>
  <si>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</si>
  <si>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</si>
  <si>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</si>
  <si>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</si>
  <si>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</si>
  <si>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</si>
  <si>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</si>
  <si>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</si>
  <si>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</si>
  <si>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</si>
  <si>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</si>
  <si>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</si>
  <si>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</si>
  <si>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</si>
  <si>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</si>
  <si>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</si>
  <si>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</si>
  <si>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</si>
  <si>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</si>
  <si>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</si>
  <si>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</si>
  <si>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</si>
  <si>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</si>
  <si>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</si>
  <si>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</si>
  <si>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</si>
  <si>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</si>
  <si>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</si>
  <si>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</si>
  <si>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</si>
  <si>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</si>
  <si>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</si>
  <si>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</si>
  <si>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</si>
  <si>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</si>
  <si>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</si>
  <si>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</si>
  <si>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</si>
  <si>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</si>
  <si>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</si>
  <si>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</si>
  <si>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</si>
  <si>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</si>
  <si>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</si>
  <si>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</si>
  <si>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</si>
  <si>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</si>
  <si>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</si>
  <si>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</si>
  <si>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</si>
  <si>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</si>
  <si>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</si>
  <si>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</si>
  <si>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</si>
  <si>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</si>
  <si>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</si>
  <si>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</si>
  <si>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</si>
  <si>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</si>
  <si>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</si>
  <si>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</si>
  <si>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</si>
  <si>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</si>
  <si>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</si>
  <si>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</si>
  <si>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</si>
  <si>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</si>
  <si>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</si>
  <si>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</si>
  <si>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</si>
  <si>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</si>
  <si>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</si>
  <si>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</si>
  <si>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</si>
  <si>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</si>
  <si>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</si>
  <si>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</si>
  <si>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</si>
  <si>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</si>
  <si>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</si>
  <si>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</si>
  <si>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</si>
  <si>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</si>
  <si>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</si>
  <si>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</si>
  <si>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</si>
  <si>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</si>
  <si>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</si>
  <si>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</si>
  <si>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</si>
  <si>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</si>
  <si>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</si>
  <si>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</si>
  <si>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</si>
  <si>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</si>
  <si>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</si>
  <si>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</si>
  <si>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</si>
  <si>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</si>
  <si>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</si>
  <si>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</si>
  <si>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</si>
  <si>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</si>
  <si>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</si>
  <si>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</si>
  <si>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</si>
  <si>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</si>
  <si>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</si>
  <si>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</si>
  <si>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</si>
  <si>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</si>
  <si>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</si>
  <si>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</si>
  <si>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</si>
  <si>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</si>
  <si>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</si>
  <si>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</si>
  <si>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</si>
  <si>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</si>
  <si>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</si>
  <si>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</si>
  <si>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</si>
  <si>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</si>
  <si>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</si>
  <si>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</si>
  <si>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</si>
  <si>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</si>
  <si>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</si>
  <si>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</si>
  <si>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</si>
  <si>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</si>
  <si>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</si>
  <si>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</si>
  <si>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</si>
  <si>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</si>
  <si>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</si>
  <si>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</si>
  <si>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</si>
  <si>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</si>
  <si>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</si>
  <si>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</si>
  <si>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</si>
  <si>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</si>
  <si>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</si>
  <si>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</si>
  <si>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</si>
  <si>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</si>
  <si>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</si>
  <si>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</si>
  <si>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</si>
  <si>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</si>
  <si>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</si>
  <si>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</si>
  <si>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</si>
  <si>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</si>
  <si>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</si>
  <si>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</si>
  <si>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</si>
  <si>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</si>
  <si>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</si>
  <si>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</si>
  <si>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</si>
  <si>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</si>
  <si>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</si>
  <si>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</si>
  <si>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</si>
  <si>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</si>
  <si>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</si>
  <si>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</si>
  <si>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</si>
  <si>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</si>
  <si>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</si>
  <si>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</si>
  <si>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</si>
  <si>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</si>
  <si>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</si>
  <si>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</si>
  <si>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</si>
  <si>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</si>
  <si>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</si>
  <si>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</si>
  <si>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</si>
  <si>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</si>
  <si>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</si>
  <si>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</si>
  <si>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</si>
  <si>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</si>
  <si>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</si>
  <si>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</si>
  <si>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</si>
  <si>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</si>
  <si>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</si>
  <si>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</si>
  <si>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</si>
  <si>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</si>
  <si>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</si>
  <si>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</si>
  <si>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</si>
  <si>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</si>
  <si>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</si>
  <si>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</si>
  <si>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</si>
  <si>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</si>
  <si>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</si>
  <si>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</si>
  <si>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</si>
  <si>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</si>
  <si>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</si>
  <si>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</si>
  <si>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</si>
  <si>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</si>
  <si>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</si>
  <si>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</si>
  <si>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</si>
  <si>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</si>
  <si>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</si>
  <si>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</si>
  <si>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</si>
  <si>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</si>
  <si>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</si>
  <si>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</si>
  <si>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</si>
  <si>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</si>
  <si>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</si>
  <si>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</si>
  <si>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</si>
  <si>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</si>
  <si>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</si>
  <si>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Frame Enginer</t>
  </si>
  <si>
    <t>bool?</t>
  </si>
  <si>
    <t>varchar(1)</t>
  </si>
  <si>
    <t>CPS</t>
  </si>
  <si>
    <t>Cps</t>
  </si>
  <si>
    <t>InvCps</t>
  </si>
  <si>
    <t>IHP</t>
  </si>
  <si>
    <t>Ihp</t>
  </si>
  <si>
    <t>InvIhp</t>
  </si>
  <si>
    <t>Inhouse Part</t>
  </si>
  <si>
    <t>Master.Cmm</t>
  </si>
  <si>
    <t>OPTION</t>
  </si>
  <si>
    <t>nvarchar(50)</t>
  </si>
  <si>
    <t>nvarchar(5000)</t>
  </si>
  <si>
    <t>RULE_CODE</t>
  </si>
  <si>
    <t>RULE_DESCRIPTION</t>
  </si>
  <si>
    <t>RULE_ITEM</t>
  </si>
  <si>
    <t>MstCmmMMValidationResult</t>
  </si>
  <si>
    <t>CmmMMValidationResult</t>
  </si>
  <si>
    <t>MATERIA_ID</t>
  </si>
  <si>
    <t>MATERIAL_CODE</t>
  </si>
  <si>
    <t>MATERIAL_NAME</t>
  </si>
  <si>
    <t>MATERIAL_GROUP</t>
  </si>
  <si>
    <t>VALUATION_CLASS</t>
  </si>
  <si>
    <t>RULE_ID</t>
  </si>
  <si>
    <t>ACTUAL_RESULT</t>
  </si>
  <si>
    <t>LASTVALIDATIONBY</t>
  </si>
  <si>
    <t>STATUS</t>
  </si>
  <si>
    <t>ISACTIVE</t>
  </si>
  <si>
    <t>RESULT_FIELD</t>
  </si>
  <si>
    <t>EXPECTED_RESULT</t>
  </si>
  <si>
    <t>LAST_VALIDATION_DATETIME</t>
  </si>
  <si>
    <t>LAST_VALIDATION_ID</t>
  </si>
  <si>
    <t>ERROR_MESSAGE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</si>
</sst>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opLeftCell="A64" zoomScaleNormal="100" workbookViewId="0">
      <selection activeCell="C69" sqref="C6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356</v>
      </c>
      <c r="F46" s="1" t="s">
        <v>357</v>
      </c>
      <c r="G46" t="s">
        <v>358</v>
      </c>
      <c r="H46" t="s">
        <v>359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353</v>
      </c>
      <c r="F51" s="1" t="s">
        <v>354</v>
      </c>
      <c r="G51" t="s">
        <v>355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[Table("MstCmmMMValidationResult")]
	public class MstCmmMMValidationResult: FullAuditedEntity&lt;long&gt;, IEntity&lt;long&gt;	
	{
		public const int MaxMaterialCodeLength = 5000;
		public const int MaxMaterialNameLength = 50;
		public const int MaxMaterialGroupLength = 50;
		public const int MaxValuationClassLength = 50;
		public const int MaxRuleCodeLength = 50;
		public const int MaxRuleDescriptionLength = 50;
		public const int MaxRuleItemLength = 50;
		public const int MaxOptionLength = 50;
		public const int MaxResultFieldLength = 50;
		public const int MaxExpectedResultLength = 50;
		public const int MaxActualResultLength = 50;
		public const int MaxLastValidationDatetimeLength = 50;
		public const int MaxLastvalidationbyLength = 50;
		public const int MaxStatusLength = 50;
		public const int MaxErrorMessageLength = 5000;
		public const int MaxIsactiveLength = 1;
		public virtual long? MateriaId { get; set; }
		[StringLength(MaxMaterialCodeLength)]
		public virtual string MaterialCode { get; set; }
		[StringLength(MaxMaterialNameLength)]
		public virtual string MaterialName { get; set; }
		[StringLength(MaxMaterialGroupLength)]
		public virtual string MaterialGroup { get; set; }
		[StringLength(MaxValuationClassLength)]
		public virtual string ValuationClass { get; set; }
		public virtual long? RuleId { get; set; }
		[StringLength(MaxRuleCodeLength)]
		public virtual string RuleCode { get; set; }
		[StringLength(MaxRuleDescriptionLength)]
		public virtual string RuleDescription { get; set; }
		[StringLength(MaxRuleItemLength)]
		public virtual string RuleItem { get; set; }
		[StringLength(MaxOptionLength)]
		public virtual string Option { get; set; }
		[StringLength(MaxResultFieldLength)]
		public virtual string ResultField { get; set; }
		[StringLength(MaxExpectedResultLength)]
		public virtual string ExpectedResult { get; set; }
		[StringLength(MaxActualResultLength)]
		public virtual string ActualResult { get; set; }
		[StringLength(MaxLastValidationDatetimeLength)]
		public virtual string LastValidationDatetime { get; set; }
		[StringLength(MaxLastvalidationbyLength)]
		public virtual string Lastvalidationby { get; set; }
		public virtual long? LastValidationId { get; set; }
		[StringLength(MaxStatusLength)]
		public virtual string Status { get; set; }
		[StringLength(MaxErrorMessageLength)]
		public virtual string ErrorMessage { get; set; }
		[StringLength(MaxIsactiveLength)]
		public virtual string Isactive { get; set; }
	}
}
</v>
      </c>
      <c r="D69" s="48" t="str">
        <f>A.Backend!O7</f>
        <v xml:space="preserve">		public const string Pages_Master_Cmm_CmmMMValidationResult = "Pages.Master.Cmm.CmmMMValidationResult";
		public const string Pages_Master_Cmm_CmmMMValidationResult_CreateEdit = "Pages.Master.Cmm.CmmMMValidationResult.CreateEdit";
		public const string Pages_Master_Cmm_CmmMMValidationResult_Delete = "Pages.Master.Cmm.CmmMMValidationResult.Delete";
</v>
      </c>
      <c r="E69" s="48" t="str">
        <f>A.Backend!N7</f>
        <v xml:space="preserve">		var perMstCmmMMValidationResult = PARENTS.CreateChildPermission(AppPermissions.Pages_Master_Cmm_CmmMMValidationResult, L( "MasterCmmCmmMMValidationResult"), multiTenancySides: MultiTenancySides.Tenant);
		perMstCmmMMValidationResult.CreateChildPermission(AppPermissions.Pages_Master_Cmm_CmmMMValidationResult_CreateEdit, L( "MasterCmmCmmMMValidationResultCreateEdit"), multiTenancySides: MultiTenancySides.Tenant);
		perMstCmmMMValidationResult.CreateChildPermission(AppPermissions.Pages_Master_Cmm_CmmMMValidationResult_Delete, L( "MasterCmmCmmMMValidationResultDelete"), multiTenancySides: MultiTenancySides.Tenant);</v>
      </c>
      <c r="F69" s="48" t="str">
        <f>A.Backend!K7</f>
        <v>public virtual DbSet&lt;MstCmmMMValidationResult&gt; MstCmmMMValidationResults { get; set; }</v>
      </c>
      <c r="G69" s="48" t="str">
        <f ca="1">A.Backend!L7</f>
        <v xml:space="preserve">namespace prod.Master.Cmm
{
	public class MstCmmMMValidationResultConsts	
	{
		public const int MaxMaterialCodeLength = 5000;
		public const int MaxMaterialNameLength = 50;
		public const int MaxMaterialGroupLength = 50;
		public const int MaxValuationClassLength = 50;
		public const int MaxRuleCodeLength = 50;
		public const int MaxRuleDescriptionLength = 50;
		public const int MaxRuleItemLength = 50;
		public const int MaxOptionLength = 50;
		public const int MaxResultFieldLength = 50;
		public const int MaxExpectedResultLength = 50;
		public const int MaxActualResultLength = 50;
		public const int MaxLastValidationDatetimeLength = 50;
		public const int MaxLastvalidationbyLength = 50;
		public const int MaxStatusLength = 50;
		public const int MaxErrorMessageLength = 5000;
		public const int MaxIsactiveLength = 1;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prod.Master.Cmm.Dto
{
	public class MstCmmMMValidationResultDto : EntityDto&lt;long?&gt;	
	{
		public virtual long? MateriaId { get; set; }
		public virtual string MaterialCode { get; set; }
		public virtual string MaterialName { get; set; }
		public virtual string MaterialGroup { get; set; }
		public virtual string ValuationClass { get; set; }
		public virtual long? RuleId { get; set; }
		public virtual string RuleCode { get; set; }
		public virtual string RuleDescription { get; set; }
		public virtual string RuleItem { get; set; }
		public virtual string Option { get; set; }
		public virtual string ResultField { get; set; }
		public virtual string ExpectedResult { get; set; }
		public virtual string ActualResult { get; set; }
		public virtual string LastValidationDatetime { get; set; }
		public virtual string Lastvalidationby { get; set; }
		public virtual long? LastValidationId { get; set; }
		public virtual string Status { get; set; }
		public virtual string ErrorMessage { get; set; }
		public virtual string Isactive { get; set; }
	}
	public class CreateOrEditMstCmmMMValidationResultDto : EntityDto&lt;long?&gt;	
	{
		public virtual long? MateriaId { get; set; }
		[StringLength(MstCmmMMValidationResultConsts.MaxMaterialCodeLength)]
		public virtual string MaterialCode { get; set; }
		[StringLength(MstCmmMMValidationResultConsts.MaxMaterialNameLength)]
		public virtual string MaterialName { get; set; }
		[StringLength(MstCmmMMValidationResultConsts.MaxMaterialGroupLength)]
		public virtual string MaterialGroup { get; set; }
		[StringLength(MstCmmMMValidationResultConsts.MaxValuationClassLength)]
		public virtual string ValuationClass { get; set; }
		public virtual long? RuleId { get; set; }
		[StringLength(MstCmmMMValidationResultConsts.MaxRuleCodeLength)]
		public virtual string RuleCode { get; set; }
		[StringLength(MstCmmMMValidationResultConsts.MaxRuleDescriptionLength)]
		public virtual string RuleDescription { get; set; }
		[StringLength(MstCmmMMValidationResultConsts.MaxRuleItemLength)]
		public virtual string RuleItem { get; set; }
		[StringLength(MstCmmMMValidationResultConsts.MaxOptionLength)]
		public virtual string Option { get; set; }
		[StringLength(MstCmmMMValidationResultConsts.MaxResultFieldLength)]
		public virtual string ResultField { get; set; }
		[StringLength(MstCmmMMValidationResultConsts.MaxExpectedResultLength)]
		public virtual string ExpectedResult { get; set; }
		[StringLength(MstCmmMMValidationResultConsts.MaxActualResultLength)]
		public virtual string ActualResult { get; set; }
		[StringLength(MstCmmMMValidationResultConsts.MaxLastValidationDatetimeLength)]
		public virtual string LastValidationDatetime { get; set; }
		[StringLength(MstCmmMMValidationResultConsts.MaxLastvalidationbyLength)]
		public virtual string Lastvalidationby { get; set; }
		public virtual long? LastValidationId { get; set; }
		[StringLength(MstCmmMMValidationResultConsts.MaxStatusLength)]
		public virtual string Status { get; set; }
		[StringLength(MstCmmMMValidationResultConsts.MaxErrorMessageLength)]
		public virtual string ErrorMessage { get; set; }
		[StringLength(MstCmmMMValidationResultConsts.MaxIsactiveLength)]
		public virtual string Isactive { get; set; }
	}
	public class GetMstCmmMMValidationResultInput : PagedAndSortedResultRequestDto	
	{
		public virtual string MaterialCode { get; set; }
		public virtual string MaterialName { get; set; }
		public virtual string MaterialGroup { get; set; }
		public virtual string ValuationClass { get; set; }
		public virtual string RuleCode { get; set; }
		public virtual string RuleDescription { get; set; }
		public virtual string RuleItem { get; set; }
		public virtual string Option { get; set; }
		public virtual string ResultField { get; set; }
		public virtual string ExpectedResult { get; set; }
		public virtual string ActualResult { get; set; }
		public virtual string LastValidationDatetime { get; set; }
		public virtual string Lastvalidationby { get; set; }
		public virtual string Status { get; set; }
		public virtual string ErrorMessage { get; set; }
		public virtual string Isactive { get; set; }
	}
}
</v>
      </c>
      <c r="I69" s="48" t="str">
        <f ca="1">A.Backend!R7</f>
        <v xml:space="preserve">using Abp.Application.Services.Dto;
using System;
using System.ComponentModel.DataAnnotations;
namespace prod.Master.Cmm.Dto
{
	public class MstCmmMMValidationResultExportInput{
		public virtual long? MateriaId { get; set; }
		public virtual string MaterialCode { get; set; }
		public virtual string MaterialName { get; set; }
		public virtual string MaterialGroup { get; set; }
		public virtual string ValuationClass { get; set; }
		public virtual long? RuleId { get; set; }
		public virtual string RuleCode { get; set; }
		public virtual string RuleDescription { get; set; }
		public virtual string RuleItem { get; set; }
		public virtual string Option { get; set; }
		public virtual string ResultField { get; set; }
		public virtual string ExpectedResult { get; set; }
		public virtual string ActualResult { get; set; }
		public virtual string LastValidationDatetime { get; set; }
		public virtual string Lastvalidationby { get; set; }
		public virtual long? LastValidationId { get; set; }
		public virtual string Status { get; set; }
		public virtual string ErrorMessage { get; set; }
		public virtual string Isactive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vovina.Master.Cmm.Dto;
namespace prod.Master.Cmm
{
	public interface IMstCmmMMValidationResultAppService : IApplicationService
	{
		Task&lt;PagedResultDto&lt;MstCmmMMValidationResultDto&gt;&gt; GetAll(GetMstCmmMMValidationResultInput input);
		Task CreateOrEdit(CreateOrEditMstCmmMMValidationResultDto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vovina.Master.Cmm.Dto;
namespace prod.Master.Cmm.Exporting
{
	public interface IMstCmmMMValidationResultExcelExporter : IApplicationService
	{
		FileDto ExportToFile(List&lt;MstCmmMMValidationResultDto&gt; mstcmmmmvalidationresult);
	}
}
</v>
      </c>
      <c r="L69" s="48" t="str">
        <f ca="1">A.Backend!T7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MstCmmMMValidationResultExcelExporter : NpoiExcelExporterBase, IMstCmmMMValidationResultExcelExporter
    {
        public MstCmmMMValidationResultExcelExporter(ITempFileCacheManager tempFileCacheManager) : base(tempFileCacheManager) { }
        public FileDto ExportToFile(List&lt;MstCmmMMValidationResultDto&gt; cmmmmvalidationresult)
        {
            return CreateExcelPackage(
				"MasterCmmCmmMMValidationResult.xlsx",
				excelPackage =&gt;
				 {
					var sheet = excelPackage.CreateSheet("CmmMMValidationResult");
					AddHeader(
								sheet,
								("MateriaId"),
								("MaterialCode"),
								("MaterialName"),
								("MaterialGroup"),
								("ValuationClass"),
								("RuleId"),
								("RuleCode"),
								("RuleDescription"),
								("RuleItem"),
								("Option"),
								("ResultField"),
								("ExpectedResult"),
								("ActualResult"),
								("LastValidationDatetime"),
								("Lastvalidationby"),
								("LastValidationId"),
								("Status"),
								("ErrorMessage"),
								("Isactive"),
							   );
					AddObjects(
						 sheet, 1, cmmmmvalidationresult,                                       
								_ =&gt; _.MateriaId,
								_ =&gt; _.MaterialCode,
								_ =&gt; _.MaterialName,
								_ =&gt; _.MaterialGroup,
								_ =&gt; _.ValuationClass,
								_ =&gt; _.RuleId,
								_ =&gt; _.RuleCode,
								_ =&gt; _.RuleDescription,
								_ =&gt; _.RuleItem,
								_ =&gt; _.Option,
								_ =&gt; _.ResultField,
								_ =&gt; _.ExpectedResult,
								_ =&gt; _.ActualResult,
								_ =&gt; _.LastValidationDatetime,
								_ =&gt; _.Lastvalidationby,
								_ =&gt; _.LastValidationId,
								_ =&gt; _.Status,
								_ =&gt; _.ErrorMessage,
								_ =&gt; _.Isactive,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[AbpAuthorize(AppPermissions.Pages_Master_Cmm_CmmMMValidationResult)]
    public class MstCmmMMValidationResultAppService : vovinaAppServiceBase, IMstCmmMMValidationResultAppService
    {
        private readonly IDapperRepository&lt;MstCmmMMValidationResult, long&gt; _dapperRepo;
        private readonly IRepository&lt;MstCmmMMValidationResult, long&gt; _repo;
        private readonly IMstCmmMMValidationResultExcelExporter _calendarListExcelExporter;
        public MstCmmMMValidationResultAppService(IRepository&lt;MstCmmMMValidationResult,long&gt; repo, 
                                         IDapperRepository&lt;MstCmmMMValidationResult,long&gt; dapperRepo,
                                        IMstCmmMMValidationResultExcelExporter calendarListExcelExporter
            )
        {
            _repo = repo;
            _dapperRepo = dapperRepo;
            _calendarListExcelExporter = calendarListExcelExporter;
        }
        [AbpAuthorize(AppPermissions.Pages_Master_Cmm_CmmMMValidationResult_CreateEdit)]
        public async Task CreateOrEdit(CreateOrEditMstCmmMMValidationResultDto input)
        {
            if (input.Id == null) await Create(input);
            else await Update(input);
        }
        //CREATE
        private async Task Create(CreateOrEditMstCmmMMValidationResultDto input)
        {          
            var mainObj = ObjectMapper.Map&lt;MstCmmMMValidationResult&gt;(input);
            await CurrentUnitOfWork.GetDbContext&lt;vovinaDbContext&gt;().AddAsync(mainObj);
        }
        // EDIT
        private async Task Update(CreateOrEditMstCmmMMValidationResultDto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[AbpAuthorize(AppPermissions.Pages_Master_Cmm_CmmMMValidationResult_Delete)]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Task&lt;PagedResultDto&lt;MstCmmMMValidationResultDto&gt;&gt; GetAll(GetMstCmmMMValidationResultInput input)
        {
            var filtered = _repo.GetAll()
				.WhereIf(!string.IsNullOrWhiteSpace(input.MaterialCode), e =&gt; e.MaterialCode.Contains(input.MaterialCode))
				.WhereIf(!string.IsNullOrWhiteSpace(input.MaterialName), e =&gt; e.MaterialName.Contains(input.MaterialName))
				.WhereIf(!string.IsNullOrWhiteSpace(input.MaterialGroup), e =&gt; e.MaterialGroup.Contains(input.MaterialGroup))
				.WhereIf(!string.IsNullOrWhiteSpace(input.ValuationClass), e =&gt; e.ValuationClass.Contains(input.ValuationClass))
				.WhereIf(!string.IsNullOrWhiteSpace(input.RuleCode), e =&gt; e.RuleCode.Contains(input.RuleCode))
				.WhereIf(!string.IsNullOrWhiteSpace(input.RuleDescription), e =&gt; e.RuleDescription.Contains(input.RuleDescription))
				.WhereIf(!string.IsNullOrWhiteSpace(input.RuleItem), e =&gt; e.RuleItem.Contains(input.RuleItem))
				.WhereIf(!string.IsNullOrWhiteSpace(input.Option), e =&gt; e.Option.Contains(input.Option))
				.WhereIf(!string.IsNullOrWhiteSpace(input.ResultField), e =&gt; e.ResultField.Contains(input.ResultField))
				.WhereIf(!string.IsNullOrWhiteSpace(input.ExpectedResult), e =&gt; e.ExpectedResult.Contains(input.ExpectedResult))
				.WhereIf(!string.IsNullOrWhiteSpace(input.ActualResult), e =&gt; e.ActualResult.Contains(input.ActualResult))
				.WhereIf(!string.IsNullOrWhiteSpace(input.LastValidationDatetime), e =&gt; e.LastValidationDatetime.Contains(input.LastValidationDatetime))
				.WhereIf(!string.IsNullOrWhiteSpace(input.Lastvalidationby), e =&gt; e.Lastvalidationby.Contains(input.Lastvalidationby))
				.WhereIf(!string.IsNullOrWhiteSpace(input.Status), e =&gt; e.Status.Contains(input.Status))
				.WhereIf(!string.IsNullOrWhiteSpace(input.ErrorMessage), e =&gt; e.ErrorMessage.Contains(input.ErrorMessage))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MstCmmMMValidationResultDto
                        {
							Id = o.Id,
							MateriaId = o.MateriaId,
							MaterialCode = o.MaterialCode,
							MaterialName = o.MaterialName,
							MaterialGroup = o.MaterialGroup,
							ValuationClass = o.ValuationClass,
							RuleId = o.RuleId,
							RuleCode = o.RuleCode,
							RuleDescription = o.RuleDescription,
							RuleItem = o.RuleItem,
							Option = o.Option,
							ResultField = o.ResultField,
							ExpectedResult = o.ExpectedResult,
							ActualResult = o.ActualResult,
							LastValidationDatetime = o.LastValidationDatetime,
							Lastvalidationby = o.Lastvalidationby,
							LastValidationId = o.LastValidationId,
							Status = o.Status,
							ErrorMessage = o.ErrorMessage,
							Isactive = o.Isactive,
                        };
            var totalCount = await filtered.CountAsync();
			var paged = system.PageBy(input);
            return new PagedResultDto&lt;MstCmmMMValidationResultDto&gt;(
                totalCount,
                 await paged.ToListAsync()
            );
        }
        public async Task&lt;FileDto&gt; GetCmmMMValidationResultToExcel(MstCmmMMValidationResultExportInput input)
        {
            var query = from o in _repo.GetAll()
                        select new MstCmmMMValidationResultDto
                        {
							Id = o.Id,
							MateriaId = o.MateriaId,
							MaterialCode = o.MaterialCode,
							MaterialName = o.MaterialName,
							MaterialGroup = o.MaterialGroup,
							ValuationClass = o.ValuationClass,
							RuleId = o.RuleId,
							RuleCode = o.RuleCode,
							RuleDescription = o.RuleDescription,
							RuleItem = o.RuleItem,
							Option = o.Option,
							ResultField = o.ResultField,
							ExpectedResult = o.ExpectedResult,
							ActualResult = o.ActualResult,
							LastValidationDatetime = o.LastValidationDatetime,
							Lastvalidationby = o.Lastvalidationby,
							LastValidationId = o.LastValidationId,
							Status = o.Status,
							ErrorMessage = o.ErrorMessage,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_dapperRepo.ExecuteAsync(MstCmmMMValidationResultConsts.SP_MST_WPT_CALENDAR_GENERATE);
       // }
    }
}</v>
      </c>
      <c r="N69" s="58" t="str">
        <f>A.Backend!U7</f>
        <v xml:space="preserve">  configuration.CreateMap&lt;MstCmmMMValidationResultDto, MstCmmMMValidationResult&gt;();
  configuration.CreateMap&lt;MstCmmMMValidationResult, MstCmmMMValidationResultDto&gt;();
  configuration.CreateMap&lt;CreateOrEditMstCmmMMValidationResultDto, MstCmmMMValidationResult&gt;();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cmmmmvalidationresult</v>
      </c>
      <c r="C74" s="66" t="str">
        <f>"create folder " &amp;B74</f>
        <v>create folder cmmmmvalidationresult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cmmmmvalidationresult.component.ts</v>
      </c>
      <c r="D75" s="28" t="str">
        <f>B.Frontend!I14</f>
        <v>cmmmmvalidationresult.component.html</v>
      </c>
      <c r="E75" s="28" t="str">
        <f>B.Frontend!J14</f>
        <v>cmmmmvalidationresult.component.less</v>
      </c>
      <c r="F75" s="28" t="str">
        <f>B.Frontend!K14</f>
        <v>create-or-edit-cmmmmvalidationresult-modal.component.html</v>
      </c>
      <c r="G75" s="28" t="str">
        <f>B.Frontend!L14</f>
        <v>create-or-edit-cmmmmvalidationresult-modal.component.ts</v>
      </c>
      <c r="H75" s="28" t="str">
        <f>B.Frontend!M14</f>
        <v>create-or-edit-cmmmmvalidationresult-modal.component.less</v>
      </c>
      <c r="I75" s="28" t="str">
        <f>B.Frontend!N14</f>
        <v>cmmmmvalidationresult.module.ts</v>
      </c>
      <c r="J75" s="28" t="str">
        <f>B.Frontend!O14</f>
        <v>cmmmmvalidationresult-routing.module.ts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MstCmmMMValidationResultDto, MstCmmMMValidationResultServiceProxy } from '@shared/service-proxies/service-proxies';
import { finalize } from 'rxjs/internal/operators/finalize';
import { CreateOrEditCmmMMValidationResultModalComponent } from './create-or-edit-cmmmmvalidationresult-modal.component';
import { DatePipe } from '@angular/common';
import { FileDownloadService } from '@shared/utils/file-download.service';
import ceil from 'lodash-es/ceil';
import { Paginator } from 'primeng/paginator';
@Component({
    templateUrl: './cmmmmvalidationresult.component.html',
    styleUrls: ['./cmmmmvalidationresult.component.less'],
})
export class CmmMMValidationResultComponent extends AppComponentBase implements OnInit {
    @ViewChild('createOrEditModalCmmMMValidationResult', { static: true }) createOrEditModalCmmMMValidationResult:| CreateOrEditCmmMMValidationResultModalComponent|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MstCmmMMValidationResultDto = new MstCmmMMValidationResultDto();
    saveSelectedRow: MstCmmMMValidationResultDto = new MstCmmMMValidationResultDto();
    datas: MstCmmMMValidationResultDto = new MstCmmMMValidationResultDto();
    isLoading: boolean = false;
    dataParams: GridParams | undefined;
    rowData: any[] = [];
    gridApi!: GridApi;
    rowSelection = 'multiple';
    filter: string = '';
	pipe = new DatePipe('en-US');
	frameworkComponents: FrameworkComponent;
    	materialCode : string = '' ; 
	materialName : string = '' ; 
	materialGroup : string = '' ; 
	valuationClass : string = '' ; 
	ruleCode : string = '' ; 
	ruleDescription : string = '' ; 
	ruleItem : string = '' ; 
	option : string = '' ; 
	resultField : string = '' ; 
	expectedResult : string = '' ; 
	actualResult : string = '' ; 
	lastValidationDatetime : string = '' ; 
	lastvalidationby : string = '' ; 
	status : string = '' ; 
	errorMessage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MstCmmMMValidationResultServiceProxy,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this.l('Materia Id'),headerTooltip: this.l('Materia Id'),field: 'materiaId',flex: 1},
			{headerName: this.l('Material Code'),headerTooltip: this.l('Material Code'),field: 'materialCode',flex: 1},
			{headerName: this.l('Material Name'),headerTooltip: this.l('Material Name'),field: 'materialName',flex: 1},
			{headerName: this.l('Material Group'),headerTooltip: this.l('Material Group'),field: 'materialGroup',flex: 1},
			{headerName: this.l('Valuation Class'),headerTooltip: this.l('Valuation Class'),field: 'valuationClass',flex: 1},
			{headerName: this.l('Rule Id'),headerTooltip: this.l('Rule Id'),field: 'ruleId',flex: 1},
			{headerName: this.l('Rule Code'),headerTooltip: this.l('Rule Code'),field: 'ruleCode',flex: 1},
			{headerName: this.l('Rule Description'),headerTooltip: this.l('Rule Description'),field: 'ruleDescription',flex: 1},
			{headerName: this.l('Rule Item'),headerTooltip: this.l('Rule Item'),field: 'ruleItem',flex: 1},
			{headerName: this.l('Option'),headerTooltip: this.l('Option'),field: 'option',flex: 1},
			{headerName: this.l('Result Field'),headerTooltip: this.l('Result Field'),field: 'resultField',flex: 1},
			{headerName: this.l('Expected Result'),headerTooltip: this.l('Expected Result'),field: 'expectedResult',flex: 1},
			{headerName: this.l('Actual Result'),headerTooltip: this.l('Actual Result'),field: 'actualResult',flex: 1},
			{headerName: this.l('Last Validation Datetime'),headerTooltip: this.l('Last Validation Datetime'),field: 'lastValidationDatetime',flex: 1},
			{headerName: this.l('Lastvalidationby'),headerTooltip: this.l('Lastvalidationby'),field: 'lastvalidationby',flex: 1},
			{headerName: this.l('Last Validation Id'),headerTooltip: this.l('Last Validation Id'),field: 'lastValidationId',flex: 1},
			{headerName: this.l('Status'),headerTooltip: this.l('Status'),field: 'status',flex: 1},
			{headerName: this.l('Error Message'),headerTooltip: this.l('Error Message'),field: 'errorMessage',flex: 1},
			{headerName: this.l('Isactive'),headerTooltip: this.l('Isactive'),field: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this.materiaId,
			this.materialCode,
			this.materialName,
			this.materialGroup,
			this.ruleId,
			this.ruleCode,
			this.ruleDescription,
			this.ruleItem,
			this.option,
			this.resultField,
			this.expectedResult,
			this.actualResult,
			this.lastValidationDatetime,
			this.lastValidationId,
			this.status,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materialCode : string = '' ; 
	materialName : string = '' ; 
	materialGroup : string = '' ; 
	valuationClass : string = '' ; 
	ruleCode : string = '' ; 
	ruleDescription : string = '' ; 
	ruleItem : string = '' ; 
	option : string = '' ; 
	resultField : string = '' ; 
	expectedResult : string = '' ; 
	actualResult : string = '' ; 
	lastValidationDatetime : string = '' ; 
	lastvalidationby : string = '' ; 
	status : string = '' ; 
	errorMessage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this.materiaId,
			this.materialCode,
			this.materialName,
			this.materialGroup,
			this.ruleId,
			this.ruleCode,
			this.ruleDescription,
			this.ruleItem,
			this.option,
			this.resultField,
			this.expectedResult,
			this.actualResult,
			this.lastValidationDatetime,
			this.lastValidationId,
			this.status,
			'',
            this.paginationParams.skipCount,
            this.paginationParams.pageSize
        );
    }
    onChangeRowSelection(params: { api: { getSelectedRows: () =&gt; MstCmmMMValidationResultDto[] } }) {
        this.saveSelectedRow = params.api.getSelectedRows()[0] ?? new MstCmmMMValidationResultDto();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MstCmmMMValidationResultDto):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this._service.getCmmMMValidationResultToExcel(
			this.materiaId,
			this.materialCode,
			this.materialName,
			this.materialGroup,
			this.ruleId,
			this.ruleCode,
			this.ruleDescription,
			this.ruleItem,
			this.option,
			this.resultField,
			this.expectedResult,
			this.actualResult,
			this.lastValidationDatetime,
			this.lastValidationId,
			this.status,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Frame Enginer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[(ngModel)]='materialName' name='materialName'
									class='form-control' [placeholder]="l('Material Name')"
									type='text' (keyup.enter)='searchDatas()'&gt;
								&lt;/div&gt;
								&lt;div class='input-search'&gt;
									&lt;input [(ngModel)]='materialGroup' name='materialGroup'
									class='form-control' [placeholder]="l('Material Group')"
									type='text' (keyup.enter)='searchDatas()'&gt;
								&lt;/div&gt;
								&lt;div class='input-search'&gt;
									&lt;input [(ngModel)]='valuationClass' name='valuationClass'
									class='form-control' [placeholder]="l('Valuation Class')"
									type='text' (keyup.enter)='searchDatas()'&gt;
								&lt;/div&gt;
								&lt;div class='input-search'&gt;
									&lt;input [(ngModel)]='ruleCode' name='ruleCode'
									class='form-control' [placeholder]="l('Rule Code')"
									type='text' (keyup.enter)='searchDatas()'&gt;
								&lt;/div&gt;
								&lt;div class='input-search'&gt;
									&lt;input [(ngModel)]='ruleDescription' name='ruleDescription'
									class='form-control' [placeholder]="l('Rule Description')"
									type='text' (keyup.enter)='searchDatas()'&gt;
								&lt;/div&gt;
								&lt;div class='input-search'&gt;
									&lt;input [(ngModel)]='ruleItem' name='ruleItem'
									class='form-control' [placeholder]="l('Rule Item')"
									type='text' (keyup.enter)='searchDatas()'&gt;
								&lt;/div&gt;
								&lt;div class='input-search'&gt;
									&lt;input [(ngModel)]='option' name='option'
									class='form-control' [placeholder]="l('Option')"
									type='text' (keyup.enter)='searchDatas()'&gt;
								&lt;/div&gt;
								&lt;div class='input-search'&gt;
									&lt;input [(ngModel)]='resultField' name='resultField'
									class='form-control' [placeholder]="l('Result Field')"
									type='text' (keyup.enter)='searchDatas()'&gt;
								&lt;/div&gt;
								&lt;div class='input-search'&gt;
									&lt;input [(ngModel)]='expectedResult' name='expectedResult'
									class='form-control' [placeholder]="l('Expected Result')"
									type='text' (keyup.enter)='searchDatas()'&gt;
								&lt;/div&gt;
								&lt;div class='input-search'&gt;
									&lt;input [(ngModel)]='actualResult' name='actualResult'
									class='form-control' [placeholder]="l('Actual Result')"
									type='text' (keyup.enter)='searchDatas()'&gt;
								&lt;/div&gt;
								&lt;div class='input-search'&gt;
									&lt;input [(ngModel)]='lastValidationDatetime' name='lastValidationDatetime'
									class='form-control' [placeholder]="l('Last Validation Datetime')"
									type='text' (keyup.enter)='searchDatas()'&gt;
								&lt;/div&gt;
								&lt;div class='input-search'&gt;
									&lt;input [(ngModel)]='lastvalidationby' name='lastvalidationby'
									class='form-control' [placeholder]="l('Lastvalidationby')"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[(ngModel)]='errorMessage' name='errorMessage'
									class='form-control' [placeholder]="l('Error Message')"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(click)="createOrEditModalCmmMMValidationResult.show()"&gt;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(click)="createOrEditModalCmmMMValidationResult.show(selectedRow)"&gt;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&lt;create-or-edit-cmmmmvalidationresult-modal
    #createOrEditModalCmmMMValidationResult
    (modalSave)="callBackDataGrid(dataParams)"
    (modalClose)="onChangeRowSelection(dataParams)"
&gt;
&lt;/create-or-edit-cmmmmvalidationresult-modal&gt;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#createOrEditModalCmmMMValidationResult="bs-modal"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CmmMMValidationResult')}}&lt;/h3&gt;
                    &lt;h3 *ngIf="!rowdata.id"&gt;{{('Create New CmmMMValidationResult')}}&lt;/h3&gt;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title'&gt;Materia Id&lt;/label&gt;
						&lt;input type='number' class='col-md-10 form-control input-text' name='MateriaId' [(ngModel)]='rowdata.materiaId'&gt;
					&lt;/div&gt;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title'&gt;Material Name&lt;/label&gt;
						&lt;input type='text' class='col-md-10 form-control input-text' name='MaterialName' [(ngModel)]='rowdata.materialName'&gt;
					&lt;/div&gt;
					&lt;div class='col-md-12 form-group row'&gt;
						&lt;label class='col-md-2 form-control title'&gt;Material Group&lt;/label&gt;
						&lt;input type='text' class='col-md-10 form-control input-text' name='MaterialGroup' [(ngModel)]='rowdata.materialGroup'&gt;
					&lt;/div&gt;
					&lt;div class='col-md-12 form-group row'&gt;
						&lt;label class='col-md-2 form-control title'&gt;Valuation Class&lt;/label&gt;
						&lt;input type='text' class='col-md-10 form-control input-text' name='ValuationClass' [(ngModel)]='rowdata.valuationClass'&gt;
					&lt;/div&gt;
					&lt;div class='col-md-12 form-group row'&gt;
						&lt;label class='col-md-2 form-control title'&gt;Rule Id&lt;/label&gt;
						&lt;input type='number' class='col-md-10 form-control input-text' name='RuleId' [(ngModel)]='rowdata.ruleId'&gt;
					&lt;/div&gt;
					&lt;div class='col-md-12 form-group row'&gt;
						&lt;label class='col-md-2 form-control title'&gt;Rule Code&lt;/label&gt;
						&lt;input type='text' class='col-md-10 form-control input-text' name='RuleCode' [(ngModel)]='rowdata.ruleCode'&gt;
					&lt;/div&gt;
					&lt;div class='col-md-12 form-group row'&gt;
						&lt;label class='col-md-2 form-control title'&gt;Rule Description&lt;/label&gt;
						&lt;input type='text' class='col-md-10 form-control input-text' name='RuleDescription' [(ngModel)]='rowdata.ruleDescription'&gt;
					&lt;/div&gt;
					&lt;div class='col-md-12 form-group row'&gt;
						&lt;label class='col-md-2 form-control title'&gt;Rule Item&lt;/label&gt;
						&lt;input type='text' class='col-md-10 form-control input-text' name='RuleItem' [(ngModel)]='rowdata.ruleItem'&gt;
					&lt;/div&gt;
					&lt;div class='col-md-12 form-group row'&gt;
						&lt;label class='col-md-2 form-control title'&gt;Option&lt;/label&gt;
						&lt;input type='text' class='col-md-10 form-control input-text' name='Option' [(ngModel)]='rowdata.option'&gt;
					&lt;/div&gt;
					&lt;div class='col-md-12 form-group row'&gt;
						&lt;label class='col-md-2 form-control title'&gt;Result Field&lt;/label&gt;
						&lt;input type='text' class='col-md-10 form-control input-text' name='ResultField' [(ngModel)]='rowdata.resultField'&gt;
					&lt;/div&gt;
					&lt;div class='col-md-12 form-group row'&gt;
						&lt;label class='col-md-2 form-control title'&gt;Expected Result&lt;/label&gt;
						&lt;input type='text' class='col-md-10 form-control input-text' name='ExpectedResult' [(ngModel)]='rowdata.expectedResult'&gt;
					&lt;/div&gt;
					&lt;div class='col-md-12 form-group row'&gt;
						&lt;label class='col-md-2 form-control title'&gt;Actual Result&lt;/label&gt;
						&lt;input type='text' class='col-md-10 form-control input-text' name='ActualResult' [(ngModel)]='rowdata.actualResult'&gt;
					&lt;/div&gt;
					&lt;div class='col-md-12 form-group row'&gt;
						&lt;label class='col-md-2 form-control title'&gt;Last Validation Datetime&lt;/label&gt;
						&lt;input type='text' class='col-md-10 form-control input-text' name='LastValidationDatetime' [(ngModel)]='rowdata.lastValidationDatetime'&gt;
					&lt;/div&gt;
					&lt;div class='col-md-12 form-group row'&gt;
						&lt;label class='col-md-2 form-control title'&gt;Lastvalidationby&lt;/label&gt;
						&lt;input type='text' class='col-md-10 form-control input-text' name='Lastvalidationby' [(ngModel)]='rowdata.lastvalidationby'&gt;
					&lt;/div&gt;
					&lt;div class='col-md-12 form-group row'&gt;
						&lt;label class='col-md-2 form-control title'&gt;Last Validation Id&lt;/label&gt;
						&lt;input type='number' class='col-md-10 form-control input-text' name='LastValidationId' [(ngModel)]='rowdata.lastValidationId'&gt;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title'&gt;Error Message&lt;/label&gt;
						&lt;input type='text' class='col-md-10 form-control input-text' name='ErrorMessage' [(ngModel)]='rowdata.errorMessage'&gt;
					&lt;/div&gt;
					&lt;div class='col-md-12 form-group row'&gt;
						&lt;label class='col-md-2 form-control title'&gt;Isactive&lt;/label&gt;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CreateOrEditMstCmmMMValidationResultDto, MstCmmMMValidationResultServiceProxy } from '@shared/service-proxies/service-proxies';
import { BsDatepickerDirective } from 'ngx-bootstrap/datepicker';
@Component({
    selector: 'create-or-edit-cmmmmvalidationresult-modal',
    templateUrl: './create-or-edit-cmmmmvalidationresult-modal.component.html',
    styleUrls: ['./create-or-edit-cmmmmvalidationresult-modal.component.less']
    })
export class CreateOrEditCmmMMValidationResultModalComponent extends AppComponentBase {
    @ViewChild('createOrEditModalCmmMMValidationResult',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CreateOrEditMstCmmMMValidationResultDto = new CreateOrEditMstCmmMMValidationResultDto();
    active: boolean = false;
    saving: boolean = false;
    _isactive: boolean;
    constructor(
        injector: Injector,
        private _mstwptCmmMMValidationResultService: MstCmmMMValidationResultServiceProxy,
    ) 
    {
        super(injector);
    }
    show(rowdata?: CreateOrEditMstCmmMMValidationResultDto): void {
        if (!rowdata) this.rowdata = new CreateOrEditMstCmmMMValidationResultDto();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this._mstwptCmmMMValidationResultService.createOrEdit(this.rowdata)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CmmMMValidationResultRoutingModule } from './cmmmmvalidationresult-routing.module';
import { CmmMMValidationResultComponent } from './cmmmmvalidationresult.component';
import { CreateOrEditCmmMMValidationResultModalComponent } from './create-or-edit-cmmmmvalidationresult-modal.component';
@NgModule({
    declarations: [
       CmmMMValidationResultComponent, 
        CreateOrEditCmmMMValidationResultModalComponent
    ],
    imports: [
        AppSharedModule, CmmMMValidationResultRoutingModule]
})
export class CmmMMValidationResultModule {}</v>
      </c>
      <c r="J76" s="46" t="str">
        <f>B.Frontend!O10</f>
        <v>import {NgModule} from '@angular/core';
import {RouterModule, Routes} from '@angular/router';
import { CmmMMValidationResultComponent } from './cmmmmvalidationresult.component';
const routes: Routes = [{
    path: '',
    component: CmmMMValidationResultComponent,
    pathMatch: 'full'
}];
@NgModule({
    imports: [RouterModule.forChild(routes)],
    exports: [RouterModule],
})
export class CmmMMValidationResultRoutingModule {}</v>
      </c>
      <c r="K76" s="46" t="str">
        <f>B.Frontend!P10</f>
        <v xml:space="preserve"> new AppMenuItem("CmmMMValidationResult", "Pages.Master.Cmm.CmmMMValidationResult", "flaticon-book",   "/app/main/master/cmm/cmmmmvalidationresult"),</v>
      </c>
      <c r="L76" s="47" t="str">
        <f>B.Frontend!Q10</f>
        <v>{
    path: 'master/cmm/cmmmmvalidationresult',
    loadChildren: () =&gt; import('./master/cmm/cmmmmvalidationresult/cmmmmvalidationresult.module').then(m =&gt; m.CmmMMValidationResultModule),
    data: { permission: 'Pages.Master.Cmm.CmmMMValidationResult' }
},</v>
      </c>
      <c r="M76" s="45" t="str">
        <f>B.Frontend!R10</f>
        <v>ApiServiceProxies.MstCmmMMValidationResultServiceProxy,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9"/>
  <sheetViews>
    <sheetView tabSelected="1" topLeftCell="A7" workbookViewId="0">
      <pane xSplit="1" topLeftCell="B1" activePane="topRight" state="frozen"/>
      <selection pane="topRight" activeCell="B18" sqref="B18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vovina.Master.Cmm.Dto;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360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367</v>
      </c>
      <c r="C3" s="9" t="s">
        <v>40</v>
      </c>
      <c r="D3" s="9" t="s">
        <v>41</v>
      </c>
      <c r="E3" s="9" t="s">
        <v>36</v>
      </c>
      <c r="F3" s="10" t="str">
        <f>"J"&amp;COUNTA($A:$A)</f>
        <v>J27</v>
      </c>
      <c r="G3" s="4" t="s">
        <v>53</v>
      </c>
      <c r="H3" s="9" t="str">
        <f>"I"&amp;COUNTA($A:$A)</f>
        <v>I27</v>
      </c>
      <c r="I3" s="9" t="str">
        <f>REPT(CHAR(9),2)&amp;"[Required]"&amp;"
"</f>
        <v xml:space="preserve">		[Required]
</v>
      </c>
      <c r="J3" s="10" t="str">
        <f>"L"&amp;COUNTA($A:$A)</f>
        <v>L27</v>
      </c>
      <c r="K3" s="5" t="s">
        <v>52</v>
      </c>
      <c r="L3" s="10" t="str">
        <f>"M"&amp;COUNTA($A:$A)</f>
        <v>M27</v>
      </c>
      <c r="M3" s="10" t="str">
        <f>"N"&amp;COUNTA($A:$A)</f>
        <v>N27</v>
      </c>
      <c r="N3" s="10" t="str">
        <f>"O"&amp;COUNTA($A:$A)</f>
        <v>O27</v>
      </c>
      <c r="O3" s="10" t="str">
        <f>"P"&amp;COUNTA($A:$A)</f>
        <v>P27</v>
      </c>
      <c r="Q3" s="10" t="str">
        <f>RIGHT(B2,(LEN(B2)-FIND(".",B2,1)))</f>
        <v>Cmm</v>
      </c>
      <c r="R3" s="29" t="str">
        <f>REPT(CHAR(9),1)&amp;"public class "&amp;B3&amp;"ExportInput"&amp;C3</f>
        <v xml:space="preserve">	public class MstCmmMMValidationResultExportInput{
</v>
      </c>
      <c r="S3" s="10" t="str">
        <f>"namespace "&amp;$B$6&amp;".Exporting
"&amp;$C$3</f>
        <v xml:space="preserve">namespace prod.Master.Cmm.Exporting
{
</v>
      </c>
      <c r="T3" s="10" t="str">
        <f>"T"&amp;COUNTA($A:$A)</f>
        <v>T27</v>
      </c>
      <c r="V3" s="10" t="str">
        <f>"V"&amp;COUNTA($A:$A)</f>
        <v>V27</v>
      </c>
      <c r="W3" s="9" t="str">
        <f>"W"&amp;COUNTA($A:$A)</f>
        <v>W27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368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prod.Master.Cmm</v>
      </c>
      <c r="C6" s="10" t="str">
        <f>"namespace "&amp;$B$6&amp;"
"&amp;$C$3</f>
        <v xml:space="preserve">namespace prod.Master.Cmm
{
</v>
      </c>
      <c r="D6" s="10" t="str">
        <f>REPT(CHAR(9),1)&amp;"public class "&amp;B3&amp;G3&amp;REPT(CHAR(9),1)&amp;"
"&amp;REPT(CHAR(9),1)&amp;C3</f>
        <v xml:space="preserve">	public class MstCmmMMValidationResult: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MstCmmMMValidationResultConsts	
	{
</v>
      </c>
      <c r="F6" s="10" t="str">
        <f>REPT(CHAR(9),1)&amp;"public class "&amp;B3&amp;"Dto"&amp;K3&amp;REPT(CHAR(9),1)&amp;"
"&amp;REPT(CHAR(9),1)&amp;C3</f>
        <v xml:space="preserve">	public class MstCmmMMValidationResultDto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CreateOrEditMstCmmMMValidationResultDto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GetMstCmmMMValidationResultInput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MstCmmMMValidationResult</v>
      </c>
      <c r="C7" s="10" t="str">
        <f>REPT(CHAR(9),1)&amp;"[Table("""&amp;B7&amp;""")]"&amp;"
"</f>
        <v xml:space="preserve">	[Table("MstCmmMMValidationResult")]
</v>
      </c>
      <c r="D7" s="10"/>
      <c r="E7" s="10"/>
      <c r="F7" s="10"/>
      <c r="G7" s="10"/>
      <c r="H7" s="10"/>
      <c r="I7" s="10"/>
      <c r="J7" t="str">
        <f ca="1">SUBSTITUTE(SUBSTITUTE((B1&amp;C6&amp;C7&amp;K29&amp;D6&amp;I29&amp;E3&amp;J29&amp;""&amp;REPT(CHAR(9),1)&amp;D3&amp;D3),"WorkingPattern",$Q$3),"Master",$B$4)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[Table("MstCmmMMValidationResult")]
	public class MstCmmMMValidationResult: FullAuditedEntity&lt;long&gt;, IEntity&lt;long&gt;	
	{
		public const int MaxMaterialCodeLength = 5000;
		public const int MaxMaterialNameLength = 50;
		public const int MaxMaterialGroupLength = 50;
		public const int MaxValuationClassLength = 50;
		public const int MaxRuleCodeLength = 50;
		public const int MaxRuleDescriptionLength = 50;
		public const int MaxRuleItemLength = 50;
		public const int MaxOptionLength = 50;
		public const int MaxResultFieldLength = 50;
		public const int MaxExpectedResultLength = 50;
		public const int MaxActualResultLength = 50;
		public const int MaxLastValidationDatetimeLength = 50;
		public const int MaxLastvalidationbyLength = 50;
		public const int MaxStatusLength = 50;
		public const int MaxErrorMessageLength = 5000;
		public const int MaxIsactiveLength = 1;
		public virtual long? MateriaId { get; set; }
		[StringLength(MaxMaterialCodeLength)]
		public virtual string MaterialCode { get; set; }
		[StringLength(MaxMaterialNameLength)]
		public virtual string MaterialName { get; set; }
		[StringLength(MaxMaterialGroupLength)]
		public virtual string MaterialGroup { get; set; }
		[StringLength(MaxValuationClassLength)]
		public virtual string ValuationClass { get; set; }
		public virtual long? RuleId { get; set; }
		[StringLength(MaxRuleCodeLength)]
		public virtual string RuleCode { get; set; }
		[StringLength(MaxRuleDescriptionLength)]
		public virtual string RuleDescription { get; set; }
		[StringLength(MaxRuleItemLength)]
		public virtual string RuleItem { get; set; }
		[StringLength(MaxOptionLength)]
		public virtual string Option { get; set; }
		[StringLength(MaxResultFieldLength)]
		public virtual string ResultField { get; set; }
		[StringLength(MaxExpectedResultLength)]
		public virtual string ExpectedResult { get; set; }
		[StringLength(MaxActualResultLength)]
		public virtual string ActualResult { get; set; }
		[StringLength(MaxLastValidationDatetimeLength)]
		public virtual string LastValidationDatetime { get; set; }
		[StringLength(MaxLastvalidationbyLength)]
		public virtual string Lastvalidationby { get; set; }
		public virtual long? LastValidationId { get; set; }
		[StringLength(MaxStatusLength)]
		public virtual string Status { get; set; }
		[StringLength(MaxErrorMessageLength)]
		public virtual string ErrorMessage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DbSet&lt;MstCmmMMValidationResult&gt; MstCmmMMValidationResults { get; set; }</v>
      </c>
      <c r="L7" t="str">
        <f ca="1">SUBSTITUTE(SUBSTITUTE((C6&amp;E6&amp;I29&amp;"
"&amp;REPT(CHAR(9),2)&amp;"// Define Store Name: Format SP_ + &lt;Store Name&gt; = &lt;Store Name&gt;
"&amp;E3&amp;REPT(CHAR(9),1)&amp;D3&amp;D3),"WorkingPattern",$Q$3),"Master",$B$4)</f>
        <v xml:space="preserve">namespace prod.Master.Cmm
{
	public class MstCmmMMValidationResultConsts	
	{
		public const int MaxMaterialCodeLength = 5000;
		public const int MaxMaterialNameLength = 50;
		public const int MaxMaterialGroupLength = 50;
		public const int MaxValuationClassLength = 50;
		public const int MaxRuleCodeLength = 50;
		public const int MaxRuleDescriptionLength = 50;
		public const int MaxRuleItemLength = 50;
		public const int MaxOptionLength = 50;
		public const int MaxResultFieldLength = 50;
		public const int MaxExpectedResultLength = 50;
		public const int MaxActualResultLength = 50;
		public const int MaxLastValidationDatetimeLength = 50;
		public const int MaxLastvalidationbyLength = 50;
		public const int MaxStatusLength = 50;
		public const int MaxErrorMessageLength = 5000;
		public const int MaxIsactiveLength = 1;
		// Define Store Name: Format SP_ + &lt;Store Name&gt; = &lt;Store Name&gt;
	}
}
</v>
      </c>
      <c r="M7" t="str">
        <f ca="1">SUBSTITUTE(SUBSTITUTE((C1&amp;"namespace "&amp;B6&amp;".Dto"&amp;E3&amp;C3&amp;F6&amp;M29&amp;E3&amp;REPT(CHAR(9),1)&amp;D3&amp;G6&amp;N29&amp;REPT(CHAR(9),1)&amp;D3&amp;H6&amp;O29&amp;"
"&amp;REPT(CHAR(9),1)&amp;D3&amp;D3),"WorkingPattern",$Q$3),"Master",$B$4)</f>
        <v xml:space="preserve">using Abp.Application.Services.Dto;
using System;
using System.ComponentModel.DataAnnotations;
namespace prod.Master.Cmm.Dto
{
	public class MstCmmMMValidationResultDto : EntityDto&lt;long?&gt;	
	{
		public virtual long? MateriaId { get; set; }
		public virtual string MaterialCode { get; set; }
		public virtual string MaterialName { get; set; }
		public virtual string MaterialGroup { get; set; }
		public virtual string ValuationClass { get; set; }
		public virtual long? RuleId { get; set; }
		public virtual string RuleCode { get; set; }
		public virtual string RuleDescription { get; set; }
		public virtual string RuleItem { get; set; }
		public virtual string Option { get; set; }
		public virtual string ResultField { get; set; }
		public virtual string ExpectedResult { get; set; }
		public virtual string ActualResult { get; set; }
		public virtual string LastValidationDatetime { get; set; }
		public virtual string Lastvalidationby { get; set; }
		public virtual long? LastValidationId { get; set; }
		public virtual string Status { get; set; }
		public virtual string ErrorMessage { get; set; }
		public virtual string Isactive { get; set; }
	}
	public class CreateOrEditMstCmmMMValidationResultDto : EntityDto&lt;long?&gt;	
	{
		public virtual long? MateriaId { get; set; }
		[StringLength(MstCmmMMValidationResultConsts.MaxMaterialCodeLength)]
		public virtual string MaterialCode { get; set; }
		[StringLength(MstCmmMMValidationResultConsts.MaxMaterialNameLength)]
		public virtual string MaterialName { get; set; }
		[StringLength(MstCmmMMValidationResultConsts.MaxMaterialGroupLength)]
		public virtual string MaterialGroup { get; set; }
		[StringLength(MstCmmMMValidationResultConsts.MaxValuationClassLength)]
		public virtual string ValuationClass { get; set; }
		public virtual long? RuleId { get; set; }
		[StringLength(MstCmmMMValidationResultConsts.MaxRuleCodeLength)]
		public virtual string RuleCode { get; set; }
		[StringLength(MstCmmMMValidationResultConsts.MaxRuleDescriptionLength)]
		public virtual string RuleDescription { get; set; }
		[StringLength(MstCmmMMValidationResultConsts.MaxRuleItemLength)]
		public virtual string RuleItem { get; set; }
		[StringLength(MstCmmMMValidationResultConsts.MaxOptionLength)]
		public virtual string Option { get; set; }
		[StringLength(MstCmmMMValidationResultConsts.MaxResultFieldLength)]
		public virtual string ResultField { get; set; }
		[StringLength(MstCmmMMValidationResultConsts.MaxExpectedResultLength)]
		public virtual string ExpectedResult { get; set; }
		[StringLength(MstCmmMMValidationResultConsts.MaxActualResultLength)]
		public virtual string ActualResult { get; set; }
		[StringLength(MstCmmMMValidationResultConsts.MaxLastValidationDatetimeLength)]
		public virtual string LastValidationDatetime { get; set; }
		[StringLength(MstCmmMMValidationResultConsts.MaxLastvalidationbyLength)]
		public virtual string Lastvalidationby { get; set; }
		public virtual long? LastValidationId { get; set; }
		[StringLength(MstCmmMMValidationResultConsts.MaxStatusLength)]
		public virtual string Status { get; set; }
		[StringLength(MstCmmMMValidationResultConsts.MaxErrorMessageLength)]
		public virtual string ErrorMessage { get; set; }
		[StringLength(MstCmmMMValidationResultConsts.MaxIsactiveLength)]
		public virtual string Isactive { get; set; }
	}
	public class GetMstCmmMMValidationResultInput : PagedAndSortedResultRequestDto	
	{
		public virtual string MaterialCode { get; set; }
		public virtual string MaterialName { get; set; }
		public virtual string MaterialGroup { get; set; }
		public virtual string ValuationClass { get; set; }
		public virtual string RuleCode { get; set; }
		public virtual string RuleDescription { get; set; }
		public virtual string RuleItem { get; set; }
		public virtual string Option { get; set; }
		public virtual string ResultField { get; set; }
		public virtual string ExpectedResult { get; set; }
		public virtual string ActualResult { get; set; }
		public virtual string LastValidationDatetime { get; set; }
		public virtual string Lastvalidationby { get; set; }
		public virtual string Status { get; set; }
		public virtual string ErrorMessage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perMstCmmMMValidationResult = PARENTS.CreateChildPermission(AppPermissions.Pages_Master_Cmm_CmmMMValidationResult, L( "MasterCmmCmmMMValidationResult"), multiTenancySides: MultiTenancySides.Tenant);
		perMstCmmMMValidationResult.CreateChildPermission(AppPermissions.Pages_Master_Cmm_CmmMMValidationResult_CreateEdit, L( "MasterCmmCmmMMValidationResultCreateEdit"), multiTenancySides: MultiTenancySides.Tenant);
		perMstCmmMMValidationResult.CreateChildPermission(AppPermissions.Pages_Master_Cmm_CmmMMValidationResult_Delete, L( "MasterCmmCmmMMValidationResultDelete"),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Pages_Master_Cmm_CmmMMValidationResult = "Pages.Master.Cmm.CmmMMValidationResult";
		public const string Pages_Master_Cmm_CmmMMValidationResult_CreateEdit = "Pages.Master.Cmm.CmmMMValidationResult.CreateEdit";
		public const string Pages_Master_Cmm_CmmMMValidationResult_Delete = "Pages.Master.Cmm.CmmMMValidationResult.Delete";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
{
	public interface IMstCmmMMValidationResultAppService : IApplicationService
	{
		Task&lt;PagedResultDto&lt;MstCmmMMValidationResultDto&gt;&gt; GetAll(GetMstCmmMMValidationResultInput input);
		Task CreateOrEdit(CreateOrEditMstCmmMMValidationResultDto input);
		Task Delete(EntityDto input);
	}
}
</v>
      </c>
      <c r="Q7" t="str">
        <f ca="1">SUBSTITUTE(SUBSTITUTE(SUBSTITUTE(SUBSTITUTE(SUBSTITUTE(SUBSTITUTE(E1,"MstWptCalendar",$B$3),"&lt;PROPERTIES&gt;",P29),"Calendar",$B$5),"WorkingPattern",$Q$3),"Master",$B$4),"&lt;PARAMS_SEARCH&gt;",$W$29)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[AbpAuthorize(AppPermissions.Pages_Master_Cmm_CmmMMValidationResult)]
    public class MstCmmMMValidationResultAppService : vovinaAppServiceBase, IMstCmmMMValidationResultAppService
    {
        private readonly IDapperRepository&lt;MstCmmMMValidationResult, long&gt; _dapperRepo;
        private readonly IRepository&lt;MstCmmMMValidationResult, long&gt; _repo;
        private readonly IMstCmmMMValidationResultExcelExporter _calendarListExcelExporter;
        public MstCmmMMValidationResultAppService(IRepository&lt;MstCmmMMValidationResult,long&gt; repo, 
                                         IDapperRepository&lt;MstCmmMMValidationResult,long&gt; dapperRepo,
                                        IMstCmmMMValidationResultExcelExporter calendarListExcelExporter
            )
        {
            _repo = repo;
            _dapperRepo = dapperRepo;
            _calendarListExcelExporter = calendarListExcelExporter;
        }
        [AbpAuthorize(AppPermissions.Pages_Master_Cmm_CmmMMValidationResult_CreateEdit)]
        public async Task CreateOrEdit(CreateOrEditMstCmmMMValidationResultDto input)
        {
            if (input.Id == null) await Create(input);
            else await Update(input);
        }
        //CREATE
        private async Task Create(CreateOrEditMstCmmMMValidationResultDto input)
        {          
            var mainObj = ObjectMapper.Map&lt;MstCmmMMValidationResult&gt;(input);
            await CurrentUnitOfWork.GetDbContext&lt;vovinaDbContext&gt;().AddAsync(mainObj);
        }
        // EDIT
        private async Task Update(CreateOrEditMstCmmMMValidationResultDto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[AbpAuthorize(AppPermissions.Pages_Master_Cmm_CmmMMValidationResult_Delete)]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Task&lt;PagedResultDto&lt;MstCmmMMValidationResultDto&gt;&gt; GetAll(GetMstCmmMMValidationResultInput input)
        {
            var filtered = _repo.GetAll()
				.WhereIf(!string.IsNullOrWhiteSpace(input.MaterialCode), e =&gt; e.MaterialCode.Contains(input.MaterialCode))
				.WhereIf(!string.IsNullOrWhiteSpace(input.MaterialName), e =&gt; e.MaterialName.Contains(input.MaterialName))
				.WhereIf(!string.IsNullOrWhiteSpace(input.MaterialGroup), e =&gt; e.MaterialGroup.Contains(input.MaterialGroup))
				.WhereIf(!string.IsNullOrWhiteSpace(input.ValuationClass), e =&gt; e.ValuationClass.Contains(input.ValuationClass))
				.WhereIf(!string.IsNullOrWhiteSpace(input.RuleCode), e =&gt; e.RuleCode.Contains(input.RuleCode))
				.WhereIf(!string.IsNullOrWhiteSpace(input.RuleDescription), e =&gt; e.RuleDescription.Contains(input.RuleDescription))
				.WhereIf(!string.IsNullOrWhiteSpace(input.RuleItem), e =&gt; e.RuleItem.Contains(input.RuleItem))
				.WhereIf(!string.IsNullOrWhiteSpace(input.Option), e =&gt; e.Option.Contains(input.Option))
				.WhereIf(!string.IsNullOrWhiteSpace(input.ResultField), e =&gt; e.ResultField.Contains(input.ResultField))
				.WhereIf(!string.IsNullOrWhiteSpace(input.ExpectedResult), e =&gt; e.ExpectedResult.Contains(input.ExpectedResult))
				.WhereIf(!string.IsNullOrWhiteSpace(input.ActualResult), e =&gt; e.ActualResult.Contains(input.ActualResult))
				.WhereIf(!string.IsNullOrWhiteSpace(input.LastValidationDatetime), e =&gt; e.LastValidationDatetime.Contains(input.LastValidationDatetime))
				.WhereIf(!string.IsNullOrWhiteSpace(input.Lastvalidationby), e =&gt; e.Lastvalidationby.Contains(input.Lastvalidationby))
				.WhereIf(!string.IsNullOrWhiteSpace(input.Status), e =&gt; e.Status.Contains(input.Status))
				.WhereIf(!string.IsNullOrWhiteSpace(input.ErrorMessage), e =&gt; e.ErrorMessage.Contains(input.ErrorMessage))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MstCmmMMValidationResultDto
                        {
							Id = o.Id,
							MateriaId = o.MateriaId,
							MaterialCode = o.MaterialCode,
							MaterialName = o.MaterialName,
							MaterialGroup = o.MaterialGroup,
							ValuationClass = o.ValuationClass,
							RuleId = o.RuleId,
							RuleCode = o.RuleCode,
							RuleDescription = o.RuleDescription,
							RuleItem = o.RuleItem,
							Option = o.Option,
							ResultField = o.ResultField,
							ExpectedResult = o.ExpectedResult,
							ActualResult = o.ActualResult,
							LastValidationDatetime = o.LastValidationDatetime,
							Lastvalidationby = o.Lastvalidationby,
							LastValidationId = o.LastValidationId,
							Status = o.Status,
							ErrorMessage = o.ErrorMessage,
							Isactive = o.Isactive,
                        };
            var totalCount = await filtered.CountAsync();
			var paged = system.PageBy(input);
            return new PagedResultDto&lt;MstCmmMMValidationResultDto&gt;(
                totalCount,
                 await paged.ToListAsync()
            );
        }
        public async Task&lt;FileDto&gt; GetCmmMMValidationResultToExcel(MstCmmMMValidationResultExportInput input)
        {
            var query = from o in _repo.GetAll()
                        select new MstCmmMMValidationResultDto
                        {
							Id = o.Id,
							MateriaId = o.MateriaId,
							MaterialCode = o.MaterialCode,
							MaterialName = o.MaterialName,
							MaterialGroup = o.MaterialGroup,
							ValuationClass = o.ValuationClass,
							RuleId = o.RuleId,
							RuleCode = o.RuleCode,
							RuleDescription = o.RuleDescription,
							RuleItem = o.RuleItem,
							Option = o.Option,
							ResultField = o.ResultField,
							ExpectedResult = o.ExpectedResult,
							ActualResult = o.ActualResult,
							LastValidationDatetime = o.LastValidationDatetime,
							Lastvalidationby = o.Lastvalidationby,
							LastValidationId = o.LastValidationId,
							Status = o.Status,
							ErrorMessage = o.ErrorMessage,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_dapperRepo.ExecuteAsync(MstCmmMMValidationResultConsts.SP_MST_WPT_CALENDAR_GENERATE);
       // }
    }
}</v>
      </c>
      <c r="R7" t="str">
        <f ca="1">SUBSTITUTE(SUBSTITUTE((C1&amp;"namespace "&amp;B6&amp;".Dto"&amp;E3&amp;C3&amp;R3&amp;M29&amp;E3&amp;REPT(CHAR(9),1)&amp;D3&amp;D3),"WorkingPattern",$Q$3),"Master",$B$4)</f>
        <v xml:space="preserve">using Abp.Application.Services.Dto;
using System;
using System.ComponentModel.DataAnnotations;
namespace prod.Master.Cmm.Dto
{
	public class MstCmmMMValidationResultExportInput{
		public virtual long? MateriaId { get; set; }
		public virtual string MaterialCode { get; set; }
		public virtual string MaterialName { get; set; }
		public virtual string MaterialGroup { get; set; }
		public virtual string ValuationClass { get; set; }
		public virtual long? RuleId { get; set; }
		public virtual string RuleCode { get; set; }
		public virtual string RuleDescription { get; set; }
		public virtual string RuleItem { get; set; }
		public virtual string Option { get; set; }
		public virtual string ResultField { get; set; }
		public virtual string ExpectedResult { get; set; }
		public virtual string ActualResult { get; set; }
		public virtual string LastValidationDatetime { get; set; }
		public virtual string Lastvalidationby { get; set; }
		public virtual long? LastValidationId { get; set; }
		public virtual string Status { get; set; }
		public virtual string ErrorMessage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prod.Master.Cmm.Exporting
{
	public interface IMstCmmMMValidationResultExcelExporter : IApplicationService
	{
		FileDto ExportToFile(List&lt;MstCmmMMValidationResultDto&gt; mstcmmmmvalidationresult);
	}
}
</v>
      </c>
      <c r="T7" s="26" t="str">
        <f ca="1">SUBSTITUTE(SUBSTITUTE(SUBSTITUTE(SUBSTITUTE(SUBSTITUTE(SUBSTITUTE(SUBSTITUTE(T1,"MstWptCalendar",$B$3),"&lt;PROPERTIES1&gt;",V29),"&lt;PROPERTIES&gt;",T29),"Calendar",$B$5),"calendar",LOWER(B5)),"WorkingPattern",$Q$3),"Master",$B$4)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MstCmmMMValidationResultExcelExporter : NpoiExcelExporterBase, IMstCmmMMValidationResultExcelExporter
    {
        public MstCmmMMValidationResultExcelExporter(ITempFileCacheManager tempFileCacheManager) : base(tempFileCacheManager) { }
        public FileDto ExportToFile(List&lt;MstCmmMMValidationResultDto&gt; cmmmmvalidationresult)
        {
            return CreateExcelPackage(
				"MasterCmmCmmMMValidationResult.xlsx",
				excelPackage =&gt;
				 {
					var sheet = excelPackage.CreateSheet("CmmMMValidationResult");
					AddHeader(
								sheet,
								("MateriaId"),
								("MaterialCode"),
								("MaterialName"),
								("MaterialGroup"),
								("ValuationClass"),
								("RuleId"),
								("RuleCode"),
								("RuleDescription"),
								("RuleItem"),
								("Option"),
								("ResultField"),
								("ExpectedResult"),
								("ActualResult"),
								("LastValidationDatetime"),
								("Lastvalidationby"),
								("LastValidationId"),
								("Status"),
								("ErrorMessage"),
								("Isactive"),
							   );
					AddObjects(
						 sheet, 1, cmmmmvalidationresult,                                       
								_ =&gt; _.MateriaId,
								_ =&gt; _.MaterialCode,
								_ =&gt; _.MaterialName,
								_ =&gt; _.MaterialGroup,
								_ =&gt; _.ValuationClass,
								_ =&gt; _.RuleId,
								_ =&gt; _.RuleCode,
								_ =&gt; _.RuleDescription,
								_ =&gt; _.RuleItem,
								_ =&gt; _.Option,
								_ =&gt; _.ResultField,
								_ =&gt; _.ExpectedResult,
								_ =&gt; _.ActualResult,
								_ =&gt; _.LastValidationDatetime,
								_ =&gt; _.Lastvalidationby,
								_ =&gt; _.LastValidationId,
								_ =&gt; _.Status,
								_ =&gt; _.ErrorMessage,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configuration.CreateMap&lt;MstCmmMMValidationResultDto, MstCmmMMValidationResult&gt;();
  configuration.CreateMap&lt;MstCmmMMValidationResult, MstCmmMMValidationResultDto&gt;();
  configuration.CreateMap&lt;CreateOrEditMstCmmMMValidationResultDto, MstCmmMMValidationResult&gt;();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369</v>
      </c>
      <c r="B9" s="28" t="s">
        <v>0</v>
      </c>
      <c r="C9" t="s">
        <v>1</v>
      </c>
      <c r="D9" t="str">
        <f t="shared" ref="D9" si="0">SUBSTITUTE(PROPER(A9),"_","")</f>
        <v>MateriaId</v>
      </c>
      <c r="E9" t="str">
        <f t="shared" ref="E9" si="1">IFERROR(LEFT(B9, FIND("(",B9)-1),B9)</f>
        <v>bigint</v>
      </c>
      <c r="F9" s="6"/>
      <c r="G9" t="str">
        <f t="shared" ref="G9" si="2">IFERROR(MID(B9,FIND("(",B9) +1, FIND(")",B9) - FIND("(",B9) - 1),"")</f>
        <v/>
      </c>
      <c r="H9" t="str">
        <f>+VLOOKUP(E9,'Data Type Mapping'!A:B,2,)</f>
        <v>long?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long? MateriaId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long? MateriaId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long? MateriaId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" si="9">REPT(CHAR(9),7)&amp;D9&amp;" = o." &amp;D9 &amp;","</f>
        <v xml:space="preserve">							MateriaId = o.MateriaId,</v>
      </c>
      <c r="T9" s="63" t="str">
        <f t="shared" ref="T9" si="10">REPT(CHAR(9),8)&amp;"("""&amp;D9&amp;"""),"</f>
        <v xml:space="preserve">								("MateriaId"),</v>
      </c>
      <c r="V9" s="64" t="str">
        <f t="shared" ref="V9" si="11">REPT(CHAR(9),8)&amp;"_ =&gt; _."&amp;D9&amp;","</f>
        <v xml:space="preserve">								_ =&gt; _.MateriaId,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25">
      <c r="A10" s="28" t="s">
        <v>370</v>
      </c>
      <c r="B10" s="28" t="s">
        <v>363</v>
      </c>
      <c r="C10" t="s">
        <v>1</v>
      </c>
      <c r="D10" t="str">
        <f t="shared" ref="D10:D11" si="13">SUBSTITUTE(PROPER(A10),"_","")</f>
        <v>MaterialCode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5000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MaxMaterialCodeLength = 5000;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[StringLength(MaxMaterialCodeLength)]
		public virtual string MaterialCode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MaterialCode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[StringLength(MstCmmMMValidationResultConsts.MaxMaterialCodeLength)]
		public virtual string MaterialCode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MaterialCode { get; set; }
</v>
      </c>
      <c r="P10" t="str">
        <f t="shared" ref="P10:P11" si="22">REPT(CHAR(9),7)&amp;D10&amp;" = o." &amp;D10 &amp;","</f>
        <v xml:space="preserve">							MaterialCode = o.MaterialCode,</v>
      </c>
      <c r="T10" s="63" t="str">
        <f t="shared" ref="T10:T11" si="23">REPT(CHAR(9),8)&amp;"("""&amp;D10&amp;"""),"</f>
        <v xml:space="preserve">								("MaterialCode"),</v>
      </c>
      <c r="V10" s="64" t="str">
        <f t="shared" ref="V10:V11" si="24">REPT(CHAR(9),8)&amp;"_ =&gt; _."&amp;D10&amp;","</f>
        <v xml:space="preserve">								_ =&gt; _.MaterialCode,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.WhereIf(!string.IsNullOrWhiteSpace(input.MaterialCode), e =&gt; e.MaterialCode.Contains(input.MaterialCode))</v>
      </c>
    </row>
    <row r="11" spans="1:23" customFormat="1" ht="18.75" customHeight="1" x14ac:dyDescent="0.25">
      <c r="A11" s="28" t="s">
        <v>371</v>
      </c>
      <c r="B11" s="28" t="s">
        <v>362</v>
      </c>
      <c r="C11" t="s">
        <v>1</v>
      </c>
      <c r="D11" t="str">
        <f t="shared" si="13"/>
        <v>MaterialName</v>
      </c>
      <c r="E11" t="str">
        <f t="shared" si="14"/>
        <v>nvarchar</v>
      </c>
      <c r="F11" s="6"/>
      <c r="G11" t="str">
        <f t="shared" si="15"/>
        <v>50</v>
      </c>
      <c r="H11" t="str">
        <f>+VLOOKUP(E11,'Data Type Mapping'!A:B,2,)</f>
        <v>string</v>
      </c>
      <c r="I11" t="str">
        <f t="shared" si="16"/>
        <v xml:space="preserve">		public const int MaxMaterialNameLength = 50;
</v>
      </c>
      <c r="J11" t="str">
        <f t="shared" si="17"/>
        <v xml:space="preserve">		[StringLength(MaxMaterialNameLength)]
		public virtual string MaterialName { get; set; }
</v>
      </c>
      <c r="K11" s="6"/>
      <c r="L11" t="str">
        <f t="shared" si="18"/>
        <v/>
      </c>
      <c r="M11" t="str">
        <f t="shared" si="19"/>
        <v xml:space="preserve">		public virtual string MaterialName { get; set; }
</v>
      </c>
      <c r="N11" t="str">
        <f t="shared" si="20"/>
        <v xml:space="preserve">		[StringLength(MstCmmMMValidationResultConsts.MaxMaterialNameLength)]
		public virtual string MaterialName { get; set; }
</v>
      </c>
      <c r="O11" t="str">
        <f t="shared" si="21"/>
        <v xml:space="preserve">		public virtual string MaterialName { get; set; }
</v>
      </c>
      <c r="P11" t="str">
        <f t="shared" si="22"/>
        <v xml:space="preserve">							MaterialName = o.MaterialName,</v>
      </c>
      <c r="T11" s="63" t="str">
        <f t="shared" si="23"/>
        <v xml:space="preserve">								("MaterialName"),</v>
      </c>
      <c r="V11" s="64" t="str">
        <f t="shared" si="24"/>
        <v xml:space="preserve">								_ =&gt; _.MaterialName,</v>
      </c>
      <c r="W11" s="63" t="str">
        <f t="shared" si="25"/>
        <v xml:space="preserve">				.WhereIf(!string.IsNullOrWhiteSpace(input.MaterialName), e =&gt; e.MaterialName.Contains(input.MaterialName))</v>
      </c>
    </row>
    <row r="12" spans="1:23" customFormat="1" ht="18.75" customHeight="1" x14ac:dyDescent="0.25">
      <c r="A12" s="28" t="s">
        <v>372</v>
      </c>
      <c r="B12" s="28" t="s">
        <v>362</v>
      </c>
      <c r="C12" t="s">
        <v>1</v>
      </c>
      <c r="D12" t="str">
        <f t="shared" ref="D12:D13" si="26">SUBSTITUTE(PROPER(A12),"_","")</f>
        <v>MaterialGroup</v>
      </c>
      <c r="E12" t="str">
        <f t="shared" ref="E12:E13" si="27">IFERROR(LEFT(B12, FIND("(",B12)-1),B12)</f>
        <v>nvarchar</v>
      </c>
      <c r="F12" s="6"/>
      <c r="G12" t="str">
        <f t="shared" ref="G12:G13" si="28">IFERROR(MID(B12,FIND("(",B12) +1, FIND(")",B12) - FIND("(",B12) - 1),"")</f>
        <v>50</v>
      </c>
      <c r="H12" t="str">
        <f>+VLOOKUP(E12,'Data Type Mapping'!A:B,2,)</f>
        <v>string</v>
      </c>
      <c r="I12" t="str">
        <f t="shared" ref="I12:I13" si="29">IF(H12="string",REPT(CHAR(9),2)&amp;"public const int Max"&amp;D12&amp;"Length = "&amp;G12&amp;";"&amp;$E$3,"" )</f>
        <v xml:space="preserve">		public const int MaxMaterialGroupLength = 50;
</v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[StringLength(MaxMaterialGroupLength)]
		public virtual string MaterialGroup { get; set; }
</v>
      </c>
      <c r="K12" s="6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string MaterialGroup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[StringLength(MstCmmMMValidationResultConsts.MaxMaterialGroupLength)]
		public virtual string MaterialGroup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 xml:space="preserve">		public virtual string MaterialGroup { get; set; }
</v>
      </c>
      <c r="P12" t="str">
        <f t="shared" ref="P12:P13" si="35">REPT(CHAR(9),7)&amp;D12&amp;" = o." &amp;D12 &amp;","</f>
        <v xml:space="preserve">							MaterialGroup = o.MaterialGroup,</v>
      </c>
      <c r="T12" s="63" t="str">
        <f t="shared" ref="T12:T13" si="36">REPT(CHAR(9),8)&amp;"("""&amp;D12&amp;"""),"</f>
        <v xml:space="preserve">								("MaterialGroup"),</v>
      </c>
      <c r="V12" s="64" t="str">
        <f t="shared" ref="V12:V13" si="37">REPT(CHAR(9),8)&amp;"_ =&gt; _."&amp;D12&amp;","</f>
        <v xml:space="preserve">								_ =&gt; _.MaterialGroup,</v>
      </c>
      <c r="W12" s="63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.WhereIf(!string.IsNullOrWhiteSpace(input.MaterialGroup), e =&gt; e.MaterialGroup.Contains(input.MaterialGroup))</v>
      </c>
    </row>
    <row r="13" spans="1:23" customFormat="1" ht="18.75" customHeight="1" x14ac:dyDescent="0.25">
      <c r="A13" s="28" t="s">
        <v>373</v>
      </c>
      <c r="B13" s="28" t="s">
        <v>362</v>
      </c>
      <c r="C13" t="s">
        <v>1</v>
      </c>
      <c r="D13" t="str">
        <f t="shared" si="26"/>
        <v>ValuationClass</v>
      </c>
      <c r="E13" t="str">
        <f t="shared" si="27"/>
        <v>nvarchar</v>
      </c>
      <c r="F13" s="6"/>
      <c r="G13" t="str">
        <f t="shared" si="28"/>
        <v>50</v>
      </c>
      <c r="H13" t="str">
        <f>+VLOOKUP(E13,'Data Type Mapping'!A:B,2,)</f>
        <v>string</v>
      </c>
      <c r="I13" t="str">
        <f t="shared" si="29"/>
        <v xml:space="preserve">		public const int MaxValuationClassLength = 50;
</v>
      </c>
      <c r="J13" t="str">
        <f t="shared" si="30"/>
        <v xml:space="preserve">		[StringLength(MaxValuationClassLength)]
		public virtual string ValuationClass { get; set; }
</v>
      </c>
      <c r="K13" s="6"/>
      <c r="L13" t="str">
        <f t="shared" si="31"/>
        <v/>
      </c>
      <c r="M13" t="str">
        <f t="shared" si="32"/>
        <v xml:space="preserve">		public virtual string ValuationClass { get; set; }
</v>
      </c>
      <c r="N13" t="str">
        <f t="shared" si="33"/>
        <v xml:space="preserve">		[StringLength(MstCmmMMValidationResultConsts.MaxValuationClassLength)]
		public virtual string ValuationClass { get; set; }
</v>
      </c>
      <c r="O13" t="str">
        <f t="shared" si="34"/>
        <v xml:space="preserve">		public virtual string ValuationClass { get; set; }
</v>
      </c>
      <c r="P13" t="str">
        <f t="shared" si="35"/>
        <v xml:space="preserve">							ValuationClass = o.ValuationClass,</v>
      </c>
      <c r="T13" s="63" t="str">
        <f t="shared" si="36"/>
        <v xml:space="preserve">								("ValuationClass"),</v>
      </c>
      <c r="V13" s="64" t="str">
        <f t="shared" si="37"/>
        <v xml:space="preserve">								_ =&gt; _.ValuationClass,</v>
      </c>
      <c r="W13" s="63" t="str">
        <f t="shared" si="38"/>
        <v xml:space="preserve">				.WhereIf(!string.IsNullOrWhiteSpace(input.ValuationClass), e =&gt; e.ValuationClass.Contains(input.ValuationClass))</v>
      </c>
    </row>
    <row r="14" spans="1:23" customFormat="1" ht="18.75" customHeight="1" x14ac:dyDescent="0.25">
      <c r="A14" s="28" t="s">
        <v>374</v>
      </c>
      <c r="B14" s="28" t="s">
        <v>0</v>
      </c>
      <c r="C14" t="s">
        <v>1</v>
      </c>
      <c r="D14" t="str">
        <f t="shared" ref="D14:D20" si="39">SUBSTITUTE(PROPER(A14),"_","")</f>
        <v>RuleId</v>
      </c>
      <c r="E14" t="str">
        <f t="shared" ref="E14:E20" si="40">IFERROR(LEFT(B14, FIND("(",B14)-1),B14)</f>
        <v>bigint</v>
      </c>
      <c r="F14" s="6"/>
      <c r="G14" t="str">
        <f t="shared" ref="G14:G20" si="41">IFERROR(MID(B14,FIND("(",B14) +1, FIND(")",B14) - FIND("(",B14) - 1),"")</f>
        <v/>
      </c>
      <c r="H14" t="str">
        <f>+VLOOKUP(E14,'Data Type Mapping'!A:B,2,)</f>
        <v>long?</v>
      </c>
      <c r="I14" t="str">
        <f t="shared" ref="I14:I20" si="42">IF(H14="string",REPT(CHAR(9),2)&amp;"public const int Max"&amp;D14&amp;"Length = "&amp;G14&amp;";"&amp;$E$3,"" )</f>
        <v/>
      </c>
      <c r="J14" t="str">
        <f t="shared" ref="J14:J20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long? RuleId { get; set; }
</v>
      </c>
      <c r="K14" s="6"/>
      <c r="L14" t="str">
        <f t="shared" ref="L14:L20" si="44">IF(K14="","",REPT(CHAR(9),1)&amp;"[Index(nameof("&amp;IF(D14="","",""&amp;D14)&amp;")"&amp;", Name="&amp;"""IX_"&amp;$B$7&amp;"_"&amp;D14&amp;""")]")</f>
        <v/>
      </c>
      <c r="M14" t="str">
        <f t="shared" ref="M14:M20" si="45">REPT(CHAR(9),2)&amp;"public virtual "&amp;IF(OR(H14="DateTime",H14="TimeSpan"),H14&amp;"?",H14)&amp;IF(C14="?","? "," ")&amp;D14&amp;" { get; set; }" &amp; "
"</f>
        <v xml:space="preserve">		public virtual long? RuleId { get; set; }
</v>
      </c>
      <c r="N14" t="str">
        <f t="shared" ref="N14:N20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long? RuleId { get; set; }
</v>
      </c>
      <c r="O14" t="str">
        <f t="shared" ref="O14:O20" si="47">IF(OR(H14="string",H14="DateTime",H14="int"),REPT(CHAR(9),2)&amp;"public virtual "&amp;IF(OR(H14="DateTime",H14="TimeSpan"),H14&amp;"?",H14)&amp;IF(C14="?","? "," ")&amp;D14&amp;" { get; set; }"&amp;$E$3,"")</f>
        <v/>
      </c>
      <c r="P14" t="str">
        <f t="shared" ref="P14:P20" si="48">REPT(CHAR(9),7)&amp;D14&amp;" = o." &amp;D14 &amp;","</f>
        <v xml:space="preserve">							RuleId = o.RuleId,</v>
      </c>
      <c r="T14" s="63" t="str">
        <f t="shared" ref="T14:T20" si="49">REPT(CHAR(9),8)&amp;"("""&amp;D14&amp;"""),"</f>
        <v xml:space="preserve">								("RuleId"),</v>
      </c>
      <c r="V14" s="64" t="str">
        <f t="shared" ref="V14:V20" si="50">REPT(CHAR(9),8)&amp;"_ =&gt; _."&amp;D14&amp;","</f>
        <v xml:space="preserve">								_ =&gt; _.RuleId,</v>
      </c>
      <c r="W14" s="63" t="str">
        <f t="shared" ref="W14:W20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</row>
    <row r="15" spans="1:23" customFormat="1" ht="18.75" customHeight="1" x14ac:dyDescent="0.25">
      <c r="A15" s="28" t="s">
        <v>364</v>
      </c>
      <c r="B15" s="28" t="s">
        <v>362</v>
      </c>
      <c r="C15" t="s">
        <v>1</v>
      </c>
      <c r="D15" t="str">
        <f t="shared" si="39"/>
        <v>RuleCode</v>
      </c>
      <c r="E15" t="str">
        <f t="shared" si="40"/>
        <v>nvarchar</v>
      </c>
      <c r="F15" s="6"/>
      <c r="G15" t="str">
        <f t="shared" si="41"/>
        <v>50</v>
      </c>
      <c r="H15" t="str">
        <f>+VLOOKUP(E15,'Data Type Mapping'!A:B,2,)</f>
        <v>string</v>
      </c>
      <c r="I15" t="str">
        <f t="shared" si="42"/>
        <v xml:space="preserve">		public const int MaxRuleCodeLength = 50;
</v>
      </c>
      <c r="J15" t="str">
        <f t="shared" si="43"/>
        <v xml:space="preserve">		[StringLength(MaxRuleCodeLength)]
		public virtual string RuleCode { get; set; }
</v>
      </c>
      <c r="K15" s="6"/>
      <c r="L15" t="str">
        <f t="shared" si="44"/>
        <v/>
      </c>
      <c r="M15" t="str">
        <f t="shared" si="45"/>
        <v xml:space="preserve">		public virtual string RuleCode { get; set; }
</v>
      </c>
      <c r="N15" t="str">
        <f t="shared" si="46"/>
        <v xml:space="preserve">		[StringLength(MstCmmMMValidationResultConsts.MaxRuleCodeLength)]
		public virtual string RuleCode { get; set; }
</v>
      </c>
      <c r="O15" t="str">
        <f t="shared" si="47"/>
        <v xml:space="preserve">		public virtual string RuleCode { get; set; }
</v>
      </c>
      <c r="P15" t="str">
        <f t="shared" si="48"/>
        <v xml:space="preserve">							RuleCode = o.RuleCode,</v>
      </c>
      <c r="T15" s="63" t="str">
        <f t="shared" si="49"/>
        <v xml:space="preserve">								("RuleCode"),</v>
      </c>
      <c r="V15" s="64" t="str">
        <f t="shared" si="50"/>
        <v xml:space="preserve">								_ =&gt; _.RuleCode,</v>
      </c>
      <c r="W15" s="63" t="str">
        <f t="shared" si="51"/>
        <v xml:space="preserve">				.WhereIf(!string.IsNullOrWhiteSpace(input.RuleCode), e =&gt; e.RuleCode.Contains(input.RuleCode))</v>
      </c>
    </row>
    <row r="16" spans="1:23" customFormat="1" ht="18.75" customHeight="1" x14ac:dyDescent="0.25">
      <c r="A16" s="28" t="s">
        <v>365</v>
      </c>
      <c r="B16" s="28" t="s">
        <v>362</v>
      </c>
      <c r="C16" t="s">
        <v>1</v>
      </c>
      <c r="D16" t="str">
        <f t="shared" si="39"/>
        <v>RuleDescription</v>
      </c>
      <c r="E16" t="str">
        <f t="shared" si="40"/>
        <v>nvarchar</v>
      </c>
      <c r="F16" s="6"/>
      <c r="G16" t="str">
        <f t="shared" si="41"/>
        <v>50</v>
      </c>
      <c r="H16" t="str">
        <f>+VLOOKUP(E16,'Data Type Mapping'!A:B,2,)</f>
        <v>string</v>
      </c>
      <c r="I16" t="str">
        <f t="shared" si="42"/>
        <v xml:space="preserve">		public const int MaxRuleDescriptionLength = 50;
</v>
      </c>
      <c r="J16" t="str">
        <f t="shared" si="43"/>
        <v xml:space="preserve">		[StringLength(MaxRuleDescriptionLength)]
		public virtual string RuleDescription { get; set; }
</v>
      </c>
      <c r="K16" s="6"/>
      <c r="L16" t="str">
        <f t="shared" si="44"/>
        <v/>
      </c>
      <c r="M16" t="str">
        <f t="shared" si="45"/>
        <v xml:space="preserve">		public virtual string RuleDescription { get; set; }
</v>
      </c>
      <c r="N16" t="str">
        <f t="shared" si="46"/>
        <v xml:space="preserve">		[StringLength(MstCmmMMValidationResultConsts.MaxRuleDescriptionLength)]
		public virtual string RuleDescription { get; set; }
</v>
      </c>
      <c r="O16" t="str">
        <f t="shared" si="47"/>
        <v xml:space="preserve">		public virtual string RuleDescription { get; set; }
</v>
      </c>
      <c r="P16" t="str">
        <f t="shared" si="48"/>
        <v xml:space="preserve">							RuleDescription = o.RuleDescription,</v>
      </c>
      <c r="T16" s="63" t="str">
        <f t="shared" si="49"/>
        <v xml:space="preserve">								("RuleDescription"),</v>
      </c>
      <c r="V16" s="64" t="str">
        <f t="shared" si="50"/>
        <v xml:space="preserve">								_ =&gt; _.RuleDescription,</v>
      </c>
      <c r="W16" s="63" t="str">
        <f t="shared" si="51"/>
        <v xml:space="preserve">				.WhereIf(!string.IsNullOrWhiteSpace(input.RuleDescription), e =&gt; e.RuleDescription.Contains(input.RuleDescription))</v>
      </c>
    </row>
    <row r="17" spans="1:23" customFormat="1" ht="18.75" customHeight="1" x14ac:dyDescent="0.25">
      <c r="A17" s="28" t="s">
        <v>366</v>
      </c>
      <c r="B17" s="28" t="s">
        <v>362</v>
      </c>
      <c r="C17" t="s">
        <v>1</v>
      </c>
      <c r="D17" t="str">
        <f t="shared" si="39"/>
        <v>RuleItem</v>
      </c>
      <c r="E17" t="str">
        <f t="shared" si="40"/>
        <v>nvarchar</v>
      </c>
      <c r="F17" s="6"/>
      <c r="G17" t="str">
        <f t="shared" si="41"/>
        <v>50</v>
      </c>
      <c r="H17" t="str">
        <f>+VLOOKUP(E17,'Data Type Mapping'!A:B,2,)</f>
        <v>string</v>
      </c>
      <c r="I17" t="str">
        <f t="shared" si="42"/>
        <v xml:space="preserve">		public const int MaxRuleItemLength = 50;
</v>
      </c>
      <c r="J17" t="str">
        <f t="shared" si="43"/>
        <v xml:space="preserve">		[StringLength(MaxRuleItemLength)]
		public virtual string RuleItem { get; set; }
</v>
      </c>
      <c r="K17" s="6"/>
      <c r="L17" t="str">
        <f t="shared" si="44"/>
        <v/>
      </c>
      <c r="M17" t="str">
        <f t="shared" si="45"/>
        <v xml:space="preserve">		public virtual string RuleItem { get; set; }
</v>
      </c>
      <c r="N17" t="str">
        <f t="shared" si="46"/>
        <v xml:space="preserve">		[StringLength(MstCmmMMValidationResultConsts.MaxRuleItemLength)]
		public virtual string RuleItem { get; set; }
</v>
      </c>
      <c r="O17" t="str">
        <f t="shared" si="47"/>
        <v xml:space="preserve">		public virtual string RuleItem { get; set; }
</v>
      </c>
      <c r="P17" t="str">
        <f t="shared" si="48"/>
        <v xml:space="preserve">							RuleItem = o.RuleItem,</v>
      </c>
      <c r="T17" s="63" t="str">
        <f t="shared" si="49"/>
        <v xml:space="preserve">								("RuleItem"),</v>
      </c>
      <c r="V17" s="64" t="str">
        <f t="shared" si="50"/>
        <v xml:space="preserve">								_ =&gt; _.RuleItem,</v>
      </c>
      <c r="W17" s="63" t="str">
        <f t="shared" si="51"/>
        <v xml:space="preserve">				.WhereIf(!string.IsNullOrWhiteSpace(input.RuleItem), e =&gt; e.RuleItem.Contains(input.RuleItem))</v>
      </c>
    </row>
    <row r="18" spans="1:23" customFormat="1" ht="18.75" customHeight="1" x14ac:dyDescent="0.25">
      <c r="A18" s="28" t="s">
        <v>361</v>
      </c>
      <c r="B18" s="28" t="s">
        <v>362</v>
      </c>
      <c r="C18" t="s">
        <v>1</v>
      </c>
      <c r="D18" t="str">
        <f t="shared" si="39"/>
        <v>Option</v>
      </c>
      <c r="E18" t="str">
        <f t="shared" si="40"/>
        <v>nvarchar</v>
      </c>
      <c r="F18" s="6"/>
      <c r="G18" t="str">
        <f t="shared" si="41"/>
        <v>50</v>
      </c>
      <c r="H18" t="str">
        <f>+VLOOKUP(E18,'Data Type Mapping'!A:B,2,)</f>
        <v>string</v>
      </c>
      <c r="I18" t="str">
        <f t="shared" si="42"/>
        <v xml:space="preserve">		public const int MaxOptionLength = 50;
</v>
      </c>
      <c r="J18" t="str">
        <f t="shared" si="43"/>
        <v xml:space="preserve">		[StringLength(MaxOptionLength)]
		public virtual string Option { get; set; }
</v>
      </c>
      <c r="K18" s="6"/>
      <c r="L18" t="str">
        <f t="shared" si="44"/>
        <v/>
      </c>
      <c r="M18" t="str">
        <f t="shared" si="45"/>
        <v xml:space="preserve">		public virtual string Option { get; set; }
</v>
      </c>
      <c r="N18" t="str">
        <f t="shared" si="46"/>
        <v xml:space="preserve">		[StringLength(MstCmmMMValidationResultConsts.MaxOptionLength)]
		public virtual string Option { get; set; }
</v>
      </c>
      <c r="O18" t="str">
        <f t="shared" si="47"/>
        <v xml:space="preserve">		public virtual string Option { get; set; }
</v>
      </c>
      <c r="P18" t="str">
        <f t="shared" si="48"/>
        <v xml:space="preserve">							Option = o.Option,</v>
      </c>
      <c r="T18" s="63" t="str">
        <f t="shared" si="49"/>
        <v xml:space="preserve">								("Option"),</v>
      </c>
      <c r="V18" s="64" t="str">
        <f t="shared" si="50"/>
        <v xml:space="preserve">								_ =&gt; _.Option,</v>
      </c>
      <c r="W18" s="63" t="str">
        <f t="shared" si="51"/>
        <v xml:space="preserve">				.WhereIf(!string.IsNullOrWhiteSpace(input.Option), e =&gt; e.Option.Contains(input.Option))</v>
      </c>
    </row>
    <row r="19" spans="1:23" customFormat="1" ht="18.75" customHeight="1" x14ac:dyDescent="0.25">
      <c r="A19" s="28" t="s">
        <v>379</v>
      </c>
      <c r="B19" s="28" t="s">
        <v>362</v>
      </c>
      <c r="C19" t="s">
        <v>1</v>
      </c>
      <c r="D19" t="str">
        <f t="shared" si="39"/>
        <v>ResultField</v>
      </c>
      <c r="E19" t="str">
        <f t="shared" si="40"/>
        <v>nvarchar</v>
      </c>
      <c r="F19" s="6"/>
      <c r="G19" t="str">
        <f t="shared" si="41"/>
        <v>50</v>
      </c>
      <c r="H19" t="str">
        <f>+VLOOKUP(E19,'Data Type Mapping'!A:B,2,)</f>
        <v>string</v>
      </c>
      <c r="I19" t="str">
        <f t="shared" si="42"/>
        <v xml:space="preserve">		public const int MaxResultFieldLength = 50;
</v>
      </c>
      <c r="J19" t="str">
        <f t="shared" si="43"/>
        <v xml:space="preserve">		[StringLength(MaxResultFieldLength)]
		public virtual string ResultField { get; set; }
</v>
      </c>
      <c r="K19" s="6"/>
      <c r="L19" t="str">
        <f t="shared" si="44"/>
        <v/>
      </c>
      <c r="M19" t="str">
        <f t="shared" si="45"/>
        <v xml:space="preserve">		public virtual string ResultField { get; set; }
</v>
      </c>
      <c r="N19" t="str">
        <f t="shared" si="46"/>
        <v xml:space="preserve">		[StringLength(MstCmmMMValidationResultConsts.MaxResultFieldLength)]
		public virtual string ResultField { get; set; }
</v>
      </c>
      <c r="O19" t="str">
        <f t="shared" si="47"/>
        <v xml:space="preserve">		public virtual string ResultField { get; set; }
</v>
      </c>
      <c r="P19" t="str">
        <f t="shared" si="48"/>
        <v xml:space="preserve">							ResultField = o.ResultField,</v>
      </c>
      <c r="T19" s="63" t="str">
        <f t="shared" si="49"/>
        <v xml:space="preserve">								("ResultField"),</v>
      </c>
      <c r="V19" s="64" t="str">
        <f t="shared" si="50"/>
        <v xml:space="preserve">								_ =&gt; _.ResultField,</v>
      </c>
      <c r="W19" s="63" t="str">
        <f t="shared" si="51"/>
        <v xml:space="preserve">				.WhereIf(!string.IsNullOrWhiteSpace(input.ResultField), e =&gt; e.ResultField.Contains(input.ResultField))</v>
      </c>
    </row>
    <row r="20" spans="1:23" customFormat="1" ht="18.75" customHeight="1" x14ac:dyDescent="0.25">
      <c r="A20" s="28" t="s">
        <v>380</v>
      </c>
      <c r="B20" s="28" t="s">
        <v>362</v>
      </c>
      <c r="C20" t="s">
        <v>1</v>
      </c>
      <c r="D20" t="str">
        <f t="shared" si="39"/>
        <v>ExpectedResult</v>
      </c>
      <c r="E20" t="str">
        <f t="shared" si="40"/>
        <v>nvarchar</v>
      </c>
      <c r="F20" s="6"/>
      <c r="G20" t="str">
        <f t="shared" si="41"/>
        <v>50</v>
      </c>
      <c r="H20" t="str">
        <f>+VLOOKUP(E20,'Data Type Mapping'!A:B,2,)</f>
        <v>string</v>
      </c>
      <c r="I20" t="str">
        <f t="shared" si="42"/>
        <v xml:space="preserve">		public const int MaxExpectedResultLength = 50;
</v>
      </c>
      <c r="J20" t="str">
        <f t="shared" si="43"/>
        <v xml:space="preserve">		[StringLength(MaxExpectedResultLength)]
		public virtual string ExpectedResult { get; set; }
</v>
      </c>
      <c r="K20" s="6"/>
      <c r="L20" t="str">
        <f t="shared" si="44"/>
        <v/>
      </c>
      <c r="M20" t="str">
        <f t="shared" si="45"/>
        <v xml:space="preserve">		public virtual string ExpectedResult { get; set; }
</v>
      </c>
      <c r="N20" t="str">
        <f t="shared" si="46"/>
        <v xml:space="preserve">		[StringLength(MstCmmMMValidationResultConsts.MaxExpectedResultLength)]
		public virtual string ExpectedResult { get; set; }
</v>
      </c>
      <c r="O20" t="str">
        <f t="shared" si="47"/>
        <v xml:space="preserve">		public virtual string ExpectedResult { get; set; }
</v>
      </c>
      <c r="P20" t="str">
        <f t="shared" si="48"/>
        <v xml:space="preserve">							ExpectedResult = o.ExpectedResult,</v>
      </c>
      <c r="T20" s="63" t="str">
        <f t="shared" si="49"/>
        <v xml:space="preserve">								("ExpectedResult"),</v>
      </c>
      <c r="V20" s="64" t="str">
        <f t="shared" si="50"/>
        <v xml:space="preserve">								_ =&gt; _.ExpectedResult,</v>
      </c>
      <c r="W20" s="63" t="str">
        <f t="shared" si="51"/>
        <v xml:space="preserve">				.WhereIf(!string.IsNullOrWhiteSpace(input.ExpectedResult), e =&gt; e.ExpectedResult.Contains(input.ExpectedResult))</v>
      </c>
    </row>
    <row r="21" spans="1:23" customFormat="1" ht="18.75" customHeight="1" x14ac:dyDescent="0.25">
      <c r="A21" s="28" t="s">
        <v>375</v>
      </c>
      <c r="B21" s="28" t="s">
        <v>362</v>
      </c>
      <c r="C21" t="s">
        <v>1</v>
      </c>
      <c r="D21" t="str">
        <f t="shared" ref="D21:D25" si="52">SUBSTITUTE(PROPER(A21),"_","")</f>
        <v>ActualResult</v>
      </c>
      <c r="E21" t="str">
        <f t="shared" ref="E21:E25" si="53">IFERROR(LEFT(B21, FIND("(",B21)-1),B21)</f>
        <v>nvarchar</v>
      </c>
      <c r="F21" s="6"/>
      <c r="G21" t="str">
        <f t="shared" ref="G21:G25" si="54">IFERROR(MID(B21,FIND("(",B21) +1, FIND(")",B21) - FIND("(",B21) - 1),"")</f>
        <v>50</v>
      </c>
      <c r="H21" t="str">
        <f>+VLOOKUP(E21,'Data Type Mapping'!A:B,2,)</f>
        <v>string</v>
      </c>
      <c r="I21" t="str">
        <f t="shared" ref="I21:I25" si="55">IF(H21="string",REPT(CHAR(9),2)&amp;"public const int Max"&amp;D21&amp;"Length = "&amp;G21&amp;";"&amp;$E$3,"" )</f>
        <v xml:space="preserve">		public const int MaxActualResultLength = 50;
</v>
      </c>
      <c r="J21" t="str">
        <f t="shared" ref="J21:J25" si="56"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[StringLength(MaxActualResultLength)]
		public virtual string ActualResult { get; set; }
</v>
      </c>
      <c r="K21" s="6"/>
      <c r="L21" t="str">
        <f t="shared" ref="L21:L25" si="57">IF(K21="","",REPT(CHAR(9),1)&amp;"[Index(nameof("&amp;IF(D21="","",""&amp;D21)&amp;")"&amp;", Name="&amp;"""IX_"&amp;$B$7&amp;"_"&amp;D21&amp;""")]")</f>
        <v/>
      </c>
      <c r="M21" t="str">
        <f t="shared" ref="M21:M25" si="58">REPT(CHAR(9),2)&amp;"public virtual "&amp;IF(OR(H21="DateTime",H21="TimeSpan"),H21&amp;"?",H21)&amp;IF(C21="?","? "," ")&amp;D21&amp;" { get; set; }" &amp; "
"</f>
        <v xml:space="preserve">		public virtual string ActualResult { get; set; }
</v>
      </c>
      <c r="N21" t="str">
        <f t="shared" ref="N21:N25" si="59"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[StringLength(MstCmmMMValidationResultConsts.MaxActualResultLength)]
		public virtual string ActualResult { get; set; }
</v>
      </c>
      <c r="O21" t="str">
        <f t="shared" ref="O21:O25" si="60">IF(OR(H21="string",H21="DateTime",H21="int"),REPT(CHAR(9),2)&amp;"public virtual "&amp;IF(OR(H21="DateTime",H21="TimeSpan"),H21&amp;"?",H21)&amp;IF(C21="?","? "," ")&amp;D21&amp;" { get; set; }"&amp;$E$3,"")</f>
        <v xml:space="preserve">		public virtual string ActualResult { get; set; }
</v>
      </c>
      <c r="P21" t="str">
        <f t="shared" ref="P21:P25" si="61">REPT(CHAR(9),7)&amp;D21&amp;" = o." &amp;D21 &amp;","</f>
        <v xml:space="preserve">							ActualResult = o.ActualResult,</v>
      </c>
      <c r="T21" s="63" t="str">
        <f t="shared" ref="T21:T25" si="62">REPT(CHAR(9),8)&amp;"("""&amp;D21&amp;"""),"</f>
        <v xml:space="preserve">								("ActualResult"),</v>
      </c>
      <c r="V21" s="64" t="str">
        <f t="shared" ref="V21:V25" si="63">REPT(CHAR(9),8)&amp;"_ =&gt; _."&amp;D21&amp;","</f>
        <v xml:space="preserve">								_ =&gt; _.ActualResult,</v>
      </c>
      <c r="W21" s="63" t="str">
        <f t="shared" ref="W21:W25" si="64"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 xml:space="preserve">				.WhereIf(!string.IsNullOrWhiteSpace(input.ActualResult), e =&gt; e.ActualResult.Contains(input.ActualResult))</v>
      </c>
    </row>
    <row r="22" spans="1:23" customFormat="1" ht="18.75" customHeight="1" x14ac:dyDescent="0.25">
      <c r="A22" s="28" t="s">
        <v>381</v>
      </c>
      <c r="B22" s="28" t="s">
        <v>362</v>
      </c>
      <c r="C22" t="s">
        <v>1</v>
      </c>
      <c r="D22" t="str">
        <f t="shared" si="52"/>
        <v>LastValidationDatetime</v>
      </c>
      <c r="E22" t="str">
        <f t="shared" si="53"/>
        <v>nvarchar</v>
      </c>
      <c r="F22" s="6"/>
      <c r="G22" t="str">
        <f t="shared" si="54"/>
        <v>50</v>
      </c>
      <c r="H22" t="str">
        <f>+VLOOKUP(E22,'Data Type Mapping'!A:B,2,)</f>
        <v>string</v>
      </c>
      <c r="I22" t="str">
        <f t="shared" si="55"/>
        <v xml:space="preserve">		public const int MaxLastValidationDatetimeLength = 50;
</v>
      </c>
      <c r="J22" t="str">
        <f t="shared" si="56"/>
        <v xml:space="preserve">		[StringLength(MaxLastValidationDatetimeLength)]
		public virtual string LastValidationDatetime { get; set; }
</v>
      </c>
      <c r="K22" s="6"/>
      <c r="L22" t="str">
        <f t="shared" si="57"/>
        <v/>
      </c>
      <c r="M22" t="str">
        <f t="shared" si="58"/>
        <v xml:space="preserve">		public virtual string LastValidationDatetime { get; set; }
</v>
      </c>
      <c r="N22" t="str">
        <f t="shared" si="59"/>
        <v xml:space="preserve">		[StringLength(MstCmmMMValidationResultConsts.MaxLastValidationDatetimeLength)]
		public virtual string LastValidationDatetime { get; set; }
</v>
      </c>
      <c r="O22" t="str">
        <f t="shared" si="60"/>
        <v xml:space="preserve">		public virtual string LastValidationDatetime { get; set; }
</v>
      </c>
      <c r="P22" t="str">
        <f t="shared" si="61"/>
        <v xml:space="preserve">							LastValidationDatetime = o.LastValidationDatetime,</v>
      </c>
      <c r="T22" s="63" t="str">
        <f t="shared" si="62"/>
        <v xml:space="preserve">								("LastValidationDatetime"),</v>
      </c>
      <c r="V22" s="64" t="str">
        <f t="shared" si="63"/>
        <v xml:space="preserve">								_ =&gt; _.LastValidationDatetime,</v>
      </c>
      <c r="W22" s="63" t="str">
        <f t="shared" si="64"/>
        <v xml:space="preserve">				.WhereIf(!string.IsNullOrWhiteSpace(input.LastValidationDatetime), e =&gt; e.LastValidationDatetime.Contains(input.LastValidationDatetime))</v>
      </c>
    </row>
    <row r="23" spans="1:23" customFormat="1" ht="18.75" customHeight="1" x14ac:dyDescent="0.25">
      <c r="A23" s="28" t="s">
        <v>376</v>
      </c>
      <c r="B23" s="28" t="s">
        <v>362</v>
      </c>
      <c r="C23" t="s">
        <v>1</v>
      </c>
      <c r="D23" t="str">
        <f t="shared" si="52"/>
        <v>Lastvalidationby</v>
      </c>
      <c r="E23" t="str">
        <f t="shared" si="53"/>
        <v>nvarchar</v>
      </c>
      <c r="F23" s="6"/>
      <c r="G23" t="str">
        <f t="shared" si="54"/>
        <v>50</v>
      </c>
      <c r="H23" t="str">
        <f>+VLOOKUP(E23,'Data Type Mapping'!A:B,2,)</f>
        <v>string</v>
      </c>
      <c r="I23" t="str">
        <f t="shared" si="55"/>
        <v xml:space="preserve">		public const int MaxLastvalidationbyLength = 50;
</v>
      </c>
      <c r="J23" t="str">
        <f t="shared" si="56"/>
        <v xml:space="preserve">		[StringLength(MaxLastvalidationbyLength)]
		public virtual string Lastvalidationby { get; set; }
</v>
      </c>
      <c r="K23" s="6"/>
      <c r="L23" t="str">
        <f t="shared" si="57"/>
        <v/>
      </c>
      <c r="M23" t="str">
        <f t="shared" si="58"/>
        <v xml:space="preserve">		public virtual string Lastvalidationby { get; set; }
</v>
      </c>
      <c r="N23" t="str">
        <f t="shared" si="59"/>
        <v xml:space="preserve">		[StringLength(MstCmmMMValidationResultConsts.MaxLastvalidationbyLength)]
		public virtual string Lastvalidationby { get; set; }
</v>
      </c>
      <c r="O23" t="str">
        <f t="shared" si="60"/>
        <v xml:space="preserve">		public virtual string Lastvalidationby { get; set; }
</v>
      </c>
      <c r="P23" t="str">
        <f t="shared" si="61"/>
        <v xml:space="preserve">							Lastvalidationby = o.Lastvalidationby,</v>
      </c>
      <c r="T23" s="63" t="str">
        <f t="shared" si="62"/>
        <v xml:space="preserve">								("Lastvalidationby"),</v>
      </c>
      <c r="V23" s="64" t="str">
        <f t="shared" si="63"/>
        <v xml:space="preserve">								_ =&gt; _.Lastvalidationby,</v>
      </c>
      <c r="W23" s="63" t="str">
        <f t="shared" si="64"/>
        <v xml:space="preserve">				.WhereIf(!string.IsNullOrWhiteSpace(input.Lastvalidationby), e =&gt; e.Lastvalidationby.Contains(input.Lastvalidationby))</v>
      </c>
    </row>
    <row r="24" spans="1:23" customFormat="1" ht="18.75" customHeight="1" x14ac:dyDescent="0.25">
      <c r="A24" s="28" t="s">
        <v>382</v>
      </c>
      <c r="B24" s="28" t="s">
        <v>0</v>
      </c>
      <c r="C24" t="s">
        <v>1</v>
      </c>
      <c r="D24" t="str">
        <f t="shared" si="52"/>
        <v>LastValidationId</v>
      </c>
      <c r="E24" t="str">
        <f t="shared" si="53"/>
        <v>bigint</v>
      </c>
      <c r="F24" s="6"/>
      <c r="G24" t="str">
        <f t="shared" si="54"/>
        <v/>
      </c>
      <c r="H24" t="str">
        <f>+VLOOKUP(E24,'Data Type Mapping'!A:B,2,)</f>
        <v>long?</v>
      </c>
      <c r="I24" t="str">
        <f t="shared" si="55"/>
        <v/>
      </c>
      <c r="J24" t="str">
        <f t="shared" si="56"/>
        <v xml:space="preserve">		public virtual long? LastValidationId { get; set; }
</v>
      </c>
      <c r="K24" s="6"/>
      <c r="L24" t="str">
        <f t="shared" si="57"/>
        <v/>
      </c>
      <c r="M24" t="str">
        <f t="shared" si="58"/>
        <v xml:space="preserve">		public virtual long? LastValidationId { get; set; }
</v>
      </c>
      <c r="N24" t="str">
        <f t="shared" si="59"/>
        <v xml:space="preserve">		public virtual long? LastValidationId { get; set; }
</v>
      </c>
      <c r="O24" t="str">
        <f t="shared" si="60"/>
        <v/>
      </c>
      <c r="P24" t="str">
        <f t="shared" si="61"/>
        <v xml:space="preserve">							LastValidationId = o.LastValidationId,</v>
      </c>
      <c r="T24" s="63" t="str">
        <f t="shared" si="62"/>
        <v xml:space="preserve">								("LastValidationId"),</v>
      </c>
      <c r="V24" s="64" t="str">
        <f t="shared" si="63"/>
        <v xml:space="preserve">								_ =&gt; _.LastValidationId,</v>
      </c>
      <c r="W24" s="63" t="str">
        <f t="shared" si="64"/>
        <v/>
      </c>
    </row>
    <row r="25" spans="1:23" customFormat="1" ht="18.75" customHeight="1" x14ac:dyDescent="0.25">
      <c r="A25" s="28" t="s">
        <v>377</v>
      </c>
      <c r="B25" s="28" t="s">
        <v>362</v>
      </c>
      <c r="C25" t="s">
        <v>1</v>
      </c>
      <c r="D25" t="str">
        <f t="shared" si="52"/>
        <v>Status</v>
      </c>
      <c r="E25" t="str">
        <f t="shared" si="53"/>
        <v>nvarchar</v>
      </c>
      <c r="F25" s="6"/>
      <c r="G25" t="str">
        <f t="shared" si="54"/>
        <v>50</v>
      </c>
      <c r="H25" t="str">
        <f>+VLOOKUP(E25,'Data Type Mapping'!A:B,2,)</f>
        <v>string</v>
      </c>
      <c r="I25" t="str">
        <f t="shared" si="55"/>
        <v xml:space="preserve">		public const int MaxStatusLength = 50;
</v>
      </c>
      <c r="J25" t="str">
        <f t="shared" si="56"/>
        <v xml:space="preserve">		[StringLength(MaxStatusLength)]
		public virtual string Status { get; set; }
</v>
      </c>
      <c r="K25" s="6"/>
      <c r="L25" t="str">
        <f t="shared" si="57"/>
        <v/>
      </c>
      <c r="M25" t="str">
        <f t="shared" si="58"/>
        <v xml:space="preserve">		public virtual string Status { get; set; }
</v>
      </c>
      <c r="N25" t="str">
        <f t="shared" si="59"/>
        <v xml:space="preserve">		[StringLength(MstCmmMMValidationResultConsts.MaxStatusLength)]
		public virtual string Status { get; set; }
</v>
      </c>
      <c r="O25" t="str">
        <f t="shared" si="60"/>
        <v xml:space="preserve">		public virtual string Status { get; set; }
</v>
      </c>
      <c r="P25" t="str">
        <f t="shared" si="61"/>
        <v xml:space="preserve">							Status = o.Status,</v>
      </c>
      <c r="T25" s="63" t="str">
        <f t="shared" si="62"/>
        <v xml:space="preserve">								("Status"),</v>
      </c>
      <c r="V25" s="64" t="str">
        <f t="shared" si="63"/>
        <v xml:space="preserve">								_ =&gt; _.Status,</v>
      </c>
      <c r="W25" s="63" t="str">
        <f t="shared" si="64"/>
        <v xml:space="preserve">				.WhereIf(!string.IsNullOrWhiteSpace(input.Status), e =&gt; e.Status.Contains(input.Status))</v>
      </c>
    </row>
    <row r="26" spans="1:23" customFormat="1" ht="18.75" customHeight="1" x14ac:dyDescent="0.25">
      <c r="A26" s="28" t="s">
        <v>383</v>
      </c>
      <c r="B26" s="28" t="s">
        <v>363</v>
      </c>
      <c r="C26" t="s">
        <v>1</v>
      </c>
      <c r="D26" t="str">
        <f t="shared" ref="D26" si="65">SUBSTITUTE(PROPER(A26),"_","")</f>
        <v>ErrorMessage</v>
      </c>
      <c r="E26" t="str">
        <f t="shared" ref="E26" si="66">IFERROR(LEFT(B26, FIND("(",B26)-1),B26)</f>
        <v>nvarchar</v>
      </c>
      <c r="F26" s="6"/>
      <c r="G26" t="str">
        <f t="shared" ref="G26" si="67">IFERROR(MID(B26,FIND("(",B26) +1, FIND(")",B26) - FIND("(",B26) - 1),"")</f>
        <v>5000</v>
      </c>
      <c r="H26" t="str">
        <f>+VLOOKUP(E26,'Data Type Mapping'!A:B,2,)</f>
        <v>string</v>
      </c>
      <c r="I26" t="str">
        <f t="shared" ref="I26" si="68">IF(H26="string",REPT(CHAR(9),2)&amp;"public const int Max"&amp;D26&amp;"Length = "&amp;G26&amp;";"&amp;$E$3,"" )</f>
        <v xml:space="preserve">		public const int MaxErrorMessageLength = 5000;
</v>
      </c>
      <c r="J26" t="str">
        <f t="shared" ref="J26" si="69">IF(F26="","",REPT(CHAR(9),2)&amp;"[Column(TypeName="""&amp;F26&amp;""")]"&amp;$E$3)&amp;IF(C26="Checked","",$I$3)&amp;IF(H26="string",REPT(CHAR(9),2)&amp;"[StringLength(Max"&amp;D26&amp;"Length"&amp;")]"&amp;$E$3,"")&amp;REPT(CHAR(9),2)&amp;"public virtual "&amp;H26&amp;IF(C26="?","? "," ")&amp;D26&amp;" { get; set; }" &amp; "
"</f>
        <v xml:space="preserve">		[StringLength(MaxErrorMessageLength)]
		public virtual string ErrorMessage { get; set; }
</v>
      </c>
      <c r="K26" s="6"/>
      <c r="L26" t="str">
        <f t="shared" ref="L26" si="70">IF(K26="","",REPT(CHAR(9),1)&amp;"[Index(nameof("&amp;IF(D26="","",""&amp;D26)&amp;")"&amp;", Name="&amp;"""IX_"&amp;$B$7&amp;"_"&amp;D26&amp;""")]")</f>
        <v/>
      </c>
      <c r="M26" t="str">
        <f t="shared" ref="M26" si="71">REPT(CHAR(9),2)&amp;"public virtual "&amp;IF(OR(H26="DateTime",H26="TimeSpan"),H26&amp;"?",H26)&amp;IF(C26="?","? "," ")&amp;D26&amp;" { get; set; }" &amp; "
"</f>
        <v xml:space="preserve">		public virtual string ErrorMessage { get; set; }
</v>
      </c>
      <c r="N26" t="str">
        <f t="shared" ref="N26" si="72">IF(C26="Checked","",$I$3)&amp;IF(H26="string",REPT(CHAR(9),2)&amp;"[StringLength("&amp;$B$3&amp;"Consts.Max"&amp;D26&amp;"Length"&amp;")]"&amp;$E$3,"")&amp;REPT(CHAR(9),2)&amp;"public virtual "&amp;IF(OR(H26="DateTime",H26="TimeSpan"),H26&amp;"?",H26)&amp;IF(C26="?","? "," ")&amp;D26&amp;" { get; set; }" &amp; "
"</f>
        <v xml:space="preserve">		[StringLength(MstCmmMMValidationResultConsts.MaxErrorMessageLength)]
		public virtual string ErrorMessage { get; set; }
</v>
      </c>
      <c r="O26" t="str">
        <f t="shared" ref="O26" si="73">IF(OR(H26="string",H26="DateTime",H26="int"),REPT(CHAR(9),2)&amp;"public virtual "&amp;IF(OR(H26="DateTime",H26="TimeSpan"),H26&amp;"?",H26)&amp;IF(C26="?","? "," ")&amp;D26&amp;" { get; set; }"&amp;$E$3,"")</f>
        <v xml:space="preserve">		public virtual string ErrorMessage { get; set; }
</v>
      </c>
      <c r="P26" t="str">
        <f t="shared" ref="P26" si="74">REPT(CHAR(9),7)&amp;D26&amp;" = o." &amp;D26 &amp;","</f>
        <v xml:space="preserve">							ErrorMessage = o.ErrorMessage,</v>
      </c>
      <c r="T26" s="63" t="str">
        <f t="shared" ref="T26" si="75">REPT(CHAR(9),8)&amp;"("""&amp;D26&amp;"""),"</f>
        <v xml:space="preserve">								("ErrorMessage"),</v>
      </c>
      <c r="V26" s="64" t="str">
        <f t="shared" ref="V26" si="76">REPT(CHAR(9),8)&amp;"_ =&gt; _."&amp;D26&amp;","</f>
        <v xml:space="preserve">								_ =&gt; _.ErrorMessage,</v>
      </c>
      <c r="W26" s="63" t="str">
        <f t="shared" ref="W26" si="77">IF(H26="string",REPT(CHAR(9),4)&amp;".WhereIf(!string.IsNullOrWhiteSpace(input."&amp;D26&amp;"), e =&gt; e."&amp;D26&amp;".Contains(input."&amp;D26&amp;"))",IF(H26="DateTime",REPT(CHAR(9),4)&amp;".WhereIf(input."&amp;D26&amp;".HasValue, t =&gt; t."&amp;D26&amp;" == input."&amp;D26&amp;".Value)",""))</f>
        <v xml:space="preserve">				.WhereIf(!string.IsNullOrWhiteSpace(input.ErrorMessage), e =&gt; e.ErrorMessage.Contains(input.ErrorMessage))</v>
      </c>
    </row>
    <row r="27" spans="1:23" customFormat="1" ht="18.75" customHeight="1" x14ac:dyDescent="0.25">
      <c r="A27" s="28" t="s">
        <v>378</v>
      </c>
      <c r="B27" s="28" t="s">
        <v>352</v>
      </c>
      <c r="C27" t="s">
        <v>1</v>
      </c>
      <c r="D27" t="str">
        <f t="shared" ref="D27" si="78">SUBSTITUTE(PROPER(A27),"_","")</f>
        <v>Isactive</v>
      </c>
      <c r="E27" t="str">
        <f t="shared" ref="E27" si="79">IFERROR(LEFT(B27, FIND("(",B27)-1),B27)</f>
        <v>varchar</v>
      </c>
      <c r="F27" s="6"/>
      <c r="G27" t="str">
        <f t="shared" ref="G27" si="80">IFERROR(MID(B27,FIND("(",B27) +1, FIND(")",B27) - FIND("(",B27) - 1),"")</f>
        <v>1</v>
      </c>
      <c r="H27" t="str">
        <f>+VLOOKUP(E27,'Data Type Mapping'!A:B,2,)</f>
        <v>string</v>
      </c>
      <c r="I27" t="str">
        <f t="shared" ref="I27" si="81">IF(H27="string",REPT(CHAR(9),2)&amp;"public const int Max"&amp;D27&amp;"Length = "&amp;G27&amp;";"&amp;$E$3,"" )</f>
        <v xml:space="preserve">		public const int MaxIsactiveLength = 1;
</v>
      </c>
      <c r="J27" t="str">
        <f t="shared" ref="J27" si="82">IF(F27="","",REPT(CHAR(9),2)&amp;"[Column(TypeName="""&amp;F27&amp;""")]"&amp;$E$3)&amp;IF(C27="Checked","",$I$3)&amp;IF(H27="string",REPT(CHAR(9),2)&amp;"[StringLength(Max"&amp;D27&amp;"Length"&amp;")]"&amp;$E$3,"")&amp;REPT(CHAR(9),2)&amp;"public virtual "&amp;H27&amp;IF(C27="?","? "," ")&amp;D27&amp;" { get; set; }" &amp; "
"</f>
        <v xml:space="preserve">		[StringLength(MaxIsactiveLength)]
		public virtual string Isactive { get; set; }
</v>
      </c>
      <c r="K27" s="6"/>
      <c r="L27" t="str">
        <f t="shared" ref="L27" si="83">IF(K27="","",REPT(CHAR(9),1)&amp;"[Index(nameof("&amp;IF(D27="","",""&amp;D27)&amp;")"&amp;", Name="&amp;"""IX_"&amp;$B$7&amp;"_"&amp;D27&amp;""")]")</f>
        <v/>
      </c>
      <c r="M27" t="str">
        <f t="shared" ref="M27" si="84">REPT(CHAR(9),2)&amp;"public virtual "&amp;IF(OR(H27="DateTime",H27="TimeSpan"),H27&amp;"?",H27)&amp;IF(C27="?","? "," ")&amp;D27&amp;" { get; set; }" &amp; "
"</f>
        <v xml:space="preserve">		public virtual string Isactive { get; set; }
</v>
      </c>
      <c r="N27" t="str">
        <f t="shared" ref="N27" si="85">IF(C27="Checked","",$I$3)&amp;IF(H27="string",REPT(CHAR(9),2)&amp;"[StringLength("&amp;$B$3&amp;"Consts.Max"&amp;D27&amp;"Length"&amp;")]"&amp;$E$3,"")&amp;REPT(CHAR(9),2)&amp;"public virtual "&amp;IF(OR(H27="DateTime",H27="TimeSpan"),H27&amp;"?",H27)&amp;IF(C27="?","? "," ")&amp;D27&amp;" { get; set; }" &amp; "
"</f>
        <v xml:space="preserve">		[StringLength(MstCmmMMValidationResultConsts.MaxIsactiveLength)]
		public virtual string Isactive { get; set; }
</v>
      </c>
      <c r="O27" t="str">
        <f t="shared" ref="O27" si="86">IF(OR(H27="string",H27="DateTime",H27="int"),REPT(CHAR(9),2)&amp;"public virtual "&amp;IF(OR(H27="DateTime",H27="TimeSpan"),H27&amp;"?",H27)&amp;IF(C27="?","? "," ")&amp;D27&amp;" { get; set; }"&amp;$E$3,"")</f>
        <v xml:space="preserve">		public virtual string Isactive { get; set; }
</v>
      </c>
      <c r="P27" t="str">
        <f t="shared" ref="P27" si="87">REPT(CHAR(9),7)&amp;D27&amp;" = o." &amp;D27 &amp;","</f>
        <v xml:space="preserve">							Isactive = o.Isactive,</v>
      </c>
      <c r="T27" s="63" t="str">
        <f t="shared" ref="T27" si="88">REPT(CHAR(9),8)&amp;"("""&amp;D27&amp;"""),"</f>
        <v xml:space="preserve">								("Isactive"),</v>
      </c>
      <c r="V27" s="64" t="str">
        <f t="shared" ref="V27" si="89">REPT(CHAR(9),8)&amp;"_ =&gt; _."&amp;D27&amp;","</f>
        <v xml:space="preserve">								_ =&gt; _.Isactive,</v>
      </c>
      <c r="W27" s="63" t="str">
        <f t="shared" ref="W27" si="90">IF(H27="string",REPT(CHAR(9),4)&amp;".WhereIf(!string.IsNullOrWhiteSpace(input."&amp;D27&amp;"), e =&gt; e."&amp;D27&amp;".Contains(input."&amp;D27&amp;"))",IF(H27="DateTime",REPT(CHAR(9),4)&amp;".WhereIf(input."&amp;D27&amp;".HasValue, t =&gt; t."&amp;D27&amp;" == input."&amp;D27&amp;".Value)",""))</f>
        <v xml:space="preserve">				.WhereIf(!string.IsNullOrWhiteSpace(input.Isactive), e =&gt; e.Isactive.Contains(input.Isactive))</v>
      </c>
    </row>
    <row r="29" spans="1:23" ht="45.75" customHeight="1" x14ac:dyDescent="0.25">
      <c r="H29" s="11"/>
      <c r="I29" s="31" t="str">
        <f ca="1">TEXTJOIN2("
", TRUE,INDIRECT( $H$1):INDIRECT( $H$3))</f>
        <v xml:space="preserve">		public const int MaxMaterialCodeLength = 5000;
		public const int MaxMaterialNameLength = 50;
		public const int MaxMaterialGroupLength = 50;
		public const int MaxValuationClassLength = 50;
		public const int MaxRuleCodeLength = 50;
		public const int MaxRuleDescriptionLength = 50;
		public const int MaxRuleItemLength = 50;
		public const int MaxOptionLength = 50;
		public const int MaxResultFieldLength = 50;
		public const int MaxExpectedResultLength = 50;
		public const int MaxActualResultLength = 50;
		public const int MaxLastValidationDatetimeLength = 50;
		public const int MaxLastvalidationbyLength = 50;
		public const int MaxStatusLength = 50;
		public const int MaxErrorMessageLength = 5000;
		public const int MaxIsactiveLength = 1;
</v>
      </c>
      <c r="J29" s="30" t="str">
        <f ca="1">TEXTJOIN2("
", TRUE,INDIRECT( $F$1):INDIRECT( $F$3))</f>
        <v xml:space="preserve">		public virtual long? MateriaId { get; set; }
		[StringLength(MaxMaterialCodeLength)]
		public virtual string MaterialCode { get; set; }
		[StringLength(MaxMaterialNameLength)]
		public virtual string MaterialName { get; set; }
		[StringLength(MaxMaterialGroupLength)]
		public virtual string MaterialGroup { get; set; }
		[StringLength(MaxValuationClassLength)]
		public virtual string ValuationClass { get; set; }
		public virtual long? RuleId { get; set; }
		[StringLength(MaxRuleCodeLength)]
		public virtual string RuleCode { get; set; }
		[StringLength(MaxRuleDescriptionLength)]
		public virtual string RuleDescription { get; set; }
		[StringLength(MaxRuleItemLength)]
		public virtual string RuleItem { get; set; }
		[StringLength(MaxOptionLength)]
		public virtual string Option { get; set; }
		[StringLength(MaxResultFieldLength)]
		public virtual string ResultField { get; set; }
		[StringLength(MaxExpectedResultLength)]
		public virtual string ExpectedResult { get; set; }
		[StringLength(MaxActualResultLength)]
		public virtual string ActualResult { get; set; }
		[StringLength(MaxLastValidationDatetimeLength)]
		public virtual string LastValidationDatetime { get; set; }
		[StringLength(MaxLastvalidationbyLength)]
		public virtual string Lastvalidationby { get; set; }
		public virtual long? LastValidationId { get; set; }
		[StringLength(MaxStatusLength)]
		public virtual string Status { get; set; }
		[StringLength(MaxErrorMessageLength)]
		public virtual string ErrorMessage { get; set; }
		[StringLength(MaxIsactiveLength)]
		public virtual string Isactive { get; set; }
</v>
      </c>
      <c r="K29" s="32" t="str">
        <f ca="1">TEXTJOIN2("
", TRUE,INDIRECT( $J$1):INDIRECT( $J$3))</f>
        <v/>
      </c>
      <c r="L29" s="12" t="s">
        <v>56</v>
      </c>
      <c r="M29" s="33" t="str">
        <f ca="1">TEXTJOIN2("
",TRUE,INDIRECT( $L$1):INDIRECT($L$3))</f>
        <v xml:space="preserve">		public virtual long? MateriaId { get; set; }
		public virtual string MaterialCode { get; set; }
		public virtual string MaterialName { get; set; }
		public virtual string MaterialGroup { get; set; }
		public virtual string ValuationClass { get; set; }
		public virtual long? RuleId { get; set; }
		public virtual string RuleCode { get; set; }
		public virtual string RuleDescription { get; set; }
		public virtual string RuleItem { get; set; }
		public virtual string Option { get; set; }
		public virtual string ResultField { get; set; }
		public virtual string ExpectedResult { get; set; }
		public virtual string ActualResult { get; set; }
		public virtual string LastValidationDatetime { get; set; }
		public virtual string Lastvalidationby { get; set; }
		public virtual long? LastValidationId { get; set; }
		public virtual string Status { get; set; }
		public virtual string ErrorMessage { get; set; }
		public virtual string Isactive { get; set; }
</v>
      </c>
      <c r="N29" s="30" t="str">
        <f ca="1">TEXTJOIN2("
",TRUE,INDIRECT( $M$1):INDIRECT($M$3))</f>
        <v xml:space="preserve">		public virtual long? MateriaId { get; set; }
		[StringLength(MstCmmMMValidationResultConsts.MaxMaterialCodeLength)]
		public virtual string MaterialCode { get; set; }
		[StringLength(MstCmmMMValidationResultConsts.MaxMaterialNameLength)]
		public virtual string MaterialName { get; set; }
		[StringLength(MstCmmMMValidationResultConsts.MaxMaterialGroupLength)]
		public virtual string MaterialGroup { get; set; }
		[StringLength(MstCmmMMValidationResultConsts.MaxValuationClassLength)]
		public virtual string ValuationClass { get; set; }
		public virtual long? RuleId { get; set; }
		[StringLength(MstCmmMMValidationResultConsts.MaxRuleCodeLength)]
		public virtual string RuleCode { get; set; }
		[StringLength(MstCmmMMValidationResultConsts.MaxRuleDescriptionLength)]
		public virtual string RuleDescription { get; set; }
		[StringLength(MstCmmMMValidationResultConsts.MaxRuleItemLength)]
		public virtual string RuleItem { get; set; }
		[StringLength(MstCmmMMValidationResultConsts.MaxOptionLength)]
		public virtual string Option { get; set; }
		[StringLength(MstCmmMMValidationResultConsts.MaxResultFieldLength)]
		public virtual string ResultField { get; set; }
		[StringLength(MstCmmMMValidationResultConsts.MaxExpectedResultLength)]
		public virtual string ExpectedResult { get; set; }
		[StringLength(MstCmmMMValidationResultConsts.MaxActualResultLength)]
		public virtual string ActualResult { get; set; }
		[StringLength(MstCmmMMValidationResultConsts.MaxLastValidationDatetimeLength)]
		public virtual string LastValidationDatetime { get; set; }
		[StringLength(MstCmmMMValidationResultConsts.MaxLastvalidationbyLength)]
		public virtual string Lastvalidationby { get; set; }
		public virtual long? LastValidationId { get; set; }
		[StringLength(MstCmmMMValidationResultConsts.MaxStatusLength)]
		public virtual string Status { get; set; }
		[StringLength(MstCmmMMValidationResultConsts.MaxErrorMessageLength)]
		public virtual string ErrorMessage { get; set; }
		[StringLength(MstCmmMMValidationResultConsts.MaxIsactiveLength)]
		public virtual string Isactive { get; set; }
</v>
      </c>
      <c r="O29" s="30" t="str">
        <f ca="1">TEXTJOIN2("
",TRUE,INDIRECT( $N$1):INDIRECT($N$3))</f>
        <v xml:space="preserve">		public virtual string MaterialCode { get; set; }
		public virtual string MaterialName { get; set; }
		public virtual string MaterialGroup { get; set; }
		public virtual string ValuationClass { get; set; }
		public virtual string RuleCode { get; set; }
		public virtual string RuleDescription { get; set; }
		public virtual string RuleItem { get; set; }
		public virtual string Option { get; set; }
		public virtual string ResultField { get; set; }
		public virtual string ExpectedResult { get; set; }
		public virtual string ActualResult { get; set; }
		public virtual string LastValidationDatetime { get; set; }
		public virtual string Lastvalidationby { get; set; }
		public virtual string Status { get; set; }
		public virtual string ErrorMessage { get; set; }
		public virtual string Isactive { get; set; }
</v>
      </c>
      <c r="P29" s="8" t="str">
        <f ca="1">TEXTJOIN2("
",TRUE,INDIRECT( $O$1):INDIRECT($O$3))</f>
        <v xml:space="preserve">							MateriaId = o.MateriaId,
							MaterialCode = o.MaterialCode,
							MaterialName = o.MaterialName,
							MaterialGroup = o.MaterialGroup,
							ValuationClass = o.ValuationClass,
							RuleId = o.RuleId,
							RuleCode = o.RuleCode,
							RuleDescription = o.RuleDescription,
							RuleItem = o.RuleItem,
							Option = o.Option,
							ResultField = o.ResultField,
							ExpectedResult = o.ExpectedResult,
							ActualResult = o.ActualResult,
							LastValidationDatetime = o.LastValidationDatetime,
							Lastvalidationby = o.Lastvalidationby,
							LastValidationId = o.LastValidationId,
							Status = o.Status,
							ErrorMessage = o.ErrorMessage,
							Isactive = o.Isactive,</v>
      </c>
      <c r="T29" s="8" t="str">
        <f ca="1">TEXTJOIN2("
",TRUE,INDIRECT( $T$2):INDIRECT($T$3))</f>
        <v xml:space="preserve">								("MateriaId"),
								("MaterialCode"),
								("MaterialName"),
								("MaterialGroup"),
								("ValuationClass"),
								("RuleId"),
								("RuleCode"),
								("RuleDescription"),
								("RuleItem"),
								("Option"),
								("ResultField"),
								("ExpectedResult"),
								("ActualResult"),
								("LastValidationDatetime"),
								("Lastvalidationby"),
								("LastValidationId"),
								("Status"),
								("ErrorMessage"),
								("Isactive"),</v>
      </c>
      <c r="V29" s="8" t="str">
        <f ca="1">TEXTJOIN2("
",TRUE,INDIRECT( $V$2):INDIRECT($V$3))</f>
        <v xml:space="preserve">								_ =&gt; _.MateriaId,
								_ =&gt; _.MaterialCode,
								_ =&gt; _.MaterialName,
								_ =&gt; _.MaterialGroup,
								_ =&gt; _.ValuationClass,
								_ =&gt; _.RuleId,
								_ =&gt; _.RuleCode,
								_ =&gt; _.RuleDescription,
								_ =&gt; _.RuleItem,
								_ =&gt; _.Option,
								_ =&gt; _.ResultField,
								_ =&gt; _.ExpectedResult,
								_ =&gt; _.ActualResult,
								_ =&gt; _.LastValidationDatetime,
								_ =&gt; _.Lastvalidationby,
								_ =&gt; _.LastValidationId,
								_ =&gt; _.Status,
								_ =&gt; _.ErrorMessage,
								_ =&gt; _.Isactive,</v>
      </c>
      <c r="W29" s="8" t="str">
        <f ca="1">TEXTJOIN2("
",TRUE,INDIRECT( $W$2):INDIRECT($W$3))</f>
        <v xml:space="preserve">				.WhereIf(!string.IsNullOrWhiteSpace(input.MaterialCode), e =&gt; e.MaterialCode.Contains(input.MaterialCode))
				.WhereIf(!string.IsNullOrWhiteSpace(input.MaterialName), e =&gt; e.MaterialName.Contains(input.MaterialName))
				.WhereIf(!string.IsNullOrWhiteSpace(input.MaterialGroup), e =&gt; e.MaterialGroup.Contains(input.MaterialGroup))
				.WhereIf(!string.IsNullOrWhiteSpace(input.ValuationClass), e =&gt; e.ValuationClass.Contains(input.ValuationClass))
				.WhereIf(!string.IsNullOrWhiteSpace(input.RuleCode), e =&gt; e.RuleCode.Contains(input.RuleCode))
				.WhereIf(!string.IsNullOrWhiteSpace(input.RuleDescription), e =&gt; e.RuleDescription.Contains(input.RuleDescription))
				.WhereIf(!string.IsNullOrWhiteSpace(input.RuleItem), e =&gt; e.RuleItem.Contains(input.RuleItem))
				.WhereIf(!string.IsNullOrWhiteSpace(input.Option), e =&gt; e.Option.Contains(input.Option))
				.WhereIf(!string.IsNullOrWhiteSpace(input.ResultField), e =&gt; e.ResultField.Contains(input.ResultField))
				.WhereIf(!string.IsNullOrWhiteSpace(input.ExpectedResult), e =&gt; e.ExpectedResult.Contains(input.ExpectedResult))
				.WhereIf(!string.IsNullOrWhiteSpace(input.ActualResult), e =&gt; e.ActualResult.Contains(input.ActualResult))
				.WhereIf(!string.IsNullOrWhiteSpace(input.LastValidationDatetime), e =&gt; e.LastValidationDatetime.Contains(input.LastValidationDatetime))
				.WhereIf(!string.IsNullOrWhiteSpace(input.Lastvalidationby), e =&gt; e.Lastvalidationby.Contains(input.Lastvalidationby))
				.WhereIf(!string.IsNullOrWhiteSpace(input.Status), e =&gt; e.Status.Contains(input.Status))
				.WhereIf(!string.IsNullOrWhiteSpace(input.ErrorMessage), e =&gt; e.ErrorMessage.Contains(input.ErrorMessage))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5"/>
  <sheetViews>
    <sheetView topLeftCell="A10" workbookViewId="0">
      <selection activeCell="C37" sqref="C37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350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Cmm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cmm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MstCmmMMValidationResult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CmmMMValidationResult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cmmmmvalidationresult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MstCmmMMValidationResultDto, MstCmmMMValidationResultServiceProxy } from '@shared/service-proxies/service-proxies';
import { finalize } from 'rxjs/internal/operators/finalize';
import { CreateOrEditCmmMMValidationResultModalComponent } from './create-or-edit-cmmmmvalidationresult-modal.component';
import { DatePipe } from '@angular/common';
import { FileDownloadService } from '@shared/utils/file-download.service';
import ceil from 'lodash-es/ceil';
import { Paginator } from 'primeng/paginator';
@Component({
    templateUrl: './cmmmmvalidationresult.component.html',
    styleUrls: ['./cmmmmvalidationresult.component.less'],
})
export class CmmMMValidationResultComponent extends AppComponentBase implements OnInit {
    @ViewChild('createOrEditModalCmmMMValidationResult', { static: true }) createOrEditModalCmmMMValidationResult:| CreateOrEditCmmMMValidationResultModalComponent|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MstCmmMMValidationResultDto = new MstCmmMMValidationResultDto();
    saveSelectedRow: MstCmmMMValidationResultDto = new MstCmmMMValidationResultDto();
    datas: MstCmmMMValidationResultDto = new MstCmmMMValidationResultDto();
    isLoading: boolean = false;
    dataParams: GridParams | undefined;
    rowData: any[] = [];
    gridApi!: GridApi;
    rowSelection = 'multiple';
    filter: string = '';
	pipe = new DatePipe('en-US');
	frameworkComponents: FrameworkComponent;
    	materialCode : string = '' ; 
	materialName : string = '' ; 
	materialGroup : string = '' ; 
	valuationClass : string = '' ; 
	ruleCode : string = '' ; 
	ruleDescription : string = '' ; 
	ruleItem : string = '' ; 
	option : string = '' ; 
	resultField : string = '' ; 
	expectedResult : string = '' ; 
	actualResult : string = '' ; 
	lastValidationDatetime : string = '' ; 
	lastvalidationby : string = '' ; 
	status : string = '' ; 
	errorMessage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MstCmmMMValidationResultServiceProxy,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this.l('Materia Id'),headerTooltip: this.l('Materia Id'),field: 'materiaId',flex: 1},
			{headerName: this.l('Material Code'),headerTooltip: this.l('Material Code'),field: 'materialCode',flex: 1},
			{headerName: this.l('Material Name'),headerTooltip: this.l('Material Name'),field: 'materialName',flex: 1},
			{headerName: this.l('Material Group'),headerTooltip: this.l('Material Group'),field: 'materialGroup',flex: 1},
			{headerName: this.l('Valuation Class'),headerTooltip: this.l('Valuation Class'),field: 'valuationClass',flex: 1},
			{headerName: this.l('Rule Id'),headerTooltip: this.l('Rule Id'),field: 'ruleId',flex: 1},
			{headerName: this.l('Rule Code'),headerTooltip: this.l('Rule Code'),field: 'ruleCode',flex: 1},
			{headerName: this.l('Rule Description'),headerTooltip: this.l('Rule Description'),field: 'ruleDescription',flex: 1},
			{headerName: this.l('Rule Item'),headerTooltip: this.l('Rule Item'),field: 'ruleItem',flex: 1},
			{headerName: this.l('Option'),headerTooltip: this.l('Option'),field: 'option',flex: 1},
			{headerName: this.l('Result Field'),headerTooltip: this.l('Result Field'),field: 'resultField',flex: 1},
			{headerName: this.l('Expected Result'),headerTooltip: this.l('Expected Result'),field: 'expectedResult',flex: 1},
			{headerName: this.l('Actual Result'),headerTooltip: this.l('Actual Result'),field: 'actualResult',flex: 1},
			{headerName: this.l('Last Validation Datetime'),headerTooltip: this.l('Last Validation Datetime'),field: 'lastValidationDatetime',flex: 1},
			{headerName: this.l('Lastvalidationby'),headerTooltip: this.l('Lastvalidationby'),field: 'lastvalidationby',flex: 1},
			{headerName: this.l('Last Validation Id'),headerTooltip: this.l('Last Validation Id'),field: 'lastValidationId',flex: 1},
			{headerName: this.l('Status'),headerTooltip: this.l('Status'),field: 'status',flex: 1},
			{headerName: this.l('Error Message'),headerTooltip: this.l('Error Message'),field: 'errorMessage',flex: 1},
			{headerName: this.l('Isactive'),headerTooltip: this.l('Isactive'),field: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this.materiaId,
			this.materialCode,
			this.materialName,
			this.materialGroup,
			this.ruleId,
			this.ruleCode,
			this.ruleDescription,
			this.ruleItem,
			this.option,
			this.resultField,
			this.expectedResult,
			this.actualResult,
			this.lastValidationDatetime,
			this.lastValidationId,
			this.status,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materialCode : string = '' ; 
	materialName : string = '' ; 
	materialGroup : string = '' ; 
	valuationClass : string = '' ; 
	ruleCode : string = '' ; 
	ruleDescription : string = '' ; 
	ruleItem : string = '' ; 
	option : string = '' ; 
	resultField : string = '' ; 
	expectedResult : string = '' ; 
	actualResult : string = '' ; 
	lastValidationDatetime : string = '' ; 
	lastvalidationby : string = '' ; 
	status : string = '' ; 
	errorMessage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this.materiaId,
			this.materialCode,
			this.materialName,
			this.materialGroup,
			this.ruleId,
			this.ruleCode,
			this.ruleDescription,
			this.ruleItem,
			this.option,
			this.resultField,
			this.expectedResult,
			this.actualResult,
			this.lastValidationDatetime,
			this.lastValidationId,
			this.status,
			'',
            this.paginationParams.skipCount,
            this.paginationParams.pageSize
        );
    }
    onChangeRowSelection(params: { api: { getSelectedRows: () =&gt; MstCmmMMValidationResultDto[] } }) {
        this.saveSelectedRow = params.api.getSelectedRows()[0] ?? new MstCmmMMValidationResultDto();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MstCmmMMValidationResultDto):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this._service.getCmmMMValidationResultToExcel(
			this.materiaId,
			this.materialCode,
			this.materialName,
			this.materialGroup,
			this.ruleId,
			this.ruleCode,
			this.ruleDescription,
			this.ruleItem,
			this.option,
			this.resultField,
			this.expectedResult,
			this.actualResult,
			this.lastValidationDatetime,
			this.lastValidationId,
			this.status,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Frame Enginer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[(ngModel)]='materialName' name='materialName'
									class='form-control' [placeholder]="l('Material Name')"
									type='text' (keyup.enter)='searchDatas()'&gt;
								&lt;/div&gt;
								&lt;div class='input-search'&gt;
									&lt;input [(ngModel)]='materialGroup' name='materialGroup'
									class='form-control' [placeholder]="l('Material Group')"
									type='text' (keyup.enter)='searchDatas()'&gt;
								&lt;/div&gt;
								&lt;div class='input-search'&gt;
									&lt;input [(ngModel)]='valuationClass' name='valuationClass'
									class='form-control' [placeholder]="l('Valuation Class')"
									type='text' (keyup.enter)='searchDatas()'&gt;
								&lt;/div&gt;
								&lt;div class='input-search'&gt;
									&lt;input [(ngModel)]='ruleCode' name='ruleCode'
									class='form-control' [placeholder]="l('Rule Code')"
									type='text' (keyup.enter)='searchDatas()'&gt;
								&lt;/div&gt;
								&lt;div class='input-search'&gt;
									&lt;input [(ngModel)]='ruleDescription' name='ruleDescription'
									class='form-control' [placeholder]="l('Rule Description')"
									type='text' (keyup.enter)='searchDatas()'&gt;
								&lt;/div&gt;
								&lt;div class='input-search'&gt;
									&lt;input [(ngModel)]='ruleItem' name='ruleItem'
									class='form-control' [placeholder]="l('Rule Item')"
									type='text' (keyup.enter)='searchDatas()'&gt;
								&lt;/div&gt;
								&lt;div class='input-search'&gt;
									&lt;input [(ngModel)]='option' name='option'
									class='form-control' [placeholder]="l('Option')"
									type='text' (keyup.enter)='searchDatas()'&gt;
								&lt;/div&gt;
								&lt;div class='input-search'&gt;
									&lt;input [(ngModel)]='resultField' name='resultField'
									class='form-control' [placeholder]="l('Result Field')"
									type='text' (keyup.enter)='searchDatas()'&gt;
								&lt;/div&gt;
								&lt;div class='input-search'&gt;
									&lt;input [(ngModel)]='expectedResult' name='expectedResult'
									class='form-control' [placeholder]="l('Expected Result')"
									type='text' (keyup.enter)='searchDatas()'&gt;
								&lt;/div&gt;
								&lt;div class='input-search'&gt;
									&lt;input [(ngModel)]='actualResult' name='actualResult'
									class='form-control' [placeholder]="l('Actual Result')"
									type='text' (keyup.enter)='searchDatas()'&gt;
								&lt;/div&gt;
								&lt;div class='input-search'&gt;
									&lt;input [(ngModel)]='lastValidationDatetime' name='lastValidationDatetime'
									class='form-control' [placeholder]="l('Last Validation Datetime')"
									type='text' (keyup.enter)='searchDatas()'&gt;
								&lt;/div&gt;
								&lt;div class='input-search'&gt;
									&lt;input [(ngModel)]='lastvalidationby' name='lastvalidationby'
									class='form-control' [placeholder]="l('Lastvalidationby')"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[(ngModel)]='errorMessage' name='errorMessage'
									class='form-control' [placeholder]="l('Error Message')"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(click)="createOrEditModalCmmMMValidationResult.show()"&gt;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(click)="createOrEditModalCmmMMValidationResult.show(selectedRow)"&gt;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&lt;create-or-edit-cmmmmvalidationresult-modal
    #createOrEditModalCmmMMValidationResult
    (modalSave)="callBackDataGrid(dataParams)"
    (modalClose)="onChangeRowSelection(dataParams)"
&gt;
&lt;/create-or-edit-cmmmmvalidationresult-modal&gt;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#createOrEditModalCmmMMValidationResult="bs-modal"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CmmMMValidationResult')}}&lt;/h3&gt;
                    &lt;h3 *ngIf="!rowdata.id"&gt;{{('Create New CmmMMValidationResult')}}&lt;/h3&gt;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title'&gt;Materia Id&lt;/label&gt;
						&lt;input type='number' class='col-md-10 form-control input-text' name='MateriaId' [(ngModel)]='rowdata.materiaId'&gt;
					&lt;/div&gt;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title'&gt;Material Name&lt;/label&gt;
						&lt;input type='text' class='col-md-10 form-control input-text' name='MaterialName' [(ngModel)]='rowdata.materialName'&gt;
					&lt;/div&gt;
					&lt;div class='col-md-12 form-group row'&gt;
						&lt;label class='col-md-2 form-control title'&gt;Material Group&lt;/label&gt;
						&lt;input type='text' class='col-md-10 form-control input-text' name='MaterialGroup' [(ngModel)]='rowdata.materialGroup'&gt;
					&lt;/div&gt;
					&lt;div class='col-md-12 form-group row'&gt;
						&lt;label class='col-md-2 form-control title'&gt;Valuation Class&lt;/label&gt;
						&lt;input type='text' class='col-md-10 form-control input-text' name='ValuationClass' [(ngModel)]='rowdata.valuationClass'&gt;
					&lt;/div&gt;
					&lt;div class='col-md-12 form-group row'&gt;
						&lt;label class='col-md-2 form-control title'&gt;Rule Id&lt;/label&gt;
						&lt;input type='number' class='col-md-10 form-control input-text' name='RuleId' [(ngModel)]='rowdata.ruleId'&gt;
					&lt;/div&gt;
					&lt;div class='col-md-12 form-group row'&gt;
						&lt;label class='col-md-2 form-control title'&gt;Rule Code&lt;/label&gt;
						&lt;input type='text' class='col-md-10 form-control input-text' name='RuleCode' [(ngModel)]='rowdata.ruleCode'&gt;
					&lt;/div&gt;
					&lt;div class='col-md-12 form-group row'&gt;
						&lt;label class='col-md-2 form-control title'&gt;Rule Description&lt;/label&gt;
						&lt;input type='text' class='col-md-10 form-control input-text' name='RuleDescription' [(ngModel)]='rowdata.ruleDescription'&gt;
					&lt;/div&gt;
					&lt;div class='col-md-12 form-group row'&gt;
						&lt;label class='col-md-2 form-control title'&gt;Rule Item&lt;/label&gt;
						&lt;input type='text' class='col-md-10 form-control input-text' name='RuleItem' [(ngModel)]='rowdata.ruleItem'&gt;
					&lt;/div&gt;
					&lt;div class='col-md-12 form-group row'&gt;
						&lt;label class='col-md-2 form-control title'&gt;Option&lt;/label&gt;
						&lt;input type='text' class='col-md-10 form-control input-text' name='Option' [(ngModel)]='rowdata.option'&gt;
					&lt;/div&gt;
					&lt;div class='col-md-12 form-group row'&gt;
						&lt;label class='col-md-2 form-control title'&gt;Result Field&lt;/label&gt;
						&lt;input type='text' class='col-md-10 form-control input-text' name='ResultField' [(ngModel)]='rowdata.resultField'&gt;
					&lt;/div&gt;
					&lt;div class='col-md-12 form-group row'&gt;
						&lt;label class='col-md-2 form-control title'&gt;Expected Result&lt;/label&gt;
						&lt;input type='text' class='col-md-10 form-control input-text' name='ExpectedResult' [(ngModel)]='rowdata.expectedResult'&gt;
					&lt;/div&gt;
					&lt;div class='col-md-12 form-group row'&gt;
						&lt;label class='col-md-2 form-control title'&gt;Actual Result&lt;/label&gt;
						&lt;input type='text' class='col-md-10 form-control input-text' name='ActualResult' [(ngModel)]='rowdata.actualResult'&gt;
					&lt;/div&gt;
					&lt;div class='col-md-12 form-group row'&gt;
						&lt;label class='col-md-2 form-control title'&gt;Last Validation Datetime&lt;/label&gt;
						&lt;input type='text' class='col-md-10 form-control input-text' name='LastValidationDatetime' [(ngModel)]='rowdata.lastValidationDatetime'&gt;
					&lt;/div&gt;
					&lt;div class='col-md-12 form-group row'&gt;
						&lt;label class='col-md-2 form-control title'&gt;Lastvalidationby&lt;/label&gt;
						&lt;input type='text' class='col-md-10 form-control input-text' name='Lastvalidationby' [(ngModel)]='rowdata.lastvalidationby'&gt;
					&lt;/div&gt;
					&lt;div class='col-md-12 form-group row'&gt;
						&lt;label class='col-md-2 form-control title'&gt;Last Validation Id&lt;/label&gt;
						&lt;input type='number' class='col-md-10 form-control input-text' name='LastValidationId' [(ngModel)]='rowdata.lastValidationId'&gt;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title'&gt;Error Message&lt;/label&gt;
						&lt;input type='text' class='col-md-10 form-control input-text' name='ErrorMessage' [(ngModel)]='rowdata.errorMessage'&gt;
					&lt;/div&gt;
					&lt;div class='col-md-12 form-group row'&gt;
						&lt;label class='col-md-2 form-control title'&gt;Isactive&lt;/label&gt;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CreateOrEditMstCmmMMValidationResultDto, MstCmmMMValidationResultServiceProxy } from '@shared/service-proxies/service-proxies';
import { BsDatepickerDirective } from 'ngx-bootstrap/datepicker';
@Component({
    selector: 'create-or-edit-cmmmmvalidationresult-modal',
    templateUrl: './create-or-edit-cmmmmvalidationresult-modal.component.html',
    styleUrls: ['./create-or-edit-cmmmmvalidationresult-modal.component.less']
    })
export class CreateOrEditCmmMMValidationResultModalComponent extends AppComponentBase {
    @ViewChild('createOrEditModalCmmMMValidationResult',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CreateOrEditMstCmmMMValidationResultDto = new CreateOrEditMstCmmMMValidationResultDto();
    active: boolean = false;
    saving: boolean = false;
    _isactive: boolean;
    constructor(
        injector: Injector,
        private _mstwptCmmMMValidationResultService: MstCmmMMValidationResultServiceProxy,
    ) 
    {
        super(injector);
    }
    show(rowdata?: CreateOrEditMstCmmMMValidationResultDto): void {
        if (!rowdata) this.rowdata = new CreateOrEditMstCmmMMValidationResultDto();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this._mstwptCmmMMValidationResultService.createOrEdit(this.rowdata)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CmmMMValidationResultRoutingModule } from './cmmmmvalidationresult-routing.module';
import { CmmMMValidationResultComponent } from './cmmmmvalidationresult.component';
import { CreateOrEditCmmMMValidationResultModalComponent } from './create-or-edit-cmmmmvalidationresult-modal.component';
@NgModule({
    declarations: [
       CmmMMValidationResultComponent, 
        CreateOrEditCmmMMValidationResultModalComponent
    ],
    imports: [
        AppSharedModule, CmmMMValidationResultRoutingModule]
})
export class CmmMMValidationResultModule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CmmMMValidationResultComponent } from './cmmmmvalidationresult.component';
const routes: Routes = [{
    path: '',
    component: CmmMMValidationResultComponent,
    pathMatch: 'full'
}];
@NgModule({
    imports: [RouterModule.forChild(routes)],
    exports: [RouterModule],
})
export class CmmMMValidationResultRoutingModule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AppMenuItem("CmmMMValidationResult", "Pages.Master.Cmm.CmmMMValidationResult", "flaticon-book",   "/app/main/master/cmm/cmmmmvalidationresult"),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'master/cmm/cmmmmvalidationresult',
    loadChildren: () =&gt; import('./master/cmm/cmmmmvalidationresult/cmmmmvalidationresult.module').then(m =&gt; m.CmmMMValidationResultModule),
    data: { permission: 'Pages.Master.Cmm.CmmMMValidationResult' }
},</v>
      </c>
      <c r="R10" s="47" t="str">
        <f>SUBSTITUTE(R9,"MstWptCalendar",$B$6)</f>
        <v>ApiServiceProxies.MstCmmMMValidationResultServiceProxy,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H33</v>
      </c>
      <c r="I12" s="28" t="str">
        <f>"I"&amp;COUNTA($A:$A)</f>
        <v>I33</v>
      </c>
      <c r="J12" s="28"/>
      <c r="K12" s="28" t="str">
        <f>"K"&amp;COUNTA($A:$A)</f>
        <v>K33</v>
      </c>
      <c r="L12" s="28" t="str">
        <f>"L"&amp;COUNTA($A:$A)</f>
        <v>L33</v>
      </c>
      <c r="M12" s="28"/>
      <c r="N12" s="28"/>
      <c r="O12" s="28"/>
      <c r="P12" s="28"/>
      <c r="Q12" s="28"/>
      <c r="R12" s="28"/>
      <c r="S12" s="28" t="str">
        <f>"S"&amp;COUNTA($A:$A)</f>
        <v>S33</v>
      </c>
      <c r="T12" s="28" t="str">
        <f>"T"&amp;COUNTA($A:$A)</f>
        <v>T33</v>
      </c>
      <c r="U12" s="28" t="str">
        <f>"U"&amp;COUNTA($A:$A)</f>
        <v>U33</v>
      </c>
      <c r="V12" s="28" t="str">
        <f>"V"&amp;COUNTA($A:$A)</f>
        <v>V33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this.l('Materia Id'),headerTooltip: this.l('Materia Id'),field: 'materiaId',flex: 1},
			{headerName: this.l('Material Code'),headerTooltip: this.l('Material Code'),field: 'materialCode',flex: 1},
			{headerName: this.l('Material Name'),headerTooltip: this.l('Material Name'),field: 'materialName',flex: 1},
			{headerName: this.l('Material Group'),headerTooltip: this.l('Material Group'),field: 'materialGroup',flex: 1},
			{headerName: this.l('Valuation Class'),headerTooltip: this.l('Valuation Class'),field: 'valuationClass',flex: 1},
			{headerName: this.l('Rule Id'),headerTooltip: this.l('Rule Id'),field: 'ruleId',flex: 1},
			{headerName: this.l('Rule Code'),headerTooltip: this.l('Rule Code'),field: 'ruleCode',flex: 1},
			{headerName: this.l('Rule Description'),headerTooltip: this.l('Rule Description'),field: 'ruleDescription',flex: 1},
			{headerName: this.l('Rule Item'),headerTooltip: this.l('Rule Item'),field: 'ruleItem',flex: 1},
			{headerName: this.l('Option'),headerTooltip: this.l('Option'),field: 'option',flex: 1},
			{headerName: this.l('Result Field'),headerTooltip: this.l('Result Field'),field: 'resultField',flex: 1},
			{headerName: this.l('Expected Result'),headerTooltip: this.l('Expected Result'),field: 'expectedResult',flex: 1},
			{headerName: this.l('Actual Result'),headerTooltip: this.l('Actual Result'),field: 'actualResult',flex: 1},
			{headerName: this.l('Last Validation Datetime'),headerTooltip: this.l('Last Validation Datetime'),field: 'lastValidationDatetime',flex: 1},
			{headerName: this.l('Lastvalidationby'),headerTooltip: this.l('Lastvalidationby'),field: 'lastvalidationby',flex: 1},
			{headerName: this.l('Last Validation Id'),headerTooltip: this.l('Last Validation Id'),field: 'lastValidationId',flex: 1},
			{headerName: this.l('Status'),headerTooltip: this.l('Status'),field: 'status',flex: 1},
			{headerName: this.l('Error Message'),headerTooltip: this.l('Error Message'),field: 'errorMessage',flex: 1},
			{headerName: this.l('Isactive'),headerTooltip: this.l('Isactive'),field: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[(ngModel)]='materialName' name='materialName'
									class='form-control' [placeholder]="l('Material Name')"
									type='text' (keyup.enter)='searchDatas()'&gt;
								&lt;/div&gt;
								&lt;div class='input-search'&gt;
									&lt;input [(ngModel)]='materialGroup' name='materialGroup'
									class='form-control' [placeholder]="l('Material Group')"
									type='text' (keyup.enter)='searchDatas()'&gt;
								&lt;/div&gt;
								&lt;div class='input-search'&gt;
									&lt;input [(ngModel)]='valuationClass' name='valuationClass'
									class='form-control' [placeholder]="l('Valuation Class')"
									type='text' (keyup.enter)='searchDatas()'&gt;
								&lt;/div&gt;
								&lt;div class='input-search'&gt;
									&lt;input [(ngModel)]='ruleCode' name='ruleCode'
									class='form-control' [placeholder]="l('Rule Code')"
									type='text' (keyup.enter)='searchDatas()'&gt;
								&lt;/div&gt;
								&lt;div class='input-search'&gt;
									&lt;input [(ngModel)]='ruleDescription' name='ruleDescription'
									class='form-control' [placeholder]="l('Rule Description')"
									type='text' (keyup.enter)='searchDatas()'&gt;
								&lt;/div&gt;
								&lt;div class='input-search'&gt;
									&lt;input [(ngModel)]='ruleItem' name='ruleItem'
									class='form-control' [placeholder]="l('Rule Item')"
									type='text' (keyup.enter)='searchDatas()'&gt;
								&lt;/div&gt;
								&lt;div class='input-search'&gt;
									&lt;input [(ngModel)]='option' name='option'
									class='form-control' [placeholder]="l('Option')"
									type='text' (keyup.enter)='searchDatas()'&gt;
								&lt;/div&gt;
								&lt;div class='input-search'&gt;
									&lt;input [(ngModel)]='resultField' name='resultField'
									class='form-control' [placeholder]="l('Result Field')"
									type='text' (keyup.enter)='searchDatas()'&gt;
								&lt;/div&gt;
								&lt;div class='input-search'&gt;
									&lt;input [(ngModel)]='expectedResult' name='expectedResult'
									class='form-control' [placeholder]="l('Expected Result')"
									type='text' (keyup.enter)='searchDatas()'&gt;
								&lt;/div&gt;
								&lt;div class='input-search'&gt;
									&lt;input [(ngModel)]='actualResult' name='actualResult'
									class='form-control' [placeholder]="l('Actual Result')"
									type='text' (keyup.enter)='searchDatas()'&gt;
								&lt;/div&gt;
								&lt;div class='input-search'&gt;
									&lt;input [(ngModel)]='lastValidationDatetime' name='lastValidationDatetime'
									class='form-control' [placeholder]="l('Last Validation Datetime')"
									type='text' (keyup.enter)='searchDatas()'&gt;
								&lt;/div&gt;
								&lt;div class='input-search'&gt;
									&lt;input [(ngModel)]='lastvalidationby' name='lastvalidationby'
									class='form-control' [placeholder]="l('Lastvalidationby')"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[(ngModel)]='errorMessage' name='errorMessage'
									class='form-control' [placeholder]="l('Error Message')"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title'&gt;Materia Id&lt;/label&gt;
						&lt;input type='number' class='col-md-10 form-control input-text' name='MateriaId' [(ngModel)]='rowdata.materiaId'&gt;
					&lt;/div&gt;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title'&gt;Material Name&lt;/label&gt;
						&lt;input type='text' class='col-md-10 form-control input-text' name='MaterialName' [(ngModel)]='rowdata.materialName'&gt;
					&lt;/div&gt;
					&lt;div class='col-md-12 form-group row'&gt;
						&lt;label class='col-md-2 form-control title'&gt;Material Group&lt;/label&gt;
						&lt;input type='text' class='col-md-10 form-control input-text' name='MaterialGroup' [(ngModel)]='rowdata.materialGroup'&gt;
					&lt;/div&gt;
					&lt;div class='col-md-12 form-group row'&gt;
						&lt;label class='col-md-2 form-control title'&gt;Valuation Class&lt;/label&gt;
						&lt;input type='text' class='col-md-10 form-control input-text' name='ValuationClass' [(ngModel)]='rowdata.valuationClass'&gt;
					&lt;/div&gt;
					&lt;div class='col-md-12 form-group row'&gt;
						&lt;label class='col-md-2 form-control title'&gt;Rule Id&lt;/label&gt;
						&lt;input type='number' class='col-md-10 form-control input-text' name='RuleId' [(ngModel)]='rowdata.ruleId'&gt;
					&lt;/div&gt;
					&lt;div class='col-md-12 form-group row'&gt;
						&lt;label class='col-md-2 form-control title'&gt;Rule Code&lt;/label&gt;
						&lt;input type='text' class='col-md-10 form-control input-text' name='RuleCode' [(ngModel)]='rowdata.ruleCode'&gt;
					&lt;/div&gt;
					&lt;div class='col-md-12 form-group row'&gt;
						&lt;label class='col-md-2 form-control title'&gt;Rule Description&lt;/label&gt;
						&lt;input type='text' class='col-md-10 form-control input-text' name='RuleDescription' [(ngModel)]='rowdata.ruleDescription'&gt;
					&lt;/div&gt;
					&lt;div class='col-md-12 form-group row'&gt;
						&lt;label class='col-md-2 form-control title'&gt;Rule Item&lt;/label&gt;
						&lt;input type='text' class='col-md-10 form-control input-text' name='RuleItem' [(ngModel)]='rowdata.ruleItem'&gt;
					&lt;/div&gt;
					&lt;div class='col-md-12 form-group row'&gt;
						&lt;label class='col-md-2 form-control title'&gt;Option&lt;/label&gt;
						&lt;input type='text' class='col-md-10 form-control input-text' name='Option' [(ngModel)]='rowdata.option'&gt;
					&lt;/div&gt;
					&lt;div class='col-md-12 form-group row'&gt;
						&lt;label class='col-md-2 form-control title'&gt;Result Field&lt;/label&gt;
						&lt;input type='text' class='col-md-10 form-control input-text' name='ResultField' [(ngModel)]='rowdata.resultField'&gt;
					&lt;/div&gt;
					&lt;div class='col-md-12 form-group row'&gt;
						&lt;label class='col-md-2 form-control title'&gt;Expected Result&lt;/label&gt;
						&lt;input type='text' class='col-md-10 form-control input-text' name='ExpectedResult' [(ngModel)]='rowdata.expectedResult'&gt;
					&lt;/div&gt;
					&lt;div class='col-md-12 form-group row'&gt;
						&lt;label class='col-md-2 form-control title'&gt;Actual Result&lt;/label&gt;
						&lt;input type='text' class='col-md-10 form-control input-text' name='ActualResult' [(ngModel)]='rowdata.actualResult'&gt;
					&lt;/div&gt;
					&lt;div class='col-md-12 form-group row'&gt;
						&lt;label class='col-md-2 form-control title'&gt;Last Validation Datetime&lt;/label&gt;
						&lt;input type='text' class='col-md-10 form-control input-text' name='LastValidationDatetime' [(ngModel)]='rowdata.lastValidationDatetime'&gt;
					&lt;/div&gt;
					&lt;div class='col-md-12 form-group row'&gt;
						&lt;label class='col-md-2 form-control title'&gt;Lastvalidationby&lt;/label&gt;
						&lt;input type='text' class='col-md-10 form-control input-text' name='Lastvalidationby' [(ngModel)]='rowdata.lastvalidationby'&gt;
					&lt;/div&gt;
					&lt;div class='col-md-12 form-group row'&gt;
						&lt;label class='col-md-2 form-control title'&gt;Last Validation Id&lt;/label&gt;
						&lt;input type='number' class='col-md-10 form-control input-text' name='LastValidationId' [(ngModel)]='rowdata.lastValidationId'&gt;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title'&gt;Error Message&lt;/label&gt;
						&lt;input type='text' class='col-md-10 form-control input-text' name='ErrorMessage' [(ngModel)]='rowdata.errorMessage'&gt;
					&lt;/div&gt;
					&lt;div class='col-md-12 form-group row'&gt;
						&lt;label class='col-md-2 form-control title'&gt;Isactive&lt;/label&gt;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materialCode : string = '' ; 
	materialName : string = '' ; 
	materialGroup : string = '' ; 
	valuationClass : string = '' ; 
	ruleCode : string = '' ; 
	ruleDescription : string = '' ; 
	ruleItem : string = '' ; 
	option : string = '' ; 
	resultField : string = '' ; 
	expectedResult : string = '' ; 
	actualResult : string = '' ; 
	lastValidationDatetime : string = '' ; 
	lastvalidationby : string = '' ; 
	status : string = '' ; 
	errorMessage : string = '' ; 
</v>
      </c>
      <c r="T13" s="62" t="str">
        <f ca="1">TEXTJOIN2("
",TRUE,INDIRECT(T11):INDIRECT(T12))</f>
        <v xml:space="preserve">			this.materiaId,
			this.materialCode,
			this.materialName,
			this.materialGroup,
			this.ruleId,
			this.ruleCode,
			this.ruleDescription,
			this.ruleItem,
			this.option,
			this.resultField,
			this.expectedResult,
			this.actualResult,
			this.lastValidationDatetime,
			this.lastValidationId,
			this.status,
</v>
      </c>
      <c r="U13" s="62" t="str">
        <f ca="1">TEXTJOIN2("
",TRUE,INDIRECT(U11):INDIRECT(U12))</f>
        <v xml:space="preserve">	materialCode : string = '' ; 
	materialName : string = '' ; 
	materialGroup : string = '' ; 
	valuationClass : string = '' ; 
	ruleCode : string = '' ; 
	ruleDescription : string = '' ; 
	ruleItem : string = '' ; 
	option : string = '' ; 
	resultField : string = '' ; 
	expectedResult : string = '' ; 
	actualResult : string = '' ; 
	lastValidationDatetime : string = '' ; 
	lastvalidationby : string = '' ; 
	status : string = '' ; 
	errorMessage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cmmmmvalidationresult.component.ts</v>
      </c>
      <c r="I14" s="37" t="str">
        <f>B8&amp;".component.html"</f>
        <v>cmmmmvalidationresult.component.html</v>
      </c>
      <c r="J14" s="36" t="str">
        <f>B8&amp;".component.less"</f>
        <v>cmmmmvalidationresult.component.less</v>
      </c>
      <c r="K14" s="37" t="str">
        <f>"create-or-edit-"&amp;B8&amp;"-modal.component.html"</f>
        <v>create-or-edit-cmmmmvalidationresult-modal.component.html</v>
      </c>
      <c r="L14" s="37" t="str">
        <f>"create-or-edit-"&amp;B8&amp;"-modal.component.ts"</f>
        <v>create-or-edit-cmmmmvalidationresult-modal.component.ts</v>
      </c>
      <c r="M14" s="37" t="str">
        <f>"create-or-edit-"&amp;B8&amp;"-modal.component.less"</f>
        <v>create-or-edit-cmmmmvalidationresult-modal.component.less</v>
      </c>
      <c r="N14" s="37" t="str">
        <f>B8&amp;".module.ts"</f>
        <v>cmmmmvalidationresult.module.ts</v>
      </c>
      <c r="O14" s="37" t="str">
        <f>B8&amp;"-routing.module.ts"</f>
        <v>cmmmmvalidationresult-routing.module.ts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369</v>
      </c>
      <c r="B15" s="28" t="str">
        <f>SUBSTITUTE(PROPER(A15),"_","")</f>
        <v>MateriaId</v>
      </c>
      <c r="C15" s="28" t="str">
        <f>SUBSTITUTE(PROPER(A15),"_"," ")</f>
        <v>Materia Id</v>
      </c>
      <c r="D15" s="28" t="str">
        <f>LOWER(LEFT(B15,1))&amp;RIGHT(B15,LEN(B15) - 1)</f>
        <v>materiaId</v>
      </c>
      <c r="E15" s="28" t="str">
        <f>A.Backend!H9</f>
        <v>long?</v>
      </c>
      <c r="F15" s="28" t="str">
        <f>A.Backend!G9</f>
        <v/>
      </c>
      <c r="G15" s="28" t="str">
        <f t="shared" ref="G15" si="0">IF(E15="string"," : string = '' ; ",IF(OR(E15="DateTime",E15="TimeSpan")," : any ;",IF(E15="int"," : number = 0 ;","")))</f>
        <v/>
      </c>
      <c r="H15" s="35" t="str">
        <f t="shared" ref="H15" si="1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this.l('Materia Id'),headerTooltip: this.l('Materia Id'),field: 'materiaId',flex: 1},</v>
      </c>
      <c r="I15" s="35" t="str">
        <f t="shared" ref="I15:I33" si="2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title'&gt;Materia Id&lt;/label&gt;
						&lt;input type='number' class='col-md-10 form-control input-text' name='MateriaId' [(ngModel)]='rowdata.materiaId'&gt;
					&lt;/div&gt;</v>
      </c>
      <c r="L15" s="56" t="str">
        <f t="shared" ref="L15" si="3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/>
      </c>
      <c r="T15" s="28" t="str">
        <f>IF(AND(E15="string",F15 &lt;&gt;"1"),(REPT(CHAR(9),3)&amp;"this."&amp;D14&amp;","),"")</f>
        <v/>
      </c>
      <c r="U15" s="28" t="str">
        <f>IF(AND(E15="string",F15 &lt;&gt;"1"),(REPT(CHAR(9),1)&amp;D15&amp;G15),"")</f>
        <v/>
      </c>
      <c r="V15" s="28" t="str">
        <f t="shared" ref="V15" si="4">IF(AND(E15="string",F15="1"),D15,"")</f>
        <v/>
      </c>
    </row>
    <row r="16" spans="1:22" ht="18" customHeight="1" x14ac:dyDescent="0.25">
      <c r="A16" s="28" t="s">
        <v>370</v>
      </c>
      <c r="B16" s="28" t="str">
        <f>SUBSTITUTE(PROPER(A16),"_","")</f>
        <v>MaterialCode</v>
      </c>
      <c r="C16" s="28" t="str">
        <f>SUBSTITUTE(PROPER(A16),"_"," ")</f>
        <v>Material Code</v>
      </c>
      <c r="D16" s="28" t="str">
        <f t="shared" ref="D16:D33" si="5">LOWER(LEFT(B16,1))&amp;RIGHT(B16,LEN(B16) - 1)</f>
        <v>materialCode</v>
      </c>
      <c r="E16" s="28" t="str">
        <f>A.Backend!H10</f>
        <v>string</v>
      </c>
      <c r="F16" s="28" t="str">
        <f>A.Backend!G10</f>
        <v>5000</v>
      </c>
      <c r="G16" s="28" t="str">
        <f t="shared" ref="G16:G33" si="6">IF(E16="string"," : string = '' ; ",IF(OR(E16="DateTime",E16="TimeSpan")," : any ;",IF(E16="int"," : number = 0 ;","")))</f>
        <v xml:space="preserve"> : string = '' ; </v>
      </c>
      <c r="H16" s="35" t="str">
        <f t="shared" ref="H16:H33" si="7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this.l('Material Code'),headerTooltip: this.l('Material Code'),field: 'materialCode',flex: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[(ngModel)]='materialCode' name='materialCode'
									class='form-control' [placeholder]="l('Material Code')"
									type='text' (keyup.enter)='searchDatas()'&gt;
								&lt;/div&gt;</v>
      </c>
      <c r="J16" s="28"/>
      <c r="K16" s="35" t="str">
        <f t="shared" ref="K16:K33" si="8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title'&gt;Material Code&lt;/label&gt;
						&lt;input type='text' class='col-md-10 form-control input-text' name='MaterialCode' [(ngModel)]='rowdata.materialCode'&gt;
					&lt;/div&gt;</v>
      </c>
      <c r="L16" s="56" t="str">
        <f t="shared" ref="L16" si="9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33" si="10">IF(AND(E16="string",F16 &lt;&gt;"1"),(REPT(CHAR(9),1)&amp;D16&amp;G16),"")</f>
        <v xml:space="preserve">	materialCode : string = '' ; </v>
      </c>
      <c r="T16" s="28" t="str">
        <f>IF(AND(E16="string",F16 &lt;&gt;"1"),(REPT(CHAR(9),3)&amp;"this."&amp;D15&amp;","),"")</f>
        <v xml:space="preserve">			this.materiaId,</v>
      </c>
      <c r="U16" s="28" t="str">
        <f t="shared" ref="U16:U33" si="11">IF(AND(E16="string",F16 &lt;&gt;"1"),(REPT(CHAR(9),1)&amp;D16&amp;G16),"")</f>
        <v xml:space="preserve">	materialCode : string = '' ; </v>
      </c>
      <c r="V16" s="28" t="str">
        <f t="shared" ref="V16:V33" si="12">IF(AND(E16="string",F16="1"),D16,"")</f>
        <v/>
      </c>
    </row>
    <row r="17" spans="1:22" ht="18" customHeight="1" x14ac:dyDescent="0.25">
      <c r="A17" s="28" t="s">
        <v>371</v>
      </c>
      <c r="B17" s="28" t="str">
        <f t="shared" ref="B17:B33" si="13">SUBSTITUTE(PROPER(A17),"_","")</f>
        <v>MaterialName</v>
      </c>
      <c r="C17" s="28" t="str">
        <f t="shared" ref="C17:C33" si="14">SUBSTITUTE(PROPER(A17),"_"," ")</f>
        <v>Material Name</v>
      </c>
      <c r="D17" s="28" t="str">
        <f t="shared" si="5"/>
        <v>materialName</v>
      </c>
      <c r="E17" s="28" t="str">
        <f>A.Backend!H11</f>
        <v>string</v>
      </c>
      <c r="F17" s="28" t="str">
        <f>A.Backend!G11</f>
        <v>50</v>
      </c>
      <c r="G17" s="28" t="str">
        <f t="shared" si="6"/>
        <v xml:space="preserve"> : string = '' ; </v>
      </c>
      <c r="H17" s="35" t="str">
        <f t="shared" si="7"/>
        <v xml:space="preserve">			{headerName: this.l('Material Name'),headerTooltip: this.l('Material Name'),field: 'materialName',flex: 1},</v>
      </c>
      <c r="I17" s="35" t="str">
        <f t="shared" si="2"/>
        <v xml:space="preserve">								&lt;div class='input-search'&gt;
									&lt;input [(ngModel)]='materialName' name='materialName'
									class='form-control' [placeholder]="l('Material Name')"
									type='text' (keyup.enter)='searchDatas()'&gt;
								&lt;/div&gt;</v>
      </c>
      <c r="J17" s="28"/>
      <c r="K17" s="35" t="str">
        <f t="shared" si="8"/>
        <v xml:space="preserve">					&lt;div class='col-md-12 form-group row'&gt;
						&lt;label class='col-md-2 form-control title'&gt;Material Name&lt;/label&gt;
						&lt;input type='text' class='col-md-10 form-control input-text' name='MaterialName' [(ngModel)]='rowdata.materialName'&gt;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0"/>
        <v xml:space="preserve">	materialName : string = '' ; </v>
      </c>
      <c r="T17" s="28" t="str">
        <f t="shared" ref="T17:T20" si="15">IF(AND(E17="string",F17 &lt;&gt;"1"),(REPT(CHAR(9),3)&amp;"this."&amp;D16&amp;","),"")</f>
        <v xml:space="preserve">			this.materialCode,</v>
      </c>
      <c r="U17" s="28" t="str">
        <f t="shared" si="11"/>
        <v xml:space="preserve">	materialName : string = '' ; </v>
      </c>
      <c r="V17" s="28" t="str">
        <f t="shared" si="12"/>
        <v/>
      </c>
    </row>
    <row r="18" spans="1:22" ht="15" customHeight="1" x14ac:dyDescent="0.25">
      <c r="A18" s="28" t="s">
        <v>372</v>
      </c>
      <c r="B18" s="28" t="str">
        <f t="shared" si="13"/>
        <v>MaterialGroup</v>
      </c>
      <c r="C18" s="28" t="str">
        <f t="shared" si="14"/>
        <v>Material Group</v>
      </c>
      <c r="D18" s="28" t="str">
        <f t="shared" si="5"/>
        <v>materialGroup</v>
      </c>
      <c r="E18" s="28" t="str">
        <f>A.Backend!H12</f>
        <v>string</v>
      </c>
      <c r="F18" s="28" t="str">
        <f>A.Backend!G12</f>
        <v>50</v>
      </c>
      <c r="G18" s="28" t="str">
        <f t="shared" si="6"/>
        <v xml:space="preserve"> : string = '' ; </v>
      </c>
      <c r="H18" s="35" t="str">
        <f t="shared" si="7"/>
        <v xml:space="preserve">			{headerName: this.l('Material Group'),headerTooltip: this.l('Material Group'),field: 'materialGroup',flex: 1},</v>
      </c>
      <c r="I18" s="35" t="str">
        <f t="shared" si="2"/>
        <v xml:space="preserve">								&lt;div class='input-search'&gt;
									&lt;input [(ngModel)]='materialGroup' name='materialGroup'
									class='form-control' [placeholder]="l('Material Group')"
									type='text' (keyup.enter)='searchDatas()'&gt;
								&lt;/div&gt;</v>
      </c>
      <c r="J18" s="28"/>
      <c r="K18" s="35" t="str">
        <f t="shared" si="8"/>
        <v xml:space="preserve">					&lt;div class='col-md-12 form-group row'&gt;
						&lt;label class='col-md-2 form-control title'&gt;Material Group&lt;/label&gt;
						&lt;input type='text' class='col-md-10 form-control input-text' name='MaterialGroup' [(ngModel)]='rowdata.materialGroup'&gt;
					&lt;/div&gt;</v>
      </c>
      <c r="L18" s="56" t="str">
        <f t="shared" ref="L18:L33" si="16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0"/>
        <v xml:space="preserve">	materialGroup : string = '' ; </v>
      </c>
      <c r="T18" s="28" t="str">
        <f t="shared" si="15"/>
        <v xml:space="preserve">			this.materialName,</v>
      </c>
      <c r="U18" s="28" t="str">
        <f t="shared" si="11"/>
        <v xml:space="preserve">	materialGroup : string = '' ; </v>
      </c>
      <c r="V18" s="28" t="str">
        <f t="shared" si="12"/>
        <v/>
      </c>
    </row>
    <row r="19" spans="1:22" ht="18" customHeight="1" x14ac:dyDescent="0.25">
      <c r="A19" s="28" t="s">
        <v>373</v>
      </c>
      <c r="B19" s="28" t="str">
        <f t="shared" si="13"/>
        <v>ValuationClass</v>
      </c>
      <c r="C19" s="28" t="str">
        <f t="shared" si="14"/>
        <v>Valuation Class</v>
      </c>
      <c r="D19" s="28" t="str">
        <f t="shared" si="5"/>
        <v>valuationClass</v>
      </c>
      <c r="E19" s="28" t="str">
        <f>A.Backend!H13</f>
        <v>string</v>
      </c>
      <c r="F19" s="28" t="str">
        <f>A.Backend!G13</f>
        <v>50</v>
      </c>
      <c r="G19" s="28" t="str">
        <f t="shared" si="6"/>
        <v xml:space="preserve"> : string = '' ; </v>
      </c>
      <c r="H19" s="35" t="str">
        <f t="shared" si="7"/>
        <v xml:space="preserve">			{headerName: this.l('Valuation Class'),headerTooltip: this.l('Valuation Class'),field: 'valuationClass',flex: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[(ngModel)]='valuationClass' name='valuationClass'
									class='form-control' [placeholder]="l('Valuation Class')"
									type='text' (keyup.enter)='searchDatas()'&gt;
								&lt;/div&gt;</v>
      </c>
      <c r="J19" s="28"/>
      <c r="K19" s="35" t="str">
        <f t="shared" si="8"/>
        <v xml:space="preserve">					&lt;div class='col-md-12 form-group row'&gt;
						&lt;label class='col-md-2 form-control title'&gt;Valuation Class&lt;/label&gt;
						&lt;input type='text' class='col-md-10 form-control input-text' name='ValuationClass' [(ngModel)]='rowdata.valuationClass'&gt;
					&lt;/div&gt;</v>
      </c>
      <c r="L19" s="56" t="str">
        <f t="shared" si="16"/>
        <v/>
      </c>
      <c r="M19" s="28"/>
      <c r="N19" s="28"/>
      <c r="O19" s="28"/>
      <c r="P19" s="28"/>
      <c r="Q19" s="28"/>
      <c r="R19" s="28"/>
      <c r="S19" s="28" t="str">
        <f t="shared" si="10"/>
        <v xml:space="preserve">	valuationClass : string = '' ; </v>
      </c>
      <c r="T19" s="28" t="str">
        <f t="shared" si="15"/>
        <v xml:space="preserve">			this.materialGroup,</v>
      </c>
      <c r="U19" s="28" t="str">
        <f t="shared" si="11"/>
        <v xml:space="preserve">	valuationClass : string = '' ; </v>
      </c>
      <c r="V19" s="28" t="str">
        <f t="shared" si="12"/>
        <v/>
      </c>
    </row>
    <row r="20" spans="1:22" ht="15" customHeight="1" x14ac:dyDescent="0.25">
      <c r="A20" s="28" t="s">
        <v>374</v>
      </c>
      <c r="B20" s="28" t="str">
        <f t="shared" si="13"/>
        <v>RuleId</v>
      </c>
      <c r="C20" s="28" t="str">
        <f>SUBSTITUTE(PROPER(A20),"_"," ")</f>
        <v>Rule Id</v>
      </c>
      <c r="D20" s="28" t="str">
        <f t="shared" si="5"/>
        <v>ruleId</v>
      </c>
      <c r="E20" s="28" t="str">
        <f>A.Backend!H14</f>
        <v>long?</v>
      </c>
      <c r="F20" s="28" t="str">
        <f>A.Backend!G14</f>
        <v/>
      </c>
      <c r="G20" s="28" t="str">
        <f t="shared" si="6"/>
        <v/>
      </c>
      <c r="H20" s="35" t="str">
        <f t="shared" si="7"/>
        <v xml:space="preserve">			{headerName: this.l('Rule Id'),headerTooltip: this.l('Rule Id'),field: 'ruleId',flex: 1},</v>
      </c>
      <c r="I20" s="35" t="str">
        <f t="shared" si="2"/>
        <v/>
      </c>
      <c r="J20" s="28"/>
      <c r="K20" s="35" t="str">
        <f t="shared" si="8"/>
        <v xml:space="preserve">					&lt;div class='col-md-12 form-group row'&gt;
						&lt;label class='col-md-2 form-control title'&gt;Rule Id&lt;/label&gt;
						&lt;input type='number' class='col-md-10 form-control input-text' name='RuleId' [(ngModel)]='rowdata.ruleId'&gt;
					&lt;/div&gt;</v>
      </c>
      <c r="L20" s="56" t="str">
        <f t="shared" si="16"/>
        <v/>
      </c>
      <c r="M20" s="28"/>
      <c r="N20" s="28"/>
      <c r="O20" s="28"/>
      <c r="P20" s="28"/>
      <c r="Q20" s="28"/>
      <c r="R20" s="28"/>
      <c r="S20" s="28" t="str">
        <f t="shared" si="10"/>
        <v/>
      </c>
      <c r="T20" s="28" t="str">
        <f t="shared" si="15"/>
        <v/>
      </c>
      <c r="U20" s="28" t="str">
        <f t="shared" si="11"/>
        <v/>
      </c>
      <c r="V20" s="28" t="str">
        <f t="shared" si="12"/>
        <v/>
      </c>
    </row>
    <row r="21" spans="1:22" ht="18" customHeight="1" x14ac:dyDescent="0.25">
      <c r="A21" s="28" t="s">
        <v>364</v>
      </c>
      <c r="B21" s="28" t="str">
        <f t="shared" ref="B21:B29" si="17">SUBSTITUTE(PROPER(A21),"_","")</f>
        <v>RuleCode</v>
      </c>
      <c r="C21" s="28" t="str">
        <f t="shared" ref="C21:C29" si="18">SUBSTITUTE(PROPER(A21),"_"," ")</f>
        <v>Rule Code</v>
      </c>
      <c r="D21" s="28" t="str">
        <f t="shared" ref="D21:D29" si="19">LOWER(LEFT(B21,1))&amp;RIGHT(B21,LEN(B21) - 1)</f>
        <v>ruleCode</v>
      </c>
      <c r="E21" s="28" t="str">
        <f>A.Backend!H15</f>
        <v>string</v>
      </c>
      <c r="F21" s="28" t="str">
        <f>A.Backend!G15</f>
        <v>50</v>
      </c>
      <c r="G21" s="28" t="str">
        <f t="shared" ref="G21:G29" si="20">IF(E21="string"," : string = '' ; ",IF(OR(E21="DateTime",E21="TimeSpan")," : any ;",IF(E21="int"," : number = 0 ;","")))</f>
        <v xml:space="preserve"> : string = '' ; </v>
      </c>
      <c r="H21" s="35" t="str">
        <f t="shared" ref="H21:H29" si="21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this.l('Rule Code'),headerTooltip: this.l('Rule Code'),field: 'ruleCode',flex: 1},</v>
      </c>
      <c r="I21" s="35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[(ngModel)]='ruleCode' name='ruleCode'
									class='form-control' [placeholder]="l('Rule Code')"
									type='text' (keyup.enter)='searchDatas()'&gt;
								&lt;/div&gt;</v>
      </c>
      <c r="J21" s="28"/>
      <c r="K21" s="35" t="str">
        <f t="shared" ref="K21:K29" si="22">IF(OR(E21="DateTime?",E21="TimeSpan?"),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IF(OR(E21="int?",E21="long?"),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title'&gt;Rule Code&lt;/label&gt;
						&lt;input type='text' class='col-md-10 form-control input-text' name='RuleCode' [(ngModel)]='rowdata.ruleCode'&gt;
					&lt;/div&gt;</v>
      </c>
      <c r="L21" s="56" t="str">
        <f t="shared" si="16"/>
        <v/>
      </c>
      <c r="M21" s="28"/>
      <c r="N21" s="28"/>
      <c r="O21" s="28"/>
      <c r="P21" s="28"/>
      <c r="Q21" s="28"/>
      <c r="R21" s="28"/>
      <c r="S21" s="28" t="str">
        <f t="shared" ref="S21:S29" si="23">IF(AND(E21="string",F21 &lt;&gt;"1"),(REPT(CHAR(9),1)&amp;D21&amp;G21),"")</f>
        <v xml:space="preserve">	ruleCode : string = '' ; </v>
      </c>
      <c r="T21" s="28" t="str">
        <f>IF(AND(E21="string",F21 &lt;&gt;"1"),(REPT(CHAR(9),3)&amp;"this."&amp;D20&amp;","),"")</f>
        <v xml:space="preserve">			this.ruleId,</v>
      </c>
      <c r="U21" s="28" t="str">
        <f t="shared" ref="U21:U29" si="24">IF(AND(E21="string",F21 &lt;&gt;"1"),(REPT(CHAR(9),1)&amp;D21&amp;G21),"")</f>
        <v xml:space="preserve">	ruleCode : string = '' ; </v>
      </c>
      <c r="V21" s="28" t="str">
        <f t="shared" ref="V21:V29" si="25">IF(AND(E21="string",F21="1"),D21,"")</f>
        <v/>
      </c>
    </row>
    <row r="22" spans="1:22" ht="18" customHeight="1" x14ac:dyDescent="0.25">
      <c r="A22" s="28" t="s">
        <v>365</v>
      </c>
      <c r="B22" s="28" t="str">
        <f t="shared" si="17"/>
        <v>RuleDescription</v>
      </c>
      <c r="C22" s="28" t="str">
        <f t="shared" si="18"/>
        <v>Rule Description</v>
      </c>
      <c r="D22" s="28" t="str">
        <f t="shared" si="19"/>
        <v>ruleDescription</v>
      </c>
      <c r="E22" s="28" t="str">
        <f>A.Backend!H16</f>
        <v>string</v>
      </c>
      <c r="F22" s="28" t="str">
        <f>A.Backend!G16</f>
        <v>50</v>
      </c>
      <c r="G22" s="28" t="str">
        <f t="shared" si="20"/>
        <v xml:space="preserve"> : string = '' ; </v>
      </c>
      <c r="H22" s="35" t="str">
        <f t="shared" si="21"/>
        <v xml:space="preserve">			{headerName: this.l('Rule Description'),headerTooltip: this.l('Rule Description'),field: 'ruleDescription',flex: 1},</v>
      </c>
      <c r="I22" s="35" t="str">
        <f t="shared" ref="I22:I23" si="26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IF(AND(E22="string",F22 &lt;&gt;"1"),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[(ngModel)]='ruleDescription' name='ruleDescription'
									class='form-control' [placeholder]="l('Rule Description')"
									type='text' (keyup.enter)='searchDatas()'&gt;
								&lt;/div&gt;</v>
      </c>
      <c r="J22" s="28"/>
      <c r="K22" s="35" t="str">
        <f t="shared" si="22"/>
        <v xml:space="preserve">					&lt;div class='col-md-12 form-group row'&gt;
						&lt;label class='col-md-2 form-control title'&gt;Rule Description&lt;/label&gt;
						&lt;input type='text' class='col-md-10 form-control input-text' name='RuleDescription' [(ngModel)]='rowdata.ruleDescription'&gt;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23"/>
        <v xml:space="preserve">	ruleDescription : string = '' ; </v>
      </c>
      <c r="T22" s="28" t="str">
        <f t="shared" ref="T22:T29" si="27">IF(AND(E22="string",F22 &lt;&gt;"1"),(REPT(CHAR(9),3)&amp;"this."&amp;D21&amp;","),"")</f>
        <v xml:space="preserve">			this.ruleCode,</v>
      </c>
      <c r="U22" s="28" t="str">
        <f t="shared" si="24"/>
        <v xml:space="preserve">	ruleDescription : string = '' ; </v>
      </c>
      <c r="V22" s="28" t="str">
        <f t="shared" si="25"/>
        <v/>
      </c>
    </row>
    <row r="23" spans="1:22" ht="15" customHeight="1" x14ac:dyDescent="0.25">
      <c r="A23" s="28" t="s">
        <v>366</v>
      </c>
      <c r="B23" s="28" t="str">
        <f t="shared" si="17"/>
        <v>RuleItem</v>
      </c>
      <c r="C23" s="28" t="str">
        <f t="shared" si="18"/>
        <v>Rule Item</v>
      </c>
      <c r="D23" s="28" t="str">
        <f t="shared" si="19"/>
        <v>ruleItem</v>
      </c>
      <c r="E23" s="28" t="str">
        <f>A.Backend!H17</f>
        <v>string</v>
      </c>
      <c r="F23" s="28" t="str">
        <f>A.Backend!G17</f>
        <v>50</v>
      </c>
      <c r="G23" s="28" t="str">
        <f t="shared" si="20"/>
        <v xml:space="preserve"> : string = '' ; </v>
      </c>
      <c r="H23" s="35" t="str">
        <f t="shared" si="21"/>
        <v xml:space="preserve">			{headerName: this.l('Rule Item'),headerTooltip: this.l('Rule Item'),field: 'ruleItem',flex: 1},</v>
      </c>
      <c r="I23" s="35" t="str">
        <f t="shared" si="26"/>
        <v xml:space="preserve">								&lt;div class='input-search'&gt;
									&lt;input [(ngModel)]='ruleItem' name='ruleItem'
									class='form-control' [placeholder]="l('Rule Item')"
									type='text' (keyup.enter)='searchDatas()'&gt;
								&lt;/div&gt;</v>
      </c>
      <c r="J23" s="28"/>
      <c r="K23" s="35" t="str">
        <f t="shared" si="22"/>
        <v xml:space="preserve">					&lt;div class='col-md-12 form-group row'&gt;
						&lt;label class='col-md-2 form-control title'&gt;Rule Item&lt;/label&gt;
						&lt;input type='text' class='col-md-10 form-control input-text' name='RuleItem' [(ngModel)]='rowdata.ruleItem'&gt;
					&lt;/div&gt;</v>
      </c>
      <c r="L23" s="56" t="str">
        <f t="shared" ref="L23:L25" si="28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23"/>
        <v xml:space="preserve">	ruleItem : string = '' ; </v>
      </c>
      <c r="T23" s="28" t="str">
        <f t="shared" si="27"/>
        <v xml:space="preserve">			this.ruleDescription,</v>
      </c>
      <c r="U23" s="28" t="str">
        <f t="shared" si="24"/>
        <v xml:space="preserve">	ruleItem : string = '' ; </v>
      </c>
      <c r="V23" s="28" t="str">
        <f t="shared" si="25"/>
        <v/>
      </c>
    </row>
    <row r="24" spans="1:22" ht="18" customHeight="1" x14ac:dyDescent="0.25">
      <c r="A24" s="28" t="s">
        <v>361</v>
      </c>
      <c r="B24" s="28" t="str">
        <f t="shared" si="17"/>
        <v>Option</v>
      </c>
      <c r="C24" s="28" t="str">
        <f t="shared" si="18"/>
        <v>Option</v>
      </c>
      <c r="D24" s="28" t="str">
        <f t="shared" si="19"/>
        <v>option</v>
      </c>
      <c r="E24" s="28" t="str">
        <f>A.Backend!H18</f>
        <v>string</v>
      </c>
      <c r="F24" s="28" t="str">
        <f>A.Backend!G18</f>
        <v>50</v>
      </c>
      <c r="G24" s="28" t="str">
        <f t="shared" si="20"/>
        <v xml:space="preserve"> : string = '' ; </v>
      </c>
      <c r="H24" s="35" t="str">
        <f t="shared" si="21"/>
        <v xml:space="preserve">			{headerName: this.l('Option'),headerTooltip: this.l('Option'),field: 'option',flex: 1},</v>
      </c>
      <c r="I24" s="35" t="str">
        <f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IF(AND(E24="string",F24 &lt;&gt;"1"),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[(ngModel)]='option' name='option'
									class='form-control' [placeholder]="l('Option')"
									type='text' (keyup.enter)='searchDatas()'&gt;
								&lt;/div&gt;</v>
      </c>
      <c r="J24" s="28"/>
      <c r="K24" s="35" t="str">
        <f t="shared" si="22"/>
        <v xml:space="preserve">					&lt;div class='col-md-12 form-group row'&gt;
						&lt;label class='col-md-2 form-control title'&gt;Option&lt;/label&gt;
						&lt;input type='text' class='col-md-10 form-control input-text' name='Option' [(ngModel)]='rowdata.option'&gt;
					&lt;/div&gt;</v>
      </c>
      <c r="L24" s="56" t="str">
        <f t="shared" si="28"/>
        <v/>
      </c>
      <c r="M24" s="28"/>
      <c r="N24" s="28"/>
      <c r="O24" s="28"/>
      <c r="P24" s="28"/>
      <c r="Q24" s="28"/>
      <c r="R24" s="28"/>
      <c r="S24" s="28" t="str">
        <f t="shared" si="23"/>
        <v xml:space="preserve">	option : string = '' ; </v>
      </c>
      <c r="T24" s="28" t="str">
        <f t="shared" si="27"/>
        <v xml:space="preserve">			this.ruleItem,</v>
      </c>
      <c r="U24" s="28" t="str">
        <f t="shared" si="24"/>
        <v xml:space="preserve">	option : string = '' ; </v>
      </c>
      <c r="V24" s="28" t="str">
        <f t="shared" si="25"/>
        <v/>
      </c>
    </row>
    <row r="25" spans="1:22" ht="15" customHeight="1" x14ac:dyDescent="0.25">
      <c r="A25" s="28" t="s">
        <v>379</v>
      </c>
      <c r="B25" s="28" t="str">
        <f t="shared" si="17"/>
        <v>ResultField</v>
      </c>
      <c r="C25" s="28" t="str">
        <f t="shared" si="18"/>
        <v>Result Field</v>
      </c>
      <c r="D25" s="28" t="str">
        <f t="shared" si="19"/>
        <v>resultField</v>
      </c>
      <c r="E25" s="28" t="str">
        <f>A.Backend!H19</f>
        <v>string</v>
      </c>
      <c r="F25" s="28" t="str">
        <f>A.Backend!G19</f>
        <v>50</v>
      </c>
      <c r="G25" s="28" t="str">
        <f t="shared" si="20"/>
        <v xml:space="preserve"> : string = '' ; </v>
      </c>
      <c r="H25" s="35" t="str">
        <f t="shared" si="21"/>
        <v xml:space="preserve">			{headerName: this.l('Result Field'),headerTooltip: this.l('Result Field'),field: 'resultField',flex: 1},</v>
      </c>
      <c r="I25" s="35" t="str">
        <f t="shared" ref="I25:I27" si="29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IF(AND(E25="string",F25 &lt;&gt;"1"),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[(ngModel)]='resultField' name='resultField'
									class='form-control' [placeholder]="l('Result Field')"
									type='text' (keyup.enter)='searchDatas()'&gt;
								&lt;/div&gt;</v>
      </c>
      <c r="J25" s="28"/>
      <c r="K25" s="35" t="str">
        <f t="shared" si="22"/>
        <v xml:space="preserve">					&lt;div class='col-md-12 form-group row'&gt;
						&lt;label class='col-md-2 form-control title'&gt;Result Field&lt;/label&gt;
						&lt;input type='text' class='col-md-10 form-control input-text' name='ResultField' [(ngModel)]='rowdata.resultField'&gt;
					&lt;/div&gt;</v>
      </c>
      <c r="L25" s="56" t="str">
        <f t="shared" si="28"/>
        <v/>
      </c>
      <c r="M25" s="28"/>
      <c r="N25" s="28"/>
      <c r="O25" s="28"/>
      <c r="P25" s="28"/>
      <c r="Q25" s="28"/>
      <c r="R25" s="28"/>
      <c r="S25" s="28" t="str">
        <f t="shared" si="23"/>
        <v xml:space="preserve">	resultField : string = '' ; </v>
      </c>
      <c r="T25" s="28" t="str">
        <f t="shared" si="27"/>
        <v xml:space="preserve">			this.option,</v>
      </c>
      <c r="U25" s="28" t="str">
        <f t="shared" si="24"/>
        <v xml:space="preserve">	resultField : string = '' ; </v>
      </c>
      <c r="V25" s="28" t="str">
        <f t="shared" si="25"/>
        <v/>
      </c>
    </row>
    <row r="26" spans="1:22" ht="18" customHeight="1" x14ac:dyDescent="0.25">
      <c r="A26" s="28" t="s">
        <v>380</v>
      </c>
      <c r="B26" s="28" t="str">
        <f t="shared" si="17"/>
        <v>ExpectedResult</v>
      </c>
      <c r="C26" s="28" t="str">
        <f t="shared" si="18"/>
        <v>Expected Result</v>
      </c>
      <c r="D26" s="28" t="str">
        <f t="shared" si="19"/>
        <v>expectedResult</v>
      </c>
      <c r="E26" s="28" t="str">
        <f>A.Backend!H20</f>
        <v>string</v>
      </c>
      <c r="F26" s="28" t="str">
        <f>A.Backend!G20</f>
        <v>50</v>
      </c>
      <c r="G26" s="28" t="str">
        <f t="shared" si="20"/>
        <v xml:space="preserve"> : string = '' ; </v>
      </c>
      <c r="H26" s="35" t="str">
        <f t="shared" si="21"/>
        <v xml:space="preserve">			{headerName: this.l('Expected Result'),headerTooltip: this.l('Expected Result'),field: 'expectedResult',flex: 1},</v>
      </c>
      <c r="I26" s="35" t="str">
        <f t="shared" si="29"/>
        <v xml:space="preserve">								&lt;div class='input-search'&gt;
									&lt;input [(ngModel)]='expectedResult' name='expectedResult'
									class='form-control' [placeholder]="l('Expected Result')"
									type='text' (keyup.enter)='searchDatas()'&gt;
								&lt;/div&gt;</v>
      </c>
      <c r="J26" s="28"/>
      <c r="K26" s="35" t="str">
        <f t="shared" si="22"/>
        <v xml:space="preserve">					&lt;div class='col-md-12 form-group row'&gt;
						&lt;label class='col-md-2 form-control title'&gt;Expected Result&lt;/label&gt;
						&lt;input type='text' class='col-md-10 form-control input-text' name='ExpectedResult' [(ngModel)]='rowdata.expectedResult'&gt;
					&lt;/div&gt;</v>
      </c>
      <c r="L26" s="56" t="str">
        <f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28"/>
      <c r="N26" s="28"/>
      <c r="O26" s="28"/>
      <c r="P26" s="28"/>
      <c r="Q26" s="28"/>
      <c r="R26" s="28"/>
      <c r="S26" s="28" t="str">
        <f t="shared" si="23"/>
        <v xml:space="preserve">	expectedResult : string = '' ; </v>
      </c>
      <c r="T26" s="28" t="str">
        <f t="shared" si="27"/>
        <v xml:space="preserve">			this.resultField,</v>
      </c>
      <c r="U26" s="28" t="str">
        <f t="shared" si="24"/>
        <v xml:space="preserve">	expectedResult : string = '' ; </v>
      </c>
      <c r="V26" s="28" t="str">
        <f t="shared" si="25"/>
        <v/>
      </c>
    </row>
    <row r="27" spans="1:22" ht="15" customHeight="1" x14ac:dyDescent="0.25">
      <c r="A27" s="28" t="s">
        <v>375</v>
      </c>
      <c r="B27" s="28" t="str">
        <f t="shared" si="17"/>
        <v>ActualResult</v>
      </c>
      <c r="C27" s="28" t="str">
        <f t="shared" si="18"/>
        <v>Actual Result</v>
      </c>
      <c r="D27" s="28" t="str">
        <f t="shared" si="19"/>
        <v>actualResult</v>
      </c>
      <c r="E27" s="28" t="str">
        <f>A.Backend!H21</f>
        <v>string</v>
      </c>
      <c r="F27" s="28" t="str">
        <f>A.Backend!G21</f>
        <v>50</v>
      </c>
      <c r="G27" s="28" t="str">
        <f t="shared" si="20"/>
        <v xml:space="preserve"> : string = '' ; </v>
      </c>
      <c r="H27" s="35" t="str">
        <f t="shared" si="21"/>
        <v xml:space="preserve">			{headerName: this.l('Actual Result'),headerTooltip: this.l('Actual Result'),field: 'actualResult',flex: 1},</v>
      </c>
      <c r="I27" s="35" t="str">
        <f t="shared" si="29"/>
        <v xml:space="preserve">								&lt;div class='input-search'&gt;
									&lt;input [(ngModel)]='actualResult' name='actualResult'
									class='form-control' [placeholder]="l('Actual Result')"
									type='text' (keyup.enter)='searchDatas()'&gt;
								&lt;/div&gt;</v>
      </c>
      <c r="J27" s="28"/>
      <c r="K27" s="35" t="str">
        <f t="shared" si="22"/>
        <v xml:space="preserve">					&lt;div class='col-md-12 form-group row'&gt;
						&lt;label class='col-md-2 form-control title'&gt;Actual Result&lt;/label&gt;
						&lt;input type='text' class='col-md-10 form-control input-text' name='ActualResult' [(ngModel)]='rowdata.actualResult'&gt;
					&lt;/div&gt;</v>
      </c>
      <c r="L27" s="56" t="str">
        <f t="shared" ref="L27:L30" si="30"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23"/>
        <v xml:space="preserve">	actualResult : string = '' ; </v>
      </c>
      <c r="T27" s="28" t="str">
        <f t="shared" si="27"/>
        <v xml:space="preserve">			this.expectedResult,</v>
      </c>
      <c r="U27" s="28" t="str">
        <f t="shared" si="24"/>
        <v xml:space="preserve">	actualResult : string = '' ; </v>
      </c>
      <c r="V27" s="28" t="str">
        <f t="shared" si="25"/>
        <v/>
      </c>
    </row>
    <row r="28" spans="1:22" ht="18" customHeight="1" x14ac:dyDescent="0.25">
      <c r="A28" s="28" t="s">
        <v>381</v>
      </c>
      <c r="B28" s="28" t="str">
        <f t="shared" si="17"/>
        <v>LastValidationDatetime</v>
      </c>
      <c r="C28" s="28" t="str">
        <f t="shared" si="18"/>
        <v>Last Validation Datetime</v>
      </c>
      <c r="D28" s="28" t="str">
        <f t="shared" si="19"/>
        <v>lastValidationDatetime</v>
      </c>
      <c r="E28" s="28" t="str">
        <f>A.Backend!H22</f>
        <v>string</v>
      </c>
      <c r="F28" s="28" t="str">
        <f>A.Backend!G22</f>
        <v>50</v>
      </c>
      <c r="G28" s="28" t="str">
        <f t="shared" si="20"/>
        <v xml:space="preserve"> : string = '' ; </v>
      </c>
      <c r="H28" s="35" t="str">
        <f t="shared" si="21"/>
        <v xml:space="preserve">			{headerName: this.l('Last Validation Datetime'),headerTooltip: this.l('Last Validation Datetime'),field: 'lastValidationDatetime',flex: 1},</v>
      </c>
      <c r="I28" s="35" t="str">
        <f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IF(AND(E28="string",F28 &lt;&gt;"1"),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 xml:space="preserve">								&lt;div class='input-search'&gt;
									&lt;input [(ngModel)]='lastValidationDatetime' name='lastValidationDatetime'
									class='form-control' [placeholder]="l('Last Validation Datetime')"
									type='text' (keyup.enter)='searchDatas()'&gt;
								&lt;/div&gt;</v>
      </c>
      <c r="J28" s="28"/>
      <c r="K28" s="35" t="str">
        <f t="shared" si="22"/>
        <v xml:space="preserve">					&lt;div class='col-md-12 form-group row'&gt;
						&lt;label class='col-md-2 form-control title'&gt;Last Validation Datetime&lt;/label&gt;
						&lt;input type='text' class='col-md-10 form-control input-text' name='LastValidationDatetime' [(ngModel)]='rowdata.lastValidationDatetime'&gt;
					&lt;/div&gt;</v>
      </c>
      <c r="L28" s="56" t="str">
        <f t="shared" si="30"/>
        <v/>
      </c>
      <c r="M28" s="28"/>
      <c r="N28" s="28"/>
      <c r="O28" s="28"/>
      <c r="P28" s="28"/>
      <c r="Q28" s="28"/>
      <c r="R28" s="28"/>
      <c r="S28" s="28" t="str">
        <f t="shared" si="23"/>
        <v xml:space="preserve">	lastValidationDatetime : string = '' ; </v>
      </c>
      <c r="T28" s="28" t="str">
        <f t="shared" si="27"/>
        <v xml:space="preserve">			this.actualResult,</v>
      </c>
      <c r="U28" s="28" t="str">
        <f t="shared" si="24"/>
        <v xml:space="preserve">	lastValidationDatetime : string = '' ; </v>
      </c>
      <c r="V28" s="28" t="str">
        <f t="shared" si="25"/>
        <v/>
      </c>
    </row>
    <row r="29" spans="1:22" ht="15" customHeight="1" x14ac:dyDescent="0.25">
      <c r="A29" s="28" t="s">
        <v>376</v>
      </c>
      <c r="B29" s="28" t="str">
        <f t="shared" si="17"/>
        <v>Lastvalidationby</v>
      </c>
      <c r="C29" s="28" t="str">
        <f t="shared" si="18"/>
        <v>Lastvalidationby</v>
      </c>
      <c r="D29" s="28" t="str">
        <f t="shared" si="19"/>
        <v>lastvalidationby</v>
      </c>
      <c r="E29" s="28" t="str">
        <f>A.Backend!H23</f>
        <v>string</v>
      </c>
      <c r="F29" s="28" t="str">
        <f>A.Backend!G23</f>
        <v>50</v>
      </c>
      <c r="G29" s="28" t="str">
        <f t="shared" si="20"/>
        <v xml:space="preserve"> : string = '' ; </v>
      </c>
      <c r="H29" s="35" t="str">
        <f t="shared" si="21"/>
        <v xml:space="preserve">			{headerName: this.l('Lastvalidationby'),headerTooltip: this.l('Lastvalidationby'),field: 'lastvalidationby',flex: 1},</v>
      </c>
      <c r="I29" s="35" t="str">
        <f t="shared" ref="I29" si="31">IF(E29="DateTime",
REPT(CHAR(9),8)&amp;"&lt;div class='input-search'&gt;
"&amp;REPT(CHAR(9),9)&amp;"&lt;input type='text' [placeholder]=""l('"&amp;C29&amp;"')"" [(ngModel)]='"&amp;D29&amp;"' 
"&amp;REPT(CHAR(9),9)&amp;"name='"&amp;D29&amp;"'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IF(AND(E29="string",F29 &lt;&gt;"1"),
REPT(CHAR(9),8)&amp;"&lt;div class='input-search'&gt;
"&amp;REPT(CHAR(9),9)&amp;"&lt;input [(ngModel)]='"&amp;D29&amp;"' name='"&amp;D29&amp;"'
"&amp;REPT(CHAR(9),9)&amp;"class='form-control' [placeholder]=""l('"&amp;C29&amp;"')""
"&amp;REPT(CHAR(9),9)&amp;"type='text' (keyup.enter)='searchDatas()'&gt;
"&amp;REPT(CHAR(9),8)&amp;"&lt;/div&gt;",""))</f>
        <v xml:space="preserve">								&lt;div class='input-search'&gt;
									&lt;input [(ngModel)]='lastvalidationby' name='lastvalidationby'
									class='form-control' [placeholder]="l('Lastvalidationby')"
									type='text' (keyup.enter)='searchDatas()'&gt;
								&lt;/div&gt;</v>
      </c>
      <c r="J29" s="28"/>
      <c r="K29" s="35" t="str">
        <f t="shared" si="22"/>
        <v xml:space="preserve">					&lt;div class='col-md-12 form-group row'&gt;
						&lt;label class='col-md-2 form-control title'&gt;Lastvalidationby&lt;/label&gt;
						&lt;input type='text' class='col-md-10 form-control input-text' name='Lastvalidationby' [(ngModel)]='rowdata.lastvalidationby'&gt;
					&lt;/div&gt;</v>
      </c>
      <c r="L29" s="56" t="str">
        <f t="shared" si="30"/>
        <v/>
      </c>
      <c r="M29" s="28"/>
      <c r="N29" s="28"/>
      <c r="O29" s="28"/>
      <c r="P29" s="28"/>
      <c r="Q29" s="28"/>
      <c r="R29" s="28"/>
      <c r="S29" s="28" t="str">
        <f t="shared" si="23"/>
        <v xml:space="preserve">	lastvalidationby : string = '' ; </v>
      </c>
      <c r="T29" s="28" t="str">
        <f t="shared" si="27"/>
        <v xml:space="preserve">			this.lastValidationDatetime,</v>
      </c>
      <c r="U29" s="28" t="str">
        <f t="shared" si="24"/>
        <v xml:space="preserve">	lastvalidationby : string = '' ; </v>
      </c>
      <c r="V29" s="28" t="str">
        <f t="shared" si="25"/>
        <v/>
      </c>
    </row>
    <row r="30" spans="1:22" ht="18" customHeight="1" x14ac:dyDescent="0.25">
      <c r="A30" s="28" t="s">
        <v>382</v>
      </c>
      <c r="B30" s="28" t="str">
        <f t="shared" ref="B30:B32" si="32">SUBSTITUTE(PROPER(A30),"_","")</f>
        <v>LastValidationId</v>
      </c>
      <c r="C30" s="28" t="str">
        <f t="shared" ref="C30:C32" si="33">SUBSTITUTE(PROPER(A30),"_"," ")</f>
        <v>Last Validation Id</v>
      </c>
      <c r="D30" s="28" t="str">
        <f t="shared" ref="D30:D32" si="34">LOWER(LEFT(B30,1))&amp;RIGHT(B30,LEN(B30) - 1)</f>
        <v>lastValidationId</v>
      </c>
      <c r="E30" s="28" t="str">
        <f>A.Backend!H24</f>
        <v>long?</v>
      </c>
      <c r="F30" s="28" t="str">
        <f>A.Backend!G24</f>
        <v/>
      </c>
      <c r="G30" s="28" t="str">
        <f t="shared" ref="G30:G32" si="35">IF(E30="string"," : string = '' ; ",IF(OR(E30="DateTime",E30="TimeSpan")," : any ;",IF(E30="int"," : number = 0 ;","")))</f>
        <v/>
      </c>
      <c r="H30" s="35" t="str">
        <f t="shared" ref="H30:H32" si="36">IF(E30="DateTime",
REPT(CHAR(9),3)&amp;"{headerName: this.l('"&amp;C30&amp;"'),headerTooltip: this.l('"&amp;C30&amp;"'),field: '"&amp;D30&amp;"',valueGetter: (params) =&gt; this.pipe.transform(params.data?."&amp;D30&amp;", 'dd/MM/yyyy'),flex: 1},",
IF(AND(E30="string",F30="1"),
REPT(CHAR(9),3)&amp;"{headerName: this.l('"&amp;C30&amp;"'),headerTooltip: this.l('"&amp;C30&amp;"'),field:  '"&amp;D30&amp;"', cellClass: ['text-center'], width: 120, cellRenderer: 'agCellButtonComponent',
buttonDefTwo: { text: params =&gt; (params.data?.'"&amp;D30&amp;"' == 'Y') ? 'Active' : 'Inactive',iconName: 'fa fa-circle',className: params =&gt; (params.data?.'"&amp;D30&amp;"' == 'Y') ? 'btnActive' : 'btnInActive',},}",
REPT(CHAR(9),3)&amp;"{headerName: this.l('"&amp;C30&amp;"'),headerTooltip: this.l('"&amp;C30&amp;"'),field: '"&amp;D30&amp;"',flex: 1},"))</f>
        <v xml:space="preserve">			{headerName: this.l('Last Validation Id'),headerTooltip: this.l('Last Validation Id'),field: 'lastValidationId',flex: 1},</v>
      </c>
      <c r="I30" s="35" t="str">
        <f>IF(E30="DateTime",
REPT(CHAR(9),8)&amp;"&lt;div class='input-search'&gt;
"&amp;REPT(CHAR(9),9)&amp;"&lt;input type='text' [placeholder]=""l('"&amp;C30&amp;"')"" [(ngModel)]='"&amp;D30&amp;"' 
"&amp;REPT(CHAR(9),9)&amp;"name='"&amp;D30&amp;"'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IF(AND(E30="string",F30 &lt;&gt;"1"),
REPT(CHAR(9),8)&amp;"&lt;div class='input-search'&gt;
"&amp;REPT(CHAR(9),9)&amp;"&lt;input [(ngModel)]='"&amp;D30&amp;"' name='"&amp;D30&amp;"'
"&amp;REPT(CHAR(9),9)&amp;"class='form-control' [placeholder]=""l('"&amp;C30&amp;"')""
"&amp;REPT(CHAR(9),9)&amp;"type='text' (keyup.enter)='searchDatas()'&gt;
"&amp;REPT(CHAR(9),8)&amp;"&lt;/div&gt;",""))</f>
        <v/>
      </c>
      <c r="J30" s="28"/>
      <c r="K30" s="35" t="str">
        <f t="shared" ref="K30:K32" si="37">IF(OR(E30="DateTime?",E30="TimeSpan?"),
REPT(CHAR(9),5)&amp;"&lt;div class='col-md-12 form-group row'&gt;
"&amp;REPT(CHAR(9),6)&amp;"&lt;label class='col-md-2 form-control title'&gt;"&amp;C30&amp;"&lt;/label&gt;
"&amp;REPT(CHAR(9),6)&amp;"&lt;input type='text' class='col-md-10 form-control input-text' name='"&amp;D30&amp;"' 
"&amp;REPT(CHAR(9),6)&amp;"#datepicker='bsDatepicker' [(ngModel)]='rowdata."&amp;D30&amp;"'  bsDatepicker &gt;
"&amp;REPT(CHAR(9),5)&amp;"&lt;/div&gt;",
IF(AND(E30="string",F30="1"),
REPT(CHAR(9),5)&amp;"&lt;div class='col-md-12 form-group row'&gt;
"&amp;REPT(CHAR(9),6)&amp;"&lt;label class='col-md-2 form-control title'&gt;"&amp;C30&amp;"&lt;/label&gt;
"&amp;REPT(CHAR(9),6)&amp;"&lt;new-checkbox [(ngModel)]='_"&amp;D30&amp;"' name='"&amp;D30&amp;"' className='col-md-10' &gt; &lt;/new-checkbox&gt;
"&amp;REPT(CHAR(9),5)&amp;"&lt;/div&gt;",
IF(E30="string",
REPT(CHAR(9),5)&amp;"&lt;div class='col-md-12 form-group row'&gt;
"&amp;REPT(CHAR(9),6)&amp;"&lt;label class='col-md-2 form-control title'&gt;"&amp;C30&amp;"&lt;/label&gt;
"&amp;REPT(CHAR(9),6)&amp;"&lt;input type='text' class='col-md-10 form-control input-text' name='"&amp;B30&amp;"' [(ngModel)]='rowdata."&amp;D30&amp;"'&gt;
"&amp;REPT(CHAR(9),5)&amp;"&lt;/div&gt;",
IF(OR(E30="int?",E30="long?"),
REPT(CHAR(9),5)&amp;"&lt;div class='col-md-12 form-group row'&gt;
"&amp;REPT(CHAR(9),6)&amp;"&lt;label class='col-md-2 form-control title'&gt;"&amp;C30&amp;"&lt;/label&gt;
"&amp;REPT(CHAR(9),6)&amp;"&lt;input type='number' class='col-md-10 form-control input-text' name='"&amp;B30&amp;"' [(ngModel)]='rowdata."&amp;D30&amp;"'&gt;
"&amp;REPT(CHAR(9),5)&amp;"&lt;/div&gt;",""))))</f>
        <v xml:space="preserve">					&lt;div class='col-md-12 form-group row'&gt;
						&lt;label class='col-md-2 form-control title'&gt;Last Validation Id&lt;/label&gt;
						&lt;input type='number' class='col-md-10 form-control input-text' name='LastValidationId' [(ngModel)]='rowdata.lastValidationId'&gt;
					&lt;/div&gt;</v>
      </c>
      <c r="L30" s="56" t="str">
        <f t="shared" si="30"/>
        <v/>
      </c>
      <c r="M30" s="28"/>
      <c r="N30" s="28"/>
      <c r="O30" s="28"/>
      <c r="P30" s="28"/>
      <c r="Q30" s="28"/>
      <c r="R30" s="28"/>
      <c r="S30" s="28" t="str">
        <f t="shared" ref="S30:S32" si="38">IF(AND(E30="string",F30 &lt;&gt;"1"),(REPT(CHAR(9),1)&amp;D30&amp;G30),"")</f>
        <v/>
      </c>
      <c r="T30" s="28" t="str">
        <f>IF(AND(E30="string",F30 &lt;&gt;"1"),(REPT(CHAR(9),3)&amp;"this."&amp;D29&amp;","),"")</f>
        <v/>
      </c>
      <c r="U30" s="28" t="str">
        <f t="shared" ref="U30:U32" si="39">IF(AND(E30="string",F30 &lt;&gt;"1"),(REPT(CHAR(9),1)&amp;D30&amp;G30),"")</f>
        <v/>
      </c>
      <c r="V30" s="28" t="str">
        <f t="shared" ref="V30:V32" si="40">IF(AND(E30="string",F30="1"),D30,"")</f>
        <v/>
      </c>
    </row>
    <row r="31" spans="1:22" ht="18" customHeight="1" x14ac:dyDescent="0.25">
      <c r="A31" s="28" t="s">
        <v>377</v>
      </c>
      <c r="B31" s="28" t="str">
        <f t="shared" si="32"/>
        <v>Status</v>
      </c>
      <c r="C31" s="28" t="str">
        <f t="shared" si="33"/>
        <v>Status</v>
      </c>
      <c r="D31" s="28" t="str">
        <f t="shared" si="34"/>
        <v>status</v>
      </c>
      <c r="E31" s="28" t="str">
        <f>A.Backend!H25</f>
        <v>string</v>
      </c>
      <c r="F31" s="28" t="str">
        <f>A.Backend!G25</f>
        <v>50</v>
      </c>
      <c r="G31" s="28" t="str">
        <f t="shared" si="35"/>
        <v xml:space="preserve"> : string = '' ; </v>
      </c>
      <c r="H31" s="35" t="str">
        <f t="shared" si="36"/>
        <v xml:space="preserve">			{headerName: this.l('Status'),headerTooltip: this.l('Status'),field: 'status',flex: 1},</v>
      </c>
      <c r="I31" s="35" t="str">
        <f t="shared" ref="I31:I32" si="41">IF(E31="DateTime",
REPT(CHAR(9),8)&amp;"&lt;div class='input-search'&gt;
"&amp;REPT(CHAR(9),9)&amp;"&lt;input type='text' [placeholder]=""l('"&amp;C31&amp;"')"" [(ngModel)]='"&amp;D31&amp;"' 
"&amp;REPT(CHAR(9),9)&amp;"name='"&amp;D31&amp;"'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IF(AND(E31="string",F31 &lt;&gt;"1"),
REPT(CHAR(9),8)&amp;"&lt;div class='input-search'&gt;
"&amp;REPT(CHAR(9),9)&amp;"&lt;input [(ngModel)]='"&amp;D31&amp;"' name='"&amp;D31&amp;"'
"&amp;REPT(CHAR(9),9)&amp;"class='form-control' [placeholder]=""l('"&amp;C31&amp;"')""
"&amp;REPT(CHAR(9),9)&amp;"type='text' (keyup.enter)='searchDatas()'&gt;
"&amp;REPT(CHAR(9),8)&amp;"&lt;/div&gt;",""))</f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31" s="28"/>
      <c r="K31" s="35" t="str">
        <f t="shared" si="37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31" s="56" t="str">
        <f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28"/>
      <c r="N31" s="28"/>
      <c r="O31" s="28"/>
      <c r="P31" s="28"/>
      <c r="Q31" s="28"/>
      <c r="R31" s="28"/>
      <c r="S31" s="28" t="str">
        <f t="shared" si="38"/>
        <v xml:space="preserve">	status : string = '' ; </v>
      </c>
      <c r="T31" s="28" t="str">
        <f t="shared" ref="T31:T32" si="42">IF(AND(E31="string",F31 &lt;&gt;"1"),(REPT(CHAR(9),3)&amp;"this."&amp;D30&amp;","),"")</f>
        <v xml:space="preserve">			this.lastValidationId,</v>
      </c>
      <c r="U31" s="28" t="str">
        <f t="shared" si="39"/>
        <v xml:space="preserve">	status : string = '' ; </v>
      </c>
      <c r="V31" s="28" t="str">
        <f t="shared" si="40"/>
        <v/>
      </c>
    </row>
    <row r="32" spans="1:22" ht="15" customHeight="1" x14ac:dyDescent="0.25">
      <c r="A32" s="28" t="s">
        <v>383</v>
      </c>
      <c r="B32" s="28" t="str">
        <f t="shared" si="32"/>
        <v>ErrorMessage</v>
      </c>
      <c r="C32" s="28" t="str">
        <f t="shared" si="33"/>
        <v>Error Message</v>
      </c>
      <c r="D32" s="28" t="str">
        <f t="shared" si="34"/>
        <v>errorMessage</v>
      </c>
      <c r="E32" s="28" t="str">
        <f>A.Backend!H26</f>
        <v>string</v>
      </c>
      <c r="F32" s="28" t="str">
        <f>A.Backend!G26</f>
        <v>5000</v>
      </c>
      <c r="G32" s="28" t="str">
        <f t="shared" si="35"/>
        <v xml:space="preserve"> : string = '' ; </v>
      </c>
      <c r="H32" s="35" t="str">
        <f t="shared" si="36"/>
        <v xml:space="preserve">			{headerName: this.l('Error Message'),headerTooltip: this.l('Error Message'),field: 'errorMessage',flex: 1},</v>
      </c>
      <c r="I32" s="35" t="str">
        <f t="shared" si="41"/>
        <v xml:space="preserve">								&lt;div class='input-search'&gt;
									&lt;input [(ngModel)]='errorMessage' name='errorMessage'
									class='form-control' [placeholder]="l('Error Message')"
									type='text' (keyup.enter)='searchDatas()'&gt;
								&lt;/div&gt;</v>
      </c>
      <c r="J32" s="28"/>
      <c r="K32" s="35" t="str">
        <f t="shared" si="37"/>
        <v xml:space="preserve">					&lt;div class='col-md-12 form-group row'&gt;
						&lt;label class='col-md-2 form-control title'&gt;Error Message&lt;/label&gt;
						&lt;input type='text' class='col-md-10 form-control input-text' name='ErrorMessage' [(ngModel)]='rowdata.errorMessage'&gt;
					&lt;/div&gt;</v>
      </c>
      <c r="L32" s="56" t="str">
        <f t="shared" ref="L32" si="43">IF(E32="DateTime",
REPT(CHAR(9),2)&amp;"const dateValue =  this.rowdata."&amp;D32&amp;" ? new Date(this.rowdata."&amp;D32&amp;"?.toString()) : new Date();
"&amp;REPT(CHAR(9),2)&amp;"this.datepicker?.bsValueChange.emit(dateValue);","")</f>
        <v/>
      </c>
      <c r="M32" s="28"/>
      <c r="N32" s="28"/>
      <c r="O32" s="28"/>
      <c r="P32" s="28"/>
      <c r="Q32" s="28"/>
      <c r="R32" s="28"/>
      <c r="S32" s="28" t="str">
        <f t="shared" si="38"/>
        <v xml:space="preserve">	errorMessage : string = '' ; </v>
      </c>
      <c r="T32" s="28" t="str">
        <f t="shared" si="42"/>
        <v xml:space="preserve">			this.status,</v>
      </c>
      <c r="U32" s="28" t="str">
        <f t="shared" si="39"/>
        <v xml:space="preserve">	errorMessage : string = '' ; </v>
      </c>
      <c r="V32" s="28" t="str">
        <f t="shared" si="40"/>
        <v/>
      </c>
    </row>
    <row r="33" spans="1:22" ht="18" customHeight="1" x14ac:dyDescent="0.25">
      <c r="A33" s="28" t="s">
        <v>378</v>
      </c>
      <c r="B33" s="28" t="str">
        <f t="shared" si="13"/>
        <v>Isactive</v>
      </c>
      <c r="C33" s="28" t="str">
        <f t="shared" si="14"/>
        <v>Isactive</v>
      </c>
      <c r="D33" s="28" t="str">
        <f t="shared" si="5"/>
        <v>isactive</v>
      </c>
      <c r="E33" s="28" t="str">
        <f>A.Backend!H27</f>
        <v>string</v>
      </c>
      <c r="F33" s="28" t="str">
        <f>A.Backend!G27</f>
        <v>1</v>
      </c>
      <c r="G33" s="28" t="str">
        <f t="shared" si="6"/>
        <v xml:space="preserve"> : string = '' ; </v>
      </c>
      <c r="H33" s="35" t="str">
        <f t="shared" si="7"/>
        <v xml:space="preserve">			{headerName: this.l('Isactive'),headerTooltip: this.l('Isactive'),field: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3" s="35" t="str">
        <f t="shared" si="2"/>
        <v/>
      </c>
      <c r="J33" s="28"/>
      <c r="K33" s="35" t="str">
        <f t="shared" si="8"/>
        <v xml:space="preserve">					&lt;div class='col-md-12 form-group row'&gt;
						&lt;label class='col-md-2 form-control title'&gt;Isactive&lt;/label&gt;
						&lt;new-checkbox [(ngModel)]='_isactive' name='isactive' className='col-md-10' &gt; &lt;/new-checkbox&gt;
					&lt;/div&gt;</v>
      </c>
      <c r="L33" s="56" t="str">
        <f t="shared" si="16"/>
        <v/>
      </c>
      <c r="M33" s="28"/>
      <c r="N33" s="28"/>
      <c r="O33" s="28"/>
      <c r="P33" s="28"/>
      <c r="Q33" s="28"/>
      <c r="R33" s="28"/>
      <c r="S33" s="28" t="str">
        <f t="shared" si="10"/>
        <v/>
      </c>
      <c r="T33" s="28" t="str">
        <f>IF(AND(E33="string",F33 &lt;&gt;"1"),(REPT(CHAR(9),3)&amp;"this."&amp;D20&amp;","),"")</f>
        <v/>
      </c>
      <c r="U33" s="28" t="str">
        <f t="shared" si="11"/>
        <v/>
      </c>
      <c r="V33" s="28" t="str">
        <f t="shared" si="12"/>
        <v>isactive</v>
      </c>
    </row>
    <row r="35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33" sqref="B33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351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2023-07-24T07:26:45Z</dcterms:modified>
</cp:coreProperties>
</file>
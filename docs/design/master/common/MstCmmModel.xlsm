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comm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5" l="1"/>
  <c r="G11" i="1"/>
  <c r="F17" i="5" s="1"/>
  <c r="E11" i="1"/>
  <c r="H11" i="1" s="1"/>
  <c r="E17" i="5" s="1"/>
  <c r="D11" i="1"/>
  <c r="T11" i="1" s="1"/>
  <c r="B17" i="5" l="1"/>
  <c r="D17" i="5" s="1"/>
  <c r="I17" i="5" s="1"/>
  <c r="G17" i="5"/>
  <c r="L17" i="5"/>
  <c r="M11" i="1"/>
  <c r="I11" i="1"/>
  <c r="N11" i="1"/>
  <c r="V11" i="1"/>
  <c r="J11" i="1"/>
  <c r="O11" i="1"/>
  <c r="W11" i="1"/>
  <c r="P11" i="1"/>
  <c r="U17" i="5" l="1"/>
  <c r="H17" i="5"/>
  <c r="V17" i="5"/>
  <c r="K17" i="5"/>
  <c r="S17" i="5"/>
  <c r="T17" i="5"/>
  <c r="W3" i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V10" i="1" l="1"/>
  <c r="T10" i="1"/>
  <c r="C15" i="5"/>
  <c r="B15" i="5"/>
  <c r="D15" i="5" s="1"/>
  <c r="V13" i="1"/>
  <c r="V12" i="5" l="1"/>
  <c r="L12" i="5"/>
  <c r="U12" i="5"/>
  <c r="S12" i="5"/>
  <c r="H12" i="5"/>
  <c r="K12" i="5"/>
  <c r="T12" i="5"/>
  <c r="I12" i="5"/>
  <c r="T15" i="5"/>
  <c r="C16" i="5"/>
  <c r="B16" i="5"/>
  <c r="D16" i="5" s="1"/>
  <c r="T16" i="5" s="1"/>
  <c r="R3" i="1" l="1"/>
  <c r="D1" i="1"/>
  <c r="F6" i="1"/>
  <c r="T13" i="5"/>
  <c r="G9" i="1" l="1"/>
  <c r="F15" i="5" s="1"/>
  <c r="G10" i="1"/>
  <c r="F16" i="5" s="1"/>
  <c r="E9" i="1"/>
  <c r="H9" i="1" s="1"/>
  <c r="E10" i="1"/>
  <c r="H10" i="1" s="1"/>
  <c r="E16" i="5" s="1"/>
  <c r="P9" i="1"/>
  <c r="P10" i="1"/>
  <c r="T13" i="1"/>
  <c r="O10" i="1" l="1"/>
  <c r="M10" i="1"/>
  <c r="N10" i="1"/>
  <c r="O9" i="1"/>
  <c r="M9" i="1"/>
  <c r="N9" i="1"/>
  <c r="E15" i="5"/>
  <c r="W9" i="1"/>
  <c r="W10" i="1"/>
  <c r="T7" i="1"/>
  <c r="I10" i="1"/>
  <c r="I9" i="1"/>
  <c r="W13" i="1"/>
  <c r="L16" i="5" l="1"/>
  <c r="H16" i="5"/>
  <c r="I16" i="5"/>
  <c r="K16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6" i="1"/>
  <c r="H13" i="5"/>
  <c r="L13" i="5"/>
  <c r="U13" i="5"/>
  <c r="V13" i="5"/>
  <c r="K13" i="5"/>
  <c r="I13" i="5"/>
  <c r="S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l="1"/>
  <c r="L9" i="1"/>
  <c r="L10" i="1"/>
  <c r="J9" i="1"/>
  <c r="J10" i="1"/>
  <c r="C7" i="1"/>
  <c r="J13" i="1"/>
  <c r="O13" i="1"/>
  <c r="N13" i="1"/>
  <c r="P13" i="1"/>
  <c r="I13" i="1"/>
  <c r="Q7" i="1" l="1"/>
  <c r="M47" i="3" s="1"/>
  <c r="L7" i="1"/>
  <c r="G47" i="3" s="1"/>
  <c r="K47" i="3"/>
  <c r="J47" i="3"/>
  <c r="K13" i="1"/>
  <c r="M13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<sst xmlns="http://schemas.openxmlformats.org/spreadsheetml/2006/main" count="378" uniqueCount="310">
  <si>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</si>
  <si>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</si>
  <si>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</si>
  <si>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</si>
  <si>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</si>
  <si>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</si>
  <si>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</si>
  <si>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</si>
  <si>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</si>
  <si>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</si>
  <si>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</si>
  <si>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</si>
  <si>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</si>
  <si>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</si>
  <si>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</si>
  <si>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</si>
  <si>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</si>
  <si>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</si>
  <si>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</si>
  <si>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</si>
  <si>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</si>
  <si>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</si>
  <si>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</si>
  <si>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</si>
  <si>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</si>
  <si>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</si>
  <si>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</si>
  <si>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</si>
  <si>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</si>
  <si>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</si>
  <si>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</si>
  <si>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</si>
  <si>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</si>
  <si>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</si>
  <si>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</si>
  <si>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</si>
  <si>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</si>
  <si>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</si>
  <si>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</si>
  <si>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</si>
  <si>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</si>
  <si>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</si>
  <si>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</si>
  <si>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</si>
  <si>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</si>
  <si>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</si>
  <si>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</si>
  <si>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</si>
  <si>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</si>
  <si>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</si>
  <si>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</si>
  <si>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</si>
  <si>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</si>
  <si>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</si>
  <si>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</si>
  <si>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</si>
  <si>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</si>
  <si>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</si>
  <si>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</si>
  <si>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</si>
  <si>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</si>
  <si>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</si>
  <si>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</si>
  <si>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</si>
  <si>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</si>
  <si>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</si>
  <si>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</si>
  <si>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</si>
  <si>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</si>
  <si>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</si>
  <si>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</si>
  <si>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</si>
  <si>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</si>
  <si>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</si>
  <si>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</si>
  <si>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</si>
  <si>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</si>
  <si>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</si>
  <si>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</si>
  <si>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</si>
  <si>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</si>
  <si>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</si>
  <si>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</si>
  <si>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</si>
  <si>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</si>
  <si>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</si>
  <si>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</si>
  <si>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</si>
  <si>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</si>
  <si>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</si>
  <si>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</si>
  <si>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</si>
  <si>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</si>
  <si>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</si>
  <si>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</si>
  <si>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</si>
  <si>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</si>
  <si>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</si>
  <si>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</si>
  <si>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</si>
  <si>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</si>
  <si>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</si>
  <si>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</si>
  <si>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</si>
  <si>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</si>
  <si>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</si>
  <si>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</si>
  <si>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</si>
  <si>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</si>
  <si>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</si>
  <si>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</si>
  <si>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</si>
  <si>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</si>
  <si>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</si>
  <si>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</si>
  <si>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</si>
  <si>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</si>
  <si>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</si>
  <si>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</si>
  <si>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</si>
  <si>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</si>
  <si>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</si>
  <si>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</si>
  <si>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</si>
  <si>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</si>
  <si>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</si>
  <si>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</si>
  <si>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</si>
  <si>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</si>
  <si>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</si>
  <si>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</si>
  <si>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</si>
  <si>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</si>
  <si>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</si>
  <si>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</si>
  <si>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</si>
  <si>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</si>
  <si>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</si>
  <si>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</si>
  <si>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</si>
  <si>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</si>
  <si>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</si>
  <si>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</si>
  <si>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</si>
  <si>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</si>
  <si>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</si>
  <si>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</si>
  <si>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</si>
  <si>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</si>
  <si>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</si>
  <si>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</si>
  <si>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</si>
  <si>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</si>
  <si>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</si>
  <si>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</si>
  <si>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</si>
  <si>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</si>
  <si>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</si>
  <si>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</si>
  <si>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</si>
  <si>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</si>
  <si>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</si>
  <si>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</si>
  <si>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</si>
  <si>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</si>
  <si>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</si>
  <si>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</si>
  <si>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</si>
  <si>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</si>
  <si>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</si>
  <si>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</si>
  <si>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</si>
  <si>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</si>
  <si>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</si>
  <si>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</si>
  <si>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</si>
  <si>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</si>
  <si>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</si>
  <si>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</si>
  <si>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</si>
  <si>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</si>
  <si>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</si>
  <si>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</si>
  <si>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</si>
  <si>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</si>
  <si>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</si>
  <si>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</si>
  <si>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</si>
  <si>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</si>
  <si>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</si>
  <si>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</si>
  <si>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</si>
  <si>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</si>
  <si>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</si>
  <si>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</si>
  <si>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</si>
  <si>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</si>
  <si>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</si>
  <si>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</si>
  <si>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</si>
  <si>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</si>
  <si>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</si>
  <si>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</si>
  <si>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</si>
  <si>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</si>
  <si>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</si>
  <si>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</si>
  <si>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</si>
  <si>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</si>
  <si>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</si>
  <si>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</si>
  <si>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</si>
  <si>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</si>
  <si>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</si>
  <si>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</si>
  <si>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</si>
  <si>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</si>
  <si>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</si>
  <si>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</si>
  <si>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</si>
  <si>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</si>
  <si>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</si>
  <si>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</si>
  <si>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</si>
  <si>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</si>
  <si>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</si>
  <si>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</si>
  <si>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</si>
  <si>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</si>
  <si>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</si>
  <si>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</si>
  <si>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</si>
  <si>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</si>
  <si>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</si>
  <si>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</si>
  <si>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</si>
  <si>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</si>
  <si>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</si>
  <si>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</si>
  <si>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</si>
  <si>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</si>
  <si>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</si>
  <si>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</si>
  <si>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</si>
  <si>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</si>
  <si>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</si>
  <si>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</si>
  <si>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</si>
  <si>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</si>
  <si>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</si>
  <si>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</si>
  <si>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</si>
  <si>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</si>
  <si>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</si>
  <si>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</si>
  <si>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</si>
  <si>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</si>
  <si>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</si>
  <si>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</si>
  <si>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</si>
  <si>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</si>
  <si>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</si>
  <si>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</si>
  <si>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</si>
  <si>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</si>
  <si>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</si>
  <si>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</si>
  <si>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</si>
  <si>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</si>
  <si>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</si>
  <si>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</si>
  <si>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</si>
  <si>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</si>
  <si>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</si>
  <si>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</si>
  <si>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</si>
  <si>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</si>
  <si>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</si>
  <si>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</si>
  <si>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</si>
  <si>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</si>
  <si>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</si>
  <si>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</si>
  <si>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</si>
  <si>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</si>
  <si>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</si>
  <si>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</si>
  <si>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</si>
  <si>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</si>
  <si>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</si>
  <si>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</si>
  <si>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</si>
  <si>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</si>
  <si>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</si>
  <si>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</si>
  <si>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</si>
  <si>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</si>
  <si>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</si>
  <si>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</si>
  <si>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</si>
  <si>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</si>
  <si>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</si>
  <si>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</si>
  <si>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</si>
  <si>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Master.Cmm</t>
  </si>
  <si>
    <t>CODE</t>
  </si>
  <si>
    <t>NAME</t>
  </si>
  <si>
    <t>MstCmmModel</t>
  </si>
  <si>
    <t>Model</t>
  </si>
  <si>
    <t>Master Common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</si>
</sst>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26" workbookViewId="0">
      <selection activeCell="C54" sqref="C5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vovina.Master.Cmm
{
	[Table("MstCmmModel")]
	[Index(nameof(Code), Name="IX_MstCmmModel_Code")]
	[Index(nameof(IsActive), Name="IX_MstCmmModel_IsActive")]	public class MstCmmModel: FullAuditedEntity&lt;long&gt;, IEntity&lt;long&gt;	
	{
		public const int MaxCodeLength = 50;
		public const int MaxNameLength = 50;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47" s="51" t="str">
        <f>A.Backend!O7</f>
        <v xml:space="preserve">		public const string Pages_Master_Cmm_Model = "Pages.Master.Cmm.Model";
		public const string Pages_Master_Cmm_Model_CreateEdit = "Pages.Master.Cmm.Model.CreateEdit";
		public const string Pages_Master_Cmm_Model_Delete = "Pages.Master.Cmm.Model.Delete";
</v>
      </c>
      <c r="E47" s="51" t="str">
        <f>A.Backend!N7</f>
        <v xml:space="preserve">		var perMstCmmModel = PARENTS.CreateChildPermission(AppPermissions.Pages_Master_Cmm_Model, L( "MasterCmmModel"));
		perMstCmmModel.CreateChildPermission(AppPermissions.Pages_Master_Cmm_Model_CreateEdit, L( "MasterCmmModelCreateEdit"));
		perMstCmmModel.CreateChildPermission(AppPermissions.Pages_Master_Cmm_Model_Delete, L( "MasterCmmModelDelete"));</v>
      </c>
      <c r="F47" s="51" t="str">
        <f>A.Backend!K7</f>
        <v>public virtual DbSet&lt;MstCmmModel&gt; MstCmmModels { get; set; }</v>
      </c>
      <c r="G47" s="51" t="str">
        <f ca="1">A.Backend!L7</f>
        <v xml:space="preserve">namespace vovina.Master.Cmm
{
	public class MstCmmModelConsts	
	{
		public const int MaxCodeLength = 50;
		public const int MaxNameLength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vovina.Master.Cmm.Dto
{
	public class MstCmmModelDto : EntityDto&lt;long?&gt;	
	{
		public virtual string Code { get; set; }
		public virtual string Name { get; set; }
		public virtual string IsActive { get; set; }
	}
	public class CreateOrEditMstCmmModelDto : EntityDto&lt;long?&gt;	
	{
		[StringLength(MstCmmModelConsts.MaxCodeLength)]
		public virtual string Code { get; set; }
		[StringLength(MstCmmModelConsts.MaxNameLength)]
		public virtual string Name { get; set; }
		[StringLength(MstCmmModelConsts.MaxIsActiveLength)]
		public virtual string IsActive { get; set; }
	}
	public class GetMstCmmModelInput : PagedAndSortedResultRequestDto	
	{
		public virtual string Code { get; set; }
		public virtual string Name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vovina.Master.Cmm.Dto
{
	public class MstCmmModelExportInput{
		public virtual string Code { get; set; }
		public virtual string Name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vovina.Master.Cmm.Dto;
namespace vovina.Master.Cmm
{
	public interface IMstCmmModelAppService : IApplicationService
	{
		Task&lt;PagedResultDto&lt;MstCmmModelDto&gt;&gt; GetAll(GetMstCmmModelInput input);
		Task CreateOrEdit(CreateOrEditMstCmmModelDto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vovina.Master.Cmm.Dto;
namespace vovina.Master.Cmm.Exporting
{
	public interface IMstCmmModelExcelExporter : IApplicationService
	{
		FileDto ExportToFile(List&lt;MstCmmModelDto&gt; mstcmmmodel);
	}
}
</v>
      </c>
      <c r="L47" s="51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MstCmmModelExcelExporter : NpoiExcelExporterBase, IMstCmmModelExcelExporter
    {
        public MstCmmModelExcelExporter(ITempFileCacheManager tempFileCacheManager) : base(tempFileCacheManager) { }
        public FileDto ExportToFile(List&lt;MstCmmModelDto&gt; model)
        {
            return CreateExcelPackage(
				"MasterCmmModel.xlsx",
				excelPackage =&gt;
				 {
					var sheet = excelPackage.CreateSheet("Model");
					AddHeader(
								sheet,
								("Code"),
								("Name"),
								("IsActive"),
							   );
					AddObjects(
						 sheet, 1, model,                                       
								_ =&gt; _.Code,
								_ =&gt; _.Name,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[AbpAuthorize(AppPermissions.Pages_Master_Cmm_Model)]
    public class MstCmmModelAppService : vovinaAppServiceBase, IMstCmmModelAppService
    {
        private readonly IDapperRepository&lt;MstCmmModel, long&gt; _dapperRepo;
        private readonly IRepository&lt;MstCmmModel, long&gt; _repo;
        private readonly IMstCmmModelExcelExporter _calendarListExcelExporter;
        public MstCmmModelAppService(IRepository&lt;MstCmmModel,long&gt; repo, 
                                         IDapperRepository&lt;MstCmmModel,long&gt; dapperRepo,
                                        IMstCmmModelExcelExporter calendarListExcelExporter
            )
        {
            _repo = repo;
            _dapperRepo = dapperRepo;
            _calendarListExcelExporter = calendarListExcelExporter;
        }
        [AbpAuthorize(AppPermissions.Pages_Master_Cmm_Model_CreateEdit)]
        public async Task CreateOrEdit(CreateOrEditMstCmmModelDto input)
        {
            if (input.Id == null) await Create(input);
            else await Update(input);
        }
        //CREATE
        private async Task Create(CreateOrEditMstCmmModelDto input)
        {          
            var mainObj = ObjectMapper.Map&lt;MstCmmModel&gt;(input);
            await CurrentUnitOfWork.GetDbContext&lt;vovinaDbContext&gt;().AddAsync(mainObj);
        }
        // EDIT
        private async Task Update(CreateOrEditMstCmmModelDto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[AbpAuthorize(AppPermissions.Pages_Master_Cmm_Model_Delete)]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Task&lt;PagedResultDto&lt;MstCmmModelDto&gt;&gt; GetAll(GetMstCmmModelInput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MstCmmModelDto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PagedResultDto&lt;MstCmmModelDto&gt;(
                totalCount,
                 await paged.ToListAsync()
            );
        }
        public async Task&lt;FileDto&gt; GetModelToExcel(MstCmmModelExportInput input)
        {
            var query = from o in _repo.GetAll()
                        select new MstCmmModelDto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_dapperRepo.ExecuteAsync(MstCmmModelConsts.SP_MST_WPT_CALENDAR_GENERATE);
       // }
    }
}</v>
      </c>
      <c r="N47" s="62" t="str">
        <f>A.Backend!U7</f>
        <v xml:space="preserve">  configuration.CreateMap&lt;MstCmmModelDto, MstCmmModel&gt;();
  configuration.CreateMap&lt;MstCmmModel, MstCmmModelDto&gt;();
  configuration.CreateMap&lt;CreateOrEditMstCmmModelDto, MstCmmModel&gt;();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model</v>
      </c>
      <c r="C52" s="72" t="str">
        <f>"create folder " &amp;B52</f>
        <v>create folder model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model.component.ts</v>
      </c>
      <c r="D53" s="31" t="str">
        <f>B.Frontend!I14</f>
        <v>model.component.html</v>
      </c>
      <c r="E53" s="31" t="str">
        <f>B.Frontend!J14</f>
        <v>model.component.less</v>
      </c>
      <c r="F53" s="31" t="str">
        <f>B.Frontend!K14</f>
        <v>create-or-edit-model-modal.component.html</v>
      </c>
      <c r="G53" s="31" t="str">
        <f>B.Frontend!L14</f>
        <v>create-or-edit-model-modal.component.ts</v>
      </c>
      <c r="H53" s="31" t="str">
        <f>B.Frontend!M14</f>
        <v>create-or-edit-model-modal.component.less</v>
      </c>
      <c r="I53" s="31" t="str">
        <f>B.Frontend!N14</f>
        <v>model.module.ts</v>
      </c>
      <c r="J53" s="31" t="str">
        <f>B.Frontend!O14</f>
        <v>model-routing.module.ts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MstCmmModelDto, MstCmmModelServiceProxy } from '@shared/service-proxies/service-proxies';
import { finalize } from 'rxjs/internal/operators/finalize';
import { CreateOrEditModelModalComponent } from './create-or-edit-model-modal.component';
import { DatePipe } from '@angular/common';
import { FileDownloadService } from '@shared/utils/file-download.service';
import ceil from 'lodash-es/ceil';
import { Paginator } from 'primeng/paginator';
@Component({
    templateUrl: './model.component.html',
    styleUrls: ['./model.component.less'],
})
export class ModelComponent extends AppComponentBase implements OnInit {
    @ViewChild('createOrEditModalModel', { static: true }) createOrEditModalModel:| CreateOrEditModelModalComponent|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MstCmmModelDto = new MstCmmModelDto();
    saveSelectedRow: MstCmmModelDto = new MstCmmModelDto();
    datas: MstCmmModelDto = new MstCmmModelDto();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MstCmmModelServiceProxy,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MstCmmModelDto[] } }) {
        this.saveSelectedRow = params.api.getSelectedRows()[0] ?? new MstCmmModelDto();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MstCmmModelDto):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this._service.getModelToExcel(
			this.code,
			this.name,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Model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(click)="createOrEditModalModel.show()"&gt;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(click)="createOrEditModalModel.show(selectedRow)"&gt;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&lt;create-or-edit-model-modal
    #createOrEditModalModel
    (modalSave)="callBackDataGrid(dataParams)"
    (modalClose)="onChangeRowSelection(dataParams)"
&gt;
&lt;/create-or-edit-model-modal&gt;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#createOrEditModalModel="bs-modal"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Model')}}&lt;/h3&gt;
                    &lt;h3 *ngIf="!rowdata.id"&gt;{{('Create New Model')}}&lt;/h3&gt;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CreateOrEditMstCmmModelDto, MstCmmModelServiceProxy } from '@shared/service-proxies/service-proxies';
import { BsDatepickerDirective } from 'ngx-bootstrap/datepicker';
@Component({
    selector: 'create-or-edit-model-modal',
    templateUrl: './create-or-edit-model-modal.component.html',
    styleUrls: ['./create-or-edit-model-modal.component.less']
    })
export class CreateOrEditModelModalComponent extends AppComponentBase {
    @ViewChild('createOrEditModalModel',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CreateOrEditMstCmmModelDto = new CreateOrEditMstCmmModelDto();
    active: boolean = false;
    saving: boolean = false;
    _isActive: boolean;
    constructor(
        injector: Injector,
        private _mstwptModelService: MstCmmModelServiceProxy,
    ) 
    {
        super(injector);
    }
    show(rowdata?: CreateOrEditMstCmmModelDto): void {
        if (!rowdata) this.rowdata = new CreateOrEditMstCmmModelDto();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this._mstwptModelService.createOrEdit(this.rowdata)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ModelRoutingModule } from './model-routing.module';
import { ModelComponent } from './model.component';
import { CreateOrEditModelModalComponent } from './create-or-edit-model-modal.component';
@NgModule({
    declarations: [
       ModelComponent, 
        CreateOrEditModelModalComponent
    ],
    imports: [
        AppSharedModule, ModelRoutingModule]
})
export class ModelModule {}</v>
      </c>
      <c r="J54" s="49" t="str">
        <f>B.Frontend!O10</f>
        <v>import {NgModule} from '@angular/core';
import {RouterModule, Routes} from '@angular/router';
import { ModelComponent } from './model.component';
const routes: Routes = [{
    path: '',
    component: ModelComponent,
    pathMatch: 'full'
}];
@NgModule({
    imports: [RouterModule.forChild(routes)],
    exports: [RouterModule],
})
export class ModelRoutingModule {}</v>
      </c>
      <c r="K54" s="49" t="str">
        <f>B.Frontend!P10</f>
        <v xml:space="preserve"> new AppMenuItem("Model", "Pages.Master.Cmm.Model", "flaticon-book",   "/app/main/master/cmm/model"),</v>
      </c>
      <c r="L54" s="50" t="str">
        <f>B.Frontend!Q10</f>
        <v>{
    path: 'master/cmm/model',
    loadChildren: () =&gt; import('./master/cmm/model/model.module').then(m =&gt; m.ModelModule),
    data: { permission: 'Pages.Master.Cmm.Model' }
},</v>
      </c>
      <c r="M54" s="48" t="str">
        <f>B.Frontend!R10</f>
        <v>ApiServiceProxies.MstCmmModelServiceProxy,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K9" sqref="K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307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Cmm</v>
      </c>
      <c r="R3" s="32" t="str">
        <f>REPT(CHAR(9),1)&amp;"public class "&amp;B3&amp;"ExportInput"&amp;C3</f>
        <v xml:space="preserve">	public class MstCmmModelExportInput{
</v>
      </c>
      <c r="S3" s="11" t="str">
        <f>"namespace "&amp;$B$6&amp;".Exporting
"&amp;$C$3</f>
        <v xml:space="preserve">namespace vovina.Master.Cmm.Exporting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vovina.Master.Cmm</v>
      </c>
      <c r="C6" s="11" t="str">
        <f>"namespace "&amp;$B$6&amp;"
"&amp;$C$3</f>
        <v xml:space="preserve">namespace vovina.Master.Cmm
{
</v>
      </c>
      <c r="D6" s="11" t="str">
        <f>REPT(CHAR(9),1)&amp;"public class "&amp;B3&amp;G3&amp;REPT(CHAR(9),1)&amp;"
"&amp;REPT(CHAR(9),1)&amp;C3</f>
        <v xml:space="preserve">	public class MstCmmModel: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MstCmmModelConsts	
	{
</v>
      </c>
      <c r="F6" s="11" t="str">
        <f>REPT(CHAR(9),1)&amp;"public class "&amp;B3&amp;"Dto"&amp;K3&amp;REPT(CHAR(9),1)&amp;"
"&amp;REPT(CHAR(9),1)&amp;C3</f>
        <v xml:space="preserve">	public class MstCmmModelDto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CreateOrEditMstCmmModelDto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GetMstCmmModelInput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MstCmmModel</v>
      </c>
      <c r="C7" s="11" t="str">
        <f>REPT(CHAR(9),1)&amp;"[Table("""&amp;B7&amp;""")]"&amp;"
"</f>
        <v xml:space="preserve">	[Table("MstCmmModel")]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vovina.Master.Cmm
{
	[Table("MstCmmModel")]
	[Index(nameof(Code), Name="IX_MstCmmModel_Code")]
	[Index(nameof(IsActive), Name="IX_MstCmmModel_IsActive")]	public class MstCmmModel: FullAuditedEntity&lt;long&gt;, IEntity&lt;long&gt;	
	{
		public const int MaxCodeLength = 50;
		public const int MaxNameLength = 50;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DbSet&lt;MstCmmModel&gt; MstCmmModels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vovina.Master.Cmm
{
	public class MstCmmModelConsts	
	{
		public const int MaxCodeLength = 50;
		public const int MaxNameLength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vovina.Master.Cmm.Dto
{
	public class MstCmmModelDto : EntityDto&lt;long?&gt;	
	{
		public virtual string Code { get; set; }
		public virtual string Name { get; set; }
		public virtual string IsActive { get; set; }
	}
	public class CreateOrEditMstCmmModelDto : EntityDto&lt;long?&gt;	
	{
		[StringLength(MstCmmModelConsts.MaxCodeLength)]
		public virtual string Code { get; set; }
		[StringLength(MstCmmModelConsts.MaxNameLength)]
		public virtual string Name { get; set; }
		[StringLength(MstCmmModelConsts.MaxIsActiveLength)]
		public virtual string IsActive { get; set; }
	}
	public class GetMstCmmModelInput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perMstCmmModel = PARENTS.CreateChildPermission(AppPermissions.Pages_Master_Cmm_Model, L( "MasterCmmModel"));
		perMstCmmModel.CreateChildPermission(AppPermissions.Pages_Master_Cmm_Model_CreateEdit, L( "MasterCmmModelCreateEdit"));
		perMstCmmModel.CreateChildPermission(AppPermissions.Pages_Master_Cmm_Model_Delete, L( "MasterCmmModelDelete"));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Pages_Master_Cmm_Model = "Pages.Master.Cmm.Model";
		public const string Pages_Master_Cmm_Model_CreateEdit = "Pages.Master.Cmm.Model.CreateEdit";
		public const string Pages_Master_Cmm_Model_Delete = "Pages.Master.Cmm.Model.Delete";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vovina.Master.Cmm
{
	public interface IMstCmmModelAppService : IApplicationService
	{
		Task&lt;PagedResultDto&lt;MstCmmModelDto&gt;&gt; GetAll(GetMstCmmModelInput input);
		Task CreateOrEdit(CreateOrEditMstCmmModelDto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[AbpAuthorize(AppPermissions.Pages_Master_Cmm_Model)]
    public class MstCmmModelAppService : vovinaAppServiceBase, IMstCmmModelAppService
    {
        private readonly IDapperRepository&lt;MstCmmModel, long&gt; _dapperRepo;
        private readonly IRepository&lt;MstCmmModel, long&gt; _repo;
        private readonly IMstCmmModelExcelExporter _calendarListExcelExporter;
        public MstCmmModelAppService(IRepository&lt;MstCmmModel,long&gt; repo, 
                                         IDapperRepository&lt;MstCmmModel,long&gt; dapperRepo,
                                        IMstCmmModelExcelExporter calendarListExcelExporter
            )
        {
            _repo = repo;
            _dapperRepo = dapperRepo;
            _calendarListExcelExporter = calendarListExcelExporter;
        }
        [AbpAuthorize(AppPermissions.Pages_Master_Cmm_Model_CreateEdit)]
        public async Task CreateOrEdit(CreateOrEditMstCmmModelDto input)
        {
            if (input.Id == null) await Create(input);
            else await Update(input);
        }
        //CREATE
        private async Task Create(CreateOrEditMstCmmModelDto input)
        {          
            var mainObj = ObjectMapper.Map&lt;MstCmmModel&gt;(input);
            await CurrentUnitOfWork.GetDbContext&lt;vovinaDbContext&gt;().AddAsync(mainObj);
        }
        // EDIT
        private async Task Update(CreateOrEditMstCmmModelDto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[AbpAuthorize(AppPermissions.Pages_Master_Cmm_Model_Delete)]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Task&lt;PagedResultDto&lt;MstCmmModelDto&gt;&gt; GetAll(GetMstCmmModelInput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MstCmmModelDto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PagedResultDto&lt;MstCmmModelDto&gt;(
                totalCount,
                 await paged.ToListAsync()
            );
        }
        public async Task&lt;FileDto&gt; GetModelToExcel(MstCmmModelExportInput input)
        {
            var query = from o in _repo.GetAll()
                        select new MstCmmModelDto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_dapperRepo.ExecuteAsync(MstCmmModelConsts.SP_MST_WPT_CALENDAR_GENERATE);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vovina.Master.Cmm.Dto
{
	public class MstCmmModelExportInput{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vovina.Master.Cmm.Exporting
{
	public interface IMstCmmModelExcelExporter : IApplicationService
	{
		FileDto ExportToFile(List&lt;MstCmmModelDto&gt; mstcmmmodel);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MstCmmModelExcelExporter : NpoiExcelExporterBase, IMstCmmModelExcelExporter
    {
        public MstCmmModelExcelExporter(ITempFileCacheManager tempFileCacheManager) : base(tempFileCacheManager) { }
        public FileDto ExportToFile(List&lt;MstCmmModelDto&gt; model)
        {
            return CreateExcelPackage(
				"MasterCmmModel.xlsx",
				excelPackage =&gt;
				 {
					var sheet = excelPackage.CreateSheet("Model");
					AddHeader(
								sheet,
								("Code"),
								("Name"),
								("IsActive"),
							   );
					AddObjects(
						 sheet, 1, model,                                       
								_ =&gt; _.Code,
								_ =&gt; _.Name,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configuration.CreateMap&lt;MstCmmModelDto, MstCmmModel&gt;();
  configuration.CreateMap&lt;MstCmmModel, MstCmmModelDto&gt;();
  configuration.CreateMap&lt;CreateOrEditMstCmmModelDto, MstCmmModel&gt;();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305</v>
      </c>
      <c r="B9" t="s">
        <v>303</v>
      </c>
      <c r="C9" t="s">
        <v>1</v>
      </c>
      <c r="D9" t="str">
        <f>SUBSTITUTE(PROPER(A9),"_","")</f>
        <v>Code</v>
      </c>
      <c r="E9" t="str">
        <f t="shared" ref="E9:E10" si="0">IFERROR(LEFT(B9, FIND("(",B9)-1),B9)</f>
        <v>varchar</v>
      </c>
      <c r="F9" s="7"/>
      <c r="G9" t="str">
        <f t="shared" ref="G9:G10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2">IF(H9="string",REPT(CHAR(9),2)&amp;"public const int Max"&amp;D9&amp;"Length = "&amp;G9&amp;";"&amp;$E$3,"" )</f>
        <v xml:space="preserve">		public const int MaxCodeLength = 50;
</v>
      </c>
      <c r="J9" t="str">
        <f t="shared" ref="J9:J10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[Index(nameof(Code), Name="IX_MstCmmModel_Code")]</v>
      </c>
      <c r="M9" t="str">
        <f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[StringLength(MstCmmModelConsts.MaxCodeLength)]
		public virtual string Code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:P10" si="4">REPT(CHAR(9),7)&amp;D9&amp;" = o." &amp;D9 &amp;","</f>
        <v xml:space="preserve">							Code = o.Code,</v>
      </c>
      <c r="T9" s="69" t="str">
        <f>REPT(CHAR(9),8)&amp;"("""&amp;D9&amp;"""),"</f>
        <v xml:space="preserve">								("Code"),</v>
      </c>
      <c r="V9" s="70" t="str">
        <f>REPT(CHAR(9),8)&amp;"_ =&gt; _."&amp;D9&amp;","</f>
        <v xml:space="preserve">								_ =&gt; _.Code,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1" customHeight="1" x14ac:dyDescent="0.25">
      <c r="A10" t="s">
        <v>306</v>
      </c>
      <c r="B10" t="s">
        <v>303</v>
      </c>
      <c r="C10" t="s">
        <v>1</v>
      </c>
      <c r="D10" t="str">
        <f t="shared" ref="D10" si="5">SUBSTITUTE(PROPER(A10),"_","")</f>
        <v>Name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MaxNameLength = 50;
</v>
      </c>
      <c r="J10" t="str">
        <f t="shared" si="3"/>
        <v xml:space="preserve">		[StringLength(MaxNameLength)]
		public virtual string Name { get; set; }
</v>
      </c>
      <c r="K10" s="7"/>
      <c r="L10" t="str">
        <f t="shared" ref="L10" si="6">IF(K10="","",REPT(CHAR(9),1)&amp;"[Index(nameof("&amp;IF(D10="","",""&amp;D10)&amp;")"&amp;", Name="&amp;"""IX_"&amp;$B$7&amp;"_"&amp;D10&amp;""")]")</f>
        <v/>
      </c>
      <c r="M10" t="str">
        <f t="shared" ref="M10" si="7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[StringLength(MstCmmModelConsts.MaxNameLength)]
		public virtual string Name { get; set; }
</v>
      </c>
      <c r="O10" t="str">
        <f t="shared" ref="O10" si="9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si="4"/>
        <v xml:space="preserve">							Name = o.Name,</v>
      </c>
      <c r="T10" s="69" t="str">
        <f t="shared" ref="T10" si="10">REPT(CHAR(9),8)&amp;"("""&amp;D10&amp;"""),"</f>
        <v xml:space="preserve">								("Name"),</v>
      </c>
      <c r="V10" s="70" t="str">
        <f t="shared" ref="V10" si="11">REPT(CHAR(9),8)&amp;"_ =&gt; _."&amp;D10&amp;","</f>
        <v xml:space="preserve">								_ =&gt; _.Name,</v>
      </c>
      <c r="W10" s="69" t="str">
        <f t="shared" ref="W10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301</v>
      </c>
      <c r="B11" t="s">
        <v>302</v>
      </c>
      <c r="C11" t="s">
        <v>1</v>
      </c>
      <c r="D11" t="str">
        <f>SUBSTITUTE(PROPER(A11),"_","")</f>
        <v>IsActive</v>
      </c>
      <c r="E11" t="str">
        <f t="shared" ref="E11" si="13">IFERROR(LEFT(B11, FIND("(",B11)-1),B11)</f>
        <v>varchar</v>
      </c>
      <c r="F11" s="7"/>
      <c r="G11" t="str">
        <f t="shared" ref="G11" si="14">IFERROR(MID(B11,FIND("(",B11) +1, FIND(")",B11) - FIND("(",B11) - 1),"")</f>
        <v>1</v>
      </c>
      <c r="H11" t="str">
        <f>+VLOOKUP(E11,'Data Type Mapping'!A:B,2,)</f>
        <v>string</v>
      </c>
      <c r="I11" t="str">
        <f t="shared" ref="I11" si="15">IF(H11="string",REPT(CHAR(9),2)&amp;"public const int Max"&amp;D11&amp;"Length = "&amp;G11&amp;";"&amp;$E$3,"" )</f>
        <v xml:space="preserve">		public const int MaxIsActiveLength = 1;
</v>
      </c>
      <c r="J11" t="str">
        <f t="shared" ref="J11" si="16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Name="IX_MstCmmModel_IsActive")]</v>
      </c>
      <c r="M11" t="str">
        <f t="shared" ref="M11" si="17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18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[StringLength(MstCmmModelConsts.MaxIsActiveLength)]
		public virtual string IsActive { get; set; }
</v>
      </c>
      <c r="O11" t="str">
        <f t="shared" ref="O11" si="19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20">REPT(CHAR(9),7)&amp;D11&amp;" = o." &amp;D11 &amp;","</f>
        <v xml:space="preserve">							IsActive = o.IsActive,</v>
      </c>
      <c r="T11" s="69" t="str">
        <f t="shared" ref="T11" si="21">REPT(CHAR(9),8)&amp;"("""&amp;D11&amp;"""),"</f>
        <v xml:space="preserve">								("IsActive"),</v>
      </c>
      <c r="V11" s="70" t="str">
        <f t="shared" ref="V11" si="22">REPT(CHAR(9),8)&amp;"_ =&gt; _."&amp;D11&amp;","</f>
        <v xml:space="preserve">								_ =&gt; _.IsActive,</v>
      </c>
      <c r="W11" s="69" t="str">
        <f t="shared" ref="W11" si="23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2"/>
      <c r="I13" s="34" t="str">
        <f ca="1">TEXTJOIN2("
", TRUE,INDIRECT( $H$1):INDIRECT( $H$3))</f>
        <v xml:space="preserve">		public const int MaxCodeLength = 50;
		public const int MaxNameLength = 50;
		public const int MaxIsActiveLength = 1;
</v>
      </c>
      <c r="J13" s="33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5" t="str">
        <f ca="1">TEXTJOIN2("
", TRUE,INDIRECT( $J$1):INDIRECT( $J$3))</f>
        <v xml:space="preserve">	[Index(nameof(Code), Name="IX_MstCmmModel_Code")]
	[Index(nameof(IsActive), Name="IX_MstCmmModel_IsActive")]</v>
      </c>
      <c r="L13" s="13" t="s">
        <v>60</v>
      </c>
      <c r="M13" s="36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3" t="str">
        <f ca="1">TEXTJOIN2("
",TRUE,INDIRECT( $M$1):INDIRECT($M$3))</f>
        <v xml:space="preserve">		[StringLength(MstCmmModelConsts.MaxCodeLength)]
		public virtual string Code { get; set; }
		[StringLength(MstCmmModelConsts.MaxNameLength)]
		public virtual string Name { get; set; }
		[StringLength(MstCmmModelConsts.MaxIsActiveLength)]
		public virtual string IsActive { get; set; }
</v>
      </c>
      <c r="O13" s="33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9" t="str">
        <f ca="1">TEXTJOIN2("
",TRUE,INDIRECT( $O$1):INDIRECT($O$3))</f>
        <v xml:space="preserve">							Code = o.Code,
							Name = o.Name,
							IsActive = o.IsActive,</v>
      </c>
      <c r="T13" s="9" t="str">
        <f ca="1">TEXTJOIN2("
",TRUE,INDIRECT( $T$2):INDIRECT($T$3))</f>
        <v xml:space="preserve">								("Code"),
								("Name"),
								("IsActive"),</v>
      </c>
      <c r="V13" s="9" t="str">
        <f ca="1">TEXTJOIN2("
",TRUE,INDIRECT( $V$2):INDIRECT($V$3))</f>
        <v xml:space="preserve">								_ =&gt; _.Code,
								_ =&gt; _.Name,
								_ =&gt; _.IsActive,</v>
      </c>
      <c r="W13" s="9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0"/>
  <sheetViews>
    <sheetView workbookViewId="0">
      <selection activeCell="F15" sqref="F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309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Cmm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cmm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MstCmmModel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Model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model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MstCmmModelDto, MstCmmModelServiceProxy } from '@shared/service-proxies/service-proxies';
import { finalize } from 'rxjs/internal/operators/finalize';
import { CreateOrEditModelModalComponent } from './create-or-edit-model-modal.component';
import { DatePipe } from '@angular/common';
import { FileDownloadService } from '@shared/utils/file-download.service';
import ceil from 'lodash-es/ceil';
import { Paginator } from 'primeng/paginator';
@Component({
    templateUrl: './model.component.html',
    styleUrls: ['./model.component.less'],
})
export class ModelComponent extends AppComponentBase implements OnInit {
    @ViewChild('createOrEditModalModel', { static: true }) createOrEditModalModel:| CreateOrEditModelModalComponent|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MstCmmModelDto = new MstCmmModelDto();
    saveSelectedRow: MstCmmModelDto = new MstCmmModelDto();
    datas: MstCmmModelDto = new MstCmmModelDto();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MstCmmModelServiceProxy,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MstCmmModelDto[] } }) {
        this.saveSelectedRow = params.api.getSelectedRows()[0] ?? new MstCmmModelDto();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MstCmmModelDto):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this._service.getModelToExcel(
			this.code,
			this.name,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Model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(click)="createOrEditModalModel.show()"&gt;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(click)="createOrEditModalModel.show(selectedRow)"&gt;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&lt;create-or-edit-model-modal
    #createOrEditModalModel
    (modalSave)="callBackDataGrid(dataParams)"
    (modalClose)="onChangeRowSelection(dataParams)"
&gt;
&lt;/create-or-edit-model-modal&gt;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#createOrEditModalModel="bs-modal"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Model')}}&lt;/h3&gt;
                    &lt;h3 *ngIf="!rowdata.id"&gt;{{('Create New Model')}}&lt;/h3&gt;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CreateOrEditMstCmmModelDto, MstCmmModelServiceProxy } from '@shared/service-proxies/service-proxies';
import { BsDatepickerDirective } from 'ngx-bootstrap/datepicker';
@Component({
    selector: 'create-or-edit-model-modal',
    templateUrl: './create-or-edit-model-modal.component.html',
    styleUrls: ['./create-or-edit-model-modal.component.less']
    })
export class CreateOrEditModelModalComponent extends AppComponentBase {
    @ViewChild('createOrEditModalModel',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CreateOrEditMstCmmModelDto = new CreateOrEditMstCmmModelDto();
    active: boolean = false;
    saving: boolean = false;
    _isActive: boolean;
    constructor(
        injector: Injector,
        private _mstwptModelService: MstCmmModelServiceProxy,
    ) 
    {
        super(injector);
    }
    show(rowdata?: CreateOrEditMstCmmModelDto): void {
        if (!rowdata) this.rowdata = new CreateOrEditMstCmmModelDto();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this._mstwptModelService.createOrEdit(this.rowdata)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ModelRoutingModule } from './model-routing.module';
import { ModelComponent } from './model.component';
import { CreateOrEditModelModalComponent } from './create-or-edit-model-modal.component';
@NgModule({
    declarations: [
       ModelComponent, 
        CreateOrEditModelModalComponent
    ],
    imports: [
        AppSharedModule, ModelRoutingModule]
})
export class ModelModule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ModelComponent } from './model.component';
const routes: Routes = [{
    path: '',
    component: ModelComponent,
    pathMatch: 'full'
}];
@NgModule({
    imports: [RouterModule.forChild(routes)],
    exports: [RouterModule],
})
export class ModelRoutingModule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AppMenuItem("Model", "Pages.Master.Cmm.Model", "flaticon-book",   "/app/main/master/cmm/model"),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'master/cmm/model',
    loadChildren: () =&gt; import('./master/cmm/model/model.module').then(m =&gt; m.ModelModule),
    data: { permission: 'Pages.Master.Cmm.Model' }
},</v>
      </c>
      <c r="R10" s="50" t="str">
        <f>SUBSTITUTE(R9,"MstWptCalendar",$B$6)</f>
        <v>ApiServiceProxies.MstCmmModelServiceProxy,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name : string = '' ; 
	isActive : string = '' ; </v>
      </c>
      <c r="T13" s="68" t="str">
        <f ca="1">TEXTJOIN2("
",TRUE,INDIRECT(T11):INDIRECT(T12))</f>
        <v xml:space="preserve">			this.code,
			this.name,
			this.isActive,</v>
      </c>
      <c r="U13" s="68" t="str">
        <f ca="1">TEXTJOIN2("
",TRUE,INDIRECT(U11):INDIRECT(U12))</f>
        <v>this.code = '',
		this.name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model.component.ts</v>
      </c>
      <c r="I14" s="40" t="str">
        <f>B8&amp;".component.html"</f>
        <v>model.component.html</v>
      </c>
      <c r="J14" s="39" t="str">
        <f>B8&amp;".component.less"</f>
        <v>model.component.less</v>
      </c>
      <c r="K14" s="40" t="str">
        <f>"create-or-edit-"&amp;B8&amp;"-modal.component.html"</f>
        <v>create-or-edit-model-modal.component.html</v>
      </c>
      <c r="L14" s="40" t="str">
        <f>"create-or-edit-"&amp;B8&amp;"-modal.component.ts"</f>
        <v>create-or-edit-model-modal.component.ts</v>
      </c>
      <c r="M14" s="40" t="str">
        <f>"create-or-edit-"&amp;B8&amp;"-modal.component.less"</f>
        <v>create-or-edit-model-modal.component.less</v>
      </c>
      <c r="N14" s="40" t="str">
        <f>B8&amp;".module.ts"</f>
        <v>model.module.ts</v>
      </c>
      <c r="O14" s="40" t="str">
        <f>B8&amp;"-routing.module.ts"</f>
        <v>model-routing.module.ts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305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44" t="s">
        <v>306</v>
      </c>
      <c r="B16" s="31" t="str">
        <f t="shared" ref="B16" si="0">SUBSTITUTE(PROPER(A16),"_","")</f>
        <v>Name</v>
      </c>
      <c r="C16" s="31" t="str">
        <f t="shared" ref="C16" si="1">SUBSTITUTE(PROPER(A16),"_"," ")</f>
        <v>Name</v>
      </c>
      <c r="D16" s="31" t="str">
        <f t="shared" ref="D16" si="2">LOWER(LEFT(B16,1))&amp;RIGHT(B16,LEN(B16) - 1)</f>
        <v>name</v>
      </c>
      <c r="E16" s="31" t="str">
        <f>A.Backend!H10</f>
        <v>string</v>
      </c>
      <c r="F16" s="31" t="str">
        <f>A.Backend!G10</f>
        <v>50</v>
      </c>
      <c r="G16" s="31" t="str">
        <f t="shared" ref="G16" si="3">IF(E16="string"," : string = '' ; ",IF(OR(E16="DateTime",E16="TimeSpan")," : any ;",IF(E16="int"," : number = 0 ;","")))</f>
        <v xml:space="preserve"> : string = '' ; </v>
      </c>
      <c r="H16" s="38" t="str">
        <f t="shared" ref="H16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8" t="str">
        <f t="shared" ref="I16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31"/>
      <c r="K16" s="38" t="str">
        <f t="shared" ref="K16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60" t="str">
        <f t="shared" ref="L16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name : string = '' ; </v>
      </c>
      <c r="T16" s="31" t="str">
        <f>REPT(CHAR(9),3)&amp;"this."&amp;D16&amp;","</f>
        <v xml:space="preserve">			this.name,</v>
      </c>
      <c r="U16" s="31" t="str">
        <f>IF(E16="int",REPT(CHAR(9),2)&amp;"this."&amp;D16&amp;" = 0,",REPT(CHAR(9),2)&amp;"this."&amp;D16&amp;" = '',")</f>
        <v xml:space="preserve">		this.name = '',</v>
      </c>
      <c r="V16" s="31" t="str">
        <f t="shared" ref="V16" si="8">IF(AND(E16="string",F16="1"),D16,"")</f>
        <v/>
      </c>
    </row>
    <row r="17" spans="1:22" ht="15" customHeight="1" x14ac:dyDescent="0.25">
      <c r="A17" s="44" t="s">
        <v>301</v>
      </c>
      <c r="B17" s="31" t="str">
        <f t="shared" ref="B17" si="9">SUBSTITUTE(PROPER(A17),"_","")</f>
        <v>IsActive</v>
      </c>
      <c r="C17" s="31" t="str">
        <f t="shared" ref="C17" si="10">SUBSTITUTE(PROPER(A17),"_"," ")</f>
        <v>Is Active</v>
      </c>
      <c r="D17" s="31" t="str">
        <f t="shared" ref="D17" si="11">LOWER(LEFT(B17,1))&amp;RIGHT(B17,LEN(B17) - 1)</f>
        <v>isActive</v>
      </c>
      <c r="E17" s="31" t="str">
        <f>A.Backend!H11</f>
        <v>string</v>
      </c>
      <c r="F17" s="31" t="str">
        <f>A.Backend!G11</f>
        <v>1</v>
      </c>
      <c r="G17" s="31" t="str">
        <f t="shared" ref="G17" si="12">IF(E17="string"," : string = '' ; ",IF(OR(E17="DateTime",E17="TimeSpan")," : any ;",IF(E17="int"," : number = 0 ;","")))</f>
        <v xml:space="preserve"> : string = '' ; </v>
      </c>
      <c r="H17" s="38" t="str">
        <f t="shared" ref="H17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8" t="str">
        <f t="shared" ref="I17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ref="K17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60" t="str">
        <f t="shared" ref="L17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17">REPT(CHAR(9),1)&amp;D17&amp;G17</f>
        <v xml:space="preserve">	isActive : string = '' ; </v>
      </c>
      <c r="T17" s="31" t="str">
        <f t="shared" ref="T17" si="18">REPT(CHAR(9),3)&amp;"this."&amp;D17&amp;","</f>
        <v xml:space="preserve">			this.isActive,</v>
      </c>
      <c r="U17" s="31" t="str">
        <f t="shared" ref="U17" si="19">IF(E17="int",REPT(CHAR(9),2)&amp;"this."&amp;D17&amp;" = 0,",REPT(CHAR(9),2)&amp;"this."&amp;D17&amp;" = '',")</f>
        <v xml:space="preserve">		this.isActive = '',</v>
      </c>
      <c r="V17" s="31" t="str">
        <f t="shared" ref="V17" si="20">IF(AND(E17="string",F17="1"),D17,"")</f>
        <v>isActive</v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2022-07-20T12:17:35Z</dcterms:modified>
</cp:coreProperties>
</file>
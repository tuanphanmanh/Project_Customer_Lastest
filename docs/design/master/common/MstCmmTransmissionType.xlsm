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+\docs\design\master\common\"/>
    </mc:Choice>
  </mc:AlternateContent>
  <bookViews>
    <workbookView xWindow="-120" yWindow="-120" windowWidth="30960" windowHeight="1584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externalReferences>
    <externalReference r:id="rId7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5" i="3" l="1"/>
  <c r="B73" i="3"/>
  <c r="F17" i="5" l="1"/>
  <c r="B6" i="1" l="1"/>
  <c r="C16" i="5" l="1"/>
  <c r="B16" i="5"/>
  <c r="D16" i="5" s="1"/>
  <c r="C15" i="5"/>
  <c r="B15" i="5"/>
  <c r="D15" i="5" s="1"/>
  <c r="T15" i="5" s="1"/>
  <c r="T16" i="5" l="1"/>
  <c r="C17" i="5" l="1"/>
  <c r="B17" i="5"/>
  <c r="D17" i="5" s="1"/>
  <c r="G11" i="1"/>
  <c r="E11" i="1"/>
  <c r="H11" i="1" s="1"/>
  <c r="E17" i="5" s="1"/>
  <c r="D11" i="1"/>
  <c r="V11" i="1" s="1"/>
  <c r="V17" i="5" l="1"/>
  <c r="H17" i="5"/>
  <c r="T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I17" i="5" l="1"/>
  <c r="G17" i="5"/>
  <c r="S17" i="5" s="1"/>
  <c r="U17" i="5"/>
  <c r="L17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N68" i="3" l="1"/>
  <c r="B8" i="5"/>
  <c r="B5" i="5"/>
  <c r="P10" i="5" l="1"/>
  <c r="K75" i="3" s="1"/>
  <c r="Q10" i="5"/>
  <c r="L75" i="3" s="1"/>
  <c r="C73" i="3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1"/>
  <c r="T13" i="5"/>
  <c r="T7" i="1" l="1"/>
  <c r="W13" i="1"/>
  <c r="G6" i="1" l="1"/>
  <c r="K13" i="5"/>
  <c r="I13" i="5"/>
  <c r="U13" i="5"/>
  <c r="V13" i="5"/>
  <c r="S13" i="5"/>
  <c r="H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N13" i="1"/>
  <c r="P13" i="1"/>
  <c r="O13" i="1"/>
  <c r="J13" i="1"/>
  <c r="I13" i="1"/>
  <c r="Q7" i="1" l="1"/>
  <c r="M68" i="3" s="1"/>
  <c r="L7" i="1"/>
  <c r="G68" i="3" s="1"/>
  <c r="K68" i="3"/>
  <c r="J68" i="3"/>
  <c r="M13" i="1"/>
  <c r="K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<sst xmlns="http://schemas.openxmlformats.org/spreadsheetml/2006/main" count="451" uniqueCount="369">
  <si>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</si>
  <si>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</si>
  <si>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</si>
  <si>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</si>
  <si>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</si>
  <si>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</si>
  <si>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</si>
  <si>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</si>
  <si>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</si>
  <si>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</si>
  <si>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</si>
  <si>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</si>
  <si>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</si>
  <si>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</si>
  <si>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</si>
  <si>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</si>
  <si>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</si>
  <si>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</si>
  <si>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</si>
  <si>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</si>
  <si>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</si>
  <si>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</si>
  <si>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</si>
  <si>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</si>
  <si>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</si>
  <si>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</si>
  <si>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</si>
  <si>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</si>
  <si>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</si>
  <si>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</si>
  <si>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</si>
  <si>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</si>
  <si>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</si>
  <si>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</si>
  <si>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</si>
  <si>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</si>
  <si>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</si>
  <si>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</si>
  <si>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</si>
  <si>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</si>
  <si>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</si>
  <si>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</si>
  <si>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</si>
  <si>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</si>
  <si>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</si>
  <si>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</si>
  <si>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</si>
  <si>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</si>
  <si>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</si>
  <si>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</si>
  <si>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</si>
  <si>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</si>
  <si>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</si>
  <si>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</si>
  <si>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</si>
  <si>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</si>
  <si>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</si>
  <si>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</si>
  <si>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</si>
  <si>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</si>
  <si>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</si>
  <si>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</si>
  <si>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</si>
  <si>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</si>
  <si>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</si>
  <si>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</si>
  <si>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</si>
  <si>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</si>
  <si>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</si>
  <si>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</si>
  <si>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</si>
  <si>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</si>
  <si>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</si>
  <si>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</si>
  <si>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</si>
  <si>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</si>
  <si>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</si>
  <si>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</si>
  <si>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</si>
  <si>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</si>
  <si>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</si>
  <si>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</si>
  <si>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</si>
  <si>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</si>
  <si>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</si>
  <si>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</si>
  <si>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</si>
  <si>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</si>
  <si>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</si>
  <si>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</si>
  <si>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</si>
  <si>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</si>
  <si>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</si>
  <si>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</si>
  <si>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</si>
  <si>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</si>
  <si>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</si>
  <si>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</si>
  <si>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</si>
  <si>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</si>
  <si>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</si>
  <si>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</si>
  <si>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</si>
  <si>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</si>
  <si>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</si>
  <si>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</si>
  <si>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</si>
  <si>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</si>
  <si>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</si>
  <si>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</si>
  <si>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</si>
  <si>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</si>
  <si>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</si>
  <si>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</si>
  <si>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</si>
  <si>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</si>
  <si>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</si>
  <si>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</si>
  <si>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</si>
  <si>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</si>
  <si>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</si>
  <si>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</si>
  <si>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</si>
  <si>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</si>
  <si>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</si>
  <si>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</si>
  <si>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</si>
  <si>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</si>
  <si>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</si>
  <si>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</si>
  <si>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</si>
  <si>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</si>
  <si>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</si>
  <si>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</si>
  <si>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</si>
  <si>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</si>
  <si>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</si>
  <si>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</si>
  <si>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</si>
  <si>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</si>
  <si>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</si>
  <si>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</si>
  <si>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</si>
  <si>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</si>
  <si>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</si>
  <si>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</si>
  <si>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</si>
  <si>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</si>
  <si>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</si>
  <si>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</si>
  <si>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</si>
  <si>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</si>
  <si>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</si>
  <si>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</si>
  <si>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</si>
  <si>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</si>
  <si>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</si>
  <si>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</si>
  <si>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</si>
  <si>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</si>
  <si>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</si>
  <si>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</si>
  <si>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</si>
  <si>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</si>
  <si>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</si>
  <si>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</si>
  <si>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</si>
  <si>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</si>
  <si>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</si>
  <si>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</si>
  <si>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</si>
  <si>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</si>
  <si>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</si>
  <si>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</si>
  <si>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</si>
  <si>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</si>
  <si>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</si>
  <si>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</si>
  <si>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</si>
  <si>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</si>
  <si>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</si>
  <si>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</si>
  <si>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</si>
  <si>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</si>
  <si>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</si>
  <si>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</si>
  <si>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</si>
  <si>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</si>
  <si>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</si>
  <si>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</si>
  <si>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</si>
  <si>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</si>
  <si>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</si>
  <si>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</si>
  <si>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</si>
  <si>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</si>
  <si>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</si>
  <si>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</si>
  <si>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</si>
  <si>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</si>
  <si>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</si>
  <si>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</si>
  <si>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</si>
  <si>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</si>
  <si>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</si>
  <si>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</si>
  <si>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</si>
  <si>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</si>
  <si>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</si>
  <si>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</si>
  <si>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</si>
  <si>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</si>
  <si>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</si>
  <si>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</si>
  <si>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</si>
  <si>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</si>
  <si>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</si>
  <si>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</si>
  <si>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</si>
  <si>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</si>
  <si>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</si>
  <si>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</si>
  <si>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</si>
  <si>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</si>
  <si>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</si>
  <si>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</si>
  <si>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</si>
  <si>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</si>
  <si>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</si>
  <si>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</si>
  <si>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</si>
  <si>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</si>
  <si>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</si>
  <si>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</si>
  <si>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</si>
  <si>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</si>
  <si>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</si>
  <si>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</si>
  <si>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</si>
  <si>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</si>
  <si>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</si>
  <si>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</si>
  <si>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</si>
  <si>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</si>
  <si>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</si>
  <si>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</si>
  <si>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</si>
  <si>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</si>
  <si>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</si>
  <si>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</si>
  <si>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</si>
  <si>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</si>
  <si>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</si>
  <si>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</si>
  <si>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</si>
  <si>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</si>
  <si>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</si>
  <si>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</si>
  <si>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</si>
  <si>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</si>
  <si>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</si>
  <si>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</si>
  <si>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</si>
  <si>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</si>
  <si>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</si>
  <si>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</si>
  <si>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</si>
  <si>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</si>
  <si>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</si>
  <si>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</si>
  <si>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</si>
  <si>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</si>
  <si>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</si>
  <si>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</si>
  <si>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</si>
  <si>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</si>
  <si>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</si>
  <si>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</si>
  <si>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</si>
  <si>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</si>
  <si>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</si>
  <si>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</si>
  <si>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</si>
  <si>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</si>
  <si>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</si>
  <si>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</si>
  <si>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</si>
  <si>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</si>
  <si>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</si>
  <si>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</si>
  <si>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</si>
  <si>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</si>
  <si>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</si>
  <si>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</si>
  <si>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</si>
  <si>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</si>
  <si>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</si>
  <si>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</si>
  <si>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</si>
  <si>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</si>
  <si>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</si>
  <si>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</si>
  <si>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</si>
  <si>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</si>
  <si>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</si>
  <si>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</si>
  <si>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</si>
  <si>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</si>
  <si>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</si>
  <si>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</si>
  <si>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</si>
  <si>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</si>
  <si>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</si>
  <si>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</si>
  <si>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</si>
  <si>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</si>
  <si>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</si>
  <si>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</si>
  <si>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</si>
  <si>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</si>
  <si>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</si>
  <si>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</si>
  <si>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</si>
  <si>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</si>
  <si>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</si>
  <si>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</si>
  <si>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</si>
  <si>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</si>
  <si>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</si>
  <si>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</si>
  <si>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</si>
  <si>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</si>
  <si>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</si>
  <si>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</si>
  <si>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</si>
  <si>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</si>
  <si>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</si>
  <si>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</si>
  <si>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</si>
  <si>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</si>
  <si>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</si>
  <si>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</si>
  <si>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</si>
  <si>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</si>
  <si>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</si>
  <si>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</si>
  <si>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</si>
  <si>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</si>
  <si>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</si>
  <si>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</si>
  <si>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</si>
  <si>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</si>
  <si>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</si>
  <si>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</si>
  <si>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</si>
  <si>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IHP</t>
  </si>
  <si>
    <t>Ihp</t>
  </si>
  <si>
    <t>InvIhp</t>
  </si>
  <si>
    <t>nvarchar(2)</t>
  </si>
  <si>
    <t>nvarchar(10)</t>
  </si>
  <si>
    <t>MstCmmTransmissionType</t>
  </si>
  <si>
    <t>TransmissionType</t>
  </si>
  <si>
    <t>Transmission Type</t>
  </si>
  <si>
    <t>AT</t>
  </si>
  <si>
    <t>MT</t>
  </si>
  <si>
    <t>Manual</t>
  </si>
  <si>
    <t>Automatic</t>
  </si>
  <si>
    <t>// available</t>
  </si>
  <si>
    <t>searh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</si>
</sst>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sz val="10"/>
      <name val="Segoe UI"/>
      <family val="2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22" fillId="0" borderId="0" xfId="0" applyFont="1" applyAlignment="1">
      <alignment vertical="center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0" fillId="0" borderId="5" xfId="0" quotePrefix="1" applyFont="1" applyBorder="1" applyAlignment="1">
      <alignment horizontal="center" vertical="center" readingOrder="1"/>
    </xf>
    <xf numFmtId="0" fontId="20" fillId="0" borderId="6" xfId="0" applyFont="1" applyBorder="1" applyAlignment="1">
      <alignment horizontal="center" vertical="center" readingOrder="1"/>
    </xf>
    <xf numFmtId="0" fontId="20" fillId="0" borderId="7" xfId="0" applyFont="1" applyBorder="1" applyAlignment="1">
      <alignment horizontal="center" vertical="center" readingOrder="1"/>
    </xf>
    <xf numFmtId="0" fontId="21" fillId="0" borderId="5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 readingOrder="1"/>
    </xf>
    <xf numFmtId="0" fontId="19" fillId="14" borderId="5" xfId="0" applyFont="1" applyFill="1" applyBorder="1" applyAlignment="1">
      <alignment horizontal="center" vertical="top"/>
    </xf>
    <xf numFmtId="0" fontId="19" fillId="14" borderId="6" xfId="0" applyFont="1" applyFill="1" applyBorder="1" applyAlignment="1">
      <alignment horizontal="center" vertical="top"/>
    </xf>
    <xf numFmtId="0" fontId="0" fillId="10" borderId="8" xfId="0" applyFill="1" applyBorder="1"/>
    <xf numFmtId="0" fontId="0" fillId="10" borderId="8" xfId="0" applyFill="1" applyBorder="1" applyAlignment="1">
      <alignment wrapText="1"/>
    </xf>
    <xf numFmtId="0" fontId="0" fillId="10" borderId="8" xfId="0" applyFill="1" applyBorder="1" applyAlignment="1">
      <alignment vertical="top" wrapText="1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H61" zoomScaleNormal="100" workbookViewId="0">
      <selection activeCell="L68" sqref="L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355</v>
      </c>
      <c r="F46" s="1" t="s">
        <v>356</v>
      </c>
      <c r="G46" t="s">
        <v>357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e">
        <f ca="1">A.Backend!J7</f>
        <v>#NAME?</v>
      </c>
      <c r="D68" s="48" t="str">
        <f>A.Backend!O7</f>
        <v xml:space="preserve">		public const string Pages_Master_Common_TransmissionType = "Pages.Master.Common.TransmissionType";
		public const string Pages_Master_Common_TransmissionType_CreateEdit = "Pages.Master.Common.TransmissionType.CreateEdit";
		public const string Pages_Master_Common_TransmissionType_Delete = "Pages.Master.Common.TransmissionType.Delete";
</v>
      </c>
      <c r="E68" s="48" t="str">
        <f>A.Backend!N7</f>
        <v xml:space="preserve">		var perMstCmmTransmissionType = PARENTS.CreateChildPermission(AppPermissions.Pages_Master_Common_TransmissionType, L( "MasterCommonTransmissionType"), multiTenancySides: MultiTenancySides.Tenant);
		perMstCmmTransmissionType.CreateChildPermission(AppPermissions.Pages_Master_Common_TransmissionType_CreateEdit, L( "MasterCommonTransmissionTypeCreateEdit"), multiTenancySides: MultiTenancySides.Tenant);
		perMstCmmTransmissionType.CreateChildPermission(AppPermissions.Pages_Master_Common_TransmissionType_Delete, L( "MasterCommonTransmissionTypeDelete"), multiTenancySides: MultiTenancySides.Tenant);</v>
      </c>
      <c r="F68" s="48" t="str">
        <f>A.Backend!K7</f>
        <v>public virtual DbSet&lt;MstCmmTransmissionType&gt; MstCmmTransmissionTypes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IMstCmmTransmissionTypeAppService : IApplicationService
	{
		Task&lt;PagedResultDto&lt;MstCmmTransmissionTypeDto&gt;&gt; GetAll(GetMstCmmTransmissionTypeInput input);
		Task CreateOrEdit(CreateOrEditMstCmmTransmissionTypeDto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IMstCmmTransmissionTypeExcelExporter : IApplicationService
	{
		FileDto ExportToFile(List&lt;MstCmmTransmissionTypeDto&gt; mstcmmtransmissiontype);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configuration.CreateMap&lt;MstCmmTransmissionTypeDto, MstCmmTransmissionType&gt;();
  configuration.CreateMap&lt;MstCmmTransmissionType, MstCmmTransmissionTypeDto&gt;();
  configuration.CreateMap&lt;CreateOrEditMstCmmTransmissionTypeDto, MstCmmTransmissionType&gt;();</v>
      </c>
    </row>
    <row r="69" spans="2:14" s="15" customFormat="1" ht="21.75" customHeight="1" x14ac:dyDescent="0.25">
      <c r="C69" s="61"/>
      <c r="H69" s="62"/>
      <c r="I69" s="62"/>
      <c r="M69" s="62"/>
      <c r="N69" s="15" t="s">
        <v>368</v>
      </c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transmissiontype</v>
      </c>
      <c r="C73" s="67" t="str">
        <f>"create folder " &amp;B73</f>
        <v>create folder transmissiontype</v>
      </c>
      <c r="D73" s="67"/>
      <c r="E73" s="67"/>
      <c r="F73" s="67"/>
      <c r="G73" s="67"/>
      <c r="H73" s="67"/>
      <c r="I73" s="67"/>
      <c r="J73" s="67"/>
      <c r="K73" s="68" t="s">
        <v>228</v>
      </c>
      <c r="L73" s="68"/>
      <c r="M73" s="28"/>
    </row>
    <row r="74" spans="2:14" s="26" customFormat="1" ht="18" customHeight="1" x14ac:dyDescent="0.25">
      <c r="B74" s="56" t="s">
        <v>229</v>
      </c>
      <c r="C74" s="28" t="str">
        <f>B.Frontend!H14</f>
        <v>transmissiontype.component.ts</v>
      </c>
      <c r="D74" s="28" t="str">
        <f>B.Frontend!I14</f>
        <v>transmissiontype.component.html</v>
      </c>
      <c r="E74" s="28" t="str">
        <f>B.Frontend!J14</f>
        <v>transmissiontype.component.less</v>
      </c>
      <c r="F74" s="28" t="str">
        <f>B.Frontend!K14</f>
        <v>create-or-edit-transmissiontype-modal.component.html</v>
      </c>
      <c r="G74" s="28" t="str">
        <f>B.Frontend!L14</f>
        <v>create-or-edit-transmissiontype-modal.component.ts</v>
      </c>
      <c r="H74" s="28" t="str">
        <f>B.Frontend!M14</f>
        <v>create-or-edit-transmissiontype-modal.component.less</v>
      </c>
      <c r="I74" s="28" t="str">
        <f>B.Frontend!N14</f>
        <v>transmissiontype.module.ts</v>
      </c>
      <c r="J74" s="28" t="str">
        <f>B.Frontend!O14</f>
        <v>transmissiontype-routing.module.ts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TransmissionTypeRoutingModule } from './transmissiontype-routing.module';
import { TransmissionTypeComponent } from './transmissiontype.component';
import { CreateOrEditTransmissionTypeModalComponent } from './create-or-edit-transmissiontype-modal.component';
@NgModule({
    declarations: [
       TransmissionTypeComponent, 
        CreateOrEditTransmissionTypeModalComponent
    ],
    imports: [
        AppSharedModule, TransmissionTypeRoutingModule]
})
export class TransmissionTypeModule {}</v>
      </c>
      <c r="J75" s="46" t="str">
        <f>B.Frontend!O10</f>
        <v>import {NgModule} from '@angular/core';
import {RouterModule, Routes} from '@angular/router';
import { TransmissionTypeComponent } from './transmissiontype.component';
const routes: Routes = [{
    path: '',
    component: TransmissionTypeComponent,
    pathMatch: 'full'
}];
@NgModule({
    imports: [RouterModule.forChild(routes)],
    exports: [RouterModule],
})
export class TransmissionTypeRoutingModule {}</v>
      </c>
      <c r="K75" s="77" t="str">
        <f>B.Frontend!P10</f>
        <v xml:space="preserve"> new AppMenuItem("TransmissionType", "Pages.Master.Common.TransmissionType", "flaticon-book",   "/app/main/master/common/transmissiontype"),</v>
      </c>
      <c r="L75" s="78" t="str">
        <f>B.Frontend!Q10</f>
        <v>{
    path: 'master/common/transmissiontype',
    loadChildren: () =&gt; import('./master/common/transmissiontype/transmissiontype.module').then(m =&gt; m.TransmissionTypeModule),
    data: { permission: 'Pages.Master.Common.TransmissionType' }
},</v>
      </c>
      <c r="M75" s="79" t="str">
        <f>B.Frontend!R10</f>
        <v>ApiServiceProxies.MstCmmTransmissionTypeServiceProxy,</v>
      </c>
    </row>
    <row r="76" spans="2:14" x14ac:dyDescent="0.25">
      <c r="K76" s="80" t="s">
        <v>367</v>
      </c>
      <c r="L76" s="80"/>
      <c r="M76" s="80"/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C13" sqref="C13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360</v>
      </c>
      <c r="C3" s="9" t="s">
        <v>43</v>
      </c>
      <c r="D3" s="9" t="s">
        <v>44</v>
      </c>
      <c r="E3" s="9" t="s">
        <v>39</v>
      </c>
      <c r="F3" s="10" t="str">
        <f>"J"&amp;COUNTA($A:$A)</f>
        <v>J11</v>
      </c>
      <c r="G3" s="4" t="s">
        <v>57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56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MstCmmTransmissionTypeExportInput{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MstCmmTransmissionType: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MstCmmTransmissionTypeConsts	
	{
</v>
      </c>
      <c r="F6" s="10" t="str">
        <f>REPT(CHAR(9),1)&amp;"public class "&amp;B3&amp;"Dto"&amp;K3&amp;REPT(CHAR(9),1)&amp;"
"&amp;REPT(CHAR(9),1)&amp;C3</f>
        <v xml:space="preserve">	public class MstCmmTransmissionTypeDto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CreateOrEditMstCmmTransmissionTypeDto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GetMstCmmTransmissionTypeInput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MstCmmTransmissionType</v>
      </c>
      <c r="C7" s="10" t="str">
        <f>REPT(CHAR(9),1)&amp;"[Table("""&amp;B7&amp;""")]"&amp;"
"</f>
        <v xml:space="preserve">	[Table("MstCmmTransmissionType")]
</v>
      </c>
      <c r="D7" s="10"/>
      <c r="E7" s="10"/>
      <c r="F7" s="10"/>
      <c r="G7" s="10"/>
      <c r="H7" s="10"/>
      <c r="I7" s="10"/>
      <c r="J7" t="e">
        <f ca="1">SUBSTITUTE(SUBSTITUTE((B1&amp;C6&amp;C7&amp;K13&amp;D6&amp;I13&amp;E3&amp;J13&amp;""&amp;REPT(CHAR(9),1)&amp;D3&amp;D3),"WorkingPattern",$Q$3),"Master",$B$4)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DbSet&lt;MstCmmTransmissionType&gt; MstCmmTransmissionTypes { get; set; }</v>
      </c>
      <c r="L7" t="e">
        <f ca="1">SUBSTITUTE(SUBSTITUTE((C6&amp;E6&amp;I13&amp;"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perMstCmmTransmissionType = PARENTS.CreateChildPermission(AppPermissions.Pages_Master_Common_TransmissionType, L( "MasterCommonTransmissionType"), multiTenancySides: MultiTenancySides.Tenant);
		perMstCmmTransmissionType.CreateChildPermission(AppPermissions.Pages_Master_Common_TransmissionType_CreateEdit, L( "MasterCommonTransmissionTypeCreateEdit"), multiTenancySides: MultiTenancySides.Tenant);
		perMstCmmTransmissionType.CreateChildPermission(AppPermissions.Pages_Master_Common_TransmissionType_Delete, L( "MasterCommonTransmissionTypeDelete"),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Pages_Master_Common_TransmissionType = "Pages.Master.Common.TransmissionType";
		public const string Pages_Master_Common_TransmissionType_CreateEdit = "Pages.Master.Common.TransmissionType.CreateEdit";
		public const string Pages_Master_Common_TransmissionType_Delete = "Pages.Master.Common.TransmissionType.Delete";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IMstCmmTransmissionTypeAppService : IApplicationService
	{
		Task&lt;PagedResultDto&lt;MstCmmTransmissionTypeDto&gt;&gt; GetAll(GetMstCmmTransmissionTypeInput input);
		Task CreateOrEdit(CreateOrEditMstCmmTransmissionTypeDto input);
		Task Delete(EntityDto input);
	}
}
</v>
      </c>
      <c r="Q7" t="e">
        <f ca="1">SUBSTITUTE(SUBSTITUTE(SUBSTITUTE(SUBSTITUTE(SUBSTITUTE(SUBSTITUTE(E1,"MstWptCalendar",$B$3),"&lt;PROPERTIES&gt;",P13),"Calendar",$B$5),"WorkingPattern",$Q$3),"Master",$B$4),"&lt;PARAMS_SEARCH&gt;",$W$13)</f>
        <v>#NAME?</v>
      </c>
      <c r="R7" t="e">
        <f ca="1">SUBSTITUTE(SUBSTITUTE((C1&amp;"namespace "&amp;B6&amp;".Dto"&amp;E3&amp;C3&amp;R3&amp;M13&amp;E3&amp;REPT(CHAR(9),1)&amp;D3&amp;D3),"WorkingPattern",$Q$3),"Master",$B$4)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IMstCmmTransmissionTypeExcelExporter : IApplicationService
	{
		FileDto ExportToFile(List&lt;MstCmmTransmissionTypeDto&gt; mstcmmtransmissiontype);
	}
}
</v>
      </c>
      <c r="T7" s="26" t="e">
        <f ca="1">SUBSTITUTE(SUBSTITUTE(SUBSTITUTE(SUBSTITUTE(SUBSTITUTE(SUBSTITUTE(SUBSTITUTE(T1,"MstWptCalendar",$B$3),"&lt;PROPERTIES1&gt;",V13),"&lt;PROPERTIES&gt;",T13),"Calendar",$B$5),"calendar",LOWER(B5)),"WorkingPattern",$Q$3),"Master",$B$4)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configuration.CreateMap&lt;MstCmmTransmissionTypeDto, MstCmmTransmissionType&gt;();
  configuration.CreateMap&lt;MstCmmTransmissionType, MstCmmTransmissionTypeDto&gt;();
  configuration.CreateMap&lt;CreateOrEditMstCmmTransmissionTypeDto, MstCmmTransmissionType&gt;();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353</v>
      </c>
      <c r="B9" t="s">
        <v>358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Name="IX_MstCmmTransmissionType_Code")]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[StringLength(MstCmmTransmissionTypeConsts.MaxCodeLength)]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359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10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10;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[StringLength(MstCmmTransmissionTypeConsts.MaxNameLength)]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4" t="str">
        <f t="shared" ref="T10" si="23">REPT(CHAR(9),8)&amp;"("""&amp;D10&amp;"""),"</f>
        <v xml:space="preserve">								("Name"),</v>
      </c>
      <c r="V10" s="65" t="str">
        <f t="shared" ref="V10" si="24">REPT(CHAR(9),8)&amp;"_ =&gt; _."&amp;D10&amp;","</f>
        <v xml:space="preserve">								_ =&gt; _.Name,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324</v>
      </c>
      <c r="B11" t="s">
        <v>352</v>
      </c>
      <c r="C11" t="s">
        <v>1</v>
      </c>
      <c r="D11" t="str">
        <f>SUBSTITUTE(PROPER(A11),"_","")</f>
        <v>IsActive</v>
      </c>
      <c r="E11" t="str">
        <f t="shared" ref="E11" si="26">IFERROR(LEFT(B11, FIND("(",B11)-1),B11)</f>
        <v>nvarchar</v>
      </c>
      <c r="F11" s="6"/>
      <c r="G11" t="str">
        <f t="shared" ref="G11" si="27">IFERROR(MID(B11,FIND("(",B11) +1, FIND(")",B11) - FIND("(",B11) - 1),"")</f>
        <v>1</v>
      </c>
      <c r="H11" t="str">
        <f>+VLOOKUP(E11,'[1]Data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MaxIsActiveLength = 1;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6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Name="IX_MstCmmTransmissionType_IsActive")]</v>
      </c>
      <c r="M11" t="str">
        <f t="shared" ref="M11" si="30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[StringLength(MstCmmTransmissionTypeConsts.MaxIsActiveLength)]
		public virtual string IsActive { get; set; }
</v>
      </c>
      <c r="O11" t="str">
        <f t="shared" ref="O11" si="32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3">REPT(CHAR(9),7)&amp;D11&amp;" = o." &amp;D11 &amp;","</f>
        <v xml:space="preserve">							IsActive = o.IsActive,</v>
      </c>
      <c r="T11" s="64" t="str">
        <f t="shared" ref="T11" si="34">REPT(CHAR(9),8)&amp;"("""&amp;D11&amp;"""),"</f>
        <v xml:space="preserve">								("IsActive"),</v>
      </c>
      <c r="V11" s="65" t="str">
        <f t="shared" ref="V11" si="35">REPT(CHAR(9),8)&amp;"_ =&gt; _."&amp;D11&amp;","</f>
        <v xml:space="preserve">								_ =&gt; _.IsActive,</v>
      </c>
      <c r="W11" s="64" t="str">
        <f t="shared" ref="W11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e">
        <f ca="1">TEXTJOIN2("
", TRUE,INDIRECT( $H$1):INDIRECT( $H$3))</f>
        <v>#NAME?</v>
      </c>
      <c r="J13" s="30" t="e">
        <f ca="1">TEXTJOIN2("
", TRUE,INDIRECT( $F$1):INDIRECT( $F$3))</f>
        <v>#NAME?</v>
      </c>
      <c r="K13" s="32" t="e">
        <f ca="1">TEXTJOIN2("
", TRUE,INDIRECT( $J$1):INDIRECT( $J$3))</f>
        <v>#NAME?</v>
      </c>
      <c r="L13" s="12" t="s">
        <v>60</v>
      </c>
      <c r="M13" s="33" t="e">
        <f ca="1">TEXTJOIN2("
",TRUE,INDIRECT( $L$1):INDIRECT($L$3))</f>
        <v>#NAME?</v>
      </c>
      <c r="N13" s="30" t="e">
        <f ca="1">TEXTJOIN2("
",TRUE,INDIRECT( $M$1):INDIRECT($M$3))</f>
        <v>#NAME?</v>
      </c>
      <c r="O13" s="30" t="e">
        <f ca="1">TEXTJOIN2("
",TRUE,INDIRECT( $N$1):INDIRECT($N$3))</f>
        <v>#NAME?</v>
      </c>
      <c r="P13" s="8" t="e">
        <f ca="1">TEXTJOIN2("
",TRUE,INDIRECT( $O$1):INDIRECT($O$3))</f>
        <v>#NAME?</v>
      </c>
      <c r="T13" s="8" t="e">
        <f ca="1">TEXTJOIN2("
",TRUE,INDIRECT( $T$2):INDIRECT($T$3))</f>
        <v>#NAME?</v>
      </c>
      <c r="V13" s="8" t="e">
        <f ca="1">TEXTJOIN2("
",TRUE,INDIRECT( $V$2):INDIRECT($V$3))</f>
        <v>#NAME?</v>
      </c>
      <c r="W13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B2" sqref="B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212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MstCmmTransmissionType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TransmissionType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transmissiontype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TransmissionTypeRoutingModule } from './transmissiontype-routing.module';
import { TransmissionTypeComponent } from './transmissiontype.component';
import { CreateOrEditTransmissionTypeModalComponent } from './create-or-edit-transmissiontype-modal.component';
@NgModule({
    declarations: [
       TransmissionTypeComponent, 
        CreateOrEditTransmissionTypeModalComponent
    ],
    imports: [
        AppSharedModule, TransmissionTypeRoutingModule]
})
export class TransmissionTypeModule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TransmissionTypeComponent } from './transmissiontype.component';
const routes: Routes = [{
    path: '',
    component: TransmissionTypeComponent,
    pathMatch: 'full'
}];
@NgModule({
    imports: [RouterModule.forChild(routes)],
    exports: [RouterModule],
})
export class TransmissionTypeRoutingModule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AppMenuItem("TransmissionType", "Pages.Master.Common.TransmissionType", "flaticon-book",   "/app/main/master/common/transmissiontype"),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'master/common/transmissiontype',
    loadChildren: () =&gt; import('./master/common/transmissiontype/transmissiontype.module').then(m =&gt; m.TransmissionTypeModule),
    data: { permission: 'Pages.Master.Common.TransmissionType' }
},</v>
      </c>
      <c r="R10" s="47" t="str">
        <f>SUBSTITUTE(R9,"MstWptCalendar",$B$6)</f>
        <v>ApiServiceProxies.MstCmmTransmissionTypeServiceProxy,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3" t="e">
        <f ca="1">TEXTJOIN2("
",TRUE,INDIRECT(S11):INDIRECT(S12))</f>
        <v>#NAME?</v>
      </c>
      <c r="T13" s="63" t="e">
        <f ca="1">TEXTJOIN2("
",TRUE,INDIRECT(T11):INDIRECT(T12))</f>
        <v>#NAME?</v>
      </c>
      <c r="U13" s="63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transmissiontype.component.ts</v>
      </c>
      <c r="I14" s="37" t="str">
        <f>B8&amp;".component.html"</f>
        <v>transmissiontype.component.html</v>
      </c>
      <c r="J14" s="36" t="str">
        <f>B8&amp;".component.less"</f>
        <v>transmissiontype.component.less</v>
      </c>
      <c r="K14" s="37" t="str">
        <f>"create-or-edit-"&amp;B8&amp;"-modal.component.html"</f>
        <v>create-or-edit-transmissiontype-modal.component.html</v>
      </c>
      <c r="L14" s="37" t="str">
        <f>"create-or-edit-"&amp;B8&amp;"-modal.component.ts"</f>
        <v>create-or-edit-transmissiontype-modal.component.ts</v>
      </c>
      <c r="M14" s="37" t="str">
        <f>"create-or-edit-"&amp;B8&amp;"-modal.component.less"</f>
        <v>create-or-edit-transmissiontype-modal.component.less</v>
      </c>
      <c r="N14" s="37" t="str">
        <f>B8&amp;".module.ts"</f>
        <v>transmissiontype.module.ts</v>
      </c>
      <c r="O14" s="37" t="str">
        <f>B8&amp;"-routing.module.ts"</f>
        <v>transmissiontype-routing.module.ts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6" si="0">SUBSTITUTE(PROPER(A15),"_","")</f>
        <v>Code</v>
      </c>
      <c r="C15" s="28" t="str">
        <f t="shared" ref="C15:C16" si="1">SUBSTITUTE(PROPER(A15),"_"," ")</f>
        <v>Code</v>
      </c>
      <c r="D15" s="28" t="str">
        <f t="shared" ref="D15:D16" si="2">LOWER(LEFT(B15,1))&amp;RIGHT(B15,LEN(B15) - 1)</f>
        <v>code</v>
      </c>
      <c r="E15" s="28" t="str">
        <f>A.Backend!H9</f>
        <v>string</v>
      </c>
      <c r="F15" s="28" t="str">
        <f>A.Backend!G9</f>
        <v>2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354</v>
      </c>
      <c r="B16" s="28" t="str">
        <f t="shared" si="0"/>
        <v>Name</v>
      </c>
      <c r="C16" s="28" t="str">
        <f t="shared" si="1"/>
        <v>Name</v>
      </c>
      <c r="D16" s="28" t="str">
        <f t="shared" si="2"/>
        <v>name</v>
      </c>
      <c r="E16" s="28" t="str">
        <f>A.Backend!H10</f>
        <v>string</v>
      </c>
      <c r="F16" s="28" t="str">
        <f>A.Backend!G10</f>
        <v>10</v>
      </c>
      <c r="G16" s="28" t="str">
        <f t="shared" si="3"/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name : string = '' ; </v>
      </c>
      <c r="T16" s="28" t="str">
        <f t="shared" ref="T16" si="10">REPT(CHAR(9),3)&amp;"this."&amp;D16&amp;","</f>
        <v xml:space="preserve">			this.name,</v>
      </c>
      <c r="U16" s="28" t="str">
        <f t="shared" ref="U16" si="11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s="28" t="s">
        <v>324</v>
      </c>
      <c r="B17" s="28" t="str">
        <f t="shared" ref="B17" si="12">SUBSTITUTE(PROPER(A17),"_","")</f>
        <v>IsActive</v>
      </c>
      <c r="C17" s="28" t="str">
        <f t="shared" ref="C17" si="13">SUBSTITUTE(PROPER(A17),"_"," ")</f>
        <v>Is Active</v>
      </c>
      <c r="D17" s="28" t="str">
        <f t="shared" ref="D17" si="14">LOWER(LEFT(B17,1))&amp;RIGHT(B17,LEN(B17) - 1)</f>
        <v>isActive</v>
      </c>
      <c r="E17" s="28" t="str">
        <f>A.Backend!H11</f>
        <v>string</v>
      </c>
      <c r="F17" s="28" t="str">
        <f>A.Backend!G11</f>
        <v>1</v>
      </c>
      <c r="G17" s="28" t="str">
        <f t="shared" ref="G17" si="15">IF(E17="string"," : string = '' ; ",IF(OR(E17="DateTime",E17="TimeSpan")," : any ;",IF(E17="int"," : number = 0 ;","")))</f>
        <v xml:space="preserve"> : string = '' ; </v>
      </c>
      <c r="H17" s="35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28"/>
      <c r="K17" s="35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0">REPT(CHAR(9),1)&amp;D17&amp;G17</f>
        <v xml:space="preserve">	isActive : string = '' ; </v>
      </c>
      <c r="T17" s="28" t="str">
        <f t="shared" ref="T17" si="21">REPT(CHAR(9),3)&amp;"this."&amp;D17&amp;","</f>
        <v xml:space="preserve">			this.isActive,</v>
      </c>
      <c r="U17" s="28" t="str">
        <f t="shared" ref="U17" si="22">IF(E17="int",REPT(CHAR(9),2)&amp;"this."&amp;D17&amp;" = 0,",REPT(CHAR(9),2)&amp;"this."&amp;D17&amp;" = '',")</f>
        <v xml:space="preserve">		this.isActive = '',</v>
      </c>
      <c r="V17" s="28" t="str">
        <f t="shared" ref="V17" si="23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"/>
  <sheetViews>
    <sheetView workbookViewId="0">
      <selection activeCell="D3" sqref="D3:O3"/>
    </sheetView>
  </sheetViews>
  <sheetFormatPr defaultRowHeight="15" x14ac:dyDescent="0.25"/>
  <cols>
    <col min="1" max="15" width="3.5703125" customWidth="1"/>
  </cols>
  <sheetData>
    <row r="1" spans="1:18" x14ac:dyDescent="0.25">
      <c r="A1" s="75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</row>
    <row r="2" spans="1:18" x14ac:dyDescent="0.25">
      <c r="A2" s="69" t="s">
        <v>363</v>
      </c>
      <c r="B2" s="70"/>
      <c r="C2" s="71"/>
      <c r="D2" s="72" t="s">
        <v>366</v>
      </c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</row>
    <row r="3" spans="1:18" x14ac:dyDescent="0.25">
      <c r="A3" s="69" t="s">
        <v>364</v>
      </c>
      <c r="B3" s="70"/>
      <c r="C3" s="71"/>
      <c r="D3" s="72" t="s">
        <v>365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</row>
    <row r="4" spans="1:18" x14ac:dyDescent="0.25">
      <c r="A4" s="69"/>
      <c r="B4" s="70"/>
      <c r="C4" s="71"/>
      <c r="D4" s="72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</row>
    <row r="5" spans="1:18" x14ac:dyDescent="0.25">
      <c r="A5" s="69"/>
      <c r="B5" s="70"/>
      <c r="C5" s="71"/>
      <c r="D5" s="72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</row>
    <row r="6" spans="1:18" x14ac:dyDescent="0.25">
      <c r="A6" s="74"/>
      <c r="B6" s="70"/>
      <c r="C6" s="71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</row>
    <row r="7" spans="1:18" x14ac:dyDescent="0.25">
      <c r="A7" s="74"/>
      <c r="B7" s="70"/>
      <c r="C7" s="71"/>
      <c r="D7" s="72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</row>
    <row r="15" spans="1:18" x14ac:dyDescent="0.25">
      <c r="R15" s="66"/>
    </row>
    <row r="16" spans="1:18" x14ac:dyDescent="0.25">
      <c r="R16" s="66"/>
    </row>
    <row r="17" spans="18:18" x14ac:dyDescent="0.25">
      <c r="R17" s="66"/>
    </row>
    <row r="18" spans="18:18" x14ac:dyDescent="0.25">
      <c r="R18" s="66"/>
    </row>
  </sheetData>
  <mergeCells count="13">
    <mergeCell ref="A4:C4"/>
    <mergeCell ref="D4:O4"/>
    <mergeCell ref="A1:O1"/>
    <mergeCell ref="A2:C2"/>
    <mergeCell ref="D2:O2"/>
    <mergeCell ref="A3:C3"/>
    <mergeCell ref="D3:O3"/>
    <mergeCell ref="A5:C5"/>
    <mergeCell ref="D5:O5"/>
    <mergeCell ref="A6:C6"/>
    <mergeCell ref="D6:O6"/>
    <mergeCell ref="A7:C7"/>
    <mergeCell ref="D7:O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nhlinh</cp:lastModifiedBy>
  <dcterms:created xsi:type="dcterms:W3CDTF">2022-04-01T07:31:40Z</dcterms:created>
  <dcterms:modified xsi:type="dcterms:W3CDTF">2023-05-26T09:35:01Z</dcterms:modified>
</cp:coreProperties>
</file>
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-120" yWindow="-120" windowWidth="30960" windowHeight="1584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functionGroups builtInGroupCount="18"/>
  <externalReferences>
    <externalReference r:id="rId7"/>
  </externalReferenc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5" l="1"/>
  <c r="B6" i="1" l="1"/>
  <c r="C16" i="5" l="1"/>
  <c r="B16" i="5"/>
  <c r="D16" i="5" s="1"/>
  <c r="C15" i="5"/>
  <c r="B15" i="5"/>
  <c r="D15" i="5" s="1"/>
  <c r="T15" i="5" s="1"/>
  <c r="T16" i="5" l="1"/>
  <c r="C17" i="5" l="1"/>
  <c r="B17" i="5"/>
  <c r="D17" i="5" s="1"/>
  <c r="G11" i="1"/>
  <c r="E11" i="1"/>
  <c r="H11" i="1" s="1"/>
  <c r="E17" i="5" s="1"/>
  <c r="D11" i="1"/>
  <c r="V11" i="1" s="1"/>
  <c r="V17" i="5" l="1"/>
  <c r="H17" i="5"/>
  <c r="T17" i="5"/>
  <c r="K17" i="5"/>
  <c r="W11" i="1"/>
  <c r="J11" i="1"/>
  <c r="I11" i="1"/>
  <c r="O11" i="1"/>
  <c r="N11" i="1"/>
  <c r="M11" i="1"/>
  <c r="P11" i="1"/>
  <c r="T11" i="1"/>
  <c r="G9" i="1"/>
  <c r="F15" i="5" s="1"/>
  <c r="E9" i="1"/>
  <c r="H9" i="1" s="1"/>
  <c r="E15" i="5" s="1"/>
  <c r="D9" i="1"/>
  <c r="V9" i="1" s="1"/>
  <c r="I17" i="5" l="1"/>
  <c r="G17" i="5"/>
  <c r="S17" i="5" s="1"/>
  <c r="U17" i="5"/>
  <c r="L17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H10" i="1" s="1"/>
  <c r="E16" i="5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1"/>
  <c r="T13" i="5"/>
  <c r="T7" i="1" l="1"/>
  <c r="W13" i="1"/>
  <c r="G6" i="1" l="1"/>
  <c r="I13" i="5"/>
  <c r="K13" i="5"/>
  <c r="V13" i="5"/>
  <c r="S13" i="5"/>
  <c r="H13" i="5"/>
  <c r="U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1" i="1" s="1"/>
  <c r="L9" i="1" l="1"/>
  <c r="L10" i="1"/>
  <c r="C7" i="1"/>
  <c r="I13" i="1"/>
  <c r="O13" i="1"/>
  <c r="N13" i="1"/>
  <c r="J13" i="1"/>
  <c r="P13" i="1"/>
  <c r="Q7" i="1" l="1"/>
  <c r="M68" i="3" s="1"/>
  <c r="L7" i="1"/>
  <c r="G68" i="3" s="1"/>
  <c r="K68" i="3"/>
  <c r="J68" i="3"/>
  <c r="M13" i="1"/>
  <c r="K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<sst xmlns="http://schemas.openxmlformats.org/spreadsheetml/2006/main" count="457" uniqueCount="375">
  <si>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</si>
  <si>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</si>
  <si>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</si>
  <si>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</si>
  <si>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</si>
  <si>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</si>
  <si>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</si>
  <si>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</si>
  <si>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</si>
  <si>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</si>
  <si>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</si>
  <si>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</si>
  <si>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</si>
  <si>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</si>
  <si>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</si>
  <si>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</si>
  <si>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</si>
  <si>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</si>
  <si>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</si>
  <si>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</si>
  <si>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</si>
  <si>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</si>
  <si>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</si>
  <si>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</si>
  <si>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</si>
  <si>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</si>
  <si>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</si>
  <si>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</si>
  <si>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</si>
  <si>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</si>
  <si>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</si>
  <si>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</si>
  <si>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</si>
  <si>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</si>
  <si>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</si>
  <si>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</si>
  <si>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</si>
  <si>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</si>
  <si>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</si>
  <si>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</si>
  <si>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</si>
  <si>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</si>
  <si>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</si>
  <si>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</si>
  <si>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</si>
  <si>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</si>
  <si>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</si>
  <si>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</si>
  <si>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</si>
  <si>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</si>
  <si>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</si>
  <si>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</si>
  <si>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</si>
  <si>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</si>
  <si>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</si>
  <si>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</si>
  <si>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</si>
  <si>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</si>
  <si>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</si>
  <si>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</si>
  <si>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</si>
  <si>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</si>
  <si>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</si>
  <si>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</si>
  <si>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</si>
  <si>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</si>
  <si>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</si>
  <si>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</si>
  <si>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</si>
  <si>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</si>
  <si>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</si>
  <si>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</si>
  <si>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</si>
  <si>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</si>
  <si>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</si>
  <si>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</si>
  <si>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</si>
  <si>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</si>
  <si>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</si>
  <si>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</si>
  <si>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</si>
  <si>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</si>
  <si>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</si>
  <si>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</si>
  <si>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</si>
  <si>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</si>
  <si>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</si>
  <si>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</si>
  <si>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</si>
  <si>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</si>
  <si>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</si>
  <si>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</si>
  <si>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</si>
  <si>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</si>
  <si>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</si>
  <si>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</si>
  <si>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</si>
  <si>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</si>
  <si>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</si>
  <si>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</si>
  <si>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</si>
  <si>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</si>
  <si>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</si>
  <si>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</si>
  <si>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</si>
  <si>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</si>
  <si>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</si>
  <si>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</si>
  <si>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</si>
  <si>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</si>
  <si>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</si>
  <si>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</si>
  <si>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</si>
  <si>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</si>
  <si>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</si>
  <si>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</si>
  <si>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</si>
  <si>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</si>
  <si>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</si>
  <si>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</si>
  <si>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</si>
  <si>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</si>
  <si>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</si>
  <si>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</si>
  <si>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</si>
  <si>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</si>
  <si>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</si>
  <si>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</si>
  <si>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</si>
  <si>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</si>
  <si>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</si>
  <si>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</si>
  <si>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</si>
  <si>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</si>
  <si>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</si>
  <si>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</si>
  <si>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</si>
  <si>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</si>
  <si>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</si>
  <si>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</si>
  <si>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</si>
  <si>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</si>
  <si>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</si>
  <si>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</si>
  <si>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</si>
  <si>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</si>
  <si>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</si>
  <si>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</si>
  <si>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</si>
  <si>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</si>
  <si>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</si>
  <si>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</si>
  <si>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</si>
  <si>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</si>
  <si>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</si>
  <si>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</si>
  <si>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</si>
  <si>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</si>
  <si>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</si>
  <si>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</si>
  <si>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</si>
  <si>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</si>
  <si>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</si>
  <si>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</si>
  <si>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</si>
  <si>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</si>
  <si>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</si>
  <si>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</si>
  <si>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</si>
  <si>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</si>
  <si>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</si>
  <si>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</si>
  <si>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</si>
  <si>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</si>
  <si>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</si>
  <si>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</si>
  <si>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</si>
  <si>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</si>
  <si>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</si>
  <si>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</si>
  <si>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</si>
  <si>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</si>
  <si>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</si>
  <si>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</si>
  <si>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</si>
  <si>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</si>
  <si>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</si>
  <si>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</si>
  <si>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</si>
  <si>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</si>
  <si>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</si>
  <si>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</si>
  <si>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</si>
  <si>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</si>
  <si>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</si>
  <si>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</si>
  <si>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</si>
  <si>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</si>
  <si>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</si>
  <si>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</si>
  <si>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</si>
  <si>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</si>
  <si>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</si>
  <si>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</si>
  <si>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</si>
  <si>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</si>
  <si>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</si>
  <si>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</si>
  <si>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</si>
  <si>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</si>
  <si>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</si>
  <si>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</si>
  <si>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</si>
  <si>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</si>
  <si>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</si>
  <si>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</si>
  <si>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</si>
  <si>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</si>
  <si>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</si>
  <si>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</si>
  <si>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</si>
  <si>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</si>
  <si>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</si>
  <si>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</si>
  <si>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</si>
  <si>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</si>
  <si>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</si>
  <si>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</si>
  <si>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</si>
  <si>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</si>
  <si>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</si>
  <si>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</si>
  <si>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</si>
  <si>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</si>
  <si>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</si>
  <si>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</si>
  <si>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</si>
  <si>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</si>
  <si>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</si>
  <si>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</si>
  <si>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</si>
  <si>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</si>
  <si>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</si>
  <si>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</si>
  <si>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</si>
  <si>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</si>
  <si>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</si>
  <si>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</si>
  <si>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</si>
  <si>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</si>
  <si>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</si>
  <si>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</si>
  <si>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</si>
  <si>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</si>
  <si>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</si>
  <si>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</si>
  <si>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</si>
  <si>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</si>
  <si>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</si>
  <si>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</si>
  <si>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</si>
  <si>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</si>
  <si>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</si>
  <si>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</si>
  <si>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</si>
  <si>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</si>
  <si>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</si>
  <si>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</si>
  <si>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</si>
  <si>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</si>
  <si>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</si>
  <si>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</si>
  <si>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</si>
  <si>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</si>
  <si>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</si>
  <si>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</si>
  <si>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</si>
  <si>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</si>
  <si>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</si>
  <si>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</si>
  <si>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</si>
  <si>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</si>
  <si>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</si>
  <si>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</si>
  <si>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</si>
  <si>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</si>
  <si>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</si>
  <si>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</si>
  <si>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</si>
  <si>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</si>
  <si>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</si>
  <si>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</si>
  <si>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</si>
  <si>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</si>
  <si>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</si>
  <si>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</si>
  <si>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</si>
  <si>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</si>
  <si>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</si>
  <si>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</si>
  <si>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</si>
  <si>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</si>
  <si>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</si>
  <si>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</si>
  <si>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</si>
  <si>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</si>
  <si>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</si>
  <si>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</si>
  <si>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</si>
  <si>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</si>
  <si>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</si>
  <si>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</si>
  <si>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</si>
  <si>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</si>
  <si>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</si>
  <si>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</si>
  <si>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</si>
  <si>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</si>
  <si>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</si>
  <si>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</si>
  <si>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</si>
  <si>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</si>
  <si>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</si>
  <si>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</si>
  <si>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</si>
  <si>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</si>
  <si>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</si>
  <si>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</si>
  <si>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</si>
  <si>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</si>
  <si>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</si>
  <si>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</si>
  <si>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</si>
  <si>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</si>
  <si>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</si>
  <si>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</si>
  <si>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</si>
  <si>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</si>
  <si>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</si>
  <si>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</si>
  <si>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</si>
  <si>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</si>
  <si>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</si>
  <si>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</si>
  <si>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</si>
  <si>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</si>
  <si>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</si>
  <si>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</si>
  <si>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</si>
  <si>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</si>
  <si>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</si>
  <si>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</si>
  <si>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</si>
  <si>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CODE</t>
  </si>
  <si>
    <t>NAME</t>
  </si>
  <si>
    <t>IHP</t>
  </si>
  <si>
    <t>Ihp</t>
  </si>
  <si>
    <t>InvIhp</t>
  </si>
  <si>
    <t>- 01 : Diesel</t>
  </si>
  <si>
    <t>- 02 : Gasoline</t>
  </si>
  <si>
    <t>- 03 : Hybrid</t>
  </si>
  <si>
    <t>- 04 : Electronic</t>
  </si>
  <si>
    <t>01</t>
  </si>
  <si>
    <t>02</t>
  </si>
  <si>
    <t>03</t>
  </si>
  <si>
    <t>04</t>
  </si>
  <si>
    <t>Diesel</t>
  </si>
  <si>
    <t>Gasoline</t>
  </si>
  <si>
    <t>Hybrid</t>
  </si>
  <si>
    <t>Electronic</t>
  </si>
  <si>
    <t>nvarchar(2)</t>
  </si>
  <si>
    <t>nvarchar(10)</t>
  </si>
  <si>
    <t>MstCmmFuelType</t>
  </si>
  <si>
    <t>FuelType</t>
  </si>
  <si>
    <t>Fuel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</si>
</sst>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0"/>
      <color rgb="FFFFFFFF"/>
      <name val="Segoe UI"/>
      <family val="2"/>
    </font>
    <font>
      <sz val="10"/>
      <color rgb="FF000000"/>
      <name val="Segoe UI"/>
      <family val="2"/>
    </font>
    <font>
      <sz val="10"/>
      <name val="Segoe UI"/>
      <family val="2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2060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22" fillId="0" borderId="0" xfId="0" applyFont="1" applyAlignment="1">
      <alignment vertical="center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0" fillId="0" borderId="5" xfId="0" applyFont="1" applyBorder="1" applyAlignment="1">
      <alignment horizontal="center" vertical="center" readingOrder="1"/>
    </xf>
    <xf numFmtId="0" fontId="20" fillId="0" borderId="6" xfId="0" applyFont="1" applyBorder="1" applyAlignment="1">
      <alignment horizontal="center" vertical="center" readingOrder="1"/>
    </xf>
    <xf numFmtId="0" fontId="20" fillId="0" borderId="7" xfId="0" applyFont="1" applyBorder="1" applyAlignment="1">
      <alignment horizontal="center" vertical="center" readingOrder="1"/>
    </xf>
    <xf numFmtId="0" fontId="21" fillId="0" borderId="5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0" fillId="0" borderId="5" xfId="0" quotePrefix="1" applyFont="1" applyBorder="1" applyAlignment="1">
      <alignment horizontal="center" vertical="center" readingOrder="1"/>
    </xf>
    <xf numFmtId="0" fontId="19" fillId="14" borderId="5" xfId="0" applyFont="1" applyFill="1" applyBorder="1" applyAlignment="1">
      <alignment horizontal="center" vertical="top"/>
    </xf>
    <xf numFmtId="0" fontId="19" fillId="14" borderId="6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6" zoomScaleNormal="100" workbookViewId="0">
      <selection activeCell="C43" sqref="C43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355</v>
      </c>
      <c r="F46" s="1" t="s">
        <v>356</v>
      </c>
      <c r="G46" t="s">
        <v>357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[Table("MstCmmFuelType")]
	[Index(nameof(Code), Name="IX_MstCmmFuelType_Code")]
	[Index(nameof(IsActive), Name="IX_MstCmmFuelType_IsActive")]	public class MstCmmFuelType: FullAuditedEntity&lt;long&gt;, IEntity&lt;long&gt;	
	{
		public const int MaxCodeLength = 2;
		public const int MaxNameLength = 10;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D68" s="48" t="str">
        <f>A.Backend!O7</f>
        <v xml:space="preserve">		public const string Pages_Master_Common_FuelType = "Pages.Master.Common.FuelType";
		public const string Pages_Master_Common_FuelType_CreateEdit = "Pages.Master.Common.FuelType.CreateEdit";
		public const string Pages_Master_Common_FuelType_Delete = "Pages.Master.Common.FuelType.Delete";
</v>
      </c>
      <c r="E68" s="48" t="str">
        <f>A.Backend!N7</f>
        <v xml:space="preserve">		var perMstCmmFuelType = PARENTS.CreateChildPermission(AppPermissions.Pages_Master_Common_FuelType, L( "MasterCommonFuelType"), multiTenancySides: MultiTenancySides.Tenant);
		perMstCmmFuelType.CreateChildPermission(AppPermissions.Pages_Master_Common_FuelType_CreateEdit, L( "MasterCommonFuelTypeCreateEdit"), multiTenancySides: MultiTenancySides.Tenant);
		perMstCmmFuelType.CreateChildPermission(AppPermissions.Pages_Master_Common_FuelType_Delete, L( "MasterCommonFuelTypeDelete"), multiTenancySides: MultiTenancySides.Tenant);</v>
      </c>
      <c r="F68" s="48" t="str">
        <f>A.Backend!K7</f>
        <v>public virtual DbSet&lt;MstCmmFuelType&gt; MstCmmFuelTypes { get; set; }</v>
      </c>
      <c r="G68" s="48" t="str">
        <f ca="1">A.Backend!L7</f>
        <v xml:space="preserve">namespace prod.Master.Common
{
	public class MstCmmFuelTypeConsts	
	{
		public const int MaxCodeLength = 2;
		public const int MaxNameLength = 10;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MstCmmFuelTypeDto : EntityDto&lt;long?&gt;	
	{
		public virtual string Code { get; set; }
		public virtual string Name { get; set; }
		public virtual string IsActive { get; set; }
	}
	public class CreateOrEditMstCmmFuelTypeDto : EntityDto&lt;long?&gt;	
	{
		[StringLength(MstCmmFuelTypeConsts.MaxCodeLength)]
		public virtual string Code { get; set; }
		[StringLength(MstCmmFuelTypeConsts.MaxNameLength)]
		public virtual string Name { get; set; }
		[StringLength(MstCmmFuelTypeConsts.MaxIsActiveLength)]
		public virtual string IsActive { get; set; }
	}
	public class GetMstCmmFuelTypeInput : PagedAndSortedResultRequestDto	
	{
		public virtual string Code { get; set; }
		public virtual string Name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MstCmmFuelTypeExportInput{
		public virtual string Code { get; set; }
		public virtual string Name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IMstCmmFuelTypeAppService : IApplicationService
	{
		Task&lt;PagedResultDto&lt;MstCmmFuelTypeDto&gt;&gt; GetAll(GetMstCmmFuelTypeInput input);
		Task CreateOrEdit(CreateOrEditMstCmmFuelTypeDto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IMstCmmFuelTypeExcelExporter : IApplicationService
	{
		FileDto ExportToFile(List&lt;MstCmmFuelTypeDto&gt; mstcmmfueltype);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MstCmmFuelTypeExcelExporter : NpoiExcelExporterBase, IMstCmmFuelTypeExcelExporter
    {
        public MstCmmFuelTypeExcelExporter(ITempFileCacheManager tempFileCacheManager) : base(tempFileCacheManager) { }
        public FileDto ExportToFile(List&lt;MstCmmFuelTypeDto&gt; fueltype)
        {
            return CreateExcelPackage(
				"MasterCommonFuelType.xlsx",
				excelPackage =&gt;
				 {
					var sheet = excelPackage.CreateSheet("FuelType");
					AddHeader(
								sheet,
								("Code"),
								("Name"),
								("IsActive"),
							   );
					AddObjects(
						 sheet, 1, fueltype,                                       
								_ =&gt; _.Code,
								_ =&gt; _.Name,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[AbpAuthorize(AppPermissions.Pages_Master_Common_FuelType)]
    public class MstCmmFuelTypeAppService : vovinaAppServiceBase, IMstCmmFuelTypeAppService
    {
        private readonly IDapperRepository&lt;MstCmmFuelType, long&gt; _dapperRepo;
        private readonly IRepository&lt;MstCmmFuelType, long&gt; _repo;
        private readonly IMstCmmFuelTypeExcelExporter _calendarListExcelExporter;
        public MstCmmFuelTypeAppService(IRepository&lt;MstCmmFuelType,long&gt; repo, 
                                         IDapperRepository&lt;MstCmmFuelType,long&gt; dapperRepo,
                                        IMstCmmFuelTypeExcelExporter calendarListExcelExporter
            )
        {
            _repo = repo;
            _dapperRepo = dapperRepo;
            _calendarListExcelExporter = calendarListExcelExporter;
        }
        [AbpAuthorize(AppPermissions.Pages_Master_Common_FuelType_CreateEdit)]
        public async Task CreateOrEdit(CreateOrEditMstCmmFuelTypeDto input)
        {
            if (input.Id == null) await Create(input);
            else await Update(input);
        }
        //CREATE
        private async Task Create(CreateOrEditMstCmmFuelTypeDto input)
        {          
            var mainObj = ObjectMapper.Map&lt;MstCmmFuelType&gt;(input);
            await CurrentUnitOfWork.GetDbContext&lt;vovinaDbContext&gt;().AddAsync(mainObj);
        }
        // EDIT
        private async Task Update(CreateOrEditMstCmmFuelTypeDto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[AbpAuthorize(AppPermissions.Pages_Master_Common_FuelType_Delete)]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Task&lt;PagedResultDto&lt;MstCmmFuelTypeDto&gt;&gt; GetAll(GetMstCmmFuelTypeInput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MstCmmFuelTypeDto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PagedResultDto&lt;MstCmmFuelTypeDto&gt;(
                totalCount,
                 await paged.ToListAsync()
            );
        }
        public async Task&lt;FileDto&gt; GetFuelTypeToExcel(MstCmmFuelTypeExportInput input)
        {
            var query = from o in _repo.GetAll()
                        select new MstCmmFuelTypeDto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_dapperRepo.ExecuteAsync(MstCmmFuelTypeConsts.SP_MST_WPT_CALENDAR_GENERATE);
       // }
    }
}</v>
      </c>
      <c r="N68" s="58" t="str">
        <f>A.Backend!U7</f>
        <v xml:space="preserve">  configuration.CreateMap&lt;MstCmmFuelTypeDto, MstCmmFuelType&gt;();
  configuration.CreateMap&lt;MstCmmFuelType, MstCmmFuelTypeDto&gt;();
  configuration.CreateMap&lt;CreateOrEditMstCmmFuelTypeDto, MstCmmFuelType&gt;();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fueltype</v>
      </c>
      <c r="C73" s="67" t="str">
        <f>"create folder " &amp;B73</f>
        <v>create folder fueltype</v>
      </c>
      <c r="D73" s="67"/>
      <c r="E73" s="67"/>
      <c r="F73" s="67"/>
      <c r="G73" s="67"/>
      <c r="H73" s="67"/>
      <c r="I73" s="67"/>
      <c r="J73" s="67"/>
      <c r="K73" s="68" t="s">
        <v>228</v>
      </c>
      <c r="L73" s="68"/>
      <c r="M73" s="28"/>
    </row>
    <row r="74" spans="2:14" s="26" customFormat="1" ht="18" customHeight="1" x14ac:dyDescent="0.25">
      <c r="B74" s="56" t="s">
        <v>229</v>
      </c>
      <c r="C74" s="28" t="str">
        <f>B.Frontend!H14</f>
        <v>fueltype.component.ts</v>
      </c>
      <c r="D74" s="28" t="str">
        <f>B.Frontend!I14</f>
        <v>fueltype.component.html</v>
      </c>
      <c r="E74" s="28" t="str">
        <f>B.Frontend!J14</f>
        <v>fueltype.component.less</v>
      </c>
      <c r="F74" s="28" t="str">
        <f>B.Frontend!K14</f>
        <v>create-or-edit-fueltype-modal.component.html</v>
      </c>
      <c r="G74" s="28" t="str">
        <f>B.Frontend!L14</f>
        <v>create-or-edit-fueltype-modal.component.ts</v>
      </c>
      <c r="H74" s="28" t="str">
        <f>B.Frontend!M14</f>
        <v>create-or-edit-fueltype-modal.component.less</v>
      </c>
      <c r="I74" s="28" t="str">
        <f>B.Frontend!N14</f>
        <v>fueltype.module.ts</v>
      </c>
      <c r="J74" s="28" t="str">
        <f>B.Frontend!O14</f>
        <v>fueltype-routing.module.ts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MstCmmFuelTypeDto, MstCmmFuelTypeServiceProxy } from '@shared/service-proxies/service-proxies';
import { finalize } from 'rxjs/internal/operators/finalize';
import { CreateOrEditFuelTypeModalComponent } from './create-or-edit-fueltype-modal.component';
import { DatePipe } from '@angular/common';
import { FileDownloadService } from '@shared/utils/file-download.service';
import ceil from 'lodash-es/ceil';
import { Paginator } from 'primeng/paginator';
@Component({
    templateUrl: './fueltype.component.html',
    styleUrls: ['./fueltype.component.less'],
})
export class FuelTypeComponent extends AppComponentBase implements OnInit {
    @ViewChild('createOrEditModalFuelType', { static: true }) createOrEditModalFuelType:| CreateOrEditFuelTypeModalComponent|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MstCmmFuelTypeDto = new MstCmmFuelTypeDto();
    saveSelectedRow: MstCmmFuelTypeDto = new MstCmmFuelTypeDto();
    datas: MstCmmFuelTypeDto = new MstCmmFuelTypeDto();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MstCmmFuelTypeServiceProxy,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MstCmmFuelTypeDto[] } }) {
        this.saveSelectedRow = params.api.getSelectedRows()[0] ?? new MstCmmFuelTypeDto();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MstCmmFuelTypeDto):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this._service.getFuelTypeToExcel(
			this.code,
			this.name,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Fuel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(click)="createOrEditModalFuelType.show()"&gt;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(click)="createOrEditModalFuelType.show(selectedRow)"&gt;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&lt;create-or-edit-fueltype-modal
    #createOrEditModalFuelType
    (modalSave)="callBackDataGrid(dataParams)"
    (modalClose)="onChangeRowSelection(dataParams)"
&gt;
&lt;/create-or-edit-fueltype-modal&gt;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#createOrEditModalFuelType="bs-modal"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FuelType')}}&lt;/h3&gt;
                    &lt;h3 *ngIf="!rowdata.id"&gt;{{('Create New FuelType')}}&lt;/h3&gt;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CreateOrEditMstCmmFuelTypeDto, MstCmmFuelTypeServiceProxy } from '@shared/service-proxies/service-proxies';
import { BsDatepickerDirective } from 'ngx-bootstrap/datepicker';
@Component({
    selector: 'create-or-edit-fueltype-modal',
    templateUrl: './create-or-edit-fueltype-modal.component.html',
    styleUrls: ['./create-or-edit-fueltype-modal.component.less']
    })
export class CreateOrEditFuelTypeModalComponent extends AppComponentBase {
    @ViewChild('createOrEditModalFuelType',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CreateOrEditMstCmmFuelTypeDto = new CreateOrEditMstCmmFuelTypeDto();
    active: boolean = false;
    saving: boolean = false;
    _isActive: boolean;
    constructor(
        injector: Injector,
        private _mstwptFuelTypeService: MstCmmFuelTypeServiceProxy,
    ) 
    {
        super(injector);
    }
    show(rowdata?: CreateOrEditMstCmmFuelTypeDto): void {
        if (!rowdata) this.rowdata = new CreateOrEditMstCmmFuelTypeDto();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this._mstwptFuelTypeService.createOrEdit(this.rowdata)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FuelTypeRoutingModule } from './fueltype-routing.module';
import { FuelTypeComponent } from './fueltype.component';
import { CreateOrEditFuelTypeModalComponent } from './create-or-edit-fueltype-modal.component';
@NgModule({
    declarations: [
       FuelTypeComponent, 
        CreateOrEditFuelTypeModalComponent
    ],
    imports: [
        AppSharedModule, FuelTypeRoutingModule]
})
export class FuelTypeModule {}</v>
      </c>
      <c r="J75" s="46" t="str">
        <f>B.Frontend!O10</f>
        <v>import {NgModule} from '@angular/core';
import {RouterModule, Routes} from '@angular/router';
import { FuelTypeComponent } from './fueltype.component';
const routes: Routes = [{
    path: '',
    component: FuelTypeComponent,
    pathMatch: 'full'
}];
@NgModule({
    imports: [RouterModule.forChild(routes)],
    exports: [RouterModule],
})
export class FuelTypeRoutingModule {}</v>
      </c>
      <c r="K75" s="46" t="str">
        <f>B.Frontend!P10</f>
        <v xml:space="preserve"> new AppMenuItem("FuelType", "Pages.Master.Common.FuelType", "flaticon-book",   "/app/main/master/common/fueltype"),</v>
      </c>
      <c r="L75" s="47" t="str">
        <f>B.Frontend!Q10</f>
        <v>{
    path: 'master/common/fueltype',
    loadChildren: () =&gt; import('./master/common/fueltype/fueltype.module').then(m =&gt; m.FuelTypeModule),
    data: { permission: 'Pages.Master.Common.FuelType' }
},</v>
      </c>
      <c r="M75" s="45" t="str">
        <f>B.Frontend!R10</f>
        <v>ApiServiceProxies.MstCmmFuelTypeServiceProxy,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B1" activePane="topRight" state="frozen"/>
      <selection pane="topRight" activeCell="B20" sqref="B20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372</v>
      </c>
      <c r="C3" s="9" t="s">
        <v>43</v>
      </c>
      <c r="D3" s="9" t="s">
        <v>44</v>
      </c>
      <c r="E3" s="9" t="s">
        <v>39</v>
      </c>
      <c r="F3" s="10" t="str">
        <f>"J"&amp;COUNTA($A:$A)</f>
        <v>J11</v>
      </c>
      <c r="G3" s="4" t="s">
        <v>57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56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MstCmmFuelTypeExportInput{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373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MstCmmFuelType: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MstCmmFuelTypeConsts	
	{
</v>
      </c>
      <c r="F6" s="10" t="str">
        <f>REPT(CHAR(9),1)&amp;"public class "&amp;B3&amp;"Dto"&amp;K3&amp;REPT(CHAR(9),1)&amp;"
"&amp;REPT(CHAR(9),1)&amp;C3</f>
        <v xml:space="preserve">	public class MstCmmFuelTypeDto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CreateOrEditMstCmmFuelTypeDto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GetMstCmmFuelTypeInput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MstCmmFuelType</v>
      </c>
      <c r="C7" s="10" t="str">
        <f>REPT(CHAR(9),1)&amp;"[Table("""&amp;B7&amp;""")]"&amp;"
"</f>
        <v xml:space="preserve">	[Table("MstCmmFuelType")]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[Table("MstCmmFuelType")]
	[Index(nameof(Code), Name="IX_MstCmmFuelType_Code")]
	[Index(nameof(IsActive), Name="IX_MstCmmFuelType_IsActive")]	public class MstCmmFuelType: FullAuditedEntity&lt;long&gt;, IEntity&lt;long&gt;	
	{
		public const int MaxCodeLength = 2;
		public const int MaxNameLength = 10;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DbSet&lt;MstCmmFuelType&gt; MstCmmFuelTypes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prod.Master.Common
{
	public class MstCmmFuelTypeConsts	
	{
		public const int MaxCodeLength = 2;
		public const int MaxNameLength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prod.Master.Common.Dto
{
	public class MstCmmFuelTypeDto : EntityDto&lt;long?&gt;	
	{
		public virtual string Code { get; set; }
		public virtual string Name { get; set; }
		public virtual string IsActive { get; set; }
	}
	public class CreateOrEditMstCmmFuelTypeDto : EntityDto&lt;long?&gt;	
	{
		[StringLength(MstCmmFuelTypeConsts.MaxCodeLength)]
		public virtual string Code { get; set; }
		[StringLength(MstCmmFuelTypeConsts.MaxNameLength)]
		public virtual string Name { get; set; }
		[StringLength(MstCmmFuelTypeConsts.MaxIsActiveLength)]
		public virtual string IsActive { get; set; }
	}
	public class GetMstCmmFuelTypeInput : PagedAndSortedResultRequestDto	
	{
		public virtual string Code { get; set; }
		public virtual string 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perMstCmmFuelType = PARENTS.CreateChildPermission(AppPermissions.Pages_Master_Common_FuelType, L( "MasterCommonFuelType"), multiTenancySides: MultiTenancySides.Tenant);
		perMstCmmFuelType.CreateChildPermission(AppPermissions.Pages_Master_Common_FuelType_CreateEdit, L( "MasterCommonFuelTypeCreateEdit"), multiTenancySides: MultiTenancySides.Tenant);
		perMstCmmFuelType.CreateChildPermission(AppPermissions.Pages_Master_Common_FuelType_Delete, L( "MasterCommonFuelTypeDelete"),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Pages_Master_Common_FuelType = "Pages.Master.Common.FuelType";
		public const string Pages_Master_Common_FuelType_CreateEdit = "Pages.Master.Common.FuelType.CreateEdit";
		public const string Pages_Master_Common_FuelType_Delete = "Pages.Master.Common.FuelType.Delete";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IMstCmmFuelTypeAppService : IApplicationService
	{
		Task&lt;PagedResultDto&lt;MstCmmFuelTypeDto&gt;&gt; GetAll(GetMstCmmFuelTypeInput input);
		Task CreateOrEdit(CreateOrEditMstCmmFuelTypeDto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[AbpAuthorize(AppPermissions.Pages_Master_Common_FuelType)]
    public class MstCmmFuelTypeAppService : vovinaAppServiceBase, IMstCmmFuelTypeAppService
    {
        private readonly IDapperRepository&lt;MstCmmFuelType, long&gt; _dapperRepo;
        private readonly IRepository&lt;MstCmmFuelType, long&gt; _repo;
        private readonly IMstCmmFuelTypeExcelExporter _calendarListExcelExporter;
        public MstCmmFuelTypeAppService(IRepository&lt;MstCmmFuelType,long&gt; repo, 
                                         IDapperRepository&lt;MstCmmFuelType,long&gt; dapperRepo,
                                        IMstCmmFuelTypeExcelExporter calendarListExcelExporter
            )
        {
            _repo = repo;
            _dapperRepo = dapperRepo;
            _calendarListExcelExporter = calendarListExcelExporter;
        }
        [AbpAuthorize(AppPermissions.Pages_Master_Common_FuelType_CreateEdit)]
        public async Task CreateOrEdit(CreateOrEditMstCmmFuelTypeDto input)
        {
            if (input.Id == null) await Create(input);
            else await Update(input);
        }
        //CREATE
        private async Task Create(CreateOrEditMstCmmFuelTypeDto input)
        {          
            var mainObj = ObjectMapper.Map&lt;MstCmmFuelType&gt;(input);
            await CurrentUnitOfWork.GetDbContext&lt;vovinaDbContext&gt;().AddAsync(mainObj);
        }
        // EDIT
        private async Task Update(CreateOrEditMstCmmFuelTypeDto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[AbpAuthorize(AppPermissions.Pages_Master_Common_FuelType_Delete)]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Task&lt;PagedResultDto&lt;MstCmmFuelTypeDto&gt;&gt; GetAll(GetMstCmmFuelTypeInput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MstCmmFuelTypeDto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PagedResultDto&lt;MstCmmFuelTypeDto&gt;(
                totalCount,
                 await paged.ToListAsync()
            );
        }
        public async Task&lt;FileDto&gt; GetFuelTypeToExcel(MstCmmFuelTypeExportInput input)
        {
            var query = from o in _repo.GetAll()
                        select new MstCmmFuelTypeDto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_dapperRepo.ExecuteAsync(MstCmmFuelTypeConsts.SP_MST_WPT_CALENDAR_GENERATE);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prod.Master.Common.Dto
{
	public class MstCmmFuelTypeExportInput{
		public virtual string Code { get; set; }
		public virtual string 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IMstCmmFuelTypeExcelExporter : IApplicationService
	{
		FileDto ExportToFile(List&lt;MstCmmFuelTypeDto&gt; mstcmmfueltype);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MstCmmFuelTypeExcelExporter : NpoiExcelExporterBase, IMstCmmFuelTypeExcelExporter
    {
        public MstCmmFuelTypeExcelExporter(ITempFileCacheManager tempFileCacheManager) : base(tempFileCacheManager) { }
        public FileDto ExportToFile(List&lt;MstCmmFuelTypeDto&gt; fueltype)
        {
            return CreateExcelPackage(
				"MasterCommonFuelType.xlsx",
				excelPackage =&gt;
				 {
					var sheet = excelPackage.CreateSheet("FuelType");
					AddHeader(
								sheet,
								("Code"),
								("Name"),
								("IsActive"),
							   );
					AddObjects(
						 sheet, 1, fueltype,                                       
								_ =&gt; _.Code,
								_ =&gt; _.Name,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configuration.CreateMap&lt;MstCmmFuelTypeDto, MstCmmFuelType&gt;();
  configuration.CreateMap&lt;MstCmmFuelType, MstCmmFuelTypeDto&gt;();
  configuration.CreateMap&lt;CreateOrEditMstCmmFuelTypeDto, MstCmmFuelType&gt;();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t="s">
        <v>353</v>
      </c>
      <c r="B9" t="s">
        <v>370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2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2;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Name="IX_MstCmmFuelType_Code")]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[StringLength(MstCmmFuelTypeConsts.MaxCodeLength)]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354</v>
      </c>
      <c r="B10" t="s">
        <v>371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10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10;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[StringLength(MstCmmFuelTypeConsts.MaxNameLength)]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4" t="str">
        <f t="shared" ref="T10" si="23">REPT(CHAR(9),8)&amp;"("""&amp;D10&amp;"""),"</f>
        <v xml:space="preserve">								("Name"),</v>
      </c>
      <c r="V10" s="65" t="str">
        <f t="shared" ref="V10" si="24">REPT(CHAR(9),8)&amp;"_ =&gt; _."&amp;D10&amp;","</f>
        <v xml:space="preserve">								_ =&gt; _.Name,</v>
      </c>
      <c r="W10" s="64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22.5" customHeight="1" x14ac:dyDescent="0.25">
      <c r="A11" t="s">
        <v>324</v>
      </c>
      <c r="B11" t="s">
        <v>352</v>
      </c>
      <c r="C11" t="s">
        <v>1</v>
      </c>
      <c r="D11" t="str">
        <f>SUBSTITUTE(PROPER(A11),"_","")</f>
        <v>IsActive</v>
      </c>
      <c r="E11" t="str">
        <f t="shared" ref="E11" si="26">IFERROR(LEFT(B11, FIND("(",B11)-1),B11)</f>
        <v>nvarchar</v>
      </c>
      <c r="F11" s="6"/>
      <c r="G11" t="str">
        <f t="shared" ref="G11" si="27">IFERROR(MID(B11,FIND("(",B11) +1, FIND(")",B11) - FIND("(",B11) - 1),"")</f>
        <v>1</v>
      </c>
      <c r="H11" t="str">
        <f>+VLOOKUP(E11,'[1]Data Type Mapping'!A:B,2,)</f>
        <v>string</v>
      </c>
      <c r="I11" t="str">
        <f t="shared" ref="I11" si="28">IF(H11="string",REPT(CHAR(9),2)&amp;"public const int Max"&amp;D11&amp;"Length = "&amp;G11&amp;";"&amp;$E$3,"" )</f>
        <v xml:space="preserve">		public const int MaxIsActiveLength = 1;
</v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6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Name="IX_MstCmmFuelType_IsActive")]</v>
      </c>
      <c r="M11" t="str">
        <f t="shared" ref="M11" si="30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[StringLength(MstCmmFuelTypeConsts.MaxIsActiveLength)]
		public virtual string IsActive { get; set; }
</v>
      </c>
      <c r="O11" t="str">
        <f t="shared" ref="O11" si="32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3">REPT(CHAR(9),7)&amp;D11&amp;" = o." &amp;D11 &amp;","</f>
        <v xml:space="preserve">							IsActive = o.IsActive,</v>
      </c>
      <c r="T11" s="64" t="str">
        <f t="shared" ref="T11" si="34">REPT(CHAR(9),8)&amp;"("""&amp;D11&amp;"""),"</f>
        <v xml:space="preserve">								("IsActive"),</v>
      </c>
      <c r="V11" s="65" t="str">
        <f t="shared" ref="V11" si="35">REPT(CHAR(9),8)&amp;"_ =&gt; _."&amp;D11&amp;","</f>
        <v xml:space="preserve">								_ =&gt; _.IsActive,</v>
      </c>
      <c r="W11" s="64" t="str">
        <f t="shared" ref="W11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MaxCodeLength = 2;
		public const int MaxNameLength = 10;
		public const int MaxIsActiveLength = 1;
</v>
      </c>
      <c r="J13" s="30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[StringLength(MaxIsActiveLength)]
		public virtual string IsActive { get; set; }
</v>
      </c>
      <c r="K13" s="32" t="str">
        <f ca="1">TEXTJOIN2("
", TRUE,INDIRECT( $J$1):INDIRECT( $J$3))</f>
        <v xml:space="preserve">	[Index(nameof(Code), Name="IX_MstCmmFuelType_Code")]
	[Index(nameof(IsActive), Name="IX_MstCmmFuelType_IsActive")]</v>
      </c>
      <c r="L13" s="12" t="s">
        <v>60</v>
      </c>
      <c r="M13" s="33" t="str">
        <f ca="1">TEXTJOIN2("
",TRUE,INDIRECT( $L$1):INDIRECT($L$3))</f>
        <v xml:space="preserve">		public virtual string Code { get; set; }
		public virtual string Name { get; set; }
		public virtual string IsActive { get; set; }
</v>
      </c>
      <c r="N13" s="30" t="str">
        <f ca="1">TEXTJOIN2("
",TRUE,INDIRECT( $M$1):INDIRECT($M$3))</f>
        <v xml:space="preserve">		[StringLength(MstCmmFuelTypeConsts.MaxCodeLength)]
		public virtual string Code { get; set; }
		[StringLength(MstCmmFuelTypeConsts.MaxNameLength)]
		public virtual string Name { get; set; }
		[StringLength(MstCmmFuelTypeConsts.MaxIsActiveLength)]
		public virtual string IsActive { get; set; }
</v>
      </c>
      <c r="O13" s="30" t="str">
        <f ca="1">TEXTJOIN2("
",TRUE,INDIRECT( $N$1):INDIRECT($N$3))</f>
        <v xml:space="preserve">		public virtual string Code { get; set; }
		public virtual string Name { get; set; }
		public virtual string IsActive { get; set; }
</v>
      </c>
      <c r="P13" s="8" t="str">
        <f ca="1">TEXTJOIN2("
",TRUE,INDIRECT( $O$1):INDIRECT($O$3))</f>
        <v xml:space="preserve">							Code = o.Code,
							Name = o.Name,
							IsActive = o.IsActive,</v>
      </c>
      <c r="T13" s="8" t="str">
        <f ca="1">TEXTJOIN2("
",TRUE,INDIRECT( $T$2):INDIRECT($T$3))</f>
        <v xml:space="preserve">								("Code"),
								("Name"),
								("IsActive"),</v>
      </c>
      <c r="V13" s="8" t="str">
        <f ca="1">TEXTJOIN2("
",TRUE,INDIRECT( $V$2):INDIRECT($V$3))</f>
        <v xml:space="preserve">								_ =&gt; _.Code,
								_ =&gt; _.Name,
								_ =&gt; _.IsActive,</v>
      </c>
      <c r="W13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F21" sqref="F2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212</v>
      </c>
      <c r="B1" s="39" t="s">
        <v>374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MstCmmFuelType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FuelType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fueltype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MstCmmFuelTypeDto, MstCmmFuelTypeServiceProxy } from '@shared/service-proxies/service-proxies';
import { finalize } from 'rxjs/internal/operators/finalize';
import { CreateOrEditFuelTypeModalComponent } from './create-or-edit-fueltype-modal.component';
import { DatePipe } from '@angular/common';
import { FileDownloadService } from '@shared/utils/file-download.service';
import ceil from 'lodash-es/ceil';
import { Paginator } from 'primeng/paginator';
@Component({
    templateUrl: './fueltype.component.html',
    styleUrls: ['./fueltype.component.less'],
})
export class FuelTypeComponent extends AppComponentBase implements OnInit {
    @ViewChild('createOrEditModalFuelType', { static: true }) createOrEditModalFuelType:| CreateOrEditFuelTypeModalComponent|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MstCmmFuelTypeDto = new MstCmmFuelTypeDto();
    saveSelectedRow: MstCmmFuelTypeDto = new MstCmmFuelTypeDto();
    datas: MstCmmFuelTypeDto = new MstCmmFuelTypeDto();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MstCmmFuelTypeServiceProxy,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MstCmmFuelTypeDto[] } }) {
        this.saveSelectedRow = params.api.getSelectedRows()[0] ?? new MstCmmFuelTypeDto();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MstCmmFuelTypeDto):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this._service.getFuelTypeToExcel(
			this.code,
			this.name,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Fuel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(click)="createOrEditModalFuelType.show()"&gt;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(click)="createOrEditModalFuelType.show(selectedRow)"&gt;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&lt;create-or-edit-fueltype-modal
    #createOrEditModalFuelType
    (modalSave)="callBackDataGrid(dataParams)"
    (modalClose)="onChangeRowSelection(dataParams)"
&gt;
&lt;/create-or-edit-fueltype-modal&gt;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#createOrEditModalFuelType="bs-modal"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FuelType')}}&lt;/h3&gt;
                    &lt;h3 *ngIf="!rowdata.id"&gt;{{('Create New FuelType')}}&lt;/h3&gt;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CreateOrEditMstCmmFuelTypeDto, MstCmmFuelTypeServiceProxy } from '@shared/service-proxies/service-proxies';
import { BsDatepickerDirective } from 'ngx-bootstrap/datepicker';
@Component({
    selector: 'create-or-edit-fueltype-modal',
    templateUrl: './create-or-edit-fueltype-modal.component.html',
    styleUrls: ['./create-or-edit-fueltype-modal.component.less']
    })
export class CreateOrEditFuelTypeModalComponent extends AppComponentBase {
    @ViewChild('createOrEditModalFuelType',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CreateOrEditMstCmmFuelTypeDto = new CreateOrEditMstCmmFuelTypeDto();
    active: boolean = false;
    saving: boolean = false;
    _isActive: boolean;
    constructor(
        injector: Injector,
        private _mstwptFuelTypeService: MstCmmFuelTypeServiceProxy,
    ) 
    {
        super(injector);
    }
    show(rowdata?: CreateOrEditMstCmmFuelTypeDto): void {
        if (!rowdata) this.rowdata = new CreateOrEditMstCmmFuelTypeDto();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this._mstwptFuelTypeService.createOrEdit(this.rowdata)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FuelTypeRoutingModule } from './fueltype-routing.module';
import { FuelTypeComponent } from './fueltype.component';
import { CreateOrEditFuelTypeModalComponent } from './create-or-edit-fueltype-modal.component';
@NgModule({
    declarations: [
       FuelTypeComponent, 
        CreateOrEditFuelTypeModalComponent
    ],
    imports: [
        AppSharedModule, FuelTypeRoutingModule]
})
export class FuelTypeModule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FuelTypeComponent } from './fueltype.component';
const routes: Routes = [{
    path: '',
    component: FuelTypeComponent,
    pathMatch: 'full'
}];
@NgModule({
    imports: [RouterModule.forChild(routes)],
    exports: [RouterModule],
})
export class FuelTypeRoutingModule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AppMenuItem("FuelType", "Pages.Master.Common.FuelType", "flaticon-book",   "/app/main/master/common/fueltype"),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'master/common/fueltype',
    loadChildren: () =&gt; import('./master/common/fueltype/fueltype.module').then(m =&gt; m.FuelTypeModule),
    data: { permission: 'Pages.Master.Common.FuelType' }
},</v>
      </c>
      <c r="R10" s="47" t="str">
        <f>SUBSTITUTE(R9,"MstWptCalendar",$B$6)</f>
        <v>ApiServiceProxies.MstCmmFuelTypeServiceProxy,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code : string = '' ; 
	name : string = '' ; 
	isActive : string = '' ; </v>
      </c>
      <c r="T13" s="63" t="str">
        <f ca="1">TEXTJOIN2("
",TRUE,INDIRECT(T11):INDIRECT(T12))</f>
        <v xml:space="preserve">			this.code,
			this.name,
			this.isActive,</v>
      </c>
      <c r="U13" s="63" t="str">
        <f ca="1">TEXTJOIN2("
",TRUE,INDIRECT(U11):INDIRECT(U12))</f>
        <v xml:space="preserve">		this.code = '',
		this.name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fueltype.component.ts</v>
      </c>
      <c r="I14" s="37" t="str">
        <f>B8&amp;".component.html"</f>
        <v>fueltype.component.html</v>
      </c>
      <c r="J14" s="36" t="str">
        <f>B8&amp;".component.less"</f>
        <v>fueltype.component.less</v>
      </c>
      <c r="K14" s="37" t="str">
        <f>"create-or-edit-"&amp;B8&amp;"-modal.component.html"</f>
        <v>create-or-edit-fueltype-modal.component.html</v>
      </c>
      <c r="L14" s="37" t="str">
        <f>"create-or-edit-"&amp;B8&amp;"-modal.component.ts"</f>
        <v>create-or-edit-fueltype-modal.component.ts</v>
      </c>
      <c r="M14" s="37" t="str">
        <f>"create-or-edit-"&amp;B8&amp;"-modal.component.less"</f>
        <v>create-or-edit-fueltype-modal.component.less</v>
      </c>
      <c r="N14" s="37" t="str">
        <f>B8&amp;".module.ts"</f>
        <v>fueltype.module.ts</v>
      </c>
      <c r="O14" s="37" t="str">
        <f>B8&amp;"-routing.module.ts"</f>
        <v>fueltype-routing.module.ts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353</v>
      </c>
      <c r="B15" s="28" t="str">
        <f t="shared" ref="B15:B16" si="0">SUBSTITUTE(PROPER(A15),"_","")</f>
        <v>Code</v>
      </c>
      <c r="C15" s="28" t="str">
        <f t="shared" ref="C15:C16" si="1">SUBSTITUTE(PROPER(A15),"_"," ")</f>
        <v>Code</v>
      </c>
      <c r="D15" s="28" t="str">
        <f t="shared" ref="D15:D16" si="2">LOWER(LEFT(B15,1))&amp;RIGHT(B15,LEN(B15) - 1)</f>
        <v>code</v>
      </c>
      <c r="E15" s="28" t="str">
        <f>A.Backend!H9</f>
        <v>string</v>
      </c>
      <c r="F15" s="28" t="str">
        <f>A.Backend!G9</f>
        <v>2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:V16" si="8">IF(AND(E15="string",F15="1"),D15,"")</f>
        <v/>
      </c>
    </row>
    <row r="16" spans="1:22" ht="18" customHeight="1" x14ac:dyDescent="0.25">
      <c r="A16" s="28" t="s">
        <v>354</v>
      </c>
      <c r="B16" s="28" t="str">
        <f t="shared" si="0"/>
        <v>Name</v>
      </c>
      <c r="C16" s="28" t="str">
        <f t="shared" si="1"/>
        <v>Name</v>
      </c>
      <c r="D16" s="28" t="str">
        <f t="shared" si="2"/>
        <v>name</v>
      </c>
      <c r="E16" s="28" t="str">
        <f>A.Backend!H10</f>
        <v>string</v>
      </c>
      <c r="F16" s="28" t="str">
        <f>A.Backend!G10</f>
        <v>10</v>
      </c>
      <c r="G16" s="28" t="str">
        <f t="shared" si="3"/>
        <v xml:space="preserve"> : string = '' ; </v>
      </c>
      <c r="H16" s="35" t="str">
        <f t="shared" si="4"/>
        <v xml:space="preserve">			{headerName: this.l('Name'),headerTooltip: this.l('Name'),field: 'name',flex: 1},</v>
      </c>
      <c r="I16" s="35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9">REPT(CHAR(9),1)&amp;D16&amp;G16</f>
        <v xml:space="preserve">	name : string = '' ; </v>
      </c>
      <c r="T16" s="28" t="str">
        <f t="shared" ref="T16" si="10">REPT(CHAR(9),3)&amp;"this."&amp;D16&amp;","</f>
        <v xml:space="preserve">			this.name,</v>
      </c>
      <c r="U16" s="28" t="str">
        <f t="shared" ref="U16" si="11">IF(E16="int",REPT(CHAR(9),2)&amp;"this."&amp;D16&amp;" = 0,",REPT(CHAR(9),2)&amp;"this."&amp;D16&amp;" = '',")</f>
        <v xml:space="preserve">		this.name = '',</v>
      </c>
      <c r="V16" s="28" t="str">
        <f t="shared" si="8"/>
        <v/>
      </c>
    </row>
    <row r="17" spans="1:22" ht="18" customHeight="1" x14ac:dyDescent="0.25">
      <c r="A17" s="28" t="s">
        <v>324</v>
      </c>
      <c r="B17" s="28" t="str">
        <f t="shared" ref="B17" si="12">SUBSTITUTE(PROPER(A17),"_","")</f>
        <v>IsActive</v>
      </c>
      <c r="C17" s="28" t="str">
        <f t="shared" ref="C17" si="13">SUBSTITUTE(PROPER(A17),"_"," ")</f>
        <v>Is Active</v>
      </c>
      <c r="D17" s="28" t="str">
        <f t="shared" ref="D17" si="14">LOWER(LEFT(B17,1))&amp;RIGHT(B17,LEN(B17) - 1)</f>
        <v>isActive</v>
      </c>
      <c r="E17" s="28" t="str">
        <f>A.Backend!H11</f>
        <v>string</v>
      </c>
      <c r="F17" s="28" t="str">
        <f>A.Backend!G11</f>
        <v>1</v>
      </c>
      <c r="G17" s="28" t="str">
        <f t="shared" ref="G17" si="15">IF(E17="string"," : string = '' ; ",IF(OR(E17="DateTime",E17="TimeSpan")," : any ;",IF(E17="int"," : number = 0 ;","")))</f>
        <v xml:space="preserve"> : string = '' ; </v>
      </c>
      <c r="H17" s="35" t="str">
        <f t="shared" ref="H17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5" t="str">
        <f t="shared" ref="I17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28"/>
      <c r="K17" s="35" t="str">
        <f t="shared" ref="K17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56" t="str">
        <f t="shared" ref="L17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" si="20">REPT(CHAR(9),1)&amp;D17&amp;G17</f>
        <v xml:space="preserve">	isActive : string = '' ; </v>
      </c>
      <c r="T17" s="28" t="str">
        <f t="shared" ref="T17" si="21">REPT(CHAR(9),3)&amp;"this."&amp;D17&amp;","</f>
        <v xml:space="preserve">			this.isActive,</v>
      </c>
      <c r="U17" s="28" t="str">
        <f t="shared" ref="U17" si="22">IF(E17="int",REPT(CHAR(9),2)&amp;"this."&amp;D17&amp;" = 0,",REPT(CHAR(9),2)&amp;"this."&amp;D17&amp;" = '',")</f>
        <v xml:space="preserve">		this.isActive = '',</v>
      </c>
      <c r="V17" s="28" t="str">
        <f t="shared" ref="V17" si="23">IF(AND(E17="string",F17="1"),D17,"")</f>
        <v>isActive</v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"/>
  <sheetViews>
    <sheetView workbookViewId="0">
      <selection activeCell="L10" sqref="L10"/>
    </sheetView>
  </sheetViews>
  <sheetFormatPr defaultRowHeight="15" x14ac:dyDescent="0.25"/>
  <cols>
    <col min="1" max="15" width="3.5703125" customWidth="1"/>
  </cols>
  <sheetData>
    <row r="1" spans="1:18" x14ac:dyDescent="0.25">
      <c r="A1" s="75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</row>
    <row r="2" spans="1:18" x14ac:dyDescent="0.25">
      <c r="A2" s="74" t="s">
        <v>362</v>
      </c>
      <c r="B2" s="70"/>
      <c r="C2" s="71"/>
      <c r="D2" s="72" t="s">
        <v>366</v>
      </c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</row>
    <row r="3" spans="1:18" x14ac:dyDescent="0.25">
      <c r="A3" s="74" t="s">
        <v>363</v>
      </c>
      <c r="B3" s="70"/>
      <c r="C3" s="71"/>
      <c r="D3" s="72" t="s">
        <v>367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</row>
    <row r="4" spans="1:18" x14ac:dyDescent="0.25">
      <c r="A4" s="74" t="s">
        <v>364</v>
      </c>
      <c r="B4" s="70"/>
      <c r="C4" s="71"/>
      <c r="D4" s="72" t="s">
        <v>368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</row>
    <row r="5" spans="1:18" x14ac:dyDescent="0.25">
      <c r="A5" s="74" t="s">
        <v>365</v>
      </c>
      <c r="B5" s="70"/>
      <c r="C5" s="71"/>
      <c r="D5" s="72" t="s">
        <v>369</v>
      </c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</row>
    <row r="6" spans="1:18" x14ac:dyDescent="0.25">
      <c r="A6" s="69"/>
      <c r="B6" s="70"/>
      <c r="C6" s="71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</row>
    <row r="7" spans="1:18" x14ac:dyDescent="0.25">
      <c r="A7" s="69"/>
      <c r="B7" s="70"/>
      <c r="C7" s="71"/>
      <c r="D7" s="72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</row>
    <row r="15" spans="1:18" x14ac:dyDescent="0.25">
      <c r="R15" s="66" t="s">
        <v>358</v>
      </c>
    </row>
    <row r="16" spans="1:18" x14ac:dyDescent="0.25">
      <c r="R16" s="66" t="s">
        <v>359</v>
      </c>
    </row>
    <row r="17" spans="18:18" x14ac:dyDescent="0.25">
      <c r="R17" s="66" t="s">
        <v>360</v>
      </c>
    </row>
    <row r="18" spans="18:18" x14ac:dyDescent="0.25">
      <c r="R18" s="66" t="s">
        <v>361</v>
      </c>
    </row>
  </sheetData>
  <mergeCells count="13">
    <mergeCell ref="A4:C4"/>
    <mergeCell ref="D4:O4"/>
    <mergeCell ref="A1:O1"/>
    <mergeCell ref="A2:C2"/>
    <mergeCell ref="D2:O2"/>
    <mergeCell ref="A3:C3"/>
    <mergeCell ref="D3:O3"/>
    <mergeCell ref="A5:C5"/>
    <mergeCell ref="D5:O5"/>
    <mergeCell ref="A6:C6"/>
    <mergeCell ref="D6:O6"/>
    <mergeCell ref="A7:C7"/>
    <mergeCell ref="D7:O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2023-05-20T10:55:20Z</dcterms:modified>
</cp:coreProperties>
</file>
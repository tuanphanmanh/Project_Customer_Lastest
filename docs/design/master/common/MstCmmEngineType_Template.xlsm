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7" i="5" l="1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K16" i="5"/>
  <c r="I16" i="5"/>
  <c r="G16" i="5"/>
  <c r="S16" i="5" s="1"/>
  <c r="V16" i="5"/>
  <c r="T16" i="5"/>
  <c r="L16" i="5"/>
  <c r="P10" i="1"/>
  <c r="V10" i="1"/>
  <c r="W10" i="1"/>
  <c r="J10" i="1"/>
  <c r="I10" i="1"/>
  <c r="O10" i="1"/>
  <c r="N10" i="1"/>
  <c r="M10" i="1"/>
  <c r="U16" i="5" l="1"/>
  <c r="W3" i="1"/>
  <c r="V3" i="1"/>
  <c r="V12" i="1"/>
  <c r="W12" i="1"/>
  <c r="U7" i="1" l="1"/>
  <c r="T3" i="1" l="1"/>
  <c r="F3" i="1"/>
  <c r="J12" i="1"/>
  <c r="T12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O12" i="1"/>
  <c r="N12" i="1"/>
  <c r="P12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7" i="1" l="1"/>
  <c r="G6" i="1" l="1"/>
  <c r="H13" i="5"/>
  <c r="L13" i="5"/>
  <c r="I13" i="5"/>
  <c r="U13" i="5"/>
  <c r="K13" i="5"/>
  <c r="S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I12" i="1"/>
  <c r="M12" i="1"/>
  <c r="C6" i="1" l="1"/>
  <c r="P7" i="1" s="1"/>
  <c r="S3" i="1"/>
  <c r="S7" i="1" s="1"/>
  <c r="E6" i="1"/>
  <c r="F69" i="3"/>
  <c r="I3" i="1" l="1"/>
  <c r="B7" i="1"/>
  <c r="L9" i="1" l="1"/>
  <c r="L10" i="1"/>
  <c r="C7" i="1"/>
  <c r="K12" i="1"/>
  <c r="Q7" i="1" l="1"/>
  <c r="M69" i="3" s="1"/>
  <c r="L7" i="1"/>
  <c r="G69" i="3" s="1"/>
  <c r="K69" i="3"/>
  <c r="J69" i="3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<sst xmlns="http://schemas.openxmlformats.org/spreadsheetml/2006/main" count="443" uniqueCount="366">
  <si>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</si>
  <si>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</si>
  <si>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</si>
  <si>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</si>
  <si>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</si>
  <si>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</si>
  <si>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</si>
  <si>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</si>
  <si>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</si>
  <si>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</si>
  <si>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</si>
  <si>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</si>
  <si>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</si>
  <si>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</si>
  <si>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</si>
  <si>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</si>
  <si>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</si>
  <si>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</si>
  <si>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</si>
  <si>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</si>
  <si>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</si>
  <si>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</si>
  <si>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</si>
  <si>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</si>
  <si>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</si>
  <si>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</si>
  <si>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</si>
  <si>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</si>
  <si>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</si>
  <si>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</si>
  <si>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</si>
  <si>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</si>
  <si>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</si>
  <si>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</si>
  <si>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</si>
  <si>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</si>
  <si>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</si>
  <si>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</si>
  <si>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</si>
  <si>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</si>
  <si>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</si>
  <si>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</si>
  <si>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</si>
  <si>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</si>
  <si>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</si>
  <si>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</si>
  <si>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</si>
  <si>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</si>
  <si>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</si>
  <si>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</si>
  <si>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</si>
  <si>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</si>
  <si>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</si>
  <si>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</si>
  <si>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</si>
  <si>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</si>
  <si>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</si>
  <si>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</si>
  <si>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</si>
  <si>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</si>
  <si>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</si>
  <si>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</si>
  <si>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</si>
  <si>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</si>
  <si>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</si>
  <si>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</si>
  <si>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</si>
  <si>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</si>
  <si>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</si>
  <si>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</si>
  <si>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</si>
  <si>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</si>
  <si>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</si>
  <si>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</si>
  <si>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</si>
  <si>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</si>
  <si>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</si>
  <si>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</si>
  <si>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</si>
  <si>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</si>
  <si>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</si>
  <si>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</si>
  <si>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</si>
  <si>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</si>
  <si>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</si>
  <si>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</si>
  <si>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</si>
  <si>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</si>
  <si>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</si>
  <si>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</si>
  <si>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</si>
  <si>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</si>
  <si>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</si>
  <si>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</si>
  <si>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</si>
  <si>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</si>
  <si>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</si>
  <si>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</si>
  <si>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</si>
  <si>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</si>
  <si>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</si>
  <si>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</si>
  <si>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</si>
  <si>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</si>
  <si>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</si>
  <si>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</si>
  <si>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</si>
  <si>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</si>
  <si>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</si>
  <si>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</si>
  <si>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</si>
  <si>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</si>
  <si>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</si>
  <si>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</si>
  <si>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</si>
  <si>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</si>
  <si>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</si>
  <si>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</si>
  <si>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</si>
  <si>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</si>
  <si>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</si>
  <si>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</si>
  <si>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</si>
  <si>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</si>
  <si>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</si>
  <si>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</si>
  <si>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</si>
  <si>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</si>
  <si>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</si>
  <si>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</si>
  <si>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</si>
  <si>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</si>
  <si>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</si>
  <si>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</si>
  <si>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</si>
  <si>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</si>
  <si>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</si>
  <si>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</si>
  <si>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</si>
  <si>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</si>
  <si>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</si>
  <si>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</si>
  <si>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</si>
  <si>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</si>
  <si>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</si>
  <si>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</si>
  <si>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</si>
  <si>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</si>
  <si>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</si>
  <si>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</si>
  <si>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</si>
  <si>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</si>
  <si>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</si>
  <si>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</si>
  <si>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</si>
  <si>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</si>
  <si>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</si>
  <si>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</si>
  <si>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</si>
  <si>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</si>
  <si>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</si>
  <si>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</si>
  <si>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</si>
  <si>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</si>
  <si>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</si>
  <si>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</si>
  <si>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</si>
  <si>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</si>
  <si>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</si>
  <si>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</si>
  <si>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</si>
  <si>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</si>
  <si>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</si>
  <si>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</si>
  <si>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</si>
  <si>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</si>
  <si>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</si>
  <si>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</si>
  <si>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</si>
  <si>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</si>
  <si>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</si>
  <si>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</si>
  <si>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</si>
  <si>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</si>
  <si>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</si>
  <si>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</si>
  <si>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</si>
  <si>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</si>
  <si>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</si>
  <si>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</si>
  <si>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</si>
  <si>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</si>
  <si>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</si>
  <si>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</si>
  <si>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</si>
  <si>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</si>
  <si>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</si>
  <si>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</si>
  <si>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</si>
  <si>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</si>
  <si>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</si>
  <si>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</si>
  <si>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</si>
  <si>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</si>
  <si>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</si>
  <si>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</si>
  <si>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</si>
  <si>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</si>
  <si>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</si>
  <si>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</si>
  <si>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</si>
  <si>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</si>
  <si>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</si>
  <si>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</si>
  <si>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</si>
  <si>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</si>
  <si>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</si>
  <si>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</si>
  <si>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</si>
  <si>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</si>
  <si>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</si>
  <si>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</si>
  <si>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</si>
  <si>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</si>
  <si>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</si>
  <si>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</si>
  <si>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</si>
  <si>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</si>
  <si>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</si>
  <si>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</si>
  <si>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</si>
  <si>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</si>
  <si>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</si>
  <si>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</si>
  <si>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</si>
  <si>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</si>
  <si>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</si>
  <si>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</si>
  <si>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</si>
  <si>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</si>
  <si>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</si>
  <si>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</si>
  <si>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</si>
  <si>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</si>
  <si>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</si>
  <si>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</si>
  <si>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</si>
  <si>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</si>
  <si>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</si>
  <si>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</si>
  <si>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</si>
  <si>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</si>
  <si>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</si>
  <si>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</si>
  <si>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</si>
  <si>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</si>
  <si>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</si>
  <si>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</si>
  <si>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</si>
  <si>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</si>
  <si>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</si>
  <si>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</si>
  <si>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</si>
  <si>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</si>
  <si>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</si>
  <si>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</si>
  <si>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</si>
  <si>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</si>
  <si>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</si>
  <si>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</si>
  <si>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</si>
  <si>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</si>
  <si>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</si>
  <si>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</si>
  <si>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</si>
  <si>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</si>
  <si>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</si>
  <si>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</si>
  <si>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</si>
  <si>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</si>
  <si>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</si>
  <si>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</si>
  <si>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</si>
  <si>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</si>
  <si>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</si>
  <si>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</si>
  <si>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</si>
  <si>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</si>
  <si>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</si>
  <si>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</si>
  <si>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</si>
  <si>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</si>
  <si>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</si>
  <si>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</si>
  <si>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</si>
  <si>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</si>
  <si>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</si>
  <si>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</si>
  <si>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</si>
  <si>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</si>
  <si>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</si>
  <si>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</si>
  <si>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</si>
  <si>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</si>
  <si>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</si>
  <si>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</si>
  <si>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</si>
  <si>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</si>
  <si>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</si>
  <si>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</si>
  <si>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</si>
  <si>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</si>
  <si>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</si>
  <si>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</si>
  <si>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</si>
  <si>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</si>
  <si>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</si>
  <si>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</si>
  <si>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</si>
  <si>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</si>
  <si>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</si>
  <si>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</si>
  <si>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</si>
  <si>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</si>
  <si>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</si>
  <si>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</si>
  <si>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</si>
  <si>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</si>
  <si>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</si>
  <si>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</si>
  <si>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</si>
  <si>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</si>
  <si>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</si>
  <si>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</si>
  <si>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</si>
  <si>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</si>
  <si>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</si>
  <si>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</si>
  <si>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</si>
  <si>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</si>
  <si>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</si>
  <si>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</si>
  <si>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</si>
  <si>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</si>
  <si>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</si>
  <si>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</si>
  <si>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</si>
  <si>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</si>
  <si>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</si>
  <si>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</si>
  <si>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</si>
  <si>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</si>
  <si>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</si>
  <si>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</si>
  <si>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</si>
  <si>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</si>
  <si>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</si>
  <si>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</si>
  <si>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nvarchar(50)</t>
  </si>
  <si>
    <t>Master.Cmm</t>
  </si>
  <si>
    <t>MstCmmEngineType</t>
  </si>
  <si>
    <t>EngineType</t>
  </si>
  <si>
    <t>Setup Engine Type</t>
  </si>
  <si>
    <t>CODE</t>
  </si>
  <si>
    <t>NAME</t>
  </si>
  <si>
    <t>nvarchar(10)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</si>
</sst>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64" zoomScaleNormal="100" workbookViewId="0">
      <selection activeCell="F66" sqref="F6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[Table("MstCmmEngineType")]
	public class MstCmmEngineType: FullAuditedEntity&lt;long&gt;, IEntity&lt;long&gt;	
	{
		public const int MaxCodeLength = 10;
		public const int MaxNameLength = 50;
		[StringLength(MaxCodeLength)]
		public virtual string Code { get; set; }
		[StringLength(MaxNameLength)]
		public virtual string Name { get; set; }
	}
}
</v>
      </c>
      <c r="D69" s="48" t="str">
        <f>A.Backend!O7</f>
        <v xml:space="preserve">		public const string Pages_Master_Cmm_EngineType = "Pages.Master.Cmm.EngineType";
		public const string Pages_Master_Cmm_EngineType_CreateEdit = "Pages.Master.Cmm.EngineType.CreateEdit";
		public const string Pages_Master_Cmm_EngineType_Delete = "Pages.Master.Cmm.EngineType.Delete";
</v>
      </c>
      <c r="E69" s="48" t="str">
        <f>A.Backend!N7</f>
        <v xml:space="preserve">		var perMstCmmEngineType = PARENTS.CreateChildPermission(AppPermissions.Pages_Master_Cmm_EngineType, L( "MasterCmmEngineType"), multiTenancySides: MultiTenancySides.Tenant);
		perMstCmmEngineType.CreateChildPermission(AppPermissions.Pages_Master_Cmm_EngineType_CreateEdit, L( "MasterCmmEngineTypeCreateEdit"), multiTenancySides: MultiTenancySides.Tenant);
		perMstCmmEngineType.CreateChildPermission(AppPermissions.Pages_Master_Cmm_EngineType_Delete, L( "MasterCmmEngineTypeDelete"), multiTenancySides: MultiTenancySides.Tenant);</v>
      </c>
      <c r="F69" s="48" t="str">
        <f>A.Backend!K7</f>
        <v>public virtual DbSet&lt;MstCmmEngineType&gt; MstCmmEngineTypes { get; set; }</v>
      </c>
      <c r="G69" s="48" t="str">
        <f ca="1">A.Backend!L7</f>
        <v xml:space="preserve">namespace prod.Master.Cmm
{
	public class MstCmmEngineTypeConsts	
	{
		public const int MaxCodeLength = 10;
		public const int MaxNameLength = 50;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MstCmmEngineTypeDto : EntityDto&lt;long?&gt;	
	{
		public virtual string Code { get; set; }
		public virtual string Name { get; set; }
	}
	public class CreateOrEditMstCmmEngineTypeDto : EntityDto&lt;long?&gt;	
	{
		[StringLength(MstCmmEngineTypeConsts.MaxCodeLength)]
		public virtual string Code { get; set; }
		[StringLength(MstCmmEngineTypeConsts.MaxNameLength)]
		public virtual string Name { get; set; }
	}
	public class GetMstCmmEngineTypeInput : PagedAndSortedResultRequestDto	
	{
		public virtual string Code { get; set; }
		public virtual string Name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MstCmmEngineTypeExportInput{
		public virtual string Code { get; set; }
		public virtual string Name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IMstCmmEngineTypeAppService : IApplicationService
	{
		Task&lt;PagedResultDto&lt;MstCmmEngineTypeDto&gt;&gt; GetAll(GetMstCmmEngineTypeInput input);
		Task CreateOrEdit(CreateOrEditMstCmmEngineTypeDto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IMstCmmEngineTypeExcelExporter : IApplicationService
	{
		FileDto ExportToFile(List&lt;MstCmmEngineTypeDto&gt; mstcmmenginetype);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MstCmmEngineTypeExcelExporter : NpoiExcelExporterBase, IMstCmmEngineTypeExcelExporter
    {
        public MstCmmEngineTypeExcelExporter(ITempFileCacheManager tempFileCacheManager) : base(tempFileCacheManager) { }
        public FileDto ExportToFile(List&lt;MstCmmEngineTypeDto&gt; enginetype)
        {
            return CreateExcelPackage(
				"MasterCmmEngineType.xlsx",
				excelPackage =&gt;
				 {
					var sheet = excelPackage.CreateSheet("EngineType");
					AddHeader(
								sheet,
								("Code"),
								("Name"),
							   );
					AddObjects(
						 sheet, 1, enginetype,                                       
								_ =&gt; _.Code,
								_ =&gt; _.Name,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[AbpAuthorize(AppPermissions.Pages_Master_Cmm_EngineType)]
    public class MstCmmEngineTypeAppService : vovinaAppServiceBase, IMstCmmEngineTypeAppService
    {
        private readonly IDapperRepository&lt;MstCmmEngineType, long&gt; _dapperRepo;
        private readonly IRepository&lt;MstCmmEngineType, long&gt; _repo;
        private readonly IMstCmmEngineTypeExcelExporter _calendarListExcelExporter;
        public MstCmmEngineTypeAppService(IRepository&lt;MstCmmEngineType,long&gt; repo, 
                                         IDapperRepository&lt;MstCmmEngineType,long&gt; dapperRepo,
                                        IMstCmmEngineTypeExcelExporter calendarListExcelExporter
            )
        {
            _repo = repo;
            _dapperRepo = dapperRepo;
            _calendarListExcelExporter = calendarListExcelExporter;
        }
        [AbpAuthorize(AppPermissions.Pages_Master_Cmm_EngineType_CreateEdit)]
        public async Task CreateOrEdit(CreateOrEditMstCmmEngineTypeDto input)
        {
            if (input.Id == null) await Create(input);
            else await Update(input);
        }
        //CREATE
        private async Task Create(CreateOrEditMstCmmEngineTypeDto input)
        {          
            var mainObj = ObjectMapper.Map&lt;MstCmmEngineType&gt;(input);
            await CurrentUnitOfWork.GetDbContext&lt;vovinaDbContext&gt;().AddAsync(mainObj);
        }
        // EDIT
        private async Task Update(CreateOrEditMstCmmEngineTypeDto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[AbpAuthorize(AppPermissions.Pages_Master_Cmm_EngineType_Delete)]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Task&lt;PagedResultDto&lt;MstCmmEngineTypeDto&gt;&gt; GetAll(GetMstCmmEngineTypeInput input)
        {
            var filtered = _repo.GetAll()
				.WhereIf(!string.IsNullOrWhiteSpace(input.Code), e =&gt; e.Code.Contains(input.Code))
				.WhereIf(!string.IsNullOrWhiteSpace(input.Name), e =&gt; e.Name.Contains(input.Name))                   
				;
            var pageAndFiltered = filtered.OrderBy(s =&gt; s.Id);
            var system = from o in pageAndFiltered
                         select new MstCmmEngineTypeDto
                        {
							Id = o.Id,
							Code = o.Code,
							Name = o.Name,
                        };
            var totalCount = await filtered.CountAsync();
			var paged = system.PageBy(input);
            return new PagedResultDto&lt;MstCmmEngineTypeDto&gt;(
                totalCount,
                 await paged.ToListAsync()
            );
        }
        public async Task&lt;FileDto&gt; GetEngineTypeToExcel(MstCmmEngineTypeExportInput input)
        {
            var query = from o in _repo.GetAll()
                        select new MstCmmEngineTypeDto
                        {
							Id = o.Id,
							Code = o.Code,
							Name = o.Name,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_dapperRepo.ExecuteAsync(MstCmmEngineTypeConsts.SP_MST_WPT_CALENDAR_GENERATE);
       // }
    }
}</v>
      </c>
      <c r="N69" s="58" t="str">
        <f>A.Backend!U7</f>
        <v xml:space="preserve">  configuration.CreateMap&lt;MstCmmEngineTypeDto, MstCmmEngineType&gt;();
  configuration.CreateMap&lt;MstCmmEngineType, MstCmmEngineTypeDto&gt;();
  configuration.CreateMap&lt;CreateOrEditMstCmmEngineTypeDto, MstCmmEngineType&gt;();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enginetype</v>
      </c>
      <c r="C74" s="66" t="str">
        <f>"create folder " &amp;B74</f>
        <v>create folder enginetype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enginetype.component.ts</v>
      </c>
      <c r="D75" s="28" t="str">
        <f>B.Frontend!I14</f>
        <v>enginetype.component.html</v>
      </c>
      <c r="E75" s="28" t="str">
        <f>B.Frontend!J14</f>
        <v>enginetype.component.less</v>
      </c>
      <c r="F75" s="28" t="str">
        <f>B.Frontend!K14</f>
        <v>create-or-edit-enginetype-modal.component.html</v>
      </c>
      <c r="G75" s="28" t="str">
        <f>B.Frontend!L14</f>
        <v>create-or-edit-enginetype-modal.component.ts</v>
      </c>
      <c r="H75" s="28" t="str">
        <f>B.Frontend!M14</f>
        <v>create-or-edit-enginetype-modal.component.less</v>
      </c>
      <c r="I75" s="28" t="str">
        <f>B.Frontend!N14</f>
        <v>enginetype.module.ts</v>
      </c>
      <c r="J75" s="28" t="str">
        <f>B.Frontend!O14</f>
        <v>enginetype-routing.module.ts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MstCmmEngineTypeDto, MstCmmEngineTypeServiceProxy } from '@shared/service-proxies/service-proxies';
import { finalize } from 'rxjs/internal/operators/finalize';
import { CreateOrEditEngineTypeModalComponent } from './create-or-edit-enginetype-modal.component';
import { DatePipe } from '@angular/common';
import { FileDownloadService } from '@shared/utils/file-download.service';
import ceil from 'lodash-es/ceil';
import { Paginator } from 'primeng/paginator';
@Component({
    templateUrl: './enginetype.component.html',
    styleUrls: ['./enginetype.component.less'],
})
export class EngineTypeComponent extends AppComponentBase implements OnInit {
    @ViewChild('createOrEditModalEngineType', { static: true }) createOrEditModalEngineType:| CreateOrEditEngineTypeModalComponent|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MstCmmEngineTypeDto = new MstCmmEngineTypeDto();
    saveSelectedRow: MstCmmEngineTypeDto = new MstCmmEngineTypeDto();
    datas: MstCmmEngineTypeDto = new MstCmmEngineTypeDto();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MstCmmEngineTypeServiceProxy,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MstCmmEngineTypeDto[] } }) {
        this.saveSelectedRow = params.api.getSelectedRows()[0] ?? new MstCmmEngineTypeDto();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MstCmmEngineTypeDto):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this._service.getEngineTypeToExcel(
			this.,
			this.code,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Engine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(click)="createOrEditModalEngineType.show()"&gt;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(click)="createOrEditModalEngineType.show(selectedRow)"&gt;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&lt;create-or-edit-enginetype-modal
    #createOrEditModalEngineType
    (modalSave)="callBackDataGrid(dataParams)"
    (modalClose)="onChangeRowSelection(dataParams)"
&gt;
&lt;/create-or-edit-enginetype-modal&gt;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#createOrEditModalEngineType="bs-modal"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EngineType')}}&lt;/h3&gt;
                    &lt;h3 *ngIf="!rowdata.id"&gt;{{('Create New EngineType')}}&lt;/h3&gt;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CreateOrEditMstCmmEngineTypeDto, MstCmmEngineTypeServiceProxy } from '@shared/service-proxies/service-proxies';
import { BsDatepickerDirective } from 'ngx-bootstrap/datepicker';
@Component({
    selector: 'create-or-edit-enginetype-modal',
    templateUrl: './create-or-edit-enginetype-modal.component.html',
    styleUrls: ['./create-or-edit-enginetype-modal.component.less']
    })
export class CreateOrEditEngineTypeModalComponent extends AppComponentBase {
    @ViewChild('createOrEditModalEngineType',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CreateOrEditMstCmmEngineTypeDto = new CreateOrEditMstCmmEngineTypeDto();
    active: boolean = false;
    saving: boolean = false;
    _: boolean;
    constructor(
        injector: Injector,
        private _mstwptEngineTypeService: MstCmmEngineTypeServiceProxy,
    ) 
    {
        super(injector);
    }
    show(rowdata?: CreateOrEditMstCmmEngineTypeDto): void {
        if (!rowdata) this.rowdata = new CreateOrEditMstCmmEngineTypeDto();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this._mstwptEngineTypeService.createOrEdit(this.rowdata)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EngineTypeRoutingModule } from './enginetype-routing.module';
import { EngineTypeComponent } from './enginetype.component';
import { CreateOrEditEngineTypeModalComponent } from './create-or-edit-enginetype-modal.component';
@NgModule({
    declarations: [
       EngineTypeComponent, 
        CreateOrEditEngineTypeModalComponent
    ],
    imports: [
        AppSharedModule, EngineTypeRoutingModule]
})
export class EngineTypeModule {}</v>
      </c>
      <c r="J76" s="46" t="str">
        <f>B.Frontend!O10</f>
        <v>import {NgModule} from '@angular/core';
import {RouterModule, Routes} from '@angular/router';
import { EngineTypeComponent } from './enginetype.component';
const routes: Routes = [{
    path: '',
    component: EngineTypeComponent,
    pathMatch: 'full'
}];
@NgModule({
    imports: [RouterModule.forChild(routes)],
    exports: [RouterModule],
})
export class EngineTypeRoutingModule {}</v>
      </c>
      <c r="K76" s="46" t="str">
        <f>B.Frontend!P10</f>
        <v xml:space="preserve"> new AppMenuItem("EngineType", "Pages.Master.Cmm.EngineType", "flaticon-book",   "/app/main/master/cmm/enginetype"),</v>
      </c>
      <c r="L76" s="47" t="str">
        <f>B.Frontend!Q10</f>
        <v>{
    path: 'master/cmm/enginetype',
    loadChildren: () =&gt; import('./master/cmm/enginetype/enginetype.module').then(m =&gt; m.EngineTypeModule),
    data: { permission: 'Pages.Master.Cmm.EngineType' }
},</v>
      </c>
      <c r="M76" s="45" t="str">
        <f>B.Frontend!R10</f>
        <v>ApiServiceProxies.MstCmmEngineTypeServiceProxy,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41.85546875" style="7" customWidth="1"/>
    <col min="2" max="2" width="24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359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360</v>
      </c>
      <c r="C3" s="9" t="s">
        <v>40</v>
      </c>
      <c r="D3" s="9" t="s">
        <v>41</v>
      </c>
      <c r="E3" s="9" t="s">
        <v>36</v>
      </c>
      <c r="F3" s="10" t="str">
        <f>"J"&amp;COUNTA($A:$A)</f>
        <v>J10</v>
      </c>
      <c r="G3" s="4" t="s">
        <v>53</v>
      </c>
      <c r="H3" s="9" t="str">
        <f>"I"&amp;COUNTA($A:$A)</f>
        <v>I10</v>
      </c>
      <c r="I3" s="9" t="str">
        <f>REPT(CHAR(9),2)&amp;"[Required]"&amp;"
"</f>
        <v xml:space="preserve">		[Required]
</v>
      </c>
      <c r="J3" s="10" t="str">
        <f>"L"&amp;COUNTA($A:$A)</f>
        <v>L10</v>
      </c>
      <c r="K3" s="5" t="s">
        <v>52</v>
      </c>
      <c r="L3" s="10" t="str">
        <f>"M"&amp;COUNTA($A:$A)</f>
        <v>M10</v>
      </c>
      <c r="M3" s="10" t="str">
        <f>"N"&amp;COUNTA($A:$A)</f>
        <v>N10</v>
      </c>
      <c r="N3" s="10" t="str">
        <f>"O"&amp;COUNTA($A:$A)</f>
        <v>O10</v>
      </c>
      <c r="O3" s="10" t="str">
        <f>"P"&amp;COUNTA($A:$A)</f>
        <v>P10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MstCmmEngineTypeExportInput{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T10</v>
      </c>
      <c r="V3" s="10" t="str">
        <f>"V"&amp;COUNTA($A:$A)</f>
        <v>V10</v>
      </c>
      <c r="W3" s="9" t="str">
        <f>"W"&amp;COUNTA($A:$A)</f>
        <v>W10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MstCmmEngineType: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MstCmmEngineTypeConsts	
	{
</v>
      </c>
      <c r="F6" s="10" t="str">
        <f>REPT(CHAR(9),1)&amp;"public class "&amp;B3&amp;"Dto"&amp;K3&amp;REPT(CHAR(9),1)&amp;"
"&amp;REPT(CHAR(9),1)&amp;C3</f>
        <v xml:space="preserve">	public class MstCmmEngineTypeDto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CreateOrEditMstCmmEngineTypeDto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GetMstCmmEngineTypeInput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MstCmmEngineType</v>
      </c>
      <c r="C7" s="10" t="str">
        <f>REPT(CHAR(9),1)&amp;"[Table("""&amp;B7&amp;""")]"&amp;"
"</f>
        <v xml:space="preserve">	[Table("MstCmmEngineType")]
</v>
      </c>
      <c r="D7" s="10"/>
      <c r="E7" s="10"/>
      <c r="F7" s="10"/>
      <c r="G7" s="10"/>
      <c r="H7" s="10"/>
      <c r="I7" s="10"/>
      <c r="J7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[Table("MstCmmEngineType")]
	public class MstCmmEngineType: FullAuditedEntity&lt;long&gt;, IEntity&lt;long&gt;	
	{
		public const int MaxCodeLength = 10;
		public const int MaxNameLength = 50;
		[StringLength(MaxCodeLength)]
		public virtual string Code { get; set; }
		[StringLength(MaxNameLength)]
		public virtual string Name { get; set; }
	}
}
</v>
      </c>
      <c r="K7" t="str">
        <f>SUBSTITUTE(SUBSTITUTE(("public virtual DbSet&lt;"&amp;B3&amp;"&gt; "&amp;B3&amp;"s { get; set; }"),"WorkingPattern",$Q$3),"Master",$B$4)</f>
        <v>public virtual DbSet&lt;MstCmmEngineType&gt; MstCmmEngineTypes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prod.Master.Cmm
{
	public class MstCmmEngineTypeConsts	
	{
		public const int MaxCodeLength = 10;
		public const int MaxNameLength = 50;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prod.Master.Cmm.Dto
{
	public class MstCmmEngineTypeDto : EntityDto&lt;long?&gt;	
	{
		public virtual string Code { get; set; }
		public virtual string Name { get; set; }
	}
	public class CreateOrEditMstCmmEngineTypeDto : EntityDto&lt;long?&gt;	
	{
		[StringLength(MstCmmEngineTypeConsts.MaxCodeLength)]
		public virtual string Code { get; set; }
		[StringLength(MstCmmEngineTypeConsts.MaxNameLength)]
		public virtual string Name { get; set; }
	}
	public class GetMstCmmEngineTypeInput : PagedAndSortedResultRequestDto	
	{
		public virtual string Code { get; set; }
		public virtual string 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perMstCmmEngineType = PARENTS.CreateChildPermission(AppPermissions.Pages_Master_Cmm_EngineType, L( "MasterCmmEngineType"), multiTenancySides: MultiTenancySides.Tenant);
		perMstCmmEngineType.CreateChildPermission(AppPermissions.Pages_Master_Cmm_EngineType_CreateEdit, L( "MasterCmmEngineTypeCreateEdit"), multiTenancySides: MultiTenancySides.Tenant);
		perMstCmmEngineType.CreateChildPermission(AppPermissions.Pages_Master_Cmm_EngineType_Delete, L( "MasterCmmEngineTypeDelete"),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Pages_Master_Cmm_EngineType = "Pages.Master.Cmm.EngineType";
		public const string Pages_Master_Cmm_EngineType_CreateEdit = "Pages.Master.Cmm.EngineType.CreateEdit";
		public const string Pages_Master_Cmm_EngineType_Delete = "Pages.Master.Cmm.EngineType.Delete";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IMstCmmEngineTypeAppService : IApplicationService
	{
		Task&lt;PagedResultDto&lt;MstCmmEngineTypeDto&gt;&gt; GetAll(GetMstCmmEngineTypeInput input);
		Task CreateOrEdit(CreateOrEditMstCmmEngineTypeDto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[AbpAuthorize(AppPermissions.Pages_Master_Cmm_EngineType)]
    public class MstCmmEngineTypeAppService : vovinaAppServiceBase, IMstCmmEngineTypeAppService
    {
        private readonly IDapperRepository&lt;MstCmmEngineType, long&gt; _dapperRepo;
        private readonly IRepository&lt;MstCmmEngineType, long&gt; _repo;
        private readonly IMstCmmEngineTypeExcelExporter _calendarListExcelExporter;
        public MstCmmEngineTypeAppService(IRepository&lt;MstCmmEngineType,long&gt; repo, 
                                         IDapperRepository&lt;MstCmmEngineType,long&gt; dapperRepo,
                                        IMstCmmEngineTypeExcelExporter calendarListExcelExporter
            )
        {
            _repo = repo;
            _dapperRepo = dapperRepo;
            _calendarListExcelExporter = calendarListExcelExporter;
        }
        [AbpAuthorize(AppPermissions.Pages_Master_Cmm_EngineType_CreateEdit)]
        public async Task CreateOrEdit(CreateOrEditMstCmmEngineTypeDto input)
        {
            if (input.Id == null) await Create(input);
            else await Update(input);
        }
        //CREATE
        private async Task Create(CreateOrEditMstCmmEngineTypeDto input)
        {          
            var mainObj = ObjectMapper.Map&lt;MstCmmEngineType&gt;(input);
            await CurrentUnitOfWork.GetDbContext&lt;vovinaDbContext&gt;().AddAsync(mainObj);
        }
        // EDIT
        private async Task Update(CreateOrEditMstCmmEngineTypeDto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[AbpAuthorize(AppPermissions.Pages_Master_Cmm_EngineType_Delete)]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Task&lt;PagedResultDto&lt;MstCmmEngineTypeDto&gt;&gt; GetAll(GetMstCmmEngineTypeInput input)
        {
            var filtered = _repo.GetAll()
				.WhereIf(!string.IsNullOrWhiteSpace(input.Code), e =&gt; e.Code.Contains(input.Code))
				.WhereIf(!string.IsNullOrWhiteSpace(input.Name), e =&gt; e.Name.Contains(input.Name))                   
				;
            var pageAndFiltered = filtered.OrderBy(s =&gt; s.Id);
            var system = from o in pageAndFiltered
                         select new MstCmmEngineTypeDto
                        {
							Id = o.Id,
							Code = o.Code,
							Name = o.Name,
                        };
            var totalCount = await filtered.CountAsync();
			var paged = system.PageBy(input);
            return new PagedResultDto&lt;MstCmmEngineTypeDto&gt;(
                totalCount,
                 await paged.ToListAsync()
            );
        }
        public async Task&lt;FileDto&gt; GetEngineTypeToExcel(MstCmmEngineTypeExportInput input)
        {
            var query = from o in _repo.GetAll()
                        select new MstCmmEngineTypeDto
                        {
							Id = o.Id,
							Code = o.Code,
							Name = o.Name,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_dapperRepo.ExecuteAsync(MstCmmEngineTypeConsts.SP_MST_WPT_CALENDAR_GENERATE);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prod.Master.Cmm.Dto
{
	public class MstCmmEngineTypeExportInput{
		public virtual string Code { get; set; }
		public virtual string Name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IMstCmmEngineTypeExcelExporter : IApplicationService
	{
		FileDto ExportToFile(List&lt;MstCmmEngineTypeDto&gt; mstcmmenginetype);
	}
}
</v>
      </c>
      <c r="T7" s="26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MstCmmEngineTypeExcelExporter : NpoiExcelExporterBase, IMstCmmEngineTypeExcelExporter
    {
        public MstCmmEngineTypeExcelExporter(ITempFileCacheManager tempFileCacheManager) : base(tempFileCacheManager) { }
        public FileDto ExportToFile(List&lt;MstCmmEngineTypeDto&gt; enginetype)
        {
            return CreateExcelPackage(
				"MasterCmmEngineType.xlsx",
				excelPackage =&gt;
				 {
					var sheet = excelPackage.CreateSheet("EngineType");
					AddHeader(
								sheet,
								("Code"),
								("Name"),
							   );
					AddObjects(
						 sheet, 1, enginetype,                                       
								_ =&gt; _.Code,
								_ =&gt; _.Name,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configuration.CreateMap&lt;MstCmmEngineTypeDto, MstCmmEngineType&gt;();
  configuration.CreateMap&lt;MstCmmEngineType, MstCmmEngineTypeDto&gt;();
  configuration.CreateMap&lt;CreateOrEditMstCmmEngineTypeDto, MstCmmEngineType&gt;();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363</v>
      </c>
      <c r="B9" s="28" t="s">
        <v>365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[StringLength(MstCmmEngineTypeConsts.MaxCodeLength)]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3" t="str">
        <f t="shared" ref="T9" si="10">REPT(CHAR(9),8)&amp;"("""&amp;D9&amp;"""),"</f>
        <v xml:space="preserve">								("Code"),</v>
      </c>
      <c r="V9" s="64" t="str">
        <f t="shared" ref="V9" si="11">REPT(CHAR(9),8)&amp;"_ =&gt; _."&amp;D9&amp;","</f>
        <v xml:space="preserve">								_ =&gt; _.Code,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s="28" t="s">
        <v>364</v>
      </c>
      <c r="B10" s="28" t="s">
        <v>358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[StringLength(MstCmmEngineTypeConsts.MaxNameLength)]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3" t="str">
        <f t="shared" ref="T10" si="23">REPT(CHAR(9),8)&amp;"("""&amp;D10&amp;"""),"</f>
        <v xml:space="preserve">								("Name"),</v>
      </c>
      <c r="V10" s="64" t="str">
        <f t="shared" ref="V10" si="24">REPT(CHAR(9),8)&amp;"_ =&gt; _."&amp;D10&amp;","</f>
        <v xml:space="preserve">								_ =&gt; _.Name,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2" spans="1:23" ht="45.75" customHeight="1" x14ac:dyDescent="0.25">
      <c r="H12" s="11"/>
      <c r="I12" s="31" t="str">
        <f ca="1">TEXTJOIN2("
", TRUE,INDIRECT( $H$1):INDIRECT( $H$3))</f>
        <v xml:space="preserve">		public const int MaxCodeLength = 10;
		public const int MaxNameLength = 50;
</v>
      </c>
      <c r="J12" s="30" t="str">
        <f ca="1">TEXTJOIN2("
", TRUE,INDIRECT( $F$1):INDIRECT( $F$3))</f>
        <v xml:space="preserve">		[StringLength(MaxCodeLength)]
		public virtual string Code { get; set; }
		[StringLength(MaxNameLength)]
		public virtual string Name { get; set; }
</v>
      </c>
      <c r="K12" s="32" t="str">
        <f ca="1">TEXTJOIN2("
", TRUE,INDIRECT( $J$1):INDIRECT( $J$3))</f>
        <v/>
      </c>
      <c r="L12" s="12" t="s">
        <v>56</v>
      </c>
      <c r="M12" s="33" t="str">
        <f ca="1">TEXTJOIN2("
",TRUE,INDIRECT( $L$1):INDIRECT($L$3))</f>
        <v xml:space="preserve">		public virtual string Code { get; set; }
		public virtual string Name { get; set; }
</v>
      </c>
      <c r="N12" s="30" t="str">
        <f ca="1">TEXTJOIN2("
",TRUE,INDIRECT( $M$1):INDIRECT($M$3))</f>
        <v xml:space="preserve">		[StringLength(MstCmmEngineTypeConsts.MaxCodeLength)]
		public virtual string Code { get; set; }
		[StringLength(MstCmmEngineTypeConsts.MaxNameLength)]
		public virtual string Name { get; set; }
</v>
      </c>
      <c r="O12" s="30" t="str">
        <f ca="1">TEXTJOIN2("
",TRUE,INDIRECT( $N$1):INDIRECT($N$3))</f>
        <v xml:space="preserve">		public virtual string Code { get; set; }
		public virtual string Name { get; set; }
</v>
      </c>
      <c r="P12" s="8" t="str">
        <f ca="1">TEXTJOIN2("
",TRUE,INDIRECT( $O$1):INDIRECT($O$3))</f>
        <v xml:space="preserve">							Code = o.Code,
							Name = o.Name,</v>
      </c>
      <c r="T12" s="8" t="str">
        <f ca="1">TEXTJOIN2("
",TRUE,INDIRECT( $T$2):INDIRECT($T$3))</f>
        <v xml:space="preserve">								("Code"),
								("Name"),</v>
      </c>
      <c r="V12" s="8" t="str">
        <f ca="1">TEXTJOIN2("
",TRUE,INDIRECT( $V$2):INDIRECT($V$3))</f>
        <v xml:space="preserve">								_ =&gt; _.Code,
								_ =&gt; _.Name,</v>
      </c>
      <c r="W12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B24" sqref="B2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MstCmmEngineType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EngineType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enginetype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MstCmmEngineTypeDto, MstCmmEngineTypeServiceProxy } from '@shared/service-proxies/service-proxies';
import { finalize } from 'rxjs/internal/operators/finalize';
import { CreateOrEditEngineTypeModalComponent } from './create-or-edit-enginetype-modal.component';
import { DatePipe } from '@angular/common';
import { FileDownloadService } from '@shared/utils/file-download.service';
import ceil from 'lodash-es/ceil';
import { Paginator } from 'primeng/paginator';
@Component({
    templateUrl: './enginetype.component.html',
    styleUrls: ['./enginetype.component.less'],
})
export class EngineTypeComponent extends AppComponentBase implements OnInit {
    @ViewChild('createOrEditModalEngineType', { static: true }) createOrEditModalEngineType:| CreateOrEditEngineTypeModalComponent|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MstCmmEngineTypeDto = new MstCmmEngineTypeDto();
    saveSelectedRow: MstCmmEngineTypeDto = new MstCmmEngineTypeDto();
    datas: MstCmmEngineTypeDto = new MstCmmEngineTypeDto();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MstCmmEngineTypeServiceProxy,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MstCmmEngineTypeDto[] } }) {
        this.saveSelectedRow = params.api.getSelectedRows()[0] ?? new MstCmmEngineTypeDto();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MstCmmEngineTypeDto):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this._service.getEngineTypeToExcel(
			this.,
			this.code,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Engine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(click)="createOrEditModalEngineType.show()"&gt;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(click)="createOrEditModalEngineType.show(selectedRow)"&gt;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&lt;create-or-edit-enginetype-modal
    #createOrEditModalEngineType
    (modalSave)="callBackDataGrid(dataParams)"
    (modalClose)="onChangeRowSelection(dataParams)"
&gt;
&lt;/create-or-edit-enginetype-modal&gt;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#createOrEditModalEngineType="bs-modal"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EngineType')}}&lt;/h3&gt;
                    &lt;h3 *ngIf="!rowdata.id"&gt;{{('Create New EngineType')}}&lt;/h3&gt;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CreateOrEditMstCmmEngineTypeDto, MstCmmEngineTypeServiceProxy } from '@shared/service-proxies/service-proxies';
import { BsDatepickerDirective } from 'ngx-bootstrap/datepicker';
@Component({
    selector: 'create-or-edit-enginetype-modal',
    templateUrl: './create-or-edit-enginetype-modal.component.html',
    styleUrls: ['./create-or-edit-enginetype-modal.component.less']
    })
export class CreateOrEditEngineTypeModalComponent extends AppComponentBase {
    @ViewChild('createOrEditModalEngineType',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CreateOrEditMstCmmEngineTypeDto = new CreateOrEditMstCmmEngineTypeDto();
    active: boolean = false;
    saving: boolean = false;
    _: boolean;
    constructor(
        injector: Injector,
        private _mstwptEngineTypeService: MstCmmEngineTypeServiceProxy,
    ) 
    {
        super(injector);
    }
    show(rowdata?: CreateOrEditMstCmmEngineTypeDto): void {
        if (!rowdata) this.rowdata = new CreateOrEditMstCmmEngineTypeDto();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this._mstwptEngineTypeService.createOrEdit(this.rowdata)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EngineTypeRoutingModule } from './enginetype-routing.module';
import { EngineTypeComponent } from './enginetype.component';
import { CreateOrEditEngineTypeModalComponent } from './create-or-edit-enginetype-modal.component';
@NgModule({
    declarations: [
       EngineTypeComponent, 
        CreateOrEditEngineTypeModalComponent
    ],
    imports: [
        AppSharedModule, EngineTypeRoutingModule]
})
export class EngineTypeModule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EngineTypeComponent } from './enginetype.component';
const routes: Routes = [{
    path: '',
    component: EngineTypeComponent,
    pathMatch: 'full'
}];
@NgModule({
    imports: [RouterModule.forChild(routes)],
    exports: [RouterModule],
})
export class EngineTypeRoutingModule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AppMenuItem("EngineType", "Pages.Master.Cmm.EngineType", "flaticon-book",   "/app/main/master/cmm/enginetype"),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'master/cmm/enginetype',
    loadChildren: () =&gt; import('./master/cmm/enginetype/enginetype.module').then(m =&gt; m.EngineTypeModule),
    data: { permission: 'Pages.Master.Cmm.EngineType' }
},</v>
      </c>
      <c r="R10" s="47" t="str">
        <f>SUBSTITUTE(R9,"MstWptCalendar",$B$6)</f>
        <v>ApiServiceProxies.MstCmmEngineTypeServiceProxy,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H16</v>
      </c>
      <c r="I12" s="28" t="str">
        <f>"I"&amp;COUNTA($A:$A)</f>
        <v>I16</v>
      </c>
      <c r="J12" s="28"/>
      <c r="K12" s="28" t="str">
        <f>"K"&amp;COUNTA($A:$A)</f>
        <v>K16</v>
      </c>
      <c r="L12" s="28" t="str">
        <f>"L"&amp;COUNTA($A:$A)</f>
        <v>L16</v>
      </c>
      <c r="M12" s="28"/>
      <c r="N12" s="28"/>
      <c r="O12" s="28"/>
      <c r="P12" s="28"/>
      <c r="Q12" s="28"/>
      <c r="R12" s="28"/>
      <c r="S12" s="28" t="str">
        <f>"S"&amp;COUNTA($A:$A)</f>
        <v>S16</v>
      </c>
      <c r="T12" s="28" t="str">
        <f>"T"&amp;COUNTA($A:$A)</f>
        <v>T16</v>
      </c>
      <c r="U12" s="28" t="str">
        <f>"U"&amp;COUNTA($A:$A)</f>
        <v>U16</v>
      </c>
      <c r="V12" s="28" t="str">
        <f>"V"&amp;COUNTA($A:$A)</f>
        <v>V16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code : string = '' ; 
	name : string = '' ; </v>
      </c>
      <c r="T13" s="62" t="str">
        <f ca="1">TEXTJOIN2("
",TRUE,INDIRECT(T11):INDIRECT(T12))</f>
        <v xml:space="preserve">			this.,
			this.code,</v>
      </c>
      <c r="U13" s="62" t="str">
        <f ca="1">TEXTJOIN2("
",TRUE,INDIRECT(U11):INDIRECT(U12))</f>
        <v xml:space="preserve">	code : string = '' ; 
	name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enginetype.component.ts</v>
      </c>
      <c r="I14" s="37" t="str">
        <f>B8&amp;".component.html"</f>
        <v>enginetype.component.html</v>
      </c>
      <c r="J14" s="36" t="str">
        <f>B8&amp;".component.less"</f>
        <v>enginetype.component.less</v>
      </c>
      <c r="K14" s="37" t="str">
        <f>"create-or-edit-"&amp;B8&amp;"-modal.component.html"</f>
        <v>create-or-edit-enginetype-modal.component.html</v>
      </c>
      <c r="L14" s="37" t="str">
        <f>"create-or-edit-"&amp;B8&amp;"-modal.component.ts"</f>
        <v>create-or-edit-enginetype-modal.component.ts</v>
      </c>
      <c r="M14" s="37" t="str">
        <f>"create-or-edit-"&amp;B8&amp;"-modal.component.less"</f>
        <v>create-or-edit-enginetype-modal.component.less</v>
      </c>
      <c r="N14" s="37" t="str">
        <f>B8&amp;".module.ts"</f>
        <v>enginetype.module.ts</v>
      </c>
      <c r="O14" s="37" t="str">
        <f>B8&amp;"-routing.module.ts"</f>
        <v>enginetype-routing.module.ts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363</v>
      </c>
      <c r="B15" s="28" t="str">
        <f t="shared" ref="B15" si="0">SUBSTITUTE(PROPER(A15),"_","")</f>
        <v>Code</v>
      </c>
      <c r="C15" s="28" t="str">
        <f t="shared" ref="C15" si="1">SUBSTITUTE(PROPER(A15),"_"," ")</f>
        <v>Code</v>
      </c>
      <c r="D15" s="28" t="str">
        <f t="shared" ref="D15" si="2">LOWER(LEFT(B15,1))&amp;RIGHT(B15,LEN(B15) - 1)</f>
        <v>code</v>
      </c>
      <c r="E15" s="28" t="str">
        <f>A.Backend!H9</f>
        <v>string</v>
      </c>
      <c r="F15" s="28" t="str">
        <f>A.Backend!G9</f>
        <v>10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364</v>
      </c>
      <c r="B16" s="28" t="str">
        <f t="shared" ref="B16" si="8">SUBSTITUTE(PROPER(A16),"_","")</f>
        <v>Name</v>
      </c>
      <c r="C16" s="28" t="str">
        <f t="shared" ref="C16" si="9">SUBSTITUTE(PROPER(A16),"_"," ")</f>
        <v>Name</v>
      </c>
      <c r="D16" s="28" t="str">
        <f t="shared" ref="D16" si="10">LOWER(LEFT(B16,1))&amp;RIGHT(B16,LEN(B16) - 1)</f>
        <v>name</v>
      </c>
      <c r="E16" s="28" t="str">
        <f>A.Backend!H10</f>
        <v>string</v>
      </c>
      <c r="F16" s="28" t="str">
        <f>A.Backend!G10</f>
        <v>50</v>
      </c>
      <c r="G16" s="28" t="str">
        <f t="shared" ref="G16" si="11">IF(E16="string"," : string = '' ; ",IF(OR(E16="DateTime",E16="TimeSpan")," : any ;",IF(E16="int"," : number = 0 ;","")))</f>
        <v xml:space="preserve"> : string = '' ; </v>
      </c>
      <c r="H16" s="35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ref="K16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5">IF(AND(E16="string",F16 &lt;&gt;"1"),(REPT(CHAR(9),1)&amp;D16&amp;G16),"")</f>
        <v xml:space="preserve">	name : string = '' ; </v>
      </c>
      <c r="T16" s="28" t="str">
        <f>IF(AND(E16="string",F16 &lt;&gt;"1"),(REPT(CHAR(9),3)&amp;"this."&amp;D15&amp;","),"")</f>
        <v xml:space="preserve">			this.code,</v>
      </c>
      <c r="U16" s="28" t="str">
        <f t="shared" ref="U16" si="16">IF(AND(E16="string",F16 &lt;&gt;"1"),(REPT(CHAR(9),1)&amp;D16&amp;G16),"")</f>
        <v xml:space="preserve">	name : string = '' ; </v>
      </c>
      <c r="V16" s="28" t="str">
        <f t="shared" ref="V16" si="17">IF(AND(E16="string",F16="1"),D16,"")</f>
        <v/>
      </c>
    </row>
    <row r="18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2023-09-04T04:16:36Z</dcterms:modified>
</cp:coreProperties>
</file>
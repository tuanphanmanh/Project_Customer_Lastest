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master\common\"/>
    </mc:Choice>
  </mc:AlternateContent>
  <bookViews>
    <workbookView xWindow="-120" yWindow="-120" windowWidth="30960" windowHeight="1584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5" l="1"/>
  <c r="D16" i="5"/>
  <c r="E16" i="5"/>
  <c r="F16" i="5"/>
  <c r="G16" i="5"/>
  <c r="C17" i="5"/>
  <c r="D17" i="5"/>
  <c r="E17" i="5"/>
  <c r="G17" i="5" s="1"/>
  <c r="F17" i="5"/>
  <c r="C18" i="5"/>
  <c r="D18" i="5"/>
  <c r="E18" i="5"/>
  <c r="G18" i="5" s="1"/>
  <c r="F18" i="5"/>
  <c r="C19" i="5"/>
  <c r="D19" i="5"/>
  <c r="E19" i="5"/>
  <c r="F19" i="5"/>
  <c r="G19" i="5"/>
  <c r="C20" i="5"/>
  <c r="D20" i="5"/>
  <c r="E20" i="5"/>
  <c r="F20" i="5"/>
  <c r="G20" i="5"/>
  <c r="C21" i="5"/>
  <c r="D21" i="5"/>
  <c r="E21" i="5"/>
  <c r="G21" i="5" s="1"/>
  <c r="F21" i="5"/>
  <c r="C22" i="5"/>
  <c r="D22" i="5"/>
  <c r="E22" i="5"/>
  <c r="G22" i="5" s="1"/>
  <c r="F22" i="5"/>
  <c r="C23" i="5"/>
  <c r="D23" i="5"/>
  <c r="E23" i="5"/>
  <c r="F23" i="5"/>
  <c r="G23" i="5"/>
  <c r="C24" i="5"/>
  <c r="D24" i="5"/>
  <c r="E24" i="5"/>
  <c r="F24" i="5"/>
  <c r="G24" i="5"/>
  <c r="C25" i="5"/>
  <c r="D25" i="5"/>
  <c r="E25" i="5"/>
  <c r="G25" i="5" s="1"/>
  <c r="F25" i="5"/>
  <c r="C26" i="5"/>
  <c r="D26" i="5"/>
  <c r="E26" i="5"/>
  <c r="G26" i="5" s="1"/>
  <c r="F26" i="5"/>
  <c r="C27" i="5"/>
  <c r="D27" i="5"/>
  <c r="E27" i="5"/>
  <c r="F27" i="5"/>
  <c r="G27" i="5"/>
  <c r="C28" i="5"/>
  <c r="D28" i="5"/>
  <c r="E28" i="5"/>
  <c r="F28" i="5"/>
  <c r="G28" i="5"/>
  <c r="C29" i="5"/>
  <c r="D29" i="5"/>
  <c r="E29" i="5"/>
  <c r="G29" i="5" s="1"/>
  <c r="F29" i="5"/>
  <c r="C30" i="5"/>
  <c r="D30" i="5"/>
  <c r="E30" i="5"/>
  <c r="G30" i="5" s="1"/>
  <c r="F30" i="5"/>
  <c r="C31" i="5"/>
  <c r="D31" i="5"/>
  <c r="E31" i="5"/>
  <c r="F31" i="5"/>
  <c r="G31" i="5"/>
  <c r="C32" i="5"/>
  <c r="D32" i="5"/>
  <c r="E32" i="5"/>
  <c r="F32" i="5"/>
  <c r="G32" i="5"/>
  <c r="C33" i="5"/>
  <c r="D33" i="5"/>
  <c r="E33" i="5"/>
  <c r="G33" i="5" s="1"/>
  <c r="F33" i="5"/>
  <c r="C34" i="5"/>
  <c r="D34" i="5"/>
  <c r="E34" i="5"/>
  <c r="G34" i="5" s="1"/>
  <c r="F34" i="5"/>
  <c r="C35" i="5"/>
  <c r="D35" i="5"/>
  <c r="E35" i="5"/>
  <c r="F35" i="5"/>
  <c r="G35" i="5"/>
  <c r="C36" i="5"/>
  <c r="D36" i="5"/>
  <c r="E36" i="5"/>
  <c r="F36" i="5"/>
  <c r="G36" i="5"/>
  <c r="V31" i="5"/>
  <c r="U35" i="5"/>
  <c r="B35" i="5"/>
  <c r="B34" i="5"/>
  <c r="B33" i="5"/>
  <c r="B32" i="5"/>
  <c r="L31" i="5"/>
  <c r="B31" i="5"/>
  <c r="B30" i="5"/>
  <c r="B29" i="5"/>
  <c r="B28" i="5"/>
  <c r="V27" i="5"/>
  <c r="B27" i="5"/>
  <c r="B36" i="5"/>
  <c r="B26" i="5"/>
  <c r="B25" i="5"/>
  <c r="B24" i="5"/>
  <c r="T24" i="5" s="1"/>
  <c r="I23" i="5"/>
  <c r="B23" i="5"/>
  <c r="I34" i="5" l="1"/>
  <c r="I29" i="5"/>
  <c r="T26" i="5"/>
  <c r="L25" i="5"/>
  <c r="S31" i="5"/>
  <c r="L33" i="5"/>
  <c r="S25" i="5"/>
  <c r="U33" i="5"/>
  <c r="V36" i="5"/>
  <c r="V29" i="5"/>
  <c r="I32" i="5"/>
  <c r="S29" i="5"/>
  <c r="I30" i="5"/>
  <c r="L29" i="5"/>
  <c r="V33" i="5"/>
  <c r="L27" i="5"/>
  <c r="H27" i="5"/>
  <c r="H31" i="5"/>
  <c r="H33" i="5"/>
  <c r="I28" i="5"/>
  <c r="I31" i="5"/>
  <c r="H32" i="5"/>
  <c r="I33" i="5"/>
  <c r="H34" i="5"/>
  <c r="V35" i="5"/>
  <c r="K35" i="5"/>
  <c r="I27" i="5"/>
  <c r="T32" i="5"/>
  <c r="U32" i="5"/>
  <c r="S32" i="5"/>
  <c r="T34" i="5"/>
  <c r="U34" i="5"/>
  <c r="T30" i="5"/>
  <c r="S30" i="5"/>
  <c r="H30" i="5"/>
  <c r="U30" i="5"/>
  <c r="K30" i="5"/>
  <c r="T28" i="5"/>
  <c r="K28" i="5"/>
  <c r="H28" i="5"/>
  <c r="U28" i="5"/>
  <c r="S27" i="5"/>
  <c r="K32" i="5"/>
  <c r="S33" i="5"/>
  <c r="K34" i="5"/>
  <c r="H35" i="5"/>
  <c r="S35" i="5"/>
  <c r="L23" i="5"/>
  <c r="H25" i="5"/>
  <c r="T27" i="5"/>
  <c r="S28" i="5"/>
  <c r="L28" i="5"/>
  <c r="V28" i="5"/>
  <c r="T29" i="5"/>
  <c r="L30" i="5"/>
  <c r="V30" i="5"/>
  <c r="T31" i="5"/>
  <c r="L32" i="5"/>
  <c r="V32" i="5"/>
  <c r="T33" i="5"/>
  <c r="S34" i="5"/>
  <c r="L34" i="5"/>
  <c r="V34" i="5"/>
  <c r="I35" i="5"/>
  <c r="T35" i="5"/>
  <c r="K27" i="5"/>
  <c r="K29" i="5"/>
  <c r="U29" i="5"/>
  <c r="K31" i="5"/>
  <c r="U31" i="5"/>
  <c r="K33" i="5"/>
  <c r="H29" i="5"/>
  <c r="U27" i="5"/>
  <c r="L35" i="5"/>
  <c r="V26" i="5"/>
  <c r="I36" i="5"/>
  <c r="V24" i="5"/>
  <c r="I25" i="5"/>
  <c r="T36" i="5"/>
  <c r="L36" i="5"/>
  <c r="U36" i="5"/>
  <c r="K36" i="5"/>
  <c r="S36" i="5"/>
  <c r="T23" i="5"/>
  <c r="U23" i="5"/>
  <c r="S23" i="5"/>
  <c r="H23" i="5"/>
  <c r="T25" i="5"/>
  <c r="U25" i="5"/>
  <c r="H36" i="5"/>
  <c r="K23" i="5"/>
  <c r="H24" i="5"/>
  <c r="K25" i="5"/>
  <c r="H26" i="5"/>
  <c r="V23" i="5"/>
  <c r="I24" i="5"/>
  <c r="V25" i="5"/>
  <c r="I26" i="5"/>
  <c r="K24" i="5"/>
  <c r="U24" i="5"/>
  <c r="K26" i="5"/>
  <c r="U26" i="5"/>
  <c r="S24" i="5"/>
  <c r="L24" i="5"/>
  <c r="S26" i="5"/>
  <c r="L26" i="5"/>
  <c r="L28" i="1"/>
  <c r="G28" i="1"/>
  <c r="E28" i="1"/>
  <c r="H28" i="1" s="1"/>
  <c r="D28" i="1"/>
  <c r="V28" i="1" s="1"/>
  <c r="L29" i="1"/>
  <c r="G29" i="1"/>
  <c r="E29" i="1"/>
  <c r="H29" i="1" s="1"/>
  <c r="D29" i="1"/>
  <c r="V29" i="1" s="1"/>
  <c r="L12" i="1"/>
  <c r="G12" i="1"/>
  <c r="E12" i="1"/>
  <c r="H12" i="1" s="1"/>
  <c r="D12" i="1"/>
  <c r="V12" i="1" s="1"/>
  <c r="L27" i="1"/>
  <c r="G27" i="1"/>
  <c r="E27" i="1"/>
  <c r="H27" i="1" s="1"/>
  <c r="D27" i="1"/>
  <c r="V27" i="1" s="1"/>
  <c r="L25" i="1"/>
  <c r="G25" i="1"/>
  <c r="E25" i="1"/>
  <c r="H25" i="1" s="1"/>
  <c r="D25" i="1"/>
  <c r="V25" i="1" s="1"/>
  <c r="T26" i="1"/>
  <c r="P26" i="1"/>
  <c r="L26" i="1"/>
  <c r="H26" i="1"/>
  <c r="W26" i="1" s="1"/>
  <c r="G26" i="1"/>
  <c r="E26" i="1"/>
  <c r="D26" i="1"/>
  <c r="V26" i="1" s="1"/>
  <c r="L24" i="1"/>
  <c r="G24" i="1"/>
  <c r="E24" i="1"/>
  <c r="H24" i="1" s="1"/>
  <c r="D24" i="1"/>
  <c r="T24" i="1" s="1"/>
  <c r="L23" i="1"/>
  <c r="G23" i="1"/>
  <c r="E23" i="1"/>
  <c r="H23" i="1" s="1"/>
  <c r="D23" i="1"/>
  <c r="V23" i="1" s="1"/>
  <c r="L22" i="1"/>
  <c r="H22" i="1"/>
  <c r="M22" i="1" s="1"/>
  <c r="G22" i="1"/>
  <c r="E22" i="1"/>
  <c r="D22" i="1"/>
  <c r="T22" i="1" s="1"/>
  <c r="L21" i="1"/>
  <c r="G21" i="1"/>
  <c r="E21" i="1"/>
  <c r="H21" i="1" s="1"/>
  <c r="D21" i="1"/>
  <c r="V21" i="1" s="1"/>
  <c r="L20" i="1"/>
  <c r="H20" i="1"/>
  <c r="M20" i="1" s="1"/>
  <c r="G20" i="1"/>
  <c r="E20" i="1"/>
  <c r="D20" i="1"/>
  <c r="T20" i="1" s="1"/>
  <c r="L19" i="1"/>
  <c r="G19" i="1"/>
  <c r="E19" i="1"/>
  <c r="H19" i="1" s="1"/>
  <c r="D19" i="1"/>
  <c r="V19" i="1" s="1"/>
  <c r="L18" i="1"/>
  <c r="G18" i="1"/>
  <c r="E18" i="1"/>
  <c r="H18" i="1" s="1"/>
  <c r="D18" i="1"/>
  <c r="T18" i="1" s="1"/>
  <c r="P28" i="1" l="1"/>
  <c r="W28" i="1"/>
  <c r="O28" i="1"/>
  <c r="J28" i="1"/>
  <c r="N28" i="1"/>
  <c r="I28" i="1"/>
  <c r="M28" i="1"/>
  <c r="T28" i="1"/>
  <c r="W29" i="1"/>
  <c r="O29" i="1"/>
  <c r="J29" i="1"/>
  <c r="N29" i="1"/>
  <c r="I29" i="1"/>
  <c r="M29" i="1"/>
  <c r="P29" i="1"/>
  <c r="T29" i="1"/>
  <c r="N12" i="1"/>
  <c r="I12" i="1"/>
  <c r="M12" i="1"/>
  <c r="O12" i="1"/>
  <c r="J12" i="1"/>
  <c r="W12" i="1"/>
  <c r="P12" i="1"/>
  <c r="T12" i="1"/>
  <c r="W27" i="1"/>
  <c r="O27" i="1"/>
  <c r="J27" i="1"/>
  <c r="I27" i="1"/>
  <c r="M27" i="1"/>
  <c r="N27" i="1"/>
  <c r="P27" i="1"/>
  <c r="T27" i="1"/>
  <c r="W25" i="1"/>
  <c r="O25" i="1"/>
  <c r="J25" i="1"/>
  <c r="N25" i="1"/>
  <c r="I25" i="1"/>
  <c r="M25" i="1"/>
  <c r="P25" i="1"/>
  <c r="T25" i="1"/>
  <c r="M24" i="1"/>
  <c r="W24" i="1"/>
  <c r="O24" i="1"/>
  <c r="J24" i="1"/>
  <c r="N24" i="1"/>
  <c r="I24" i="1"/>
  <c r="M26" i="1"/>
  <c r="I22" i="1"/>
  <c r="P24" i="1"/>
  <c r="I26" i="1"/>
  <c r="N26" i="1"/>
  <c r="V24" i="1"/>
  <c r="J26" i="1"/>
  <c r="O26" i="1"/>
  <c r="P23" i="1"/>
  <c r="P21" i="1"/>
  <c r="P19" i="1"/>
  <c r="I18" i="1"/>
  <c r="M18" i="1"/>
  <c r="W23" i="1"/>
  <c r="O23" i="1"/>
  <c r="J23" i="1"/>
  <c r="N23" i="1"/>
  <c r="I23" i="1"/>
  <c r="M23" i="1"/>
  <c r="W21" i="1"/>
  <c r="O21" i="1"/>
  <c r="J21" i="1"/>
  <c r="N21" i="1"/>
  <c r="I21" i="1"/>
  <c r="M21" i="1"/>
  <c r="W19" i="1"/>
  <c r="O19" i="1"/>
  <c r="J19" i="1"/>
  <c r="N19" i="1"/>
  <c r="I19" i="1"/>
  <c r="M19" i="1"/>
  <c r="N18" i="1"/>
  <c r="V18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I20" i="1"/>
  <c r="N20" i="1"/>
  <c r="V20" i="1"/>
  <c r="P18" i="1"/>
  <c r="P20" i="1"/>
  <c r="P22" i="1"/>
  <c r="B19" i="5"/>
  <c r="T19" i="5" s="1"/>
  <c r="B18" i="5"/>
  <c r="B21" i="5"/>
  <c r="T21" i="5" s="1"/>
  <c r="B20" i="5"/>
  <c r="T18" i="5" l="1"/>
  <c r="T20" i="5"/>
  <c r="L17" i="1"/>
  <c r="G17" i="1"/>
  <c r="E17" i="1"/>
  <c r="H17" i="1" s="1"/>
  <c r="D17" i="1"/>
  <c r="T17" i="1" s="1"/>
  <c r="L14" i="1"/>
  <c r="G14" i="1"/>
  <c r="E14" i="1"/>
  <c r="H14" i="1" s="1"/>
  <c r="D14" i="1"/>
  <c r="V14" i="1" s="1"/>
  <c r="L13" i="1"/>
  <c r="G13" i="1"/>
  <c r="E13" i="1"/>
  <c r="H13" i="1" s="1"/>
  <c r="I18" i="5" s="1"/>
  <c r="D13" i="1"/>
  <c r="T13" i="1" s="1"/>
  <c r="G11" i="1"/>
  <c r="E11" i="1"/>
  <c r="H11" i="1" s="1"/>
  <c r="D11" i="1"/>
  <c r="V11" i="1" s="1"/>
  <c r="V19" i="5" l="1"/>
  <c r="L19" i="5"/>
  <c r="H18" i="5"/>
  <c r="S18" i="5"/>
  <c r="U19" i="5"/>
  <c r="V18" i="5"/>
  <c r="U18" i="5"/>
  <c r="S19" i="5"/>
  <c r="I19" i="5"/>
  <c r="K18" i="5"/>
  <c r="H19" i="5"/>
  <c r="K19" i="5"/>
  <c r="L18" i="5"/>
  <c r="M13" i="1"/>
  <c r="M17" i="1"/>
  <c r="W17" i="1"/>
  <c r="O17" i="1"/>
  <c r="J17" i="1"/>
  <c r="N17" i="1"/>
  <c r="I17" i="1"/>
  <c r="V17" i="1"/>
  <c r="P17" i="1"/>
  <c r="P11" i="1"/>
  <c r="W14" i="1"/>
  <c r="O14" i="1"/>
  <c r="J14" i="1"/>
  <c r="N14" i="1"/>
  <c r="I14" i="1"/>
  <c r="M14" i="1"/>
  <c r="N11" i="1"/>
  <c r="I11" i="1"/>
  <c r="W11" i="1"/>
  <c r="O11" i="1"/>
  <c r="J11" i="1"/>
  <c r="M11" i="1"/>
  <c r="I13" i="1"/>
  <c r="N13" i="1"/>
  <c r="V13" i="1"/>
  <c r="P14" i="1"/>
  <c r="T11" i="1"/>
  <c r="J13" i="1"/>
  <c r="O13" i="1"/>
  <c r="W13" i="1"/>
  <c r="T14" i="1"/>
  <c r="P13" i="1"/>
  <c r="B22" i="5"/>
  <c r="B17" i="5"/>
  <c r="G16" i="1"/>
  <c r="E16" i="1"/>
  <c r="H16" i="1" s="1"/>
  <c r="D16" i="1"/>
  <c r="T16" i="1" s="1"/>
  <c r="L15" i="1"/>
  <c r="G15" i="1"/>
  <c r="E15" i="1"/>
  <c r="H15" i="1" s="1"/>
  <c r="D15" i="1"/>
  <c r="V15" i="1" s="1"/>
  <c r="L17" i="5" l="1"/>
  <c r="H21" i="5"/>
  <c r="K21" i="5"/>
  <c r="I21" i="5"/>
  <c r="S21" i="5"/>
  <c r="L21" i="5"/>
  <c r="V21" i="5"/>
  <c r="U21" i="5"/>
  <c r="M16" i="1"/>
  <c r="U22" i="5"/>
  <c r="I17" i="5"/>
  <c r="S17" i="5"/>
  <c r="T22" i="5"/>
  <c r="K22" i="5"/>
  <c r="H17" i="5"/>
  <c r="K17" i="5"/>
  <c r="T17" i="5"/>
  <c r="U17" i="5"/>
  <c r="V17" i="5"/>
  <c r="N16" i="1"/>
  <c r="V16" i="1"/>
  <c r="J16" i="1"/>
  <c r="O16" i="1"/>
  <c r="W16" i="1"/>
  <c r="I16" i="1"/>
  <c r="P16" i="1"/>
  <c r="W15" i="1"/>
  <c r="O15" i="1"/>
  <c r="J15" i="1"/>
  <c r="N15" i="1"/>
  <c r="M15" i="1"/>
  <c r="I15" i="1"/>
  <c r="P15" i="1"/>
  <c r="T15" i="1"/>
  <c r="B6" i="1"/>
  <c r="L20" i="5" l="1"/>
  <c r="K20" i="5"/>
  <c r="S20" i="5"/>
  <c r="H20" i="5"/>
  <c r="U20" i="5"/>
  <c r="V20" i="5"/>
  <c r="I20" i="5"/>
  <c r="H22" i="5"/>
  <c r="V22" i="5"/>
  <c r="S22" i="5"/>
  <c r="I22" i="5"/>
  <c r="L22" i="5"/>
  <c r="B16" i="5"/>
  <c r="C15" i="5"/>
  <c r="B15" i="5"/>
  <c r="D15" i="5" s="1"/>
  <c r="T15" i="5" s="1"/>
  <c r="T16" i="5" l="1"/>
  <c r="G30" i="1" l="1"/>
  <c r="E30" i="1"/>
  <c r="H30" i="1" s="1"/>
  <c r="D30" i="1"/>
  <c r="V30" i="1" s="1"/>
  <c r="W30" i="1" l="1"/>
  <c r="J30" i="1"/>
  <c r="I30" i="1"/>
  <c r="O30" i="1"/>
  <c r="N30" i="1"/>
  <c r="M30" i="1"/>
  <c r="P30" i="1"/>
  <c r="T30" i="1"/>
  <c r="G9" i="1"/>
  <c r="F15" i="5" s="1"/>
  <c r="E9" i="1"/>
  <c r="H9" i="1" s="1"/>
  <c r="E15" i="5" s="1"/>
  <c r="D9" i="1"/>
  <c r="V9" i="1" s="1"/>
  <c r="H15" i="5" l="1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E10" i="1"/>
  <c r="H10" i="1" s="1"/>
  <c r="D10" i="1"/>
  <c r="T10" i="1" s="1"/>
  <c r="H16" i="5" l="1"/>
  <c r="I16" i="5"/>
  <c r="S16" i="5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2" i="1"/>
  <c r="K12" i="5" l="1"/>
  <c r="H12" i="5"/>
  <c r="V12" i="5"/>
  <c r="T12" i="5"/>
  <c r="U12" i="5"/>
  <c r="I12" i="5"/>
  <c r="L12" i="5"/>
  <c r="S12" i="5"/>
  <c r="R3" i="1" l="1"/>
  <c r="D1" i="1"/>
  <c r="F6" i="1"/>
  <c r="T32" i="1"/>
  <c r="T13" i="5"/>
  <c r="T7" i="1" l="1"/>
  <c r="W32" i="1"/>
  <c r="G6" i="1" l="1"/>
  <c r="K13" i="5"/>
  <c r="H13" i="5"/>
  <c r="L13" i="5"/>
  <c r="I13" i="5"/>
  <c r="S13" i="5"/>
  <c r="V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30" i="1" l="1"/>
  <c r="L11" i="1"/>
  <c r="L16" i="1"/>
  <c r="L9" i="1"/>
  <c r="L10" i="1"/>
  <c r="C7" i="1"/>
  <c r="J32" i="1"/>
  <c r="O32" i="1"/>
  <c r="N32" i="1"/>
  <c r="P32" i="1"/>
  <c r="I32" i="1"/>
  <c r="Q7" i="1" l="1"/>
  <c r="M68" i="3" s="1"/>
  <c r="L7" i="1"/>
  <c r="G68" i="3" s="1"/>
  <c r="K68" i="3"/>
  <c r="J68" i="3"/>
  <c r="K32" i="1"/>
  <c r="M3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<sst xmlns="http://schemas.openxmlformats.org/spreadsheetml/2006/main" count="557" uniqueCount="403">
  <si>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</si>
  <si>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</si>
  <si>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</si>
  <si>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</si>
  <si>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</si>
  <si>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</si>
  <si>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</si>
  <si>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</si>
  <si>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</si>
  <si>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</si>
  <si>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</si>
  <si>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</si>
  <si>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</si>
  <si>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</si>
  <si>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</si>
  <si>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</si>
  <si>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</si>
  <si>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</si>
  <si>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</si>
  <si>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</si>
  <si>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</si>
  <si>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</si>
  <si>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</si>
  <si>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</si>
  <si>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</si>
  <si>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</si>
  <si>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</si>
  <si>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</si>
  <si>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</si>
  <si>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</si>
  <si>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</si>
  <si>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</si>
  <si>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</si>
  <si>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</si>
  <si>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</si>
  <si>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</si>
  <si>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</si>
  <si>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</si>
  <si>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</si>
  <si>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</si>
  <si>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</si>
  <si>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</si>
  <si>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</si>
  <si>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</si>
  <si>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</si>
  <si>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</si>
  <si>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</si>
  <si>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</si>
  <si>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</si>
  <si>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</si>
  <si>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</si>
  <si>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</si>
  <si>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</si>
  <si>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</si>
  <si>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</si>
  <si>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</si>
  <si>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</si>
  <si>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</si>
  <si>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</si>
  <si>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</si>
  <si>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</si>
  <si>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</si>
  <si>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</si>
  <si>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</si>
  <si>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</si>
  <si>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</si>
  <si>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</si>
  <si>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</si>
  <si>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</si>
  <si>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</si>
  <si>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</si>
  <si>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</si>
  <si>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</si>
  <si>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</si>
  <si>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</si>
  <si>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</si>
  <si>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</si>
  <si>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</si>
  <si>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</si>
  <si>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</si>
  <si>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</si>
  <si>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</si>
  <si>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</si>
  <si>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</si>
  <si>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</si>
  <si>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</si>
  <si>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</si>
  <si>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</si>
  <si>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</si>
  <si>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</si>
  <si>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</si>
  <si>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</si>
  <si>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</si>
  <si>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</si>
  <si>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</si>
  <si>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</si>
  <si>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</si>
  <si>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</si>
  <si>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</si>
  <si>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</si>
  <si>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</si>
  <si>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</si>
  <si>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</si>
  <si>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</si>
  <si>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</si>
  <si>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</si>
  <si>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</si>
  <si>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</si>
  <si>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</si>
  <si>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</si>
  <si>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</si>
  <si>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</si>
  <si>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</si>
  <si>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</si>
  <si>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</si>
  <si>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</si>
  <si>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</si>
  <si>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</si>
  <si>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</si>
  <si>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</si>
  <si>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</si>
  <si>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</si>
  <si>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</si>
  <si>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</si>
  <si>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</si>
  <si>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</si>
  <si>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</si>
  <si>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</si>
  <si>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</si>
  <si>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</si>
  <si>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</si>
  <si>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</si>
  <si>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</si>
  <si>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</si>
  <si>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</si>
  <si>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</si>
  <si>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</si>
  <si>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</si>
  <si>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</si>
  <si>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</si>
  <si>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</si>
  <si>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</si>
  <si>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</si>
  <si>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</si>
  <si>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</si>
  <si>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</si>
  <si>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</si>
  <si>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</si>
  <si>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</si>
  <si>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</si>
  <si>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</si>
  <si>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</si>
  <si>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</si>
  <si>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</si>
  <si>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</si>
  <si>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</si>
  <si>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</si>
  <si>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</si>
  <si>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</si>
  <si>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</si>
  <si>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</si>
  <si>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</si>
  <si>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</si>
  <si>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</si>
  <si>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</si>
  <si>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</si>
  <si>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</si>
  <si>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</si>
  <si>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</si>
  <si>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</si>
  <si>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</si>
  <si>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</si>
  <si>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</si>
  <si>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</si>
  <si>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</si>
  <si>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</si>
  <si>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</si>
  <si>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</si>
  <si>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</si>
  <si>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</si>
  <si>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</si>
  <si>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</si>
  <si>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</si>
  <si>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</si>
  <si>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</si>
  <si>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</si>
  <si>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</si>
  <si>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</si>
  <si>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</si>
  <si>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</si>
  <si>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</si>
  <si>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</si>
  <si>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</si>
  <si>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</si>
  <si>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</si>
  <si>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</si>
  <si>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</si>
  <si>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</si>
  <si>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</si>
  <si>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</si>
  <si>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</si>
  <si>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</si>
  <si>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</si>
  <si>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</si>
  <si>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</si>
  <si>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</si>
  <si>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</si>
  <si>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</si>
  <si>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</si>
  <si>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</si>
  <si>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</si>
  <si>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</si>
  <si>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</si>
  <si>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</si>
  <si>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</si>
  <si>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</si>
  <si>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</si>
  <si>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</si>
  <si>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</si>
  <si>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</si>
  <si>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</si>
  <si>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</si>
  <si>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</si>
  <si>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</si>
  <si>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</si>
  <si>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</si>
  <si>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</si>
  <si>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</si>
  <si>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</si>
  <si>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</si>
  <si>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</si>
  <si>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</si>
  <si>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</si>
  <si>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</si>
  <si>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</si>
  <si>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</si>
  <si>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</si>
  <si>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</si>
  <si>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</si>
  <si>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</si>
  <si>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</si>
  <si>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</si>
  <si>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</si>
  <si>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</si>
  <si>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</si>
  <si>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</si>
  <si>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</si>
  <si>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</si>
  <si>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</si>
  <si>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</si>
  <si>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</si>
  <si>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</si>
  <si>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</si>
  <si>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</si>
  <si>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</si>
  <si>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</si>
  <si>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</si>
  <si>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</si>
  <si>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</si>
  <si>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</si>
  <si>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</si>
  <si>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</si>
  <si>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</si>
  <si>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</si>
  <si>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</si>
  <si>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</si>
  <si>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</si>
  <si>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</si>
  <si>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</si>
  <si>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</si>
  <si>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</si>
  <si>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</si>
  <si>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</si>
  <si>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</si>
  <si>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</si>
  <si>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</si>
  <si>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</si>
  <si>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</si>
  <si>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</si>
  <si>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</si>
  <si>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</si>
  <si>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</si>
  <si>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</si>
  <si>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</si>
  <si>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</si>
  <si>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</si>
  <si>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</si>
  <si>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</si>
  <si>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</si>
  <si>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</si>
  <si>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</si>
  <si>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</si>
  <si>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</si>
  <si>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</si>
  <si>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</si>
  <si>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</si>
  <si>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</si>
  <si>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</si>
  <si>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</si>
  <si>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</si>
  <si>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</si>
  <si>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</si>
  <si>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</si>
  <si>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</si>
  <si>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</si>
  <si>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</si>
  <si>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</si>
  <si>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</si>
  <si>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</si>
  <si>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</si>
  <si>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</si>
  <si>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</si>
  <si>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</si>
  <si>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</si>
  <si>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</si>
  <si>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</si>
  <si>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</si>
  <si>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</si>
  <si>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</si>
  <si>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</si>
  <si>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</si>
  <si>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</si>
  <si>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</si>
  <si>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</si>
  <si>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</si>
  <si>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</si>
  <si>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</si>
  <si>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</si>
  <si>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</si>
  <si>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</si>
  <si>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</si>
  <si>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</si>
  <si>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</si>
  <si>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</si>
  <si>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</si>
  <si>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</si>
  <si>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</si>
  <si>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</si>
  <si>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</si>
  <si>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</si>
  <si>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</si>
  <si>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</si>
  <si>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</si>
  <si>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</si>
  <si>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</si>
  <si>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</si>
  <si>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</si>
  <si>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</si>
  <si>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</si>
  <si>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</si>
  <si>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</si>
  <si>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</si>
  <si>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</si>
  <si>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nvarchar(50)</t>
  </si>
  <si>
    <t>IHP</t>
  </si>
  <si>
    <t>Ihp</t>
  </si>
  <si>
    <t>InvIhp</t>
  </si>
  <si>
    <t>Plant</t>
  </si>
  <si>
    <t>Plant name</t>
  </si>
  <si>
    <t>Storage location (4)</t>
  </si>
  <si>
    <t>Storage Location name(16)</t>
  </si>
  <si>
    <t>Address</t>
  </si>
  <si>
    <t>Language</t>
  </si>
  <si>
    <t>Category</t>
  </si>
  <si>
    <t>TMV</t>
  </si>
  <si>
    <t>GWH (CKD part)</t>
  </si>
  <si>
    <t>EN</t>
  </si>
  <si>
    <t>Phuc Thang ward – Phuc Yen city – Vinh Phuc province – Viet Nam</t>
  </si>
  <si>
    <t>Raw Material</t>
  </si>
  <si>
    <t>VN</t>
  </si>
  <si>
    <t>Phường Phúc Thắng – Thành phố Phúc Yên – Tỉnh Vĩnh Phúc – Việt Nam</t>
  </si>
  <si>
    <t>ACC for CBU</t>
  </si>
  <si>
    <t>Production Area</t>
  </si>
  <si>
    <t>Vehicle Yard</t>
  </si>
  <si>
    <t>Finished Goods</t>
  </si>
  <si>
    <t>MstCmmExchangeRate</t>
  </si>
  <si>
    <t>ExchangeRate</t>
  </si>
  <si>
    <t>EXCHANGE_DATE</t>
  </si>
  <si>
    <t>VERSION</t>
  </si>
  <si>
    <t>SVB_RATE</t>
  </si>
  <si>
    <t>FLOOR_RATE</t>
  </si>
  <si>
    <t>CEILING_RATE</t>
  </si>
  <si>
    <t>BUYING_OD</t>
  </si>
  <si>
    <t>BUYING_TT</t>
  </si>
  <si>
    <t>SELLING_TT_OD</t>
  </si>
  <si>
    <t>STATUS</t>
  </si>
  <si>
    <t>IS_DOWNLOADED</t>
  </si>
  <si>
    <t>IS_EMAIL_RECEIVED</t>
  </si>
  <si>
    <t>IS_DIFF</t>
  </si>
  <si>
    <t>DOWNLOAD_DATETIME</t>
  </si>
  <si>
    <t>EMAIL_RECEIVE_DATETIME</t>
  </si>
  <si>
    <t>APPROVED_BY</t>
  </si>
  <si>
    <t>CHECKED_BY</t>
  </si>
  <si>
    <t>CHECKED_DATETIME</t>
  </si>
  <si>
    <t>APPROVED_DATETIME</t>
  </si>
  <si>
    <t>MAJOR_CURRENCY</t>
  </si>
  <si>
    <t>MINOR_CURRENCY</t>
  </si>
  <si>
    <t>nvarchar(3)</t>
  </si>
  <si>
    <t>decimal(18,4)</t>
  </si>
  <si>
    <t>datetime2(7)</t>
  </si>
  <si>
    <t>Exchange Rate</t>
  </si>
  <si>
    <t>TOOL_NAME</t>
  </si>
  <si>
    <t>nvarchar(20)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</si>
</sst>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rgb="FFFFFFFF"/>
      <name val="Segoe UI"/>
      <family val="2"/>
    </font>
    <font>
      <sz val="11"/>
      <name val="Segoe UI"/>
      <family val="2"/>
    </font>
    <font>
      <sz val="11"/>
      <color rgb="FF000000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FFFFFF"/>
        <bgColor rgb="FF000000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0" fillId="15" borderId="10" xfId="0" applyFont="1" applyFill="1" applyBorder="1" applyAlignment="1">
      <alignment vertical="center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15" borderId="8" xfId="0" applyFont="1" applyFill="1" applyBorder="1" applyAlignment="1">
      <alignment horizontal="center" vertical="center"/>
    </xf>
    <xf numFmtId="0" fontId="20" fillId="15" borderId="9" xfId="0" applyFont="1" applyFill="1" applyBorder="1" applyAlignment="1">
      <alignment horizontal="center" vertical="center"/>
    </xf>
    <xf numFmtId="0" fontId="20" fillId="15" borderId="10" xfId="0" applyFont="1" applyFill="1" applyBorder="1" applyAlignment="1">
      <alignment horizontal="center" vertical="center"/>
    </xf>
    <xf numFmtId="0" fontId="21" fillId="15" borderId="6" xfId="0" applyFont="1" applyFill="1" applyBorder="1" applyAlignment="1">
      <alignment horizontal="center" vertical="center"/>
    </xf>
    <xf numFmtId="0" fontId="21" fillId="15" borderId="7" xfId="0" applyFont="1" applyFill="1" applyBorder="1" applyAlignment="1">
      <alignment horizontal="center" vertical="center"/>
    </xf>
    <xf numFmtId="0" fontId="21" fillId="15" borderId="5" xfId="0" applyFont="1" applyFill="1" applyBorder="1" applyAlignment="1">
      <alignment horizontal="center" vertical="center"/>
    </xf>
    <xf numFmtId="0" fontId="21" fillId="15" borderId="0" xfId="0" applyFont="1" applyFill="1" applyBorder="1" applyAlignment="1">
      <alignment horizontal="center" vertical="center"/>
    </xf>
    <xf numFmtId="0" fontId="20" fillId="15" borderId="8" xfId="0" applyFont="1" applyFill="1" applyBorder="1" applyAlignment="1">
      <alignment vertical="center"/>
    </xf>
    <xf numFmtId="0" fontId="20" fillId="15" borderId="9" xfId="0" applyFont="1" applyFill="1" applyBorder="1" applyAlignment="1">
      <alignment vertical="center"/>
    </xf>
    <xf numFmtId="0" fontId="20" fillId="15" borderId="6" xfId="0" applyFont="1" applyFill="1" applyBorder="1" applyAlignment="1">
      <alignment horizontal="center" vertical="center"/>
    </xf>
    <xf numFmtId="0" fontId="20" fillId="15" borderId="14" xfId="0" applyFont="1" applyFill="1" applyBorder="1" applyAlignment="1">
      <alignment horizontal="center" vertical="center"/>
    </xf>
    <xf numFmtId="0" fontId="20" fillId="15" borderId="5" xfId="0" applyFont="1" applyFill="1" applyBorder="1" applyAlignment="1">
      <alignment horizontal="center" vertical="center"/>
    </xf>
    <xf numFmtId="0" fontId="20" fillId="15" borderId="11" xfId="0" applyFont="1" applyFill="1" applyBorder="1" applyAlignment="1">
      <alignment horizontal="center" vertical="center"/>
    </xf>
    <xf numFmtId="0" fontId="20" fillId="15" borderId="7" xfId="0" applyFont="1" applyFill="1" applyBorder="1" applyAlignment="1">
      <alignment horizontal="center" vertical="center"/>
    </xf>
    <xf numFmtId="0" fontId="20" fillId="15" borderId="0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horizontal="center" vertical="center"/>
    </xf>
    <xf numFmtId="0" fontId="21" fillId="15" borderId="11" xfId="0" applyFont="1" applyFill="1" applyBorder="1" applyAlignment="1">
      <alignment horizontal="center" vertical="center"/>
    </xf>
    <xf numFmtId="0" fontId="21" fillId="15" borderId="12" xfId="0" applyFont="1" applyFill="1" applyBorder="1" applyAlignment="1">
      <alignment horizontal="center" vertical="center"/>
    </xf>
    <xf numFmtId="0" fontId="21" fillId="15" borderId="2" xfId="0" applyFont="1" applyFill="1" applyBorder="1" applyAlignment="1">
      <alignment horizontal="center" vertical="center"/>
    </xf>
    <xf numFmtId="0" fontId="20" fillId="15" borderId="12" xfId="0" applyFont="1" applyFill="1" applyBorder="1" applyAlignment="1">
      <alignment horizontal="center" vertical="center"/>
    </xf>
    <xf numFmtId="0" fontId="20" fillId="15" borderId="13" xfId="0" applyFont="1" applyFill="1" applyBorder="1" applyAlignment="1">
      <alignment horizontal="center" vertical="center"/>
    </xf>
    <xf numFmtId="0" fontId="20" fillId="15" borderId="2" xfId="0" applyFont="1" applyFill="1" applyBorder="1" applyAlignment="1">
      <alignment horizontal="center" vertical="center"/>
    </xf>
    <xf numFmtId="0" fontId="21" fillId="15" borderId="13" xfId="0" applyFont="1" applyFill="1" applyBorder="1" applyAlignment="1">
      <alignment horizontal="center" vertical="center"/>
    </xf>
    <xf numFmtId="0" fontId="19" fillId="14" borderId="6" xfId="0" applyFont="1" applyFill="1" applyBorder="1" applyAlignment="1">
      <alignment horizontal="center" vertical="center" wrapText="1"/>
    </xf>
    <xf numFmtId="0" fontId="19" fillId="14" borderId="7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9" fillId="14" borderId="12" xfId="0" applyFont="1" applyFill="1" applyBorder="1" applyAlignment="1">
      <alignment horizontal="center" vertical="center" wrapText="1"/>
    </xf>
    <xf numFmtId="0" fontId="19" fillId="14" borderId="2" xfId="0" applyFont="1" applyFill="1" applyBorder="1" applyAlignment="1">
      <alignment horizontal="center" vertical="center" wrapText="1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5" xfId="0" applyFont="1" applyFill="1" applyBorder="1" applyAlignment="1">
      <alignment horizontal="center" vertical="center"/>
    </xf>
    <xf numFmtId="0" fontId="19" fillId="14" borderId="11" xfId="0" applyFont="1" applyFill="1" applyBorder="1" applyAlignment="1">
      <alignment horizontal="center" vertical="center"/>
    </xf>
    <xf numFmtId="0" fontId="19" fillId="14" borderId="12" xfId="0" applyFont="1" applyFill="1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/>
    </xf>
    <xf numFmtId="0" fontId="19" fillId="14" borderId="6" xfId="0" applyFont="1" applyFill="1" applyBorder="1" applyAlignment="1">
      <alignment horizontal="center" vertical="center"/>
    </xf>
    <xf numFmtId="0" fontId="19" fillId="14" borderId="7" xfId="0" applyFont="1" applyFill="1" applyBorder="1" applyAlignment="1">
      <alignment horizontal="center" vertical="center"/>
    </xf>
    <xf numFmtId="0" fontId="19" fillId="14" borderId="14" xfId="0" applyFont="1" applyFill="1" applyBorder="1" applyAlignment="1">
      <alignment horizontal="center" vertical="center"/>
    </xf>
    <xf numFmtId="0" fontId="19" fillId="14" borderId="2" xfId="0" applyFont="1" applyFill="1" applyBorder="1" applyAlignment="1">
      <alignment horizontal="center" vertical="center"/>
    </xf>
    <xf numFmtId="0" fontId="19" fillId="14" borderId="0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top" wrapText="1"/>
    </xf>
    <xf numFmtId="0" fontId="19" fillId="14" borderId="11" xfId="0" applyFont="1" applyFill="1" applyBorder="1" applyAlignment="1">
      <alignment horizontal="center" vertical="top" wrapText="1"/>
    </xf>
    <xf numFmtId="0" fontId="19" fillId="14" borderId="2" xfId="0" applyFont="1" applyFill="1" applyBorder="1" applyAlignment="1">
      <alignment horizontal="center" vertical="top" wrapText="1"/>
    </xf>
    <xf numFmtId="0" fontId="19" fillId="14" borderId="13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ductTmv\prod\docs\design\loga\ekb\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D49" sqref="D4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354</v>
      </c>
      <c r="F46" s="1" t="s">
        <v>355</v>
      </c>
      <c r="G46" t="s">
        <v>356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[Table("MstCmmExchangeRate")]
	[Index(nameof(ExchangeDate), Name="IX_MstCmmExchangeRate_ExchangeDate")]
	[Index(nameof(IsActive), Name="IX_MstCmmExchangeRate_IsActive")]	public class MstCmmExchangeRate: FullAuditedEntity&lt;long&gt;, IEntity&lt;long&gt;	
	{
		public const int MaxMajorCurrencyLength = 3;
		public const int MaxMinorCurrencyLength = 3;
		public const int MaxIsDownloadedLength = 1;
		public const int MaxIsEmailReceivedLength = 1;
		public const int MaxIsDiffLength = 1;
		public const int MaxApprovedByLength = 50;
		public const int MaxStatusLength = 20;
		public const int MaxToolNameLength = 50;
		public const int MaxIsActiveLength = 1;
		public virtual DateTime ExchangeDate { get; set; }
		public virtual int Version { get; set; }
		[StringLength(MaxMajorCurrencyLength)]
		public virtual string MajorCurrency { get; set; }
		[StringLength(MaxMinorCurrencyLength)]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[StringLength(MaxIsDownloadedLength)]
		public virtual string IsDownloaded { get; set; }
		[StringLength(MaxIsEmailReceivedLength)]
		public virtual string IsEmailReceived { get; set; }
		[StringLength(MaxIsDiffLength)]
		public virtual string IsDiff { get; set; }
		public virtual DateTime DownloadDatetime { get; set; }
		public virtual DateTime EmailReceiveDatetime { get; set; }
		public virtual long CheckedBy { get; set; }
		public virtual DateTime CheckedDatetime { get; set; }
		[StringLength(MaxApprovedByLength)]
		public virtual string ApprovedBy { get; set; }
		public virtual DateTime ApprovedDatetime { get; set; }
		[StringLength(MaxStatusLength)]
		public virtual string Status { get; set; }
		[StringLength(MaxToolNameLength)]
		public virtual string ToolName { get; set; }
		[StringLength(MaxIsActiveLength)]
		public virtual string IsActive { get; set; }
	}
}
</v>
      </c>
      <c r="D68" s="48" t="str">
        <f>A.Backend!O7</f>
        <v xml:space="preserve">		public const string Pages_Master_Common_ExchangeRate = "Pages.Master.Common.ExchangeRate";
		public const string Pages_Master_Common_ExchangeRate_CreateEdit = "Pages.Master.Common.ExchangeRate.CreateEdit";
		public const string Pages_Master_Common_ExchangeRate_Delete = "Pages.Master.Common.ExchangeRate.Delete";
</v>
      </c>
      <c r="E68" s="48" t="str">
        <f>A.Backend!N7</f>
        <v xml:space="preserve">		var perMstCmmExchangeRate = PARENTS.CreateChildPermission(AppPermissions.Pages_Master_Common_ExchangeRate, L( "MasterCommonExchangeRate"), multiTenancySides: MultiTenancySides.Tenant);
		perMstCmmExchangeRate.CreateChildPermission(AppPermissions.Pages_Master_Common_ExchangeRate_CreateEdit, L( "MasterCommonExchangeRateCreateEdit"), multiTenancySides: MultiTenancySides.Tenant);
		perMstCmmExchangeRate.CreateChildPermission(AppPermissions.Pages_Master_Common_ExchangeRate_Delete, L( "MasterCommonExchangeRateDelete"), multiTenancySides: MultiTenancySides.Tenant);</v>
      </c>
      <c r="F68" s="48" t="str">
        <f>A.Backend!K7</f>
        <v>public virtual DbSet&lt;MstCmmExchangeRate&gt; MstCmmExchangeRates { get; set; }</v>
      </c>
      <c r="G68" s="48" t="str">
        <f ca="1">A.Backend!L7</f>
        <v xml:space="preserve">namespace prod.Master.Common
{
	public class MstCmmExchangeRateConsts	
	{
		public const int MaxMajorCurrencyLength = 3;
		public const int MaxMinorCurrencyLength = 3;
		public const int MaxIsDownloadedLength = 1;
		public const int MaxIsEmailReceivedLength = 1;
		public const int MaxIsDiffLength = 1;
		public const int MaxApprovedByLength = 50;
		public const int MaxStatusLength = 20;
		public const int MaxToolNameLength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MstCmmExchangeRateDto : EntityDto&lt;long?&gt;	
	{
		public virtual DateTime? ExchangeDate { get; set; }
		public virtual int Version { get; set; }
		public virtual string MajorCurrency { get; set; }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public virtual string IsDownloaded { get; set; }
		public virtual string IsEmailReceived { get; set; }
		public virtual string IsDiff { get; set; }
		public virtual DateTime? DownloadDatetime { get; set; }
		public virtual DateTime? EmailReceiveDatetime { get; set; }
		public virtual long CheckedBy { get; set; }
		public virtual DateTime? CheckedDatetime { get; set; }
		public virtual string ApprovedBy { get; set; }
		public virtual DateTime? ApprovedDatetime { get; set; }
		public virtual string Status { get; set; }
		public virtual string ToolName { get; set; }
		public virtual string IsActive { get; set; }
	}
	public class CreateOrEditMstCmmExchangeRateDto : EntityDto&lt;long?&gt;	
	{
		public virtual DateTime? ExchangeDate { get; set; }
		public virtual int Version { get; set; }
		[StringLength(MstCmmExchangeRateConsts.MaxMajorCurrencyLength)]
		public virtual string MajorCurrency { get; set; }
		[StringLength(MstCmmExchangeRateConsts.MaxMinorCurrencyLength)]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[StringLength(MstCmmExchangeRateConsts.MaxIsDownloadedLength)]
		public virtual string IsDownloaded { get; set; }
		[StringLength(MstCmmExchangeRateConsts.MaxIsEmailReceivedLength)]
		public virtual string IsEmailReceived { get; set; }
		[StringLength(MstCmmExchangeRateConsts.MaxIsDiffLength)]
		public virtual string IsDiff { get; set; }
		public virtual DateTime? DownloadDatetime { get; set; }
		public virtual DateTime? EmailReceiveDatetime { get; set; }
		public virtual long CheckedBy { get; set; }
		public virtual DateTime? CheckedDatetime { get; set; }
		[StringLength(MstCmmExchangeRateConsts.MaxApprovedByLength)]
		public virtual string ApprovedBy { get; set; }
		public virtual DateTime? ApprovedDatetime { get; set; }
		[StringLength(MstCmmExchangeRateConsts.MaxStatusLength)]
		public virtual string Status { get; set; }
		[StringLength(MstCmmExchangeRateConsts.MaxToolNameLength)]
		public virtual string ToolName { get; set; }
		[StringLength(MstCmmExchangeRateConsts.MaxIsActiveLength)]
		public virtual string IsActive { get; set; }
	}
	public class GetMstCmmExchangeRateInput : PagedAndSortedResultRequestDto	
	{
		public virtual DateTime? ExchangeDate { get; set; }
		public virtual int Version { get; set; }
		public virtual string MajorCurrency { get; set; }
		public virtual string MinorCurrency { get; set; }
		public virtual string IsDownloaded { get; set; }
		public virtual string IsEmailReceived { get; set; }
		public virtual string IsDiff { get; set; }
		public virtual DateTime? DownloadDatetime { get; set; }
		public virtual DateTime? EmailReceiveDatetime { get; set; }
		public virtual DateTime? CheckedDatetime { get; set; }
		public virtual string ApprovedBy { get; set; }
		public virtual DateTime? ApprovedDatetime { get; set; }
		public virtual string Status { get; set; }
		public virtual string ToolName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MstCmmExchangeRateExportInput{
		public virtual DateTime? ExchangeDate { get; set; }
		public virtual int Version { get; set; }
		public virtual string MajorCurrency { get; set; }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public virtual string IsDownloaded { get; set; }
		public virtual string IsEmailReceived { get; set; }
		public virtual string IsDiff { get; set; }
		public virtual DateTime? DownloadDatetime { get; set; }
		public virtual DateTime? EmailReceiveDatetime { get; set; }
		public virtual long CheckedBy { get; set; }
		public virtual DateTime? CheckedDatetime { get; set; }
		public virtual string ApprovedBy { get; set; }
		public virtual DateTime? ApprovedDatetime { get; set; }
		public virtual string Status { get; set; }
		public virtual string ToolName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IMstCmmExchangeRateAppService : IApplicationService
	{
		Task&lt;PagedResultDto&lt;MstCmmExchangeRateDto&gt;&gt; GetAll(GetMstCmmExchangeRateInput input);
		Task CreateOrEdit(CreateOrEditMstCmmExchangeRateDto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IMstCmmExchangeRateExcelExporter : IApplicationService
	{
		FileDto ExportToFile(List&lt;MstCmmExchangeRateDto&gt; mstcmmexchangerate);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MstCmmExchangeRateExcelExporter : NpoiExcelExporterBase, IMstCmmExchangeRateExcelExporter
    {
        public MstCmmExchangeRateExcelExporter(ITempFileCacheManager tempFileCacheManager) : base(tempFileCacheManager) { }
        public FileDto ExportToFile(List&lt;MstCmmExchangeRateDto&gt; exchangerate)
        {
            return CreateExcelPackage(
				"MasterCommonExchangeRate.xlsx",
				excelPackage =&gt;
				 {
					var sheet = excelPackage.CreateSheet("ExchangeRate");
					AddHeader(
								sheet,
								("ExchangeDate"),
								("Version"),
								("MajorCurrency"),
								("MinorCurrency"),
								("CeilingRate"),
								("SvbRate"),
								("FloorRate"),
								("BuyingOd"),
								("BuyingTt"),
								("SellingTtOd"),
								("IsDownloaded"),
								("IsEmailReceived"),
								("IsDiff"),
								("DownloadDatetime"),
								("EmailReceiveDatetime"),
								("CheckedBy"),
								("CheckedDatetime"),
								("ApprovedBy"),
								("ApprovedDatetime"),
								("Status"),
								("ToolName"),
								("IsActive"),
							   );
					AddObjects(
						 sheet, 1, exchangerate,                                       
								_ =&gt; _.ExchangeDate,
								_ =&gt; _.Version,
								_ =&gt; _.MajorCurrency,
								_ =&gt; _.MinorCurrency,
								_ =&gt; _.CeilingRate,
								_ =&gt; _.SvbRate,
								_ =&gt; _.FloorRate,
								_ =&gt; _.BuyingOd,
								_ =&gt; _.BuyingTt,
								_ =&gt; _.SellingTtOd,
								_ =&gt; _.IsDownloaded,
								_ =&gt; _.IsEmailReceived,
								_ =&gt; _.IsDiff,
								_ =&gt; _.DownloadDatetime,
								_ =&gt; _.EmailReceiveDatetime,
								_ =&gt; _.CheckedBy,
								_ =&gt; _.CheckedDatetime,
								_ =&gt; _.ApprovedBy,
								_ =&gt; _.ApprovedDatetime,
								_ =&gt; _.Status,
								_ =&gt; _.ToolName,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[AbpAuthorize(AppPermissions.Pages_Master_Common_ExchangeRate)]
    public class MstCmmExchangeRateAppService : vovinaAppServiceBase, IMstCmmExchangeRateAppService
    {
        private readonly IDapperRepository&lt;MstCmmExchangeRate, long&gt; _dapperRepo;
        private readonly IRepository&lt;MstCmmExchangeRate, long&gt; _repo;
        private readonly IMstCmmExchangeRateExcelExporter _calendarListExcelExporter;
        public MstCmmExchangeRateAppService(IRepository&lt;MstCmmExchangeRate,long&gt; repo, 
                                         IDapperRepository&lt;MstCmmExchangeRate,long&gt; dapperRepo,
                                        IMstCmmExchangeRateExcelExporter calendarListExcelExporter
            )
        {
            _repo = repo;
            _dapperRepo = dapperRepo;
            _calendarListExcelExporter = calendarListExcelExporter;
        }
        [AbpAuthorize(AppPermissions.Pages_Master_Common_ExchangeRate_CreateEdit)]
        public async Task CreateOrEdit(CreateOrEditMstCmmExchangeRateDto input)
        {
            if (input.Id == null) await Create(input);
            else await Update(input);
        }
        //CREATE
        private async Task Create(CreateOrEditMstCmmExchangeRateDto input)
        {          
            var mainObj = ObjectMapper.Map&lt;MstCmmExchangeRate&gt;(input);
            await CurrentUnitOfWork.GetDbContext&lt;vovinaDbContext&gt;().AddAsync(mainObj);
        }
        // EDIT
        private async Task Update(CreateOrEditMstCmmExchangeRateDto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[AbpAuthorize(AppPermissions.Pages_Master_Common_ExchangeRate_Delete)]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Task&lt;PagedResultDto&lt;MstCmmExchangeRateDto&gt;&gt; GetAll(GetMstCmmExchangeRateInput input)
        {
            var filtered = _repo.GetAll()
				.WhereIf(input.ExchangeDate.HasValue, t =&gt; t.ExchangeDate == input.ExchangeDate.Value)
				.WhereIf(!string.IsNullOrWhiteSpace(input.MajorCurrency), e =&gt; e.MajorCurrency.Contains(input.MajorCurrency))
				.WhereIf(!string.IsNullOrWhiteSpace(input.MinorCurrency), e =&gt; e.MinorCurrency.Contains(input.MinorCurrency))
				.WhereIf(!string.IsNullOrWhiteSpace(input.IsDownloaded), e =&gt; e.IsDownloaded.Contains(input.IsDownloaded))
				.WhereIf(!string.IsNullOrWhiteSpace(input.IsEmailReceived), e =&gt; e.IsEmailReceived.Contains(input.IsEmailReceived))
				.WhereIf(!string.IsNullOrWhiteSpace(input.IsDiff), e =&gt; e.IsDiff.Contains(input.IsDiff))
				.WhereIf(input.DownloadDatetime.HasValue, t =&gt; t.DownloadDatetime == input.DownloadDatetime.Value)
				.WhereIf(input.EmailReceiveDatetime.HasValue, t =&gt; t.EmailReceiveDatetime == input.EmailReceiveDatetime.Value)
				.WhereIf(input.CheckedDatetime.HasValue, t =&gt; t.CheckedDatetime == input.CheckedDatetime.Value)
				.WhereIf(!string.IsNullOrWhiteSpace(input.ApprovedBy), e =&gt; e.ApprovedBy.Contains(input.ApprovedBy))
				.WhereIf(input.ApprovedDatetime.HasValue, t =&gt; t.ApprovedDatetime == input.ApprovedDatetime.Value)
				.WhereIf(!string.IsNullOrWhiteSpace(input.Status), e =&gt; e.Status.Contains(input.Status))
				.WhereIf(!string.IsNullOrWhiteSpace(input.ToolName), e =&gt; e.ToolName.Contains(input.ToolName))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MstCmmExchangeRateDto
                        {
							Id = o.Id,
							ExchangeDate = o.ExchangeDate,
							Version = o.Version,
							MajorCurrency = o.MajorCurrency,
							MinorCurrency = o.MinorCurrency,
							CeilingRate = o.CeilingRate,
							SvbRate = o.SvbRate,
							FloorRate = o.FloorRate,
							BuyingOd = o.BuyingOd,
							BuyingTt = o.BuyingTt,
							SellingTtOd = o.SellingTtOd,
							IsDownloaded = o.IsDownloaded,
							IsEmailReceived = o.IsEmailReceived,
							IsDiff = o.IsDiff,
							DownloadDatetime = o.DownloadDatetime,
							EmailReceiveDatetime = o.EmailReceiveDatetime,
							CheckedBy = o.CheckedBy,
							CheckedDatetime = o.CheckedDatetime,
							ApprovedBy = o.ApprovedBy,
							ApprovedDatetime = o.ApprovedDatetime,
							Status = o.Status,
							ToolName = o.ToolName,
							IsActive = o.IsActive,
                        };
            var totalCount = await filtered.CountAsync();
			var paged = system.PageBy(input);
            return new PagedResultDto&lt;MstCmmExchangeRateDto&gt;(
                totalCount,
                 await paged.ToListAsync()
            );
        }
        public async Task&lt;FileDto&gt; GetExchangeRateToExcel(MstCmmExchangeRateExportInput input)
        {
            var query = from o in _repo.GetAll()
                        select new MstCmmExchangeRateDto
                        {
							Id = o.Id,
							ExchangeDate = o.ExchangeDate,
							Version = o.Version,
							MajorCurrency = o.MajorCurrency,
							MinorCurrency = o.MinorCurrency,
							CeilingRate = o.CeilingRate,
							SvbRate = o.SvbRate,
							FloorRate = o.FloorRate,
							BuyingOd = o.BuyingOd,
							BuyingTt = o.BuyingTt,
							SellingTtOd = o.SellingTtOd,
							IsDownloaded = o.IsDownloaded,
							IsEmailReceived = o.IsEmailReceived,
							IsDiff = o.IsDiff,
							DownloadDatetime = o.DownloadDatetime,
							EmailReceiveDatetime = o.EmailReceiveDatetime,
							CheckedBy = o.CheckedBy,
							CheckedDatetime = o.CheckedDatetime,
							ApprovedBy = o.ApprovedBy,
							ApprovedDatetime = o.ApprovedDatetime,
							Status = o.Status,
							ToolName = o.ToolName,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_dapperRepo.ExecuteAsync(MstCmmExchangeRateConsts.SP_MST_WPT_CALENDAR_GENERATE);
       // }
    }
}</v>
      </c>
      <c r="N68" s="58" t="str">
        <f>A.Backend!U7</f>
        <v xml:space="preserve">  configuration.CreateMap&lt;MstCmmExchangeRateDto, MstCmmExchangeRate&gt;();
  configuration.CreateMap&lt;MstCmmExchangeRate, MstCmmExchangeRateDto&gt;();
  configuration.CreateMap&lt;CreateOrEditMstCmmExchangeRateDto, MstCmmExchangeRate&gt;();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exchangerate</v>
      </c>
      <c r="C73" s="67" t="str">
        <f>"create folder " &amp;B73</f>
        <v>create folder exchangerate</v>
      </c>
      <c r="D73" s="67"/>
      <c r="E73" s="67"/>
      <c r="F73" s="67"/>
      <c r="G73" s="67"/>
      <c r="H73" s="67"/>
      <c r="I73" s="67"/>
      <c r="J73" s="67"/>
      <c r="K73" s="68" t="s">
        <v>228</v>
      </c>
      <c r="L73" s="68"/>
      <c r="M73" s="28"/>
    </row>
    <row r="74" spans="2:14" s="26" customFormat="1" ht="18" customHeight="1" x14ac:dyDescent="0.25">
      <c r="B74" s="56" t="s">
        <v>229</v>
      </c>
      <c r="C74" s="28" t="str">
        <f>B.Frontend!H14</f>
        <v>exchangerate.component.ts</v>
      </c>
      <c r="D74" s="28" t="str">
        <f>B.Frontend!I14</f>
        <v>exchangerate.component.html</v>
      </c>
      <c r="E74" s="28" t="str">
        <f>B.Frontend!J14</f>
        <v>exchangerate.component.less</v>
      </c>
      <c r="F74" s="28" t="str">
        <f>B.Frontend!K14</f>
        <v>create-or-edit-exchangerate-modal.component.html</v>
      </c>
      <c r="G74" s="28" t="str">
        <f>B.Frontend!L14</f>
        <v>create-or-edit-exchangerate-modal.component.ts</v>
      </c>
      <c r="H74" s="28" t="str">
        <f>B.Frontend!M14</f>
        <v>create-or-edit-exchangerate-modal.component.less</v>
      </c>
      <c r="I74" s="28" t="str">
        <f>B.Frontend!N14</f>
        <v>exchangerate.module.ts</v>
      </c>
      <c r="J74" s="28" t="str">
        <f>B.Frontend!O14</f>
        <v>exchangerate-routing.module.ts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MstCmmExchangeRateDto, MstCmmExchangeRateServiceProxy } from '@shared/service-proxies/service-proxies';
import { finalize } from 'rxjs/internal/operators/finalize';
import { CreateOrEditExchangeRateModalComponent } from './create-or-edit-exchangerate-modal.component';
import { DatePipe } from '@angular/common';
import { FileDownloadService } from '@shared/utils/file-download.service';
import ceil from 'lodash-es/ceil';
import { Paginator } from 'primeng/paginator';
@Component({
    templateUrl: './exchangerate.component.html',
    styleUrls: ['./exchangerate.component.less'],
})
export class ExchangeRateComponent extends AppComponentBase implements OnInit {
    @ViewChild('createOrEditModalExchangeRate', { static: true }) createOrEditModalExchangeRate:| CreateOrEditExchangeRateModalComponent|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MstCmmExchangeRateDto = new MstCmmExchangeRateDto();
    saveSelectedRow: MstCmmExchangeRateDto = new MstCmmExchangeRateDto();
    datas: MstCmmExchangeRateDto = new MstCmmExchangeRateDto();
    isLoading: boolean = false;
    dataParams: GridParams | undefined;
    rowData: any[] = [];
    gridApi!: GridApi;
    rowSelection = 'multiple';
    filter: string = '';
	pipe = new DatePipe('en-US');
	frameworkComponents: FrameworkComponent;
    	exchangeDate : any ;
	version : number = 0 ;
	majorCurrency : string = '' ; 
	minorCurrency : string = '' ; 
	ceilingRate
	svbRate
	floorRate
	buyingOd
	buyingTt
	sellingTtOd
	isDownloaded : string = '' ; 
	isEmailReceived : string = '' ; 
	isDiff : string = '' ; 
	downloadDatetime : any ;
	emailReceiveDatetime : any ;
	checkedBy
	checkedDatetime : any ;
	approvedBy : string = '' ; 
	approvedDatetime : any ;
	status : string = '' ; 
	toolName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MstCmmExchangeRateServiceProxy,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this.l('Exchange Date'),headerTooltip: this.l('Exchange Date'),field: 'exchangeDate',valueGetter: (params) =&gt; this.pipe.transform(params.data?.exchangeDate, 'dd/MM/yyyy'),flex: 1},
			{headerName: this.l('Version'),headerTooltip: this.l('Version'),field: 'version',flex: 1},
			{headerName: this.l('Major Currency'),headerTooltip: this.l('Major Currency'),field: 'majorCurrency',flex: 1},
			{headerName: this.l('Minor Currency'),headerTooltip: this.l('Minor Currency'),field: 'minorCurrency',flex: 1},
			{headerName: this.l('Ceiling Rate'),headerTooltip: this.l('Ceiling Rate'),field: 'ceilingRate',flex: 1},
			{headerName: this.l('Svb Rate'),headerTooltip: this.l('Svb Rate'),field: 'svbRate',flex: 1},
			{headerName: this.l('Floor Rate'),headerTooltip: this.l('Floor Rate'),field: 'floorRate',flex: 1},
			{headerName: this.l('Buying Od'),headerTooltip: this.l('Buying Od'),field: 'buyingOd',flex: 1},
			{headerName: this.l('Buying Tt'),headerTooltip: this.l('Buying Tt'),field: 'buyingTt',flex: 1},
			{headerName: this.l('Selling Tt Od'),headerTooltip: this.l('Selling Tt Od'),field: 'sellingTtOd',flex: 1},
			{headerName: this.l('Is Downloaded'),headerTooltip: this.l('Is Downloaded'),field:  'isDownloaded', cellClass: ['text-center'], width: 120, cellRenderer: 'agCellButtonComponent',
buttonDefTwo: { text: params =&gt; (params.data?.'isDownloaded' == 'Y') ? 'Active' : 'Inactive',iconName: 'fa fa-circle',className: params =&gt; (params.data?.'isDownloaded' == 'Y') ? 'btnActive' : 'btnInActive',},}
			{headerName: this.l('Is Email Received'),headerTooltip: this.l('Is Email Received'),field:  'isEmailReceived', cellClass: ['text-center'], width: 120, cellRenderer: 'agCellButtonComponent',
buttonDefTwo: { text: params =&gt; (params.data?.'isEmailReceived' == 'Y') ? 'Active' : 'Inactive',iconName: 'fa fa-circle',className: params =&gt; (params.data?.'isEmailReceived' == 'Y') ? 'btnActive' : 'btnInActive',},}
			{headerName: this.l('Is Diff'),headerTooltip: this.l('Is Diff'),field:  'isDiff', cellClass: ['text-center'], width: 120, cellRenderer: 'agCellButtonComponent',
buttonDefTwo: { text: params =&gt; (params.data?.'isDiff' == 'Y') ? 'Active' : 'Inactive',iconName: 'fa fa-circle',className: params =&gt; (params.data?.'isDiff' == 'Y') ? 'btnActive' : 'btnInActive',},}
			{headerName: this.l('Download Datetime'),headerTooltip: this.l('Download Datetime'),field: 'downloadDatetime',valueGetter: (params) =&gt; this.pipe.transform(params.data?.downloadDatetime, 'dd/MM/yyyy'),flex: 1},
			{headerName: this.l('Email Receive Datetime'),headerTooltip: this.l('Email Receive Datetime'),field: 'emailReceiveDatetime',valueGetter: (params) =&gt; this.pipe.transform(params.data?.emailReceiveDatetime, 'dd/MM/yyyy'),flex: 1},
			{headerName: this.l('Checked By'),headerTooltip: this.l('Checked By'),field: 'checkedBy',flex: 1},
			{headerName: this.l('Checked Datetime'),headerTooltip: this.l('Checked Datetime'),field: 'checkedDatetime',valueGetter: (params) =&gt; this.pipe.transform(params.data?.checkedDatetime, 'dd/MM/yyyy'),flex: 1},
			{headerName: this.l('Approved By'),headerTooltip: this.l('Approved By'),field: 'approvedBy',flex: 1},
			{headerName: this.l('Approved Datetime'),headerTooltip: this.l('Approved Datetime'),field: 'approvedDatetime',valueGetter: (params) =&gt; this.pipe.transform(params.data?.approvedDatetime, 'dd/MM/yyyy'),flex: 1},
			{headerName: this.l('Status'),headerTooltip: this.l('Status'),field: 'status',flex: 1},
			{headerName: this.l('Tool Name'),headerTooltip: this.l('Tool Name'),field: 'toolName',flex: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this.exchangeDate,
			this.version,
			this.majorCurrency,
			this.minorCurrency,
			this.ceilingRate,
			this.svbRate,
			this.floorRate,
			this.buyingOd,
			this.buyingTt,
			this.sellingTtOd,
			this.isDownloaded,
			this.isEmailReceived,
			this.isDiff,
			this.downloadDatetime,
			this.emailReceiveDatetime,
			this.checkedBy,
			this.checkedDatetime,
			this.approvedBy,
			this.approvedDatetime,
			this.status,
			this.toolName,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this.exchangeDate = '',
		this.version = 0,
		this.majorCurrency = '',
		this.minorCurrency = '',
		this.ceilingRate = '',
		this.svbRate = '',
		this.floorRate = '',
		this.buyingOd = '',
		this.buyingTt = '',
		this.sellingTtOd = '',
		this.isDownloaded = '',
		this.isEmailReceived = '',
		this.isDiff = '',
		this.downloadDatetime = '',
		this.emailReceiveDatetime = '',
		this.checkedBy = '',
		this.checkedDatetime = '',
		this.approvedBy = '',
		this.approvedDatetime = '',
		this.status = '',
		this.toolName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this.exchangeDate,
			this.version,
			this.majorCurrency,
			this.minorCurrency,
			this.ceilingRate,
			this.svbRate,
			this.floorRate,
			this.buyingOd,
			this.buyingTt,
			this.sellingTtOd,
			this.isDownloaded,
			this.isEmailReceived,
			this.isDiff,
			this.downloadDatetime,
			this.emailReceiveDatetime,
			this.checkedBy,
			this.checkedDatetime,
			this.approvedBy,
			this.approvedDatetime,
			this.status,
			this.toolName,
			this.isActive,
			'',
            this.paginationParams.skipCount,
            this.paginationParams.pageSize
        );
    }
    onChangeRowSelection(params: { api: { getSelectedRows: () =&gt; MstCmmExchangeRateDto[] } }) {
        this.saveSelectedRow = params.api.getSelectedRows()[0] ?? new MstCmmExchangeRateDto();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MstCmmExchangeRateDto):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this._service.getExchangeRateToExcel(
			this.exchangeDate,
			this.version,
			this.majorCurrency,
			this.minorCurrency,
			this.ceilingRate,
			this.svbRate,
			this.floorRate,
			this.buyingOd,
			this.buyingTt,
			this.sellingTtOd,
			this.isDownloaded,
			this.isEmailReceived,
			this.isDiff,
			this.downloadDatetime,
			this.emailReceiveDatetime,
			this.checkedBy,
			this.checkedDatetime,
			this.approvedBy,
			this.approvedDatetime,
			this.status,
			this.toolName,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Exchange Rate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[placeholder]="l('Exchange Date')" [(ngModel)]='exchangeDate' 
									name='exchangeDate'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[(ngModel)]='majorCurrency' name='majorCurrency'
									class='form-control' [placeholder]="l('Major Currency')"
									type='text' (keyup.enter)='searchDatas()'&gt;
								&lt;/div&gt;
								&lt;div class='input-search'&gt;
									&lt;input [(ngModel)]='minorCurrency' name='minorCurrency'
									class='form-control' [placeholder]="l('Minor Currency')"
									type='text' (keyup.enter)='searchDatas()'&gt;
								&lt;/div&gt;
								&lt;div class='input-search'&gt;
									&lt;input [(ngModel)]='isDownloaded' name='isDownloaded'
									class='form-control' [placeholder]="l('Is Downloaded')"
									type='text' (keyup.enter)='searchDatas()'&gt;
								&lt;/div&gt;
								&lt;div class='input-search'&gt;
									&lt;input [(ngModel)]='isEmailReceived' name='isEmailReceived'
									class='form-control' [placeholder]="l('Is Email Received')"
									type='text' (keyup.enter)='searchDatas()'&gt;
								&lt;/div&gt;
								&lt;div class='input-search'&gt;
									&lt;input [(ngModel)]='isDiff' name='isDiff'
									class='form-control' [placeholder]="l('Is Diff')"
									type='text' (keyup.enter)='searchDatas()'&gt;
								&lt;/div&gt;
								&lt;div class='input-search'&gt;
									&lt;input type='text' [placeholder]="l('Download Datetime')" [(ngModel)]='downloadDatetime' 
									name='downloadDatetime'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[placeholder]="l('Email Receive Datetime')" [(ngModel)]='emailReceiveDatetime' 
									name='emailReceiveDatetime'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[placeholder]="l('Checked Datetime')" [(ngModel)]='checkedDatetime' 
									name='checkedDatetime'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[(ngModel)]='approvedBy' name='approvedBy'
									class='form-control' [placeholder]="l('Approved By')"
									type='text' (keyup.enter)='searchDatas()'&gt;
								&lt;/div&gt;
								&lt;div class='input-search'&gt;
									&lt;input type='text' [placeholder]="l('Approved Datetime')" [(ngModel)]='approvedDatetime' 
									name='approvedDatetime'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[(ngModel)]='toolName' name='toolName'
									class='form-control' [placeholder]="l('Tool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(click)="createOrEditModalExchangeRate.show()"&gt;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(click)="createOrEditModalExchangeRate.show(selectedRow)"&gt;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&lt;create-or-edit-exchangerate-modal
    #createOrEditModalExchangeRate
    (modalSave)="callBackDataGrid(dataParams)"
    (modalClose)="onChangeRowSelection(dataParams)"
&gt;
&lt;/create-or-edit-exchangerate-modal&gt;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#createOrEditModalExchangeRate="bs-modal"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ExchangeRate')}}&lt;/h3&gt;
                    &lt;h3 *ngIf="!rowdata.id"&gt;{{('Create New ExchangeRate')}}&lt;/h3&gt;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title'&gt;Exchange Date&lt;/label&gt;
						&lt;input type='text' class='col-md-10 form-control input-text' name='exchangeDate' 
						#datepicker='bsDatepicker' [(ngModel)]='rowdata.exchangeDate'  bsDatepicker &gt;
					&lt;/div&gt;
					&lt;div class='col-md-12 form-group row'&gt;
						&lt;label class='col-md-2 form-control title'&gt;Version&lt;/label&gt;
						&lt;input type='number' class='col-md-10 form-control input-text' name='Version' [(ngModel)]='rowdata.version'&gt;
					&lt;/div&gt;
					&lt;div class='col-md-12 form-group row'&gt;
						&lt;label class='col-md-2 form-control title'&gt;Major Currency&lt;/label&gt;
						&lt;input type='text' class='col-md-10 form-control input-text' name='MajorCurrency' [(ngModel)]='rowdata.majorCurrency'&gt;
					&lt;/div&gt;
					&lt;div class='col-md-12 form-group row'&gt;
						&lt;label class='col-md-2 form-control title'&gt;Minor Currency&lt;/label&gt;
						&lt;input type='text' class='col-md-10 form-control input-text' name='MinorCurrency' [(ngModel)]='rowdata.minorCurrency'&gt;
					&lt;/div&gt;
					&lt;div class='col-md-12 form-group row'&gt;
						&lt;label class='col-md-2 form-control title'&gt;Is Downloaded&lt;/label&gt;
						&lt;new-checkbox [(ngModel)]='_isDownloaded' name='isDownloaded' className='col-md-10' &gt; &lt;/new-checkbox&gt;
					&lt;/div&gt;
					&lt;div class='col-md-12 form-group row'&gt;
						&lt;label class='col-md-2 form-control title'&gt;Is Email Received&lt;/label&gt;
						&lt;new-checkbox [(ngModel)]='_isEmailReceived' name='isEmailReceived' className='col-md-10' &gt; &lt;/new-checkbox&gt;
					&lt;/div&gt;
					&lt;div class='col-md-12 form-group row'&gt;
						&lt;label class='col-md-2 form-control title'&gt;Is Diff&lt;/label&gt;
						&lt;new-checkbox [(ngModel)]='_isDiff' name='isDiff' className='col-md-10' &gt; &lt;/new-checkbox&gt;
					&lt;/div&gt;
					&lt;div class='col-md-12 form-group row'&gt;
						&lt;label class='col-md-2 form-control title'&gt;Download Datetime&lt;/label&gt;
						&lt;input type='text' class='col-md-10 form-control input-text' name='downloadDatetime' 
						#datepicker='bsDatepicker' [(ngModel)]='rowdata.downloadDatetime'  bsDatepicker &gt;
					&lt;/div&gt;
					&lt;div class='col-md-12 form-group row'&gt;
						&lt;label class='col-md-2 form-control title'&gt;Email Receive Datetime&lt;/label&gt;
						&lt;input type='text' class='col-md-10 form-control input-text' name='emailReceiveDatetime' 
						#datepicker='bsDatepicker' [(ngModel)]='rowdata.emailReceiveDatetime'  bsDatepicker &gt;
					&lt;/div&gt;
					&lt;div class='col-md-12 form-group row'&gt;
						&lt;label class='col-md-2 form-control title'&gt;Checked Datetime&lt;/label&gt;
						&lt;input type='text' class='col-md-10 form-control input-text' name='checkedDatetime' 
						#datepicker='bsDatepicker' [(ngModel)]='rowdata.checkedDatetime'  bsDatepicker &gt;
					&lt;/div&gt;
					&lt;div class='col-md-12 form-group row'&gt;
						&lt;label class='col-md-2 form-control title'&gt;Approved By&lt;/label&gt;
						&lt;input type='text' class='col-md-10 form-control input-text' name='ApprovedBy' [(ngModel)]='rowdata.approvedBy'&gt;
					&lt;/div&gt;
					&lt;div class='col-md-12 form-group row'&gt;
						&lt;label class='col-md-2 form-control title'&gt;Approved Datetime&lt;/label&gt;
						&lt;input type='text' class='col-md-10 form-control input-text' name='approvedDatetime' 
						#datepicker='bsDatepicker' [(ngModel)]='rowdata.approvedDatetime'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title'&gt;Tool Name&lt;/label&gt;
						&lt;input type='text' class='col-md-10 form-control input-text' name='ToolName' [(ngModel)]='rowdata.toolName'&gt;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CreateOrEditMstCmmExchangeRateDto, MstCmmExchangeRateServiceProxy } from '@shared/service-proxies/service-proxies';
import { BsDatepickerDirective } from 'ngx-bootstrap/datepicker';
@Component({
    selector: 'create-or-edit-exchangerate-modal',
    templateUrl: './create-or-edit-exchangerate-modal.component.html',
    styleUrls: ['./create-or-edit-exchangerate-modal.component.less']
    })
export class CreateOrEditExchangeRateModalComponent extends AppComponentBase {
    @ViewChild('createOrEditModalExchangeRate',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CreateOrEditMstCmmExchangeRateDto = new CreateOrEditMstCmmExchangeRateDto();
    active: boolean = false;
    saving: boolean = false;
    _isDownloaded
isEmailReceived
isDiff
isActive: boolean;
    constructor(
        injector: Injector,
        private _mstwptExchangeRateService: MstCmmExchangeRateServiceProxy,
    ) 
    {
        super(injector);
    }
    show(rowdata?: CreateOrEditMstCmmExchangeRateDto): void {
        if (!rowdata) this.rowdata = new CreateOrEditMstCmmExchangeRateDto();
        else this.rowdata = rowdata;
		const dateValue =  this.rowdata.exchangeDate ? new Date(this.rowdata.exchangeDate?.toString()) : new Date();
		this.datepicker?.bsValueChange.emit(dateValue);
		const dateValue =  this.rowdata.downloadDatetime ? new Date(this.rowdata.downloadDatetime?.toString()) : new Date();
		this.datepicker?.bsValueChange.emit(dateValue);
		const dateValue =  this.rowdata.emailReceiveDatetime ? new Date(this.rowdata.emailReceiveDatetime?.toString()) : new Date();
		this.datepicker?.bsValueChange.emit(dateValue);
		const dateValue =  this.rowdata.checkedDatetime ? new Date(this.rowdata.checkedDatetime?.toString()) : new Date();
		this.datepicker?.bsValueChange.emit(dateValue);
		const dateValue =  this.rowdata.approvedDatetime ? new Date(this.rowdata.approvedDatetime?.toString()) : new Date();
		this.datepicker?.bsValueChange.emit(dateValue);
        this._isDownloaded
isEmailReceived
isDiff
isActive = (this.rowdata.isDownloaded
isEmailReceived
isDiff
isActive == "N")? false: true;
        this.active = true;
        this.modal.show();
    } 
    changeActive(event){
        this._isDownloaded
isEmailReceived
isDiff
isActive = event.target.checked;
    }
    save(): void {
    this.saving = true; 
    this.rowdata.isDownloaded
isEmailReceived
isDiff
isActive = (this._isDownloaded
isEmailReceived
isDiff
isActive == true) ? 'Y' : 'N'
    this._mstwptExchangeRateService.createOrEdit(this.rowdata)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ExchangeRateRoutingModule } from './exchangerate-routing.module';
import { ExchangeRateComponent } from './exchangerate.component';
import { CreateOrEditExchangeRateModalComponent } from './create-or-edit-exchangerate-modal.component';
@NgModule({
    declarations: [
       ExchangeRateComponent, 
        CreateOrEditExchangeRateModalComponent
    ],
    imports: [
        AppSharedModule, ExchangeRateRoutingModule]
})
export class ExchangeRateModule {}</v>
      </c>
      <c r="J75" s="46" t="str">
        <f>B.Frontend!O10</f>
        <v>import {NgModule} from '@angular/core';
import {RouterModule, Routes} from '@angular/router';
import { ExchangeRateComponent } from './exchangerate.component';
const routes: Routes = [{
    path: '',
    component: ExchangeRateComponent,
    pathMatch: 'full'
}];
@NgModule({
    imports: [RouterModule.forChild(routes)],
    exports: [RouterModule],
})
export class ExchangeRateRoutingModule {}</v>
      </c>
      <c r="K75" s="46" t="str">
        <f>B.Frontend!P10</f>
        <v xml:space="preserve"> new AppMenuItem("ExchangeRate", "Pages.Master.Common.ExchangeRate", "flaticon-book",   "/app/main/master/common/exchangerate"),</v>
      </c>
      <c r="L75" s="47" t="str">
        <f>B.Frontend!Q10</f>
        <v>{
    path: 'master/common/exchangerate',
    loadChildren: () =&gt; import('./master/common/exchangerate/exchangerate.module').then(m =&gt; m.ExchangeRateModule),
    data: { permission: 'Pages.Master.Common.ExchangeRate' }
},</v>
      </c>
      <c r="M75" s="45" t="str">
        <f>B.Frontend!R10</f>
        <v>ApiServiceProxies.MstCmmExchangeRateServiceProxy,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2"/>
  <sheetViews>
    <sheetView topLeftCell="A7" workbookViewId="0">
      <pane xSplit="1" topLeftCell="B1" activePane="topRight" state="frozen"/>
      <selection pane="topRight" activeCell="A9" sqref="A9:A30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375</v>
      </c>
      <c r="C3" s="9" t="s">
        <v>43</v>
      </c>
      <c r="D3" s="9" t="s">
        <v>44</v>
      </c>
      <c r="E3" s="9" t="s">
        <v>39</v>
      </c>
      <c r="F3" s="10" t="str">
        <f>"J"&amp;COUNTA($A:$A)</f>
        <v>J30</v>
      </c>
      <c r="G3" s="4" t="s">
        <v>57</v>
      </c>
      <c r="H3" s="9" t="str">
        <f>"I"&amp;COUNTA($A:$A)</f>
        <v>I30</v>
      </c>
      <c r="I3" s="9" t="str">
        <f>REPT(CHAR(9),2)&amp;"[Required]"&amp;"
"</f>
        <v xml:space="preserve">		[Required]
</v>
      </c>
      <c r="J3" s="10" t="str">
        <f>"L"&amp;COUNTA($A:$A)</f>
        <v>L30</v>
      </c>
      <c r="K3" s="5" t="s">
        <v>56</v>
      </c>
      <c r="L3" s="10" t="str">
        <f>"M"&amp;COUNTA($A:$A)</f>
        <v>M30</v>
      </c>
      <c r="M3" s="10" t="str">
        <f>"N"&amp;COUNTA($A:$A)</f>
        <v>N30</v>
      </c>
      <c r="N3" s="10" t="str">
        <f>"O"&amp;COUNTA($A:$A)</f>
        <v>O30</v>
      </c>
      <c r="O3" s="10" t="str">
        <f>"P"&amp;COUNTA($A:$A)</f>
        <v>P30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MstCmmExchangeRateExportInput{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T30</v>
      </c>
      <c r="V3" s="10" t="str">
        <f>"V"&amp;COUNTA($A:$A)</f>
        <v>V30</v>
      </c>
      <c r="W3" s="9" t="str">
        <f>"W"&amp;COUNTA($A:$A)</f>
        <v>W30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MstCmmExchangeRate: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MstCmmExchangeRateConsts	
	{
</v>
      </c>
      <c r="F6" s="10" t="str">
        <f>REPT(CHAR(9),1)&amp;"public class "&amp;B3&amp;"Dto"&amp;K3&amp;REPT(CHAR(9),1)&amp;"
"&amp;REPT(CHAR(9),1)&amp;C3</f>
        <v xml:space="preserve">	public class MstCmmExchangeRateDto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CreateOrEditMstCmmExchangeRateDto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GetMstCmmExchangeRateInput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MstCmmExchangeRate</v>
      </c>
      <c r="C7" s="10" t="str">
        <f>REPT(CHAR(9),1)&amp;"[Table("""&amp;B7&amp;""")]"&amp;"
"</f>
        <v xml:space="preserve">	[Table("MstCmmExchangeRate")]
</v>
      </c>
      <c r="D7" s="10"/>
      <c r="E7" s="10"/>
      <c r="F7" s="10"/>
      <c r="G7" s="10"/>
      <c r="H7" s="10"/>
      <c r="I7" s="10"/>
      <c r="J7" t="str">
        <f ca="1">SUBSTITUTE(SUBSTITUTE((B1&amp;C6&amp;C7&amp;K32&amp;D6&amp;I32&amp;E3&amp;J32&amp;""&amp;REPT(CHAR(9),1)&amp;D3&amp;D3),"WorkingPattern",$Q$3),"Master",$B$4)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[Table("MstCmmExchangeRate")]
	[Index(nameof(ExchangeDate), Name="IX_MstCmmExchangeRate_ExchangeDate")]
	[Index(nameof(IsActive), Name="IX_MstCmmExchangeRate_IsActive")]	public class MstCmmExchangeRate: FullAuditedEntity&lt;long&gt;, IEntity&lt;long&gt;	
	{
		public const int MaxMajorCurrencyLength = 3;
		public const int MaxMinorCurrencyLength = 3;
		public const int MaxIsDownloadedLength = 1;
		public const int MaxIsEmailReceivedLength = 1;
		public const int MaxIsDiffLength = 1;
		public const int MaxApprovedByLength = 50;
		public const int MaxStatusLength = 20;
		public const int MaxToolNameLength = 50;
		public const int MaxIsActiveLength = 1;
		public virtual DateTime ExchangeDate { get; set; }
		public virtual int Version { get; set; }
		[StringLength(MaxMajorCurrencyLength)]
		public virtual string MajorCurrency { get; set; }
		[StringLength(MaxMinorCurrencyLength)]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[StringLength(MaxIsDownloadedLength)]
		public virtual string IsDownloaded { get; set; }
		[StringLength(MaxIsEmailReceivedLength)]
		public virtual string IsEmailReceived { get; set; }
		[StringLength(MaxIsDiffLength)]
		public virtual string IsDiff { get; set; }
		public virtual DateTime DownloadDatetime { get; set; }
		public virtual DateTime EmailReceiveDatetime { get; set; }
		public virtual long CheckedBy { get; set; }
		public virtual DateTime CheckedDatetime { get; set; }
		[StringLength(MaxApprovedByLength)]
		public virtual string ApprovedBy { get; set; }
		public virtual DateTime ApprovedDatetime { get; set; }
		[StringLength(MaxStatusLength)]
		public virtual string Status { get; set; }
		[StringLength(MaxToolNameLength)]
		public virtual string ToolName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DbSet&lt;MstCmmExchangeRate&gt; MstCmmExchangeRates { get; set; }</v>
      </c>
      <c r="L7" t="str">
        <f ca="1">SUBSTITUTE(SUBSTITUTE((C6&amp;E6&amp;I32&amp;"
"&amp;REPT(CHAR(9),2)&amp;"// Define Store Name: Format SP_ + &lt;Store Name&gt; = &lt;Store Name&gt;
"&amp;E3&amp;REPT(CHAR(9),1)&amp;D3&amp;D3),"WorkingPattern",$Q$3),"Master",$B$4)</f>
        <v xml:space="preserve">namespace prod.Master.Common
{
	public class MstCmmExchangeRateConsts	
	{
		public const int MaxMajorCurrencyLength = 3;
		public const int MaxMinorCurrencyLength = 3;
		public const int MaxIsDownloadedLength = 1;
		public const int MaxIsEmailReceivedLength = 1;
		public const int MaxIsDiffLength = 1;
		public const int MaxApprovedByLength = 50;
		public const int MaxStatusLength = 20;
		public const int MaxToolNameLength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"&amp;B6&amp;".Dto"&amp;E3&amp;C3&amp;F6&amp;M32&amp;E3&amp;REPT(CHAR(9),1)&amp;D3&amp;G6&amp;N32&amp;REPT(CHAR(9),1)&amp;D3&amp;H6&amp;O32&amp;"
"&amp;REPT(CHAR(9),1)&amp;D3&amp;D3),"WorkingPattern",$Q$3),"Master",$B$4)</f>
        <v xml:space="preserve">using Abp.Application.Services.Dto;
using System;
using System.ComponentModel.DataAnnotations;
namespace prod.Master.Common.Dto
{
	public class MstCmmExchangeRateDto : EntityDto&lt;long?&gt;	
	{
		public virtual DateTime? ExchangeDate { get; set; }
		public virtual int Version { get; set; }
		public virtual string MajorCurrency { get; set; }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public virtual string IsDownloaded { get; set; }
		public virtual string IsEmailReceived { get; set; }
		public virtual string IsDiff { get; set; }
		public virtual DateTime? DownloadDatetime { get; set; }
		public virtual DateTime? EmailReceiveDatetime { get; set; }
		public virtual long CheckedBy { get; set; }
		public virtual DateTime? CheckedDatetime { get; set; }
		public virtual string ApprovedBy { get; set; }
		public virtual DateTime? ApprovedDatetime { get; set; }
		public virtual string Status { get; set; }
		public virtual string ToolName { get; set; }
		public virtual string IsActive { get; set; }
	}
	public class CreateOrEditMstCmmExchangeRateDto : EntityDto&lt;long?&gt;	
	{
		public virtual DateTime? ExchangeDate { get; set; }
		public virtual int Version { get; set; }
		[StringLength(MstCmmExchangeRateConsts.MaxMajorCurrencyLength)]
		public virtual string MajorCurrency { get; set; }
		[StringLength(MstCmmExchangeRateConsts.MaxMinorCurrencyLength)]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[StringLength(MstCmmExchangeRateConsts.MaxIsDownloadedLength)]
		public virtual string IsDownloaded { get; set; }
		[StringLength(MstCmmExchangeRateConsts.MaxIsEmailReceivedLength)]
		public virtual string IsEmailReceived { get; set; }
		[StringLength(MstCmmExchangeRateConsts.MaxIsDiffLength)]
		public virtual string IsDiff { get; set; }
		public virtual DateTime? DownloadDatetime { get; set; }
		public virtual DateTime? EmailReceiveDatetime { get; set; }
		public virtual long CheckedBy { get; set; }
		public virtual DateTime? CheckedDatetime { get; set; }
		[StringLength(MstCmmExchangeRateConsts.MaxApprovedByLength)]
		public virtual string ApprovedBy { get; set; }
		public virtual DateTime? ApprovedDatetime { get; set; }
		[StringLength(MstCmmExchangeRateConsts.MaxStatusLength)]
		public virtual string Status { get; set; }
		[StringLength(MstCmmExchangeRateConsts.MaxToolNameLength)]
		public virtual string ToolName { get; set; }
		[StringLength(MstCmmExchangeRateConsts.MaxIsActiveLength)]
		public virtual string IsActive { get; set; }
	}
	public class GetMstCmmExchangeRateInput : PagedAndSortedResultRequestDto	
	{
		public virtual DateTime? ExchangeDate { get; set; }
		public virtual int Version { get; set; }
		public virtual string MajorCurrency { get; set; }
		public virtual string MinorCurrency { get; set; }
		public virtual string IsDownloaded { get; set; }
		public virtual string IsEmailReceived { get; set; }
		public virtual string IsDiff { get; set; }
		public virtual DateTime? DownloadDatetime { get; set; }
		public virtual DateTime? EmailReceiveDatetime { get; set; }
		public virtual DateTime? CheckedDatetime { get; set; }
		public virtual string ApprovedBy { get; set; }
		public virtual DateTime? ApprovedDatetime { get; set; }
		public virtual string Status { get; set; }
		public virtual string ToolName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perMstCmmExchangeRate = PARENTS.CreateChildPermission(AppPermissions.Pages_Master_Common_ExchangeRate, L( "MasterCommonExchangeRate"), multiTenancySides: MultiTenancySides.Tenant);
		perMstCmmExchangeRate.CreateChildPermission(AppPermissions.Pages_Master_Common_ExchangeRate_CreateEdit, L( "MasterCommonExchangeRateCreateEdit"), multiTenancySides: MultiTenancySides.Tenant);
		perMstCmmExchangeRate.CreateChildPermission(AppPermissions.Pages_Master_Common_ExchangeRate_Delete, L( "MasterCommonExchangeRateDelete"),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Pages_Master_Common_ExchangeRate = "Pages.Master.Common.ExchangeRate";
		public const string Pages_Master_Common_ExchangeRate_CreateEdit = "Pages.Master.Common.ExchangeRate.CreateEdit";
		public const string Pages_Master_Common_ExchangeRate_Delete = "Pages.Master.Common.ExchangeRate.Delete";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IMstCmmExchangeRateAppService : IApplicationService
	{
		Task&lt;PagedResultDto&lt;MstCmmExchangeRateDto&gt;&gt; GetAll(GetMstCmmExchangeRateInput input);
		Task CreateOrEdit(CreateOrEditMstCmmExchangeRateDto input);
		Task Delete(EntityDto input);
	}
}
</v>
      </c>
      <c r="Q7" t="str">
        <f ca="1">SUBSTITUTE(SUBSTITUTE(SUBSTITUTE(SUBSTITUTE(SUBSTITUTE(SUBSTITUTE(E1,"MstWptCalendar",$B$3),"&lt;PROPERTIES&gt;",P32),"Calendar",$B$5),"WorkingPattern",$Q$3),"Master",$B$4),"&lt;PARAMS_SEARCH&gt;",$W$32)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[AbpAuthorize(AppPermissions.Pages_Master_Common_ExchangeRate)]
    public class MstCmmExchangeRateAppService : vovinaAppServiceBase, IMstCmmExchangeRateAppService
    {
        private readonly IDapperRepository&lt;MstCmmExchangeRate, long&gt; _dapperRepo;
        private readonly IRepository&lt;MstCmmExchangeRate, long&gt; _repo;
        private readonly IMstCmmExchangeRateExcelExporter _calendarListExcelExporter;
        public MstCmmExchangeRateAppService(IRepository&lt;MstCmmExchangeRate,long&gt; repo, 
                                         IDapperRepository&lt;MstCmmExchangeRate,long&gt; dapperRepo,
                                        IMstCmmExchangeRateExcelExporter calendarListExcelExporter
            )
        {
            _repo = repo;
            _dapperRepo = dapperRepo;
            _calendarListExcelExporter = calendarListExcelExporter;
        }
        [AbpAuthorize(AppPermissions.Pages_Master_Common_ExchangeRate_CreateEdit)]
        public async Task CreateOrEdit(CreateOrEditMstCmmExchangeRateDto input)
        {
            if (input.Id == null) await Create(input);
            else await Update(input);
        }
        //CREATE
        private async Task Create(CreateOrEditMstCmmExchangeRateDto input)
        {          
            var mainObj = ObjectMapper.Map&lt;MstCmmExchangeRate&gt;(input);
            await CurrentUnitOfWork.GetDbContext&lt;vovinaDbContext&gt;().AddAsync(mainObj);
        }
        // EDIT
        private async Task Update(CreateOrEditMstCmmExchangeRateDto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[AbpAuthorize(AppPermissions.Pages_Master_Common_ExchangeRate_Delete)]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Task&lt;PagedResultDto&lt;MstCmmExchangeRateDto&gt;&gt; GetAll(GetMstCmmExchangeRateInput input)
        {
            var filtered = _repo.GetAll()
				.WhereIf(input.ExchangeDate.HasValue, t =&gt; t.ExchangeDate == input.ExchangeDate.Value)
				.WhereIf(!string.IsNullOrWhiteSpace(input.MajorCurrency), e =&gt; e.MajorCurrency.Contains(input.MajorCurrency))
				.WhereIf(!string.IsNullOrWhiteSpace(input.MinorCurrency), e =&gt; e.MinorCurrency.Contains(input.MinorCurrency))
				.WhereIf(!string.IsNullOrWhiteSpace(input.IsDownloaded), e =&gt; e.IsDownloaded.Contains(input.IsDownloaded))
				.WhereIf(!string.IsNullOrWhiteSpace(input.IsEmailReceived), e =&gt; e.IsEmailReceived.Contains(input.IsEmailReceived))
				.WhereIf(!string.IsNullOrWhiteSpace(input.IsDiff), e =&gt; e.IsDiff.Contains(input.IsDiff))
				.WhereIf(input.DownloadDatetime.HasValue, t =&gt; t.DownloadDatetime == input.DownloadDatetime.Value)
				.WhereIf(input.EmailReceiveDatetime.HasValue, t =&gt; t.EmailReceiveDatetime == input.EmailReceiveDatetime.Value)
				.WhereIf(input.CheckedDatetime.HasValue, t =&gt; t.CheckedDatetime == input.CheckedDatetime.Value)
				.WhereIf(!string.IsNullOrWhiteSpace(input.ApprovedBy), e =&gt; e.ApprovedBy.Contains(input.ApprovedBy))
				.WhereIf(input.ApprovedDatetime.HasValue, t =&gt; t.ApprovedDatetime == input.ApprovedDatetime.Value)
				.WhereIf(!string.IsNullOrWhiteSpace(input.Status), e =&gt; e.Status.Contains(input.Status))
				.WhereIf(!string.IsNullOrWhiteSpace(input.ToolName), e =&gt; e.ToolName.Contains(input.ToolName))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MstCmmExchangeRateDto
                        {
							Id = o.Id,
							ExchangeDate = o.ExchangeDate,
							Version = o.Version,
							MajorCurrency = o.MajorCurrency,
							MinorCurrency = o.MinorCurrency,
							CeilingRate = o.CeilingRate,
							SvbRate = o.SvbRate,
							FloorRate = o.FloorRate,
							BuyingOd = o.BuyingOd,
							BuyingTt = o.BuyingTt,
							SellingTtOd = o.SellingTtOd,
							IsDownloaded = o.IsDownloaded,
							IsEmailReceived = o.IsEmailReceived,
							IsDiff = o.IsDiff,
							DownloadDatetime = o.DownloadDatetime,
							EmailReceiveDatetime = o.EmailReceiveDatetime,
							CheckedBy = o.CheckedBy,
							CheckedDatetime = o.CheckedDatetime,
							ApprovedBy = o.ApprovedBy,
							ApprovedDatetime = o.ApprovedDatetime,
							Status = o.Status,
							ToolName = o.ToolName,
							IsActive = o.IsActive,
                        };
            var totalCount = await filtered.CountAsync();
			var paged = system.PageBy(input);
            return new PagedResultDto&lt;MstCmmExchangeRateDto&gt;(
                totalCount,
                 await paged.ToListAsync()
            );
        }
        public async Task&lt;FileDto&gt; GetExchangeRateToExcel(MstCmmExchangeRateExportInput input)
        {
            var query = from o in _repo.GetAll()
                        select new MstCmmExchangeRateDto
                        {
							Id = o.Id,
							ExchangeDate = o.ExchangeDate,
							Version = o.Version,
							MajorCurrency = o.MajorCurrency,
							MinorCurrency = o.MinorCurrency,
							CeilingRate = o.CeilingRate,
							SvbRate = o.SvbRate,
							FloorRate = o.FloorRate,
							BuyingOd = o.BuyingOd,
							BuyingTt = o.BuyingTt,
							SellingTtOd = o.SellingTtOd,
							IsDownloaded = o.IsDownloaded,
							IsEmailReceived = o.IsEmailReceived,
							IsDiff = o.IsDiff,
							DownloadDatetime = o.DownloadDatetime,
							EmailReceiveDatetime = o.EmailReceiveDatetime,
							CheckedBy = o.CheckedBy,
							CheckedDatetime = o.CheckedDatetime,
							ApprovedBy = o.ApprovedBy,
							ApprovedDatetime = o.ApprovedDatetime,
							Status = o.Status,
							ToolName = o.ToolName,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_dapperRepo.ExecuteAsync(MstCmmExchangeRateConsts.SP_MST_WPT_CALENDAR_GENERATE);
       // }
    }
}</v>
      </c>
      <c r="R7" t="str">
        <f ca="1">SUBSTITUTE(SUBSTITUTE((C1&amp;"namespace "&amp;B6&amp;".Dto"&amp;E3&amp;C3&amp;R3&amp;M32&amp;E3&amp;REPT(CHAR(9),1)&amp;D3&amp;D3),"WorkingPattern",$Q$3),"Master",$B$4)</f>
        <v xml:space="preserve">using Abp.Application.Services.Dto;
using System;
using System.ComponentModel.DataAnnotations;
namespace prod.Master.Common.Dto
{
	public class MstCmmExchangeRateExportInput{
		public virtual DateTime? ExchangeDate { get; set; }
		public virtual int Version { get; set; }
		public virtual string MajorCurrency { get; set; }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public virtual string IsDownloaded { get; set; }
		public virtual string IsEmailReceived { get; set; }
		public virtual string IsDiff { get; set; }
		public virtual DateTime? DownloadDatetime { get; set; }
		public virtual DateTime? EmailReceiveDatetime { get; set; }
		public virtual long CheckedBy { get; set; }
		public virtual DateTime? CheckedDatetime { get; set; }
		public virtual string ApprovedBy { get; set; }
		public virtual DateTime? ApprovedDatetime { get; set; }
		public virtual string Status { get; set; }
		public virtual string ToolName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IMstCmmExchangeRateExcelExporter : IApplicationService
	{
		FileDto ExportToFile(List&lt;MstCmmExchangeRateDto&gt; mstcmmexchangerate);
	}
}
</v>
      </c>
      <c r="T7" s="26" t="str">
        <f ca="1">SUBSTITUTE(SUBSTITUTE(SUBSTITUTE(SUBSTITUTE(SUBSTITUTE(SUBSTITUTE(SUBSTITUTE(T1,"MstWptCalendar",$B$3),"&lt;PROPERTIES1&gt;",V32),"&lt;PROPERTIES&gt;",T32),"Calendar",$B$5),"calendar",LOWER(B5)),"WorkingPattern",$Q$3),"Master",$B$4)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MstCmmExchangeRateExcelExporter : NpoiExcelExporterBase, IMstCmmExchangeRateExcelExporter
    {
        public MstCmmExchangeRateExcelExporter(ITempFileCacheManager tempFileCacheManager) : base(tempFileCacheManager) { }
        public FileDto ExportToFile(List&lt;MstCmmExchangeRateDto&gt; exchangerate)
        {
            return CreateExcelPackage(
				"MasterCommonExchangeRate.xlsx",
				excelPackage =&gt;
				 {
					var sheet = excelPackage.CreateSheet("ExchangeRate");
					AddHeader(
								sheet,
								("ExchangeDate"),
								("Version"),
								("MajorCurrency"),
								("MinorCurrency"),
								("CeilingRate"),
								("SvbRate"),
								("FloorRate"),
								("BuyingOd"),
								("BuyingTt"),
								("SellingTtOd"),
								("IsDownloaded"),
								("IsEmailReceived"),
								("IsDiff"),
								("DownloadDatetime"),
								("EmailReceiveDatetime"),
								("CheckedBy"),
								("CheckedDatetime"),
								("ApprovedBy"),
								("ApprovedDatetime"),
								("Status"),
								("ToolName"),
								("IsActive"),
							   );
					AddObjects(
						 sheet, 1, exchangerate,                                       
								_ =&gt; _.ExchangeDate,
								_ =&gt; _.Version,
								_ =&gt; _.MajorCurrency,
								_ =&gt; _.MinorCurrency,
								_ =&gt; _.CeilingRate,
								_ =&gt; _.SvbRate,
								_ =&gt; _.FloorRate,
								_ =&gt; _.BuyingOd,
								_ =&gt; _.BuyingTt,
								_ =&gt; _.SellingTtOd,
								_ =&gt; _.IsDownloaded,
								_ =&gt; _.IsEmailReceived,
								_ =&gt; _.IsDiff,
								_ =&gt; _.DownloadDatetime,
								_ =&gt; _.EmailReceiveDatetime,
								_ =&gt; _.CheckedBy,
								_ =&gt; _.CheckedDatetime,
								_ =&gt; _.ApprovedBy,
								_ =&gt; _.ApprovedDatetime,
								_ =&gt; _.Status,
								_ =&gt; _.ToolName,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configuration.CreateMap&lt;MstCmmExchangeRateDto, MstCmmExchangeRate&gt;();
  configuration.CreateMap&lt;MstCmmExchangeRate, MstCmmExchangeRateDto&gt;();
  configuration.CreateMap&lt;CreateOrEditMstCmmExchangeRateDto, MstCmmExchangeRate&gt;();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s="5" t="s">
        <v>377</v>
      </c>
      <c r="B9" t="s">
        <v>2</v>
      </c>
      <c r="C9" t="s">
        <v>1</v>
      </c>
      <c r="D9" t="str">
        <f t="shared" ref="D9" si="0">SUBSTITUTE(PROPER(A9),"_","")</f>
        <v>ExchangeDate</v>
      </c>
      <c r="E9" t="str">
        <f t="shared" ref="E9" si="1">IFERROR(LEFT(B9, FIND("(",B9)-1),B9)</f>
        <v>date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DateTime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DateTime ExchangeDate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[Index(nameof(ExchangeDate), Name="IX_MstCmmExchangeRate_ExchangeDate")]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DateTime? ExchangeDate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DateTime? ExchangeDate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DateTime? ExchangeDate { get; set; }
</v>
      </c>
      <c r="P9" t="str">
        <f t="shared" ref="P9" si="9">REPT(CHAR(9),7)&amp;D9&amp;" = o." &amp;D9 &amp;","</f>
        <v xml:space="preserve">							ExchangeDate = o.ExchangeDate,</v>
      </c>
      <c r="T9" s="64" t="str">
        <f t="shared" ref="T9" si="10">REPT(CHAR(9),8)&amp;"("""&amp;D9&amp;"""),"</f>
        <v xml:space="preserve">								("ExchangeDate"),</v>
      </c>
      <c r="V9" s="65" t="str">
        <f t="shared" ref="V9" si="11">REPT(CHAR(9),8)&amp;"_ =&gt; _."&amp;D9&amp;","</f>
        <v xml:space="preserve">								_ =&gt; _.ExchangeDate,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.WhereIf(input.ExchangeDate.HasValue, t =&gt; t.ExchangeDate == input.ExchangeDate.Value)</v>
      </c>
    </row>
    <row r="10" spans="1:23" customFormat="1" ht="18.75" customHeight="1" x14ac:dyDescent="0.25">
      <c r="A10" s="5" t="s">
        <v>378</v>
      </c>
      <c r="B10" t="s">
        <v>4</v>
      </c>
      <c r="C10" t="s">
        <v>1</v>
      </c>
      <c r="D10" t="str">
        <f t="shared" ref="D10:D14" si="13">SUBSTITUTE(PROPER(A10),"_","")</f>
        <v>Version</v>
      </c>
      <c r="E10" t="str">
        <f t="shared" ref="E10:E14" si="14">IFERROR(LEFT(B10, FIND("(",B10)-1),B10)</f>
        <v>int</v>
      </c>
      <c r="F10" s="6"/>
      <c r="G10" t="str">
        <f t="shared" ref="G10:G14" si="15">IFERROR(MID(B10,FIND("(",B10) +1, FIND(")",B10) - FIND("(",B10) - 1),"")</f>
        <v/>
      </c>
      <c r="H10" t="str">
        <f>+VLOOKUP(E10,'Data Type Mapping'!A:B,2,)</f>
        <v>int</v>
      </c>
      <c r="I10" t="str">
        <f t="shared" ref="I10:I14" si="16">IF(H10="string",REPT(CHAR(9),2)&amp;"public const int Max"&amp;D10&amp;"Length = "&amp;G10&amp;";"&amp;$E$3,"" )</f>
        <v/>
      </c>
      <c r="J10" t="str">
        <f t="shared" ref="J10:J14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 Version { get; set; }
</v>
      </c>
      <c r="K10" s="6"/>
      <c r="L10" t="str">
        <f t="shared" ref="L10:L14" si="18">IF(K10="","",REPT(CHAR(9),1)&amp;"[Index(nameof("&amp;IF(D10="","",""&amp;D10)&amp;")"&amp;", Name="&amp;"""IX_"&amp;$B$7&amp;"_"&amp;D10&amp;""")]")</f>
        <v/>
      </c>
      <c r="M10" t="str">
        <f t="shared" ref="M10:M14" si="19">REPT(CHAR(9),2)&amp;"public virtual "&amp;IF(OR(H10="DateTime",H10="TimeSpan"),H10&amp;"?",H10)&amp;IF(C10="?","? "," ")&amp;D10&amp;" { get; set; }" &amp; "
"</f>
        <v xml:space="preserve">		public virtual int Version { get; set; }
</v>
      </c>
      <c r="N10" t="str">
        <f t="shared" ref="N10:N14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Version { get; set; }
</v>
      </c>
      <c r="O10" t="str">
        <f t="shared" ref="O10:O14" si="21">IF(OR(H10="string",H10="DateTime",H10="int"),REPT(CHAR(9),2)&amp;"public virtual "&amp;IF(OR(H10="DateTime",H10="TimeSpan"),H10&amp;"?",H10)&amp;IF(C10="?","? "," ")&amp;D10&amp;" { get; set; }"&amp;$E$3,"")</f>
        <v xml:space="preserve">		public virtual int Version { get; set; }
</v>
      </c>
      <c r="P10" t="str">
        <f t="shared" ref="P10:P14" si="22">REPT(CHAR(9),7)&amp;D10&amp;" = o." &amp;D10 &amp;","</f>
        <v xml:space="preserve">							Version = o.Version,</v>
      </c>
      <c r="T10" s="64" t="str">
        <f t="shared" ref="T10:T14" si="23">REPT(CHAR(9),8)&amp;"("""&amp;D10&amp;"""),"</f>
        <v xml:space="preserve">								("Version"),</v>
      </c>
      <c r="V10" s="65" t="str">
        <f t="shared" ref="V10:V14" si="24">REPT(CHAR(9),8)&amp;"_ =&gt; _."&amp;D10&amp;","</f>
        <v xml:space="preserve">								_ =&gt; _.Version,</v>
      </c>
      <c r="W10" s="64" t="str">
        <f t="shared" ref="W10:W14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395</v>
      </c>
      <c r="B11" t="s">
        <v>397</v>
      </c>
      <c r="C11" t="s">
        <v>1</v>
      </c>
      <c r="D11" t="str">
        <f t="shared" si="13"/>
        <v>MajorCurrency</v>
      </c>
      <c r="E11" t="str">
        <f t="shared" si="14"/>
        <v>nvarchar</v>
      </c>
      <c r="F11" s="6"/>
      <c r="G11" t="str">
        <f t="shared" si="15"/>
        <v>3</v>
      </c>
      <c r="H11" t="str">
        <f>+VLOOKUP(E11,'Data Type Mapping'!A:B,2,)</f>
        <v>string</v>
      </c>
      <c r="I11" t="str">
        <f t="shared" si="16"/>
        <v xml:space="preserve">		public const int MaxMajorCurrencyLength = 3;
</v>
      </c>
      <c r="J11" t="str">
        <f t="shared" si="17"/>
        <v xml:space="preserve">		[StringLength(MaxMajorCurrencyLength)]
		public virtual string MajorCurrency { get; set; }
</v>
      </c>
      <c r="K11" s="6"/>
      <c r="L11" t="str">
        <f t="shared" si="18"/>
        <v/>
      </c>
      <c r="M11" t="str">
        <f t="shared" si="19"/>
        <v xml:space="preserve">		public virtual string MajorCurrency { get; set; }
</v>
      </c>
      <c r="N11" t="str">
        <f t="shared" si="20"/>
        <v xml:space="preserve">		[StringLength(MstCmmExchangeRateConsts.MaxMajorCurrencyLength)]
		public virtual string MajorCurrency { get; set; }
</v>
      </c>
      <c r="O11" t="str">
        <f t="shared" si="21"/>
        <v xml:space="preserve">		public virtual string MajorCurrency { get; set; }
</v>
      </c>
      <c r="P11" t="str">
        <f t="shared" si="22"/>
        <v xml:space="preserve">							MajorCurrency = o.MajorCurrency,</v>
      </c>
      <c r="T11" s="64" t="str">
        <f t="shared" si="23"/>
        <v xml:space="preserve">								("MajorCurrency"),</v>
      </c>
      <c r="V11" s="65" t="str">
        <f t="shared" si="24"/>
        <v xml:space="preserve">								_ =&gt; _.MajorCurrency,</v>
      </c>
      <c r="W11" s="64" t="str">
        <f t="shared" si="25"/>
        <v xml:space="preserve">				.WhereIf(!string.IsNullOrWhiteSpace(input.MajorCurrency), e =&gt; e.MajorCurrency.Contains(input.MajorCurrency))</v>
      </c>
    </row>
    <row r="12" spans="1:23" customFormat="1" ht="18.75" customHeight="1" x14ac:dyDescent="0.25">
      <c r="A12" t="s">
        <v>396</v>
      </c>
      <c r="B12" t="s">
        <v>397</v>
      </c>
      <c r="C12" t="s">
        <v>1</v>
      </c>
      <c r="D12" t="str">
        <f t="shared" ref="D12" si="26">SUBSTITUTE(PROPER(A12),"_","")</f>
        <v>MinorCurrency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3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MaxMinorCurrencyLength = 3;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[StringLength(MaxMinorCurrencyLength)]
		public virtual string MinorCurrency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MinorCurrency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[StringLength(MstCmmExchangeRateConsts.MaxMinorCurrencyLength)]
		public virtual string MinorCurrency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MinorCurrency { get; set; }
</v>
      </c>
      <c r="P12" t="str">
        <f t="shared" ref="P12" si="35">REPT(CHAR(9),7)&amp;D12&amp;" = o." &amp;D12 &amp;","</f>
        <v xml:space="preserve">							MinorCurrency = o.MinorCurrency,</v>
      </c>
      <c r="T12" s="64" t="str">
        <f t="shared" ref="T12" si="36">REPT(CHAR(9),8)&amp;"("""&amp;D12&amp;"""),"</f>
        <v xml:space="preserve">								("MinorCurrency"),</v>
      </c>
      <c r="V12" s="65" t="str">
        <f t="shared" ref="V12" si="37">REPT(CHAR(9),8)&amp;"_ =&gt; _."&amp;D12&amp;","</f>
        <v xml:space="preserve">								_ =&gt; _.MinorCurrency,</v>
      </c>
      <c r="W12" s="64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.WhereIf(!string.IsNullOrWhiteSpace(input.MinorCurrency), e =&gt; e.MinorCurrency.Contains(input.MinorCurrency))</v>
      </c>
    </row>
    <row r="13" spans="1:23" customFormat="1" ht="18.75" customHeight="1" x14ac:dyDescent="0.25">
      <c r="A13" s="5" t="s">
        <v>381</v>
      </c>
      <c r="B13" t="s">
        <v>398</v>
      </c>
      <c r="C13" t="s">
        <v>1</v>
      </c>
      <c r="D13" t="str">
        <f t="shared" si="13"/>
        <v>CeilingRate</v>
      </c>
      <c r="E13" t="str">
        <f t="shared" si="14"/>
        <v>decimal</v>
      </c>
      <c r="F13" s="6"/>
      <c r="G13" t="str">
        <f t="shared" si="15"/>
        <v>18,4</v>
      </c>
      <c r="H13" t="str">
        <f>+VLOOKUP(E13,'Data Type Mapping'!A:B,2,)</f>
        <v>decimal</v>
      </c>
      <c r="I13" t="str">
        <f t="shared" si="16"/>
        <v/>
      </c>
      <c r="J13" t="str">
        <f t="shared" si="17"/>
        <v xml:space="preserve">		public virtual decimal CeilingRate { get; set; }
</v>
      </c>
      <c r="K13" s="6"/>
      <c r="L13" t="str">
        <f t="shared" si="18"/>
        <v/>
      </c>
      <c r="M13" t="str">
        <f t="shared" si="19"/>
        <v xml:space="preserve">		public virtual decimal CeilingRate { get; set; }
</v>
      </c>
      <c r="N13" t="str">
        <f t="shared" si="20"/>
        <v xml:space="preserve">		public virtual decimal CeilingRate { get; set; }
</v>
      </c>
      <c r="O13" t="str">
        <f t="shared" si="21"/>
        <v/>
      </c>
      <c r="P13" t="str">
        <f t="shared" si="22"/>
        <v xml:space="preserve">							CeilingRate = o.CeilingRate,</v>
      </c>
      <c r="T13" s="64" t="str">
        <f t="shared" si="23"/>
        <v xml:space="preserve">								("CeilingRate"),</v>
      </c>
      <c r="V13" s="65" t="str">
        <f t="shared" si="24"/>
        <v xml:space="preserve">								_ =&gt; _.CeilingRate,</v>
      </c>
      <c r="W13" s="64" t="str">
        <f t="shared" si="25"/>
        <v/>
      </c>
    </row>
    <row r="14" spans="1:23" customFormat="1" ht="18.75" customHeight="1" x14ac:dyDescent="0.25">
      <c r="A14" s="5" t="s">
        <v>379</v>
      </c>
      <c r="B14" t="s">
        <v>398</v>
      </c>
      <c r="C14" t="s">
        <v>1</v>
      </c>
      <c r="D14" t="str">
        <f t="shared" si="13"/>
        <v>SvbRate</v>
      </c>
      <c r="E14" t="str">
        <f t="shared" si="14"/>
        <v>decimal</v>
      </c>
      <c r="F14" s="6"/>
      <c r="G14" t="str">
        <f t="shared" si="15"/>
        <v>18,4</v>
      </c>
      <c r="H14" t="str">
        <f>+VLOOKUP(E14,'Data Type Mapping'!A:B,2,)</f>
        <v>decimal</v>
      </c>
      <c r="I14" t="str">
        <f t="shared" si="16"/>
        <v/>
      </c>
      <c r="J14" t="str">
        <f t="shared" si="17"/>
        <v xml:space="preserve">		public virtual decimal SvbRate { get; set; }
</v>
      </c>
      <c r="K14" s="6"/>
      <c r="L14" t="str">
        <f t="shared" si="18"/>
        <v/>
      </c>
      <c r="M14" t="str">
        <f t="shared" si="19"/>
        <v xml:space="preserve">		public virtual decimal SvbRate { get; set; }
</v>
      </c>
      <c r="N14" t="str">
        <f t="shared" si="20"/>
        <v xml:space="preserve">		public virtual decimal SvbRate { get; set; }
</v>
      </c>
      <c r="O14" t="str">
        <f t="shared" si="21"/>
        <v/>
      </c>
      <c r="P14" t="str">
        <f t="shared" si="22"/>
        <v xml:space="preserve">							SvbRate = o.SvbRate,</v>
      </c>
      <c r="T14" s="64" t="str">
        <f t="shared" si="23"/>
        <v xml:space="preserve">								("SvbRate"),</v>
      </c>
      <c r="V14" s="65" t="str">
        <f t="shared" si="24"/>
        <v xml:space="preserve">								_ =&gt; _.SvbRate,</v>
      </c>
      <c r="W14" s="64" t="str">
        <f t="shared" si="25"/>
        <v/>
      </c>
    </row>
    <row r="15" spans="1:23" customFormat="1" ht="18.75" customHeight="1" x14ac:dyDescent="0.25">
      <c r="A15" s="5" t="s">
        <v>380</v>
      </c>
      <c r="B15" t="s">
        <v>398</v>
      </c>
      <c r="C15" t="s">
        <v>1</v>
      </c>
      <c r="D15" t="str">
        <f t="shared" ref="D15:D16" si="39">SUBSTITUTE(PROPER(A15),"_","")</f>
        <v>FloorRate</v>
      </c>
      <c r="E15" t="str">
        <f t="shared" ref="E15:E16" si="40">IFERROR(LEFT(B15, FIND("(",B15)-1),B15)</f>
        <v>decimal</v>
      </c>
      <c r="F15" s="6"/>
      <c r="G15" t="str">
        <f t="shared" ref="G15:G16" si="41">IFERROR(MID(B15,FIND("(",B15) +1, FIND(")",B15) - FIND("(",B15) - 1),"")</f>
        <v>18,4</v>
      </c>
      <c r="H15" t="str">
        <f>+VLOOKUP(E15,'Data Type Mapping'!A:B,2,)</f>
        <v>decimal</v>
      </c>
      <c r="I15" t="str">
        <f t="shared" ref="I15:I16" si="42">IF(H15="string",REPT(CHAR(9),2)&amp;"public const int Max"&amp;D15&amp;"Length = "&amp;G15&amp;";"&amp;$E$3,"" )</f>
        <v/>
      </c>
      <c r="J15" t="str">
        <f t="shared" ref="J15:J16" si="43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decimal FloorRate { get; set; }
</v>
      </c>
      <c r="K15" s="6"/>
      <c r="L15" t="str">
        <f t="shared" ref="L15:L16" si="44">IF(K15="","",REPT(CHAR(9),1)&amp;"[Index(nameof("&amp;IF(D15="","",""&amp;D15)&amp;")"&amp;", Name="&amp;"""IX_"&amp;$B$7&amp;"_"&amp;D15&amp;""")]")</f>
        <v/>
      </c>
      <c r="M15" t="str">
        <f t="shared" ref="M15:M16" si="45">REPT(CHAR(9),2)&amp;"public virtual "&amp;IF(OR(H15="DateTime",H15="TimeSpan"),H15&amp;"?",H15)&amp;IF(C15="?","? "," ")&amp;D15&amp;" { get; set; }" &amp; "
"</f>
        <v xml:space="preserve">		public virtual decimal FloorRate { get; set; }
</v>
      </c>
      <c r="N15" t="str">
        <f t="shared" ref="N15:N16" si="46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decimal FloorRate { get; set; }
</v>
      </c>
      <c r="O15" t="str">
        <f t="shared" ref="O15:O16" si="47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16" si="48">REPT(CHAR(9),7)&amp;D15&amp;" = o." &amp;D15 &amp;","</f>
        <v xml:space="preserve">							FloorRate = o.FloorRate,</v>
      </c>
      <c r="T15" s="64" t="str">
        <f t="shared" ref="T15:T16" si="49">REPT(CHAR(9),8)&amp;"("""&amp;D15&amp;"""),"</f>
        <v xml:space="preserve">								("FloorRate"),</v>
      </c>
      <c r="V15" s="65" t="str">
        <f t="shared" ref="V15:V16" si="50">REPT(CHAR(9),8)&amp;"_ =&gt; _."&amp;D15&amp;","</f>
        <v xml:space="preserve">								_ =&gt; _.FloorRate,</v>
      </c>
      <c r="W15" s="64" t="str">
        <f t="shared" ref="W15:W16" si="51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t="s">
        <v>382</v>
      </c>
      <c r="B16" t="s">
        <v>398</v>
      </c>
      <c r="C16" t="s">
        <v>1</v>
      </c>
      <c r="D16" t="str">
        <f t="shared" si="39"/>
        <v>BuyingOd</v>
      </c>
      <c r="E16" t="str">
        <f t="shared" si="40"/>
        <v>decimal</v>
      </c>
      <c r="F16" s="6"/>
      <c r="G16" t="str">
        <f t="shared" si="41"/>
        <v>18,4</v>
      </c>
      <c r="H16" t="str">
        <f>+VLOOKUP(E16,'Data Type Mapping'!A:B,2,)</f>
        <v>decimal</v>
      </c>
      <c r="I16" t="str">
        <f t="shared" si="42"/>
        <v/>
      </c>
      <c r="J16" t="str">
        <f t="shared" si="43"/>
        <v xml:space="preserve">		public virtual decimal BuyingOd { get; set; }
</v>
      </c>
      <c r="K16" s="6"/>
      <c r="L16" t="str">
        <f t="shared" si="44"/>
        <v/>
      </c>
      <c r="M16" t="str">
        <f t="shared" si="45"/>
        <v xml:space="preserve">		public virtual decimal BuyingOd { get; set; }
</v>
      </c>
      <c r="N16" t="str">
        <f t="shared" si="46"/>
        <v xml:space="preserve">		public virtual decimal BuyingOd { get; set; }
</v>
      </c>
      <c r="O16" t="str">
        <f t="shared" si="47"/>
        <v/>
      </c>
      <c r="P16" t="str">
        <f t="shared" si="48"/>
        <v xml:space="preserve">							BuyingOd = o.BuyingOd,</v>
      </c>
      <c r="T16" s="64" t="str">
        <f t="shared" si="49"/>
        <v xml:space="preserve">								("BuyingOd"),</v>
      </c>
      <c r="V16" s="65" t="str">
        <f t="shared" si="50"/>
        <v xml:space="preserve">								_ =&gt; _.BuyingOd,</v>
      </c>
      <c r="W16" s="64" t="str">
        <f t="shared" si="51"/>
        <v/>
      </c>
    </row>
    <row r="17" spans="1:23" customFormat="1" ht="18.75" customHeight="1" x14ac:dyDescent="0.25">
      <c r="A17" t="s">
        <v>383</v>
      </c>
      <c r="B17" t="s">
        <v>398</v>
      </c>
      <c r="C17" t="s">
        <v>1</v>
      </c>
      <c r="D17" t="str">
        <f t="shared" ref="D17:D22" si="52">SUBSTITUTE(PROPER(A17),"_","")</f>
        <v>BuyingTt</v>
      </c>
      <c r="E17" t="str">
        <f t="shared" ref="E17:E22" si="53">IFERROR(LEFT(B17, FIND("(",B17)-1),B17)</f>
        <v>decimal</v>
      </c>
      <c r="F17" s="6"/>
      <c r="G17" t="str">
        <f t="shared" ref="G17:G22" si="54">IFERROR(MID(B17,FIND("(",B17) +1, FIND(")",B17) - FIND("(",B17) - 1),"")</f>
        <v>18,4</v>
      </c>
      <c r="H17" t="str">
        <f>+VLOOKUP(E17,'Data Type Mapping'!A:B,2,)</f>
        <v>decimal</v>
      </c>
      <c r="I17" t="str">
        <f t="shared" ref="I17:I22" si="55">IF(H17="string",REPT(CHAR(9),2)&amp;"public const int Max"&amp;D17&amp;"Length = "&amp;G17&amp;";"&amp;$E$3,"" )</f>
        <v/>
      </c>
      <c r="J17" t="str">
        <f t="shared" ref="J17:J22" si="5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decimal BuyingTt { get; set; }
</v>
      </c>
      <c r="K17" s="6"/>
      <c r="L17" t="str">
        <f t="shared" ref="L17:L22" si="57">IF(K17="","",REPT(CHAR(9),1)&amp;"[Index(nameof("&amp;IF(D17="","",""&amp;D17)&amp;")"&amp;", Name="&amp;"""IX_"&amp;$B$7&amp;"_"&amp;D17&amp;""")]")</f>
        <v/>
      </c>
      <c r="M17" t="str">
        <f t="shared" ref="M17:M22" si="58">REPT(CHAR(9),2)&amp;"public virtual "&amp;IF(OR(H17="DateTime",H17="TimeSpan"),H17&amp;"?",H17)&amp;IF(C17="?","? "," ")&amp;D17&amp;" { get; set; }" &amp; "
"</f>
        <v xml:space="preserve">		public virtual decimal BuyingTt { get; set; }
</v>
      </c>
      <c r="N17" t="str">
        <f t="shared" ref="N17:N22" si="59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decimal BuyingTt { get; set; }
</v>
      </c>
      <c r="O17" t="str">
        <f t="shared" ref="O17:O22" si="60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:P22" si="61">REPT(CHAR(9),7)&amp;D17&amp;" = o." &amp;D17 &amp;","</f>
        <v xml:space="preserve">							BuyingTt = o.BuyingTt,</v>
      </c>
      <c r="T17" s="64" t="str">
        <f t="shared" ref="T17:T22" si="62">REPT(CHAR(9),8)&amp;"("""&amp;D17&amp;"""),"</f>
        <v xml:space="preserve">								("BuyingTt"),</v>
      </c>
      <c r="V17" s="65" t="str">
        <f t="shared" ref="V17:V22" si="63">REPT(CHAR(9),8)&amp;"_ =&gt; _."&amp;D17&amp;","</f>
        <v xml:space="preserve">								_ =&gt; _.BuyingTt,</v>
      </c>
      <c r="W17" s="64" t="str">
        <f t="shared" ref="W17:W22" si="64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t="s">
        <v>384</v>
      </c>
      <c r="B18" t="s">
        <v>398</v>
      </c>
      <c r="C18" t="s">
        <v>1</v>
      </c>
      <c r="D18" t="str">
        <f t="shared" si="52"/>
        <v>SellingTtOd</v>
      </c>
      <c r="E18" t="str">
        <f t="shared" si="53"/>
        <v>decimal</v>
      </c>
      <c r="F18" s="6"/>
      <c r="G18" t="str">
        <f t="shared" si="54"/>
        <v>18,4</v>
      </c>
      <c r="H18" t="str">
        <f>+VLOOKUP(E18,'Data Type Mapping'!A:B,2,)</f>
        <v>decimal</v>
      </c>
      <c r="I18" t="str">
        <f t="shared" si="55"/>
        <v/>
      </c>
      <c r="J18" t="str">
        <f t="shared" si="56"/>
        <v xml:space="preserve">		public virtual decimal SellingTtOd { get; set; }
</v>
      </c>
      <c r="K18" s="6"/>
      <c r="L18" t="str">
        <f t="shared" si="57"/>
        <v/>
      </c>
      <c r="M18" t="str">
        <f t="shared" si="58"/>
        <v xml:space="preserve">		public virtual decimal SellingTtOd { get; set; }
</v>
      </c>
      <c r="N18" t="str">
        <f t="shared" si="59"/>
        <v xml:space="preserve">		public virtual decimal SellingTtOd { get; set; }
</v>
      </c>
      <c r="O18" t="str">
        <f t="shared" si="60"/>
        <v/>
      </c>
      <c r="P18" t="str">
        <f t="shared" si="61"/>
        <v xml:space="preserve">							SellingTtOd = o.SellingTtOd,</v>
      </c>
      <c r="T18" s="64" t="str">
        <f t="shared" si="62"/>
        <v xml:space="preserve">								("SellingTtOd"),</v>
      </c>
      <c r="V18" s="65" t="str">
        <f t="shared" si="63"/>
        <v xml:space="preserve">								_ =&gt; _.SellingTtOd,</v>
      </c>
      <c r="W18" s="64" t="str">
        <f t="shared" si="64"/>
        <v/>
      </c>
    </row>
    <row r="19" spans="1:23" customFormat="1" ht="18.75" customHeight="1" x14ac:dyDescent="0.25">
      <c r="A19" s="5" t="s">
        <v>386</v>
      </c>
      <c r="B19" t="s">
        <v>352</v>
      </c>
      <c r="C19" t="s">
        <v>1</v>
      </c>
      <c r="D19" t="str">
        <f t="shared" si="52"/>
        <v>IsDownloaded</v>
      </c>
      <c r="E19" t="str">
        <f t="shared" si="53"/>
        <v>nvarchar</v>
      </c>
      <c r="F19" s="6"/>
      <c r="G19" t="str">
        <f t="shared" si="54"/>
        <v>1</v>
      </c>
      <c r="H19" t="str">
        <f>+VLOOKUP(E19,'Data Type Mapping'!A:B,2,)</f>
        <v>string</v>
      </c>
      <c r="I19" t="str">
        <f t="shared" si="55"/>
        <v xml:space="preserve">		public const int MaxIsDownloadedLength = 1;
</v>
      </c>
      <c r="J19" t="str">
        <f t="shared" si="56"/>
        <v xml:space="preserve">		[StringLength(MaxIsDownloadedLength)]
		public virtual string IsDownloaded { get; set; }
</v>
      </c>
      <c r="K19" s="6"/>
      <c r="L19" t="str">
        <f t="shared" si="57"/>
        <v/>
      </c>
      <c r="M19" t="str">
        <f t="shared" si="58"/>
        <v xml:space="preserve">		public virtual string IsDownloaded { get; set; }
</v>
      </c>
      <c r="N19" t="str">
        <f t="shared" si="59"/>
        <v xml:space="preserve">		[StringLength(MstCmmExchangeRateConsts.MaxIsDownloadedLength)]
		public virtual string IsDownloaded { get; set; }
</v>
      </c>
      <c r="O19" t="str">
        <f t="shared" si="60"/>
        <v xml:space="preserve">		public virtual string IsDownloaded { get; set; }
</v>
      </c>
      <c r="P19" t="str">
        <f t="shared" si="61"/>
        <v xml:space="preserve">							IsDownloaded = o.IsDownloaded,</v>
      </c>
      <c r="T19" s="64" t="str">
        <f t="shared" si="62"/>
        <v xml:space="preserve">								("IsDownloaded"),</v>
      </c>
      <c r="V19" s="65" t="str">
        <f t="shared" si="63"/>
        <v xml:space="preserve">								_ =&gt; _.IsDownloaded,</v>
      </c>
      <c r="W19" s="64" t="str">
        <f t="shared" si="64"/>
        <v xml:space="preserve">				.WhereIf(!string.IsNullOrWhiteSpace(input.IsDownloaded), e =&gt; e.IsDownloaded.Contains(input.IsDownloaded))</v>
      </c>
    </row>
    <row r="20" spans="1:23" customFormat="1" ht="18.75" customHeight="1" x14ac:dyDescent="0.25">
      <c r="A20" s="5" t="s">
        <v>387</v>
      </c>
      <c r="B20" t="s">
        <v>352</v>
      </c>
      <c r="C20" t="s">
        <v>1</v>
      </c>
      <c r="D20" t="str">
        <f t="shared" si="52"/>
        <v>IsEmailReceived</v>
      </c>
      <c r="E20" t="str">
        <f t="shared" si="53"/>
        <v>nvarchar</v>
      </c>
      <c r="F20" s="6"/>
      <c r="G20" t="str">
        <f t="shared" si="54"/>
        <v>1</v>
      </c>
      <c r="H20" t="str">
        <f>+VLOOKUP(E20,'Data Type Mapping'!A:B,2,)</f>
        <v>string</v>
      </c>
      <c r="I20" t="str">
        <f t="shared" si="55"/>
        <v xml:space="preserve">		public const int MaxIsEmailReceivedLength = 1;
</v>
      </c>
      <c r="J20" t="str">
        <f t="shared" si="56"/>
        <v xml:space="preserve">		[StringLength(MaxIsEmailReceivedLength)]
		public virtual string IsEmailReceived { get; set; }
</v>
      </c>
      <c r="K20" s="6"/>
      <c r="L20" t="str">
        <f t="shared" si="57"/>
        <v/>
      </c>
      <c r="M20" t="str">
        <f t="shared" si="58"/>
        <v xml:space="preserve">		public virtual string IsEmailReceived { get; set; }
</v>
      </c>
      <c r="N20" t="str">
        <f t="shared" si="59"/>
        <v xml:space="preserve">		[StringLength(MstCmmExchangeRateConsts.MaxIsEmailReceivedLength)]
		public virtual string IsEmailReceived { get; set; }
</v>
      </c>
      <c r="O20" t="str">
        <f t="shared" si="60"/>
        <v xml:space="preserve">		public virtual string IsEmailReceived { get; set; }
</v>
      </c>
      <c r="P20" t="str">
        <f t="shared" si="61"/>
        <v xml:space="preserve">							IsEmailReceived = o.IsEmailReceived,</v>
      </c>
      <c r="T20" s="64" t="str">
        <f t="shared" si="62"/>
        <v xml:space="preserve">								("IsEmailReceived"),</v>
      </c>
      <c r="V20" s="65" t="str">
        <f t="shared" si="63"/>
        <v xml:space="preserve">								_ =&gt; _.IsEmailReceived,</v>
      </c>
      <c r="W20" s="64" t="str">
        <f t="shared" si="64"/>
        <v xml:space="preserve">				.WhereIf(!string.IsNullOrWhiteSpace(input.IsEmailReceived), e =&gt; e.IsEmailReceived.Contains(input.IsEmailReceived))</v>
      </c>
    </row>
    <row r="21" spans="1:23" customFormat="1" ht="18.75" customHeight="1" x14ac:dyDescent="0.25">
      <c r="A21" s="5" t="s">
        <v>388</v>
      </c>
      <c r="B21" t="s">
        <v>352</v>
      </c>
      <c r="C21" t="s">
        <v>1</v>
      </c>
      <c r="D21" t="str">
        <f t="shared" si="52"/>
        <v>IsDiff</v>
      </c>
      <c r="E21" t="str">
        <f t="shared" si="53"/>
        <v>nvarchar</v>
      </c>
      <c r="F21" s="6"/>
      <c r="G21" t="str">
        <f t="shared" si="54"/>
        <v>1</v>
      </c>
      <c r="H21" t="str">
        <f>+VLOOKUP(E21,'Data Type Mapping'!A:B,2,)</f>
        <v>string</v>
      </c>
      <c r="I21" t="str">
        <f t="shared" si="55"/>
        <v xml:space="preserve">		public const int MaxIsDiffLength = 1;
</v>
      </c>
      <c r="J21" t="str">
        <f t="shared" si="56"/>
        <v xml:space="preserve">		[StringLength(MaxIsDiffLength)]
		public virtual string IsDiff { get; set; }
</v>
      </c>
      <c r="K21" s="6"/>
      <c r="L21" t="str">
        <f t="shared" si="57"/>
        <v/>
      </c>
      <c r="M21" t="str">
        <f t="shared" si="58"/>
        <v xml:space="preserve">		public virtual string IsDiff { get; set; }
</v>
      </c>
      <c r="N21" t="str">
        <f t="shared" si="59"/>
        <v xml:space="preserve">		[StringLength(MstCmmExchangeRateConsts.MaxIsDiffLength)]
		public virtual string IsDiff { get; set; }
</v>
      </c>
      <c r="O21" t="str">
        <f t="shared" si="60"/>
        <v xml:space="preserve">		public virtual string IsDiff { get; set; }
</v>
      </c>
      <c r="P21" t="str">
        <f t="shared" si="61"/>
        <v xml:space="preserve">							IsDiff = o.IsDiff,</v>
      </c>
      <c r="T21" s="64" t="str">
        <f t="shared" si="62"/>
        <v xml:space="preserve">								("IsDiff"),</v>
      </c>
      <c r="V21" s="65" t="str">
        <f t="shared" si="63"/>
        <v xml:space="preserve">								_ =&gt; _.IsDiff,</v>
      </c>
      <c r="W21" s="64" t="str">
        <f t="shared" si="64"/>
        <v xml:space="preserve">				.WhereIf(!string.IsNullOrWhiteSpace(input.IsDiff), e =&gt; e.IsDiff.Contains(input.IsDiff))</v>
      </c>
    </row>
    <row r="22" spans="1:23" customFormat="1" ht="18.75" customHeight="1" x14ac:dyDescent="0.25">
      <c r="A22" s="5" t="s">
        <v>389</v>
      </c>
      <c r="B22" t="s">
        <v>399</v>
      </c>
      <c r="C22" t="s">
        <v>1</v>
      </c>
      <c r="D22" t="str">
        <f t="shared" si="52"/>
        <v>DownloadDatetime</v>
      </c>
      <c r="E22" t="str">
        <f t="shared" si="53"/>
        <v>datetime2</v>
      </c>
      <c r="F22" s="6"/>
      <c r="G22" t="str">
        <f t="shared" si="54"/>
        <v>7</v>
      </c>
      <c r="H22" t="str">
        <f>+VLOOKUP(E22,'Data Type Mapping'!A:B,2,)</f>
        <v>DateTime</v>
      </c>
      <c r="I22" t="str">
        <f t="shared" si="55"/>
        <v/>
      </c>
      <c r="J22" t="str">
        <f t="shared" si="56"/>
        <v xml:space="preserve">		public virtual DateTime DownloadDatetime { get; set; }
</v>
      </c>
      <c r="K22" s="6"/>
      <c r="L22" t="str">
        <f t="shared" si="57"/>
        <v/>
      </c>
      <c r="M22" t="str">
        <f t="shared" si="58"/>
        <v xml:space="preserve">		public virtual DateTime? DownloadDatetime { get; set; }
</v>
      </c>
      <c r="N22" t="str">
        <f t="shared" si="59"/>
        <v xml:space="preserve">		public virtual DateTime? DownloadDatetime { get; set; }
</v>
      </c>
      <c r="O22" t="str">
        <f t="shared" si="60"/>
        <v xml:space="preserve">		public virtual DateTime? DownloadDatetime { get; set; }
</v>
      </c>
      <c r="P22" t="str">
        <f t="shared" si="61"/>
        <v xml:space="preserve">							DownloadDatetime = o.DownloadDatetime,</v>
      </c>
      <c r="T22" s="64" t="str">
        <f t="shared" si="62"/>
        <v xml:space="preserve">								("DownloadDatetime"),</v>
      </c>
      <c r="V22" s="65" t="str">
        <f t="shared" si="63"/>
        <v xml:space="preserve">								_ =&gt; _.DownloadDatetime,</v>
      </c>
      <c r="W22" s="64" t="str">
        <f t="shared" si="64"/>
        <v xml:space="preserve">				.WhereIf(input.DownloadDatetime.HasValue, t =&gt; t.DownloadDatetime == input.DownloadDatetime.Value)</v>
      </c>
    </row>
    <row r="23" spans="1:23" customFormat="1" ht="18.75" customHeight="1" x14ac:dyDescent="0.25">
      <c r="A23" s="5" t="s">
        <v>390</v>
      </c>
      <c r="B23" t="s">
        <v>399</v>
      </c>
      <c r="C23" t="s">
        <v>1</v>
      </c>
      <c r="D23" t="str">
        <f t="shared" ref="D23:D24" si="65">SUBSTITUTE(PROPER(A23),"_","")</f>
        <v>EmailReceiveDatetime</v>
      </c>
      <c r="E23" t="str">
        <f t="shared" ref="E23:E24" si="66">IFERROR(LEFT(B23, FIND("(",B23)-1),B23)</f>
        <v>datetime2</v>
      </c>
      <c r="F23" s="6"/>
      <c r="G23" t="str">
        <f t="shared" ref="G23:G24" si="67">IFERROR(MID(B23,FIND("(",B23) +1, FIND(")",B23) - FIND("(",B23) - 1),"")</f>
        <v>7</v>
      </c>
      <c r="H23" t="str">
        <f>+VLOOKUP(E23,'Data Type Mapping'!A:B,2,)</f>
        <v>DateTime</v>
      </c>
      <c r="I23" t="str">
        <f t="shared" ref="I23:I24" si="68">IF(H23="string",REPT(CHAR(9),2)&amp;"public const int Max"&amp;D23&amp;"Length = "&amp;G23&amp;";"&amp;$E$3,"" )</f>
        <v/>
      </c>
      <c r="J23" t="str">
        <f t="shared" ref="J23:J24" si="69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public virtual DateTime EmailReceiveDatetime { get; set; }
</v>
      </c>
      <c r="K23" s="6"/>
      <c r="L23" t="str">
        <f t="shared" ref="L23:L24" si="70">IF(K23="","",REPT(CHAR(9),1)&amp;"[Index(nameof("&amp;IF(D23="","",""&amp;D23)&amp;")"&amp;", Name="&amp;"""IX_"&amp;$B$7&amp;"_"&amp;D23&amp;""")]")</f>
        <v/>
      </c>
      <c r="M23" t="str">
        <f t="shared" ref="M23:M24" si="71">REPT(CHAR(9),2)&amp;"public virtual "&amp;IF(OR(H23="DateTime",H23="TimeSpan"),H23&amp;"?",H23)&amp;IF(C23="?","? "," ")&amp;D23&amp;" { get; set; }" &amp; "
"</f>
        <v xml:space="preserve">		public virtual DateTime? EmailReceiveDatetime { get; set; }
</v>
      </c>
      <c r="N23" t="str">
        <f t="shared" ref="N23:N24" si="72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DateTime? EmailReceiveDatetime { get; set; }
</v>
      </c>
      <c r="O23" t="str">
        <f t="shared" ref="O23:O24" si="73">IF(OR(H23="string",H23="DateTime",H23="int"),REPT(CHAR(9),2)&amp;"public virtual "&amp;IF(OR(H23="DateTime",H23="TimeSpan"),H23&amp;"?",H23)&amp;IF(C23="?","? "," ")&amp;D23&amp;" { get; set; }"&amp;$E$3,"")</f>
        <v xml:space="preserve">		public virtual DateTime? EmailReceiveDatetime { get; set; }
</v>
      </c>
      <c r="P23" t="str">
        <f t="shared" ref="P23:P24" si="74">REPT(CHAR(9),7)&amp;D23&amp;" = o." &amp;D23 &amp;","</f>
        <v xml:space="preserve">							EmailReceiveDatetime = o.EmailReceiveDatetime,</v>
      </c>
      <c r="T23" s="64" t="str">
        <f t="shared" ref="T23:T24" si="75">REPT(CHAR(9),8)&amp;"("""&amp;D23&amp;"""),"</f>
        <v xml:space="preserve">								("EmailReceiveDatetime"),</v>
      </c>
      <c r="V23" s="65" t="str">
        <f t="shared" ref="V23:V24" si="76">REPT(CHAR(9),8)&amp;"_ =&gt; _."&amp;D23&amp;","</f>
        <v xml:space="preserve">								_ =&gt; _.EmailReceiveDatetime,</v>
      </c>
      <c r="W23" s="64" t="str">
        <f t="shared" ref="W23:W24" si="77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.WhereIf(input.EmailReceiveDatetime.HasValue, t =&gt; t.EmailReceiveDatetime == input.EmailReceiveDatetime.Value)</v>
      </c>
    </row>
    <row r="24" spans="1:23" customFormat="1" ht="18.75" customHeight="1" x14ac:dyDescent="0.25">
      <c r="A24" s="5" t="s">
        <v>392</v>
      </c>
      <c r="B24" t="s">
        <v>0</v>
      </c>
      <c r="C24" t="s">
        <v>1</v>
      </c>
      <c r="D24" t="str">
        <f t="shared" si="65"/>
        <v>CheckedBy</v>
      </c>
      <c r="E24" t="str">
        <f t="shared" si="66"/>
        <v>bigint</v>
      </c>
      <c r="F24" s="6"/>
      <c r="G24" t="str">
        <f t="shared" si="67"/>
        <v/>
      </c>
      <c r="H24" t="str">
        <f>+VLOOKUP(E24,'Data Type Mapping'!A:B,2,)</f>
        <v>long</v>
      </c>
      <c r="I24" t="str">
        <f t="shared" si="68"/>
        <v/>
      </c>
      <c r="J24" t="str">
        <f t="shared" si="69"/>
        <v xml:space="preserve">		public virtual long CheckedBy { get; set; }
</v>
      </c>
      <c r="K24" s="6"/>
      <c r="L24" t="str">
        <f t="shared" si="70"/>
        <v/>
      </c>
      <c r="M24" t="str">
        <f t="shared" si="71"/>
        <v xml:space="preserve">		public virtual long CheckedBy { get; set; }
</v>
      </c>
      <c r="N24" t="str">
        <f t="shared" si="72"/>
        <v xml:space="preserve">		public virtual long CheckedBy { get; set; }
</v>
      </c>
      <c r="O24" t="str">
        <f t="shared" si="73"/>
        <v/>
      </c>
      <c r="P24" t="str">
        <f t="shared" si="74"/>
        <v xml:space="preserve">							CheckedBy = o.CheckedBy,</v>
      </c>
      <c r="T24" s="64" t="str">
        <f t="shared" si="75"/>
        <v xml:space="preserve">								("CheckedBy"),</v>
      </c>
      <c r="V24" s="65" t="str">
        <f t="shared" si="76"/>
        <v xml:space="preserve">								_ =&gt; _.CheckedBy,</v>
      </c>
      <c r="W24" s="64" t="str">
        <f t="shared" si="77"/>
        <v/>
      </c>
    </row>
    <row r="25" spans="1:23" customFormat="1" ht="18.75" customHeight="1" x14ac:dyDescent="0.25">
      <c r="A25" s="5" t="s">
        <v>393</v>
      </c>
      <c r="B25" t="s">
        <v>399</v>
      </c>
      <c r="C25" t="s">
        <v>1</v>
      </c>
      <c r="D25" t="str">
        <f t="shared" ref="D25" si="78">SUBSTITUTE(PROPER(A25),"_","")</f>
        <v>CheckedDatetime</v>
      </c>
      <c r="E25" t="str">
        <f t="shared" ref="E25" si="79">IFERROR(LEFT(B25, FIND("(",B25)-1),B25)</f>
        <v>datetime2</v>
      </c>
      <c r="F25" s="6"/>
      <c r="G25" t="str">
        <f t="shared" ref="G25" si="80">IFERROR(MID(B25,FIND("(",B25) +1, FIND(")",B25) - FIND("(",B25) - 1),"")</f>
        <v>7</v>
      </c>
      <c r="H25" t="str">
        <f>+VLOOKUP(E25,'Data Type Mapping'!A:B,2,)</f>
        <v>DateTime</v>
      </c>
      <c r="I25" t="str">
        <f t="shared" ref="I25" si="81">IF(H25="string",REPT(CHAR(9),2)&amp;"public const int Max"&amp;D25&amp;"Length = "&amp;G25&amp;";"&amp;$E$3,"" )</f>
        <v/>
      </c>
      <c r="J25" t="str">
        <f t="shared" ref="J25" si="82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public virtual DateTime CheckedDatetime { get; set; }
</v>
      </c>
      <c r="K25" s="6"/>
      <c r="L25" t="str">
        <f t="shared" ref="L25" si="83">IF(K25="","",REPT(CHAR(9),1)&amp;"[Index(nameof("&amp;IF(D25="","",""&amp;D25)&amp;")"&amp;", Name="&amp;"""IX_"&amp;$B$7&amp;"_"&amp;D25&amp;""")]")</f>
        <v/>
      </c>
      <c r="M25" t="str">
        <f t="shared" ref="M25" si="84">REPT(CHAR(9),2)&amp;"public virtual "&amp;IF(OR(H25="DateTime",H25="TimeSpan"),H25&amp;"?",H25)&amp;IF(C25="?","? "," ")&amp;D25&amp;" { get; set; }" &amp; "
"</f>
        <v xml:space="preserve">		public virtual DateTime? CheckedDatetime { get; set; }
</v>
      </c>
      <c r="N25" t="str">
        <f t="shared" ref="N25" si="85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public virtual DateTime? CheckedDatetime { get; set; }
</v>
      </c>
      <c r="O25" t="str">
        <f t="shared" ref="O25" si="86">IF(OR(H25="string",H25="DateTime",H25="int"),REPT(CHAR(9),2)&amp;"public virtual "&amp;IF(OR(H25="DateTime",H25="TimeSpan"),H25&amp;"?",H25)&amp;IF(C25="?","? "," ")&amp;D25&amp;" { get; set; }"&amp;$E$3,"")</f>
        <v xml:space="preserve">		public virtual DateTime? CheckedDatetime { get; set; }
</v>
      </c>
      <c r="P25" t="str">
        <f t="shared" ref="P25" si="87">REPT(CHAR(9),7)&amp;D25&amp;" = o." &amp;D25 &amp;","</f>
        <v xml:space="preserve">							CheckedDatetime = o.CheckedDatetime,</v>
      </c>
      <c r="T25" s="64" t="str">
        <f t="shared" ref="T25" si="88">REPT(CHAR(9),8)&amp;"("""&amp;D25&amp;"""),"</f>
        <v xml:space="preserve">								("CheckedDatetime"),</v>
      </c>
      <c r="V25" s="65" t="str">
        <f t="shared" ref="V25" si="89">REPT(CHAR(9),8)&amp;"_ =&gt; _."&amp;D25&amp;","</f>
        <v xml:space="preserve">								_ =&gt; _.CheckedDatetime,</v>
      </c>
      <c r="W25" s="64" t="str">
        <f t="shared" ref="W25" si="90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.WhereIf(input.CheckedDatetime.HasValue, t =&gt; t.CheckedDatetime == input.CheckedDatetime.Value)</v>
      </c>
    </row>
    <row r="26" spans="1:23" customFormat="1" ht="18.75" customHeight="1" x14ac:dyDescent="0.25">
      <c r="A26" s="5" t="s">
        <v>391</v>
      </c>
      <c r="B26" t="s">
        <v>353</v>
      </c>
      <c r="C26" t="s">
        <v>1</v>
      </c>
      <c r="D26" t="str">
        <f t="shared" ref="D26:D29" si="91">SUBSTITUTE(PROPER(A26),"_","")</f>
        <v>ApprovedBy</v>
      </c>
      <c r="E26" t="str">
        <f t="shared" ref="E26:E29" si="92">IFERROR(LEFT(B26, FIND("(",B26)-1),B26)</f>
        <v>nvarchar</v>
      </c>
      <c r="F26" s="6"/>
      <c r="G26" t="str">
        <f t="shared" ref="G26:G29" si="93">IFERROR(MID(B26,FIND("(",B26) +1, FIND(")",B26) - FIND("(",B26) - 1),"")</f>
        <v>50</v>
      </c>
      <c r="H26" t="str">
        <f>+VLOOKUP(E26,'Data Type Mapping'!A:B,2,)</f>
        <v>string</v>
      </c>
      <c r="I26" t="str">
        <f t="shared" ref="I26:I29" si="94">IF(H26="string",REPT(CHAR(9),2)&amp;"public const int Max"&amp;D26&amp;"Length = "&amp;G26&amp;";"&amp;$E$3,"" )</f>
        <v xml:space="preserve">		public const int MaxApprovedByLength = 50;
</v>
      </c>
      <c r="J26" t="str">
        <f t="shared" ref="J26:J29" si="95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[StringLength(MaxApprovedByLength)]
		public virtual string ApprovedBy { get; set; }
</v>
      </c>
      <c r="K26" s="6"/>
      <c r="L26" t="str">
        <f t="shared" ref="L26:L29" si="96">IF(K26="","",REPT(CHAR(9),1)&amp;"[Index(nameof("&amp;IF(D26="","",""&amp;D26)&amp;")"&amp;", Name="&amp;"""IX_"&amp;$B$7&amp;"_"&amp;D26&amp;""")]")</f>
        <v/>
      </c>
      <c r="M26" t="str">
        <f t="shared" ref="M26:M29" si="97">REPT(CHAR(9),2)&amp;"public virtual "&amp;IF(OR(H26="DateTime",H26="TimeSpan"),H26&amp;"?",H26)&amp;IF(C26="?","? "," ")&amp;D26&amp;" { get; set; }" &amp; "
"</f>
        <v xml:space="preserve">		public virtual string ApprovedBy { get; set; }
</v>
      </c>
      <c r="N26" t="str">
        <f t="shared" ref="N26:N29" si="98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[StringLength(MstCmmExchangeRateConsts.MaxApprovedByLength)]
		public virtual string ApprovedBy { get; set; }
</v>
      </c>
      <c r="O26" t="str">
        <f t="shared" ref="O26:O29" si="99">IF(OR(H26="string",H26="DateTime",H26="int"),REPT(CHAR(9),2)&amp;"public virtual "&amp;IF(OR(H26="DateTime",H26="TimeSpan"),H26&amp;"?",H26)&amp;IF(C26="?","? "," ")&amp;D26&amp;" { get; set; }"&amp;$E$3,"")</f>
        <v xml:space="preserve">		public virtual string ApprovedBy { get; set; }
</v>
      </c>
      <c r="P26" t="str">
        <f t="shared" ref="P26:P29" si="100">REPT(CHAR(9),7)&amp;D26&amp;" = o." &amp;D26 &amp;","</f>
        <v xml:space="preserve">							ApprovedBy = o.ApprovedBy,</v>
      </c>
      <c r="T26" s="64" t="str">
        <f t="shared" ref="T26:T29" si="101">REPT(CHAR(9),8)&amp;"("""&amp;D26&amp;"""),"</f>
        <v xml:space="preserve">								("ApprovedBy"),</v>
      </c>
      <c r="V26" s="65" t="str">
        <f t="shared" ref="V26:V29" si="102">REPT(CHAR(9),8)&amp;"_ =&gt; _."&amp;D26&amp;","</f>
        <v xml:space="preserve">								_ =&gt; _.ApprovedBy,</v>
      </c>
      <c r="W26" s="64" t="str">
        <f t="shared" ref="W26:W29" si="103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.WhereIf(!string.IsNullOrWhiteSpace(input.ApprovedBy), e =&gt; e.ApprovedBy.Contains(input.ApprovedBy))</v>
      </c>
    </row>
    <row r="27" spans="1:23" customFormat="1" ht="18.75" customHeight="1" x14ac:dyDescent="0.25">
      <c r="A27" s="5" t="s">
        <v>394</v>
      </c>
      <c r="B27" t="s">
        <v>399</v>
      </c>
      <c r="C27" t="s">
        <v>1</v>
      </c>
      <c r="D27" t="str">
        <f t="shared" si="91"/>
        <v>ApprovedDatetime</v>
      </c>
      <c r="E27" t="str">
        <f t="shared" si="92"/>
        <v>datetime2</v>
      </c>
      <c r="F27" s="6"/>
      <c r="G27" t="str">
        <f t="shared" si="93"/>
        <v>7</v>
      </c>
      <c r="H27" t="str">
        <f>+VLOOKUP(E27,'Data Type Mapping'!A:B,2,)</f>
        <v>DateTime</v>
      </c>
      <c r="I27" t="str">
        <f t="shared" si="94"/>
        <v/>
      </c>
      <c r="J27" t="str">
        <f t="shared" si="95"/>
        <v xml:space="preserve">		public virtual DateTime ApprovedDatetime { get; set; }
</v>
      </c>
      <c r="K27" s="6"/>
      <c r="L27" t="str">
        <f t="shared" si="96"/>
        <v/>
      </c>
      <c r="M27" t="str">
        <f t="shared" si="97"/>
        <v xml:space="preserve">		public virtual DateTime? ApprovedDatetime { get; set; }
</v>
      </c>
      <c r="N27" t="str">
        <f t="shared" si="98"/>
        <v xml:space="preserve">		public virtual DateTime? ApprovedDatetime { get; set; }
</v>
      </c>
      <c r="O27" t="str">
        <f t="shared" si="99"/>
        <v xml:space="preserve">		public virtual DateTime? ApprovedDatetime { get; set; }
</v>
      </c>
      <c r="P27" t="str">
        <f t="shared" si="100"/>
        <v xml:space="preserve">							ApprovedDatetime = o.ApprovedDatetime,</v>
      </c>
      <c r="T27" s="64" t="str">
        <f t="shared" si="101"/>
        <v xml:space="preserve">								("ApprovedDatetime"),</v>
      </c>
      <c r="V27" s="65" t="str">
        <f t="shared" si="102"/>
        <v xml:space="preserve">								_ =&gt; _.ApprovedDatetime,</v>
      </c>
      <c r="W27" s="64" t="str">
        <f t="shared" si="103"/>
        <v xml:space="preserve">				.WhereIf(input.ApprovedDatetime.HasValue, t =&gt; t.ApprovedDatetime == input.ApprovedDatetime.Value)</v>
      </c>
    </row>
    <row r="28" spans="1:23" customFormat="1" ht="18.75" customHeight="1" x14ac:dyDescent="0.25">
      <c r="A28" s="5" t="s">
        <v>385</v>
      </c>
      <c r="B28" t="s">
        <v>402</v>
      </c>
      <c r="C28" t="s">
        <v>1</v>
      </c>
      <c r="D28" t="str">
        <f t="shared" ref="D28" si="104">SUBSTITUTE(PROPER(A28),"_","")</f>
        <v>Status</v>
      </c>
      <c r="E28" t="str">
        <f t="shared" ref="E28" si="105">IFERROR(LEFT(B28, FIND("(",B28)-1),B28)</f>
        <v>nvarchar</v>
      </c>
      <c r="F28" s="6"/>
      <c r="G28" t="str">
        <f t="shared" ref="G28" si="106">IFERROR(MID(B28,FIND("(",B28) +1, FIND(")",B28) - FIND("(",B28) - 1),"")</f>
        <v>20</v>
      </c>
      <c r="H28" t="str">
        <f>+VLOOKUP(E28,'Data Type Mapping'!A:B,2,)</f>
        <v>string</v>
      </c>
      <c r="I28" t="str">
        <f t="shared" ref="I28" si="107">IF(H28="string",REPT(CHAR(9),2)&amp;"public const int Max"&amp;D28&amp;"Length = "&amp;G28&amp;";"&amp;$E$3,"" )</f>
        <v xml:space="preserve">		public const int MaxStatusLength = 20;
</v>
      </c>
      <c r="J28" t="str">
        <f t="shared" ref="J28" si="108">IF(F28="","",REPT(CHAR(9),2)&amp;"[Column(TypeName="""&amp;F28&amp;""")]"&amp;$E$3)&amp;IF(C28="Checked","",$I$3)&amp;IF(H28="string",REPT(CHAR(9),2)&amp;"[StringLength(Max"&amp;D28&amp;"Length"&amp;")]"&amp;$E$3,"")&amp;REPT(CHAR(9),2)&amp;"public virtual "&amp;H28&amp;IF(C28="?","? "," ")&amp;D28&amp;" { get; set; }" &amp; "
"</f>
        <v xml:space="preserve">		[StringLength(MaxStatusLength)]
		public virtual string Status { get; set; }
</v>
      </c>
      <c r="K28" s="6"/>
      <c r="L28" t="str">
        <f t="shared" ref="L28" si="109">IF(K28="","",REPT(CHAR(9),1)&amp;"[Index(nameof("&amp;IF(D28="","",""&amp;D28)&amp;")"&amp;", Name="&amp;"""IX_"&amp;$B$7&amp;"_"&amp;D28&amp;""")]")</f>
        <v/>
      </c>
      <c r="M28" t="str">
        <f t="shared" ref="M28" si="110">REPT(CHAR(9),2)&amp;"public virtual "&amp;IF(OR(H28="DateTime",H28="TimeSpan"),H28&amp;"?",H28)&amp;IF(C28="?","? "," ")&amp;D28&amp;" { get; set; }" &amp; "
"</f>
        <v xml:space="preserve">		public virtual string Status { get; set; }
</v>
      </c>
      <c r="N28" t="str">
        <f t="shared" ref="N28" si="111">IF(C28="Checked","",$I$3)&amp;IF(H28="string",REPT(CHAR(9),2)&amp;"[StringLength("&amp;$B$3&amp;"Consts.Max"&amp;D28&amp;"Length"&amp;")]"&amp;$E$3,"")&amp;REPT(CHAR(9),2)&amp;"public virtual "&amp;IF(OR(H28="DateTime",H28="TimeSpan"),H28&amp;"?",H28)&amp;IF(C28="?","? "," ")&amp;D28&amp;" { get; set; }" &amp; "
"</f>
        <v xml:space="preserve">		[StringLength(MstCmmExchangeRateConsts.MaxStatusLength)]
		public virtual string Status { get; set; }
</v>
      </c>
      <c r="O28" t="str">
        <f t="shared" ref="O28" si="112">IF(OR(H28="string",H28="DateTime",H28="int"),REPT(CHAR(9),2)&amp;"public virtual "&amp;IF(OR(H28="DateTime",H28="TimeSpan"),H28&amp;"?",H28)&amp;IF(C28="?","? "," ")&amp;D28&amp;" { get; set; }"&amp;$E$3,"")</f>
        <v xml:space="preserve">		public virtual string Status { get; set; }
</v>
      </c>
      <c r="P28" t="str">
        <f t="shared" ref="P28" si="113">REPT(CHAR(9),7)&amp;D28&amp;" = o." &amp;D28 &amp;","</f>
        <v xml:space="preserve">							Status = o.Status,</v>
      </c>
      <c r="T28" s="64" t="str">
        <f t="shared" ref="T28" si="114">REPT(CHAR(9),8)&amp;"("""&amp;D28&amp;"""),"</f>
        <v xml:space="preserve">								("Status"),</v>
      </c>
      <c r="V28" s="65" t="str">
        <f t="shared" ref="V28" si="115">REPT(CHAR(9),8)&amp;"_ =&gt; _."&amp;D28&amp;","</f>
        <v xml:space="preserve">								_ =&gt; _.Status,</v>
      </c>
      <c r="W28" s="64" t="str">
        <f t="shared" ref="W28" si="116">IF(H28="string",REPT(CHAR(9),4)&amp;".WhereIf(!string.IsNullOrWhiteSpace(input."&amp;D28&amp;"), e =&gt; e."&amp;D28&amp;".Contains(input."&amp;D28&amp;"))",IF(H28="DateTime",REPT(CHAR(9),4)&amp;".WhereIf(input."&amp;D28&amp;".HasValue, t =&gt; t."&amp;D28&amp;" == input."&amp;D28&amp;".Value)",""))</f>
        <v xml:space="preserve">				.WhereIf(!string.IsNullOrWhiteSpace(input.Status), e =&gt; e.Status.Contains(input.Status))</v>
      </c>
    </row>
    <row r="29" spans="1:23" customFormat="1" ht="18.75" customHeight="1" x14ac:dyDescent="0.25">
      <c r="A29" s="5" t="s">
        <v>401</v>
      </c>
      <c r="B29" t="s">
        <v>353</v>
      </c>
      <c r="C29" t="s">
        <v>1</v>
      </c>
      <c r="D29" t="str">
        <f t="shared" si="91"/>
        <v>ToolName</v>
      </c>
      <c r="E29" t="str">
        <f t="shared" si="92"/>
        <v>nvarchar</v>
      </c>
      <c r="F29" s="6"/>
      <c r="G29" t="str">
        <f t="shared" si="93"/>
        <v>50</v>
      </c>
      <c r="H29" t="str">
        <f>+VLOOKUP(E29,'Data Type Mapping'!A:B,2,)</f>
        <v>string</v>
      </c>
      <c r="I29" t="str">
        <f t="shared" si="94"/>
        <v xml:space="preserve">		public const int MaxToolNameLength = 50;
</v>
      </c>
      <c r="J29" t="str">
        <f t="shared" si="95"/>
        <v xml:space="preserve">		[StringLength(MaxToolNameLength)]
		public virtual string ToolName { get; set; }
</v>
      </c>
      <c r="K29" s="6"/>
      <c r="L29" t="str">
        <f t="shared" si="96"/>
        <v/>
      </c>
      <c r="M29" t="str">
        <f t="shared" si="97"/>
        <v xml:space="preserve">		public virtual string ToolName { get; set; }
</v>
      </c>
      <c r="N29" t="str">
        <f t="shared" si="98"/>
        <v xml:space="preserve">		[StringLength(MstCmmExchangeRateConsts.MaxToolNameLength)]
		public virtual string ToolName { get; set; }
</v>
      </c>
      <c r="O29" t="str">
        <f t="shared" si="99"/>
        <v xml:space="preserve">		public virtual string ToolName { get; set; }
</v>
      </c>
      <c r="P29" t="str">
        <f t="shared" si="100"/>
        <v xml:space="preserve">							ToolName = o.ToolName,</v>
      </c>
      <c r="T29" s="64" t="str">
        <f t="shared" si="101"/>
        <v xml:space="preserve">								("ToolName"),</v>
      </c>
      <c r="V29" s="65" t="str">
        <f t="shared" si="102"/>
        <v xml:space="preserve">								_ =&gt; _.ToolName,</v>
      </c>
      <c r="W29" s="64" t="str">
        <f t="shared" si="103"/>
        <v xml:space="preserve">				.WhereIf(!string.IsNullOrWhiteSpace(input.ToolName), e =&gt; e.ToolName.Contains(input.ToolName))</v>
      </c>
    </row>
    <row r="30" spans="1:23" customFormat="1" ht="22.5" customHeight="1" x14ac:dyDescent="0.25">
      <c r="A30" s="5" t="s">
        <v>324</v>
      </c>
      <c r="B30" t="s">
        <v>352</v>
      </c>
      <c r="C30" t="s">
        <v>1</v>
      </c>
      <c r="D30" t="str">
        <f>SUBSTITUTE(PROPER(A30),"_","")</f>
        <v>IsActive</v>
      </c>
      <c r="E30" t="str">
        <f t="shared" ref="E30" si="117">IFERROR(LEFT(B30, FIND("(",B30)-1),B30)</f>
        <v>nvarchar</v>
      </c>
      <c r="F30" s="6"/>
      <c r="G30" t="str">
        <f t="shared" ref="G30" si="118">IFERROR(MID(B30,FIND("(",B30) +1, FIND(")",B30) - FIND("(",B30) - 1),"")</f>
        <v>1</v>
      </c>
      <c r="H30" t="str">
        <f>+VLOOKUP(E30,'[1]Data Type Mapping'!A:B,2,)</f>
        <v>string</v>
      </c>
      <c r="I30" t="str">
        <f t="shared" ref="I30" si="119">IF(H30="string",REPT(CHAR(9),2)&amp;"public const int Max"&amp;D30&amp;"Length = "&amp;G30&amp;";"&amp;$E$3,"" )</f>
        <v xml:space="preserve">		public const int MaxIsActiveLength = 1;
</v>
      </c>
      <c r="J30" t="str">
        <f t="shared" ref="J30" si="120">IF(F30="","",REPT(CHAR(9),2)&amp;"[Column(TypeName="""&amp;F30&amp;""")]"&amp;$E$3)&amp;IF(C30="Checked","",$I$3)&amp;IF(H30="string",REPT(CHAR(9),2)&amp;"[StringLength(Max"&amp;D30&amp;"Length"&amp;")]"&amp;$E$3,"")&amp;REPT(CHAR(9),2)&amp;"public virtual "&amp;H30&amp;IF(C30="?","? "," ")&amp;D30&amp;" { get; set; }" &amp; "
"</f>
        <v xml:space="preserve">		[StringLength(MaxIsActiveLength)]
		public virtual string IsActive { get; set; }
</v>
      </c>
      <c r="K30" s="6" t="s">
        <v>206</v>
      </c>
      <c r="L30" t="str">
        <f>IF(K30="","",REPT(CHAR(9),1)&amp;"[Index(nameof("&amp;IF(D30="","",""&amp;D30)&amp;")"&amp;", Name="&amp;"""IX_"&amp;$B$7&amp;"_"&amp;D30&amp;""")]")</f>
        <v xml:space="preserve">	[Index(nameof(IsActive), Name="IX_MstCmmExchangeRate_IsActive")]</v>
      </c>
      <c r="M30" t="str">
        <f t="shared" ref="M30" si="121">REPT(CHAR(9),2)&amp;"public virtual "&amp;IF(OR(H30="DateTime",H30="TimeSpan"),H30&amp;"?",H30)&amp;IF(C30="?","? "," ")&amp;D30&amp;" { get; set; }" &amp; "
"</f>
        <v xml:space="preserve">		public virtual string IsActive { get; set; }
</v>
      </c>
      <c r="N30" t="str">
        <f t="shared" ref="N30" si="122"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[StringLength(MstCmmExchangeRateConsts.MaxIsActiveLength)]
		public virtual string IsActive { get; set; }
</v>
      </c>
      <c r="O30" t="str">
        <f t="shared" ref="O30" si="123">IF(OR(H30="string",H30="DateTime",H30="int"),REPT(CHAR(9),2)&amp;"public virtual "&amp;IF(OR(H30="DateTime",H30="TimeSpan"),H30&amp;"?",H30)&amp;IF(C30="?","? "," ")&amp;D30&amp;" { get; set; }"&amp;$E$3,"")</f>
        <v xml:space="preserve">		public virtual string IsActive { get; set; }
</v>
      </c>
      <c r="P30" t="str">
        <f t="shared" ref="P30" si="124">REPT(CHAR(9),7)&amp;D30&amp;" = o." &amp;D30 &amp;","</f>
        <v xml:space="preserve">							IsActive = o.IsActive,</v>
      </c>
      <c r="T30" s="64" t="str">
        <f t="shared" ref="T30" si="125">REPT(CHAR(9),8)&amp;"("""&amp;D30&amp;"""),"</f>
        <v xml:space="preserve">								("IsActive"),</v>
      </c>
      <c r="V30" s="65" t="str">
        <f t="shared" ref="V30" si="126">REPT(CHAR(9),8)&amp;"_ =&gt; _."&amp;D30&amp;","</f>
        <v xml:space="preserve">								_ =&gt; _.IsActive,</v>
      </c>
      <c r="W30" s="64" t="str">
        <f t="shared" ref="W30" si="127"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 xml:space="preserve">				.WhereIf(!string.IsNullOrWhiteSpace(input.IsActive), e =&gt; e.IsActive.Contains(input.IsActive))</v>
      </c>
    </row>
    <row r="32" spans="1:23" ht="45.75" customHeight="1" x14ac:dyDescent="0.25">
      <c r="H32" s="11"/>
      <c r="I32" s="31" t="str">
        <f ca="1">TEXTJOIN2("
", TRUE,INDIRECT( $H$1):INDIRECT( $H$3))</f>
        <v xml:space="preserve">		public const int MaxMajorCurrencyLength = 3;
		public const int MaxMinorCurrencyLength = 3;
		public const int MaxIsDownloadedLength = 1;
		public const int MaxIsEmailReceivedLength = 1;
		public const int MaxIsDiffLength = 1;
		public const int MaxApprovedByLength = 50;
		public const int MaxStatusLength = 20;
		public const int MaxToolNameLength = 50;
		public const int MaxIsActiveLength = 1;
</v>
      </c>
      <c r="J32" s="30" t="str">
        <f ca="1">TEXTJOIN2("
", TRUE,INDIRECT( $F$1):INDIRECT( $F$3))</f>
        <v xml:space="preserve">		public virtual DateTime ExchangeDate { get; set; }
		public virtual int Version { get; set; }
		[StringLength(MaxMajorCurrencyLength)]
		public virtual string MajorCurrency { get; set; }
		[StringLength(MaxMinorCurrencyLength)]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[StringLength(MaxIsDownloadedLength)]
		public virtual string IsDownloaded { get; set; }
		[StringLength(MaxIsEmailReceivedLength)]
		public virtual string IsEmailReceived { get; set; }
		[StringLength(MaxIsDiffLength)]
		public virtual string IsDiff { get; set; }
		public virtual DateTime DownloadDatetime { get; set; }
		public virtual DateTime EmailReceiveDatetime { get; set; }
		public virtual long CheckedBy { get; set; }
		public virtual DateTime CheckedDatetime { get; set; }
		[StringLength(MaxApprovedByLength)]
		public virtual string ApprovedBy { get; set; }
		public virtual DateTime ApprovedDatetime { get; set; }
		[StringLength(MaxStatusLength)]
		public virtual string Status { get; set; }
		[StringLength(MaxToolNameLength)]
		public virtual string ToolName { get; set; }
		[StringLength(MaxIsActiveLength)]
		public virtual string IsActive { get; set; }
</v>
      </c>
      <c r="K32" s="32" t="str">
        <f ca="1">TEXTJOIN2("
", TRUE,INDIRECT( $J$1):INDIRECT( $J$3))</f>
        <v xml:space="preserve">	[Index(nameof(ExchangeDate), Name="IX_MstCmmExchangeRate_ExchangeDate")]
	[Index(nameof(IsActive), Name="IX_MstCmmExchangeRate_IsActive")]</v>
      </c>
      <c r="L32" s="12" t="s">
        <v>60</v>
      </c>
      <c r="M32" s="33" t="str">
        <f ca="1">TEXTJOIN2("
",TRUE,INDIRECT( $L$1):INDIRECT($L$3))</f>
        <v xml:space="preserve">		public virtual DateTime? ExchangeDate { get; set; }
		public virtual int Version { get; set; }
		public virtual string MajorCurrency { get; set; }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public virtual string IsDownloaded { get; set; }
		public virtual string IsEmailReceived { get; set; }
		public virtual string IsDiff { get; set; }
		public virtual DateTime? DownloadDatetime { get; set; }
		public virtual DateTime? EmailReceiveDatetime { get; set; }
		public virtual long CheckedBy { get; set; }
		public virtual DateTime? CheckedDatetime { get; set; }
		public virtual string ApprovedBy { get; set; }
		public virtual DateTime? ApprovedDatetime { get; set; }
		public virtual string Status { get; set; }
		public virtual string ToolName { get; set; }
		public virtual string IsActive { get; set; }
</v>
      </c>
      <c r="N32" s="30" t="str">
        <f ca="1">TEXTJOIN2("
",TRUE,INDIRECT( $M$1):INDIRECT($M$3))</f>
        <v xml:space="preserve">		public virtual DateTime? ExchangeDate { get; set; }
		public virtual int Version { get; set; }
		[StringLength(MstCmmExchangeRateConsts.MaxMajorCurrencyLength)]
		public virtual string MajorCurrency { get; set; }
		[StringLength(MstCmmExchangeRateConsts.MaxMinorCurrencyLength)]
		public virtual string MinorCurrency { get; set; }
		public virtual decimal CeilingRate { get; set; }
		public virtual decimal SvbRate { get; set; }
		public virtual decimal FloorRate { get; set; }
		public virtual decimal BuyingOd { get; set; }
		public virtual decimal BuyingTt { get; set; }
		public virtual decimal SellingTtOd { get; set; }
		[StringLength(MstCmmExchangeRateConsts.MaxIsDownloadedLength)]
		public virtual string IsDownloaded { get; set; }
		[StringLength(MstCmmExchangeRateConsts.MaxIsEmailReceivedLength)]
		public virtual string IsEmailReceived { get; set; }
		[StringLength(MstCmmExchangeRateConsts.MaxIsDiffLength)]
		public virtual string IsDiff { get; set; }
		public virtual DateTime? DownloadDatetime { get; set; }
		public virtual DateTime? EmailReceiveDatetime { get; set; }
		public virtual long CheckedBy { get; set; }
		public virtual DateTime? CheckedDatetime { get; set; }
		[StringLength(MstCmmExchangeRateConsts.MaxApprovedByLength)]
		public virtual string ApprovedBy { get; set; }
		public virtual DateTime? ApprovedDatetime { get; set; }
		[StringLength(MstCmmExchangeRateConsts.MaxStatusLength)]
		public virtual string Status { get; set; }
		[StringLength(MstCmmExchangeRateConsts.MaxToolNameLength)]
		public virtual string ToolName { get; set; }
		[StringLength(MstCmmExchangeRateConsts.MaxIsActiveLength)]
		public virtual string IsActive { get; set; }
</v>
      </c>
      <c r="O32" s="30" t="str">
        <f ca="1">TEXTJOIN2("
",TRUE,INDIRECT( $N$1):INDIRECT($N$3))</f>
        <v xml:space="preserve">		public virtual DateTime? ExchangeDate { get; set; }
		public virtual int Version { get; set; }
		public virtual string MajorCurrency { get; set; }
		public virtual string MinorCurrency { get; set; }
		public virtual string IsDownloaded { get; set; }
		public virtual string IsEmailReceived { get; set; }
		public virtual string IsDiff { get; set; }
		public virtual DateTime? DownloadDatetime { get; set; }
		public virtual DateTime? EmailReceiveDatetime { get; set; }
		public virtual DateTime? CheckedDatetime { get; set; }
		public virtual string ApprovedBy { get; set; }
		public virtual DateTime? ApprovedDatetime { get; set; }
		public virtual string Status { get; set; }
		public virtual string ToolName { get; set; }
		public virtual string IsActive { get; set; }
</v>
      </c>
      <c r="P32" s="8" t="str">
        <f ca="1">TEXTJOIN2("
",TRUE,INDIRECT( $O$1):INDIRECT($O$3))</f>
        <v xml:space="preserve">							ExchangeDate = o.ExchangeDate,
							Version = o.Version,
							MajorCurrency = o.MajorCurrency,
							MinorCurrency = o.MinorCurrency,
							CeilingRate = o.CeilingRate,
							SvbRate = o.SvbRate,
							FloorRate = o.FloorRate,
							BuyingOd = o.BuyingOd,
							BuyingTt = o.BuyingTt,
							SellingTtOd = o.SellingTtOd,
							IsDownloaded = o.IsDownloaded,
							IsEmailReceived = o.IsEmailReceived,
							IsDiff = o.IsDiff,
							DownloadDatetime = o.DownloadDatetime,
							EmailReceiveDatetime = o.EmailReceiveDatetime,
							CheckedBy = o.CheckedBy,
							CheckedDatetime = o.CheckedDatetime,
							ApprovedBy = o.ApprovedBy,
							ApprovedDatetime = o.ApprovedDatetime,
							Status = o.Status,
							ToolName = o.ToolName,
							IsActive = o.IsActive,</v>
      </c>
      <c r="T32" s="8" t="str">
        <f ca="1">TEXTJOIN2("
",TRUE,INDIRECT( $T$2):INDIRECT($T$3))</f>
        <v xml:space="preserve">								("ExchangeDate"),
								("Version"),
								("MajorCurrency"),
								("MinorCurrency"),
								("CeilingRate"),
								("SvbRate"),
								("FloorRate"),
								("BuyingOd"),
								("BuyingTt"),
								("SellingTtOd"),
								("IsDownloaded"),
								("IsEmailReceived"),
								("IsDiff"),
								("DownloadDatetime"),
								("EmailReceiveDatetime"),
								("CheckedBy"),
								("CheckedDatetime"),
								("ApprovedBy"),
								("ApprovedDatetime"),
								("Status"),
								("ToolName"),
								("IsActive"),</v>
      </c>
      <c r="V32" s="8" t="str">
        <f ca="1">TEXTJOIN2("
",TRUE,INDIRECT( $V$2):INDIRECT($V$3))</f>
        <v xml:space="preserve">								_ =&gt; _.ExchangeDate,
								_ =&gt; _.Version,
								_ =&gt; _.MajorCurrency,
								_ =&gt; _.MinorCurrency,
								_ =&gt; _.CeilingRate,
								_ =&gt; _.SvbRate,
								_ =&gt; _.FloorRate,
								_ =&gt; _.BuyingOd,
								_ =&gt; _.BuyingTt,
								_ =&gt; _.SellingTtOd,
								_ =&gt; _.IsDownloaded,
								_ =&gt; _.IsEmailReceived,
								_ =&gt; _.IsDiff,
								_ =&gt; _.DownloadDatetime,
								_ =&gt; _.EmailReceiveDatetime,
								_ =&gt; _.CheckedBy,
								_ =&gt; _.CheckedDatetime,
								_ =&gt; _.ApprovedBy,
								_ =&gt; _.ApprovedDatetime,
								_ =&gt; _.Status,
								_ =&gt; _.ToolName,
								_ =&gt; _.IsActive,</v>
      </c>
      <c r="W32" s="8" t="str">
        <f ca="1">TEXTJOIN2("
",TRUE,INDIRECT( $W$2):INDIRECT($W$3))</f>
        <v xml:space="preserve">				.WhereIf(input.ExchangeDate.HasValue, t =&gt; t.ExchangeDate == input.ExchangeDate.Value)
				.WhereIf(!string.IsNullOrWhiteSpace(input.MajorCurrency), e =&gt; e.MajorCurrency.Contains(input.MajorCurrency))
				.WhereIf(!string.IsNullOrWhiteSpace(input.MinorCurrency), e =&gt; e.MinorCurrency.Contains(input.MinorCurrency))
				.WhereIf(!string.IsNullOrWhiteSpace(input.IsDownloaded), e =&gt; e.IsDownloaded.Contains(input.IsDownloaded))
				.WhereIf(!string.IsNullOrWhiteSpace(input.IsEmailReceived), e =&gt; e.IsEmailReceived.Contains(input.IsEmailReceived))
				.WhereIf(!string.IsNullOrWhiteSpace(input.IsDiff), e =&gt; e.IsDiff.Contains(input.IsDiff))
				.WhereIf(input.DownloadDatetime.HasValue, t =&gt; t.DownloadDatetime == input.DownloadDatetime.Value)
				.WhereIf(input.EmailReceiveDatetime.HasValue, t =&gt; t.EmailReceiveDatetime == input.EmailReceiveDatetime.Value)
				.WhereIf(input.CheckedDatetime.HasValue, t =&gt; t.CheckedDatetime == input.CheckedDatetime.Value)
				.WhereIf(!string.IsNullOrWhiteSpace(input.ApprovedBy), e =&gt; e.ApprovedBy.Contains(input.ApprovedBy))
				.WhereIf(input.ApprovedDatetime.HasValue, t =&gt; t.ApprovedDatetime == input.ApprovedDatetime.Value)
				.WhereIf(!string.IsNullOrWhiteSpace(input.Status), e =&gt; e.Status.Contains(input.Status))
				.WhereIf(!string.IsNullOrWhiteSpace(input.ToolName), e =&gt; e.ToolName.Contains(input.ToolName))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8"/>
  <sheetViews>
    <sheetView tabSelected="1" workbookViewId="0">
      <selection activeCell="F40" sqref="F4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400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MstCmmExchangeRate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ExchangeRate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exchangerate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MstCmmExchangeRateDto, MstCmmExchangeRateServiceProxy } from '@shared/service-proxies/service-proxies';
import { finalize } from 'rxjs/internal/operators/finalize';
import { CreateOrEditExchangeRateModalComponent } from './create-or-edit-exchangerate-modal.component';
import { DatePipe } from '@angular/common';
import { FileDownloadService } from '@shared/utils/file-download.service';
import ceil from 'lodash-es/ceil';
import { Paginator } from 'primeng/paginator';
@Component({
    templateUrl: './exchangerate.component.html',
    styleUrls: ['./exchangerate.component.less'],
})
export class ExchangeRateComponent extends AppComponentBase implements OnInit {
    @ViewChild('createOrEditModalExchangeRate', { static: true }) createOrEditModalExchangeRate:| CreateOrEditExchangeRateModalComponent|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MstCmmExchangeRateDto = new MstCmmExchangeRateDto();
    saveSelectedRow: MstCmmExchangeRateDto = new MstCmmExchangeRateDto();
    datas: MstCmmExchangeRateDto = new MstCmmExchangeRateDto();
    isLoading: boolean = false;
    dataParams: GridParams | undefined;
    rowData: any[] = [];
    gridApi!: GridApi;
    rowSelection = 'multiple';
    filter: string = '';
	pipe = new DatePipe('en-US');
	frameworkComponents: FrameworkComponent;
    	exchangeDate : any ;
	version : number = 0 ;
	majorCurrency : string = '' ; 
	minorCurrency : string = '' ; 
	ceilingRate
	svbRate
	floorRate
	buyingOd
	buyingTt
	sellingTtOd
	isDownloaded : string = '' ; 
	isEmailReceived : string = '' ; 
	isDiff : string = '' ; 
	downloadDatetime : any ;
	emailReceiveDatetime : any ;
	checkedBy
	checkedDatetime : any ;
	approvedBy : string = '' ; 
	approvedDatetime : any ;
	status : string = '' ; 
	toolName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MstCmmExchangeRateServiceProxy,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this.l('Exchange Date'),headerTooltip: this.l('Exchange Date'),field: 'exchangeDate',valueGetter: (params) =&gt; this.pipe.transform(params.data?.exchangeDate, 'dd/MM/yyyy'),flex: 1},
			{headerName: this.l('Version'),headerTooltip: this.l('Version'),field: 'version',flex: 1},
			{headerName: this.l('Major Currency'),headerTooltip: this.l('Major Currency'),field: 'majorCurrency',flex: 1},
			{headerName: this.l('Minor Currency'),headerTooltip: this.l('Minor Currency'),field: 'minorCurrency',flex: 1},
			{headerName: this.l('Ceiling Rate'),headerTooltip: this.l('Ceiling Rate'),field: 'ceilingRate',flex: 1},
			{headerName: this.l('Svb Rate'),headerTooltip: this.l('Svb Rate'),field: 'svbRate',flex: 1},
			{headerName: this.l('Floor Rate'),headerTooltip: this.l('Floor Rate'),field: 'floorRate',flex: 1},
			{headerName: this.l('Buying Od'),headerTooltip: this.l('Buying Od'),field: 'buyingOd',flex: 1},
			{headerName: this.l('Buying Tt'),headerTooltip: this.l('Buying Tt'),field: 'buyingTt',flex: 1},
			{headerName: this.l('Selling Tt Od'),headerTooltip: this.l('Selling Tt Od'),field: 'sellingTtOd',flex: 1},
			{headerName: this.l('Is Downloaded'),headerTooltip: this.l('Is Downloaded'),field:  'isDownloaded', cellClass: ['text-center'], width: 120, cellRenderer: 'agCellButtonComponent',
buttonDefTwo: { text: params =&gt; (params.data?.'isDownloaded' == 'Y') ? 'Active' : 'Inactive',iconName: 'fa fa-circle',className: params =&gt; (params.data?.'isDownloaded' == 'Y') ? 'btnActive' : 'btnInActive',},}
			{headerName: this.l('Is Email Received'),headerTooltip: this.l('Is Email Received'),field:  'isEmailReceived', cellClass: ['text-center'], width: 120, cellRenderer: 'agCellButtonComponent',
buttonDefTwo: { text: params =&gt; (params.data?.'isEmailReceived' == 'Y') ? 'Active' : 'Inactive',iconName: 'fa fa-circle',className: params =&gt; (params.data?.'isEmailReceived' == 'Y') ? 'btnActive' : 'btnInActive',},}
			{headerName: this.l('Is Diff'),headerTooltip: this.l('Is Diff'),field:  'isDiff', cellClass: ['text-center'], width: 120, cellRenderer: 'agCellButtonComponent',
buttonDefTwo: { text: params =&gt; (params.data?.'isDiff' == 'Y') ? 'Active' : 'Inactive',iconName: 'fa fa-circle',className: params =&gt; (params.data?.'isDiff' == 'Y') ? 'btnActive' : 'btnInActive',},}
			{headerName: this.l('Download Datetime'),headerTooltip: this.l('Download Datetime'),field: 'downloadDatetime',valueGetter: (params) =&gt; this.pipe.transform(params.data?.downloadDatetime, 'dd/MM/yyyy'),flex: 1},
			{headerName: this.l('Email Receive Datetime'),headerTooltip: this.l('Email Receive Datetime'),field: 'emailReceiveDatetime',valueGetter: (params) =&gt; this.pipe.transform(params.data?.emailReceiveDatetime, 'dd/MM/yyyy'),flex: 1},
			{headerName: this.l('Checked By'),headerTooltip: this.l('Checked By'),field: 'checkedBy',flex: 1},
			{headerName: this.l('Checked Datetime'),headerTooltip: this.l('Checked Datetime'),field: 'checkedDatetime',valueGetter: (params) =&gt; this.pipe.transform(params.data?.checkedDatetime, 'dd/MM/yyyy'),flex: 1},
			{headerName: this.l('Approved By'),headerTooltip: this.l('Approved By'),field: 'approvedBy',flex: 1},
			{headerName: this.l('Approved Datetime'),headerTooltip: this.l('Approved Datetime'),field: 'approvedDatetime',valueGetter: (params) =&gt; this.pipe.transform(params.data?.approvedDatetime, 'dd/MM/yyyy'),flex: 1},
			{headerName: this.l('Status'),headerTooltip: this.l('Status'),field: 'status',flex: 1},
			{headerName: this.l('Tool Name'),headerTooltip: this.l('Tool Name'),field: 'toolName',flex: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this.exchangeDate,
			this.version,
			this.majorCurrency,
			this.minorCurrency,
			this.ceilingRate,
			this.svbRate,
			this.floorRate,
			this.buyingOd,
			this.buyingTt,
			this.sellingTtOd,
			this.isDownloaded,
			this.isEmailReceived,
			this.isDiff,
			this.downloadDatetime,
			this.emailReceiveDatetime,
			this.checkedBy,
			this.checkedDatetime,
			this.approvedBy,
			this.approvedDatetime,
			this.status,
			this.toolName,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this.exchangeDate = '',
		this.version = 0,
		this.majorCurrency = '',
		this.minorCurrency = '',
		this.ceilingRate = '',
		this.svbRate = '',
		this.floorRate = '',
		this.buyingOd = '',
		this.buyingTt = '',
		this.sellingTtOd = '',
		this.isDownloaded = '',
		this.isEmailReceived = '',
		this.isDiff = '',
		this.downloadDatetime = '',
		this.emailReceiveDatetime = '',
		this.checkedBy = '',
		this.checkedDatetime = '',
		this.approvedBy = '',
		this.approvedDatetime = '',
		this.status = '',
		this.toolName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this.exchangeDate,
			this.version,
			this.majorCurrency,
			this.minorCurrency,
			this.ceilingRate,
			this.svbRate,
			this.floorRate,
			this.buyingOd,
			this.buyingTt,
			this.sellingTtOd,
			this.isDownloaded,
			this.isEmailReceived,
			this.isDiff,
			this.downloadDatetime,
			this.emailReceiveDatetime,
			this.checkedBy,
			this.checkedDatetime,
			this.approvedBy,
			this.approvedDatetime,
			this.status,
			this.toolName,
			this.isActive,
			'',
            this.paginationParams.skipCount,
            this.paginationParams.pageSize
        );
    }
    onChangeRowSelection(params: { api: { getSelectedRows: () =&gt; MstCmmExchangeRateDto[] } }) {
        this.saveSelectedRow = params.api.getSelectedRows()[0] ?? new MstCmmExchangeRateDto();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MstCmmExchangeRateDto):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this._service.getExchangeRateToExcel(
			this.exchangeDate,
			this.version,
			this.majorCurrency,
			this.minorCurrency,
			this.ceilingRate,
			this.svbRate,
			this.floorRate,
			this.buyingOd,
			this.buyingTt,
			this.sellingTtOd,
			this.isDownloaded,
			this.isEmailReceived,
			this.isDiff,
			this.downloadDatetime,
			this.emailReceiveDatetime,
			this.checkedBy,
			this.checkedDatetime,
			this.approvedBy,
			this.approvedDatetime,
			this.status,
			this.toolName,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Exchange Rate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[placeholder]="l('Exchange Date')" [(ngModel)]='exchangeDate' 
									name='exchangeDate'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[(ngModel)]='majorCurrency' name='majorCurrency'
									class='form-control' [placeholder]="l('Major Currency')"
									type='text' (keyup.enter)='searchDatas()'&gt;
								&lt;/div&gt;
								&lt;div class='input-search'&gt;
									&lt;input [(ngModel)]='minorCurrency' name='minorCurrency'
									class='form-control' [placeholder]="l('Minor Currency')"
									type='text' (keyup.enter)='searchDatas()'&gt;
								&lt;/div&gt;
								&lt;div class='input-search'&gt;
									&lt;input [(ngModel)]='isDownloaded' name='isDownloaded'
									class='form-control' [placeholder]="l('Is Downloaded')"
									type='text' (keyup.enter)='searchDatas()'&gt;
								&lt;/div&gt;
								&lt;div class='input-search'&gt;
									&lt;input [(ngModel)]='isEmailReceived' name='isEmailReceived'
									class='form-control' [placeholder]="l('Is Email Received')"
									type='text' (keyup.enter)='searchDatas()'&gt;
								&lt;/div&gt;
								&lt;div class='input-search'&gt;
									&lt;input [(ngModel)]='isDiff' name='isDiff'
									class='form-control' [placeholder]="l('Is Diff')"
									type='text' (keyup.enter)='searchDatas()'&gt;
								&lt;/div&gt;
								&lt;div class='input-search'&gt;
									&lt;input type='text' [placeholder]="l('Download Datetime')" [(ngModel)]='downloadDatetime' 
									name='downloadDatetime'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[placeholder]="l('Email Receive Datetime')" [(ngModel)]='emailReceiveDatetime' 
									name='emailReceiveDatetime'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[placeholder]="l('Checked Datetime')" [(ngModel)]='checkedDatetime' 
									name='checkedDatetime'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[(ngModel)]='approvedBy' name='approvedBy'
									class='form-control' [placeholder]="l('Approved By')"
									type='text' (keyup.enter)='searchDatas()'&gt;
								&lt;/div&gt;
								&lt;div class='input-search'&gt;
									&lt;input type='text' [placeholder]="l('Approved Datetime')" [(ngModel)]='approvedDatetime' 
									name='approvedDatetime'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[(ngModel)]='toolName' name='toolName'
									class='form-control' [placeholder]="l('Tool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(click)="createOrEditModalExchangeRate.show()"&gt;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(click)="createOrEditModalExchangeRate.show(selectedRow)"&gt;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&lt;create-or-edit-exchangerate-modal
    #createOrEditModalExchangeRate
    (modalSave)="callBackDataGrid(dataParams)"
    (modalClose)="onChangeRowSelection(dataParams)"
&gt;
&lt;/create-or-edit-exchangerate-modal&gt;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#createOrEditModalExchangeRate="bs-modal"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ExchangeRate')}}&lt;/h3&gt;
                    &lt;h3 *ngIf="!rowdata.id"&gt;{{('Create New ExchangeRate')}}&lt;/h3&gt;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title'&gt;Exchange Date&lt;/label&gt;
						&lt;input type='text' class='col-md-10 form-control input-text' name='exchangeDate' 
						#datepicker='bsDatepicker' [(ngModel)]='rowdata.exchangeDate'  bsDatepicker &gt;
					&lt;/div&gt;
					&lt;div class='col-md-12 form-group row'&gt;
						&lt;label class='col-md-2 form-control title'&gt;Version&lt;/label&gt;
						&lt;input type='number' class='col-md-10 form-control input-text' name='Version' [(ngModel)]='rowdata.version'&gt;
					&lt;/div&gt;
					&lt;div class='col-md-12 form-group row'&gt;
						&lt;label class='col-md-2 form-control title'&gt;Major Currency&lt;/label&gt;
						&lt;input type='text' class='col-md-10 form-control input-text' name='MajorCurrency' [(ngModel)]='rowdata.majorCurrency'&gt;
					&lt;/div&gt;
					&lt;div class='col-md-12 form-group row'&gt;
						&lt;label class='col-md-2 form-control title'&gt;Minor Currency&lt;/label&gt;
						&lt;input type='text' class='col-md-10 form-control input-text' name='MinorCurrency' [(ngModel)]='rowdata.minorCurrency'&gt;
					&lt;/div&gt;
					&lt;div class='col-md-12 form-group row'&gt;
						&lt;label class='col-md-2 form-control title'&gt;Is Downloaded&lt;/label&gt;
						&lt;new-checkbox [(ngModel)]='_isDownloaded' name='isDownloaded' className='col-md-10' &gt; &lt;/new-checkbox&gt;
					&lt;/div&gt;
					&lt;div class='col-md-12 form-group row'&gt;
						&lt;label class='col-md-2 form-control title'&gt;Is Email Received&lt;/label&gt;
						&lt;new-checkbox [(ngModel)]='_isEmailReceived' name='isEmailReceived' className='col-md-10' &gt; &lt;/new-checkbox&gt;
					&lt;/div&gt;
					&lt;div class='col-md-12 form-group row'&gt;
						&lt;label class='col-md-2 form-control title'&gt;Is Diff&lt;/label&gt;
						&lt;new-checkbox [(ngModel)]='_isDiff' name='isDiff' className='col-md-10' &gt; &lt;/new-checkbox&gt;
					&lt;/div&gt;
					&lt;div class='col-md-12 form-group row'&gt;
						&lt;label class='col-md-2 form-control title'&gt;Download Datetime&lt;/label&gt;
						&lt;input type='text' class='col-md-10 form-control input-text' name='downloadDatetime' 
						#datepicker='bsDatepicker' [(ngModel)]='rowdata.downloadDatetime'  bsDatepicker &gt;
					&lt;/div&gt;
					&lt;div class='col-md-12 form-group row'&gt;
						&lt;label class='col-md-2 form-control title'&gt;Email Receive Datetime&lt;/label&gt;
						&lt;input type='text' class='col-md-10 form-control input-text' name='emailReceiveDatetime' 
						#datepicker='bsDatepicker' [(ngModel)]='rowdata.emailReceiveDatetime'  bsDatepicker &gt;
					&lt;/div&gt;
					&lt;div class='col-md-12 form-group row'&gt;
						&lt;label class='col-md-2 form-control title'&gt;Checked Datetime&lt;/label&gt;
						&lt;input type='text' class='col-md-10 form-control input-text' name='checkedDatetime' 
						#datepicker='bsDatepicker' [(ngModel)]='rowdata.checkedDatetime'  bsDatepicker &gt;
					&lt;/div&gt;
					&lt;div class='col-md-12 form-group row'&gt;
						&lt;label class='col-md-2 form-control title'&gt;Approved By&lt;/label&gt;
						&lt;input type='text' class='col-md-10 form-control input-text' name='ApprovedBy' [(ngModel)]='rowdata.approvedBy'&gt;
					&lt;/div&gt;
					&lt;div class='col-md-12 form-group row'&gt;
						&lt;label class='col-md-2 form-control title'&gt;Approved Datetime&lt;/label&gt;
						&lt;input type='text' class='col-md-10 form-control input-text' name='approvedDatetime' 
						#datepicker='bsDatepicker' [(ngModel)]='rowdata.approvedDatetime'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title'&gt;Tool Name&lt;/label&gt;
						&lt;input type='text' class='col-md-10 form-control input-text' name='ToolName' [(ngModel)]='rowdata.toolName'&gt;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CreateOrEditMstCmmExchangeRateDto, MstCmmExchangeRateServiceProxy } from '@shared/service-proxies/service-proxies';
import { BsDatepickerDirective } from 'ngx-bootstrap/datepicker';
@Component({
    selector: 'create-or-edit-exchangerate-modal',
    templateUrl: './create-or-edit-exchangerate-modal.component.html',
    styleUrls: ['./create-or-edit-exchangerate-modal.component.less']
    })
export class CreateOrEditExchangeRateModalComponent extends AppComponentBase {
    @ViewChild('createOrEditModalExchangeRate',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CreateOrEditMstCmmExchangeRateDto = new CreateOrEditMstCmmExchangeRateDto();
    active: boolean = false;
    saving: boolean = false;
    _isDownloaded
isEmailReceived
isDiff
isActive: boolean;
    constructor(
        injector: Injector,
        private _mstwptExchangeRateService: MstCmmExchangeRateServiceProxy,
    ) 
    {
        super(injector);
    }
    show(rowdata?: CreateOrEditMstCmmExchangeRateDto): void {
        if (!rowdata) this.rowdata = new CreateOrEditMstCmmExchangeRateDto();
        else this.rowdata = rowdata;
		const dateValue =  this.rowdata.exchangeDate ? new Date(this.rowdata.exchangeDate?.toString()) : new Date();
		this.datepicker?.bsValueChange.emit(dateValue);
		const dateValue =  this.rowdata.downloadDatetime ? new Date(this.rowdata.downloadDatetime?.toString()) : new Date();
		this.datepicker?.bsValueChange.emit(dateValue);
		const dateValue =  this.rowdata.emailReceiveDatetime ? new Date(this.rowdata.emailReceiveDatetime?.toString()) : new Date();
		this.datepicker?.bsValueChange.emit(dateValue);
		const dateValue =  this.rowdata.checkedDatetime ? new Date(this.rowdata.checkedDatetime?.toString()) : new Date();
		this.datepicker?.bsValueChange.emit(dateValue);
		const dateValue =  this.rowdata.approvedDatetime ? new Date(this.rowdata.approvedDatetime?.toString()) : new Date();
		this.datepicker?.bsValueChange.emit(dateValue);
        this._isDownloaded
isEmailReceived
isDiff
isActive = (this.rowdata.isDownloaded
isEmailReceived
isDiff
isActive == "N")? false: true;
        this.active = true;
        this.modal.show();
    } 
    changeActive(event){
        this._isDownloaded
isEmailReceived
isDiff
isActive = event.target.checked;
    }
    save(): void {
    this.saving = true; 
    this.rowdata.isDownloaded
isEmailReceived
isDiff
isActive = (this._isDownloaded
isEmailReceived
isDiff
isActive == true) ? 'Y' : 'N'
    this._mstwptExchangeRateService.createOrEdit(this.rowdata)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ExchangeRateRoutingModule } from './exchangerate-routing.module';
import { ExchangeRateComponent } from './exchangerate.component';
import { CreateOrEditExchangeRateModalComponent } from './create-or-edit-exchangerate-modal.component';
@NgModule({
    declarations: [
       ExchangeRateComponent, 
        CreateOrEditExchangeRateModalComponent
    ],
    imports: [
        AppSharedModule, ExchangeRateRoutingModule]
})
export class ExchangeRateModule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ExchangeRateComponent } from './exchangerate.component';
const routes: Routes = [{
    path: '',
    component: ExchangeRateComponent,
    pathMatch: 'full'
}];
@NgModule({
    imports: [RouterModule.forChild(routes)],
    exports: [RouterModule],
})
export class ExchangeRateRoutingModule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AppMenuItem("ExchangeRate", "Pages.Master.Common.ExchangeRate", "flaticon-book",   "/app/main/master/common/exchangerate"),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'master/common/exchangerate',
    loadChildren: () =&gt; import('./master/common/exchangerate/exchangerate.module').then(m =&gt; m.ExchangeRateModule),
    data: { permission: 'Pages.Master.Common.ExchangeRate' }
},</v>
      </c>
      <c r="R10" s="47" t="str">
        <f>SUBSTITUTE(R9,"MstWptCalendar",$B$6)</f>
        <v>ApiServiceProxies.MstCmmExchangeRateServiceProxy,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H36</v>
      </c>
      <c r="I12" s="28" t="str">
        <f>"I"&amp;COUNTA($A:$A)</f>
        <v>I36</v>
      </c>
      <c r="J12" s="28"/>
      <c r="K12" s="28" t="str">
        <f>"K"&amp;COUNTA($A:$A)</f>
        <v>K36</v>
      </c>
      <c r="L12" s="28" t="str">
        <f>"L"&amp;COUNTA($A:$A)</f>
        <v>L36</v>
      </c>
      <c r="M12" s="28"/>
      <c r="N12" s="28"/>
      <c r="O12" s="28"/>
      <c r="P12" s="28"/>
      <c r="Q12" s="28"/>
      <c r="R12" s="28"/>
      <c r="S12" s="28" t="str">
        <f>"S"&amp;COUNTA($A:$A)</f>
        <v>S36</v>
      </c>
      <c r="T12" s="28" t="str">
        <f>"T"&amp;COUNTA($A:$A)</f>
        <v>T36</v>
      </c>
      <c r="U12" s="28" t="str">
        <f>"U"&amp;COUNTA($A:$A)</f>
        <v>U36</v>
      </c>
      <c r="V12" s="28" t="str">
        <f>"V"&amp;COUNTA($A:$A)</f>
        <v>V36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this.l('Exchange Date'),headerTooltip: this.l('Exchange Date'),field: 'exchangeDate',valueGetter: (params) =&gt; this.pipe.transform(params.data?.exchangeDate, 'dd/MM/yyyy'),flex: 1},
			{headerName: this.l('Version'),headerTooltip: this.l('Version'),field: 'version',flex: 1},
			{headerName: this.l('Major Currency'),headerTooltip: this.l('Major Currency'),field: 'majorCurrency',flex: 1},
			{headerName: this.l('Minor Currency'),headerTooltip: this.l('Minor Currency'),field: 'minorCurrency',flex: 1},
			{headerName: this.l('Ceiling Rate'),headerTooltip: this.l('Ceiling Rate'),field: 'ceilingRate',flex: 1},
			{headerName: this.l('Svb Rate'),headerTooltip: this.l('Svb Rate'),field: 'svbRate',flex: 1},
			{headerName: this.l('Floor Rate'),headerTooltip: this.l('Floor Rate'),field: 'floorRate',flex: 1},
			{headerName: this.l('Buying Od'),headerTooltip: this.l('Buying Od'),field: 'buyingOd',flex: 1},
			{headerName: this.l('Buying Tt'),headerTooltip: this.l('Buying Tt'),field: 'buyingTt',flex: 1},
			{headerName: this.l('Selling Tt Od'),headerTooltip: this.l('Selling Tt Od'),field: 'sellingTtOd',flex: 1},
			{headerName: this.l('Is Downloaded'),headerTooltip: this.l('Is Downloaded'),field:  'isDownloaded', cellClass: ['text-center'], width: 120, cellRenderer: 'agCellButtonComponent',
buttonDefTwo: { text: params =&gt; (params.data?.'isDownloaded' == 'Y') ? 'Active' : 'Inactive',iconName: 'fa fa-circle',className: params =&gt; (params.data?.'isDownloaded' == 'Y') ? 'btnActive' : 'btnInActive',},}
			{headerName: this.l('Is Email Received'),headerTooltip: this.l('Is Email Received'),field:  'isEmailReceived', cellClass: ['text-center'], width: 120, cellRenderer: 'agCellButtonComponent',
buttonDefTwo: { text: params =&gt; (params.data?.'isEmailReceived' == 'Y') ? 'Active' : 'Inactive',iconName: 'fa fa-circle',className: params =&gt; (params.data?.'isEmailReceived' == 'Y') ? 'btnActive' : 'btnInActive',},}
			{headerName: this.l('Is Diff'),headerTooltip: this.l('Is Diff'),field:  'isDiff', cellClass: ['text-center'], width: 120, cellRenderer: 'agCellButtonComponent',
buttonDefTwo: { text: params =&gt; (params.data?.'isDiff' == 'Y') ? 'Active' : 'Inactive',iconName: 'fa fa-circle',className: params =&gt; (params.data?.'isDiff' == 'Y') ? 'btnActive' : 'btnInActive',},}
			{headerName: this.l('Download Datetime'),headerTooltip: this.l('Download Datetime'),field: 'downloadDatetime',valueGetter: (params) =&gt; this.pipe.transform(params.data?.downloadDatetime, 'dd/MM/yyyy'),flex: 1},
			{headerName: this.l('Email Receive Datetime'),headerTooltip: this.l('Email Receive Datetime'),field: 'emailReceiveDatetime',valueGetter: (params) =&gt; this.pipe.transform(params.data?.emailReceiveDatetime, 'dd/MM/yyyy'),flex: 1},
			{headerName: this.l('Checked By'),headerTooltip: this.l('Checked By'),field: 'checkedBy',flex: 1},
			{headerName: this.l('Checked Datetime'),headerTooltip: this.l('Checked Datetime'),field: 'checkedDatetime',valueGetter: (params) =&gt; this.pipe.transform(params.data?.checkedDatetime, 'dd/MM/yyyy'),flex: 1},
			{headerName: this.l('Approved By'),headerTooltip: this.l('Approved By'),field: 'approvedBy',flex: 1},
			{headerName: this.l('Approved Datetime'),headerTooltip: this.l('Approved Datetime'),field: 'approvedDatetime',valueGetter: (params) =&gt; this.pipe.transform(params.data?.approvedDatetime, 'dd/MM/yyyy'),flex: 1},
			{headerName: this.l('Status'),headerTooltip: this.l('Status'),field: 'status',flex: 1},
			{headerName: this.l('Tool Name'),headerTooltip: this.l('Tool Name'),field: 'toolName',flex: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type='text' [placeholder]="l('Exchange Date')" [(ngModel)]='exchangeDate' 
									name='exchangeDate'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[(ngModel)]='majorCurrency' name='majorCurrency'
									class='form-control' [placeholder]="l('Major Currency')"
									type='text' (keyup.enter)='searchDatas()'&gt;
								&lt;/div&gt;
								&lt;div class='input-search'&gt;
									&lt;input [(ngModel)]='minorCurrency' name='minorCurrency'
									class='form-control' [placeholder]="l('Minor Currency')"
									type='text' (keyup.enter)='searchDatas()'&gt;
								&lt;/div&gt;
								&lt;div class='input-search'&gt;
									&lt;input [(ngModel)]='isDownloaded' name='isDownloaded'
									class='form-control' [placeholder]="l('Is Downloaded')"
									type='text' (keyup.enter)='searchDatas()'&gt;
								&lt;/div&gt;
								&lt;div class='input-search'&gt;
									&lt;input [(ngModel)]='isEmailReceived' name='isEmailReceived'
									class='form-control' [placeholder]="l('Is Email Received')"
									type='text' (keyup.enter)='searchDatas()'&gt;
								&lt;/div&gt;
								&lt;div class='input-search'&gt;
									&lt;input [(ngModel)]='isDiff' name='isDiff'
									class='form-control' [placeholder]="l('Is Diff')"
									type='text' (keyup.enter)='searchDatas()'&gt;
								&lt;/div&gt;
								&lt;div class='input-search'&gt;
									&lt;input type='text' [placeholder]="l('Download Datetime')" [(ngModel)]='downloadDatetime' 
									name='downloadDatetime'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[placeholder]="l('Email Receive Datetime')" [(ngModel)]='emailReceiveDatetime' 
									name='emailReceiveDatetime'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[placeholder]="l('Checked Datetime')" [(ngModel)]='checkedDatetime' 
									name='checkedDatetime'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[(ngModel)]='approvedBy' name='approvedBy'
									class='form-control' [placeholder]="l('Approved By')"
									type='text' (keyup.enter)='searchDatas()'&gt;
								&lt;/div&gt;
								&lt;div class='input-search'&gt;
									&lt;input type='text' [placeholder]="l('Approved Datetime')" [(ngModel)]='approvedDatetime' 
									name='approvedDatetime'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[(ngModel)]='toolName' name='toolName'
									class='form-control' [placeholder]="l('Tool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title'&gt;Exchange Date&lt;/label&gt;
						&lt;input type='text' class='col-md-10 form-control input-text' name='exchangeDate' 
						#datepicker='bsDatepicker' [(ngModel)]='rowdata.exchangeDate'  bsDatepicker &gt;
					&lt;/div&gt;
					&lt;div class='col-md-12 form-group row'&gt;
						&lt;label class='col-md-2 form-control title'&gt;Version&lt;/label&gt;
						&lt;input type='number' class='col-md-10 form-control input-text' name='Version' [(ngModel)]='rowdata.version'&gt;
					&lt;/div&gt;
					&lt;div class='col-md-12 form-group row'&gt;
						&lt;label class='col-md-2 form-control title'&gt;Major Currency&lt;/label&gt;
						&lt;input type='text' class='col-md-10 form-control input-text' name='MajorCurrency' [(ngModel)]='rowdata.majorCurrency'&gt;
					&lt;/div&gt;
					&lt;div class='col-md-12 form-group row'&gt;
						&lt;label class='col-md-2 form-control title'&gt;Minor Currency&lt;/label&gt;
						&lt;input type='text' class='col-md-10 form-control input-text' name='MinorCurrency' [(ngModel)]='rowdata.minorCurrency'&gt;
					&lt;/div&gt;
					&lt;div class='col-md-12 form-group row'&gt;
						&lt;label class='col-md-2 form-control title'&gt;Is Downloaded&lt;/label&gt;
						&lt;new-checkbox [(ngModel)]='_isDownloaded' name='isDownloaded' className='col-md-10' &gt; &lt;/new-checkbox&gt;
					&lt;/div&gt;
					&lt;div class='col-md-12 form-group row'&gt;
						&lt;label class='col-md-2 form-control title'&gt;Is Email Received&lt;/label&gt;
						&lt;new-checkbox [(ngModel)]='_isEmailReceived' name='isEmailReceived' className='col-md-10' &gt; &lt;/new-checkbox&gt;
					&lt;/div&gt;
					&lt;div class='col-md-12 form-group row'&gt;
						&lt;label class='col-md-2 form-control title'&gt;Is Diff&lt;/label&gt;
						&lt;new-checkbox [(ngModel)]='_isDiff' name='isDiff' className='col-md-10' &gt; &lt;/new-checkbox&gt;
					&lt;/div&gt;
					&lt;div class='col-md-12 form-group row'&gt;
						&lt;label class='col-md-2 form-control title'&gt;Download Datetime&lt;/label&gt;
						&lt;input type='text' class='col-md-10 form-control input-text' name='downloadDatetime' 
						#datepicker='bsDatepicker' [(ngModel)]='rowdata.downloadDatetime'  bsDatepicker &gt;
					&lt;/div&gt;
					&lt;div class='col-md-12 form-group row'&gt;
						&lt;label class='col-md-2 form-control title'&gt;Email Receive Datetime&lt;/label&gt;
						&lt;input type='text' class='col-md-10 form-control input-text' name='emailReceiveDatetime' 
						#datepicker='bsDatepicker' [(ngModel)]='rowdata.emailReceiveDatetime'  bsDatepicker &gt;
					&lt;/div&gt;
					&lt;div class='col-md-12 form-group row'&gt;
						&lt;label class='col-md-2 form-control title'&gt;Checked Datetime&lt;/label&gt;
						&lt;input type='text' class='col-md-10 form-control input-text' name='checkedDatetime' 
						#datepicker='bsDatepicker' [(ngModel)]='rowdata.checkedDatetime'  bsDatepicker &gt;
					&lt;/div&gt;
					&lt;div class='col-md-12 form-group row'&gt;
						&lt;label class='col-md-2 form-control title'&gt;Approved By&lt;/label&gt;
						&lt;input type='text' class='col-md-10 form-control input-text' name='ApprovedBy' [(ngModel)]='rowdata.approvedBy'&gt;
					&lt;/div&gt;
					&lt;div class='col-md-12 form-group row'&gt;
						&lt;label class='col-md-2 form-control title'&gt;Approved Datetime&lt;/label&gt;
						&lt;input type='text' class='col-md-10 form-control input-text' name='approvedDatetime' 
						#datepicker='bsDatepicker' [(ngModel)]='rowdata.approvedDatetime'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title'&gt;Tool Name&lt;/label&gt;
						&lt;input type='text' class='col-md-10 form-control input-text' name='ToolName' [(ngModel)]='rowdata.toolName'&gt;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 xml:space="preserve">		const dateValue =  this.rowdata.exchangeDate ? new Date(this.rowdata.exchangeDate?.toString()) : new Date();
		this.datepicker?.bsValueChange.emit(dateValue);
		const dateValue =  this.rowdata.downloadDatetime ? new Date(this.rowdata.downloadDatetime?.toString()) : new Date();
		this.datepicker?.bsValueChange.emit(dateValue);
		const dateValue =  this.rowdata.emailReceiveDatetime ? new Date(this.rowdata.emailReceiveDatetime?.toString()) : new Date();
		this.datepicker?.bsValueChange.emit(dateValue);
		const dateValue =  this.rowdata.checkedDatetime ? new Date(this.rowdata.checkedDatetime?.toString()) : new Date();
		this.datepicker?.bsValueChange.emit(dateValue);
		const dateValue =  this.rowdata.approvedDatetime ? new Date(this.rowdata.approvedDatetime?.toString()) : new Date();
		this.datepicker?.bsValueChange.emit(dateValue);
</v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exchangeDate : any ;
	version : number = 0 ;
	majorCurrency : string = '' ; 
	minorCurrency : string = '' ; 
	ceilingRate
	svbRate
	floorRate
	buyingOd
	buyingTt
	sellingTtOd
	isDownloaded : string = '' ; 
	isEmailReceived : string = '' ; 
	isDiff : string = '' ; 
	downloadDatetime : any ;
	emailReceiveDatetime : any ;
	checkedBy
	checkedDatetime : any ;
	approvedBy : string = '' ; 
	approvedDatetime : any ;
	status : string = '' ; 
	toolName : string = '' ; 
	isActive : string = '' ; </v>
      </c>
      <c r="T13" s="63" t="str">
        <f ca="1">TEXTJOIN2("
",TRUE,INDIRECT(T11):INDIRECT(T12))</f>
        <v xml:space="preserve">			this.exchangeDate,
			this.version,
			this.majorCurrency,
			this.minorCurrency,
			this.ceilingRate,
			this.svbRate,
			this.floorRate,
			this.buyingOd,
			this.buyingTt,
			this.sellingTtOd,
			this.isDownloaded,
			this.isEmailReceived,
			this.isDiff,
			this.downloadDatetime,
			this.emailReceiveDatetime,
			this.checkedBy,
			this.checkedDatetime,
			this.approvedBy,
			this.approvedDatetime,
			this.status,
			this.toolName,
			this.isActive,</v>
      </c>
      <c r="U13" s="63" t="str">
        <f ca="1">TEXTJOIN2("
",TRUE,INDIRECT(U11):INDIRECT(U12))</f>
        <v xml:space="preserve">		this.exchangeDate = '',
		this.version = 0,
		this.majorCurrency = '',
		this.minorCurrency = '',
		this.ceilingRate = '',
		this.svbRate = '',
		this.floorRate = '',
		this.buyingOd = '',
		this.buyingTt = '',
		this.sellingTtOd = '',
		this.isDownloaded = '',
		this.isEmailReceived = '',
		this.isDiff = '',
		this.downloadDatetime = '',
		this.emailReceiveDatetime = '',
		this.checkedBy = '',
		this.checkedDatetime = '',
		this.approvedBy = '',
		this.approvedDatetime = '',
		this.status = '',
		this.toolName = '',
		this.isActive = '',</v>
      </c>
      <c r="V13" s="28" t="str">
        <f ca="1">TEXTJOIN2("
",TRUE,INDIRECT(V11):INDIRECT(V12))</f>
        <v>isDownloaded
isEmailReceived
isDiff
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exchangerate.component.ts</v>
      </c>
      <c r="I14" s="37" t="str">
        <f>B8&amp;".component.html"</f>
        <v>exchangerate.component.html</v>
      </c>
      <c r="J14" s="36" t="str">
        <f>B8&amp;".component.less"</f>
        <v>exchangerate.component.less</v>
      </c>
      <c r="K14" s="37" t="str">
        <f>"create-or-edit-"&amp;B8&amp;"-modal.component.html"</f>
        <v>create-or-edit-exchangerate-modal.component.html</v>
      </c>
      <c r="L14" s="37" t="str">
        <f>"create-or-edit-"&amp;B8&amp;"-modal.component.ts"</f>
        <v>create-or-edit-exchangerate-modal.component.ts</v>
      </c>
      <c r="M14" s="37" t="str">
        <f>"create-or-edit-"&amp;B8&amp;"-modal.component.less"</f>
        <v>create-or-edit-exchangerate-modal.component.less</v>
      </c>
      <c r="N14" s="37" t="str">
        <f>B8&amp;".module.ts"</f>
        <v>exchangerate.module.ts</v>
      </c>
      <c r="O14" s="37" t="str">
        <f>B8&amp;"-routing.module.ts"</f>
        <v>exchangerate-routing.module.ts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377</v>
      </c>
      <c r="B15" s="28" t="str">
        <f t="shared" ref="B15:B16" si="0">SUBSTITUTE(PROPER(A15),"_","")</f>
        <v>ExchangeDate</v>
      </c>
      <c r="C15" s="28" t="str">
        <f t="shared" ref="C15:C16" si="1">SUBSTITUTE(PROPER(A15),"_"," ")</f>
        <v>Exchange Date</v>
      </c>
      <c r="D15" s="28" t="str">
        <f t="shared" ref="D15:D16" si="2">LOWER(LEFT(B15,1))&amp;RIGHT(B15,LEN(B15) - 1)</f>
        <v>exchangeDate</v>
      </c>
      <c r="E15" s="28" t="str">
        <f>A.Backend!H9</f>
        <v>DateTime</v>
      </c>
      <c r="F15" s="28" t="str">
        <f>A.Backend!G9</f>
        <v/>
      </c>
      <c r="G15" s="28" t="str">
        <f t="shared" ref="G15:G16" si="3">IF(E15="string"," : string = '' ; ",IF(OR(E15="DateTime",E15="TimeSpan")," : any ;",IF(E15="int"," : number = 0 ;","")))</f>
        <v xml:space="preserve"> : any ;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this.l('Exchange Date'),headerTooltip: this.l('Exchange Date'),field: 'exchangeDate',valueGetter: (params) =&gt; this.pipe.transform(params.data?.exchangeDate, 'dd/MM/yyyy'),flex: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type='text' [placeholder]="l('Exchange Date')" [(ngModel)]='exchangeDate' 
									name='exchangeDate' (keydown)='searchDatas()' class='form-control' 
									bsDatepicker #d='bsDatepicker' placement='bottom left'&gt;
									&lt;i class='fa fa-calendar-alt' (click)='d.toggle()'&gt;&lt;/i&gt;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title'&gt;Exchange Date&lt;/label&gt;
						&lt;input type='text' class='col-md-10 form-control input-text' name='exchangeDate' 
						#datepicker='bsDatepicker' [(ngModel)]='rowdata.exchangeDate'  bsDatepicker 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 xml:space="preserve">		const dateValue =  this.rowdata.exchangeDate ? new Date(this.rowdata.exchangeDate?.toString()) : new Date();
		this.datepicker?.bsValueChange.emit(dateValue);</v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exchangeDate : any ;</v>
      </c>
      <c r="T15" s="28" t="str">
        <f>REPT(CHAR(9),3)&amp;"this."&amp;D15&amp;","</f>
        <v xml:space="preserve">			this.exchangeDate,</v>
      </c>
      <c r="U15" s="28" t="str">
        <f>IF(E15="int",REPT(CHAR(9),2)&amp;"this."&amp;D15&amp;" = 0,",REPT(CHAR(9),2)&amp;"this."&amp;D15&amp;" = '',")</f>
        <v xml:space="preserve">		this.exchangeDate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378</v>
      </c>
      <c r="B16" s="28" t="str">
        <f t="shared" si="0"/>
        <v>Version</v>
      </c>
      <c r="C16" s="28" t="str">
        <f t="shared" ref="C16:C36" si="9">SUBSTITUTE(PROPER(A16),"_"," ")</f>
        <v>Version</v>
      </c>
      <c r="D16" s="28" t="str">
        <f t="shared" ref="D16:D36" si="10">LOWER(LEFT(B16,1))&amp;RIGHT(B16,LEN(B16) - 1)</f>
        <v>version</v>
      </c>
      <c r="E16" s="28" t="str">
        <f>A.Backend!H10</f>
        <v>int</v>
      </c>
      <c r="F16" s="28" t="str">
        <f>A.Backend!G10</f>
        <v/>
      </c>
      <c r="G16" s="28" t="str">
        <f t="shared" ref="G16:G36" si="11">IF(E16="string"," : string = '' ; ",IF(OR(E16="DateTime",E16="TimeSpan")," : any ;",IF(E16="int"," : number = 0 ;","")))</f>
        <v xml:space="preserve"> : number = 0 ;</v>
      </c>
      <c r="H16" s="35" t="str">
        <f t="shared" si="4"/>
        <v xml:space="preserve">			{headerName: this.l('Version'),headerTooltip: this.l('Version'),field: 'version',flex: 1},</v>
      </c>
      <c r="I16" s="35" t="str">
        <f t="shared" si="5"/>
        <v/>
      </c>
      <c r="J16" s="28"/>
      <c r="K16" s="35" t="str">
        <f t="shared" si="6"/>
        <v xml:space="preserve">					&lt;div class='col-md-12 form-group row'&gt;
						&lt;label class='col-md-2 form-control title'&gt;Version&lt;/label&gt;
						&lt;input type='number' class='col-md-10 form-control input-text' name='Version' [(ngModel)]='rowdata.version'&gt;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12">REPT(CHAR(9),1)&amp;D16&amp;G16</f>
        <v xml:space="preserve">	version : number = 0 ;</v>
      </c>
      <c r="T16" s="28" t="str">
        <f t="shared" ref="T16" si="13">REPT(CHAR(9),3)&amp;"this."&amp;D16&amp;","</f>
        <v xml:space="preserve">			this.version,</v>
      </c>
      <c r="U16" s="28" t="str">
        <f t="shared" ref="U16" si="14">IF(E16="int",REPT(CHAR(9),2)&amp;"this."&amp;D16&amp;" = 0,",REPT(CHAR(9),2)&amp;"this."&amp;D16&amp;" = '',")</f>
        <v xml:space="preserve">		this.version = 0,</v>
      </c>
      <c r="V16" s="28" t="str">
        <f t="shared" si="8"/>
        <v/>
      </c>
    </row>
    <row r="17" spans="1:22" ht="18" customHeight="1" x14ac:dyDescent="0.25">
      <c r="A17" s="28" t="s">
        <v>395</v>
      </c>
      <c r="B17" s="28" t="str">
        <f t="shared" ref="B17:B22" si="15">SUBSTITUTE(PROPER(A17),"_","")</f>
        <v>MajorCurrency</v>
      </c>
      <c r="C17" s="28" t="str">
        <f t="shared" si="9"/>
        <v>Major Currency</v>
      </c>
      <c r="D17" s="28" t="str">
        <f t="shared" si="10"/>
        <v>majorCurrency</v>
      </c>
      <c r="E17" s="28" t="str">
        <f>A.Backend!H11</f>
        <v>string</v>
      </c>
      <c r="F17" s="28" t="str">
        <f>A.Backend!G11</f>
        <v>3</v>
      </c>
      <c r="G17" s="28" t="str">
        <f t="shared" si="11"/>
        <v xml:space="preserve"> : string = '' ; </v>
      </c>
      <c r="H17" s="35" t="str">
        <f t="shared" ref="H17:H22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this.l('Major Currency'),headerTooltip: this.l('Major Currency'),field: 'majorCurrency',flex: 1},</v>
      </c>
      <c r="I17" s="35" t="str">
        <f t="shared" ref="I17:I22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[(ngModel)]='majorCurrency' name='majorCurrency'
									class='form-control' [placeholder]="l('Major Currency')"
									type='text' (keyup.enter)='searchDatas()'&gt;
								&lt;/div&gt;</v>
      </c>
      <c r="J17" s="28"/>
      <c r="K17" s="35" t="str">
        <f t="shared" ref="K17:K22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title'&gt;Major Currency&lt;/label&gt;
						&lt;input type='text' class='col-md-10 form-control input-text' name='MajorCurrency' [(ngModel)]='rowdata.majorCurrency'&gt;
					&lt;/div&gt;</v>
      </c>
      <c r="L17" s="56" t="str">
        <f t="shared" ref="L17:L22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:S22" si="20">REPT(CHAR(9),1)&amp;D17&amp;G17</f>
        <v xml:space="preserve">	majorCurrency : string = '' ; </v>
      </c>
      <c r="T17" s="28" t="str">
        <f t="shared" ref="T17:T22" si="21">REPT(CHAR(9),3)&amp;"this."&amp;D17&amp;","</f>
        <v xml:space="preserve">			this.majorCurrency,</v>
      </c>
      <c r="U17" s="28" t="str">
        <f t="shared" ref="U17:U22" si="22">IF(E17="int",REPT(CHAR(9),2)&amp;"this."&amp;D17&amp;" = 0,",REPT(CHAR(9),2)&amp;"this."&amp;D17&amp;" = '',")</f>
        <v xml:space="preserve">		this.majorCurrency = '',</v>
      </c>
      <c r="V17" s="28" t="str">
        <f t="shared" ref="V17:V22" si="23">IF(AND(E17="string",F17="1"),D17,"")</f>
        <v/>
      </c>
    </row>
    <row r="18" spans="1:22" ht="18" customHeight="1" x14ac:dyDescent="0.25">
      <c r="A18" s="28" t="s">
        <v>396</v>
      </c>
      <c r="B18" s="28" t="str">
        <f t="shared" si="15"/>
        <v>MinorCurrency</v>
      </c>
      <c r="C18" s="28" t="str">
        <f t="shared" si="9"/>
        <v>Minor Currency</v>
      </c>
      <c r="D18" s="28" t="str">
        <f t="shared" si="10"/>
        <v>minorCurrency</v>
      </c>
      <c r="E18" s="28" t="str">
        <f>A.Backend!H12</f>
        <v>string</v>
      </c>
      <c r="F18" s="28" t="str">
        <f>A.Backend!G12</f>
        <v>3</v>
      </c>
      <c r="G18" s="28" t="str">
        <f t="shared" si="11"/>
        <v xml:space="preserve"> : string = '' ; </v>
      </c>
      <c r="H18" s="35" t="str">
        <f t="shared" si="16"/>
        <v xml:space="preserve">			{headerName: this.l('Minor Currency'),headerTooltip: this.l('Minor Currency'),field: 'minorCurrency',flex: 1},</v>
      </c>
      <c r="I18" s="35" t="str">
        <f t="shared" si="17"/>
        <v xml:space="preserve">								&lt;div class='input-search'&gt;
									&lt;input [(ngModel)]='minorCurrency' name='minorCurrency'
									class='form-control' [placeholder]="l('Minor Currency')"
									type='text' (keyup.enter)='searchDatas()'&gt;
								&lt;/div&gt;</v>
      </c>
      <c r="J18" s="28"/>
      <c r="K18" s="35" t="str">
        <f t="shared" si="18"/>
        <v xml:space="preserve">					&lt;div class='col-md-12 form-group row'&gt;
						&lt;label class='col-md-2 form-control title'&gt;Minor Currency&lt;/label&gt;
						&lt;input type='text' class='col-md-10 form-control input-text' name='MinorCurrency' [(ngModel)]='rowdata.minorCurrency'&gt;
					&lt;/div&gt;</v>
      </c>
      <c r="L18" s="56" t="str">
        <f t="shared" si="19"/>
        <v/>
      </c>
      <c r="M18" s="28"/>
      <c r="N18" s="28"/>
      <c r="O18" s="28"/>
      <c r="P18" s="28"/>
      <c r="Q18" s="28"/>
      <c r="R18" s="28"/>
      <c r="S18" s="28" t="str">
        <f t="shared" si="20"/>
        <v xml:space="preserve">	minorCurrency : string = '' ; </v>
      </c>
      <c r="T18" s="28" t="str">
        <f t="shared" si="21"/>
        <v xml:space="preserve">			this.minorCurrency,</v>
      </c>
      <c r="U18" s="28" t="str">
        <f t="shared" si="22"/>
        <v xml:space="preserve">		this.minorCurrency = '',</v>
      </c>
      <c r="V18" s="28" t="str">
        <f t="shared" si="23"/>
        <v/>
      </c>
    </row>
    <row r="19" spans="1:22" ht="18" customHeight="1" x14ac:dyDescent="0.25">
      <c r="A19" s="28" t="s">
        <v>381</v>
      </c>
      <c r="B19" s="28" t="str">
        <f t="shared" si="15"/>
        <v>CeilingRate</v>
      </c>
      <c r="C19" s="28" t="str">
        <f t="shared" si="9"/>
        <v>Ceiling Rate</v>
      </c>
      <c r="D19" s="28" t="str">
        <f t="shared" si="10"/>
        <v>ceilingRate</v>
      </c>
      <c r="E19" s="28" t="str">
        <f>A.Backend!H13</f>
        <v>decimal</v>
      </c>
      <c r="F19" s="28" t="str">
        <f>A.Backend!G13</f>
        <v>18,4</v>
      </c>
      <c r="G19" s="28" t="str">
        <f t="shared" si="11"/>
        <v/>
      </c>
      <c r="H19" s="35" t="str">
        <f t="shared" si="16"/>
        <v xml:space="preserve">			{headerName: this.l('Ceiling Rate'),headerTooltip: this.l('Ceiling Rate'),field: 'ceilingRate',flex: 1},</v>
      </c>
      <c r="I19" s="35" t="str">
        <f t="shared" si="17"/>
        <v/>
      </c>
      <c r="J19" s="28"/>
      <c r="K19" s="35" t="str">
        <f t="shared" si="18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20"/>
        <v xml:space="preserve">	ceilingRate</v>
      </c>
      <c r="T19" s="28" t="str">
        <f t="shared" si="21"/>
        <v xml:space="preserve">			this.ceilingRate,</v>
      </c>
      <c r="U19" s="28" t="str">
        <f t="shared" si="22"/>
        <v xml:space="preserve">		this.ceilingRate = '',</v>
      </c>
      <c r="V19" s="28" t="str">
        <f t="shared" si="23"/>
        <v/>
      </c>
    </row>
    <row r="20" spans="1:22" ht="18" customHeight="1" x14ac:dyDescent="0.25">
      <c r="A20" s="28" t="s">
        <v>379</v>
      </c>
      <c r="B20" s="28" t="str">
        <f t="shared" ref="B20:B21" si="24">SUBSTITUTE(PROPER(A20),"_","")</f>
        <v>SvbRate</v>
      </c>
      <c r="C20" s="28" t="str">
        <f t="shared" si="9"/>
        <v>Svb Rate</v>
      </c>
      <c r="D20" s="28" t="str">
        <f t="shared" si="10"/>
        <v>svbRate</v>
      </c>
      <c r="E20" s="28" t="str">
        <f>A.Backend!H14</f>
        <v>decimal</v>
      </c>
      <c r="F20" s="28" t="str">
        <f>A.Backend!G14</f>
        <v>18,4</v>
      </c>
      <c r="G20" s="28" t="str">
        <f t="shared" si="11"/>
        <v/>
      </c>
      <c r="H20" s="35" t="str">
        <f t="shared" ref="H20:H21" si="25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this.l('Svb Rate'),headerTooltip: this.l('Svb Rate'),field: 'svbRate',flex: 1},</v>
      </c>
      <c r="I20" s="35" t="str">
        <f t="shared" ref="I20:I21" si="26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28"/>
      <c r="K20" s="35" t="str">
        <f t="shared" ref="K20:K21" si="27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/>
      </c>
      <c r="L20" s="56" t="str">
        <f t="shared" ref="L20:L21" si="28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:S21" si="29">REPT(CHAR(9),1)&amp;D20&amp;G20</f>
        <v xml:space="preserve">	svbRate</v>
      </c>
      <c r="T20" s="28" t="str">
        <f t="shared" ref="T20:T21" si="30">REPT(CHAR(9),3)&amp;"this."&amp;D20&amp;","</f>
        <v xml:space="preserve">			this.svbRate,</v>
      </c>
      <c r="U20" s="28" t="str">
        <f t="shared" ref="U20:U21" si="31">IF(E20="int",REPT(CHAR(9),2)&amp;"this."&amp;D20&amp;" = 0,",REPT(CHAR(9),2)&amp;"this."&amp;D20&amp;" = '',")</f>
        <v xml:space="preserve">		this.svbRate = '',</v>
      </c>
      <c r="V20" s="28" t="str">
        <f t="shared" ref="V20:V21" si="32">IF(AND(E20="string",F20="1"),D20,"")</f>
        <v/>
      </c>
    </row>
    <row r="21" spans="1:22" ht="18" customHeight="1" x14ac:dyDescent="0.25">
      <c r="A21" s="28" t="s">
        <v>380</v>
      </c>
      <c r="B21" s="28" t="str">
        <f t="shared" si="24"/>
        <v>FloorRate</v>
      </c>
      <c r="C21" s="28" t="str">
        <f t="shared" si="9"/>
        <v>Floor Rate</v>
      </c>
      <c r="D21" s="28" t="str">
        <f t="shared" si="10"/>
        <v>floorRate</v>
      </c>
      <c r="E21" s="28" t="str">
        <f>A.Backend!H15</f>
        <v>decimal</v>
      </c>
      <c r="F21" s="28" t="str">
        <f>A.Backend!G15</f>
        <v>18,4</v>
      </c>
      <c r="G21" s="28" t="str">
        <f t="shared" si="11"/>
        <v/>
      </c>
      <c r="H21" s="35" t="str">
        <f t="shared" si="25"/>
        <v xml:space="preserve">			{headerName: this.l('Floor Rate'),headerTooltip: this.l('Floor Rate'),field: 'floorRate',flex: 1},</v>
      </c>
      <c r="I21" s="35" t="str">
        <f t="shared" si="26"/>
        <v/>
      </c>
      <c r="J21" s="28"/>
      <c r="K21" s="35" t="str">
        <f t="shared" si="27"/>
        <v/>
      </c>
      <c r="L21" s="56" t="str">
        <f t="shared" si="28"/>
        <v/>
      </c>
      <c r="M21" s="28"/>
      <c r="N21" s="28"/>
      <c r="O21" s="28"/>
      <c r="P21" s="28"/>
      <c r="Q21" s="28"/>
      <c r="R21" s="28"/>
      <c r="S21" s="28" t="str">
        <f t="shared" si="29"/>
        <v xml:space="preserve">	floorRate</v>
      </c>
      <c r="T21" s="28" t="str">
        <f t="shared" si="30"/>
        <v xml:space="preserve">			this.floorRate,</v>
      </c>
      <c r="U21" s="28" t="str">
        <f t="shared" si="31"/>
        <v xml:space="preserve">		this.floorRate = '',</v>
      </c>
      <c r="V21" s="28" t="str">
        <f t="shared" si="32"/>
        <v/>
      </c>
    </row>
    <row r="22" spans="1:22" ht="18" customHeight="1" x14ac:dyDescent="0.25">
      <c r="A22" s="28" t="s">
        <v>382</v>
      </c>
      <c r="B22" s="28" t="str">
        <f t="shared" si="15"/>
        <v>BuyingOd</v>
      </c>
      <c r="C22" s="28" t="str">
        <f t="shared" si="9"/>
        <v>Buying Od</v>
      </c>
      <c r="D22" s="28" t="str">
        <f t="shared" si="10"/>
        <v>buyingOd</v>
      </c>
      <c r="E22" s="28" t="str">
        <f>A.Backend!H16</f>
        <v>decimal</v>
      </c>
      <c r="F22" s="28" t="str">
        <f>A.Backend!G16</f>
        <v>18,4</v>
      </c>
      <c r="G22" s="28" t="str">
        <f t="shared" si="11"/>
        <v/>
      </c>
      <c r="H22" s="35" t="str">
        <f t="shared" si="16"/>
        <v xml:space="preserve">			{headerName: this.l('Buying Od'),headerTooltip: this.l('Buying Od'),field: 'buyingOd',flex: 1},</v>
      </c>
      <c r="I22" s="35" t="str">
        <f t="shared" si="17"/>
        <v/>
      </c>
      <c r="J22" s="28"/>
      <c r="K22" s="35" t="str">
        <f t="shared" si="18"/>
        <v/>
      </c>
      <c r="L22" s="56" t="str">
        <f t="shared" si="19"/>
        <v/>
      </c>
      <c r="M22" s="28"/>
      <c r="N22" s="28"/>
      <c r="O22" s="28"/>
      <c r="P22" s="28"/>
      <c r="Q22" s="28"/>
      <c r="R22" s="28"/>
      <c r="S22" s="28" t="str">
        <f t="shared" si="20"/>
        <v xml:space="preserve">	buyingOd</v>
      </c>
      <c r="T22" s="28" t="str">
        <f t="shared" si="21"/>
        <v xml:space="preserve">			this.buyingOd,</v>
      </c>
      <c r="U22" s="28" t="str">
        <f t="shared" si="22"/>
        <v xml:space="preserve">		this.buyingOd = '',</v>
      </c>
      <c r="V22" s="28" t="str">
        <f t="shared" si="23"/>
        <v/>
      </c>
    </row>
    <row r="23" spans="1:22" ht="18" customHeight="1" x14ac:dyDescent="0.25">
      <c r="A23" s="28" t="s">
        <v>383</v>
      </c>
      <c r="B23" s="28" t="str">
        <f t="shared" ref="B23:B36" si="33">SUBSTITUTE(PROPER(A23),"_","")</f>
        <v>BuyingTt</v>
      </c>
      <c r="C23" s="28" t="str">
        <f t="shared" si="9"/>
        <v>Buying Tt</v>
      </c>
      <c r="D23" s="28" t="str">
        <f t="shared" si="10"/>
        <v>buyingTt</v>
      </c>
      <c r="E23" s="28" t="str">
        <f>A.Backend!H17</f>
        <v>decimal</v>
      </c>
      <c r="F23" s="28" t="str">
        <f>A.Backend!G17</f>
        <v>18,4</v>
      </c>
      <c r="G23" s="28" t="str">
        <f t="shared" si="11"/>
        <v/>
      </c>
      <c r="H23" s="35" t="str">
        <f t="shared" ref="H23:H36" si="34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this.l('Buying Tt'),headerTooltip: this.l('Buying Tt'),field: 'buyingTt',flex: 1},</v>
      </c>
      <c r="I23" s="35" t="str">
        <f t="shared" ref="I23:I36" si="35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28"/>
      <c r="K23" s="35" t="str">
        <f t="shared" ref="K23:K36" si="36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/>
      </c>
      <c r="L23" s="56" t="str">
        <f t="shared" ref="L23:L36" si="37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ref="S23:S36" si="38">REPT(CHAR(9),1)&amp;D23&amp;G23</f>
        <v xml:space="preserve">	buyingTt</v>
      </c>
      <c r="T23" s="28" t="str">
        <f t="shared" ref="T23:T36" si="39">REPT(CHAR(9),3)&amp;"this."&amp;D23&amp;","</f>
        <v xml:space="preserve">			this.buyingTt,</v>
      </c>
      <c r="U23" s="28" t="str">
        <f t="shared" ref="U23:U36" si="40">IF(E23="int",REPT(CHAR(9),2)&amp;"this."&amp;D23&amp;" = 0,",REPT(CHAR(9),2)&amp;"this."&amp;D23&amp;" = '',")</f>
        <v xml:space="preserve">		this.buyingTt = '',</v>
      </c>
      <c r="V23" s="28" t="str">
        <f t="shared" ref="V23:V36" si="41">IF(AND(E23="string",F23="1"),D23,"")</f>
        <v/>
      </c>
    </row>
    <row r="24" spans="1:22" ht="18" customHeight="1" x14ac:dyDescent="0.25">
      <c r="A24" s="28" t="s">
        <v>384</v>
      </c>
      <c r="B24" s="28" t="str">
        <f t="shared" si="33"/>
        <v>SellingTtOd</v>
      </c>
      <c r="C24" s="28" t="str">
        <f t="shared" si="9"/>
        <v>Selling Tt Od</v>
      </c>
      <c r="D24" s="28" t="str">
        <f t="shared" si="10"/>
        <v>sellingTtOd</v>
      </c>
      <c r="E24" s="28" t="str">
        <f>A.Backend!H18</f>
        <v>decimal</v>
      </c>
      <c r="F24" s="28" t="str">
        <f>A.Backend!G18</f>
        <v>18,4</v>
      </c>
      <c r="G24" s="28" t="str">
        <f t="shared" si="11"/>
        <v/>
      </c>
      <c r="H24" s="35" t="str">
        <f t="shared" si="34"/>
        <v xml:space="preserve">			{headerName: this.l('Selling Tt Od'),headerTooltip: this.l('Selling Tt Od'),field: 'sellingTtOd',flex: 1},</v>
      </c>
      <c r="I24" s="35" t="str">
        <f t="shared" si="35"/>
        <v/>
      </c>
      <c r="J24" s="28"/>
      <c r="K24" s="35" t="str">
        <f t="shared" si="36"/>
        <v/>
      </c>
      <c r="L24" s="56" t="str">
        <f t="shared" si="37"/>
        <v/>
      </c>
      <c r="M24" s="28"/>
      <c r="N24" s="28"/>
      <c r="O24" s="28"/>
      <c r="P24" s="28"/>
      <c r="Q24" s="28"/>
      <c r="R24" s="28"/>
      <c r="S24" s="28" t="str">
        <f t="shared" si="38"/>
        <v xml:space="preserve">	sellingTtOd</v>
      </c>
      <c r="T24" s="28" t="str">
        <f t="shared" si="39"/>
        <v xml:space="preserve">			this.sellingTtOd,</v>
      </c>
      <c r="U24" s="28" t="str">
        <f t="shared" si="40"/>
        <v xml:space="preserve">		this.sellingTtOd = '',</v>
      </c>
      <c r="V24" s="28" t="str">
        <f t="shared" si="41"/>
        <v/>
      </c>
    </row>
    <row r="25" spans="1:22" ht="18" customHeight="1" x14ac:dyDescent="0.25">
      <c r="A25" s="28" t="s">
        <v>386</v>
      </c>
      <c r="B25" s="28" t="str">
        <f t="shared" si="33"/>
        <v>IsDownloaded</v>
      </c>
      <c r="C25" s="28" t="str">
        <f t="shared" si="9"/>
        <v>Is Downloaded</v>
      </c>
      <c r="D25" s="28" t="str">
        <f t="shared" si="10"/>
        <v>isDownloaded</v>
      </c>
      <c r="E25" s="28" t="str">
        <f>A.Backend!H19</f>
        <v>string</v>
      </c>
      <c r="F25" s="28" t="str">
        <f>A.Backend!G19</f>
        <v>1</v>
      </c>
      <c r="G25" s="28" t="str">
        <f t="shared" si="11"/>
        <v xml:space="preserve"> : string = '' ; </v>
      </c>
      <c r="H25" s="35" t="str">
        <f t="shared" si="34"/>
        <v xml:space="preserve">			{headerName: this.l('Is Downloaded'),headerTooltip: this.l('Is Downloaded'),field:  'isDownloaded', cellClass: ['text-center'], width: 120, cellRenderer: 'agCellButtonComponent',
buttonDefTwo: { text: params =&gt; (params.data?.'isDownloaded' == 'Y') ? 'Active' : 'Inactive',iconName: 'fa fa-circle',className: params =&gt; (params.data?.'isDownloaded' == 'Y') ? 'btnActive' : 'btnInActive',},}</v>
      </c>
      <c r="I25" s="35" t="str">
        <f t="shared" si="35"/>
        <v xml:space="preserve">								&lt;div class='input-search'&gt;
									&lt;input [(ngModel)]='isDownloaded' name='isDownloaded'
									class='form-control' [placeholder]="l('Is Downloaded')"
									type='text' (keyup.enter)='searchDatas()'&gt;
								&lt;/div&gt;</v>
      </c>
      <c r="J25" s="28"/>
      <c r="K25" s="35" t="str">
        <f t="shared" si="36"/>
        <v xml:space="preserve">					&lt;div class='col-md-12 form-group row'&gt;
						&lt;label class='col-md-2 form-control title'&gt;Is Downloaded&lt;/label&gt;
						&lt;new-checkbox [(ngModel)]='_isDownloaded' name='isDownloaded' className='col-md-10' &gt; &lt;/new-checkbox&gt;
					&lt;/div&gt;</v>
      </c>
      <c r="L25" s="56" t="str">
        <f t="shared" si="37"/>
        <v/>
      </c>
      <c r="M25" s="28"/>
      <c r="N25" s="28"/>
      <c r="O25" s="28"/>
      <c r="P25" s="28"/>
      <c r="Q25" s="28"/>
      <c r="R25" s="28"/>
      <c r="S25" s="28" t="str">
        <f t="shared" si="38"/>
        <v xml:space="preserve">	isDownloaded : string = '' ; </v>
      </c>
      <c r="T25" s="28" t="str">
        <f t="shared" si="39"/>
        <v xml:space="preserve">			this.isDownloaded,</v>
      </c>
      <c r="U25" s="28" t="str">
        <f t="shared" si="40"/>
        <v xml:space="preserve">		this.isDownloaded = '',</v>
      </c>
      <c r="V25" s="28" t="str">
        <f t="shared" si="41"/>
        <v>isDownloaded</v>
      </c>
    </row>
    <row r="26" spans="1:22" ht="18" customHeight="1" x14ac:dyDescent="0.25">
      <c r="A26" s="28" t="s">
        <v>387</v>
      </c>
      <c r="B26" s="28" t="str">
        <f t="shared" si="33"/>
        <v>IsEmailReceived</v>
      </c>
      <c r="C26" s="28" t="str">
        <f t="shared" si="9"/>
        <v>Is Email Received</v>
      </c>
      <c r="D26" s="28" t="str">
        <f t="shared" si="10"/>
        <v>isEmailReceived</v>
      </c>
      <c r="E26" s="28" t="str">
        <f>A.Backend!H20</f>
        <v>string</v>
      </c>
      <c r="F26" s="28" t="str">
        <f>A.Backend!G20</f>
        <v>1</v>
      </c>
      <c r="G26" s="28" t="str">
        <f t="shared" si="11"/>
        <v xml:space="preserve"> : string = '' ; </v>
      </c>
      <c r="H26" s="35" t="str">
        <f t="shared" si="34"/>
        <v xml:space="preserve">			{headerName: this.l('Is Email Received'),headerTooltip: this.l('Is Email Received'),field:  'isEmailReceived', cellClass: ['text-center'], width: 120, cellRenderer: 'agCellButtonComponent',
buttonDefTwo: { text: params =&gt; (params.data?.'isEmailReceived' == 'Y') ? 'Active' : 'Inactive',iconName: 'fa fa-circle',className: params =&gt; (params.data?.'isEmailReceived' == 'Y') ? 'btnActive' : 'btnInActive',},}</v>
      </c>
      <c r="I26" s="35" t="str">
        <f t="shared" si="35"/>
        <v xml:space="preserve">								&lt;div class='input-search'&gt;
									&lt;input [(ngModel)]='isEmailReceived' name='isEmailReceived'
									class='form-control' [placeholder]="l('Is Email Received')"
									type='text' (keyup.enter)='searchDatas()'&gt;
								&lt;/div&gt;</v>
      </c>
      <c r="J26" s="28"/>
      <c r="K26" s="35" t="str">
        <f t="shared" si="36"/>
        <v xml:space="preserve">					&lt;div class='col-md-12 form-group row'&gt;
						&lt;label class='col-md-2 form-control title'&gt;Is Email Received&lt;/label&gt;
						&lt;new-checkbox [(ngModel)]='_isEmailReceived' name='isEmailReceived' className='col-md-10' &gt; &lt;/new-checkbox&gt;
					&lt;/div&gt;</v>
      </c>
      <c r="L26" s="56" t="str">
        <f t="shared" si="37"/>
        <v/>
      </c>
      <c r="M26" s="28"/>
      <c r="N26" s="28"/>
      <c r="O26" s="28"/>
      <c r="P26" s="28"/>
      <c r="Q26" s="28"/>
      <c r="R26" s="28"/>
      <c r="S26" s="28" t="str">
        <f t="shared" si="38"/>
        <v xml:space="preserve">	isEmailReceived : string = '' ; </v>
      </c>
      <c r="T26" s="28" t="str">
        <f t="shared" si="39"/>
        <v xml:space="preserve">			this.isEmailReceived,</v>
      </c>
      <c r="U26" s="28" t="str">
        <f t="shared" si="40"/>
        <v xml:space="preserve">		this.isEmailReceived = '',</v>
      </c>
      <c r="V26" s="28" t="str">
        <f t="shared" si="41"/>
        <v>isEmailReceived</v>
      </c>
    </row>
    <row r="27" spans="1:22" ht="18" customHeight="1" x14ac:dyDescent="0.25">
      <c r="A27" s="28" t="s">
        <v>388</v>
      </c>
      <c r="B27" s="28" t="str">
        <f t="shared" si="33"/>
        <v>IsDiff</v>
      </c>
      <c r="C27" s="28" t="str">
        <f t="shared" si="9"/>
        <v>Is Diff</v>
      </c>
      <c r="D27" s="28" t="str">
        <f t="shared" si="10"/>
        <v>isDiff</v>
      </c>
      <c r="E27" s="28" t="str">
        <f>A.Backend!H21</f>
        <v>string</v>
      </c>
      <c r="F27" s="28" t="str">
        <f>A.Backend!G21</f>
        <v>1</v>
      </c>
      <c r="G27" s="28" t="str">
        <f t="shared" si="11"/>
        <v xml:space="preserve"> : string = '' ; </v>
      </c>
      <c r="H27" s="35" t="str">
        <f t="shared" si="34"/>
        <v xml:space="preserve">			{headerName: this.l('Is Diff'),headerTooltip: this.l('Is Diff'),field:  'isDiff', cellClass: ['text-center'], width: 120, cellRenderer: 'agCellButtonComponent',
buttonDefTwo: { text: params =&gt; (params.data?.'isDiff' == 'Y') ? 'Active' : 'Inactive',iconName: 'fa fa-circle',className: params =&gt; (params.data?.'isDiff' == 'Y') ? 'btnActive' : 'btnInActive',},}</v>
      </c>
      <c r="I27" s="35" t="str">
        <f t="shared" si="35"/>
        <v xml:space="preserve">								&lt;div class='input-search'&gt;
									&lt;input [(ngModel)]='isDiff' name='isDiff'
									class='form-control' [placeholder]="l('Is Diff')"
									type='text' (keyup.enter)='searchDatas()'&gt;
								&lt;/div&gt;</v>
      </c>
      <c r="J27" s="28"/>
      <c r="K27" s="35" t="str">
        <f t="shared" si="36"/>
        <v xml:space="preserve">					&lt;div class='col-md-12 form-group row'&gt;
						&lt;label class='col-md-2 form-control title'&gt;Is Diff&lt;/label&gt;
						&lt;new-checkbox [(ngModel)]='_isDiff' name='isDiff' className='col-md-10' &gt; &lt;/new-checkbox&gt;
					&lt;/div&gt;</v>
      </c>
      <c r="L27" s="56" t="str">
        <f t="shared" si="37"/>
        <v/>
      </c>
      <c r="M27" s="28"/>
      <c r="N27" s="28"/>
      <c r="O27" s="28"/>
      <c r="P27" s="28"/>
      <c r="Q27" s="28"/>
      <c r="R27" s="28"/>
      <c r="S27" s="28" t="str">
        <f t="shared" si="38"/>
        <v xml:space="preserve">	isDiff : string = '' ; </v>
      </c>
      <c r="T27" s="28" t="str">
        <f t="shared" si="39"/>
        <v xml:space="preserve">			this.isDiff,</v>
      </c>
      <c r="U27" s="28" t="str">
        <f t="shared" si="40"/>
        <v xml:space="preserve">		this.isDiff = '',</v>
      </c>
      <c r="V27" s="28" t="str">
        <f t="shared" si="41"/>
        <v>isDiff</v>
      </c>
    </row>
    <row r="28" spans="1:22" ht="18" customHeight="1" x14ac:dyDescent="0.25">
      <c r="A28" s="28" t="s">
        <v>389</v>
      </c>
      <c r="B28" s="28" t="str">
        <f t="shared" si="33"/>
        <v>DownloadDatetime</v>
      </c>
      <c r="C28" s="28" t="str">
        <f t="shared" si="9"/>
        <v>Download Datetime</v>
      </c>
      <c r="D28" s="28" t="str">
        <f t="shared" si="10"/>
        <v>downloadDatetime</v>
      </c>
      <c r="E28" s="28" t="str">
        <f>A.Backend!H22</f>
        <v>DateTime</v>
      </c>
      <c r="F28" s="28" t="str">
        <f>A.Backend!G22</f>
        <v>7</v>
      </c>
      <c r="G28" s="28" t="str">
        <f t="shared" si="11"/>
        <v xml:space="preserve"> : any ;</v>
      </c>
      <c r="H28" s="35" t="str">
        <f t="shared" si="34"/>
        <v xml:space="preserve">			{headerName: this.l('Download Datetime'),headerTooltip: this.l('Download Datetime'),field: 'downloadDatetime',valueGetter: (params) =&gt; this.pipe.transform(params.data?.downloadDatetime, 'dd/MM/yyyy'),flex: 1},</v>
      </c>
      <c r="I28" s="35" t="str">
        <f t="shared" si="35"/>
        <v xml:space="preserve">								&lt;div class='input-search'&gt;
									&lt;input type='text' [placeholder]="l('Download Datetime')" [(ngModel)]='downloadDatetime' 
									name='downloadDatetime' (keydown)='searchDatas()' class='form-control' 
									bsDatepicker #d='bsDatepicker' placement='bottom left'&gt;
									&lt;i class='fa fa-calendar-alt' (click)='d.toggle()'&gt;&lt;/i&gt;
								&lt;/div&gt;</v>
      </c>
      <c r="J28" s="28"/>
      <c r="K28" s="35" t="str">
        <f t="shared" si="36"/>
        <v xml:space="preserve">					&lt;div class='col-md-12 form-group row'&gt;
						&lt;label class='col-md-2 form-control title'&gt;Download Datetime&lt;/label&gt;
						&lt;input type='text' class='col-md-10 form-control input-text' name='downloadDatetime' 
						#datepicker='bsDatepicker' [(ngModel)]='rowdata.downloadDatetime'  bsDatepicker &gt;
					&lt;/div&gt;</v>
      </c>
      <c r="L28" s="56" t="str">
        <f t="shared" si="37"/>
        <v xml:space="preserve">		const dateValue =  this.rowdata.downloadDatetime ? new Date(this.rowdata.downloadDatetime?.toString()) : new Date();
		this.datepicker?.bsValueChange.emit(dateValue);</v>
      </c>
      <c r="M28" s="28"/>
      <c r="N28" s="28"/>
      <c r="O28" s="28"/>
      <c r="P28" s="28"/>
      <c r="Q28" s="28"/>
      <c r="R28" s="28"/>
      <c r="S28" s="28" t="str">
        <f t="shared" si="38"/>
        <v xml:space="preserve">	downloadDatetime : any ;</v>
      </c>
      <c r="T28" s="28" t="str">
        <f t="shared" si="39"/>
        <v xml:space="preserve">			this.downloadDatetime,</v>
      </c>
      <c r="U28" s="28" t="str">
        <f t="shared" si="40"/>
        <v xml:space="preserve">		this.downloadDatetime = '',</v>
      </c>
      <c r="V28" s="28" t="str">
        <f t="shared" si="41"/>
        <v/>
      </c>
    </row>
    <row r="29" spans="1:22" ht="18" customHeight="1" x14ac:dyDescent="0.25">
      <c r="A29" s="28" t="s">
        <v>390</v>
      </c>
      <c r="B29" s="28" t="str">
        <f t="shared" si="33"/>
        <v>EmailReceiveDatetime</v>
      </c>
      <c r="C29" s="28" t="str">
        <f t="shared" si="9"/>
        <v>Email Receive Datetime</v>
      </c>
      <c r="D29" s="28" t="str">
        <f t="shared" si="10"/>
        <v>emailReceiveDatetime</v>
      </c>
      <c r="E29" s="28" t="str">
        <f>A.Backend!H23</f>
        <v>DateTime</v>
      </c>
      <c r="F29" s="28" t="str">
        <f>A.Backend!G23</f>
        <v>7</v>
      </c>
      <c r="G29" s="28" t="str">
        <f t="shared" si="11"/>
        <v xml:space="preserve"> : any ;</v>
      </c>
      <c r="H29" s="35" t="str">
        <f t="shared" si="34"/>
        <v xml:space="preserve">			{headerName: this.l('Email Receive Datetime'),headerTooltip: this.l('Email Receive Datetime'),field: 'emailReceiveDatetime',valueGetter: (params) =&gt; this.pipe.transform(params.data?.emailReceiveDatetime, 'dd/MM/yyyy'),flex: 1},</v>
      </c>
      <c r="I29" s="35" t="str">
        <f t="shared" si="35"/>
        <v xml:space="preserve">								&lt;div class='input-search'&gt;
									&lt;input type='text' [placeholder]="l('Email Receive Datetime')" [(ngModel)]='emailReceiveDatetime' 
									name='emailReceiveDatetime' (keydown)='searchDatas()' class='form-control' 
									bsDatepicker #d='bsDatepicker' placement='bottom left'&gt;
									&lt;i class='fa fa-calendar-alt' (click)='d.toggle()'&gt;&lt;/i&gt;
								&lt;/div&gt;</v>
      </c>
      <c r="J29" s="28"/>
      <c r="K29" s="35" t="str">
        <f t="shared" si="36"/>
        <v xml:space="preserve">					&lt;div class='col-md-12 form-group row'&gt;
						&lt;label class='col-md-2 form-control title'&gt;Email Receive Datetime&lt;/label&gt;
						&lt;input type='text' class='col-md-10 form-control input-text' name='emailReceiveDatetime' 
						#datepicker='bsDatepicker' [(ngModel)]='rowdata.emailReceiveDatetime'  bsDatepicker &gt;
					&lt;/div&gt;</v>
      </c>
      <c r="L29" s="56" t="str">
        <f t="shared" si="37"/>
        <v xml:space="preserve">		const dateValue =  this.rowdata.emailReceiveDatetime ? new Date(this.rowdata.emailReceiveDatetime?.toString()) : new Date();
		this.datepicker?.bsValueChange.emit(dateValue);</v>
      </c>
      <c r="M29" s="28"/>
      <c r="N29" s="28"/>
      <c r="O29" s="28"/>
      <c r="P29" s="28"/>
      <c r="Q29" s="28"/>
      <c r="R29" s="28"/>
      <c r="S29" s="28" t="str">
        <f t="shared" si="38"/>
        <v xml:space="preserve">	emailReceiveDatetime : any ;</v>
      </c>
      <c r="T29" s="28" t="str">
        <f t="shared" si="39"/>
        <v xml:space="preserve">			this.emailReceiveDatetime,</v>
      </c>
      <c r="U29" s="28" t="str">
        <f t="shared" si="40"/>
        <v xml:space="preserve">		this.emailReceiveDatetime = '',</v>
      </c>
      <c r="V29" s="28" t="str">
        <f t="shared" si="41"/>
        <v/>
      </c>
    </row>
    <row r="30" spans="1:22" ht="18" customHeight="1" x14ac:dyDescent="0.25">
      <c r="A30" s="28" t="s">
        <v>392</v>
      </c>
      <c r="B30" s="28" t="str">
        <f t="shared" si="33"/>
        <v>CheckedBy</v>
      </c>
      <c r="C30" s="28" t="str">
        <f t="shared" si="9"/>
        <v>Checked By</v>
      </c>
      <c r="D30" s="28" t="str">
        <f t="shared" si="10"/>
        <v>checkedBy</v>
      </c>
      <c r="E30" s="28" t="str">
        <f>A.Backend!H24</f>
        <v>long</v>
      </c>
      <c r="F30" s="28" t="str">
        <f>A.Backend!G24</f>
        <v/>
      </c>
      <c r="G30" s="28" t="str">
        <f t="shared" si="11"/>
        <v/>
      </c>
      <c r="H30" s="35" t="str">
        <f t="shared" si="34"/>
        <v xml:space="preserve">			{headerName: this.l('Checked By'),headerTooltip: this.l('Checked By'),field: 'checkedBy',flex: 1},</v>
      </c>
      <c r="I30" s="35" t="str">
        <f t="shared" si="35"/>
        <v/>
      </c>
      <c r="J30" s="28"/>
      <c r="K30" s="35" t="str">
        <f t="shared" si="36"/>
        <v/>
      </c>
      <c r="L30" s="56" t="str">
        <f t="shared" si="37"/>
        <v/>
      </c>
      <c r="M30" s="28"/>
      <c r="N30" s="28"/>
      <c r="O30" s="28"/>
      <c r="P30" s="28"/>
      <c r="Q30" s="28"/>
      <c r="R30" s="28"/>
      <c r="S30" s="28" t="str">
        <f t="shared" si="38"/>
        <v xml:space="preserve">	checkedBy</v>
      </c>
      <c r="T30" s="28" t="str">
        <f t="shared" si="39"/>
        <v xml:space="preserve">			this.checkedBy,</v>
      </c>
      <c r="U30" s="28" t="str">
        <f t="shared" si="40"/>
        <v xml:space="preserve">		this.checkedBy = '',</v>
      </c>
      <c r="V30" s="28" t="str">
        <f t="shared" si="41"/>
        <v/>
      </c>
    </row>
    <row r="31" spans="1:22" ht="18" customHeight="1" x14ac:dyDescent="0.25">
      <c r="A31" s="28" t="s">
        <v>393</v>
      </c>
      <c r="B31" s="28" t="str">
        <f t="shared" si="33"/>
        <v>CheckedDatetime</v>
      </c>
      <c r="C31" s="28" t="str">
        <f t="shared" si="9"/>
        <v>Checked Datetime</v>
      </c>
      <c r="D31" s="28" t="str">
        <f t="shared" si="10"/>
        <v>checkedDatetime</v>
      </c>
      <c r="E31" s="28" t="str">
        <f>A.Backend!H25</f>
        <v>DateTime</v>
      </c>
      <c r="F31" s="28" t="str">
        <f>A.Backend!G25</f>
        <v>7</v>
      </c>
      <c r="G31" s="28" t="str">
        <f t="shared" si="11"/>
        <v xml:space="preserve"> : any ;</v>
      </c>
      <c r="H31" s="35" t="str">
        <f t="shared" si="34"/>
        <v xml:space="preserve">			{headerName: this.l('Checked Datetime'),headerTooltip: this.l('Checked Datetime'),field: 'checkedDatetime',valueGetter: (params) =&gt; this.pipe.transform(params.data?.checkedDatetime, 'dd/MM/yyyy'),flex: 1},</v>
      </c>
      <c r="I31" s="35" t="str">
        <f t="shared" si="35"/>
        <v xml:space="preserve">								&lt;div class='input-search'&gt;
									&lt;input type='text' [placeholder]="l('Checked Datetime')" [(ngModel)]='checkedDatetime' 
									name='checkedDatetime' (keydown)='searchDatas()' class='form-control' 
									bsDatepicker #d='bsDatepicker' placement='bottom left'&gt;
									&lt;i class='fa fa-calendar-alt' (click)='d.toggle()'&gt;&lt;/i&gt;
								&lt;/div&gt;</v>
      </c>
      <c r="J31" s="28"/>
      <c r="K31" s="35" t="str">
        <f t="shared" si="36"/>
        <v xml:space="preserve">					&lt;div class='col-md-12 form-group row'&gt;
						&lt;label class='col-md-2 form-control title'&gt;Checked Datetime&lt;/label&gt;
						&lt;input type='text' class='col-md-10 form-control input-text' name='checkedDatetime' 
						#datepicker='bsDatepicker' [(ngModel)]='rowdata.checkedDatetime'  bsDatepicker &gt;
					&lt;/div&gt;</v>
      </c>
      <c r="L31" s="56" t="str">
        <f t="shared" si="37"/>
        <v xml:space="preserve">		const dateValue =  this.rowdata.checkedDatetime ? new Date(this.rowdata.checkedDatetime?.toString()) : new Date();
		this.datepicker?.bsValueChange.emit(dateValue);</v>
      </c>
      <c r="M31" s="28"/>
      <c r="N31" s="28"/>
      <c r="O31" s="28"/>
      <c r="P31" s="28"/>
      <c r="Q31" s="28"/>
      <c r="R31" s="28"/>
      <c r="S31" s="28" t="str">
        <f t="shared" si="38"/>
        <v xml:space="preserve">	checkedDatetime : any ;</v>
      </c>
      <c r="T31" s="28" t="str">
        <f t="shared" si="39"/>
        <v xml:space="preserve">			this.checkedDatetime,</v>
      </c>
      <c r="U31" s="28" t="str">
        <f t="shared" si="40"/>
        <v xml:space="preserve">		this.checkedDatetime = '',</v>
      </c>
      <c r="V31" s="28" t="str">
        <f t="shared" si="41"/>
        <v/>
      </c>
    </row>
    <row r="32" spans="1:22" ht="18" customHeight="1" x14ac:dyDescent="0.25">
      <c r="A32" s="28" t="s">
        <v>391</v>
      </c>
      <c r="B32" s="28" t="str">
        <f t="shared" ref="B32:B35" si="42">SUBSTITUTE(PROPER(A32),"_","")</f>
        <v>ApprovedBy</v>
      </c>
      <c r="C32" s="28" t="str">
        <f t="shared" si="9"/>
        <v>Approved By</v>
      </c>
      <c r="D32" s="28" t="str">
        <f t="shared" si="10"/>
        <v>approvedBy</v>
      </c>
      <c r="E32" s="28" t="str">
        <f>A.Backend!H26</f>
        <v>string</v>
      </c>
      <c r="F32" s="28" t="str">
        <f>A.Backend!G26</f>
        <v>50</v>
      </c>
      <c r="G32" s="28" t="str">
        <f t="shared" si="11"/>
        <v xml:space="preserve"> : string = '' ; </v>
      </c>
      <c r="H32" s="35" t="str">
        <f t="shared" ref="H32:H35" si="43"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this.l('Approved By'),headerTooltip: this.l('Approved By'),field: 'approvedBy',flex: 1},</v>
      </c>
      <c r="I32" s="35" t="str">
        <f t="shared" ref="I32:I35" si="44"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 xml:space="preserve">								&lt;div class='input-search'&gt;
									&lt;input [(ngModel)]='approvedBy' name='approvedBy'
									class='form-control' [placeholder]="l('Approved By')"
									type='text' (keyup.enter)='searchDatas()'&gt;
								&lt;/div&gt;</v>
      </c>
      <c r="J32" s="28"/>
      <c r="K32" s="35" t="str">
        <f t="shared" ref="K32:K35" si="45"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title'&gt;Approved By&lt;/label&gt;
						&lt;input type='text' class='col-md-10 form-control input-text' name='ApprovedBy' [(ngModel)]='rowdata.approvedBy'&gt;
					&lt;/div&gt;</v>
      </c>
      <c r="L32" s="56" t="str">
        <f t="shared" ref="L32:L35" si="46"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 t="shared" ref="S32:S35" si="47">REPT(CHAR(9),1)&amp;D32&amp;G32</f>
        <v xml:space="preserve">	approvedBy : string = '' ; </v>
      </c>
      <c r="T32" s="28" t="str">
        <f t="shared" ref="T32:T35" si="48">REPT(CHAR(9),3)&amp;"this."&amp;D32&amp;","</f>
        <v xml:space="preserve">			this.approvedBy,</v>
      </c>
      <c r="U32" s="28" t="str">
        <f t="shared" ref="U32:U35" si="49">IF(E32="int",REPT(CHAR(9),2)&amp;"this."&amp;D32&amp;" = 0,",REPT(CHAR(9),2)&amp;"this."&amp;D32&amp;" = '',")</f>
        <v xml:space="preserve">		this.approvedBy = '',</v>
      </c>
      <c r="V32" s="28" t="str">
        <f t="shared" ref="V32:V35" si="50">IF(AND(E32="string",F32="1"),D32,"")</f>
        <v/>
      </c>
    </row>
    <row r="33" spans="1:22" ht="18" customHeight="1" x14ac:dyDescent="0.25">
      <c r="A33" s="28" t="s">
        <v>394</v>
      </c>
      <c r="B33" s="28" t="str">
        <f t="shared" si="42"/>
        <v>ApprovedDatetime</v>
      </c>
      <c r="C33" s="28" t="str">
        <f t="shared" si="9"/>
        <v>Approved Datetime</v>
      </c>
      <c r="D33" s="28" t="str">
        <f t="shared" si="10"/>
        <v>approvedDatetime</v>
      </c>
      <c r="E33" s="28" t="str">
        <f>A.Backend!H27</f>
        <v>DateTime</v>
      </c>
      <c r="F33" s="28" t="str">
        <f>A.Backend!G27</f>
        <v>7</v>
      </c>
      <c r="G33" s="28" t="str">
        <f t="shared" si="11"/>
        <v xml:space="preserve"> : any ;</v>
      </c>
      <c r="H33" s="35" t="str">
        <f t="shared" si="43"/>
        <v xml:space="preserve">			{headerName: this.l('Approved Datetime'),headerTooltip: this.l('Approved Datetime'),field: 'approvedDatetime',valueGetter: (params) =&gt; this.pipe.transform(params.data?.approvedDatetime, 'dd/MM/yyyy'),flex: 1},</v>
      </c>
      <c r="I33" s="35" t="str">
        <f t="shared" si="44"/>
        <v xml:space="preserve">								&lt;div class='input-search'&gt;
									&lt;input type='text' [placeholder]="l('Approved Datetime')" [(ngModel)]='approvedDatetime' 
									name='approvedDatetime' (keydown)='searchDatas()' class='form-control' 
									bsDatepicker #d='bsDatepicker' placement='bottom left'&gt;
									&lt;i class='fa fa-calendar-alt' (click)='d.toggle()'&gt;&lt;/i&gt;
								&lt;/div&gt;</v>
      </c>
      <c r="J33" s="28"/>
      <c r="K33" s="35" t="str">
        <f t="shared" si="45"/>
        <v xml:space="preserve">					&lt;div class='col-md-12 form-group row'&gt;
						&lt;label class='col-md-2 form-control title'&gt;Approved Datetime&lt;/label&gt;
						&lt;input type='text' class='col-md-10 form-control input-text' name='approvedDatetime' 
						#datepicker='bsDatepicker' [(ngModel)]='rowdata.approvedDatetime'  bsDatepicker &gt;
					&lt;/div&gt;</v>
      </c>
      <c r="L33" s="56" t="str">
        <f t="shared" si="46"/>
        <v xml:space="preserve">		const dateValue =  this.rowdata.approvedDatetime ? new Date(this.rowdata.approvedDatetime?.toString()) : new Date();
		this.datepicker?.bsValueChange.emit(dateValue);</v>
      </c>
      <c r="M33" s="28"/>
      <c r="N33" s="28"/>
      <c r="O33" s="28"/>
      <c r="P33" s="28"/>
      <c r="Q33" s="28"/>
      <c r="R33" s="28"/>
      <c r="S33" s="28" t="str">
        <f t="shared" si="47"/>
        <v xml:space="preserve">	approvedDatetime : any ;</v>
      </c>
      <c r="T33" s="28" t="str">
        <f t="shared" si="48"/>
        <v xml:space="preserve">			this.approvedDatetime,</v>
      </c>
      <c r="U33" s="28" t="str">
        <f t="shared" si="49"/>
        <v xml:space="preserve">		this.approvedDatetime = '',</v>
      </c>
      <c r="V33" s="28" t="str">
        <f t="shared" si="50"/>
        <v/>
      </c>
    </row>
    <row r="34" spans="1:22" ht="18" customHeight="1" x14ac:dyDescent="0.25">
      <c r="A34" s="28" t="s">
        <v>385</v>
      </c>
      <c r="B34" s="28" t="str">
        <f t="shared" si="42"/>
        <v>Status</v>
      </c>
      <c r="C34" s="28" t="str">
        <f t="shared" si="9"/>
        <v>Status</v>
      </c>
      <c r="D34" s="28" t="str">
        <f t="shared" si="10"/>
        <v>status</v>
      </c>
      <c r="E34" s="28" t="str">
        <f>A.Backend!H28</f>
        <v>string</v>
      </c>
      <c r="F34" s="28" t="str">
        <f>A.Backend!G28</f>
        <v>20</v>
      </c>
      <c r="G34" s="28" t="str">
        <f t="shared" si="11"/>
        <v xml:space="preserve"> : string = '' ; </v>
      </c>
      <c r="H34" s="35" t="str">
        <f t="shared" si="43"/>
        <v xml:space="preserve">			{headerName: this.l('Status'),headerTooltip: this.l('Status'),field: 'status',flex: 1},</v>
      </c>
      <c r="I34" s="35" t="str">
        <f t="shared" si="44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34" s="28"/>
      <c r="K34" s="35" t="str">
        <f t="shared" si="45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34" s="56" t="str">
        <f t="shared" si="46"/>
        <v/>
      </c>
      <c r="M34" s="28"/>
      <c r="N34" s="28"/>
      <c r="O34" s="28"/>
      <c r="P34" s="28"/>
      <c r="Q34" s="28"/>
      <c r="R34" s="28"/>
      <c r="S34" s="28" t="str">
        <f t="shared" si="47"/>
        <v xml:space="preserve">	status : string = '' ; </v>
      </c>
      <c r="T34" s="28" t="str">
        <f t="shared" si="48"/>
        <v xml:space="preserve">			this.status,</v>
      </c>
      <c r="U34" s="28" t="str">
        <f t="shared" si="49"/>
        <v xml:space="preserve">		this.status = '',</v>
      </c>
      <c r="V34" s="28" t="str">
        <f t="shared" si="50"/>
        <v/>
      </c>
    </row>
    <row r="35" spans="1:22" ht="18" customHeight="1" x14ac:dyDescent="0.25">
      <c r="A35" s="28" t="s">
        <v>401</v>
      </c>
      <c r="B35" s="28" t="str">
        <f t="shared" si="42"/>
        <v>ToolName</v>
      </c>
      <c r="C35" s="28" t="str">
        <f t="shared" si="9"/>
        <v>Tool Name</v>
      </c>
      <c r="D35" s="28" t="str">
        <f t="shared" si="10"/>
        <v>toolName</v>
      </c>
      <c r="E35" s="28" t="str">
        <f>A.Backend!H29</f>
        <v>string</v>
      </c>
      <c r="F35" s="28" t="str">
        <f>A.Backend!G29</f>
        <v>50</v>
      </c>
      <c r="G35" s="28" t="str">
        <f t="shared" si="11"/>
        <v xml:space="preserve"> : string = '' ; </v>
      </c>
      <c r="H35" s="35" t="str">
        <f t="shared" si="43"/>
        <v xml:space="preserve">			{headerName: this.l('Tool Name'),headerTooltip: this.l('Tool Name'),field: 'toolName',flex: 1},</v>
      </c>
      <c r="I35" s="35" t="str">
        <f t="shared" si="44"/>
        <v xml:space="preserve">								&lt;div class='input-search'&gt;
									&lt;input [(ngModel)]='toolName' name='toolName'
									class='form-control' [placeholder]="l('Tool Name')"
									type='text' (keyup.enter)='searchDatas()'&gt;
								&lt;/div&gt;</v>
      </c>
      <c r="J35" s="28"/>
      <c r="K35" s="35" t="str">
        <f t="shared" si="45"/>
        <v xml:space="preserve">					&lt;div class='col-md-12 form-group row'&gt;
						&lt;label class='col-md-2 form-control title'&gt;Tool Name&lt;/label&gt;
						&lt;input type='text' class='col-md-10 form-control input-text' name='ToolName' [(ngModel)]='rowdata.toolName'&gt;
					&lt;/div&gt;</v>
      </c>
      <c r="L35" s="56" t="str">
        <f t="shared" si="46"/>
        <v/>
      </c>
      <c r="M35" s="28"/>
      <c r="N35" s="28"/>
      <c r="O35" s="28"/>
      <c r="P35" s="28"/>
      <c r="Q35" s="28"/>
      <c r="R35" s="28"/>
      <c r="S35" s="28" t="str">
        <f t="shared" si="47"/>
        <v xml:space="preserve">	toolName : string = '' ; </v>
      </c>
      <c r="T35" s="28" t="str">
        <f t="shared" si="48"/>
        <v xml:space="preserve">			this.toolName,</v>
      </c>
      <c r="U35" s="28" t="str">
        <f t="shared" si="49"/>
        <v xml:space="preserve">		this.toolName = '',</v>
      </c>
      <c r="V35" s="28" t="str">
        <f t="shared" si="50"/>
        <v/>
      </c>
    </row>
    <row r="36" spans="1:22" ht="18" customHeight="1" x14ac:dyDescent="0.25">
      <c r="A36" s="28" t="s">
        <v>324</v>
      </c>
      <c r="B36" s="28" t="str">
        <f t="shared" si="33"/>
        <v>IsActive</v>
      </c>
      <c r="C36" s="28" t="str">
        <f t="shared" si="9"/>
        <v>Is Active</v>
      </c>
      <c r="D36" s="28" t="str">
        <f t="shared" si="10"/>
        <v>isActive</v>
      </c>
      <c r="E36" s="28" t="str">
        <f>A.Backend!H30</f>
        <v>string</v>
      </c>
      <c r="F36" s="28" t="str">
        <f>A.Backend!G30</f>
        <v>1</v>
      </c>
      <c r="G36" s="28" t="str">
        <f t="shared" si="11"/>
        <v xml:space="preserve"> : string = '' ; </v>
      </c>
      <c r="H36" s="35" t="str">
        <f t="shared" si="3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6" s="35" t="str">
        <f t="shared" si="3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6" s="28"/>
      <c r="K36" s="35" t="str">
        <f t="shared" si="3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6" s="56" t="str">
        <f t="shared" si="37"/>
        <v/>
      </c>
      <c r="M36" s="28"/>
      <c r="N36" s="28"/>
      <c r="O36" s="28"/>
      <c r="P36" s="28"/>
      <c r="Q36" s="28"/>
      <c r="R36" s="28"/>
      <c r="S36" s="28" t="str">
        <f t="shared" si="38"/>
        <v xml:space="preserve">	isActive : string = '' ; </v>
      </c>
      <c r="T36" s="28" t="str">
        <f t="shared" si="39"/>
        <v xml:space="preserve">			this.isActive,</v>
      </c>
      <c r="U36" s="28" t="str">
        <f t="shared" si="40"/>
        <v xml:space="preserve">		this.isActive = '',</v>
      </c>
      <c r="V36" s="28" t="str">
        <f t="shared" si="41"/>
        <v>isActive</v>
      </c>
    </row>
    <row r="3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L10"/>
  <sheetViews>
    <sheetView workbookViewId="0">
      <selection activeCell="C7" sqref="C7:K8"/>
    </sheetView>
  </sheetViews>
  <sheetFormatPr defaultRowHeight="15" x14ac:dyDescent="0.25"/>
  <cols>
    <col min="1" max="2" width="4.7109375" customWidth="1"/>
    <col min="3" max="31" width="2" customWidth="1"/>
    <col min="32" max="53" width="5.7109375" customWidth="1"/>
    <col min="54" max="64" width="2" customWidth="1"/>
  </cols>
  <sheetData>
    <row r="1" spans="1:64" ht="16.5" customHeight="1" x14ac:dyDescent="0.25">
      <c r="A1" s="98" t="s">
        <v>357</v>
      </c>
      <c r="B1" s="99"/>
      <c r="C1" s="102" t="s">
        <v>358</v>
      </c>
      <c r="D1" s="103"/>
      <c r="E1" s="103"/>
      <c r="F1" s="103"/>
      <c r="G1" s="103"/>
      <c r="H1" s="103"/>
      <c r="I1" s="103"/>
      <c r="J1" s="103"/>
      <c r="K1" s="104"/>
      <c r="L1" s="102" t="s">
        <v>359</v>
      </c>
      <c r="M1" s="103"/>
      <c r="N1" s="103"/>
      <c r="O1" s="103"/>
      <c r="P1" s="103"/>
      <c r="Q1" s="103"/>
      <c r="R1" s="104"/>
      <c r="S1" s="98" t="s">
        <v>360</v>
      </c>
      <c r="T1" s="106"/>
      <c r="U1" s="106"/>
      <c r="V1" s="106"/>
      <c r="W1" s="106"/>
      <c r="X1" s="106"/>
      <c r="Y1" s="106"/>
      <c r="Z1" s="106"/>
      <c r="AA1" s="106"/>
      <c r="AB1" s="107" t="s">
        <v>361</v>
      </c>
      <c r="AC1" s="107"/>
      <c r="AD1" s="107"/>
      <c r="AE1" s="108"/>
      <c r="AF1" s="92" t="s">
        <v>361</v>
      </c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4"/>
      <c r="BB1" s="92" t="s">
        <v>363</v>
      </c>
      <c r="BC1" s="93"/>
      <c r="BD1" s="93"/>
      <c r="BE1" s="93"/>
      <c r="BF1" s="93"/>
      <c r="BG1" s="93"/>
      <c r="BH1" s="93"/>
      <c r="BI1" s="93"/>
      <c r="BJ1" s="93"/>
      <c r="BK1" s="93"/>
      <c r="BL1" s="93"/>
    </row>
    <row r="2" spans="1:64" ht="16.5" customHeight="1" x14ac:dyDescent="0.25">
      <c r="A2" s="100"/>
      <c r="B2" s="101"/>
      <c r="C2" s="100"/>
      <c r="D2" s="105"/>
      <c r="E2" s="105"/>
      <c r="F2" s="105"/>
      <c r="G2" s="105"/>
      <c r="H2" s="105"/>
      <c r="I2" s="105"/>
      <c r="J2" s="105"/>
      <c r="K2" s="101"/>
      <c r="L2" s="100"/>
      <c r="M2" s="105"/>
      <c r="N2" s="105"/>
      <c r="O2" s="105"/>
      <c r="P2" s="105"/>
      <c r="Q2" s="105"/>
      <c r="R2" s="101"/>
      <c r="S2" s="100"/>
      <c r="T2" s="105"/>
      <c r="U2" s="105"/>
      <c r="V2" s="105"/>
      <c r="W2" s="105"/>
      <c r="X2" s="105"/>
      <c r="Y2" s="105"/>
      <c r="Z2" s="105"/>
      <c r="AA2" s="105"/>
      <c r="AB2" s="109" t="s">
        <v>362</v>
      </c>
      <c r="AC2" s="109"/>
      <c r="AD2" s="109"/>
      <c r="AE2" s="110"/>
      <c r="AF2" s="95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7"/>
      <c r="BB2" s="95"/>
      <c r="BC2" s="96"/>
      <c r="BD2" s="96"/>
      <c r="BE2" s="96"/>
      <c r="BF2" s="96"/>
      <c r="BG2" s="96"/>
      <c r="BH2" s="96"/>
      <c r="BI2" s="96"/>
      <c r="BJ2" s="96"/>
      <c r="BK2" s="96"/>
      <c r="BL2" s="96"/>
    </row>
    <row r="3" spans="1:64" ht="16.5" x14ac:dyDescent="0.25">
      <c r="A3" s="78">
        <v>4631</v>
      </c>
      <c r="B3" s="79"/>
      <c r="C3" s="78" t="s">
        <v>364</v>
      </c>
      <c r="D3" s="82"/>
      <c r="E3" s="82"/>
      <c r="F3" s="82"/>
      <c r="G3" s="82"/>
      <c r="H3" s="82"/>
      <c r="I3" s="82"/>
      <c r="J3" s="82"/>
      <c r="K3" s="79"/>
      <c r="L3" s="78">
        <v>1001</v>
      </c>
      <c r="M3" s="82"/>
      <c r="N3" s="82"/>
      <c r="O3" s="82"/>
      <c r="P3" s="82"/>
      <c r="Q3" s="82"/>
      <c r="R3" s="79"/>
      <c r="S3" s="72" t="s">
        <v>365</v>
      </c>
      <c r="T3" s="73"/>
      <c r="U3" s="73"/>
      <c r="V3" s="73"/>
      <c r="W3" s="73"/>
      <c r="X3" s="73"/>
      <c r="Y3" s="73"/>
      <c r="Z3" s="73"/>
      <c r="AA3" s="84"/>
      <c r="AB3" s="76" t="s">
        <v>366</v>
      </c>
      <c r="AC3" s="77"/>
      <c r="AD3" s="77"/>
      <c r="AE3" s="66"/>
      <c r="AF3" s="69" t="s">
        <v>367</v>
      </c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1"/>
      <c r="BB3" s="72" t="s">
        <v>368</v>
      </c>
      <c r="BC3" s="73"/>
      <c r="BD3" s="73"/>
      <c r="BE3" s="73"/>
      <c r="BF3" s="73"/>
      <c r="BG3" s="73"/>
      <c r="BH3" s="73"/>
      <c r="BI3" s="73"/>
      <c r="BJ3" s="73"/>
      <c r="BK3" s="73"/>
      <c r="BL3" s="73"/>
    </row>
    <row r="4" spans="1:64" ht="16.5" x14ac:dyDescent="0.25">
      <c r="A4" s="88"/>
      <c r="B4" s="89"/>
      <c r="C4" s="88"/>
      <c r="D4" s="90"/>
      <c r="E4" s="90"/>
      <c r="F4" s="90"/>
      <c r="G4" s="90"/>
      <c r="H4" s="90"/>
      <c r="I4" s="90"/>
      <c r="J4" s="90"/>
      <c r="K4" s="89"/>
      <c r="L4" s="88"/>
      <c r="M4" s="90"/>
      <c r="N4" s="90"/>
      <c r="O4" s="90"/>
      <c r="P4" s="90"/>
      <c r="Q4" s="90"/>
      <c r="R4" s="89"/>
      <c r="S4" s="86"/>
      <c r="T4" s="87"/>
      <c r="U4" s="87"/>
      <c r="V4" s="87"/>
      <c r="W4" s="87"/>
      <c r="X4" s="87"/>
      <c r="Y4" s="87"/>
      <c r="Z4" s="87"/>
      <c r="AA4" s="91"/>
      <c r="AB4" s="76" t="s">
        <v>369</v>
      </c>
      <c r="AC4" s="77"/>
      <c r="AD4" s="77"/>
      <c r="AE4" s="66"/>
      <c r="AF4" s="69" t="s">
        <v>370</v>
      </c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1"/>
      <c r="BB4" s="86"/>
      <c r="BC4" s="87"/>
      <c r="BD4" s="87"/>
      <c r="BE4" s="87"/>
      <c r="BF4" s="87"/>
      <c r="BG4" s="87"/>
      <c r="BH4" s="87"/>
      <c r="BI4" s="87"/>
      <c r="BJ4" s="87"/>
      <c r="BK4" s="87"/>
      <c r="BL4" s="87"/>
    </row>
    <row r="5" spans="1:64" ht="16.5" x14ac:dyDescent="0.25">
      <c r="A5" s="78">
        <v>4631</v>
      </c>
      <c r="B5" s="79"/>
      <c r="C5" s="78" t="s">
        <v>364</v>
      </c>
      <c r="D5" s="82"/>
      <c r="E5" s="82"/>
      <c r="F5" s="82"/>
      <c r="G5" s="82"/>
      <c r="H5" s="82"/>
      <c r="I5" s="82"/>
      <c r="J5" s="82"/>
      <c r="K5" s="79"/>
      <c r="L5" s="78">
        <v>1002</v>
      </c>
      <c r="M5" s="82"/>
      <c r="N5" s="82"/>
      <c r="O5" s="82"/>
      <c r="P5" s="82"/>
      <c r="Q5" s="82"/>
      <c r="R5" s="79"/>
      <c r="S5" s="72" t="s">
        <v>371</v>
      </c>
      <c r="T5" s="73"/>
      <c r="U5" s="73"/>
      <c r="V5" s="73"/>
      <c r="W5" s="73"/>
      <c r="X5" s="73"/>
      <c r="Y5" s="73"/>
      <c r="Z5" s="73"/>
      <c r="AA5" s="84"/>
      <c r="AB5" s="76" t="s">
        <v>366</v>
      </c>
      <c r="AC5" s="77"/>
      <c r="AD5" s="77"/>
      <c r="AE5" s="66"/>
      <c r="AF5" s="69" t="s">
        <v>367</v>
      </c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1"/>
      <c r="BB5" s="72" t="s">
        <v>368</v>
      </c>
      <c r="BC5" s="73"/>
      <c r="BD5" s="73"/>
      <c r="BE5" s="73"/>
      <c r="BF5" s="73"/>
      <c r="BG5" s="73"/>
      <c r="BH5" s="73"/>
      <c r="BI5" s="73"/>
      <c r="BJ5" s="73"/>
      <c r="BK5" s="73"/>
      <c r="BL5" s="73"/>
    </row>
    <row r="6" spans="1:64" ht="16.5" x14ac:dyDescent="0.25">
      <c r="A6" s="88"/>
      <c r="B6" s="89"/>
      <c r="C6" s="88"/>
      <c r="D6" s="90"/>
      <c r="E6" s="90"/>
      <c r="F6" s="90"/>
      <c r="G6" s="90"/>
      <c r="H6" s="90"/>
      <c r="I6" s="90"/>
      <c r="J6" s="90"/>
      <c r="K6" s="89"/>
      <c r="L6" s="88"/>
      <c r="M6" s="90"/>
      <c r="N6" s="90"/>
      <c r="O6" s="90"/>
      <c r="P6" s="90"/>
      <c r="Q6" s="90"/>
      <c r="R6" s="89"/>
      <c r="S6" s="86"/>
      <c r="T6" s="87"/>
      <c r="U6" s="87"/>
      <c r="V6" s="87"/>
      <c r="W6" s="87"/>
      <c r="X6" s="87"/>
      <c r="Y6" s="87"/>
      <c r="Z6" s="87"/>
      <c r="AA6" s="91"/>
      <c r="AB6" s="76" t="s">
        <v>369</v>
      </c>
      <c r="AC6" s="77"/>
      <c r="AD6" s="77"/>
      <c r="AE6" s="66"/>
      <c r="AF6" s="69" t="s">
        <v>370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1"/>
      <c r="BB6" s="86"/>
      <c r="BC6" s="87"/>
      <c r="BD6" s="87"/>
      <c r="BE6" s="87"/>
      <c r="BF6" s="87"/>
      <c r="BG6" s="87"/>
      <c r="BH6" s="87"/>
      <c r="BI6" s="87"/>
      <c r="BJ6" s="87"/>
      <c r="BK6" s="87"/>
      <c r="BL6" s="87"/>
    </row>
    <row r="7" spans="1:64" ht="16.5" x14ac:dyDescent="0.25">
      <c r="A7" s="78">
        <v>4631</v>
      </c>
      <c r="B7" s="79"/>
      <c r="C7" s="78" t="s">
        <v>364</v>
      </c>
      <c r="D7" s="82"/>
      <c r="E7" s="82"/>
      <c r="F7" s="82"/>
      <c r="G7" s="82"/>
      <c r="H7" s="82"/>
      <c r="I7" s="82"/>
      <c r="J7" s="82"/>
      <c r="K7" s="79"/>
      <c r="L7" s="78">
        <v>3001</v>
      </c>
      <c r="M7" s="82"/>
      <c r="N7" s="82"/>
      <c r="O7" s="82"/>
      <c r="P7" s="82"/>
      <c r="Q7" s="82"/>
      <c r="R7" s="79"/>
      <c r="S7" s="72" t="s">
        <v>372</v>
      </c>
      <c r="T7" s="73"/>
      <c r="U7" s="73"/>
      <c r="V7" s="73"/>
      <c r="W7" s="73"/>
      <c r="X7" s="73"/>
      <c r="Y7" s="73"/>
      <c r="Z7" s="73"/>
      <c r="AA7" s="84"/>
      <c r="AB7" s="76" t="s">
        <v>366</v>
      </c>
      <c r="AC7" s="77"/>
      <c r="AD7" s="77"/>
      <c r="AE7" s="66"/>
      <c r="AF7" s="69" t="s">
        <v>367</v>
      </c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1"/>
      <c r="BB7" s="72" t="s">
        <v>372</v>
      </c>
      <c r="BC7" s="73"/>
      <c r="BD7" s="73"/>
      <c r="BE7" s="73"/>
      <c r="BF7" s="73"/>
      <c r="BG7" s="73"/>
      <c r="BH7" s="73"/>
      <c r="BI7" s="73"/>
      <c r="BJ7" s="73"/>
      <c r="BK7" s="73"/>
      <c r="BL7" s="73"/>
    </row>
    <row r="8" spans="1:64" ht="16.5" x14ac:dyDescent="0.25">
      <c r="A8" s="88"/>
      <c r="B8" s="89"/>
      <c r="C8" s="88"/>
      <c r="D8" s="90"/>
      <c r="E8" s="90"/>
      <c r="F8" s="90"/>
      <c r="G8" s="90"/>
      <c r="H8" s="90"/>
      <c r="I8" s="90"/>
      <c r="J8" s="90"/>
      <c r="K8" s="89"/>
      <c r="L8" s="88"/>
      <c r="M8" s="90"/>
      <c r="N8" s="90"/>
      <c r="O8" s="90"/>
      <c r="P8" s="90"/>
      <c r="Q8" s="90"/>
      <c r="R8" s="89"/>
      <c r="S8" s="86"/>
      <c r="T8" s="87"/>
      <c r="U8" s="87"/>
      <c r="V8" s="87"/>
      <c r="W8" s="87"/>
      <c r="X8" s="87"/>
      <c r="Y8" s="87"/>
      <c r="Z8" s="87"/>
      <c r="AA8" s="91"/>
      <c r="AB8" s="76" t="s">
        <v>369</v>
      </c>
      <c r="AC8" s="77"/>
      <c r="AD8" s="77"/>
      <c r="AE8" s="66"/>
      <c r="AF8" s="69" t="s">
        <v>370</v>
      </c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1"/>
      <c r="BB8" s="86"/>
      <c r="BC8" s="87"/>
      <c r="BD8" s="87"/>
      <c r="BE8" s="87"/>
      <c r="BF8" s="87"/>
      <c r="BG8" s="87"/>
      <c r="BH8" s="87"/>
      <c r="BI8" s="87"/>
      <c r="BJ8" s="87"/>
      <c r="BK8" s="87"/>
      <c r="BL8" s="87"/>
    </row>
    <row r="9" spans="1:64" ht="16.5" x14ac:dyDescent="0.25">
      <c r="A9" s="78">
        <v>4631</v>
      </c>
      <c r="B9" s="79"/>
      <c r="C9" s="78" t="s">
        <v>364</v>
      </c>
      <c r="D9" s="82"/>
      <c r="E9" s="82"/>
      <c r="F9" s="82"/>
      <c r="G9" s="82"/>
      <c r="H9" s="82"/>
      <c r="I9" s="82"/>
      <c r="J9" s="82"/>
      <c r="K9" s="79"/>
      <c r="L9" s="78">
        <v>4001</v>
      </c>
      <c r="M9" s="82"/>
      <c r="N9" s="82"/>
      <c r="O9" s="82"/>
      <c r="P9" s="82"/>
      <c r="Q9" s="82"/>
      <c r="R9" s="79"/>
      <c r="S9" s="72" t="s">
        <v>373</v>
      </c>
      <c r="T9" s="73"/>
      <c r="U9" s="73"/>
      <c r="V9" s="73"/>
      <c r="W9" s="73"/>
      <c r="X9" s="73"/>
      <c r="Y9" s="73"/>
      <c r="Z9" s="73"/>
      <c r="AA9" s="84"/>
      <c r="AB9" s="76" t="s">
        <v>366</v>
      </c>
      <c r="AC9" s="77"/>
      <c r="AD9" s="77"/>
      <c r="AE9" s="66"/>
      <c r="AF9" s="69" t="s">
        <v>367</v>
      </c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1"/>
      <c r="BB9" s="72" t="s">
        <v>374</v>
      </c>
      <c r="BC9" s="73"/>
      <c r="BD9" s="73"/>
      <c r="BE9" s="73"/>
      <c r="BF9" s="73"/>
      <c r="BG9" s="73"/>
      <c r="BH9" s="73"/>
      <c r="BI9" s="73"/>
      <c r="BJ9" s="73"/>
      <c r="BK9" s="73"/>
      <c r="BL9" s="73"/>
    </row>
    <row r="10" spans="1:64" ht="16.5" x14ac:dyDescent="0.25">
      <c r="A10" s="80"/>
      <c r="B10" s="81"/>
      <c r="C10" s="80"/>
      <c r="D10" s="83"/>
      <c r="E10" s="83"/>
      <c r="F10" s="83"/>
      <c r="G10" s="83"/>
      <c r="H10" s="83"/>
      <c r="I10" s="83"/>
      <c r="J10" s="83"/>
      <c r="K10" s="81"/>
      <c r="L10" s="80"/>
      <c r="M10" s="83"/>
      <c r="N10" s="83"/>
      <c r="O10" s="83"/>
      <c r="P10" s="83"/>
      <c r="Q10" s="83"/>
      <c r="R10" s="81"/>
      <c r="S10" s="74"/>
      <c r="T10" s="75"/>
      <c r="U10" s="75"/>
      <c r="V10" s="75"/>
      <c r="W10" s="75"/>
      <c r="X10" s="75"/>
      <c r="Y10" s="75"/>
      <c r="Z10" s="75"/>
      <c r="AA10" s="85"/>
      <c r="AB10" s="76" t="s">
        <v>369</v>
      </c>
      <c r="AC10" s="77"/>
      <c r="AD10" s="77"/>
      <c r="AE10" s="66"/>
      <c r="AF10" s="69" t="s">
        <v>370</v>
      </c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1"/>
      <c r="BB10" s="74"/>
      <c r="BC10" s="75"/>
      <c r="BD10" s="75"/>
      <c r="BE10" s="75"/>
      <c r="BF10" s="75"/>
      <c r="BG10" s="75"/>
      <c r="BH10" s="75"/>
      <c r="BI10" s="75"/>
      <c r="BJ10" s="75"/>
      <c r="BK10" s="75"/>
      <c r="BL10" s="75"/>
    </row>
  </sheetData>
  <mergeCells count="44">
    <mergeCell ref="BB3:BL4"/>
    <mergeCell ref="AB4:AD4"/>
    <mergeCell ref="AF1:BA2"/>
    <mergeCell ref="BB1:BL2"/>
    <mergeCell ref="A3:B4"/>
    <mergeCell ref="C3:K4"/>
    <mergeCell ref="L3:R4"/>
    <mergeCell ref="S3:AA4"/>
    <mergeCell ref="AB3:AD3"/>
    <mergeCell ref="A1:B2"/>
    <mergeCell ref="C1:K2"/>
    <mergeCell ref="L1:R2"/>
    <mergeCell ref="S1:AA2"/>
    <mergeCell ref="AB1:AE1"/>
    <mergeCell ref="AB2:AE2"/>
    <mergeCell ref="AF3:BA3"/>
    <mergeCell ref="AB6:AD6"/>
    <mergeCell ref="BB5:BL6"/>
    <mergeCell ref="A5:B6"/>
    <mergeCell ref="C5:K6"/>
    <mergeCell ref="L5:R6"/>
    <mergeCell ref="S5:AA6"/>
    <mergeCell ref="AB5:AD5"/>
    <mergeCell ref="BB7:BL8"/>
    <mergeCell ref="AB8:AD8"/>
    <mergeCell ref="A7:B8"/>
    <mergeCell ref="C7:K8"/>
    <mergeCell ref="L7:R8"/>
    <mergeCell ref="S7:AA8"/>
    <mergeCell ref="AB7:AD7"/>
    <mergeCell ref="BB9:BL10"/>
    <mergeCell ref="AB10:AD10"/>
    <mergeCell ref="AF9:BA9"/>
    <mergeCell ref="A9:B10"/>
    <mergeCell ref="C9:K10"/>
    <mergeCell ref="L9:R10"/>
    <mergeCell ref="S9:AA10"/>
    <mergeCell ref="AB9:AD9"/>
    <mergeCell ref="AF10:BA10"/>
    <mergeCell ref="AF4:BA4"/>
    <mergeCell ref="AF5:BA5"/>
    <mergeCell ref="AF6:BA6"/>
    <mergeCell ref="AF7:BA7"/>
    <mergeCell ref="AF8:BA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2023-06-07T02:47:22Z</dcterms:modified>
</cp:coreProperties>
</file>
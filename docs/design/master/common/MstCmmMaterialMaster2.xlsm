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E16" i="5"/>
  <c r="G16" i="5" s="1"/>
  <c r="F16" i="5"/>
  <c r="B17" i="5"/>
  <c r="C17" i="5"/>
  <c r="D17" i="5"/>
  <c r="E17" i="5"/>
  <c r="F17" i="5"/>
  <c r="G17" i="5"/>
  <c r="B18" i="5"/>
  <c r="D18" i="5" s="1"/>
  <c r="C18" i="5"/>
  <c r="E18" i="5"/>
  <c r="G18" i="5" s="1"/>
  <c r="F18" i="5"/>
  <c r="B19" i="5"/>
  <c r="C19" i="5"/>
  <c r="D19" i="5"/>
  <c r="E19" i="5"/>
  <c r="F19" i="5"/>
  <c r="G19" i="5"/>
  <c r="B20" i="5"/>
  <c r="D20" i="5" s="1"/>
  <c r="C20" i="5"/>
  <c r="E20" i="5"/>
  <c r="G20" i="5" s="1"/>
  <c r="F20" i="5"/>
  <c r="B21" i="5"/>
  <c r="C21" i="5"/>
  <c r="D21" i="5"/>
  <c r="E21" i="5"/>
  <c r="F21" i="5"/>
  <c r="G21" i="5"/>
  <c r="B22" i="5"/>
  <c r="D22" i="5" s="1"/>
  <c r="C22" i="5"/>
  <c r="E22" i="5"/>
  <c r="G22" i="5" s="1"/>
  <c r="F22" i="5"/>
  <c r="B23" i="5"/>
  <c r="C23" i="5"/>
  <c r="D23" i="5"/>
  <c r="E23" i="5"/>
  <c r="F23" i="5"/>
  <c r="G23" i="5"/>
  <c r="B24" i="5"/>
  <c r="D24" i="5" s="1"/>
  <c r="C24" i="5"/>
  <c r="E24" i="5"/>
  <c r="G24" i="5" s="1"/>
  <c r="F24" i="5"/>
  <c r="B25" i="5"/>
  <c r="C25" i="5"/>
  <c r="D25" i="5"/>
  <c r="E25" i="5"/>
  <c r="F25" i="5"/>
  <c r="G25" i="5"/>
  <c r="B26" i="5"/>
  <c r="D26" i="5" s="1"/>
  <c r="C26" i="5"/>
  <c r="E26" i="5"/>
  <c r="G26" i="5" s="1"/>
  <c r="F26" i="5"/>
  <c r="B27" i="5"/>
  <c r="C27" i="5"/>
  <c r="D27" i="5"/>
  <c r="E27" i="5"/>
  <c r="F27" i="5"/>
  <c r="G27" i="5"/>
  <c r="B28" i="5"/>
  <c r="D28" i="5" s="1"/>
  <c r="C28" i="5"/>
  <c r="E28" i="5"/>
  <c r="G28" i="5" s="1"/>
  <c r="F28" i="5"/>
  <c r="B29" i="5"/>
  <c r="C29" i="5"/>
  <c r="D29" i="5"/>
  <c r="E29" i="5"/>
  <c r="F29" i="5"/>
  <c r="G29" i="5"/>
  <c r="B30" i="5"/>
  <c r="D30" i="5" s="1"/>
  <c r="C30" i="5"/>
  <c r="E30" i="5"/>
  <c r="G30" i="5" s="1"/>
  <c r="F30" i="5"/>
  <c r="B31" i="5"/>
  <c r="C31" i="5"/>
  <c r="D31" i="5"/>
  <c r="E31" i="5"/>
  <c r="F31" i="5"/>
  <c r="G31" i="5"/>
  <c r="B32" i="5"/>
  <c r="D32" i="5" s="1"/>
  <c r="C32" i="5"/>
  <c r="E32" i="5"/>
  <c r="G32" i="5" s="1"/>
  <c r="F32" i="5"/>
  <c r="B33" i="5"/>
  <c r="C33" i="5"/>
  <c r="D33" i="5"/>
  <c r="E33" i="5"/>
  <c r="F33" i="5"/>
  <c r="G33" i="5"/>
  <c r="B34" i="5"/>
  <c r="D34" i="5" s="1"/>
  <c r="C34" i="5"/>
  <c r="E34" i="5"/>
  <c r="G34" i="5" s="1"/>
  <c r="F34" i="5"/>
  <c r="B35" i="5"/>
  <c r="C35" i="5"/>
  <c r="D35" i="5"/>
  <c r="E35" i="5"/>
  <c r="F35" i="5"/>
  <c r="G35" i="5"/>
  <c r="B36" i="5"/>
  <c r="D36" i="5" s="1"/>
  <c r="C36" i="5"/>
  <c r="E36" i="5"/>
  <c r="G36" i="5" s="1"/>
  <c r="F36" i="5"/>
  <c r="B37" i="5"/>
  <c r="C37" i="5"/>
  <c r="D37" i="5"/>
  <c r="E37" i="5"/>
  <c r="F37" i="5"/>
  <c r="G37" i="5"/>
  <c r="B38" i="5"/>
  <c r="D38" i="5" s="1"/>
  <c r="C38" i="5"/>
  <c r="E38" i="5"/>
  <c r="G38" i="5" s="1"/>
  <c r="F38" i="5"/>
  <c r="B39" i="5"/>
  <c r="C39" i="5"/>
  <c r="D39" i="5"/>
  <c r="E39" i="5"/>
  <c r="F39" i="5"/>
  <c r="G39" i="5"/>
  <c r="B40" i="5"/>
  <c r="D40" i="5" s="1"/>
  <c r="C40" i="5"/>
  <c r="E40" i="5"/>
  <c r="G40" i="5" s="1"/>
  <c r="F40" i="5"/>
  <c r="B41" i="5"/>
  <c r="C41" i="5"/>
  <c r="D41" i="5"/>
  <c r="E41" i="5"/>
  <c r="F41" i="5"/>
  <c r="G41" i="5"/>
  <c r="B42" i="5"/>
  <c r="D42" i="5" s="1"/>
  <c r="C42" i="5"/>
  <c r="E42" i="5"/>
  <c r="G42" i="5" s="1"/>
  <c r="F42" i="5"/>
  <c r="B43" i="5"/>
  <c r="C43" i="5"/>
  <c r="D43" i="5"/>
  <c r="E43" i="5"/>
  <c r="F43" i="5"/>
  <c r="G43" i="5"/>
  <c r="B44" i="5"/>
  <c r="D44" i="5" s="1"/>
  <c r="C44" i="5"/>
  <c r="E44" i="5"/>
  <c r="L44" i="5" s="1"/>
  <c r="F44" i="5"/>
  <c r="B45" i="5"/>
  <c r="C45" i="5"/>
  <c r="D45" i="5"/>
  <c r="E45" i="5"/>
  <c r="F45" i="5"/>
  <c r="G45" i="5"/>
  <c r="B46" i="5"/>
  <c r="D46" i="5" s="1"/>
  <c r="C46" i="5"/>
  <c r="E46" i="5"/>
  <c r="G46" i="5" s="1"/>
  <c r="F46" i="5"/>
  <c r="B47" i="5"/>
  <c r="C47" i="5"/>
  <c r="D47" i="5"/>
  <c r="E47" i="5"/>
  <c r="F47" i="5"/>
  <c r="G47" i="5"/>
  <c r="B48" i="5"/>
  <c r="D48" i="5" s="1"/>
  <c r="C48" i="5"/>
  <c r="E48" i="5"/>
  <c r="G48" i="5" s="1"/>
  <c r="F48" i="5"/>
  <c r="B49" i="5"/>
  <c r="C49" i="5"/>
  <c r="D49" i="5"/>
  <c r="E49" i="5"/>
  <c r="F49" i="5"/>
  <c r="G49" i="5"/>
  <c r="B50" i="5"/>
  <c r="D50" i="5" s="1"/>
  <c r="C50" i="5"/>
  <c r="E50" i="5"/>
  <c r="G50" i="5" s="1"/>
  <c r="F50" i="5"/>
  <c r="B51" i="5"/>
  <c r="C51" i="5"/>
  <c r="D51" i="5"/>
  <c r="E51" i="5"/>
  <c r="F51" i="5"/>
  <c r="G51" i="5"/>
  <c r="B52" i="5"/>
  <c r="D52" i="5" s="1"/>
  <c r="C52" i="5"/>
  <c r="E52" i="5"/>
  <c r="G52" i="5" s="1"/>
  <c r="F52" i="5"/>
  <c r="B53" i="5"/>
  <c r="C53" i="5"/>
  <c r="D53" i="5"/>
  <c r="E53" i="5"/>
  <c r="F53" i="5"/>
  <c r="G53" i="5"/>
  <c r="B54" i="5"/>
  <c r="D54" i="5" s="1"/>
  <c r="C54" i="5"/>
  <c r="E54" i="5"/>
  <c r="G54" i="5" s="1"/>
  <c r="F54" i="5"/>
  <c r="B55" i="5"/>
  <c r="C55" i="5"/>
  <c r="H55" i="5" s="1"/>
  <c r="D55" i="5"/>
  <c r="E55" i="5"/>
  <c r="F55" i="5"/>
  <c r="G55" i="5"/>
  <c r="B56" i="5"/>
  <c r="D56" i="5" s="1"/>
  <c r="C56" i="5"/>
  <c r="E56" i="5"/>
  <c r="G56" i="5" s="1"/>
  <c r="F56" i="5"/>
  <c r="B57" i="5"/>
  <c r="C57" i="5"/>
  <c r="D57" i="5"/>
  <c r="E57" i="5"/>
  <c r="F57" i="5"/>
  <c r="G57" i="5"/>
  <c r="T57" i="5"/>
  <c r="S55" i="5"/>
  <c r="V52" i="5"/>
  <c r="T51" i="5"/>
  <c r="S49" i="5"/>
  <c r="T48" i="5"/>
  <c r="S47" i="5"/>
  <c r="V44" i="5"/>
  <c r="S43" i="5"/>
  <c r="L40" i="5"/>
  <c r="V40" i="5"/>
  <c r="L34" i="5"/>
  <c r="T33" i="5"/>
  <c r="D10" i="1"/>
  <c r="E10" i="1"/>
  <c r="G10" i="1"/>
  <c r="H10" i="1"/>
  <c r="D11" i="1"/>
  <c r="E11" i="1"/>
  <c r="G11" i="1"/>
  <c r="H11" i="1"/>
  <c r="D12" i="1"/>
  <c r="E12" i="1"/>
  <c r="G12" i="1"/>
  <c r="H12" i="1"/>
  <c r="D13" i="1"/>
  <c r="E13" i="1"/>
  <c r="G13" i="1"/>
  <c r="H13" i="1"/>
  <c r="D14" i="1"/>
  <c r="E14" i="1"/>
  <c r="G14" i="1"/>
  <c r="H14" i="1"/>
  <c r="D15" i="1"/>
  <c r="E15" i="1"/>
  <c r="G15" i="1"/>
  <c r="H15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23" i="1"/>
  <c r="E23" i="1"/>
  <c r="G23" i="1"/>
  <c r="H23" i="1"/>
  <c r="D24" i="1"/>
  <c r="E24" i="1"/>
  <c r="G24" i="1"/>
  <c r="H24" i="1"/>
  <c r="D25" i="1"/>
  <c r="E25" i="1"/>
  <c r="G25" i="1"/>
  <c r="H25" i="1"/>
  <c r="D26" i="1"/>
  <c r="E26" i="1"/>
  <c r="G26" i="1"/>
  <c r="H26" i="1"/>
  <c r="D27" i="1"/>
  <c r="E27" i="1"/>
  <c r="G27" i="1"/>
  <c r="H27" i="1"/>
  <c r="D28" i="1"/>
  <c r="E28" i="1"/>
  <c r="G28" i="1"/>
  <c r="H28" i="1"/>
  <c r="D29" i="1"/>
  <c r="E29" i="1"/>
  <c r="G29" i="1"/>
  <c r="H29" i="1"/>
  <c r="D30" i="1"/>
  <c r="E30" i="1"/>
  <c r="G30" i="1"/>
  <c r="H30" i="1"/>
  <c r="D31" i="1"/>
  <c r="E31" i="1"/>
  <c r="G31" i="1"/>
  <c r="H31" i="1"/>
  <c r="D32" i="1"/>
  <c r="E32" i="1"/>
  <c r="G32" i="1"/>
  <c r="H32" i="1"/>
  <c r="D33" i="1"/>
  <c r="E33" i="1"/>
  <c r="G33" i="1"/>
  <c r="H33" i="1"/>
  <c r="D34" i="1"/>
  <c r="E34" i="1"/>
  <c r="G34" i="1"/>
  <c r="H34" i="1"/>
  <c r="D35" i="1"/>
  <c r="E35" i="1"/>
  <c r="G35" i="1"/>
  <c r="H35" i="1"/>
  <c r="D36" i="1"/>
  <c r="E36" i="1"/>
  <c r="G36" i="1"/>
  <c r="H36" i="1"/>
  <c r="D37" i="1"/>
  <c r="E37" i="1"/>
  <c r="G37" i="1"/>
  <c r="H37" i="1"/>
  <c r="D38" i="1"/>
  <c r="E38" i="1"/>
  <c r="G38" i="1"/>
  <c r="H38" i="1"/>
  <c r="D39" i="1"/>
  <c r="E39" i="1"/>
  <c r="G39" i="1"/>
  <c r="H39" i="1"/>
  <c r="D40" i="1"/>
  <c r="E40" i="1"/>
  <c r="G40" i="1"/>
  <c r="H40" i="1"/>
  <c r="D41" i="1"/>
  <c r="E41" i="1"/>
  <c r="G41" i="1"/>
  <c r="H41" i="1"/>
  <c r="D42" i="1"/>
  <c r="E42" i="1"/>
  <c r="G42" i="1"/>
  <c r="H42" i="1"/>
  <c r="D43" i="1"/>
  <c r="E43" i="1"/>
  <c r="G43" i="1"/>
  <c r="H43" i="1"/>
  <c r="D44" i="1"/>
  <c r="E44" i="1"/>
  <c r="G44" i="1"/>
  <c r="H44" i="1"/>
  <c r="D45" i="1"/>
  <c r="E45" i="1"/>
  <c r="G45" i="1"/>
  <c r="H45" i="1"/>
  <c r="D46" i="1"/>
  <c r="E46" i="1"/>
  <c r="G46" i="1"/>
  <c r="H46" i="1"/>
  <c r="D47" i="1"/>
  <c r="E47" i="1"/>
  <c r="G47" i="1"/>
  <c r="H47" i="1"/>
  <c r="M47" i="1" s="1"/>
  <c r="D48" i="1"/>
  <c r="E48" i="1"/>
  <c r="G48" i="1"/>
  <c r="H48" i="1"/>
  <c r="D49" i="1"/>
  <c r="E49" i="1"/>
  <c r="G49" i="1"/>
  <c r="H49" i="1"/>
  <c r="I49" i="1" s="1"/>
  <c r="D50" i="1"/>
  <c r="E50" i="1"/>
  <c r="G50" i="1"/>
  <c r="H50" i="1"/>
  <c r="D51" i="1"/>
  <c r="T51" i="1" s="1"/>
  <c r="E51" i="1"/>
  <c r="G51" i="1"/>
  <c r="H51" i="1"/>
  <c r="L51" i="1"/>
  <c r="L50" i="1"/>
  <c r="V50" i="1"/>
  <c r="L49" i="1"/>
  <c r="T49" i="1"/>
  <c r="L48" i="1"/>
  <c r="V48" i="1"/>
  <c r="L47" i="1"/>
  <c r="T47" i="1"/>
  <c r="L46" i="1"/>
  <c r="V46" i="1"/>
  <c r="L45" i="1"/>
  <c r="T45" i="1"/>
  <c r="L44" i="1"/>
  <c r="V44" i="1"/>
  <c r="L43" i="1"/>
  <c r="T43" i="1"/>
  <c r="L42" i="1"/>
  <c r="V42" i="1"/>
  <c r="L41" i="1"/>
  <c r="T41" i="1"/>
  <c r="L40" i="1"/>
  <c r="V40" i="1"/>
  <c r="L39" i="1"/>
  <c r="T39" i="1"/>
  <c r="L38" i="1"/>
  <c r="V38" i="1"/>
  <c r="L37" i="1"/>
  <c r="T37" i="1"/>
  <c r="L36" i="1"/>
  <c r="V36" i="1"/>
  <c r="L35" i="1"/>
  <c r="T35" i="1"/>
  <c r="L34" i="1"/>
  <c r="V34" i="1"/>
  <c r="L33" i="1"/>
  <c r="T33" i="1"/>
  <c r="L26" i="5" l="1"/>
  <c r="V36" i="5"/>
  <c r="L42" i="5"/>
  <c r="T46" i="5"/>
  <c r="L52" i="5"/>
  <c r="L56" i="5"/>
  <c r="V32" i="5"/>
  <c r="V38" i="5"/>
  <c r="L46" i="5"/>
  <c r="L50" i="5"/>
  <c r="L54" i="5"/>
  <c r="V56" i="5"/>
  <c r="G44" i="5"/>
  <c r="V42" i="5"/>
  <c r="U33" i="5"/>
  <c r="T36" i="5"/>
  <c r="U38" i="5"/>
  <c r="T40" i="5"/>
  <c r="T43" i="5"/>
  <c r="T49" i="5"/>
  <c r="T55" i="5"/>
  <c r="U44" i="5"/>
  <c r="V48" i="5"/>
  <c r="V54" i="5"/>
  <c r="V22" i="5"/>
  <c r="V24" i="5"/>
  <c r="S34" i="5"/>
  <c r="T47" i="5"/>
  <c r="L48" i="5"/>
  <c r="T50" i="5"/>
  <c r="S51" i="5"/>
  <c r="T56" i="5"/>
  <c r="H57" i="5"/>
  <c r="S57" i="5"/>
  <c r="T39" i="5"/>
  <c r="K42" i="5"/>
  <c r="V46" i="5"/>
  <c r="V50" i="5"/>
  <c r="K56" i="5"/>
  <c r="H28" i="5"/>
  <c r="H43" i="5"/>
  <c r="H41" i="5"/>
  <c r="T42" i="5"/>
  <c r="T44" i="5"/>
  <c r="H47" i="5"/>
  <c r="H49" i="5"/>
  <c r="H51" i="5"/>
  <c r="T28" i="5"/>
  <c r="H30" i="5"/>
  <c r="T53" i="5"/>
  <c r="T54" i="5"/>
  <c r="H32" i="5"/>
  <c r="T52" i="5"/>
  <c r="T41" i="5"/>
  <c r="T45" i="5"/>
  <c r="U32" i="5"/>
  <c r="H39" i="5"/>
  <c r="S30" i="5"/>
  <c r="K27" i="5"/>
  <c r="V28" i="5"/>
  <c r="T30" i="5"/>
  <c r="L30" i="5"/>
  <c r="T31" i="5"/>
  <c r="L32" i="5"/>
  <c r="H34" i="5"/>
  <c r="K39" i="5"/>
  <c r="H40" i="5"/>
  <c r="S40" i="5"/>
  <c r="K41" i="5"/>
  <c r="H42" i="5"/>
  <c r="S42" i="5"/>
  <c r="K43" i="5"/>
  <c r="U43" i="5"/>
  <c r="H44" i="5"/>
  <c r="S44" i="5"/>
  <c r="K45" i="5"/>
  <c r="H46" i="5"/>
  <c r="S46" i="5"/>
  <c r="K47" i="5"/>
  <c r="U47" i="5"/>
  <c r="H48" i="5"/>
  <c r="S48" i="5"/>
  <c r="K49" i="5"/>
  <c r="U49" i="5"/>
  <c r="H50" i="5"/>
  <c r="S50" i="5"/>
  <c r="K51" i="5"/>
  <c r="U51" i="5"/>
  <c r="H52" i="5"/>
  <c r="S52" i="5"/>
  <c r="K53" i="5"/>
  <c r="H54" i="5"/>
  <c r="S54" i="5"/>
  <c r="K55" i="5"/>
  <c r="U55" i="5"/>
  <c r="H56" i="5"/>
  <c r="S56" i="5"/>
  <c r="K57" i="5"/>
  <c r="U57" i="5"/>
  <c r="U42" i="5"/>
  <c r="T29" i="5"/>
  <c r="U36" i="5"/>
  <c r="S28" i="5"/>
  <c r="U30" i="5"/>
  <c r="V30" i="5"/>
  <c r="T35" i="5"/>
  <c r="L36" i="5"/>
  <c r="T37" i="5"/>
  <c r="H38" i="5"/>
  <c r="U39" i="5"/>
  <c r="L39" i="5"/>
  <c r="V39" i="5"/>
  <c r="I40" i="5"/>
  <c r="S41" i="5"/>
  <c r="L41" i="5"/>
  <c r="V41" i="5"/>
  <c r="I42" i="5"/>
  <c r="L43" i="5"/>
  <c r="V43" i="5"/>
  <c r="I44" i="5"/>
  <c r="U45" i="5"/>
  <c r="L45" i="5"/>
  <c r="V45" i="5"/>
  <c r="I46" i="5"/>
  <c r="L47" i="5"/>
  <c r="V47" i="5"/>
  <c r="I48" i="5"/>
  <c r="L49" i="5"/>
  <c r="V49" i="5"/>
  <c r="I50" i="5"/>
  <c r="L51" i="5"/>
  <c r="V51" i="5"/>
  <c r="I52" i="5"/>
  <c r="S53" i="5"/>
  <c r="L53" i="5"/>
  <c r="V53" i="5"/>
  <c r="I54" i="5"/>
  <c r="L55" i="5"/>
  <c r="V55" i="5"/>
  <c r="I56" i="5"/>
  <c r="L57" i="5"/>
  <c r="V57" i="5"/>
  <c r="U34" i="5"/>
  <c r="S36" i="5"/>
  <c r="K40" i="5"/>
  <c r="K44" i="5"/>
  <c r="H45" i="5"/>
  <c r="K46" i="5"/>
  <c r="U46" i="5"/>
  <c r="K48" i="5"/>
  <c r="U48" i="5"/>
  <c r="K50" i="5"/>
  <c r="U50" i="5"/>
  <c r="K52" i="5"/>
  <c r="U52" i="5"/>
  <c r="H53" i="5"/>
  <c r="K54" i="5"/>
  <c r="U54" i="5"/>
  <c r="U56" i="5"/>
  <c r="V34" i="5"/>
  <c r="L38" i="5"/>
  <c r="U40" i="5"/>
  <c r="L28" i="5"/>
  <c r="S38" i="5"/>
  <c r="I39" i="5"/>
  <c r="I41" i="5"/>
  <c r="I43" i="5"/>
  <c r="I45" i="5"/>
  <c r="I47" i="5"/>
  <c r="I49" i="5"/>
  <c r="I51" i="5"/>
  <c r="I53" i="5"/>
  <c r="I55" i="5"/>
  <c r="I57" i="5"/>
  <c r="T32" i="5"/>
  <c r="T34" i="5"/>
  <c r="T27" i="5"/>
  <c r="K31" i="5"/>
  <c r="S32" i="5"/>
  <c r="K35" i="5"/>
  <c r="H36" i="5"/>
  <c r="K37" i="5"/>
  <c r="H22" i="5"/>
  <c r="S22" i="5"/>
  <c r="H24" i="5"/>
  <c r="S24" i="5"/>
  <c r="H26" i="5"/>
  <c r="S26" i="5"/>
  <c r="S27" i="5"/>
  <c r="L27" i="5"/>
  <c r="V27" i="5"/>
  <c r="I28" i="5"/>
  <c r="U29" i="5"/>
  <c r="L29" i="5"/>
  <c r="V29" i="5"/>
  <c r="I30" i="5"/>
  <c r="S31" i="5"/>
  <c r="L31" i="5"/>
  <c r="V31" i="5"/>
  <c r="I32" i="5"/>
  <c r="L33" i="5"/>
  <c r="V33" i="5"/>
  <c r="I34" i="5"/>
  <c r="S35" i="5"/>
  <c r="L35" i="5"/>
  <c r="V35" i="5"/>
  <c r="I36" i="5"/>
  <c r="U37" i="5"/>
  <c r="L37" i="5"/>
  <c r="V37" i="5"/>
  <c r="I38" i="5"/>
  <c r="T38" i="5"/>
  <c r="U24" i="5"/>
  <c r="K29" i="5"/>
  <c r="K33" i="5"/>
  <c r="T21" i="5"/>
  <c r="L22" i="5"/>
  <c r="T23" i="5"/>
  <c r="L24" i="5"/>
  <c r="T25" i="5"/>
  <c r="H27" i="5"/>
  <c r="K28" i="5"/>
  <c r="H29" i="5"/>
  <c r="S29" i="5"/>
  <c r="K30" i="5"/>
  <c r="H31" i="5"/>
  <c r="K32" i="5"/>
  <c r="H33" i="5"/>
  <c r="S33" i="5"/>
  <c r="K34" i="5"/>
  <c r="H35" i="5"/>
  <c r="K36" i="5"/>
  <c r="H37" i="5"/>
  <c r="K38" i="5"/>
  <c r="U22" i="5"/>
  <c r="U26" i="5"/>
  <c r="V26" i="5"/>
  <c r="I27" i="5"/>
  <c r="I29" i="5"/>
  <c r="I31" i="5"/>
  <c r="I33" i="5"/>
  <c r="I35" i="5"/>
  <c r="I37" i="5"/>
  <c r="T22" i="5"/>
  <c r="T24" i="5"/>
  <c r="K21" i="5"/>
  <c r="L21" i="5"/>
  <c r="V21" i="5"/>
  <c r="I22" i="5"/>
  <c r="S23" i="5"/>
  <c r="L23" i="5"/>
  <c r="V23" i="5"/>
  <c r="I24" i="5"/>
  <c r="U25" i="5"/>
  <c r="L25" i="5"/>
  <c r="V25" i="5"/>
  <c r="I26" i="5"/>
  <c r="T26" i="5"/>
  <c r="U21" i="5"/>
  <c r="K23" i="5"/>
  <c r="K25" i="5"/>
  <c r="H21" i="5"/>
  <c r="S21" i="5"/>
  <c r="K22" i="5"/>
  <c r="H23" i="5"/>
  <c r="K24" i="5"/>
  <c r="H25" i="5"/>
  <c r="K26" i="5"/>
  <c r="I21" i="5"/>
  <c r="I23" i="5"/>
  <c r="I25" i="5"/>
  <c r="M51" i="1"/>
  <c r="I51" i="1"/>
  <c r="M45" i="1"/>
  <c r="I45" i="1"/>
  <c r="P46" i="1"/>
  <c r="I47" i="1"/>
  <c r="P50" i="1"/>
  <c r="P48" i="1"/>
  <c r="M49" i="1"/>
  <c r="W48" i="1"/>
  <c r="O48" i="1"/>
  <c r="J48" i="1"/>
  <c r="I48" i="1"/>
  <c r="N48" i="1"/>
  <c r="M48" i="1"/>
  <c r="W46" i="1"/>
  <c r="O46" i="1"/>
  <c r="J46" i="1"/>
  <c r="N46" i="1"/>
  <c r="I46" i="1"/>
  <c r="M46" i="1"/>
  <c r="W50" i="1"/>
  <c r="O50" i="1"/>
  <c r="J50" i="1"/>
  <c r="N50" i="1"/>
  <c r="I50" i="1"/>
  <c r="M50" i="1"/>
  <c r="N45" i="1"/>
  <c r="V45" i="1"/>
  <c r="J45" i="1"/>
  <c r="O45" i="1"/>
  <c r="W45" i="1"/>
  <c r="T46" i="1"/>
  <c r="J47" i="1"/>
  <c r="O47" i="1"/>
  <c r="W47" i="1"/>
  <c r="T48" i="1"/>
  <c r="J49" i="1"/>
  <c r="O49" i="1"/>
  <c r="W49" i="1"/>
  <c r="T50" i="1"/>
  <c r="J51" i="1"/>
  <c r="O51" i="1"/>
  <c r="W51" i="1"/>
  <c r="N49" i="1"/>
  <c r="V49" i="1"/>
  <c r="P45" i="1"/>
  <c r="P49" i="1"/>
  <c r="P51" i="1"/>
  <c r="N47" i="1"/>
  <c r="V47" i="1"/>
  <c r="N51" i="1"/>
  <c r="V51" i="1"/>
  <c r="P47" i="1"/>
  <c r="M37" i="1"/>
  <c r="M35" i="1"/>
  <c r="M43" i="1"/>
  <c r="M39" i="1"/>
  <c r="I39" i="1"/>
  <c r="M33" i="1"/>
  <c r="I33" i="1"/>
  <c r="P34" i="1"/>
  <c r="P36" i="1"/>
  <c r="P40" i="1"/>
  <c r="M41" i="1"/>
  <c r="P38" i="1"/>
  <c r="W42" i="1"/>
  <c r="O42" i="1"/>
  <c r="J42" i="1"/>
  <c r="N42" i="1"/>
  <c r="I42" i="1"/>
  <c r="M42" i="1"/>
  <c r="W44" i="1"/>
  <c r="O44" i="1"/>
  <c r="J44" i="1"/>
  <c r="N44" i="1"/>
  <c r="I44" i="1"/>
  <c r="M44" i="1"/>
  <c r="W40" i="1"/>
  <c r="O40" i="1"/>
  <c r="J40" i="1"/>
  <c r="N40" i="1"/>
  <c r="I40" i="1"/>
  <c r="M40" i="1"/>
  <c r="W36" i="1"/>
  <c r="O36" i="1"/>
  <c r="J36" i="1"/>
  <c r="N36" i="1"/>
  <c r="I36" i="1"/>
  <c r="M36" i="1"/>
  <c r="W34" i="1"/>
  <c r="O34" i="1"/>
  <c r="J34" i="1"/>
  <c r="N34" i="1"/>
  <c r="I34" i="1"/>
  <c r="M34" i="1"/>
  <c r="W38" i="1"/>
  <c r="O38" i="1"/>
  <c r="J38" i="1"/>
  <c r="N38" i="1"/>
  <c r="I38" i="1"/>
  <c r="M38" i="1"/>
  <c r="I35" i="1"/>
  <c r="N39" i="1"/>
  <c r="V39" i="1"/>
  <c r="I41" i="1"/>
  <c r="N41" i="1"/>
  <c r="V41" i="1"/>
  <c r="P42" i="1"/>
  <c r="I43" i="1"/>
  <c r="N43" i="1"/>
  <c r="V43" i="1"/>
  <c r="P44" i="1"/>
  <c r="J33" i="1"/>
  <c r="O33" i="1"/>
  <c r="W33" i="1"/>
  <c r="T34" i="1"/>
  <c r="J35" i="1"/>
  <c r="O35" i="1"/>
  <c r="W35" i="1"/>
  <c r="T36" i="1"/>
  <c r="J37" i="1"/>
  <c r="O37" i="1"/>
  <c r="W37" i="1"/>
  <c r="T38" i="1"/>
  <c r="J39" i="1"/>
  <c r="O39" i="1"/>
  <c r="W39" i="1"/>
  <c r="T40" i="1"/>
  <c r="J41" i="1"/>
  <c r="O41" i="1"/>
  <c r="W41" i="1"/>
  <c r="T42" i="1"/>
  <c r="J43" i="1"/>
  <c r="O43" i="1"/>
  <c r="W43" i="1"/>
  <c r="T44" i="1"/>
  <c r="N33" i="1"/>
  <c r="V33" i="1"/>
  <c r="N37" i="1"/>
  <c r="P33" i="1"/>
  <c r="P35" i="1"/>
  <c r="P37" i="1"/>
  <c r="P39" i="1"/>
  <c r="P41" i="1"/>
  <c r="P43" i="1"/>
  <c r="N35" i="1"/>
  <c r="V35" i="1"/>
  <c r="I37" i="1"/>
  <c r="V37" i="1"/>
  <c r="L32" i="1"/>
  <c r="V32" i="1"/>
  <c r="L31" i="1"/>
  <c r="P31" i="1"/>
  <c r="L30" i="1"/>
  <c r="V30" i="1"/>
  <c r="L29" i="1"/>
  <c r="V29" i="1"/>
  <c r="L28" i="1"/>
  <c r="V28" i="1"/>
  <c r="L27" i="1"/>
  <c r="V27" i="1"/>
  <c r="L26" i="1"/>
  <c r="V26" i="1"/>
  <c r="L25" i="1"/>
  <c r="V25" i="1"/>
  <c r="L24" i="1"/>
  <c r="V24" i="1"/>
  <c r="L23" i="1"/>
  <c r="V23" i="1"/>
  <c r="L22" i="1"/>
  <c r="V22" i="1"/>
  <c r="L21" i="1"/>
  <c r="V21" i="1"/>
  <c r="S39" i="5" l="1"/>
  <c r="U28" i="5"/>
  <c r="U31" i="5"/>
  <c r="S37" i="5"/>
  <c r="S45" i="5"/>
  <c r="U53" i="5"/>
  <c r="U41" i="5"/>
  <c r="U35" i="5"/>
  <c r="U27" i="5"/>
  <c r="U23" i="5"/>
  <c r="S25" i="5"/>
  <c r="W31" i="1"/>
  <c r="W27" i="1"/>
  <c r="T23" i="1"/>
  <c r="P29" i="1"/>
  <c r="P21" i="1"/>
  <c r="T29" i="1"/>
  <c r="M21" i="1"/>
  <c r="T21" i="1"/>
  <c r="W23" i="1"/>
  <c r="P27" i="1"/>
  <c r="W29" i="1"/>
  <c r="P25" i="1"/>
  <c r="T27" i="1"/>
  <c r="P23" i="1"/>
  <c r="T25" i="1"/>
  <c r="T31" i="1"/>
  <c r="M25" i="1"/>
  <c r="N28" i="1"/>
  <c r="I28" i="1"/>
  <c r="J28" i="1"/>
  <c r="M28" i="1"/>
  <c r="W28" i="1"/>
  <c r="O28" i="1"/>
  <c r="N26" i="1"/>
  <c r="I26" i="1"/>
  <c r="W26" i="1"/>
  <c r="O26" i="1"/>
  <c r="J26" i="1"/>
  <c r="M26" i="1"/>
  <c r="N32" i="1"/>
  <c r="I32" i="1"/>
  <c r="M32" i="1"/>
  <c r="W32" i="1"/>
  <c r="O32" i="1"/>
  <c r="J32" i="1"/>
  <c r="N24" i="1"/>
  <c r="I24" i="1"/>
  <c r="W24" i="1"/>
  <c r="O24" i="1"/>
  <c r="J24" i="1"/>
  <c r="M24" i="1"/>
  <c r="N22" i="1"/>
  <c r="I22" i="1"/>
  <c r="W22" i="1"/>
  <c r="O22" i="1"/>
  <c r="J22" i="1"/>
  <c r="M22" i="1"/>
  <c r="N30" i="1"/>
  <c r="I30" i="1"/>
  <c r="J30" i="1"/>
  <c r="M30" i="1"/>
  <c r="W30" i="1"/>
  <c r="O30" i="1"/>
  <c r="M23" i="1"/>
  <c r="M27" i="1"/>
  <c r="M29" i="1"/>
  <c r="M31" i="1"/>
  <c r="I21" i="1"/>
  <c r="N21" i="1"/>
  <c r="P22" i="1"/>
  <c r="I23" i="1"/>
  <c r="N23" i="1"/>
  <c r="P24" i="1"/>
  <c r="I25" i="1"/>
  <c r="N25" i="1"/>
  <c r="P26" i="1"/>
  <c r="I27" i="1"/>
  <c r="N27" i="1"/>
  <c r="P28" i="1"/>
  <c r="I29" i="1"/>
  <c r="N29" i="1"/>
  <c r="P30" i="1"/>
  <c r="I31" i="1"/>
  <c r="N31" i="1"/>
  <c r="V31" i="1"/>
  <c r="P32" i="1"/>
  <c r="J21" i="1"/>
  <c r="O21" i="1"/>
  <c r="W21" i="1"/>
  <c r="T22" i="1"/>
  <c r="J23" i="1"/>
  <c r="O23" i="1"/>
  <c r="T24" i="1"/>
  <c r="J25" i="1"/>
  <c r="O25" i="1"/>
  <c r="W25" i="1"/>
  <c r="T26" i="1"/>
  <c r="J27" i="1"/>
  <c r="O27" i="1"/>
  <c r="T28" i="1"/>
  <c r="J29" i="1"/>
  <c r="O29" i="1"/>
  <c r="T30" i="1"/>
  <c r="J31" i="1"/>
  <c r="O31" i="1"/>
  <c r="T32" i="1"/>
  <c r="L20" i="1"/>
  <c r="V20" i="1"/>
  <c r="L19" i="1"/>
  <c r="T19" i="1"/>
  <c r="L18" i="1"/>
  <c r="V18" i="1"/>
  <c r="L17" i="1"/>
  <c r="V17" i="1"/>
  <c r="L16" i="1"/>
  <c r="V16" i="1"/>
  <c r="L15" i="1"/>
  <c r="V15" i="1"/>
  <c r="W17" i="1" l="1"/>
  <c r="P17" i="1"/>
  <c r="T15" i="1"/>
  <c r="M15" i="1"/>
  <c r="P19" i="1"/>
  <c r="P15" i="1"/>
  <c r="T17" i="1"/>
  <c r="M19" i="1"/>
  <c r="N18" i="1"/>
  <c r="I18" i="1"/>
  <c r="M18" i="1"/>
  <c r="W18" i="1"/>
  <c r="O18" i="1"/>
  <c r="J18" i="1"/>
  <c r="N16" i="1"/>
  <c r="I16" i="1"/>
  <c r="M16" i="1"/>
  <c r="W16" i="1"/>
  <c r="O16" i="1"/>
  <c r="J16" i="1"/>
  <c r="W20" i="1"/>
  <c r="O20" i="1"/>
  <c r="J20" i="1"/>
  <c r="N20" i="1"/>
  <c r="I20" i="1"/>
  <c r="M20" i="1"/>
  <c r="M17" i="1"/>
  <c r="I15" i="1"/>
  <c r="N15" i="1"/>
  <c r="P16" i="1"/>
  <c r="I17" i="1"/>
  <c r="N17" i="1"/>
  <c r="P18" i="1"/>
  <c r="I19" i="1"/>
  <c r="N19" i="1"/>
  <c r="V19" i="1"/>
  <c r="P20" i="1"/>
  <c r="J15" i="1"/>
  <c r="O15" i="1"/>
  <c r="W15" i="1"/>
  <c r="T16" i="1"/>
  <c r="J17" i="1"/>
  <c r="O17" i="1"/>
  <c r="T18" i="1"/>
  <c r="J19" i="1"/>
  <c r="O19" i="1"/>
  <c r="W19" i="1"/>
  <c r="T20" i="1"/>
  <c r="B7" i="5" l="1"/>
  <c r="B6" i="5"/>
  <c r="B2" i="5"/>
  <c r="B8" i="5" l="1"/>
  <c r="B3" i="5"/>
  <c r="L14" i="1"/>
  <c r="T14" i="1"/>
  <c r="T20" i="5" l="1"/>
  <c r="I20" i="5"/>
  <c r="S20" i="5"/>
  <c r="U20" i="5"/>
  <c r="V20" i="5"/>
  <c r="K20" i="5"/>
  <c r="H20" i="5"/>
  <c r="L20" i="5"/>
  <c r="M14" i="1"/>
  <c r="I14" i="1"/>
  <c r="N14" i="1"/>
  <c r="V14" i="1"/>
  <c r="J14" i="1"/>
  <c r="O14" i="1"/>
  <c r="W14" i="1"/>
  <c r="P14" i="1"/>
  <c r="B6" i="1" l="1"/>
  <c r="V13" i="1"/>
  <c r="S19" i="5" l="1"/>
  <c r="K19" i="5"/>
  <c r="U19" i="5"/>
  <c r="I19" i="5"/>
  <c r="V19" i="5"/>
  <c r="T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V12" i="1"/>
  <c r="T11" i="1"/>
  <c r="S17" i="5" l="1"/>
  <c r="I17" i="5"/>
  <c r="K17" i="5"/>
  <c r="T17" i="5"/>
  <c r="U17" i="5"/>
  <c r="V17" i="5"/>
  <c r="H17" i="5"/>
  <c r="S18" i="5"/>
  <c r="I18" i="5"/>
  <c r="V18" i="5"/>
  <c r="K18" i="5"/>
  <c r="T18" i="5"/>
  <c r="H18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U18" i="5" l="1"/>
  <c r="G9" i="1"/>
  <c r="F15" i="5" s="1"/>
  <c r="E9" i="1"/>
  <c r="H9" i="1" s="1"/>
  <c r="E15" i="5" s="1"/>
  <c r="D9" i="1"/>
  <c r="V9" i="1" s="1"/>
  <c r="T15" i="5" l="1"/>
  <c r="K15" i="5"/>
  <c r="I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T10" i="1" l="1"/>
  <c r="H16" i="5" l="1"/>
  <c r="K16" i="5"/>
  <c r="U16" i="5"/>
  <c r="T16" i="5"/>
  <c r="V16" i="5"/>
  <c r="I16" i="5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G6" i="1" l="1"/>
  <c r="S13" i="5"/>
  <c r="I13" i="5"/>
  <c r="H13" i="5"/>
  <c r="K13" i="5"/>
  <c r="L13" i="5"/>
  <c r="U13" i="5"/>
  <c r="K10" i="5" l="1"/>
  <c r="F76" i="3" s="1"/>
  <c r="I10" i="5"/>
  <c r="D76" i="3" s="1"/>
  <c r="H10" i="5"/>
  <c r="C76" i="3" s="1"/>
  <c r="L10" i="5"/>
  <c r="G76" i="3" s="1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K53" i="1"/>
  <c r="K69" i="3" l="1"/>
  <c r="J69" i="3"/>
  <c r="W53" i="1" l="1"/>
  <c r="T53" i="1"/>
  <c r="J53" i="1"/>
  <c r="O53" i="1"/>
  <c r="N53" i="1"/>
  <c r="P53" i="1"/>
  <c r="Q7" i="1"/>
  <c r="M69" i="3" s="1"/>
  <c r="V53" i="1"/>
  <c r="T7" i="1"/>
  <c r="L69" i="3" s="1"/>
  <c r="I53" i="1"/>
  <c r="L7" i="1" l="1"/>
  <c r="G69" i="3" s="1"/>
  <c r="J7" i="1"/>
  <c r="C69" i="3" s="1"/>
  <c r="M53" i="1"/>
  <c r="M7" i="1" l="1"/>
  <c r="H69" i="3" s="1"/>
  <c r="R7" i="1"/>
  <c r="I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<sst xmlns="http://schemas.openxmlformats.org/spreadsheetml/2006/main" count="607" uniqueCount="415">
  <si>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</si>
  <si>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</si>
  <si>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</si>
  <si>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</si>
  <si>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</si>
  <si>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</si>
  <si>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</si>
  <si>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</si>
  <si>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</si>
  <si>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</si>
  <si>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</si>
  <si>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</si>
  <si>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</si>
  <si>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</si>
  <si>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</si>
  <si>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</si>
  <si>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</si>
  <si>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</si>
  <si>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</si>
  <si>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</si>
  <si>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</si>
  <si>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</si>
  <si>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</si>
  <si>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</si>
  <si>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</si>
  <si>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</si>
  <si>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</si>
  <si>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</si>
  <si>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</si>
  <si>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</si>
  <si>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</si>
  <si>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</si>
  <si>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</si>
  <si>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</si>
  <si>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</si>
  <si>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</si>
  <si>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</si>
  <si>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</si>
  <si>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</si>
  <si>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</si>
  <si>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</si>
  <si>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</si>
  <si>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</si>
  <si>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</si>
  <si>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</si>
  <si>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</si>
  <si>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</si>
  <si>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</si>
  <si>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</si>
  <si>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</si>
  <si>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</si>
  <si>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</si>
  <si>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</si>
  <si>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</si>
  <si>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</si>
  <si>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</si>
  <si>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</si>
  <si>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</si>
  <si>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</si>
  <si>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</si>
  <si>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</si>
  <si>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</si>
  <si>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</si>
  <si>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</si>
  <si>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</si>
  <si>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</si>
  <si>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</si>
  <si>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</si>
  <si>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</si>
  <si>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</si>
  <si>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</si>
  <si>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</si>
  <si>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</si>
  <si>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</si>
  <si>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</si>
  <si>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</si>
  <si>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</si>
  <si>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</si>
  <si>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</si>
  <si>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</si>
  <si>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</si>
  <si>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</si>
  <si>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</si>
  <si>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</si>
  <si>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</si>
  <si>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</si>
  <si>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</si>
  <si>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</si>
  <si>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</si>
  <si>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</si>
  <si>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</si>
  <si>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</si>
  <si>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</si>
  <si>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</si>
  <si>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</si>
  <si>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</si>
  <si>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</si>
  <si>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</si>
  <si>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</si>
  <si>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</si>
  <si>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</si>
  <si>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</si>
  <si>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</si>
  <si>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</si>
  <si>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</si>
  <si>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</si>
  <si>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</si>
  <si>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</si>
  <si>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</si>
  <si>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</si>
  <si>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</si>
  <si>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</si>
  <si>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</si>
  <si>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</si>
  <si>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</si>
  <si>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</si>
  <si>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</si>
  <si>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</si>
  <si>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</si>
  <si>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</si>
  <si>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</si>
  <si>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</si>
  <si>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</si>
  <si>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</si>
  <si>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</si>
  <si>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</si>
  <si>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</si>
  <si>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</si>
  <si>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</si>
  <si>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</si>
  <si>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</si>
  <si>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</si>
  <si>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</si>
  <si>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</si>
  <si>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</si>
  <si>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</si>
  <si>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</si>
  <si>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</si>
  <si>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</si>
  <si>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</si>
  <si>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</si>
  <si>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</si>
  <si>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</si>
  <si>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</si>
  <si>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</si>
  <si>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</si>
  <si>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</si>
  <si>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</si>
  <si>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</si>
  <si>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</si>
  <si>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</si>
  <si>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</si>
  <si>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</si>
  <si>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</si>
  <si>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</si>
  <si>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</si>
  <si>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</si>
  <si>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</si>
  <si>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</si>
  <si>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</si>
  <si>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</si>
  <si>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</si>
  <si>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</si>
  <si>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</si>
  <si>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</si>
  <si>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</si>
  <si>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</si>
  <si>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</si>
  <si>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</si>
  <si>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</si>
  <si>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</si>
  <si>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</si>
  <si>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</si>
  <si>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</si>
  <si>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</si>
  <si>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</si>
  <si>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</si>
  <si>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</si>
  <si>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</si>
  <si>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</si>
  <si>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</si>
  <si>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</si>
  <si>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</si>
  <si>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</si>
  <si>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</si>
  <si>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</si>
  <si>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</si>
  <si>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</si>
  <si>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</si>
  <si>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</si>
  <si>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</si>
  <si>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</si>
  <si>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</si>
  <si>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</si>
  <si>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</si>
  <si>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</si>
  <si>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</si>
  <si>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</si>
  <si>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</si>
  <si>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</si>
  <si>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</si>
  <si>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</si>
  <si>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</si>
  <si>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</si>
  <si>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</si>
  <si>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</si>
  <si>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</si>
  <si>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</si>
  <si>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</si>
  <si>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</si>
  <si>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</si>
  <si>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</si>
  <si>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</si>
  <si>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</si>
  <si>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</si>
  <si>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</si>
  <si>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</si>
  <si>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</si>
  <si>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</si>
  <si>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</si>
  <si>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</si>
  <si>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</si>
  <si>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</si>
  <si>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</si>
  <si>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</si>
  <si>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</si>
  <si>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</si>
  <si>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</si>
  <si>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</si>
  <si>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</si>
  <si>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</si>
  <si>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</si>
  <si>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</si>
  <si>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</si>
  <si>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</si>
  <si>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</si>
  <si>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</si>
  <si>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</si>
  <si>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</si>
  <si>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</si>
  <si>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</si>
  <si>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</si>
  <si>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</si>
  <si>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</si>
  <si>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</si>
  <si>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</si>
  <si>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</si>
  <si>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</si>
  <si>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</si>
  <si>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</si>
  <si>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</si>
  <si>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</si>
  <si>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</si>
  <si>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</si>
  <si>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</si>
  <si>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</si>
  <si>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</si>
  <si>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</si>
  <si>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</si>
  <si>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</si>
  <si>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</si>
  <si>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</si>
  <si>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</si>
  <si>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</si>
  <si>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</si>
  <si>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</si>
  <si>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</si>
  <si>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</si>
  <si>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</si>
  <si>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</si>
  <si>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</si>
  <si>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</si>
  <si>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</si>
  <si>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</si>
  <si>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</si>
  <si>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</si>
  <si>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</si>
  <si>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</si>
  <si>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</si>
  <si>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</si>
  <si>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</si>
  <si>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</si>
  <si>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</si>
  <si>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</si>
  <si>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</si>
  <si>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</si>
  <si>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</si>
  <si>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</si>
  <si>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</si>
  <si>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</si>
  <si>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</si>
  <si>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</si>
  <si>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</si>
  <si>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</si>
  <si>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</si>
  <si>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</si>
  <si>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</si>
  <si>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</si>
  <si>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</si>
  <si>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</si>
  <si>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</si>
  <si>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</si>
  <si>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</si>
  <si>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</si>
  <si>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</si>
  <si>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</si>
  <si>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</si>
  <si>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</si>
  <si>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</si>
  <si>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</si>
  <si>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</si>
  <si>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</si>
  <si>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</si>
  <si>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</si>
  <si>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</si>
  <si>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</si>
  <si>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</si>
  <si>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</si>
  <si>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</si>
  <si>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</si>
  <si>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</si>
  <si>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</si>
  <si>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</si>
  <si>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</si>
  <si>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</si>
  <si>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</si>
  <si>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</si>
  <si>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</si>
  <si>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</si>
  <si>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</si>
  <si>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</si>
  <si>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</si>
  <si>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</si>
  <si>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</si>
  <si>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</si>
  <si>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</si>
  <si>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</si>
  <si>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</si>
  <si>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</si>
  <si>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</si>
  <si>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</si>
  <si>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</si>
  <si>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</si>
  <si>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</si>
  <si>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</si>
  <si>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</si>
  <si>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</si>
  <si>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</si>
  <si>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</si>
  <si>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</si>
  <si>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</si>
  <si>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</si>
  <si>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</si>
  <si>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CPS</t>
  </si>
  <si>
    <t>Cps</t>
  </si>
  <si>
    <t>InvCps</t>
  </si>
  <si>
    <t>IHP</t>
  </si>
  <si>
    <t>Ihp</t>
  </si>
  <si>
    <t>InvIhp</t>
  </si>
  <si>
    <t>Inhouse Part</t>
  </si>
  <si>
    <t>MATERIAL_TYPE</t>
  </si>
  <si>
    <t>nvarchar(4)</t>
  </si>
  <si>
    <t>MATERIAL_CODE</t>
  </si>
  <si>
    <t>INDUSTRY_SECTOR</t>
  </si>
  <si>
    <t>nvarchar(1)</t>
  </si>
  <si>
    <t>DESCRIPTION</t>
  </si>
  <si>
    <t>MATERIAL_GROUP</t>
  </si>
  <si>
    <t>nvarchar(9)</t>
  </si>
  <si>
    <t>BASE_UNIT_OF_MEASURE</t>
  </si>
  <si>
    <t>nvarchar(3)</t>
  </si>
  <si>
    <t>DELETION_FLAG</t>
  </si>
  <si>
    <t>PLANT</t>
  </si>
  <si>
    <t>STORAGE_LOCATION</t>
  </si>
  <si>
    <t>PRODUCTION_GROUP</t>
  </si>
  <si>
    <t>PRODUCTION_PURPOSE</t>
  </si>
  <si>
    <t>nvarchar(2)</t>
  </si>
  <si>
    <t>PRODUCTION_TYPE</t>
  </si>
  <si>
    <t>nvarchar(10)</t>
  </si>
  <si>
    <t>PROFIT_CENTER</t>
  </si>
  <si>
    <t>BATCH_MANAGEMENT</t>
  </si>
  <si>
    <t>RESERVED_STOCK</t>
  </si>
  <si>
    <t>LOT_CODE</t>
  </si>
  <si>
    <t>MRP_GROUP</t>
  </si>
  <si>
    <t>MRP_TYPE</t>
  </si>
  <si>
    <t>PROCUREMENT_TYPE</t>
  </si>
  <si>
    <t>SPECIAL_PROCUREMENT</t>
  </si>
  <si>
    <t>PRODUCTION_STORAGE_LOCATION</t>
  </si>
  <si>
    <t>REPET_MANUFACTURING</t>
  </si>
  <si>
    <t>REM_PROFILE</t>
  </si>
  <si>
    <t>DO_NOT_COST</t>
  </si>
  <si>
    <t>VARIANCE_KEY</t>
  </si>
  <si>
    <t>nvarchar(25)</t>
  </si>
  <si>
    <t>COSTING_LOT_SIZE</t>
  </si>
  <si>
    <t>decimal(13,3)</t>
  </si>
  <si>
    <t>PRODUCTION_VERSION</t>
  </si>
  <si>
    <t>SPECIAL_PROCUREMENT_CTG_VIEW</t>
  </si>
  <si>
    <t>VALUATION_CATEGORY</t>
  </si>
  <si>
    <t>VALUATION_TYPE</t>
  </si>
  <si>
    <t>VALUATION_CLASS</t>
  </si>
  <si>
    <t>PRICE_DETERMINATION</t>
  </si>
  <si>
    <t>PRICE_CONTROL</t>
  </si>
  <si>
    <t>STANDARD_PRICE</t>
  </si>
  <si>
    <t>decimal(11,2)</t>
  </si>
  <si>
    <t>MOVING_PRICE</t>
  </si>
  <si>
    <t>WITH_QTY_STRUCTURE</t>
  </si>
  <si>
    <t>MATERIAL_ORIGIN</t>
  </si>
  <si>
    <t>ORIGIN_GROUP</t>
  </si>
  <si>
    <t>AUTHORIZATION_GROUP</t>
  </si>
  <si>
    <t>MAT_SRC</t>
  </si>
  <si>
    <t>EFFECTIVE_DATE_FROM</t>
  </si>
  <si>
    <t>EFFECTIVE_DATE_TO</t>
  </si>
  <si>
    <t>Master.Common</t>
  </si>
  <si>
    <t>MstCmmMaterialMaster</t>
  </si>
  <si>
    <t>MaterialMaster</t>
  </si>
  <si>
    <t>Cmm Material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</si>
</sst>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37" zoomScaleNormal="100" workbookViewId="0">
      <selection activeCell="E59" sqref="E5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356</v>
      </c>
      <c r="F46" s="1" t="s">
        <v>357</v>
      </c>
      <c r="G46" t="s">
        <v>358</v>
      </c>
      <c r="H46" t="s">
        <v>359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353</v>
      </c>
      <c r="F51" s="1" t="s">
        <v>354</v>
      </c>
      <c r="G51" t="s">
        <v>355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[Table("MstCmmMaterialMaster")]
	public class MstCmmMaterialMaster: FullAuditedEntity&lt;long&gt;, IEntity&lt;long&gt;	
	{
		public const int MaxMaterialTypeLength = 4;
		public const int MaxMaterialCodeLength = 40;
		public const int MaxIndustrySectorLength = 1;
		public const int MaxDescriptionLength = 40;
		public const int MaxMaterialGroupLength = 9;
		public const int MaxBaseUnitOfMeasureLength = 3;
		public const int MaxDeletionFlagLength = 1;
		public const int MaxPlantLength = 4;
		public const int MaxStorageLocationLength = 4;
		public const int MaxProductionGroupLength = 3;
		public const int MaxProductionPurposeLength = 2;
		public const int MaxProductionTypeLength = 10;
		public const int MaxProfitCenterLength = 10;
		public const int MaxBatchManagementLength = 3;
		public const int MaxReservedStockLength = 2;
		public const int MaxLotCodeLength = 10;
		public const int MaxMrpGroupLength = 4;
		public const int MaxMrpTypeLength = 2;
		public const int MaxProcurementTypeLength = 1;
		public const int MaxSpecialProcurementLength = 2;
		public const int MaxProductionStorageLocationLength = 4;
		public const int MaxRepetManufacturingLength = 1;
		public const int MaxRemProfileLength = 4;
		public const int MaxDoNotCostLength = 1;
		public const int MaxVarianceKeyLength = 25;
		public const int MaxProductionVersionLength = 4;
		public const int MaxSpecialProcurementCtgViewLength = 2;
		public const int MaxValuationCategoryLength = 1;
		public const int MaxValuationTypeLength = 10;
		public const int MaxValuationClassLength = 4;
		public const int MaxPriceDeterminationLength = 1;
		public const int MaxPriceControlLength = 1;
		public const int MaxWithQtyStructureLength = 1;
		public const int MaxMaterialOriginLength = 1;
		public const int MaxOriginGroupLength = 4;
		public const int MaxAuthorizationGroupLength = 4;
		public const int MaxMatSrcLength = 4;
		public const int MaxIsActiveLength = 1;
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[StringLength(MaxDescriptionLength)]
		public virtual string Description { get; set; }
		[StringLength(MaxMaterialGroupLength)]
		public virtual string MaterialGroup { get; set; }
		[StringLength(MaxBaseUnitOfMeasureLength)]
		public virtual string BaseUnitOfMeasure { get; set; }
		[StringLength(MaxDeletionFlagLength)]
		public virtual string DeletionFlag { get; set; }
		[StringLength(MaxPlantLength)]
		public virtual string Plant { get; set; }
		[StringLength(MaxStorageLocationLength)]
		public virtual string StorageLocation { get; set; }
		[StringLength(MaxProductionGroupLength)]
		public virtual string ProductionGroup { get; set; }
		[StringLength(MaxProductionPurposeLength)]
		public virtual string ProductionPurpose { get; set; }
		[StringLength(MaxProductionTypeLength)]
		public virtual string ProductionType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[StringLength(MaxProductionStorageLocationLength)]
		public virtual string ProductionStorageLocation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public virtual decimal? CostingLotSize { get; set; }
		[StringLength(MaxProductionVersionLength)]
		public virtual string ProductionVersion { get; set; }
		[StringLength(MaxSpecialProcurementCtgViewLength)]
		public virtual string SpecialProcurementCtgView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public virtual decimal? StandardPrice { get; set; }
		public virtual decimal?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[StringLength(MaxAuthorizationGroupLength)]
		public virtual string AuthorizationGroup { get; set; }
		[StringLength(MaxMatSrcLength)]
		public virtual string MatSrc { get; set; }
		public virtual DateTime? EffectiveDateFrom { get; set; }
		public virtual DateTime? EffectiveDateTo { get; set; }
		[StringLength(MaxIsActiveLength)]
		public virtual string IsActive { get; set; }
	}
}
</v>
      </c>
      <c r="D69" s="48" t="str">
        <f>A.Backend!O7</f>
        <v xml:space="preserve">		public const string Pages_Master_Common_MaterialMaster = "Pages.Master.Common.MaterialMaster";
		public const string Pages_Master_Common_MaterialMaster_CreateEdit = "Pages.Master.Common.MaterialMaster.CreateEdit";
		public const string Pages_Master_Common_MaterialMaster_Delete = "Pages.Master.Common.MaterialMaster.Delete";
</v>
      </c>
      <c r="E69" s="48" t="str">
        <f>A.Backend!N7</f>
        <v xml:space="preserve">		var perMstCmmMaterialMaster = PARENTS.CreateChildPermission(AppPermissions.Pages_Master_Common_MaterialMaster, L( "MasterCommonMaterialMaster"), multiTenancySides: MultiTenancySides.Tenant);
		perMstCmmMaterialMaster.CreateChildPermission(AppPermissions.Pages_Master_Common_MaterialMaster_CreateEdit, L( "MasterCommonMaterialMasterCreateEdit"), multiTenancySides: MultiTenancySides.Tenant);
		perMstCmmMaterialMaster.CreateChildPermission(AppPermissions.Pages_Master_Common_MaterialMaster_Delete, L( "MasterCommonMaterialMasterDelete"), multiTenancySides: MultiTenancySides.Tenant);</v>
      </c>
      <c r="F69" s="48" t="str">
        <f>A.Backend!K7</f>
        <v>public virtual DbSet&lt;MstCmmMaterialMaster&gt; MstCmmMaterialMasters { get; set; }</v>
      </c>
      <c r="G69" s="48" t="str">
        <f ca="1">A.Backend!L7</f>
        <v xml:space="preserve">namespace prod.Master.Common
{
	public class MstCmmMaterialMasterConsts	
	{
		public const int MaxMaterialTypeLength = 4;
		public const int MaxMaterialCodeLength = 40;
		public const int MaxIndustrySectorLength = 1;
		public const int MaxDescriptionLength = 40;
		public const int MaxMaterialGroupLength = 9;
		public const int MaxBaseUnitOfMeasureLength = 3;
		public const int MaxDeletionFlagLength = 1;
		public const int MaxPlantLength = 4;
		public const int MaxStorageLocationLength = 4;
		public const int MaxProductionGroupLength = 3;
		public const int MaxProductionPurposeLength = 2;
		public const int MaxProductionTypeLength = 10;
		public const int MaxProfitCenterLength = 10;
		public const int MaxBatchManagementLength = 3;
		public const int MaxReservedStockLength = 2;
		public const int MaxLotCodeLength = 10;
		public const int MaxMrpGroupLength = 4;
		public const int MaxMrpTypeLength = 2;
		public const int MaxProcurementTypeLength = 1;
		public const int MaxSpecialProcurementLength = 2;
		public const int MaxProductionStorageLocationLength = 4;
		public const int MaxRepetManufacturingLength = 1;
		public const int MaxRemProfileLength = 4;
		public const int MaxDoNotCostLength = 1;
		public const int MaxVarianceKeyLength = 25;
		public const int MaxProductionVersionLength = 4;
		public const int MaxSpecialProcurementCtgViewLength = 2;
		public const int MaxValuationCategoryLength = 1;
		public const int MaxValuationTypeLength = 10;
		public const int MaxValuationClassLength = 4;
		public const int MaxPriceDeterminationLength = 1;
		public const int MaxPriceControlLength = 1;
		public const int MaxWithQtyStructureLength = 1;
		public const int MaxMaterialOriginLength = 1;
		public const int MaxOriginGroupLength = 4;
		public const int MaxAuthorizationGroupLength = 4;
		public const int MaxMatSrcLength = 4;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prod.Master.Common.Dto
{
	public class MstCmmMaterialMasterDto : EntityDto&lt;long?&gt;	
	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decimal? CostingLotSize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decimal? StandardPrice { get; set; }
		public virtual decimal? MovingPrice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DateTime? EffectiveDateFrom { get; set; }
		public virtual DateTime? EffectiveDateTo { get; set; }
		public virtual string IsActive { get; set; }
	}
	public class CreateOrEditMstCmmMaterialMasterDto : EntityDto&lt;long?&gt;	
	{
		[StringLength(MstCmmMaterialMasterConsts.MaxMaterialTypeLength)]
		public virtual string MaterialType { get; set; }
		[StringLength(MstCmmMaterialMasterConsts.MaxMaterialCodeLength)]
		public virtual string MaterialCode { get; set; }
		[StringLength(MstCmmMaterialMasterConsts.MaxIndustrySectorLength)]
		public virtual string IndustrySector { get; set; }
		[StringLength(MstCmmMaterialMasterConsts.MaxDescriptionLength)]
		public virtual string Description { get; set; }
		[StringLength(MstCmmMaterialMasterConsts.MaxMaterialGroupLength)]
		public virtual string MaterialGroup { get; set; }
		[StringLength(MstCmmMaterialMasterConsts.MaxBaseUnitOfMeasureLength)]
		public virtual string BaseUnitOfMeasure { get; set; }
		[StringLength(MstCmmMaterialMasterConsts.MaxDeletionFlagLength)]
		public virtual string DeletionFlag { get; set; }
		[StringLength(MstCmmMaterialMasterConsts.MaxPlantLength)]
		public virtual string Plant { get; set; }
		[StringLength(MstCmmMaterialMasterConsts.MaxStorageLocationLength)]
		public virtual string StorageLocation { get; set; }
		[StringLength(MstCmmMaterialMasterConsts.MaxProductionGroupLength)]
		public virtual string ProductionGroup { get; set; }
		[StringLength(MstCmmMaterialMasterConsts.MaxProductionPurposeLength)]
		public virtual string ProductionPurpose { get; set; }
		[StringLength(MstCmmMaterialMasterConsts.MaxProductionTypeLength)]
		public virtual string ProductionType { get; set; }
		[StringLength(MstCmmMaterialMasterConsts.MaxProfitCenterLength)]
		public virtual string ProfitCenter { get; set; }
		[StringLength(MstCmmMaterialMasterConsts.MaxBatchManagementLength)]
		public virtual string BatchManagement { get; set; }
		[StringLength(MstCmmMaterialMasterConsts.MaxReservedStockLength)]
		public virtual string ReservedStock { get; set; }
		[StringLength(MstCmmMaterialMasterConsts.MaxLotCodeLength)]
		public virtual string LotCode { get; set; }
		[StringLength(MstCmmMaterialMasterConsts.MaxMrpGroupLength)]
		public virtual string MrpGroup { get; set; }
		[StringLength(MstCmmMaterialMasterConsts.MaxMrpTypeLength)]
		public virtual string MrpType { get; set; }
		[StringLength(MstCmmMaterialMasterConsts.MaxProcurementTypeLength)]
		public virtual string ProcurementType { get; set; }
		[StringLength(MstCmmMaterialMasterConsts.MaxSpecialProcurementLength)]
		public virtual string SpecialProcurement { get; set; }
		[StringLength(MstCmmMaterialMasterConsts.MaxProductionStorageLocationLength)]
		public virtual string ProductionStorageLocation { get; set; }
		[StringLength(MstCmmMaterialMasterConsts.MaxRepetManufacturingLength)]
		public virtual string RepetManufacturing { get; set; }
		[StringLength(MstCmmMaterialMasterConsts.MaxRemProfileLength)]
		public virtual string RemProfile { get; set; }
		[StringLength(MstCmmMaterialMasterConsts.MaxDoNotCostLength)]
		public virtual string DoNotCost { get; set; }
		[StringLength(MstCmmMaterialMasterConsts.MaxVarianceKeyLength)]
		public virtual string VarianceKey { get; set; }
		public virtual decimal? CostingLotSize { get; set; }
		[StringLength(MstCmmMaterialMasterConsts.MaxProductionVersionLength)]
		public virtual string ProductionVersion { get; set; }
		[StringLength(MstCmmMaterialMasterConsts.MaxSpecialProcurementCtgViewLength)]
		public virtual string SpecialProcurementCtgView { get; set; }
		[StringLength(MstCmmMaterialMasterConsts.MaxValuationCategoryLength)]
		public virtual string ValuationCategory { get; set; }
		[StringLength(MstCmmMaterialMasterConsts.MaxValuationTypeLength)]
		public virtual string ValuationType { get; set; }
		[StringLength(MstCmmMaterialMasterConsts.MaxValuationClassLength)]
		public virtual string ValuationClass { get; set; }
		[StringLength(MstCmmMaterialMasterConsts.MaxPriceDeterminationLength)]
		public virtual string PriceDetermination { get; set; }
		[StringLength(MstCmmMaterialMasterConsts.MaxPriceControlLength)]
		public virtual string PriceControl { get; set; }
		public virtual decimal? StandardPrice { get; set; }
		public virtual decimal? MovingPrice { get; set; }
		[StringLength(MstCmmMaterialMasterConsts.MaxWithQtyStructureLength)]
		public virtual string WithQtyStructure { get; set; }
		[StringLength(MstCmmMaterialMasterConsts.MaxMaterialOriginLength)]
		public virtual string MaterialOrigin { get; set; }
		[StringLength(MstCmmMaterialMasterConsts.MaxOriginGroupLength)]
		public virtual string OriginGroup { get; set; }
		[StringLength(MstCmmMaterialMasterConsts.MaxAuthorizationGroupLength)]
		public virtual string AuthorizationGroup { get; set; }
		[StringLength(MstCmmMaterialMasterConsts.MaxMatSrcLength)]
		public virtual string MatSrc { get; set; }
		public virtual DateTime? EffectiveDateFrom { get; set; }
		public virtual DateTime? EffectiveDateTo { get; set; }
		[StringLength(MstCmmMaterialMasterConsts.MaxIsActiveLength)]
		public virtual string IsActive { get; set; }
	}
	public class GetMstCmmMaterialMasterInput : PagedAndSortedResultRequestDto	
	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prod.Master.Common.Dto
{
	public class MstCmmMaterialMasterExportInput{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decimal? CostingLotSize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decimal? StandardPrice { get; set; }
		public virtual decimal? MovingPrice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DateTime? EffectiveDateFrom { get; set; }
		public virtual DateTime? EffectiveDateTo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IMstCmmMaterialMasterAppService : IApplicationService
	{
		Task&lt;PagedResultDto&lt;MstCmmMaterialMasterDto&gt;&gt; GetAll(GetMstCmmMaterialMasterInput input);
		Task CreateOrEdit(CreateOrEditMstCmmMaterialMasterDto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IMstCmmMaterialMasterExcelExporter : IApplicationService
	{
		FileDto ExportToFile(List&lt;MstCmmMaterialMasterDto&gt; mstcmmmaterialmaster);
	}
}
</v>
      </c>
      <c r="L69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MstCmmMaterialMasterExcelExporter : NpoiExcelExporterBase, IMstCmmMaterialMasterExcelExporter
    {
        public MstCmmMaterialMasterExcelExporter(ITempFileCacheManager tempFileCacheManager) : base(tempFileCacheManager) { }
        public FileDto ExportToFile(List&lt;MstCmmMaterialMasterDto&gt; materialmaster)
        {
            return CreateExcelPackage(
				"MasterCommonMaterialMaster.xlsx",
				excelPackage =&gt;
				 {
					var sheet = excelPackage.CreateSheet("MaterialMaster");
					AddHeader(
								sheet,
								("MaterialType"),
								("MaterialCode"),
								("IndustrySector"),
								("Description"),
								("MaterialGroup"),
								("BaseUnitOfMeasure"),
								("DeletionFlag"),
								("Plant"),
								("StorageLocation"),
								("ProductionGroup"),
								("ProductionPurpose"),
								("ProductionType"),
								("ProfitCenter"),
								("BatchManagement"),
								("ReservedStock"),
								("LotCode"),
								("MrpGroup"),
								("MrpType"),
								("ProcurementType"),
								("SpecialProcurement"),
								("ProductionStorageLocation"),
								("RepetManufacturing"),
								("RemProfile"),
								("DoNotCost"),
								("VarianceKey"),
								("CostingLotSize"),
								("ProductionVersion"),
								("SpecialProcurementCtgView"),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("AuthorizationGroup"),
								("MatSrc"),
								("EffectiveDateFrom"),
								("EffectiveDateTo"),
								("IsActive"),
							   );
					AddObjects(
						 sheet, 1, materialmaster,                                       
								_ =&gt; _.MaterialType,
								_ =&gt; _.MaterialCode,
								_ =&gt; _.IndustrySector,
								_ =&gt; _.Description,
								_ =&gt; _.MaterialGroup,
								_ =&gt; _.BaseUnitOfMeasure,
								_ =&gt; _.DeletionFlag,
								_ =&gt; _.Plant,
								_ =&gt; _.StorageLocation,
								_ =&gt; _.ProductionGroup,
								_ =&gt; _.ProductionPurpose,
								_ =&gt; _.ProductionType,
								_ =&gt; _.ProfitCenter,
								_ =&gt; _.BatchManagement,
								_ =&gt; _.ReservedStock,
								_ =&gt; _.LotCode,
								_ =&gt; _.MrpGroup,
								_ =&gt; _.MrpType,
								_ =&gt; _.ProcurementType,
								_ =&gt; _.SpecialProcurement,
								_ =&gt; _.ProductionStorageLocation,
								_ =&gt; _.RepetManufacturing,
								_ =&gt; _.RemProfile,
								_ =&gt; _.DoNotCost,
								_ =&gt; _.VarianceKey,
								_ =&gt; _.CostingLotSize,
								_ =&gt; _.ProductionVersion,
								_ =&gt; _.SpecialProcurementCtgView,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_.AuthorizationGroup,
								_ =&gt; _.MatSrc,
								_ =&gt; _.EffectiveDateFrom,
								_ =&gt; _.EffectiveDateTo,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[AbpAuthorize(AppPermissions.Pages_Master_Common_MaterialMaster)]
    public class MstCmmMaterialMasterAppService : vovinaAppServiceBase, IMstCmmMaterialMasterAppService
    {
        private readonly IDapperRepository&lt;MstCmmMaterialMaster, long&gt; _dapperRepo;
        private readonly IRepository&lt;MstCmmMaterialMaster, long&gt; _repo;
        private readonly IMstCmmMaterialMasterExcelExporter _calendarListExcelExporter;
        public MstCmmMaterialMasterAppService(IRepository&lt;MstCmmMaterialMaster,long&gt; repo, 
                                         IDapperRepository&lt;MstCmmMaterialMaster,long&gt; dapperRepo,
                                        IMstCmmMaterialMasterExcelExporter calendarListExcelExporter
            )
        {
            _repo = repo;
            _dapperRepo = dapperRepo;
            _calendarListExcelExporter = calendarListExcelExporter;
        }
        [AbpAuthorize(AppPermissions.Pages_Master_Common_MaterialMaster_CreateEdit)]
        public async Task CreateOrEdit(CreateOrEditMstCmmMaterialMasterDto input)
        {
            if (input.Id == null) await Create(input);
            else await Update(input);
        }
        //CREATE
        private async Task Create(CreateOrEditMstCmmMaterialMasterDto input)
        {          
            var mainObj = ObjectMapper.Map&lt;MstCmmMaterialMaster&gt;(input);
            await CurrentUnitOfWork.GetDbContext&lt;vovinaDbContext&gt;().AddAsync(mainObj);
        }
        // EDIT
        private async Task Update(CreateOrEditMstCmmMaterialMasterDto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[AbpAuthorize(AppPermissions.Pages_Master_Common_MaterialMaster_Delete)]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Task&lt;PagedResultDto&lt;MstCmmMaterialMasterDto&gt;&gt; GetAll(GetMstCmmMaterialMasterInput input)
        {
            var filtered = _repo.GetAll()
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.WhereIf(!string.IsNullOrWhiteSpace(input.Description), e =&gt; e.Description.Contains(input.Description))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.WhereIf(!string.IsNullOrWhiteSpace(input.DeletionFlag), e =&gt; e.DeletionFlag.Contains(input.DeletionFlag))
				.WhereIf(!string.IsNullOrWhiteSpace(input.Plant), e =&gt; e.Plant.Contains(input.Plant))
				.WhereIf(!string.IsNullOrWhiteSpace(input.StorageLocation), e =&gt; e.StorageLocation.Contains(input.StorageLocation))
				.WhereIf(!string.IsNullOrWhiteSpace(input.ProductionGroup), e =&gt; e.ProductionGroup.Contains(input.ProductionGroup))
				.WhereIf(!string.IsNullOrWhiteSpace(input.ProductionPurpose), e =&gt; e.ProductionPurpose.Contains(input.ProductionPurpose))
				.WhereIf(!string.IsNullOrWhiteSpace(input.ProductionType), e =&gt; e.ProductionType.Contains(input.ProductionType))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.WhereIf(!string.IsNullOrWhiteSpace(input.ProductionStorageLocation), e =&gt; e.ProductionStorageLocation.Contains(input.ProductionStorageLocation))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.WhereIf(!string.IsNullOrWhiteSpace(input.ProductionVersion), e =&gt; e.ProductionVersion.Contains(input.ProductionVersion))
				.WhereIf(!string.IsNullOrWhiteSpace(input.SpecialProcurementCtgView), e =&gt; e.SpecialProcurementCtgView.Contains(input.SpecialProcurementCtgView))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.WhereIf(!string.IsNullOrWhiteSpace(input.AuthorizationGroup), e =&gt; e.AuthorizationGroup.Contains(input.AuthorizationGroup))
				.WhereIf(!string.IsNullOrWhiteSpace(input.MatSrc), e =&gt; e.MatSrc.Contains(input.MatSrc))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MstCmmMaterialMasterDto
                        {
							Id = o.Id,
							MaterialType = o.MaterialType,
							MaterialCode = o.MaterialCode,
							IndustrySector = o.IndustrySector,
							Description = o.Description,
							MaterialGroup = o.MaterialGroup,
							BaseUnitOfMeasure = o.BaseUnitOfMeasure,
							DeletionFlag = o.DeletionFlag,
							Plant = o.Plant,
							StorageLocation = o.StorageLocation,
							ProductionGroup = o.ProductionGroup,
							ProductionPurpose = o.ProductionPurpose,
							ProductionType = o.ProductionType,
							ProfitCenter = o.ProfitCenter,
							BatchManagement = o.BatchManagement,
							ReservedStock = o.ReservedStock,
							LotCode = o.LotCode,
							MrpGroup = o.MrpGroup,
							MrpType = o.MrpType,
							ProcurementType = o.ProcurementType,
							SpecialProcurement = o.SpecialProcurement,
							ProductionStorageLocation = o.ProductionStorageLocation,
							RepetManufacturing = o.RepetManufacturing,
							RemProfile = o.RemProfile,
							DoNotCost = o.DoNotCost,
							VarianceKey = o.VarianceKey,
							CostingLotSize = o.CostingLotSize,
							ProductionVersion = o.ProductionVersion,
							SpecialProcurementCtgView = o.SpecialProcurementCtgView,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AuthorizationGroup = o.AuthorizationGroup,
							MatSrc = o.MatSrc,
							EffectiveDateFrom = o.EffectiveDateFrom,
							EffectiveDateTo = o.EffectiveDateTo,
							IsActive = o.IsActive,
                        };
            var totalCount = await filtered.CountAsync();
			var paged = system.PageBy(input);
            return new PagedResultDto&lt;MstCmmMaterialMasterDto&gt;(
                totalCount,
                 await paged.ToListAsync()
            );
        }
        public async Task&lt;FileDto&gt; GetMaterialMasterToExcel(MstCmmMaterialMasterExportInput input)
        {
            var query = from o in _repo.GetAll()
                        select new MstCmmMaterialMasterDto
                        {
							Id = o.Id,
							MaterialType = o.MaterialType,
							MaterialCode = o.MaterialCode,
							IndustrySector = o.IndustrySector,
							Description = o.Description,
							MaterialGroup = o.MaterialGroup,
							BaseUnitOfMeasure = o.BaseUnitOfMeasure,
							DeletionFlag = o.DeletionFlag,
							Plant = o.Plant,
							StorageLocation = o.StorageLocation,
							ProductionGroup = o.ProductionGroup,
							ProductionPurpose = o.ProductionPurpose,
							ProductionType = o.ProductionType,
							ProfitCenter = o.ProfitCenter,
							BatchManagement = o.BatchManagement,
							ReservedStock = o.ReservedStock,
							LotCode = o.LotCode,
							MrpGroup = o.MrpGroup,
							MrpType = o.MrpType,
							ProcurementType = o.ProcurementType,
							SpecialProcurement = o.SpecialProcurement,
							ProductionStorageLocation = o.ProductionStorageLocation,
							RepetManufacturing = o.RepetManufacturing,
							RemProfile = o.RemProfile,
							DoNotCost = o.DoNotCost,
							VarianceKey = o.VarianceKey,
							CostingLotSize = o.CostingLotSize,
							ProductionVersion = o.ProductionVersion,
							SpecialProcurementCtgView = o.SpecialProcurementCtgView,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AuthorizationGroup = o.AuthorizationGroup,
							MatSrc = o.MatSrc,
							EffectiveDateFrom = o.EffectiveDateFrom,
							EffectiveDateTo = o.EffectiveDateTo,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_dapperRepo.ExecuteAsync(MstCmmMaterialMasterConsts.SP_MST_WPT_CALENDAR_GENERATE);
       // }
    }
}</v>
      </c>
      <c r="N69" s="58" t="str">
        <f>A.Backend!U7</f>
        <v xml:space="preserve">  configuration.CreateMap&lt;MstCmmMaterialMasterDto, MstCmmMaterialMaster&gt;();
  configuration.CreateMap&lt;MstCmmMaterialMaster, MstCmmMaterialMasterDto&gt;();
  configuration.CreateMap&lt;CreateOrEditMstCmmMaterialMasterDto, MstCmmMaterialMaster&gt;();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materialmaster</v>
      </c>
      <c r="C74" s="66" t="str">
        <f>"create folder " &amp;B74</f>
        <v>create folder materialmaster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materialmaster.component.ts</v>
      </c>
      <c r="D75" s="28" t="str">
        <f>B.Frontend!I14</f>
        <v>materialmaster.component.html</v>
      </c>
      <c r="E75" s="28" t="str">
        <f>B.Frontend!J14</f>
        <v>materialmaster.component.less</v>
      </c>
      <c r="F75" s="28" t="str">
        <f>B.Frontend!K14</f>
        <v>create-or-edit-materialmaster-modal.component.html</v>
      </c>
      <c r="G75" s="28" t="str">
        <f>B.Frontend!L14</f>
        <v>create-or-edit-materialmaster-modal.component.ts</v>
      </c>
      <c r="H75" s="28" t="str">
        <f>B.Frontend!M14</f>
        <v>create-or-edit-materialmaster-modal.component.less</v>
      </c>
      <c r="I75" s="28" t="str">
        <f>B.Frontend!N14</f>
        <v>materialmaster.module.ts</v>
      </c>
      <c r="J75" s="28" t="str">
        <f>B.Frontend!O14</f>
        <v>materialmaster-routing.module.ts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MstCmmMaterialMasterDto, MstCmmMaterialMasterServiceProxy } from '@shared/service-proxies/service-proxies';
import { finalize } from 'rxjs/internal/operators/finalize';
import { CreateOrEditMaterialMasterModalComponent } from './create-or-edit-materialmaster-modal.component';
import { DatePipe } from '@angular/common';
import { FileDownloadService } from '@shared/utils/file-download.service';
import ceil from 'lodash-es/ceil';
import { Paginator } from 'primeng/paginator';
@Component({
    templateUrl: './materialmaster.component.html',
    styleUrls: ['./materialmaster.component.less'],
})
export class MaterialMasterComponent extends AppComponentBase implements OnInit {
    @ViewChild('createOrEditModalMaterialMaster', { static: true }) createOrEditModalMaterialMaster:| CreateOrEditMaterialMasterModalComponent|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MstCmmMaterialMasterDto = new MstCmmMaterialMasterDto();
    saveSelectedRow: MstCmmMaterialMasterDto = new MstCmmMaterialMasterDto();
    datas: MstCmmMaterialMasterDto = new MstCmmMaterialMasterDto();
    isLoading: boolean = false;
    dataParams: GridParams | undefined;
    rowData: any[] = [];
    gridApi!: GridApi;
    rowSelection = 'multiple';
    filter: string = '';
	pipe = new DatePipe('en-US');
	frameworkComponents: FrameworkComponent;
    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MstCmmMaterialMasterServiceProxy,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this.l('Description'),headerTooltip: this.l('Description'),field: 'description',flex: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this.l('Deletion Flag'),headerTooltip: this.l('Deletion Flag'),field:  'deletionFlag', cellClass: ['text-center'], width: 120, cellRenderer: 'agCellButtonComponent',
buttonDefTwo: { text: params =&gt; (params.data?.'deletionFlag' == 'Y') ? 'Active' : 'Inactive',iconName: 'fa fa-circle',className: params =&gt; (params.data?.'deletionFlag'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this.l('Production Group'),headerTooltip: this.l('Production Group'),field: 'productionGroup',flex: 1},
			{headerName: this.l('Production Purpose'),headerTooltip: this.l('Production Purpose'),field: 'productionPurpose',flex: 1},
			{headerName: this.l('Production Type'),headerTooltip: this.l('Production Type'),field: 'productionType',flex: 1},
			{headerName: this.l('Profit Center'),headerTooltip: this.l('Profit Center'),field: 'profitCenter',flex: 1},
			{headerName: this.l('Batch Management'),headerTooltip: this.l('Batch Management'),field: 'batchManagement',flex: 1},
			{headerName: this.l('Reserved Stock'),headerTooltip: this.l('Reserved Stock'),field: 'reservedStock',flex: 1},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this.l('Production Storage Location'),headerTooltip: this.l('Production Storage Location'),field: 'productionStorageLocation',flex: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Ctg View'),headerTooltip: this.l('Special Procurement Ctg View'),field: 'specialProcurementCtgView',flex: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 'materialOrigin', cellClass: ['text-center'], width: 120, cellRenderer: 'agCellButtonComponent',
buttonDefTwo: { text: params =&gt; (params.data?.'materialOrigin' == 'Y') ? 'Active' : 'Inactive',iconName: 'fa fa-circle',className: params =&gt; (params.data?.'materialOrigin' == 'Y') ? 'btnActive' : 'btnInActive',},}
			{headerName: this.l('Origin Group'),headerTooltip: this.l('Origin Group'),field: 'originGroup',flex: 1},
			{headerName: this.l('Authorization Group'),headerTooltip: this.l('Authorization Group'),field: 'authorizationGroup',flex: 1},
			{headerName: this.l('Mat Src'),headerTooltip: this.l('Mat Src'),field: 'matSrc',flex: 1},
			{headerName: this.l('Effective Date From'),headerTooltip: this.l('Effective Date From'),field: 'effectiveDateFrom',flex: 1},
			{headerName: this.l('Effective Date To'),headerTooltip: this.l('Effective Date To'),field: 'effectiveDateTo',flex: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			'',
            this.paginationParams.skipCount,
            this.paginationParams.pageSize
        );
    }
    onChangeRowSelection(params: { api: { getSelectedRows: () =&gt; MstCmmMaterialMasterDto[] } }) {
        this.saveSelectedRow = params.api.getSelectedRows()[0] ?? new MstCmmMaterialMasterDto();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MstCmmMaterialMasterDto):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this._service.getMaterialMasterToExcel(
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Cmm Material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[(ngModel)]='productionGroup' name='productionGroup'
									class='form-control' [placeholder]="l('Production Group')"
									type='text' (keyup.enter)='searchDatas()'&gt;
								&lt;/div&gt;
								&lt;div class='input-search'&gt;
									&lt;input [(ngModel)]='productionPurpose' name='productionPurpose'
									class='form-control' [placeholder]="l('Production Purpose')"
									type='text' (keyup.enter)='searchDatas()'&gt;
								&lt;/div&gt;
								&lt;div class='input-search'&gt;
									&lt;input [(ngModel)]='productionType' name='productionType'
									class='form-control' [placeholder]="l('Production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[(ngModel)]='productionStorageLocation' name='productionStorageLocation'
									class='form-control' [placeholder]="l('Production Storage Location')"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[(ngModel)]='specialProcurementCtgView' name='specialProcurementCtgView'
									class='form-control' [placeholder]="l('Special Procurement Ctg View')"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[(ngModel)]='matSrc' name='matSrc'
									class='form-control' [placeholder]="l('Mat Src')"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(click)="createOrEditModalMaterialMaster.show()"&gt;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(click)="createOrEditModalMaterialMaster.show(selectedRow)"&gt;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&lt;create-or-edit-materialmaster-modal
    #createOrEditModalMaterialMaster
    (modalSave)="callBackDataGrid(dataParams)"
    (modalClose)="onChangeRowSelection(dataParams)"
&gt;
&lt;/create-or-edit-materialmaster-modal&gt;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#createOrEditModalMaterialMaster="bs-modal"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MaterialMaster')}}&lt;/h3&gt;
                    &lt;h3 *ngIf="!rowdata.id"&gt;{{('Create New MaterialMaster')}}&lt;/h3&gt;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title'&gt;Deletion Flag&lt;/label&gt;
						&lt;new-checkbox [(ngModel)]='_deletionFlag' name='deletionFlag'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title'&gt;Production Group&lt;/label&gt;
						&lt;input type='text' class='col-md-10 form-control input-text' name='ProductionGroup' [(ngModel)]='rowdata.productionGroup'&gt;
					&lt;/div&gt;
					&lt;div class='col-md-12 form-group row'&gt;
						&lt;label class='col-md-2 form-control title'&gt;Production Purpose&lt;/label&gt;
						&lt;input type='text' class='col-md-10 form-control input-text' name='ProductionPurpose' [(ngModel)]='rowdata.productionPurpose'&gt;
					&lt;/div&gt;
					&lt;div class='col-md-12 form-group row'&gt;
						&lt;label class='col-md-2 form-control title'&gt;Production Type&lt;/label&gt;
						&lt;input type='text' class='col-md-10 form-control input-text' name='ProductionType' [(ngModel)]='rowdata.productionType'&gt;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&lt;input type='text' class='col-md-10 form-control input-text' name='BatchManagement' [(ngModel)]='rowdata.batchManagement'&gt;
					&lt;/div&gt;
					&lt;div class='col-md-12 form-group row'&gt;
						&lt;label class='col-md-2 form-control title'&gt;Reserved Stock&lt;/label&gt;
						&lt;input type='text' class='col-md-10 form-control input-text' name='ReservedStock' [(ngModel)]='rowdata.reservedStock'&gt;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title'&gt;Production Storage Location&lt;/label&gt;
						&lt;input type='text' class='col-md-10 form-control input-text' name='ProductionStorageLocation' [(ngModel)]='rowdata.productionStorageLocation'&gt;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Ctg View&lt;/label&gt;
						&lt;input type='text' class='col-md-10 form-control input-text' name='SpecialProcurementCtgView' [(ngModel)]='rowdata.specialProcurementCtgView'&gt;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&lt;new-checkbox [(ngModel)]='_materialOrigin' name='materialOrigin' className='col-md-10' &gt; &lt;/new-checkbox&gt;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 Src&lt;/label&gt;
						&lt;input type='text' class='col-md-10 form-control input-text' name='MatSrc' [(ngModel)]='rowdata.matSrc'&gt;
					&lt;/div&gt;
					&lt;div class='col-md-12 form-group row'&gt;
						&lt;label class='col-md-2 form-control title'&gt;Effective Date From&lt;/label&gt;
						&lt;input type='text' class='col-md-10 form-control input-text' name='effectiveDateFrom' 
						#datepicker='bsDatepicker' [(ngModel)]='rowdata.effectiveDateFrom'  bsDatepicker &gt;
					&lt;/div&gt;
					&lt;div class='col-md-12 form-group row'&gt;
						&lt;label class='col-md-2 form-control title'&gt;Effective Date To&lt;/label&gt;
						&lt;input type='text' class='col-md-10 form-control input-text' name='effectiveDateTo' 
						#datepicker='bsDatepicker' [(ngModel)]='rowdata.effectiveDateTo'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CreateOrEditMstCmmMaterialMasterDto, MstCmmMaterialMasterServiceProxy } from '@shared/service-proxies/service-proxies';
import { BsDatepickerDirective } from 'ngx-bootstrap/datepicker';
@Component({
    selector: 'create-or-edit-materialmaster-modal',
    templateUrl: './create-or-edit-materialmaster-modal.component.html',
    styleUrls: ['./create-or-edit-materialmaster-modal.component.less']
    })
export class CreateOrEditMaterialMasterModalComponent extends AppComponentBase {
    @ViewChild('createOrEditModalMaterialMaster',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CreateOrEditMstCmmMaterialMasterDto = new CreateOrEditMstCmmMaterialMasterDto();
    active: boolean = false;
    saving: boolean = false;
    _industrySector
deletionFlag
procurementType
repetManufacturing
doNotCost
valuationCategory
priceDetermination
priceControl
withQtyStructure
materialOrigin
isActive: boolean;
    constructor(
        injector: Injector,
        private _mstwptMaterialMasterService: MstCmmMaterialMasterServiceProxy,
    ) 
    {
        super(injector);
    }
    show(rowdata?: CreateOrEditMstCmmMaterialMasterDto): void {
        if (!rowdata) this.rowdata = new CreateOrEditMstCmmMaterialMasterDto();
        else this.rowdata = rowdata;
        this._industrySector
deletionFlag
procurementType
repetManufacturing
doNotCost
valuationCategory
priceDetermination
priceControl
withQtyStructure
materialOrigin
isActive = (this.rowdata.industrySector
deletionFlag
procurementType
repetManufacturing
doNotCost
valuationCategory
priceDetermination
priceControl
withQtyStructure
materialOrigin
isActive == "N")? false: true;
        this.active = true;
        this.modal.show();
    } 
    changeActive(event){
        this._industrySector
deletionFlag
procurementType
repetManufacturing
doNotCost
valuationCategory
priceDetermination
priceControl
withQtyStructure
materialOrigin
isActive = event.target.checked;
    }
    save(): void {
    this.saving = true; 
    this.rowdata.industrySector
deletionFlag
procurementType
repetManufacturing
doNotCost
valuationCategory
priceDetermination
priceControl
withQtyStructure
materialOrigin
isActive = (this._industrySector
deletionFlag
procurementType
repetManufacturing
doNotCost
valuationCategory
priceDetermination
priceControl
withQtyStructure
materialOrigin
isActive == true) ? 'Y' : 'N'
    this._mstwptMaterialMasterService.createOrEdit(this.rowdata)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MaterialMasterRoutingModule } from './materialmaster-routing.module';
import { MaterialMasterComponent } from './materialmaster.component';
import { CreateOrEditMaterialMasterModalComponent } from './create-or-edit-materialmaster-modal.component';
@NgModule({
    declarations: [
       MaterialMasterComponent, 
        CreateOrEditMaterialMasterModalComponent
    ],
    imports: [
        AppSharedModule, MaterialMasterRoutingModule]
})
export class MaterialMasterModule {}</v>
      </c>
      <c r="J76" s="46" t="str">
        <f>B.Frontend!O10</f>
        <v>import {NgModule} from '@angular/core';
import {RouterModule, Routes} from '@angular/router';
import { MaterialMasterComponent } from './materialmaster.component';
const routes: Routes = [{
    path: '',
    component: MaterialMasterComponent,
    pathMatch: 'full'
}];
@NgModule({
    imports: [RouterModule.forChild(routes)],
    exports: [RouterModule],
})
export class MaterialMasterRoutingModule {}</v>
      </c>
      <c r="K76" s="46" t="str">
        <f>B.Frontend!P10</f>
        <v xml:space="preserve"> new AppMenuItem("MaterialMaster", "Pages.Master.Common.MaterialMaster", "flaticon-book",   "/app/main/master/common/materialmaster"),</v>
      </c>
      <c r="L76" s="47" t="str">
        <f>B.Frontend!Q10</f>
        <v>{
    path: 'master/common/materialmaster',
    loadChildren: () =&gt; import('./master/common/materialmaster/materialmaster.module').then(m =&gt; m.MaterialMasterModule),
    data: { permission: 'Pages.Master.Common.MaterialMaster' }
},</v>
      </c>
      <c r="M76" s="45" t="str">
        <f>B.Frontend!R10</f>
        <v>ApiServiceProxies.MstCmmMaterialMasterServiceProxy,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"/>
  <sheetViews>
    <sheetView workbookViewId="0">
      <pane xSplit="1" topLeftCell="B1" activePane="topRight" state="frozen"/>
      <selection pane="topRight" activeCell="C18" sqref="C18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411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412</v>
      </c>
      <c r="C3" s="9" t="s">
        <v>40</v>
      </c>
      <c r="D3" s="9" t="s">
        <v>41</v>
      </c>
      <c r="E3" s="9" t="s">
        <v>36</v>
      </c>
      <c r="F3" s="10" t="str">
        <f>"J"&amp;COUNTA($A:$A)</f>
        <v>J51</v>
      </c>
      <c r="G3" s="4" t="s">
        <v>53</v>
      </c>
      <c r="H3" s="9" t="str">
        <f>"I"&amp;COUNTA($A:$A)</f>
        <v>I51</v>
      </c>
      <c r="I3" s="9" t="str">
        <f>REPT(CHAR(9),2)&amp;"[Required]"&amp;"
"</f>
        <v xml:space="preserve">		[Required]
</v>
      </c>
      <c r="J3" s="10" t="str">
        <f>"L"&amp;COUNTA($A:$A)</f>
        <v>L51</v>
      </c>
      <c r="K3" s="5" t="s">
        <v>52</v>
      </c>
      <c r="L3" s="10" t="str">
        <f>"M"&amp;COUNTA($A:$A)</f>
        <v>M51</v>
      </c>
      <c r="M3" s="10" t="str">
        <f>"N"&amp;COUNTA($A:$A)</f>
        <v>N51</v>
      </c>
      <c r="N3" s="10" t="str">
        <f>"O"&amp;COUNTA($A:$A)</f>
        <v>O51</v>
      </c>
      <c r="O3" s="10" t="str">
        <f>"P"&amp;COUNTA($A:$A)</f>
        <v>P51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MstCmmMaterialMasterExportInput{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T51</v>
      </c>
      <c r="V3" s="10" t="str">
        <f>"V"&amp;COUNTA($A:$A)</f>
        <v>V51</v>
      </c>
      <c r="W3" s="9" t="str">
        <f>"W"&amp;COUNTA($A:$A)</f>
        <v>W51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413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MstCmmMaterialMaster: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MstCmmMaterialMasterConsts	
	{
</v>
      </c>
      <c r="F6" s="10" t="str">
        <f>REPT(CHAR(9),1)&amp;"public class "&amp;B3&amp;"Dto"&amp;K3&amp;REPT(CHAR(9),1)&amp;"
"&amp;REPT(CHAR(9),1)&amp;C3</f>
        <v xml:space="preserve">	public class MstCmmMaterialMasterDto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CreateOrEditMstCmmMaterialMasterDto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GetMstCmmMaterialMasterInput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MstCmmMaterialMaster</v>
      </c>
      <c r="C7" s="10" t="str">
        <f>REPT(CHAR(9),1)&amp;"[Table("""&amp;B7&amp;""")]"&amp;"
"</f>
        <v xml:space="preserve">	[Table("MstCmmMaterialMaster")]
</v>
      </c>
      <c r="D7" s="10"/>
      <c r="E7" s="10"/>
      <c r="F7" s="10"/>
      <c r="G7" s="10"/>
      <c r="H7" s="10"/>
      <c r="I7" s="10"/>
      <c r="J7" t="str">
        <f ca="1">SUBSTITUTE(SUBSTITUTE((B1&amp;C6&amp;C7&amp;K53&amp;D6&amp;I53&amp;E3&amp;J53&amp;""&amp;REPT(CHAR(9),1)&amp;D3&amp;D3),"WorkingPattern",$Q$3),"Master",$B$4)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[Table("MstCmmMaterialMaster")]
	public class MstCmmMaterialMaster: FullAuditedEntity&lt;long&gt;, IEntity&lt;long&gt;	
	{
		public const int MaxMaterialTypeLength = 4;
		public const int MaxMaterialCodeLength = 40;
		public const int MaxIndustrySectorLength = 1;
		public const int MaxDescriptionLength = 40;
		public const int MaxMaterialGroupLength = 9;
		public const int MaxBaseUnitOfMeasureLength = 3;
		public const int MaxDeletionFlagLength = 1;
		public const int MaxPlantLength = 4;
		public const int MaxStorageLocationLength = 4;
		public const int MaxProductionGroupLength = 3;
		public const int MaxProductionPurposeLength = 2;
		public const int MaxProductionTypeLength = 10;
		public const int MaxProfitCenterLength = 10;
		public const int MaxBatchManagementLength = 3;
		public const int MaxReservedStockLength = 2;
		public const int MaxLotCodeLength = 10;
		public const int MaxMrpGroupLength = 4;
		public const int MaxMrpTypeLength = 2;
		public const int MaxProcurementTypeLength = 1;
		public const int MaxSpecialProcurementLength = 2;
		public const int MaxProductionStorageLocationLength = 4;
		public const int MaxRepetManufacturingLength = 1;
		public const int MaxRemProfileLength = 4;
		public const int MaxDoNotCostLength = 1;
		public const int MaxVarianceKeyLength = 25;
		public const int MaxProductionVersionLength = 4;
		public const int MaxSpecialProcurementCtgViewLength = 2;
		public const int MaxValuationCategoryLength = 1;
		public const int MaxValuationTypeLength = 10;
		public const int MaxValuationClassLength = 4;
		public const int MaxPriceDeterminationLength = 1;
		public const int MaxPriceControlLength = 1;
		public const int MaxWithQtyStructureLength = 1;
		public const int MaxMaterialOriginLength = 1;
		public const int MaxOriginGroupLength = 4;
		public const int MaxAuthorizationGroupLength = 4;
		public const int MaxMatSrcLength = 4;
		public const int MaxIsActiveLength = 1;
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[StringLength(MaxDescriptionLength)]
		public virtual string Description { get; set; }
		[StringLength(MaxMaterialGroupLength)]
		public virtual string MaterialGroup { get; set; }
		[StringLength(MaxBaseUnitOfMeasureLength)]
		public virtual string BaseUnitOfMeasure { get; set; }
		[StringLength(MaxDeletionFlagLength)]
		public virtual string DeletionFlag { get; set; }
		[StringLength(MaxPlantLength)]
		public virtual string Plant { get; set; }
		[StringLength(MaxStorageLocationLength)]
		public virtual string StorageLocation { get; set; }
		[StringLength(MaxProductionGroupLength)]
		public virtual string ProductionGroup { get; set; }
		[StringLength(MaxProductionPurposeLength)]
		public virtual string ProductionPurpose { get; set; }
		[StringLength(MaxProductionTypeLength)]
		public virtual string ProductionType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[StringLength(MaxProductionStorageLocationLength)]
		public virtual string ProductionStorageLocation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public virtual decimal? CostingLotSize { get; set; }
		[StringLength(MaxProductionVersionLength)]
		public virtual string ProductionVersion { get; set; }
		[StringLength(MaxSpecialProcurementCtgViewLength)]
		public virtual string SpecialProcurementCtgView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public virtual decimal? StandardPrice { get; set; }
		public virtual decimal?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[StringLength(MaxAuthorizationGroupLength)]
		public virtual string AuthorizationGroup { get; set; }
		[StringLength(MaxMatSrcLength)]
		public virtual string MatSrc { get; set; }
		public virtual DateTime? EffectiveDateFrom { get; set; }
		public virtual DateTime? EffectiveDateTo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DbSet&lt;MstCmmMaterialMaster&gt; MstCmmMaterialMasters { get; set; }</v>
      </c>
      <c r="L7" t="str">
        <f ca="1">SUBSTITUTE(SUBSTITUTE((C6&amp;E6&amp;I53&amp;"
"&amp;REPT(CHAR(9),2)&amp;"// Define Store Name: Format SP_ + &lt;Store Name&gt; = &lt;Store Name&gt;
"&amp;E3&amp;REPT(CHAR(9),1)&amp;D3&amp;D3),"WorkingPattern",$Q$3),"Master",$B$4)</f>
        <v xml:space="preserve">namespace prod.Master.Common
{
	public class MstCmmMaterialMasterConsts	
	{
		public const int MaxMaterialTypeLength = 4;
		public const int MaxMaterialCodeLength = 40;
		public const int MaxIndustrySectorLength = 1;
		public const int MaxDescriptionLength = 40;
		public const int MaxMaterialGroupLength = 9;
		public const int MaxBaseUnitOfMeasureLength = 3;
		public const int MaxDeletionFlagLength = 1;
		public const int MaxPlantLength = 4;
		public const int MaxStorageLocationLength = 4;
		public const int MaxProductionGroupLength = 3;
		public const int MaxProductionPurposeLength = 2;
		public const int MaxProductionTypeLength = 10;
		public const int MaxProfitCenterLength = 10;
		public const int MaxBatchManagementLength = 3;
		public const int MaxReservedStockLength = 2;
		public const int MaxLotCodeLength = 10;
		public const int MaxMrpGroupLength = 4;
		public const int MaxMrpTypeLength = 2;
		public const int MaxProcurementTypeLength = 1;
		public const int MaxSpecialProcurementLength = 2;
		public const int MaxProductionStorageLocationLength = 4;
		public const int MaxRepetManufacturingLength = 1;
		public const int MaxRemProfileLength = 4;
		public const int MaxDoNotCostLength = 1;
		public const int MaxVarianceKeyLength = 25;
		public const int MaxProductionVersionLength = 4;
		public const int MaxSpecialProcurementCtgViewLength = 2;
		public const int MaxValuationCategoryLength = 1;
		public const int MaxValuationTypeLength = 10;
		public const int MaxValuationClassLength = 4;
		public const int MaxPriceDeterminationLength = 1;
		public const int MaxPriceControlLength = 1;
		public const int MaxWithQtyStructureLength = 1;
		public const int MaxMaterialOriginLength = 1;
		public const int MaxOriginGroupLength = 4;
		public const int MaxAuthorizationGroupLength = 4;
		public const int MaxMatSrcLength = 4;
		public const int MaxIsActiveLength = 1;
		// Define Store Name: Format SP_ + &lt;Store Name&gt; = &lt;Store Name&gt;
	}
}
</v>
      </c>
      <c r="M7" t="str">
        <f ca="1">SUBSTITUTE(SUBSTITUTE((C1&amp;"namespace "&amp;B6&amp;".Dto"&amp;E3&amp;C3&amp;F6&amp;M53&amp;E3&amp;REPT(CHAR(9),1)&amp;D3&amp;G6&amp;N53&amp;REPT(CHAR(9),1)&amp;D3&amp;H6&amp;O53&amp;"
"&amp;REPT(CHAR(9),1)&amp;D3&amp;D3),"WorkingPattern",$Q$3),"Master",$B$4)</f>
        <v xml:space="preserve">using Abp.Application.Services.Dto;
using System;
using System.ComponentModel.DataAnnotations;
namespace prod.Master.Common.Dto
{
	public class MstCmmMaterialMasterDto : EntityDto&lt;long?&gt;	
	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decimal? CostingLotSize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decimal? StandardPrice { get; set; }
		public virtual decimal? MovingPrice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DateTime? EffectiveDateFrom { get; set; }
		public virtual DateTime? EffectiveDateTo { get; set; }
		public virtual string IsActive { get; set; }
	}
	public class CreateOrEditMstCmmMaterialMasterDto : EntityDto&lt;long?&gt;	
	{
		[StringLength(MstCmmMaterialMasterConsts.MaxMaterialTypeLength)]
		public virtual string MaterialType { get; set; }
		[StringLength(MstCmmMaterialMasterConsts.MaxMaterialCodeLength)]
		public virtual string MaterialCode { get; set; }
		[StringLength(MstCmmMaterialMasterConsts.MaxIndustrySectorLength)]
		public virtual string IndustrySector { get; set; }
		[StringLength(MstCmmMaterialMasterConsts.MaxDescriptionLength)]
		public virtual string Description { get; set; }
		[StringLength(MstCmmMaterialMasterConsts.MaxMaterialGroupLength)]
		public virtual string MaterialGroup { get; set; }
		[StringLength(MstCmmMaterialMasterConsts.MaxBaseUnitOfMeasureLength)]
		public virtual string BaseUnitOfMeasure { get; set; }
		[StringLength(MstCmmMaterialMasterConsts.MaxDeletionFlagLength)]
		public virtual string DeletionFlag { get; set; }
		[StringLength(MstCmmMaterialMasterConsts.MaxPlantLength)]
		public virtual string Plant { get; set; }
		[StringLength(MstCmmMaterialMasterConsts.MaxStorageLocationLength)]
		public virtual string StorageLocation { get; set; }
		[StringLength(MstCmmMaterialMasterConsts.MaxProductionGroupLength)]
		public virtual string ProductionGroup { get; set; }
		[StringLength(MstCmmMaterialMasterConsts.MaxProductionPurposeLength)]
		public virtual string ProductionPurpose { get; set; }
		[StringLength(MstCmmMaterialMasterConsts.MaxProductionTypeLength)]
		public virtual string ProductionType { get; set; }
		[StringLength(MstCmmMaterialMasterConsts.MaxProfitCenterLength)]
		public virtual string ProfitCenter { get; set; }
		[StringLength(MstCmmMaterialMasterConsts.MaxBatchManagementLength)]
		public virtual string BatchManagement { get; set; }
		[StringLength(MstCmmMaterialMasterConsts.MaxReservedStockLength)]
		public virtual string ReservedStock { get; set; }
		[StringLength(MstCmmMaterialMasterConsts.MaxLotCodeLength)]
		public virtual string LotCode { get; set; }
		[StringLength(MstCmmMaterialMasterConsts.MaxMrpGroupLength)]
		public virtual string MrpGroup { get; set; }
		[StringLength(MstCmmMaterialMasterConsts.MaxMrpTypeLength)]
		public virtual string MrpType { get; set; }
		[StringLength(MstCmmMaterialMasterConsts.MaxProcurementTypeLength)]
		public virtual string ProcurementType { get; set; }
		[StringLength(MstCmmMaterialMasterConsts.MaxSpecialProcurementLength)]
		public virtual string SpecialProcurement { get; set; }
		[StringLength(MstCmmMaterialMasterConsts.MaxProductionStorageLocationLength)]
		public virtual string ProductionStorageLocation { get; set; }
		[StringLength(MstCmmMaterialMasterConsts.MaxRepetManufacturingLength)]
		public virtual string RepetManufacturing { get; set; }
		[StringLength(MstCmmMaterialMasterConsts.MaxRemProfileLength)]
		public virtual string RemProfile { get; set; }
		[StringLength(MstCmmMaterialMasterConsts.MaxDoNotCostLength)]
		public virtual string DoNotCost { get; set; }
		[StringLength(MstCmmMaterialMasterConsts.MaxVarianceKeyLength)]
		public virtual string VarianceKey { get; set; }
		public virtual decimal? CostingLotSize { get; set; }
		[StringLength(MstCmmMaterialMasterConsts.MaxProductionVersionLength)]
		public virtual string ProductionVersion { get; set; }
		[StringLength(MstCmmMaterialMasterConsts.MaxSpecialProcurementCtgViewLength)]
		public virtual string SpecialProcurementCtgView { get; set; }
		[StringLength(MstCmmMaterialMasterConsts.MaxValuationCategoryLength)]
		public virtual string ValuationCategory { get; set; }
		[StringLength(MstCmmMaterialMasterConsts.MaxValuationTypeLength)]
		public virtual string ValuationType { get; set; }
		[StringLength(MstCmmMaterialMasterConsts.MaxValuationClassLength)]
		public virtual string ValuationClass { get; set; }
		[StringLength(MstCmmMaterialMasterConsts.MaxPriceDeterminationLength)]
		public virtual string PriceDetermination { get; set; }
		[StringLength(MstCmmMaterialMasterConsts.MaxPriceControlLength)]
		public virtual string PriceControl { get; set; }
		public virtual decimal? StandardPrice { get; set; }
		public virtual decimal? MovingPrice { get; set; }
		[StringLength(MstCmmMaterialMasterConsts.MaxWithQtyStructureLength)]
		public virtual string WithQtyStructure { get; set; }
		[StringLength(MstCmmMaterialMasterConsts.MaxMaterialOriginLength)]
		public virtual string MaterialOrigin { get; set; }
		[StringLength(MstCmmMaterialMasterConsts.MaxOriginGroupLength)]
		public virtual string OriginGroup { get; set; }
		[StringLength(MstCmmMaterialMasterConsts.MaxAuthorizationGroupLength)]
		public virtual string AuthorizationGroup { get; set; }
		[StringLength(MstCmmMaterialMasterConsts.MaxMatSrcLength)]
		public virtual string MatSrc { get; set; }
		public virtual DateTime? EffectiveDateFrom { get; set; }
		public virtual DateTime? EffectiveDateTo { get; set; }
		[StringLength(MstCmmMaterialMasterConsts.MaxIsActiveLength)]
		public virtual string IsActive { get; set; }
	}
	public class GetMstCmmMaterialMasterInput : PagedAndSortedResultRequestDto	
	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perMstCmmMaterialMaster = PARENTS.CreateChildPermission(AppPermissions.Pages_Master_Common_MaterialMaster, L( "MasterCommonMaterialMaster"), multiTenancySides: MultiTenancySides.Tenant);
		perMstCmmMaterialMaster.CreateChildPermission(AppPermissions.Pages_Master_Common_MaterialMaster_CreateEdit, L( "MasterCommonMaterialMasterCreateEdit"), multiTenancySides: MultiTenancySides.Tenant);
		perMstCmmMaterialMaster.CreateChildPermission(AppPermissions.Pages_Master_Common_MaterialMaster_Delete, L( "MasterCommonMaterialMasterDelete"),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Pages_Master_Common_MaterialMaster = "Pages.Master.Common.MaterialMaster";
		public const string Pages_Master_Common_MaterialMaster_CreateEdit = "Pages.Master.Common.MaterialMaster.CreateEdit";
		public const string Pages_Master_Common_MaterialMaster_Delete = "Pages.Master.Common.MaterialMaster.Delete";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IMstCmmMaterialMasterAppService : IApplicationService
	{
		Task&lt;PagedResultDto&lt;MstCmmMaterialMasterDto&gt;&gt; GetAll(GetMstCmmMaterialMasterInput input);
		Task CreateOrEdit(CreateOrEditMstCmmMaterialMasterDto input);
		Task Delete(EntityDto input);
	}
}
</v>
      </c>
      <c r="Q7" t="str">
        <f ca="1">SUBSTITUTE(SUBSTITUTE(SUBSTITUTE(SUBSTITUTE(SUBSTITUTE(SUBSTITUTE(E1,"MstWptCalendar",$B$3),"&lt;PROPERTIES&gt;",P53),"Calendar",$B$5),"WorkingPattern",$Q$3),"Master",$B$4),"&lt;PARAMS_SEARCH&gt;",$W$53)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[AbpAuthorize(AppPermissions.Pages_Master_Common_MaterialMaster)]
    public class MstCmmMaterialMasterAppService : vovinaAppServiceBase, IMstCmmMaterialMasterAppService
    {
        private readonly IDapperRepository&lt;MstCmmMaterialMaster, long&gt; _dapperRepo;
        private readonly IRepository&lt;MstCmmMaterialMaster, long&gt; _repo;
        private readonly IMstCmmMaterialMasterExcelExporter _calendarListExcelExporter;
        public MstCmmMaterialMasterAppService(IRepository&lt;MstCmmMaterialMaster,long&gt; repo, 
                                         IDapperRepository&lt;MstCmmMaterialMaster,long&gt; dapperRepo,
                                        IMstCmmMaterialMasterExcelExporter calendarListExcelExporter
            )
        {
            _repo = repo;
            _dapperRepo = dapperRepo;
            _calendarListExcelExporter = calendarListExcelExporter;
        }
        [AbpAuthorize(AppPermissions.Pages_Master_Common_MaterialMaster_CreateEdit)]
        public async Task CreateOrEdit(CreateOrEditMstCmmMaterialMasterDto input)
        {
            if (input.Id == null) await Create(input);
            else await Update(input);
        }
        //CREATE
        private async Task Create(CreateOrEditMstCmmMaterialMasterDto input)
        {          
            var mainObj = ObjectMapper.Map&lt;MstCmmMaterialMaster&gt;(input);
            await CurrentUnitOfWork.GetDbContext&lt;vovinaDbContext&gt;().AddAsync(mainObj);
        }
        // EDIT
        private async Task Update(CreateOrEditMstCmmMaterialMasterDto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[AbpAuthorize(AppPermissions.Pages_Master_Common_MaterialMaster_Delete)]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Task&lt;PagedResultDto&lt;MstCmmMaterialMasterDto&gt;&gt; GetAll(GetMstCmmMaterialMasterInput input)
        {
            var filtered = _repo.GetAll()
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.WhereIf(!string.IsNullOrWhiteSpace(input.Description), e =&gt; e.Description.Contains(input.Description))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.WhereIf(!string.IsNullOrWhiteSpace(input.DeletionFlag), e =&gt; e.DeletionFlag.Contains(input.DeletionFlag))
				.WhereIf(!string.IsNullOrWhiteSpace(input.Plant), e =&gt; e.Plant.Contains(input.Plant))
				.WhereIf(!string.IsNullOrWhiteSpace(input.StorageLocation), e =&gt; e.StorageLocation.Contains(input.StorageLocation))
				.WhereIf(!string.IsNullOrWhiteSpace(input.ProductionGroup), e =&gt; e.ProductionGroup.Contains(input.ProductionGroup))
				.WhereIf(!string.IsNullOrWhiteSpace(input.ProductionPurpose), e =&gt; e.ProductionPurpose.Contains(input.ProductionPurpose))
				.WhereIf(!string.IsNullOrWhiteSpace(input.ProductionType), e =&gt; e.ProductionType.Contains(input.ProductionType))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.WhereIf(!string.IsNullOrWhiteSpace(input.ProductionStorageLocation), e =&gt; e.ProductionStorageLocation.Contains(input.ProductionStorageLocation))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.WhereIf(!string.IsNullOrWhiteSpace(input.ProductionVersion), e =&gt; e.ProductionVersion.Contains(input.ProductionVersion))
				.WhereIf(!string.IsNullOrWhiteSpace(input.SpecialProcurementCtgView), e =&gt; e.SpecialProcurementCtgView.Contains(input.SpecialProcurementCtgView))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.WhereIf(!string.IsNullOrWhiteSpace(input.AuthorizationGroup), e =&gt; e.AuthorizationGroup.Contains(input.AuthorizationGroup))
				.WhereIf(!string.IsNullOrWhiteSpace(input.MatSrc), e =&gt; e.MatSrc.Contains(input.MatSrc))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MstCmmMaterialMasterDto
                        {
							Id = o.Id,
							MaterialType = o.MaterialType,
							MaterialCode = o.MaterialCode,
							IndustrySector = o.IndustrySector,
							Description = o.Description,
							MaterialGroup = o.MaterialGroup,
							BaseUnitOfMeasure = o.BaseUnitOfMeasure,
							DeletionFlag = o.DeletionFlag,
							Plant = o.Plant,
							StorageLocation = o.StorageLocation,
							ProductionGroup = o.ProductionGroup,
							ProductionPurpose = o.ProductionPurpose,
							ProductionType = o.ProductionType,
							ProfitCenter = o.ProfitCenter,
							BatchManagement = o.BatchManagement,
							ReservedStock = o.ReservedStock,
							LotCode = o.LotCode,
							MrpGroup = o.MrpGroup,
							MrpType = o.MrpType,
							ProcurementType = o.ProcurementType,
							SpecialProcurement = o.SpecialProcurement,
							ProductionStorageLocation = o.ProductionStorageLocation,
							RepetManufacturing = o.RepetManufacturing,
							RemProfile = o.RemProfile,
							DoNotCost = o.DoNotCost,
							VarianceKey = o.VarianceKey,
							CostingLotSize = o.CostingLotSize,
							ProductionVersion = o.ProductionVersion,
							SpecialProcurementCtgView = o.SpecialProcurementCtgView,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AuthorizationGroup = o.AuthorizationGroup,
							MatSrc = o.MatSrc,
							EffectiveDateFrom = o.EffectiveDateFrom,
							EffectiveDateTo = o.EffectiveDateTo,
							IsActive = o.IsActive,
                        };
            var totalCount = await filtered.CountAsync();
			var paged = system.PageBy(input);
            return new PagedResultDto&lt;MstCmmMaterialMasterDto&gt;(
                totalCount,
                 await paged.ToListAsync()
            );
        }
        public async Task&lt;FileDto&gt; GetMaterialMasterToExcel(MstCmmMaterialMasterExportInput input)
        {
            var query = from o in _repo.GetAll()
                        select new MstCmmMaterialMasterDto
                        {
							Id = o.Id,
							MaterialType = o.MaterialType,
							MaterialCode = o.MaterialCode,
							IndustrySector = o.IndustrySector,
							Description = o.Description,
							MaterialGroup = o.MaterialGroup,
							BaseUnitOfMeasure = o.BaseUnitOfMeasure,
							DeletionFlag = o.DeletionFlag,
							Plant = o.Plant,
							StorageLocation = o.StorageLocation,
							ProductionGroup = o.ProductionGroup,
							ProductionPurpose = o.ProductionPurpose,
							ProductionType = o.ProductionType,
							ProfitCenter = o.ProfitCenter,
							BatchManagement = o.BatchManagement,
							ReservedStock = o.ReservedStock,
							LotCode = o.LotCode,
							MrpGroup = o.MrpGroup,
							MrpType = o.MrpType,
							ProcurementType = o.ProcurementType,
							SpecialProcurement = o.SpecialProcurement,
							ProductionStorageLocation = o.ProductionStorageLocation,
							RepetManufacturing = o.RepetManufacturing,
							RemProfile = o.RemProfile,
							DoNotCost = o.DoNotCost,
							VarianceKey = o.VarianceKey,
							CostingLotSize = o.CostingLotSize,
							ProductionVersion = o.ProductionVersion,
							SpecialProcurementCtgView = o.SpecialProcurementCtgView,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AuthorizationGroup = o.AuthorizationGroup,
							MatSrc = o.MatSrc,
							EffectiveDateFrom = o.EffectiveDateFrom,
							EffectiveDateTo = o.EffectiveDateTo,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_dapperRepo.ExecuteAsync(MstCmmMaterialMasterConsts.SP_MST_WPT_CALENDAR_GENERATE);
       // }
    }
}</v>
      </c>
      <c r="R7" t="str">
        <f ca="1">SUBSTITUTE(SUBSTITUTE((C1&amp;"namespace "&amp;B6&amp;".Dto"&amp;E3&amp;C3&amp;R3&amp;M53&amp;E3&amp;REPT(CHAR(9),1)&amp;D3&amp;D3),"WorkingPattern",$Q$3),"Master",$B$4)</f>
        <v xml:space="preserve">using Abp.Application.Services.Dto;
using System;
using System.ComponentModel.DataAnnotations;
namespace prod.Master.Common.Dto
{
	public class MstCmmMaterialMasterExportInput{
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decimal? CostingLotSize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decimal? StandardPrice { get; set; }
		public virtual decimal? MovingPrice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DateTime? EffectiveDateFrom { get; set; }
		public virtual DateTime? EffectiveDateTo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IMstCmmMaterialMasterExcelExporter : IApplicationService
	{
		FileDto ExportToFile(List&lt;MstCmmMaterialMasterDto&gt; mstcmmmaterialmaster);
	}
}
</v>
      </c>
      <c r="T7" s="26" t="str">
        <f ca="1">SUBSTITUTE(SUBSTITUTE(SUBSTITUTE(SUBSTITUTE(SUBSTITUTE(SUBSTITUTE(SUBSTITUTE(T1,"MstWptCalendar",$B$3),"&lt;PROPERTIES1&gt;",V53),"&lt;PROPERTIES&gt;",T53),"Calendar",$B$5),"calendar",LOWER(B5)),"WorkingPattern",$Q$3),"Master",$B$4)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MstCmmMaterialMasterExcelExporter : NpoiExcelExporterBase, IMstCmmMaterialMasterExcelExporter
    {
        public MstCmmMaterialMasterExcelExporter(ITempFileCacheManager tempFileCacheManager) : base(tempFileCacheManager) { }
        public FileDto ExportToFile(List&lt;MstCmmMaterialMasterDto&gt; materialmaster)
        {
            return CreateExcelPackage(
				"MasterCommonMaterialMaster.xlsx",
				excelPackage =&gt;
				 {
					var sheet = excelPackage.CreateSheet("MaterialMaster");
					AddHeader(
								sheet,
								("MaterialType"),
								("MaterialCode"),
								("IndustrySector"),
								("Description"),
								("MaterialGroup"),
								("BaseUnitOfMeasure"),
								("DeletionFlag"),
								("Plant"),
								("StorageLocation"),
								("ProductionGroup"),
								("ProductionPurpose"),
								("ProductionType"),
								("ProfitCenter"),
								("BatchManagement"),
								("ReservedStock"),
								("LotCode"),
								("MrpGroup"),
								("MrpType"),
								("ProcurementType"),
								("SpecialProcurement"),
								("ProductionStorageLocation"),
								("RepetManufacturing"),
								("RemProfile"),
								("DoNotCost"),
								("VarianceKey"),
								("CostingLotSize"),
								("ProductionVersion"),
								("SpecialProcurementCtgView"),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("AuthorizationGroup"),
								("MatSrc"),
								("EffectiveDateFrom"),
								("EffectiveDateTo"),
								("IsActive"),
							   );
					AddObjects(
						 sheet, 1, materialmaster,                                       
								_ =&gt; _.MaterialType,
								_ =&gt; _.MaterialCode,
								_ =&gt; _.IndustrySector,
								_ =&gt; _.Description,
								_ =&gt; _.MaterialGroup,
								_ =&gt; _.BaseUnitOfMeasure,
								_ =&gt; _.DeletionFlag,
								_ =&gt; _.Plant,
								_ =&gt; _.StorageLocation,
								_ =&gt; _.ProductionGroup,
								_ =&gt; _.ProductionPurpose,
								_ =&gt; _.ProductionType,
								_ =&gt; _.ProfitCenter,
								_ =&gt; _.BatchManagement,
								_ =&gt; _.ReservedStock,
								_ =&gt; _.LotCode,
								_ =&gt; _.MrpGroup,
								_ =&gt; _.MrpType,
								_ =&gt; _.ProcurementType,
								_ =&gt; _.SpecialProcurement,
								_ =&gt; _.ProductionStorageLocation,
								_ =&gt; _.RepetManufacturing,
								_ =&gt; _.RemProfile,
								_ =&gt; _.DoNotCost,
								_ =&gt; _.VarianceKey,
								_ =&gt; _.CostingLotSize,
								_ =&gt; _.ProductionVersion,
								_ =&gt; _.SpecialProcurementCtgView,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_.AuthorizationGroup,
								_ =&gt; _.MatSrc,
								_ =&gt; _.EffectiveDateFrom,
								_ =&gt; _.EffectiveDateTo,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configuration.CreateMap&lt;MstCmmMaterialMasterDto, MstCmmMaterialMaster&gt;();
  configuration.CreateMap&lt;MstCmmMaterialMaster, MstCmmMaterialMasterDto&gt;();
  configuration.CreateMap&lt;CreateOrEditMstCmmMaterialMasterDto, MstCmmMaterialMaster&gt;();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7.25" customHeight="1" x14ac:dyDescent="0.25">
      <c r="A9" s="28" t="s">
        <v>360</v>
      </c>
      <c r="B9" s="28" t="s">
        <v>361</v>
      </c>
      <c r="C9" t="s">
        <v>1</v>
      </c>
      <c r="D9" t="str">
        <f t="shared" ref="D9" si="0">SUBSTITUTE(PROPER(A9),"_","")</f>
        <v>MaterialType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MaxMaterialTypeLength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[StringLength(MaxMaterialTypeLength)]
		public virtual string MaterialType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MaterialType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[StringLength(MstCmmMaterialMasterConsts.MaxMaterialTypeLength)]
		public virtual string MaterialType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MaterialType { get; set; }
</v>
      </c>
      <c r="P9" t="str">
        <f t="shared" ref="P9" si="9">REPT(CHAR(9),7)&amp;D9&amp;" = o." &amp;D9 &amp;","</f>
        <v xml:space="preserve">							MaterialType = o.MaterialType,</v>
      </c>
      <c r="T9" s="63" t="str">
        <f t="shared" ref="T9" si="10">REPT(CHAR(9),8)&amp;"("""&amp;D9&amp;"""),"</f>
        <v xml:space="preserve">								("MaterialType"),</v>
      </c>
      <c r="V9" s="64" t="str">
        <f t="shared" ref="V9" si="11">REPT(CHAR(9),8)&amp;"_ =&gt; _."&amp;D9&amp;","</f>
        <v xml:space="preserve">								_ =&gt; _.MaterialType,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.WhereIf(!string.IsNullOrWhiteSpace(input.MaterialType), e =&gt; e.MaterialType.Contains(input.MaterialType))</v>
      </c>
    </row>
    <row r="10" spans="1:23" customFormat="1" ht="18.75" customHeight="1" x14ac:dyDescent="0.25">
      <c r="A10" s="28" t="s">
        <v>362</v>
      </c>
      <c r="B10" s="28" t="s">
        <v>352</v>
      </c>
      <c r="C10" t="s">
        <v>1</v>
      </c>
      <c r="D10" t="str">
        <f t="shared" ref="D10:D51" si="13">SUBSTITUTE(PROPER(A10),"_","")</f>
        <v>MaterialCode</v>
      </c>
      <c r="E10" t="str">
        <f t="shared" ref="E10:E51" si="14">IFERROR(LEFT(B10, FIND("(",B10)-1),B10)</f>
        <v>nvarchar</v>
      </c>
      <c r="F10" s="6"/>
      <c r="G10" t="str">
        <f t="shared" ref="G10:G51" si="15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MaxMaterialCodeLength = 40;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[StringLength(MaxMaterialCodeLength)]
		public virtual string MaterialCode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[StringLength(MstCmmMaterialMasterConsts.MaxMaterialCodeLength)]
		public virtual string MaterialCode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MaterialCode { get; set; }
</v>
      </c>
      <c r="P10" t="str">
        <f t="shared" ref="P10:P11" si="22">REPT(CHAR(9),7)&amp;D10&amp;" = o." &amp;D10 &amp;","</f>
        <v xml:space="preserve">							MaterialCode = o.MaterialCode,</v>
      </c>
      <c r="T10" s="63" t="str">
        <f t="shared" ref="T10:T11" si="23">REPT(CHAR(9),8)&amp;"("""&amp;D10&amp;"""),"</f>
        <v xml:space="preserve">								("MaterialCode"),</v>
      </c>
      <c r="V10" s="64" t="str">
        <f t="shared" ref="V10:V11" si="24">REPT(CHAR(9),8)&amp;"_ =&gt; _."&amp;D10&amp;","</f>
        <v xml:space="preserve">								_ =&gt; _.MaterialCode,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.WhereIf(!string.IsNullOrWhiteSpace(input.MaterialCode), e =&gt; e.MaterialCode.Contains(input.MaterialCode))</v>
      </c>
    </row>
    <row r="11" spans="1:23" customFormat="1" ht="18.75" customHeight="1" x14ac:dyDescent="0.25">
      <c r="A11" s="28" t="s">
        <v>363</v>
      </c>
      <c r="B11" s="28" t="s">
        <v>364</v>
      </c>
      <c r="C11" t="s">
        <v>1</v>
      </c>
      <c r="D11" t="str">
        <f t="shared" si="13"/>
        <v>IndustrySector</v>
      </c>
      <c r="E11" t="str">
        <f t="shared" si="14"/>
        <v>nvarchar</v>
      </c>
      <c r="F11" s="6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MaxIndustrySectorLength = 1;
</v>
      </c>
      <c r="J11" t="str">
        <f t="shared" si="17"/>
        <v xml:space="preserve">		[StringLength(MaxIndustrySectorLength)]
		public virtual string IndustrySector { get; set; }
</v>
      </c>
      <c r="K11" s="6"/>
      <c r="L11" t="str">
        <f t="shared" si="18"/>
        <v/>
      </c>
      <c r="M11" t="str">
        <f t="shared" si="19"/>
        <v xml:space="preserve">		public virtual string IndustrySector { get; set; }
</v>
      </c>
      <c r="N11" t="str">
        <f t="shared" si="20"/>
        <v xml:space="preserve">		[StringLength(MstCmmMaterialMasterConsts.MaxIndustrySectorLength)]
		public virtual string IndustrySector { get; set; }
</v>
      </c>
      <c r="O11" t="str">
        <f t="shared" si="21"/>
        <v xml:space="preserve">		public virtual string IndustrySector { get; set; }
</v>
      </c>
      <c r="P11" t="str">
        <f t="shared" si="22"/>
        <v xml:space="preserve">							IndustrySector = o.IndustrySector,</v>
      </c>
      <c r="T11" s="63" t="str">
        <f t="shared" si="23"/>
        <v xml:space="preserve">								("IndustrySector"),</v>
      </c>
      <c r="V11" s="64" t="str">
        <f t="shared" si="24"/>
        <v xml:space="preserve">								_ =&gt; _.IndustrySector,</v>
      </c>
      <c r="W11" s="63" t="str">
        <f t="shared" si="25"/>
        <v xml:space="preserve">				.WhereIf(!string.IsNullOrWhiteSpace(input.IndustrySector), e =&gt; e.IndustrySector.Contains(input.IndustrySector))</v>
      </c>
    </row>
    <row r="12" spans="1:23" customFormat="1" ht="18.75" customHeight="1" x14ac:dyDescent="0.25">
      <c r="A12" s="28" t="s">
        <v>365</v>
      </c>
      <c r="B12" s="28" t="s">
        <v>352</v>
      </c>
      <c r="C12" t="s">
        <v>1</v>
      </c>
      <c r="D12" t="str">
        <f t="shared" si="13"/>
        <v>Description</v>
      </c>
      <c r="E12" t="str">
        <f t="shared" si="14"/>
        <v>nvarchar</v>
      </c>
      <c r="F12" s="6"/>
      <c r="G12" t="str">
        <f t="shared" si="15"/>
        <v>40</v>
      </c>
      <c r="H12" t="str">
        <f>+VLOOKUP(E12,'Data Type Mapping'!A:B,2,)</f>
        <v>string</v>
      </c>
      <c r="I12" t="str">
        <f t="shared" ref="I12:I13" si="26">IF(H12="string",REPT(CHAR(9),2)&amp;"public const int Max"&amp;D12&amp;"Length = "&amp;G12&amp;";"&amp;$E$3,"" )</f>
        <v xml:space="preserve">		public const int MaxDescriptionLength = 40;
</v>
      </c>
      <c r="J12" t="str">
        <f t="shared" ref="J12:J13" si="2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[StringLength(MaxDescriptionLength)]
		public virtual string Description { get; set; }
</v>
      </c>
      <c r="K12" s="6"/>
      <c r="L12" t="str">
        <f t="shared" ref="L12:L13" si="28">IF(K12="","",REPT(CHAR(9),1)&amp;"[Index(nameof("&amp;IF(D12="","",""&amp;D12)&amp;")"&amp;", Name="&amp;"""IX_"&amp;$B$7&amp;"_"&amp;D12&amp;""")]")</f>
        <v/>
      </c>
      <c r="M12" t="str">
        <f t="shared" ref="M12:M13" si="29">REPT(CHAR(9),2)&amp;"public virtual "&amp;IF(OR(H12="DateTime",H12="TimeSpan"),H12&amp;"?",H12)&amp;IF(C12="?","? "," ")&amp;D12&amp;" { get; set; }" &amp; "
"</f>
        <v xml:space="preserve">		public virtual string Description { get; set; }
</v>
      </c>
      <c r="N12" t="str">
        <f t="shared" ref="N12:N13" si="3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[StringLength(MstCmmMaterialMasterConsts.MaxDescriptionLength)]
		public virtual string Description { get; set; }
</v>
      </c>
      <c r="O12" t="str">
        <f t="shared" ref="O12:O13" si="31">IF(OR(H12="string",H12="DateTime",H12="int"),REPT(CHAR(9),2)&amp;"public virtual "&amp;IF(OR(H12="DateTime",H12="TimeSpan"),H12&amp;"?",H12)&amp;IF(C12="?","? "," ")&amp;D12&amp;" { get; set; }"&amp;$E$3,"")</f>
        <v xml:space="preserve">		public virtual string Description { get; set; }
</v>
      </c>
      <c r="P12" t="str">
        <f t="shared" ref="P12:P13" si="32">REPT(CHAR(9),7)&amp;D12&amp;" = o." &amp;D12 &amp;","</f>
        <v xml:space="preserve">							Description = o.Description,</v>
      </c>
      <c r="T12" s="63" t="str">
        <f t="shared" ref="T12:T13" si="33">REPT(CHAR(9),8)&amp;"("""&amp;D12&amp;"""),"</f>
        <v xml:space="preserve">								("Description"),</v>
      </c>
      <c r="V12" s="64" t="str">
        <f t="shared" ref="V12:V13" si="34">REPT(CHAR(9),8)&amp;"_ =&gt; _."&amp;D12&amp;","</f>
        <v xml:space="preserve">								_ =&gt; _.Description,</v>
      </c>
      <c r="W12" s="63" t="str">
        <f t="shared" ref="W12:W13" si="3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.WhereIf(!string.IsNullOrWhiteSpace(input.Description), e =&gt; e.Description.Contains(input.Description))</v>
      </c>
    </row>
    <row r="13" spans="1:23" customFormat="1" ht="18.75" customHeight="1" x14ac:dyDescent="0.25">
      <c r="A13" s="28" t="s">
        <v>366</v>
      </c>
      <c r="B13" s="28" t="s">
        <v>367</v>
      </c>
      <c r="C13" t="s">
        <v>1</v>
      </c>
      <c r="D13" t="str">
        <f t="shared" si="13"/>
        <v>MaterialGroup</v>
      </c>
      <c r="E13" t="str">
        <f t="shared" si="14"/>
        <v>nvarchar</v>
      </c>
      <c r="F13" s="6"/>
      <c r="G13" t="str">
        <f t="shared" si="15"/>
        <v>9</v>
      </c>
      <c r="H13" t="str">
        <f>+VLOOKUP(E13,'Data Type Mapping'!A:B,2,)</f>
        <v>string</v>
      </c>
      <c r="I13" t="str">
        <f t="shared" si="26"/>
        <v xml:space="preserve">		public const int MaxMaterialGroupLength = 9;
</v>
      </c>
      <c r="J13" t="str">
        <f t="shared" si="27"/>
        <v xml:space="preserve">		[StringLength(MaxMaterialGroupLength)]
		public virtual string MaterialGroup { get; set; }
</v>
      </c>
      <c r="K13" s="6"/>
      <c r="L13" t="str">
        <f t="shared" si="28"/>
        <v/>
      </c>
      <c r="M13" t="str">
        <f t="shared" si="29"/>
        <v xml:space="preserve">		public virtual string MaterialGroup { get; set; }
</v>
      </c>
      <c r="N13" t="str">
        <f t="shared" si="30"/>
        <v xml:space="preserve">		[StringLength(MstCmmMaterialMasterConsts.MaxMaterialGroupLength)]
		public virtual string MaterialGroup { get; set; }
</v>
      </c>
      <c r="O13" t="str">
        <f t="shared" si="31"/>
        <v xml:space="preserve">		public virtual string MaterialGroup { get; set; }
</v>
      </c>
      <c r="P13" t="str">
        <f t="shared" si="32"/>
        <v xml:space="preserve">							MaterialGroup = o.MaterialGroup,</v>
      </c>
      <c r="T13" s="63" t="str">
        <f t="shared" si="33"/>
        <v xml:space="preserve">								("MaterialGroup"),</v>
      </c>
      <c r="V13" s="64" t="str">
        <f t="shared" si="34"/>
        <v xml:space="preserve">								_ =&gt; _.MaterialGroup,</v>
      </c>
      <c r="W13" s="63" t="str">
        <f t="shared" si="35"/>
        <v xml:space="preserve">				.WhereIf(!string.IsNullOrWhiteSpace(input.MaterialGroup), e =&gt; e.MaterialGroup.Contains(input.MaterialGroup))</v>
      </c>
    </row>
    <row r="14" spans="1:23" customFormat="1" ht="18.75" customHeight="1" x14ac:dyDescent="0.25">
      <c r="A14" s="28" t="s">
        <v>368</v>
      </c>
      <c r="B14" s="28" t="s">
        <v>369</v>
      </c>
      <c r="C14" t="s">
        <v>1</v>
      </c>
      <c r="D14" t="str">
        <f t="shared" si="13"/>
        <v>BaseUnitOfMeasure</v>
      </c>
      <c r="E14" t="str">
        <f t="shared" si="14"/>
        <v>nvarchar</v>
      </c>
      <c r="F14" s="6"/>
      <c r="G14" t="str">
        <f t="shared" si="15"/>
        <v>3</v>
      </c>
      <c r="H14" t="str">
        <f>+VLOOKUP(E14,'Data Type Mapping'!A:B,2,)</f>
        <v>string</v>
      </c>
      <c r="I14" t="str">
        <f t="shared" ref="I14:I19" si="36">IF(H14="string",REPT(CHAR(9),2)&amp;"public const int Max"&amp;D14&amp;"Length = "&amp;G14&amp;";"&amp;$E$3,"" )</f>
        <v xml:space="preserve">		public const int MaxBaseUnitOfMeasureLength = 3;
</v>
      </c>
      <c r="J14" t="str">
        <f t="shared" ref="J14:J19" si="37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[StringLength(MaxBaseUnitOfMeasureLength)]
		public virtual string BaseUnitOfMeasure { get; set; }
</v>
      </c>
      <c r="K14" s="6"/>
      <c r="L14" t="str">
        <f t="shared" ref="L14:L19" si="38">IF(K14="","",REPT(CHAR(9),1)&amp;"[Index(nameof("&amp;IF(D14="","",""&amp;D14)&amp;")"&amp;", Name="&amp;"""IX_"&amp;$B$7&amp;"_"&amp;D14&amp;""")]")</f>
        <v/>
      </c>
      <c r="M14" t="str">
        <f t="shared" ref="M14:M19" si="39">REPT(CHAR(9),2)&amp;"public virtual "&amp;IF(OR(H14="DateTime",H14="TimeSpan"),H14&amp;"?",H14)&amp;IF(C14="?","? "," ")&amp;D14&amp;" { get; set; }" &amp; "
"</f>
        <v xml:space="preserve">		public virtual string BaseUnitOfMeasure { get; set; }
</v>
      </c>
      <c r="N14" t="str">
        <f t="shared" ref="N14:N19" si="40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[StringLength(MstCmmMaterialMasterConsts.MaxBaseUnitOfMeasureLength)]
		public virtual string BaseUnitOfMeasure { get; set; }
</v>
      </c>
      <c r="O14" t="str">
        <f t="shared" ref="O14:O19" si="41">IF(OR(H14="string",H14="DateTime",H14="int"),REPT(CHAR(9),2)&amp;"public virtual "&amp;IF(OR(H14="DateTime",H14="TimeSpan"),H14&amp;"?",H14)&amp;IF(C14="?","? "," ")&amp;D14&amp;" { get; set; }"&amp;$E$3,"")</f>
        <v xml:space="preserve">		public virtual string BaseUnitOfMeasure { get; set; }
</v>
      </c>
      <c r="P14" t="str">
        <f t="shared" ref="P14:P19" si="42">REPT(CHAR(9),7)&amp;D14&amp;" = o." &amp;D14 &amp;","</f>
        <v xml:space="preserve">							BaseUnitOfMeasure = o.BaseUnitOfMeasure,</v>
      </c>
      <c r="T14" s="63" t="str">
        <f t="shared" ref="T14:T19" si="43">REPT(CHAR(9),8)&amp;"("""&amp;D14&amp;"""),"</f>
        <v xml:space="preserve">								("BaseUnitOfMeasure"),</v>
      </c>
      <c r="V14" s="64" t="str">
        <f t="shared" ref="V14:V19" si="44">REPT(CHAR(9),8)&amp;"_ =&gt; _."&amp;D14&amp;","</f>
        <v xml:space="preserve">								_ =&gt; _.BaseUnitOfMeasure,</v>
      </c>
      <c r="W14" s="63" t="str">
        <f t="shared" ref="W14:W19" si="4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.WhereIf(!string.IsNullOrWhiteSpace(input.BaseUnitOfMeasure), e =&gt; e.BaseUnitOfMeasure.Contains(input.BaseUnitOfMeasure))</v>
      </c>
    </row>
    <row r="15" spans="1:23" customFormat="1" ht="18.75" customHeight="1" x14ac:dyDescent="0.25">
      <c r="A15" s="28" t="s">
        <v>370</v>
      </c>
      <c r="B15" s="28" t="s">
        <v>364</v>
      </c>
      <c r="C15" t="s">
        <v>1</v>
      </c>
      <c r="D15" t="str">
        <f t="shared" si="13"/>
        <v>DeletionFlag</v>
      </c>
      <c r="E15" t="str">
        <f t="shared" si="14"/>
        <v>nvarchar</v>
      </c>
      <c r="F15" s="6"/>
      <c r="G15" t="str">
        <f t="shared" si="15"/>
        <v>1</v>
      </c>
      <c r="H15" t="str">
        <f>+VLOOKUP(E15,'Data Type Mapping'!A:B,2,)</f>
        <v>string</v>
      </c>
      <c r="I15" t="str">
        <f t="shared" si="36"/>
        <v xml:space="preserve">		public const int MaxDeletionFlagLength = 1;
</v>
      </c>
      <c r="J15" t="str">
        <f t="shared" si="37"/>
        <v xml:space="preserve">		[StringLength(MaxDeletionFlagLength)]
		public virtual string DeletionFlag { get; set; }
</v>
      </c>
      <c r="K15" s="6"/>
      <c r="L15" t="str">
        <f t="shared" si="38"/>
        <v/>
      </c>
      <c r="M15" t="str">
        <f t="shared" si="39"/>
        <v xml:space="preserve">		public virtual string DeletionFlag { get; set; }
</v>
      </c>
      <c r="N15" t="str">
        <f t="shared" si="40"/>
        <v xml:space="preserve">		[StringLength(MstCmmMaterialMasterConsts.MaxDeletionFlagLength)]
		public virtual string DeletionFlag { get; set; }
</v>
      </c>
      <c r="O15" t="str">
        <f t="shared" si="41"/>
        <v xml:space="preserve">		public virtual string DeletionFlag { get; set; }
</v>
      </c>
      <c r="P15" t="str">
        <f t="shared" si="42"/>
        <v xml:space="preserve">							DeletionFlag = o.DeletionFlag,</v>
      </c>
      <c r="T15" s="63" t="str">
        <f t="shared" si="43"/>
        <v xml:space="preserve">								("DeletionFlag"),</v>
      </c>
      <c r="V15" s="64" t="str">
        <f t="shared" si="44"/>
        <v xml:space="preserve">								_ =&gt; _.DeletionFlag,</v>
      </c>
      <c r="W15" s="63" t="str">
        <f t="shared" si="45"/>
        <v xml:space="preserve">				.WhereIf(!string.IsNullOrWhiteSpace(input.DeletionFlag), e =&gt; e.DeletionFlag.Contains(input.DeletionFlag))</v>
      </c>
    </row>
    <row r="16" spans="1:23" customFormat="1" ht="18.75" customHeight="1" x14ac:dyDescent="0.25">
      <c r="A16" s="28" t="s">
        <v>371</v>
      </c>
      <c r="B16" s="28" t="s">
        <v>361</v>
      </c>
      <c r="C16" t="s">
        <v>1</v>
      </c>
      <c r="D16" t="str">
        <f t="shared" si="13"/>
        <v>Plant</v>
      </c>
      <c r="E16" t="str">
        <f t="shared" si="14"/>
        <v>nvarchar</v>
      </c>
      <c r="F16" s="6"/>
      <c r="G16" t="str">
        <f t="shared" si="15"/>
        <v>4</v>
      </c>
      <c r="H16" t="str">
        <f>+VLOOKUP(E16,'Data Type Mapping'!A:B,2,)</f>
        <v>string</v>
      </c>
      <c r="I16" t="str">
        <f t="shared" si="36"/>
        <v xml:space="preserve">		public const int MaxPlantLength = 4;
</v>
      </c>
      <c r="J16" t="str">
        <f t="shared" si="37"/>
        <v xml:space="preserve">		[StringLength(MaxPlantLength)]
		public virtual string Plant { get; set; }
</v>
      </c>
      <c r="K16" s="6"/>
      <c r="L16" t="str">
        <f t="shared" si="38"/>
        <v/>
      </c>
      <c r="M16" t="str">
        <f t="shared" si="39"/>
        <v xml:space="preserve">		public virtual string Plant { get; set; }
</v>
      </c>
      <c r="N16" t="str">
        <f t="shared" si="40"/>
        <v xml:space="preserve">		[StringLength(MstCmmMaterialMasterConsts.MaxPlantLength)]
		public virtual string Plant { get; set; }
</v>
      </c>
      <c r="O16" t="str">
        <f t="shared" si="41"/>
        <v xml:space="preserve">		public virtual string Plant { get; set; }
</v>
      </c>
      <c r="P16" t="str">
        <f t="shared" si="42"/>
        <v xml:space="preserve">							Plant = o.Plant,</v>
      </c>
      <c r="T16" s="63" t="str">
        <f t="shared" si="43"/>
        <v xml:space="preserve">								("Plant"),</v>
      </c>
      <c r="V16" s="64" t="str">
        <f t="shared" si="44"/>
        <v xml:space="preserve">								_ =&gt; _.Plant,</v>
      </c>
      <c r="W16" s="63" t="str">
        <f t="shared" si="45"/>
        <v xml:space="preserve">				.WhereIf(!string.IsNullOrWhiteSpace(input.Plant), e =&gt; e.Plant.Contains(input.Plant))</v>
      </c>
    </row>
    <row r="17" spans="1:23" customFormat="1" ht="18.75" customHeight="1" x14ac:dyDescent="0.25">
      <c r="A17" s="28" t="s">
        <v>372</v>
      </c>
      <c r="B17" s="28" t="s">
        <v>361</v>
      </c>
      <c r="C17" t="s">
        <v>1</v>
      </c>
      <c r="D17" t="str">
        <f t="shared" si="13"/>
        <v>StorageLocation</v>
      </c>
      <c r="E17" t="str">
        <f t="shared" si="14"/>
        <v>nvarchar</v>
      </c>
      <c r="F17" s="6"/>
      <c r="G17" t="str">
        <f t="shared" si="15"/>
        <v>4</v>
      </c>
      <c r="H17" t="str">
        <f>+VLOOKUP(E17,'Data Type Mapping'!A:B,2,)</f>
        <v>string</v>
      </c>
      <c r="I17" t="str">
        <f t="shared" si="36"/>
        <v xml:space="preserve">		public const int MaxStorageLocationLength = 4;
</v>
      </c>
      <c r="J17" t="str">
        <f t="shared" si="37"/>
        <v xml:space="preserve">		[StringLength(MaxStorageLocationLength)]
		public virtual string StorageLocation { get; set; }
</v>
      </c>
      <c r="K17" s="6"/>
      <c r="L17" t="str">
        <f t="shared" si="38"/>
        <v/>
      </c>
      <c r="M17" t="str">
        <f t="shared" si="39"/>
        <v xml:space="preserve">		public virtual string StorageLocation { get; set; }
</v>
      </c>
      <c r="N17" t="str">
        <f t="shared" si="40"/>
        <v xml:space="preserve">		[StringLength(MstCmmMaterialMasterConsts.MaxStorageLocationLength)]
		public virtual string StorageLocation { get; set; }
</v>
      </c>
      <c r="O17" t="str">
        <f t="shared" si="41"/>
        <v xml:space="preserve">		public virtual string StorageLocation { get; set; }
</v>
      </c>
      <c r="P17" t="str">
        <f t="shared" si="42"/>
        <v xml:space="preserve">							StorageLocation = o.StorageLocation,</v>
      </c>
      <c r="T17" s="63" t="str">
        <f t="shared" si="43"/>
        <v xml:space="preserve">								("StorageLocation"),</v>
      </c>
      <c r="V17" s="64" t="str">
        <f t="shared" si="44"/>
        <v xml:space="preserve">								_ =&gt; _.StorageLocation,</v>
      </c>
      <c r="W17" s="63" t="str">
        <f t="shared" si="45"/>
        <v xml:space="preserve">				.WhereIf(!string.IsNullOrWhiteSpace(input.StorageLocation), e =&gt; e.StorageLocation.Contains(input.StorageLocation))</v>
      </c>
    </row>
    <row r="18" spans="1:23" customFormat="1" ht="18.75" customHeight="1" x14ac:dyDescent="0.25">
      <c r="A18" s="28" t="s">
        <v>373</v>
      </c>
      <c r="B18" s="28" t="s">
        <v>369</v>
      </c>
      <c r="C18" t="s">
        <v>1</v>
      </c>
      <c r="D18" t="str">
        <f t="shared" si="13"/>
        <v>ProductionGroup</v>
      </c>
      <c r="E18" t="str">
        <f t="shared" si="14"/>
        <v>nvarchar</v>
      </c>
      <c r="F18" s="6"/>
      <c r="G18" t="str">
        <f t="shared" si="15"/>
        <v>3</v>
      </c>
      <c r="H18" t="str">
        <f>+VLOOKUP(E18,'Data Type Mapping'!A:B,2,)</f>
        <v>string</v>
      </c>
      <c r="I18" t="str">
        <f t="shared" si="36"/>
        <v xml:space="preserve">		public const int MaxProductionGroupLength = 3;
</v>
      </c>
      <c r="J18" t="str">
        <f t="shared" si="37"/>
        <v xml:space="preserve">		[StringLength(MaxProductionGroupLength)]
		public virtual string ProductionGroup { get; set; }
</v>
      </c>
      <c r="K18" s="6"/>
      <c r="L18" t="str">
        <f t="shared" si="38"/>
        <v/>
      </c>
      <c r="M18" t="str">
        <f t="shared" si="39"/>
        <v xml:space="preserve">		public virtual string ProductionGroup { get; set; }
</v>
      </c>
      <c r="N18" t="str">
        <f t="shared" si="40"/>
        <v xml:space="preserve">		[StringLength(MstCmmMaterialMasterConsts.MaxProductionGroupLength)]
		public virtual string ProductionGroup { get; set; }
</v>
      </c>
      <c r="O18" t="str">
        <f t="shared" si="41"/>
        <v xml:space="preserve">		public virtual string ProductionGroup { get; set; }
</v>
      </c>
      <c r="P18" t="str">
        <f t="shared" si="42"/>
        <v xml:space="preserve">							ProductionGroup = o.ProductionGroup,</v>
      </c>
      <c r="T18" s="63" t="str">
        <f t="shared" si="43"/>
        <v xml:space="preserve">								("ProductionGroup"),</v>
      </c>
      <c r="V18" s="64" t="str">
        <f t="shared" si="44"/>
        <v xml:space="preserve">								_ =&gt; _.ProductionGroup,</v>
      </c>
      <c r="W18" s="63" t="str">
        <f t="shared" si="45"/>
        <v xml:space="preserve">				.WhereIf(!string.IsNullOrWhiteSpace(input.ProductionGroup), e =&gt; e.ProductionGroup.Contains(input.ProductionGroup))</v>
      </c>
    </row>
    <row r="19" spans="1:23" customFormat="1" ht="18.75" customHeight="1" x14ac:dyDescent="0.25">
      <c r="A19" s="28" t="s">
        <v>374</v>
      </c>
      <c r="B19" s="28" t="s">
        <v>375</v>
      </c>
      <c r="C19" t="s">
        <v>1</v>
      </c>
      <c r="D19" t="str">
        <f t="shared" si="13"/>
        <v>ProductionPurpose</v>
      </c>
      <c r="E19" t="str">
        <f t="shared" si="14"/>
        <v>nvarchar</v>
      </c>
      <c r="F19" s="6"/>
      <c r="G19" t="str">
        <f t="shared" si="15"/>
        <v>2</v>
      </c>
      <c r="H19" t="str">
        <f>+VLOOKUP(E19,'Data Type Mapping'!A:B,2,)</f>
        <v>string</v>
      </c>
      <c r="I19" t="str">
        <f t="shared" si="36"/>
        <v xml:space="preserve">		public const int MaxProductionPurposeLength = 2;
</v>
      </c>
      <c r="J19" t="str">
        <f t="shared" si="37"/>
        <v xml:space="preserve">		[StringLength(MaxProductionPurposeLength)]
		public virtual string ProductionPurpose { get; set; }
</v>
      </c>
      <c r="K19" s="6"/>
      <c r="L19" t="str">
        <f t="shared" si="38"/>
        <v/>
      </c>
      <c r="M19" t="str">
        <f t="shared" si="39"/>
        <v xml:space="preserve">		public virtual string ProductionPurpose { get; set; }
</v>
      </c>
      <c r="N19" t="str">
        <f t="shared" si="40"/>
        <v xml:space="preserve">		[StringLength(MstCmmMaterialMasterConsts.MaxProductionPurposeLength)]
		public virtual string ProductionPurpose { get; set; }
</v>
      </c>
      <c r="O19" t="str">
        <f t="shared" si="41"/>
        <v xml:space="preserve">		public virtual string ProductionPurpose { get; set; }
</v>
      </c>
      <c r="P19" t="str">
        <f t="shared" si="42"/>
        <v xml:space="preserve">							ProductionPurpose = o.ProductionPurpose,</v>
      </c>
      <c r="T19" s="63" t="str">
        <f t="shared" si="43"/>
        <v xml:space="preserve">								("ProductionPurpose"),</v>
      </c>
      <c r="V19" s="64" t="str">
        <f t="shared" si="44"/>
        <v xml:space="preserve">								_ =&gt; _.ProductionPurpose,</v>
      </c>
      <c r="W19" s="63" t="str">
        <f t="shared" si="45"/>
        <v xml:space="preserve">				.WhereIf(!string.IsNullOrWhiteSpace(input.ProductionPurpose), e =&gt; e.ProductionPurpose.Contains(input.ProductionPurpose))</v>
      </c>
    </row>
    <row r="20" spans="1:23" customFormat="1" ht="18.75" customHeight="1" x14ac:dyDescent="0.25">
      <c r="A20" s="28" t="s">
        <v>376</v>
      </c>
      <c r="B20" s="28" t="s">
        <v>377</v>
      </c>
      <c r="C20" t="s">
        <v>1</v>
      </c>
      <c r="D20" t="str">
        <f t="shared" si="13"/>
        <v>ProductionType</v>
      </c>
      <c r="E20" t="str">
        <f t="shared" si="14"/>
        <v>nvarchar</v>
      </c>
      <c r="F20" s="6"/>
      <c r="G20" t="str">
        <f t="shared" si="15"/>
        <v>10</v>
      </c>
      <c r="H20" t="str">
        <f>+VLOOKUP(E20,'Data Type Mapping'!A:B,2,)</f>
        <v>string</v>
      </c>
      <c r="I20" t="str">
        <f t="shared" ref="I20:I31" si="46">IF(H20="string",REPT(CHAR(9),2)&amp;"public const int Max"&amp;D20&amp;"Length = "&amp;G20&amp;";"&amp;$E$3,"" )</f>
        <v xml:space="preserve">		public const int MaxProductionTypeLength = 10;
</v>
      </c>
      <c r="J20" t="str">
        <f t="shared" ref="J20:J31" si="47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[StringLength(MaxProductionTypeLength)]
		public virtual string ProductionType { get; set; }
</v>
      </c>
      <c r="K20" s="6"/>
      <c r="L20" t="str">
        <f t="shared" ref="L20:L31" si="48">IF(K20="","",REPT(CHAR(9),1)&amp;"[Index(nameof("&amp;IF(D20="","",""&amp;D20)&amp;")"&amp;", Name="&amp;"""IX_"&amp;$B$7&amp;"_"&amp;D20&amp;""")]")</f>
        <v/>
      </c>
      <c r="M20" t="str">
        <f t="shared" ref="M20:M31" si="49">REPT(CHAR(9),2)&amp;"public virtual "&amp;IF(OR(H20="DateTime",H20="TimeSpan"),H20&amp;"?",H20)&amp;IF(C20="?","? "," ")&amp;D20&amp;" { get; set; }" &amp; "
"</f>
        <v xml:space="preserve">		public virtual string ProductionType { get; set; }
</v>
      </c>
      <c r="N20" t="str">
        <f t="shared" ref="N20:N31" si="50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[StringLength(MstCmmMaterialMasterConsts.MaxProductionTypeLength)]
		public virtual string ProductionType { get; set; }
</v>
      </c>
      <c r="O20" t="str">
        <f t="shared" ref="O20:O31" si="51">IF(OR(H20="string",H20="DateTime",H20="int"),REPT(CHAR(9),2)&amp;"public virtual "&amp;IF(OR(H20="DateTime",H20="TimeSpan"),H20&amp;"?",H20)&amp;IF(C20="?","? "," ")&amp;D20&amp;" { get; set; }"&amp;$E$3,"")</f>
        <v xml:space="preserve">		public virtual string ProductionType { get; set; }
</v>
      </c>
      <c r="P20" t="str">
        <f t="shared" ref="P20:P31" si="52">REPT(CHAR(9),7)&amp;D20&amp;" = o." &amp;D20 &amp;","</f>
        <v xml:space="preserve">							ProductionType = o.ProductionType,</v>
      </c>
      <c r="T20" s="63" t="str">
        <f t="shared" ref="T20:T31" si="53">REPT(CHAR(9),8)&amp;"("""&amp;D20&amp;"""),"</f>
        <v xml:space="preserve">								("ProductionType"),</v>
      </c>
      <c r="V20" s="64" t="str">
        <f t="shared" ref="V20:V31" si="54">REPT(CHAR(9),8)&amp;"_ =&gt; _."&amp;D20&amp;","</f>
        <v xml:space="preserve">								_ =&gt; _.ProductionType,</v>
      </c>
      <c r="W20" s="63" t="str">
        <f t="shared" ref="W20:W31" si="55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.WhereIf(!string.IsNullOrWhiteSpace(input.ProductionType), e =&gt; e.ProductionType.Contains(input.ProductionType))</v>
      </c>
    </row>
    <row r="21" spans="1:23" customFormat="1" ht="17.25" customHeight="1" x14ac:dyDescent="0.25">
      <c r="A21" s="28" t="s">
        <v>378</v>
      </c>
      <c r="B21" s="28" t="s">
        <v>377</v>
      </c>
      <c r="C21" t="s">
        <v>1</v>
      </c>
      <c r="D21" t="str">
        <f t="shared" si="13"/>
        <v>ProfitCenter</v>
      </c>
      <c r="E21" t="str">
        <f t="shared" si="14"/>
        <v>nvarchar</v>
      </c>
      <c r="F21" s="6"/>
      <c r="G21" t="str">
        <f t="shared" si="15"/>
        <v>10</v>
      </c>
      <c r="H21" t="str">
        <f>+VLOOKUP(E21,'Data Type Mapping'!A:B,2,)</f>
        <v>string</v>
      </c>
      <c r="I21" t="str">
        <f t="shared" si="46"/>
        <v xml:space="preserve">		public const int MaxProfitCenterLength = 10;
</v>
      </c>
      <c r="J21" t="str">
        <f t="shared" si="47"/>
        <v xml:space="preserve">		[StringLength(MaxProfitCenterLength)]
		public virtual string ProfitCenter { get; set; }
</v>
      </c>
      <c r="K21" s="6"/>
      <c r="L21" t="str">
        <f t="shared" si="48"/>
        <v/>
      </c>
      <c r="M21" t="str">
        <f t="shared" si="49"/>
        <v xml:space="preserve">		public virtual string ProfitCenter { get; set; }
</v>
      </c>
      <c r="N21" t="str">
        <f t="shared" si="50"/>
        <v xml:space="preserve">		[StringLength(MstCmmMaterialMasterConsts.MaxProfitCenterLength)]
		public virtual string ProfitCenter { get; set; }
</v>
      </c>
      <c r="O21" t="str">
        <f t="shared" si="51"/>
        <v xml:space="preserve">		public virtual string ProfitCenter { get; set; }
</v>
      </c>
      <c r="P21" t="str">
        <f t="shared" si="52"/>
        <v xml:space="preserve">							ProfitCenter = o.ProfitCenter,</v>
      </c>
      <c r="T21" s="63" t="str">
        <f t="shared" si="53"/>
        <v xml:space="preserve">								("ProfitCenter"),</v>
      </c>
      <c r="V21" s="64" t="str">
        <f t="shared" si="54"/>
        <v xml:space="preserve">								_ =&gt; _.ProfitCenter,</v>
      </c>
      <c r="W21" s="63" t="str">
        <f t="shared" si="55"/>
        <v xml:space="preserve">				.WhereIf(!string.IsNullOrWhiteSpace(input.ProfitCenter), e =&gt; e.ProfitCenter.Contains(input.ProfitCenter))</v>
      </c>
    </row>
    <row r="22" spans="1:23" customFormat="1" ht="18.75" customHeight="1" x14ac:dyDescent="0.25">
      <c r="A22" s="28" t="s">
        <v>379</v>
      </c>
      <c r="B22" s="28" t="s">
        <v>369</v>
      </c>
      <c r="C22" t="s">
        <v>1</v>
      </c>
      <c r="D22" t="str">
        <f t="shared" si="13"/>
        <v>BatchManagement</v>
      </c>
      <c r="E22" t="str">
        <f t="shared" si="14"/>
        <v>nvarchar</v>
      </c>
      <c r="F22" s="6"/>
      <c r="G22" t="str">
        <f t="shared" si="15"/>
        <v>3</v>
      </c>
      <c r="H22" t="str">
        <f>+VLOOKUP(E22,'Data Type Mapping'!A:B,2,)</f>
        <v>string</v>
      </c>
      <c r="I22" t="str">
        <f t="shared" si="46"/>
        <v xml:space="preserve">		public const int MaxBatchManagementLength = 3;
</v>
      </c>
      <c r="J22" t="str">
        <f t="shared" si="47"/>
        <v xml:space="preserve">		[StringLength(MaxBatchManagementLength)]
		public virtual string BatchManagement { get; set; }
</v>
      </c>
      <c r="K22" s="6"/>
      <c r="L22" t="str">
        <f t="shared" si="48"/>
        <v/>
      </c>
      <c r="M22" t="str">
        <f t="shared" si="49"/>
        <v xml:space="preserve">		public virtual string BatchManagement { get; set; }
</v>
      </c>
      <c r="N22" t="str">
        <f t="shared" si="50"/>
        <v xml:space="preserve">		[StringLength(MstCmmMaterialMasterConsts.MaxBatchManagementLength)]
		public virtual string BatchManagement { get; set; }
</v>
      </c>
      <c r="O22" t="str">
        <f t="shared" si="51"/>
        <v xml:space="preserve">		public virtual string BatchManagement { get; set; }
</v>
      </c>
      <c r="P22" t="str">
        <f t="shared" si="52"/>
        <v xml:space="preserve">							BatchManagement = o.BatchManagement,</v>
      </c>
      <c r="T22" s="63" t="str">
        <f t="shared" si="53"/>
        <v xml:space="preserve">								("BatchManagement"),</v>
      </c>
      <c r="V22" s="64" t="str">
        <f t="shared" si="54"/>
        <v xml:space="preserve">								_ =&gt; _.BatchManagement,</v>
      </c>
      <c r="W22" s="63" t="str">
        <f t="shared" si="55"/>
        <v xml:space="preserve">				.WhereIf(!string.IsNullOrWhiteSpace(input.BatchManagement), e =&gt; e.BatchManagement.Contains(input.BatchManagement))</v>
      </c>
    </row>
    <row r="23" spans="1:23" customFormat="1" ht="18.75" customHeight="1" x14ac:dyDescent="0.25">
      <c r="A23" s="28" t="s">
        <v>380</v>
      </c>
      <c r="B23" s="28" t="s">
        <v>375</v>
      </c>
      <c r="C23" t="s">
        <v>1</v>
      </c>
      <c r="D23" t="str">
        <f t="shared" si="13"/>
        <v>ReservedStock</v>
      </c>
      <c r="E23" t="str">
        <f t="shared" si="14"/>
        <v>nvarchar</v>
      </c>
      <c r="F23" s="6"/>
      <c r="G23" t="str">
        <f t="shared" si="15"/>
        <v>2</v>
      </c>
      <c r="H23" t="str">
        <f>+VLOOKUP(E23,'Data Type Mapping'!A:B,2,)</f>
        <v>string</v>
      </c>
      <c r="I23" t="str">
        <f t="shared" si="46"/>
        <v xml:space="preserve">		public const int MaxReservedStockLength = 2;
</v>
      </c>
      <c r="J23" t="str">
        <f t="shared" si="47"/>
        <v xml:space="preserve">		[StringLength(MaxReservedStockLength)]
		public virtual string ReservedStock { get; set; }
</v>
      </c>
      <c r="K23" s="6"/>
      <c r="L23" t="str">
        <f t="shared" si="48"/>
        <v/>
      </c>
      <c r="M23" t="str">
        <f t="shared" si="49"/>
        <v xml:space="preserve">		public virtual string ReservedStock { get; set; }
</v>
      </c>
      <c r="N23" t="str">
        <f t="shared" si="50"/>
        <v xml:space="preserve">		[StringLength(MstCmmMaterialMasterConsts.MaxReservedStockLength)]
		public virtual string ReservedStock { get; set; }
</v>
      </c>
      <c r="O23" t="str">
        <f t="shared" si="51"/>
        <v xml:space="preserve">		public virtual string ReservedStock { get; set; }
</v>
      </c>
      <c r="P23" t="str">
        <f t="shared" si="52"/>
        <v xml:space="preserve">							ReservedStock = o.ReservedStock,</v>
      </c>
      <c r="T23" s="63" t="str">
        <f t="shared" si="53"/>
        <v xml:space="preserve">								("ReservedStock"),</v>
      </c>
      <c r="V23" s="64" t="str">
        <f t="shared" si="54"/>
        <v xml:space="preserve">								_ =&gt; _.ReservedStock,</v>
      </c>
      <c r="W23" s="63" t="str">
        <f t="shared" si="55"/>
        <v xml:space="preserve">				.WhereIf(!string.IsNullOrWhiteSpace(input.ReservedStock), e =&gt; e.ReservedStock.Contains(input.ReservedStock))</v>
      </c>
    </row>
    <row r="24" spans="1:23" customFormat="1" ht="18.75" customHeight="1" x14ac:dyDescent="0.25">
      <c r="A24" s="28" t="s">
        <v>381</v>
      </c>
      <c r="B24" s="28" t="s">
        <v>377</v>
      </c>
      <c r="C24" t="s">
        <v>1</v>
      </c>
      <c r="D24" t="str">
        <f t="shared" si="13"/>
        <v>LotCode</v>
      </c>
      <c r="E24" t="str">
        <f t="shared" si="14"/>
        <v>nvarchar</v>
      </c>
      <c r="F24" s="6"/>
      <c r="G24" t="str">
        <f t="shared" si="15"/>
        <v>10</v>
      </c>
      <c r="H24" t="str">
        <f>+VLOOKUP(E24,'Data Type Mapping'!A:B,2,)</f>
        <v>string</v>
      </c>
      <c r="I24" t="str">
        <f t="shared" si="46"/>
        <v xml:space="preserve">		public const int MaxLotCodeLength = 10;
</v>
      </c>
      <c r="J24" t="str">
        <f t="shared" si="47"/>
        <v xml:space="preserve">		[StringLength(MaxLotCodeLength)]
		public virtual string LotCode { get; set; }
</v>
      </c>
      <c r="K24" s="6"/>
      <c r="L24" t="str">
        <f t="shared" si="48"/>
        <v/>
      </c>
      <c r="M24" t="str">
        <f t="shared" si="49"/>
        <v xml:space="preserve">		public virtual string LotCode { get; set; }
</v>
      </c>
      <c r="N24" t="str">
        <f t="shared" si="50"/>
        <v xml:space="preserve">		[StringLength(MstCmmMaterialMasterConsts.MaxLotCodeLength)]
		public virtual string LotCode { get; set; }
</v>
      </c>
      <c r="O24" t="str">
        <f t="shared" si="51"/>
        <v xml:space="preserve">		public virtual string LotCode { get; set; }
</v>
      </c>
      <c r="P24" t="str">
        <f t="shared" si="52"/>
        <v xml:space="preserve">							LotCode = o.LotCode,</v>
      </c>
      <c r="T24" s="63" t="str">
        <f t="shared" si="53"/>
        <v xml:space="preserve">								("LotCode"),</v>
      </c>
      <c r="V24" s="64" t="str">
        <f t="shared" si="54"/>
        <v xml:space="preserve">								_ =&gt; _.LotCode,</v>
      </c>
      <c r="W24" s="63" t="str">
        <f t="shared" si="55"/>
        <v xml:space="preserve">				.WhereIf(!string.IsNullOrWhiteSpace(input.LotCode), e =&gt; e.LotCode.Contains(input.LotCode))</v>
      </c>
    </row>
    <row r="25" spans="1:23" customFormat="1" ht="18.75" customHeight="1" x14ac:dyDescent="0.25">
      <c r="A25" s="28" t="s">
        <v>382</v>
      </c>
      <c r="B25" s="28" t="s">
        <v>361</v>
      </c>
      <c r="C25" t="s">
        <v>1</v>
      </c>
      <c r="D25" t="str">
        <f t="shared" si="13"/>
        <v>MrpGroup</v>
      </c>
      <c r="E25" t="str">
        <f t="shared" si="14"/>
        <v>nvarchar</v>
      </c>
      <c r="F25" s="6"/>
      <c r="G25" t="str">
        <f t="shared" si="15"/>
        <v>4</v>
      </c>
      <c r="H25" t="str">
        <f>+VLOOKUP(E25,'Data Type Mapping'!A:B,2,)</f>
        <v>string</v>
      </c>
      <c r="I25" t="str">
        <f t="shared" si="46"/>
        <v xml:space="preserve">		public const int MaxMrpGroupLength = 4;
</v>
      </c>
      <c r="J25" t="str">
        <f t="shared" si="47"/>
        <v xml:space="preserve">		[StringLength(MaxMrpGroupLength)]
		public virtual string MrpGroup { get; set; }
</v>
      </c>
      <c r="K25" s="6"/>
      <c r="L25" t="str">
        <f t="shared" si="48"/>
        <v/>
      </c>
      <c r="M25" t="str">
        <f t="shared" si="49"/>
        <v xml:space="preserve">		public virtual string MrpGroup { get; set; }
</v>
      </c>
      <c r="N25" t="str">
        <f t="shared" si="50"/>
        <v xml:space="preserve">		[StringLength(MstCmmMaterialMasterConsts.MaxMrpGroupLength)]
		public virtual string MrpGroup { get; set; }
</v>
      </c>
      <c r="O25" t="str">
        <f t="shared" si="51"/>
        <v xml:space="preserve">		public virtual string MrpGroup { get; set; }
</v>
      </c>
      <c r="P25" t="str">
        <f t="shared" si="52"/>
        <v xml:space="preserve">							MrpGroup = o.MrpGroup,</v>
      </c>
      <c r="T25" s="63" t="str">
        <f t="shared" si="53"/>
        <v xml:space="preserve">								("MrpGroup"),</v>
      </c>
      <c r="V25" s="64" t="str">
        <f t="shared" si="54"/>
        <v xml:space="preserve">								_ =&gt; _.MrpGroup,</v>
      </c>
      <c r="W25" s="63" t="str">
        <f t="shared" si="55"/>
        <v xml:space="preserve">				.WhereIf(!string.IsNullOrWhiteSpace(input.MrpGroup), e =&gt; e.MrpGroup.Contains(input.MrpGroup))</v>
      </c>
    </row>
    <row r="26" spans="1:23" customFormat="1" ht="18.75" customHeight="1" x14ac:dyDescent="0.25">
      <c r="A26" s="28" t="s">
        <v>383</v>
      </c>
      <c r="B26" s="28" t="s">
        <v>375</v>
      </c>
      <c r="C26" t="s">
        <v>1</v>
      </c>
      <c r="D26" t="str">
        <f t="shared" si="13"/>
        <v>MrpType</v>
      </c>
      <c r="E26" t="str">
        <f t="shared" si="14"/>
        <v>nvarchar</v>
      </c>
      <c r="F26" s="6"/>
      <c r="G26" t="str">
        <f t="shared" si="15"/>
        <v>2</v>
      </c>
      <c r="H26" t="str">
        <f>+VLOOKUP(E26,'Data Type Mapping'!A:B,2,)</f>
        <v>string</v>
      </c>
      <c r="I26" t="str">
        <f t="shared" si="46"/>
        <v xml:space="preserve">		public const int MaxMrpTypeLength = 2;
</v>
      </c>
      <c r="J26" t="str">
        <f t="shared" si="47"/>
        <v xml:space="preserve">		[StringLength(MaxMrpTypeLength)]
		public virtual string MrpType { get; set; }
</v>
      </c>
      <c r="K26" s="6"/>
      <c r="L26" t="str">
        <f t="shared" si="48"/>
        <v/>
      </c>
      <c r="M26" t="str">
        <f t="shared" si="49"/>
        <v xml:space="preserve">		public virtual string MrpType { get; set; }
</v>
      </c>
      <c r="N26" t="str">
        <f t="shared" si="50"/>
        <v xml:space="preserve">		[StringLength(MstCmmMaterialMasterConsts.MaxMrpTypeLength)]
		public virtual string MrpType { get; set; }
</v>
      </c>
      <c r="O26" t="str">
        <f t="shared" si="51"/>
        <v xml:space="preserve">		public virtual string MrpType { get; set; }
</v>
      </c>
      <c r="P26" t="str">
        <f t="shared" si="52"/>
        <v xml:space="preserve">							MrpType = o.MrpType,</v>
      </c>
      <c r="T26" s="63" t="str">
        <f t="shared" si="53"/>
        <v xml:space="preserve">								("MrpType"),</v>
      </c>
      <c r="V26" s="64" t="str">
        <f t="shared" si="54"/>
        <v xml:space="preserve">								_ =&gt; _.MrpType,</v>
      </c>
      <c r="W26" s="63" t="str">
        <f t="shared" si="55"/>
        <v xml:space="preserve">				.WhereIf(!string.IsNullOrWhiteSpace(input.MrpType), e =&gt; e.MrpType.Contains(input.MrpType))</v>
      </c>
    </row>
    <row r="27" spans="1:23" customFormat="1" ht="18.75" customHeight="1" x14ac:dyDescent="0.25">
      <c r="A27" s="28" t="s">
        <v>384</v>
      </c>
      <c r="B27" s="28" t="s">
        <v>364</v>
      </c>
      <c r="C27" t="s">
        <v>1</v>
      </c>
      <c r="D27" t="str">
        <f t="shared" si="13"/>
        <v>ProcurementType</v>
      </c>
      <c r="E27" t="str">
        <f t="shared" si="14"/>
        <v>nvarchar</v>
      </c>
      <c r="F27" s="6"/>
      <c r="G27" t="str">
        <f t="shared" si="15"/>
        <v>1</v>
      </c>
      <c r="H27" t="str">
        <f>+VLOOKUP(E27,'Data Type Mapping'!A:B,2,)</f>
        <v>string</v>
      </c>
      <c r="I27" t="str">
        <f t="shared" si="46"/>
        <v xml:space="preserve">		public const int MaxProcurementTypeLength = 1;
</v>
      </c>
      <c r="J27" t="str">
        <f t="shared" si="47"/>
        <v xml:space="preserve">		[StringLength(MaxProcurementTypeLength)]
		public virtual string ProcurementType { get; set; }
</v>
      </c>
      <c r="K27" s="6"/>
      <c r="L27" t="str">
        <f t="shared" si="48"/>
        <v/>
      </c>
      <c r="M27" t="str">
        <f t="shared" si="49"/>
        <v xml:space="preserve">		public virtual string ProcurementType { get; set; }
</v>
      </c>
      <c r="N27" t="str">
        <f t="shared" si="50"/>
        <v xml:space="preserve">		[StringLength(MstCmmMaterialMasterConsts.MaxProcurementTypeLength)]
		public virtual string ProcurementType { get; set; }
</v>
      </c>
      <c r="O27" t="str">
        <f t="shared" si="51"/>
        <v xml:space="preserve">		public virtual string ProcurementType { get; set; }
</v>
      </c>
      <c r="P27" t="str">
        <f t="shared" si="52"/>
        <v xml:space="preserve">							ProcurementType = o.ProcurementType,</v>
      </c>
      <c r="T27" s="63" t="str">
        <f t="shared" si="53"/>
        <v xml:space="preserve">								("ProcurementType"),</v>
      </c>
      <c r="V27" s="64" t="str">
        <f t="shared" si="54"/>
        <v xml:space="preserve">								_ =&gt; _.ProcurementType,</v>
      </c>
      <c r="W27" s="63" t="str">
        <f t="shared" si="55"/>
        <v xml:space="preserve">				.WhereIf(!string.IsNullOrWhiteSpace(input.ProcurementType), e =&gt; e.ProcurementType.Contains(input.ProcurementType))</v>
      </c>
    </row>
    <row r="28" spans="1:23" customFormat="1" ht="18.75" customHeight="1" x14ac:dyDescent="0.25">
      <c r="A28" s="28" t="s">
        <v>385</v>
      </c>
      <c r="B28" s="28" t="s">
        <v>375</v>
      </c>
      <c r="C28" t="s">
        <v>1</v>
      </c>
      <c r="D28" t="str">
        <f t="shared" si="13"/>
        <v>SpecialProcurement</v>
      </c>
      <c r="E28" t="str">
        <f t="shared" si="14"/>
        <v>nvarchar</v>
      </c>
      <c r="F28" s="6"/>
      <c r="G28" t="str">
        <f t="shared" si="15"/>
        <v>2</v>
      </c>
      <c r="H28" t="str">
        <f>+VLOOKUP(E28,'Data Type Mapping'!A:B,2,)</f>
        <v>string</v>
      </c>
      <c r="I28" t="str">
        <f t="shared" si="46"/>
        <v xml:space="preserve">		public const int MaxSpecialProcurementLength = 2;
</v>
      </c>
      <c r="J28" t="str">
        <f t="shared" si="47"/>
        <v xml:space="preserve">		[StringLength(MaxSpecialProcurementLength)]
		public virtual string SpecialProcurement { get; set; }
</v>
      </c>
      <c r="K28" s="6"/>
      <c r="L28" t="str">
        <f t="shared" si="48"/>
        <v/>
      </c>
      <c r="M28" t="str">
        <f t="shared" si="49"/>
        <v xml:space="preserve">		public virtual string SpecialProcurement { get; set; }
</v>
      </c>
      <c r="N28" t="str">
        <f t="shared" si="50"/>
        <v xml:space="preserve">		[StringLength(MstCmmMaterialMasterConsts.MaxSpecialProcurementLength)]
		public virtual string SpecialProcurement { get; set; }
</v>
      </c>
      <c r="O28" t="str">
        <f t="shared" si="51"/>
        <v xml:space="preserve">		public virtual string SpecialProcurement { get; set; }
</v>
      </c>
      <c r="P28" t="str">
        <f t="shared" si="52"/>
        <v xml:space="preserve">							SpecialProcurement = o.SpecialProcurement,</v>
      </c>
      <c r="T28" s="63" t="str">
        <f t="shared" si="53"/>
        <v xml:space="preserve">								("SpecialProcurement"),</v>
      </c>
      <c r="V28" s="64" t="str">
        <f t="shared" si="54"/>
        <v xml:space="preserve">								_ =&gt; _.SpecialProcurement,</v>
      </c>
      <c r="W28" s="63" t="str">
        <f t="shared" si="55"/>
        <v xml:space="preserve">				.WhereIf(!string.IsNullOrWhiteSpace(input.SpecialProcurement), e =&gt; e.SpecialProcurement.Contains(input.SpecialProcurement))</v>
      </c>
    </row>
    <row r="29" spans="1:23" customFormat="1" ht="18.75" customHeight="1" x14ac:dyDescent="0.25">
      <c r="A29" s="28" t="s">
        <v>386</v>
      </c>
      <c r="B29" s="28" t="s">
        <v>361</v>
      </c>
      <c r="C29" t="s">
        <v>1</v>
      </c>
      <c r="D29" t="str">
        <f t="shared" si="13"/>
        <v>ProductionStorageLocation</v>
      </c>
      <c r="E29" t="str">
        <f t="shared" si="14"/>
        <v>nvarchar</v>
      </c>
      <c r="F29" s="6"/>
      <c r="G29" t="str">
        <f t="shared" si="15"/>
        <v>4</v>
      </c>
      <c r="H29" t="str">
        <f>+VLOOKUP(E29,'Data Type Mapping'!A:B,2,)</f>
        <v>string</v>
      </c>
      <c r="I29" t="str">
        <f t="shared" si="46"/>
        <v xml:space="preserve">		public const int MaxProductionStorageLocationLength = 4;
</v>
      </c>
      <c r="J29" t="str">
        <f t="shared" si="47"/>
        <v xml:space="preserve">		[StringLength(MaxProductionStorageLocationLength)]
		public virtual string ProductionStorageLocation { get; set; }
</v>
      </c>
      <c r="K29" s="6"/>
      <c r="L29" t="str">
        <f t="shared" si="48"/>
        <v/>
      </c>
      <c r="M29" t="str">
        <f t="shared" si="49"/>
        <v xml:space="preserve">		public virtual string ProductionStorageLocation { get; set; }
</v>
      </c>
      <c r="N29" t="str">
        <f t="shared" si="50"/>
        <v xml:space="preserve">		[StringLength(MstCmmMaterialMasterConsts.MaxProductionStorageLocationLength)]
		public virtual string ProductionStorageLocation { get; set; }
</v>
      </c>
      <c r="O29" t="str">
        <f t="shared" si="51"/>
        <v xml:space="preserve">		public virtual string ProductionStorageLocation { get; set; }
</v>
      </c>
      <c r="P29" t="str">
        <f t="shared" si="52"/>
        <v xml:space="preserve">							ProductionStorageLocation = o.ProductionStorageLocation,</v>
      </c>
      <c r="T29" s="63" t="str">
        <f t="shared" si="53"/>
        <v xml:space="preserve">								("ProductionStorageLocation"),</v>
      </c>
      <c r="V29" s="64" t="str">
        <f t="shared" si="54"/>
        <v xml:space="preserve">								_ =&gt; _.ProductionStorageLocation,</v>
      </c>
      <c r="W29" s="63" t="str">
        <f t="shared" si="55"/>
        <v xml:space="preserve">				.WhereIf(!string.IsNullOrWhiteSpace(input.ProductionStorageLocation), e =&gt; e.ProductionStorageLocation.Contains(input.ProductionStorageLocation))</v>
      </c>
    </row>
    <row r="30" spans="1:23" customFormat="1" ht="18.75" customHeight="1" x14ac:dyDescent="0.25">
      <c r="A30" s="28" t="s">
        <v>387</v>
      </c>
      <c r="B30" s="28" t="s">
        <v>364</v>
      </c>
      <c r="C30" t="s">
        <v>1</v>
      </c>
      <c r="D30" t="str">
        <f t="shared" si="13"/>
        <v>RepetManufacturing</v>
      </c>
      <c r="E30" t="str">
        <f t="shared" si="14"/>
        <v>nvarchar</v>
      </c>
      <c r="F30" s="6"/>
      <c r="G30" t="str">
        <f t="shared" si="15"/>
        <v>1</v>
      </c>
      <c r="H30" t="str">
        <f>+VLOOKUP(E30,'Data Type Mapping'!A:B,2,)</f>
        <v>string</v>
      </c>
      <c r="I30" t="str">
        <f t="shared" si="46"/>
        <v xml:space="preserve">		public const int MaxRepetManufacturingLength = 1;
</v>
      </c>
      <c r="J30" t="str">
        <f t="shared" si="47"/>
        <v xml:space="preserve">		[StringLength(MaxRepetManufacturingLength)]
		public virtual string RepetManufacturing { get; set; }
</v>
      </c>
      <c r="K30" s="6"/>
      <c r="L30" t="str">
        <f t="shared" si="48"/>
        <v/>
      </c>
      <c r="M30" t="str">
        <f t="shared" si="49"/>
        <v xml:space="preserve">		public virtual string RepetManufacturing { get; set; }
</v>
      </c>
      <c r="N30" t="str">
        <f t="shared" si="50"/>
        <v xml:space="preserve">		[StringLength(MstCmmMaterialMasterConsts.MaxRepetManufacturingLength)]
		public virtual string RepetManufacturing { get; set; }
</v>
      </c>
      <c r="O30" t="str">
        <f t="shared" si="51"/>
        <v xml:space="preserve">		public virtual string RepetManufacturing { get; set; }
</v>
      </c>
      <c r="P30" t="str">
        <f t="shared" si="52"/>
        <v xml:space="preserve">							RepetManufacturing = o.RepetManufacturing,</v>
      </c>
      <c r="T30" s="63" t="str">
        <f t="shared" si="53"/>
        <v xml:space="preserve">								("RepetManufacturing"),</v>
      </c>
      <c r="V30" s="64" t="str">
        <f t="shared" si="54"/>
        <v xml:space="preserve">								_ =&gt; _.RepetManufacturing,</v>
      </c>
      <c r="W30" s="63" t="str">
        <f t="shared" si="55"/>
        <v xml:space="preserve">				.WhereIf(!string.IsNullOrWhiteSpace(input.RepetManufacturing), e =&gt; e.RepetManufacturing.Contains(input.RepetManufacturing))</v>
      </c>
    </row>
    <row r="31" spans="1:23" customFormat="1" ht="18.75" customHeight="1" x14ac:dyDescent="0.25">
      <c r="A31" s="28" t="s">
        <v>388</v>
      </c>
      <c r="B31" s="28" t="s">
        <v>361</v>
      </c>
      <c r="C31" t="s">
        <v>1</v>
      </c>
      <c r="D31" t="str">
        <f t="shared" si="13"/>
        <v>RemProfile</v>
      </c>
      <c r="E31" t="str">
        <f t="shared" si="14"/>
        <v>nvarchar</v>
      </c>
      <c r="F31" s="6"/>
      <c r="G31" t="str">
        <f t="shared" si="15"/>
        <v>4</v>
      </c>
      <c r="H31" t="str">
        <f>+VLOOKUP(E31,'Data Type Mapping'!A:B,2,)</f>
        <v>string</v>
      </c>
      <c r="I31" t="str">
        <f t="shared" si="46"/>
        <v xml:space="preserve">		public const int MaxRemProfileLength = 4;
</v>
      </c>
      <c r="J31" t="str">
        <f t="shared" si="47"/>
        <v xml:space="preserve">		[StringLength(MaxRemProfileLength)]
		public virtual string RemProfile { get; set; }
</v>
      </c>
      <c r="K31" s="6"/>
      <c r="L31" t="str">
        <f t="shared" si="48"/>
        <v/>
      </c>
      <c r="M31" t="str">
        <f t="shared" si="49"/>
        <v xml:space="preserve">		public virtual string RemProfile { get; set; }
</v>
      </c>
      <c r="N31" t="str">
        <f t="shared" si="50"/>
        <v xml:space="preserve">		[StringLength(MstCmmMaterialMasterConsts.MaxRemProfileLength)]
		public virtual string RemProfile { get; set; }
</v>
      </c>
      <c r="O31" t="str">
        <f t="shared" si="51"/>
        <v xml:space="preserve">		public virtual string RemProfile { get; set; }
</v>
      </c>
      <c r="P31" t="str">
        <f t="shared" si="52"/>
        <v xml:space="preserve">							RemProfile = o.RemProfile,</v>
      </c>
      <c r="T31" s="63" t="str">
        <f t="shared" si="53"/>
        <v xml:space="preserve">								("RemProfile"),</v>
      </c>
      <c r="V31" s="64" t="str">
        <f t="shared" si="54"/>
        <v xml:space="preserve">								_ =&gt; _.RemProfile,</v>
      </c>
      <c r="W31" s="63" t="str">
        <f t="shared" si="55"/>
        <v xml:space="preserve">				.WhereIf(!string.IsNullOrWhiteSpace(input.RemProfile), e =&gt; e.RemProfile.Contains(input.RemProfile))</v>
      </c>
    </row>
    <row r="32" spans="1:23" customFormat="1" ht="18.75" customHeight="1" x14ac:dyDescent="0.25">
      <c r="A32" s="28" t="s">
        <v>389</v>
      </c>
      <c r="B32" s="28" t="s">
        <v>364</v>
      </c>
      <c r="C32" t="s">
        <v>1</v>
      </c>
      <c r="D32" t="str">
        <f t="shared" si="13"/>
        <v>DoNotCost</v>
      </c>
      <c r="E32" t="str">
        <f t="shared" si="14"/>
        <v>nvarchar</v>
      </c>
      <c r="F32" s="6"/>
      <c r="G32" t="str">
        <f t="shared" si="15"/>
        <v>1</v>
      </c>
      <c r="H32" t="str">
        <f>+VLOOKUP(E32,'Data Type Mapping'!A:B,2,)</f>
        <v>string</v>
      </c>
      <c r="I32" t="str">
        <f t="shared" ref="I32:I43" si="56">IF(H32="string",REPT(CHAR(9),2)&amp;"public const int Max"&amp;D32&amp;"Length = "&amp;G32&amp;";"&amp;$E$3,"" )</f>
        <v xml:space="preserve">		public const int MaxDoNotCostLength = 1;
</v>
      </c>
      <c r="J32" t="str">
        <f t="shared" ref="J32:J43" si="57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[StringLength(MaxDoNotCostLength)]
		public virtual string DoNotCost { get; set; }
</v>
      </c>
      <c r="K32" s="6"/>
      <c r="L32" t="str">
        <f t="shared" ref="L32:L43" si="58">IF(K32="","",REPT(CHAR(9),1)&amp;"[Index(nameof("&amp;IF(D32="","",""&amp;D32)&amp;")"&amp;", Name="&amp;"""IX_"&amp;$B$7&amp;"_"&amp;D32&amp;""")]")</f>
        <v/>
      </c>
      <c r="M32" t="str">
        <f t="shared" ref="M32:M43" si="59">REPT(CHAR(9),2)&amp;"public virtual "&amp;IF(OR(H32="DateTime",H32="TimeSpan"),H32&amp;"?",H32)&amp;IF(C32="?","? "," ")&amp;D32&amp;" { get; set; }" &amp; "
"</f>
        <v xml:space="preserve">		public virtual string DoNotCost { get; set; }
</v>
      </c>
      <c r="N32" t="str">
        <f t="shared" ref="N32:N43" si="60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[StringLength(MstCmmMaterialMasterConsts.MaxDoNotCostLength)]
		public virtual string DoNotCost { get; set; }
</v>
      </c>
      <c r="O32" t="str">
        <f t="shared" ref="O32:O43" si="61">IF(OR(H32="string",H32="DateTime",H32="int"),REPT(CHAR(9),2)&amp;"public virtual "&amp;IF(OR(H32="DateTime",H32="TimeSpan"),H32&amp;"?",H32)&amp;IF(C32="?","? "," ")&amp;D32&amp;" { get; set; }"&amp;$E$3,"")</f>
        <v xml:space="preserve">		public virtual string DoNotCost { get; set; }
</v>
      </c>
      <c r="P32" t="str">
        <f t="shared" ref="P32:P43" si="62">REPT(CHAR(9),7)&amp;D32&amp;" = o." &amp;D32 &amp;","</f>
        <v xml:space="preserve">							DoNotCost = o.DoNotCost,</v>
      </c>
      <c r="T32" s="63" t="str">
        <f t="shared" ref="T32:T43" si="63">REPT(CHAR(9),8)&amp;"("""&amp;D32&amp;"""),"</f>
        <v xml:space="preserve">								("DoNotCost"),</v>
      </c>
      <c r="V32" s="64" t="str">
        <f t="shared" ref="V32:V43" si="64">REPT(CHAR(9),8)&amp;"_ =&gt; _."&amp;D32&amp;","</f>
        <v xml:space="preserve">								_ =&gt; _.DoNotCost,</v>
      </c>
      <c r="W32" s="63" t="str">
        <f t="shared" ref="W32:W43" si="65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.WhereIf(!string.IsNullOrWhiteSpace(input.DoNotCost), e =&gt; e.DoNotCost.Contains(input.DoNotCost))</v>
      </c>
    </row>
    <row r="33" spans="1:23" customFormat="1" ht="17.25" customHeight="1" x14ac:dyDescent="0.25">
      <c r="A33" s="28" t="s">
        <v>390</v>
      </c>
      <c r="B33" s="28" t="s">
        <v>391</v>
      </c>
      <c r="C33" t="s">
        <v>1</v>
      </c>
      <c r="D33" t="str">
        <f t="shared" si="13"/>
        <v>VarianceKey</v>
      </c>
      <c r="E33" t="str">
        <f t="shared" si="14"/>
        <v>nvarchar</v>
      </c>
      <c r="F33" s="6"/>
      <c r="G33" t="str">
        <f t="shared" si="15"/>
        <v>25</v>
      </c>
      <c r="H33" t="str">
        <f>+VLOOKUP(E33,'Data Type Mapping'!A:B,2,)</f>
        <v>string</v>
      </c>
      <c r="I33" t="str">
        <f t="shared" si="56"/>
        <v xml:space="preserve">		public const int MaxVarianceKeyLength = 25;
</v>
      </c>
      <c r="J33" t="str">
        <f t="shared" si="57"/>
        <v xml:space="preserve">		[StringLength(MaxVarianceKeyLength)]
		public virtual string VarianceKey { get; set; }
</v>
      </c>
      <c r="K33" s="6"/>
      <c r="L33" t="str">
        <f t="shared" si="58"/>
        <v/>
      </c>
      <c r="M33" t="str">
        <f t="shared" si="59"/>
        <v xml:space="preserve">		public virtual string VarianceKey { get; set; }
</v>
      </c>
      <c r="N33" t="str">
        <f t="shared" si="60"/>
        <v xml:space="preserve">		[StringLength(MstCmmMaterialMasterConsts.MaxVarianceKeyLength)]
		public virtual string VarianceKey { get; set; }
</v>
      </c>
      <c r="O33" t="str">
        <f t="shared" si="61"/>
        <v xml:space="preserve">		public virtual string VarianceKey { get; set; }
</v>
      </c>
      <c r="P33" t="str">
        <f t="shared" si="62"/>
        <v xml:space="preserve">							VarianceKey = o.VarianceKey,</v>
      </c>
      <c r="T33" s="63" t="str">
        <f t="shared" si="63"/>
        <v xml:space="preserve">								("VarianceKey"),</v>
      </c>
      <c r="V33" s="64" t="str">
        <f t="shared" si="64"/>
        <v xml:space="preserve">								_ =&gt; _.VarianceKey,</v>
      </c>
      <c r="W33" s="63" t="str">
        <f t="shared" si="65"/>
        <v xml:space="preserve">				.WhereIf(!string.IsNullOrWhiteSpace(input.VarianceKey), e =&gt; e.VarianceKey.Contains(input.VarianceKey))</v>
      </c>
    </row>
    <row r="34" spans="1:23" customFormat="1" ht="18.75" customHeight="1" x14ac:dyDescent="0.25">
      <c r="A34" s="28" t="s">
        <v>392</v>
      </c>
      <c r="B34" s="28" t="s">
        <v>393</v>
      </c>
      <c r="C34" t="s">
        <v>1</v>
      </c>
      <c r="D34" t="str">
        <f t="shared" si="13"/>
        <v>CostingLotSize</v>
      </c>
      <c r="E34" t="str">
        <f t="shared" si="14"/>
        <v>decimal</v>
      </c>
      <c r="F34" s="6"/>
      <c r="G34" t="str">
        <f t="shared" si="15"/>
        <v>13,3</v>
      </c>
      <c r="H34" t="str">
        <f>+VLOOKUP(E34,'Data Type Mapping'!A:B,2,)</f>
        <v>decimal?</v>
      </c>
      <c r="I34" t="str">
        <f t="shared" si="56"/>
        <v/>
      </c>
      <c r="J34" t="str">
        <f t="shared" si="57"/>
        <v xml:space="preserve">		public virtual decimal? CostingLotSize { get; set; }
</v>
      </c>
      <c r="K34" s="6"/>
      <c r="L34" t="str">
        <f t="shared" si="58"/>
        <v/>
      </c>
      <c r="M34" t="str">
        <f t="shared" si="59"/>
        <v xml:space="preserve">		public virtual decimal? CostingLotSize { get; set; }
</v>
      </c>
      <c r="N34" t="str">
        <f t="shared" si="60"/>
        <v xml:space="preserve">		public virtual decimal? CostingLotSize { get; set; }
</v>
      </c>
      <c r="O34" t="str">
        <f t="shared" si="61"/>
        <v/>
      </c>
      <c r="P34" t="str">
        <f t="shared" si="62"/>
        <v xml:space="preserve">							CostingLotSize = o.CostingLotSize,</v>
      </c>
      <c r="T34" s="63" t="str">
        <f t="shared" si="63"/>
        <v xml:space="preserve">								("CostingLotSize"),</v>
      </c>
      <c r="V34" s="64" t="str">
        <f t="shared" si="64"/>
        <v xml:space="preserve">								_ =&gt; _.CostingLotSize,</v>
      </c>
      <c r="W34" s="63" t="str">
        <f t="shared" si="65"/>
        <v/>
      </c>
    </row>
    <row r="35" spans="1:23" customFormat="1" ht="18.75" customHeight="1" x14ac:dyDescent="0.25">
      <c r="A35" s="28" t="s">
        <v>394</v>
      </c>
      <c r="B35" s="28" t="s">
        <v>361</v>
      </c>
      <c r="C35" t="s">
        <v>1</v>
      </c>
      <c r="D35" t="str">
        <f t="shared" si="13"/>
        <v>ProductionVersion</v>
      </c>
      <c r="E35" t="str">
        <f t="shared" si="14"/>
        <v>nvarchar</v>
      </c>
      <c r="F35" s="6"/>
      <c r="G35" t="str">
        <f t="shared" si="15"/>
        <v>4</v>
      </c>
      <c r="H35" t="str">
        <f>+VLOOKUP(E35,'Data Type Mapping'!A:B,2,)</f>
        <v>string</v>
      </c>
      <c r="I35" t="str">
        <f t="shared" si="56"/>
        <v xml:space="preserve">		public const int MaxProductionVersionLength = 4;
</v>
      </c>
      <c r="J35" t="str">
        <f t="shared" si="57"/>
        <v xml:space="preserve">		[StringLength(MaxProductionVersionLength)]
		public virtual string ProductionVersion { get; set; }
</v>
      </c>
      <c r="K35" s="6"/>
      <c r="L35" t="str">
        <f t="shared" si="58"/>
        <v/>
      </c>
      <c r="M35" t="str">
        <f t="shared" si="59"/>
        <v xml:space="preserve">		public virtual string ProductionVersion { get; set; }
</v>
      </c>
      <c r="N35" t="str">
        <f t="shared" si="60"/>
        <v xml:space="preserve">		[StringLength(MstCmmMaterialMasterConsts.MaxProductionVersionLength)]
		public virtual string ProductionVersion { get; set; }
</v>
      </c>
      <c r="O35" t="str">
        <f t="shared" si="61"/>
        <v xml:space="preserve">		public virtual string ProductionVersion { get; set; }
</v>
      </c>
      <c r="P35" t="str">
        <f t="shared" si="62"/>
        <v xml:space="preserve">							ProductionVersion = o.ProductionVersion,</v>
      </c>
      <c r="T35" s="63" t="str">
        <f t="shared" si="63"/>
        <v xml:space="preserve">								("ProductionVersion"),</v>
      </c>
      <c r="V35" s="64" t="str">
        <f t="shared" si="64"/>
        <v xml:space="preserve">								_ =&gt; _.ProductionVersion,</v>
      </c>
      <c r="W35" s="63" t="str">
        <f t="shared" si="65"/>
        <v xml:space="preserve">				.WhereIf(!string.IsNullOrWhiteSpace(input.ProductionVersion), e =&gt; e.ProductionVersion.Contains(input.ProductionVersion))</v>
      </c>
    </row>
    <row r="36" spans="1:23" customFormat="1" ht="18.75" customHeight="1" x14ac:dyDescent="0.25">
      <c r="A36" s="28" t="s">
        <v>395</v>
      </c>
      <c r="B36" s="28" t="s">
        <v>375</v>
      </c>
      <c r="C36" t="s">
        <v>1</v>
      </c>
      <c r="D36" t="str">
        <f t="shared" si="13"/>
        <v>SpecialProcurementCtgView</v>
      </c>
      <c r="E36" t="str">
        <f t="shared" si="14"/>
        <v>nvarchar</v>
      </c>
      <c r="F36" s="6"/>
      <c r="G36" t="str">
        <f t="shared" si="15"/>
        <v>2</v>
      </c>
      <c r="H36" t="str">
        <f>+VLOOKUP(E36,'Data Type Mapping'!A:B,2,)</f>
        <v>string</v>
      </c>
      <c r="I36" t="str">
        <f t="shared" si="56"/>
        <v xml:space="preserve">		public const int MaxSpecialProcurementCtgViewLength = 2;
</v>
      </c>
      <c r="J36" t="str">
        <f t="shared" si="57"/>
        <v xml:space="preserve">		[StringLength(MaxSpecialProcurementCtgViewLength)]
		public virtual string SpecialProcurementCtgView { get; set; }
</v>
      </c>
      <c r="K36" s="6"/>
      <c r="L36" t="str">
        <f t="shared" si="58"/>
        <v/>
      </c>
      <c r="M36" t="str">
        <f t="shared" si="59"/>
        <v xml:space="preserve">		public virtual string SpecialProcurementCtgView { get; set; }
</v>
      </c>
      <c r="N36" t="str">
        <f t="shared" si="60"/>
        <v xml:space="preserve">		[StringLength(MstCmmMaterialMasterConsts.MaxSpecialProcurementCtgViewLength)]
		public virtual string SpecialProcurementCtgView { get; set; }
</v>
      </c>
      <c r="O36" t="str">
        <f t="shared" si="61"/>
        <v xml:space="preserve">		public virtual string SpecialProcurementCtgView { get; set; }
</v>
      </c>
      <c r="P36" t="str">
        <f t="shared" si="62"/>
        <v xml:space="preserve">							SpecialProcurementCtgView = o.SpecialProcurementCtgView,</v>
      </c>
      <c r="T36" s="63" t="str">
        <f t="shared" si="63"/>
        <v xml:space="preserve">								("SpecialProcurementCtgView"),</v>
      </c>
      <c r="V36" s="64" t="str">
        <f t="shared" si="64"/>
        <v xml:space="preserve">								_ =&gt; _.SpecialProcurementCtgView,</v>
      </c>
      <c r="W36" s="63" t="str">
        <f t="shared" si="65"/>
        <v xml:space="preserve">				.WhereIf(!string.IsNullOrWhiteSpace(input.SpecialProcurementCtgView), e =&gt; e.SpecialProcurementCtgView.Contains(input.SpecialProcurementCtgView))</v>
      </c>
    </row>
    <row r="37" spans="1:23" customFormat="1" ht="18.75" customHeight="1" x14ac:dyDescent="0.25">
      <c r="A37" s="28" t="s">
        <v>396</v>
      </c>
      <c r="B37" s="28" t="s">
        <v>364</v>
      </c>
      <c r="C37" t="s">
        <v>1</v>
      </c>
      <c r="D37" t="str">
        <f t="shared" si="13"/>
        <v>ValuationCategory</v>
      </c>
      <c r="E37" t="str">
        <f t="shared" si="14"/>
        <v>nvarchar</v>
      </c>
      <c r="F37" s="6"/>
      <c r="G37" t="str">
        <f t="shared" si="15"/>
        <v>1</v>
      </c>
      <c r="H37" t="str">
        <f>+VLOOKUP(E37,'Data Type Mapping'!A:B,2,)</f>
        <v>string</v>
      </c>
      <c r="I37" t="str">
        <f t="shared" si="56"/>
        <v xml:space="preserve">		public const int MaxValuationCategoryLength = 1;
</v>
      </c>
      <c r="J37" t="str">
        <f t="shared" si="57"/>
        <v xml:space="preserve">		[StringLength(MaxValuationCategoryLength)]
		public virtual string ValuationCategory { get; set; }
</v>
      </c>
      <c r="K37" s="6"/>
      <c r="L37" t="str">
        <f t="shared" si="58"/>
        <v/>
      </c>
      <c r="M37" t="str">
        <f t="shared" si="59"/>
        <v xml:space="preserve">		public virtual string ValuationCategory { get; set; }
</v>
      </c>
      <c r="N37" t="str">
        <f t="shared" si="60"/>
        <v xml:space="preserve">		[StringLength(MstCmmMaterialMasterConsts.MaxValuationCategoryLength)]
		public virtual string ValuationCategory { get; set; }
</v>
      </c>
      <c r="O37" t="str">
        <f t="shared" si="61"/>
        <v xml:space="preserve">		public virtual string ValuationCategory { get; set; }
</v>
      </c>
      <c r="P37" t="str">
        <f t="shared" si="62"/>
        <v xml:space="preserve">							ValuationCategory = o.ValuationCategory,</v>
      </c>
      <c r="T37" s="63" t="str">
        <f t="shared" si="63"/>
        <v xml:space="preserve">								("ValuationCategory"),</v>
      </c>
      <c r="V37" s="64" t="str">
        <f t="shared" si="64"/>
        <v xml:space="preserve">								_ =&gt; _.ValuationCategory,</v>
      </c>
      <c r="W37" s="63" t="str">
        <f t="shared" si="65"/>
        <v xml:space="preserve">				.WhereIf(!string.IsNullOrWhiteSpace(input.ValuationCategory), e =&gt; e.ValuationCategory.Contains(input.ValuationCategory))</v>
      </c>
    </row>
    <row r="38" spans="1:23" customFormat="1" ht="18.75" customHeight="1" x14ac:dyDescent="0.25">
      <c r="A38" s="28" t="s">
        <v>397</v>
      </c>
      <c r="B38" s="28" t="s">
        <v>377</v>
      </c>
      <c r="C38" t="s">
        <v>1</v>
      </c>
      <c r="D38" t="str">
        <f t="shared" si="13"/>
        <v>ValuationType</v>
      </c>
      <c r="E38" t="str">
        <f t="shared" si="14"/>
        <v>nvarchar</v>
      </c>
      <c r="F38" s="6"/>
      <c r="G38" t="str">
        <f t="shared" si="15"/>
        <v>10</v>
      </c>
      <c r="H38" t="str">
        <f>+VLOOKUP(E38,'Data Type Mapping'!A:B,2,)</f>
        <v>string</v>
      </c>
      <c r="I38" t="str">
        <f t="shared" si="56"/>
        <v xml:space="preserve">		public const int MaxValuationTypeLength = 10;
</v>
      </c>
      <c r="J38" t="str">
        <f t="shared" si="57"/>
        <v xml:space="preserve">		[StringLength(MaxValuationTypeLength)]
		public virtual string ValuationType { get; set; }
</v>
      </c>
      <c r="K38" s="6"/>
      <c r="L38" t="str">
        <f t="shared" si="58"/>
        <v/>
      </c>
      <c r="M38" t="str">
        <f t="shared" si="59"/>
        <v xml:space="preserve">		public virtual string ValuationType { get; set; }
</v>
      </c>
      <c r="N38" t="str">
        <f t="shared" si="60"/>
        <v xml:space="preserve">		[StringLength(MstCmmMaterialMasterConsts.MaxValuationTypeLength)]
		public virtual string ValuationType { get; set; }
</v>
      </c>
      <c r="O38" t="str">
        <f t="shared" si="61"/>
        <v xml:space="preserve">		public virtual string ValuationType { get; set; }
</v>
      </c>
      <c r="P38" t="str">
        <f t="shared" si="62"/>
        <v xml:space="preserve">							ValuationType = o.ValuationType,</v>
      </c>
      <c r="T38" s="63" t="str">
        <f t="shared" si="63"/>
        <v xml:space="preserve">								("ValuationType"),</v>
      </c>
      <c r="V38" s="64" t="str">
        <f t="shared" si="64"/>
        <v xml:space="preserve">								_ =&gt; _.ValuationType,</v>
      </c>
      <c r="W38" s="63" t="str">
        <f t="shared" si="65"/>
        <v xml:space="preserve">				.WhereIf(!string.IsNullOrWhiteSpace(input.ValuationType), e =&gt; e.ValuationType.Contains(input.ValuationType))</v>
      </c>
    </row>
    <row r="39" spans="1:23" customFormat="1" ht="18.75" customHeight="1" x14ac:dyDescent="0.25">
      <c r="A39" s="28" t="s">
        <v>398</v>
      </c>
      <c r="B39" s="28" t="s">
        <v>361</v>
      </c>
      <c r="C39" t="s">
        <v>1</v>
      </c>
      <c r="D39" t="str">
        <f t="shared" si="13"/>
        <v>ValuationClass</v>
      </c>
      <c r="E39" t="str">
        <f t="shared" si="14"/>
        <v>nvarchar</v>
      </c>
      <c r="F39" s="6"/>
      <c r="G39" t="str">
        <f t="shared" si="15"/>
        <v>4</v>
      </c>
      <c r="H39" t="str">
        <f>+VLOOKUP(E39,'Data Type Mapping'!A:B,2,)</f>
        <v>string</v>
      </c>
      <c r="I39" t="str">
        <f t="shared" si="56"/>
        <v xml:space="preserve">		public const int MaxValuationClassLength = 4;
</v>
      </c>
      <c r="J39" t="str">
        <f t="shared" si="57"/>
        <v xml:space="preserve">		[StringLength(MaxValuationClassLength)]
		public virtual string ValuationClass { get; set; }
</v>
      </c>
      <c r="K39" s="6"/>
      <c r="L39" t="str">
        <f t="shared" si="58"/>
        <v/>
      </c>
      <c r="M39" t="str">
        <f t="shared" si="59"/>
        <v xml:space="preserve">		public virtual string ValuationClass { get; set; }
</v>
      </c>
      <c r="N39" t="str">
        <f t="shared" si="60"/>
        <v xml:space="preserve">		[StringLength(MstCmmMaterialMasterConsts.MaxValuationClassLength)]
		public virtual string ValuationClass { get; set; }
</v>
      </c>
      <c r="O39" t="str">
        <f t="shared" si="61"/>
        <v xml:space="preserve">		public virtual string ValuationClass { get; set; }
</v>
      </c>
      <c r="P39" t="str">
        <f t="shared" si="62"/>
        <v xml:space="preserve">							ValuationClass = o.ValuationClass,</v>
      </c>
      <c r="T39" s="63" t="str">
        <f t="shared" si="63"/>
        <v xml:space="preserve">								("ValuationClass"),</v>
      </c>
      <c r="V39" s="64" t="str">
        <f t="shared" si="64"/>
        <v xml:space="preserve">								_ =&gt; _.ValuationClass,</v>
      </c>
      <c r="W39" s="63" t="str">
        <f t="shared" si="65"/>
        <v xml:space="preserve">				.WhereIf(!string.IsNullOrWhiteSpace(input.ValuationClass), e =&gt; e.ValuationClass.Contains(input.ValuationClass))</v>
      </c>
    </row>
    <row r="40" spans="1:23" customFormat="1" ht="18.75" customHeight="1" x14ac:dyDescent="0.25">
      <c r="A40" s="28" t="s">
        <v>399</v>
      </c>
      <c r="B40" s="28" t="s">
        <v>364</v>
      </c>
      <c r="C40" t="s">
        <v>1</v>
      </c>
      <c r="D40" t="str">
        <f t="shared" si="13"/>
        <v>PriceDetermination</v>
      </c>
      <c r="E40" t="str">
        <f t="shared" si="14"/>
        <v>nvarchar</v>
      </c>
      <c r="F40" s="6"/>
      <c r="G40" t="str">
        <f t="shared" si="15"/>
        <v>1</v>
      </c>
      <c r="H40" t="str">
        <f>+VLOOKUP(E40,'Data Type Mapping'!A:B,2,)</f>
        <v>string</v>
      </c>
      <c r="I40" t="str">
        <f t="shared" si="56"/>
        <v xml:space="preserve">		public const int MaxPriceDeterminationLength = 1;
</v>
      </c>
      <c r="J40" t="str">
        <f t="shared" si="57"/>
        <v xml:space="preserve">		[StringLength(MaxPriceDeterminationLength)]
		public virtual string PriceDetermination { get; set; }
</v>
      </c>
      <c r="K40" s="6"/>
      <c r="L40" t="str">
        <f t="shared" si="58"/>
        <v/>
      </c>
      <c r="M40" t="str">
        <f t="shared" si="59"/>
        <v xml:space="preserve">		public virtual string PriceDetermination { get; set; }
</v>
      </c>
      <c r="N40" t="str">
        <f t="shared" si="60"/>
        <v xml:space="preserve">		[StringLength(MstCmmMaterialMasterConsts.MaxPriceDeterminationLength)]
		public virtual string PriceDetermination { get; set; }
</v>
      </c>
      <c r="O40" t="str">
        <f t="shared" si="61"/>
        <v xml:space="preserve">		public virtual string PriceDetermination { get; set; }
</v>
      </c>
      <c r="P40" t="str">
        <f t="shared" si="62"/>
        <v xml:space="preserve">							PriceDetermination = o.PriceDetermination,</v>
      </c>
      <c r="T40" s="63" t="str">
        <f t="shared" si="63"/>
        <v xml:space="preserve">								("PriceDetermination"),</v>
      </c>
      <c r="V40" s="64" t="str">
        <f t="shared" si="64"/>
        <v xml:space="preserve">								_ =&gt; _.PriceDetermination,</v>
      </c>
      <c r="W40" s="63" t="str">
        <f t="shared" si="65"/>
        <v xml:space="preserve">				.WhereIf(!string.IsNullOrWhiteSpace(input.PriceDetermination), e =&gt; e.PriceDetermination.Contains(input.PriceDetermination))</v>
      </c>
    </row>
    <row r="41" spans="1:23" customFormat="1" ht="18.75" customHeight="1" x14ac:dyDescent="0.25">
      <c r="A41" s="28" t="s">
        <v>400</v>
      </c>
      <c r="B41" s="28" t="s">
        <v>364</v>
      </c>
      <c r="C41" t="s">
        <v>1</v>
      </c>
      <c r="D41" t="str">
        <f t="shared" si="13"/>
        <v>PriceControl</v>
      </c>
      <c r="E41" t="str">
        <f t="shared" si="14"/>
        <v>nvarchar</v>
      </c>
      <c r="F41" s="6"/>
      <c r="G41" t="str">
        <f t="shared" si="15"/>
        <v>1</v>
      </c>
      <c r="H41" t="str">
        <f>+VLOOKUP(E41,'Data Type Mapping'!A:B,2,)</f>
        <v>string</v>
      </c>
      <c r="I41" t="str">
        <f t="shared" si="56"/>
        <v xml:space="preserve">		public const int MaxPriceControlLength = 1;
</v>
      </c>
      <c r="J41" t="str">
        <f t="shared" si="57"/>
        <v xml:space="preserve">		[StringLength(MaxPriceControlLength)]
		public virtual string PriceControl { get; set; }
</v>
      </c>
      <c r="K41" s="6"/>
      <c r="L41" t="str">
        <f t="shared" si="58"/>
        <v/>
      </c>
      <c r="M41" t="str">
        <f t="shared" si="59"/>
        <v xml:space="preserve">		public virtual string PriceControl { get; set; }
</v>
      </c>
      <c r="N41" t="str">
        <f t="shared" si="60"/>
        <v xml:space="preserve">		[StringLength(MstCmmMaterialMasterConsts.MaxPriceControlLength)]
		public virtual string PriceControl { get; set; }
</v>
      </c>
      <c r="O41" t="str">
        <f t="shared" si="61"/>
        <v xml:space="preserve">		public virtual string PriceControl { get; set; }
</v>
      </c>
      <c r="P41" t="str">
        <f t="shared" si="62"/>
        <v xml:space="preserve">							PriceControl = o.PriceControl,</v>
      </c>
      <c r="T41" s="63" t="str">
        <f t="shared" si="63"/>
        <v xml:space="preserve">								("PriceControl"),</v>
      </c>
      <c r="V41" s="64" t="str">
        <f t="shared" si="64"/>
        <v xml:space="preserve">								_ =&gt; _.PriceControl,</v>
      </c>
      <c r="W41" s="63" t="str">
        <f t="shared" si="65"/>
        <v xml:space="preserve">				.WhereIf(!string.IsNullOrWhiteSpace(input.PriceControl), e =&gt; e.PriceControl.Contains(input.PriceControl))</v>
      </c>
    </row>
    <row r="42" spans="1:23" customFormat="1" ht="18.75" customHeight="1" x14ac:dyDescent="0.25">
      <c r="A42" s="28" t="s">
        <v>401</v>
      </c>
      <c r="B42" s="28" t="s">
        <v>402</v>
      </c>
      <c r="C42" t="s">
        <v>1</v>
      </c>
      <c r="D42" t="str">
        <f t="shared" si="13"/>
        <v>StandardPrice</v>
      </c>
      <c r="E42" t="str">
        <f t="shared" si="14"/>
        <v>decimal</v>
      </c>
      <c r="F42" s="6"/>
      <c r="G42" t="str">
        <f t="shared" si="15"/>
        <v>11,2</v>
      </c>
      <c r="H42" t="str">
        <f>+VLOOKUP(E42,'Data Type Mapping'!A:B,2,)</f>
        <v>decimal?</v>
      </c>
      <c r="I42" t="str">
        <f t="shared" si="56"/>
        <v/>
      </c>
      <c r="J42" t="str">
        <f t="shared" si="57"/>
        <v xml:space="preserve">		public virtual decimal? StandardPrice { get; set; }
</v>
      </c>
      <c r="K42" s="6"/>
      <c r="L42" t="str">
        <f t="shared" si="58"/>
        <v/>
      </c>
      <c r="M42" t="str">
        <f t="shared" si="59"/>
        <v xml:space="preserve">		public virtual decimal? StandardPrice { get; set; }
</v>
      </c>
      <c r="N42" t="str">
        <f t="shared" si="60"/>
        <v xml:space="preserve">		public virtual decimal? StandardPrice { get; set; }
</v>
      </c>
      <c r="O42" t="str">
        <f t="shared" si="61"/>
        <v/>
      </c>
      <c r="P42" t="str">
        <f t="shared" si="62"/>
        <v xml:space="preserve">							StandardPrice = o.StandardPrice,</v>
      </c>
      <c r="T42" s="63" t="str">
        <f t="shared" si="63"/>
        <v xml:space="preserve">								("StandardPrice"),</v>
      </c>
      <c r="V42" s="64" t="str">
        <f t="shared" si="64"/>
        <v xml:space="preserve">								_ =&gt; _.StandardPrice,</v>
      </c>
      <c r="W42" s="63" t="str">
        <f t="shared" si="65"/>
        <v/>
      </c>
    </row>
    <row r="43" spans="1:23" customFormat="1" ht="18.75" customHeight="1" x14ac:dyDescent="0.25">
      <c r="A43" s="28" t="s">
        <v>403</v>
      </c>
      <c r="B43" s="28" t="s">
        <v>402</v>
      </c>
      <c r="C43" t="s">
        <v>1</v>
      </c>
      <c r="D43" t="str">
        <f t="shared" si="13"/>
        <v>MovingPrice</v>
      </c>
      <c r="E43" t="str">
        <f t="shared" si="14"/>
        <v>decimal</v>
      </c>
      <c r="F43" s="6"/>
      <c r="G43" t="str">
        <f t="shared" si="15"/>
        <v>11,2</v>
      </c>
      <c r="H43" t="str">
        <f>+VLOOKUP(E43,'Data Type Mapping'!A:B,2,)</f>
        <v>decimal?</v>
      </c>
      <c r="I43" t="str">
        <f t="shared" si="56"/>
        <v/>
      </c>
      <c r="J43" t="str">
        <f t="shared" si="57"/>
        <v xml:space="preserve">		public virtual decimal? MovingPrice { get; set; }
</v>
      </c>
      <c r="K43" s="6"/>
      <c r="L43" t="str">
        <f t="shared" si="58"/>
        <v/>
      </c>
      <c r="M43" t="str">
        <f t="shared" si="59"/>
        <v xml:space="preserve">		public virtual decimal? MovingPrice { get; set; }
</v>
      </c>
      <c r="N43" t="str">
        <f t="shared" si="60"/>
        <v xml:space="preserve">		public virtual decimal? MovingPrice { get; set; }
</v>
      </c>
      <c r="O43" t="str">
        <f t="shared" si="61"/>
        <v/>
      </c>
      <c r="P43" t="str">
        <f t="shared" si="62"/>
        <v xml:space="preserve">							MovingPrice = o.MovingPrice,</v>
      </c>
      <c r="T43" s="63" t="str">
        <f t="shared" si="63"/>
        <v xml:space="preserve">								("MovingPrice"),</v>
      </c>
      <c r="V43" s="64" t="str">
        <f t="shared" si="64"/>
        <v xml:space="preserve">								_ =&gt; _.MovingPrice,</v>
      </c>
      <c r="W43" s="63" t="str">
        <f t="shared" si="65"/>
        <v/>
      </c>
    </row>
    <row r="44" spans="1:23" customFormat="1" ht="18.75" customHeight="1" x14ac:dyDescent="0.25">
      <c r="A44" s="28" t="s">
        <v>404</v>
      </c>
      <c r="B44" s="28" t="s">
        <v>364</v>
      </c>
      <c r="C44" t="s">
        <v>1</v>
      </c>
      <c r="D44" t="str">
        <f t="shared" si="13"/>
        <v>WithQtyStructure</v>
      </c>
      <c r="E44" t="str">
        <f t="shared" si="14"/>
        <v>nvarchar</v>
      </c>
      <c r="F44" s="6"/>
      <c r="G44" t="str">
        <f t="shared" si="15"/>
        <v>1</v>
      </c>
      <c r="H44" t="str">
        <f>+VLOOKUP(E44,'Data Type Mapping'!A:B,2,)</f>
        <v>string</v>
      </c>
      <c r="I44" t="str">
        <f t="shared" ref="I44:I51" si="66">IF(H44="string",REPT(CHAR(9),2)&amp;"public const int Max"&amp;D44&amp;"Length = "&amp;G44&amp;";"&amp;$E$3,"" )</f>
        <v xml:space="preserve">		public const int MaxWithQtyStructureLength = 1;
</v>
      </c>
      <c r="J44" t="str">
        <f t="shared" ref="J44:J51" si="67">IF(F44="","",REPT(CHAR(9),2)&amp;"[Column(TypeName="""&amp;F44&amp;""")]"&amp;$E$3)&amp;IF(C44="Checked","",$I$3)&amp;IF(H44="string",REPT(CHAR(9),2)&amp;"[StringLength(Max"&amp;D44&amp;"Length"&amp;")]"&amp;$E$3,"")&amp;REPT(CHAR(9),2)&amp;"public virtual "&amp;H44&amp;IF(C44="?","? "," ")&amp;D44&amp;" { get; set; }" &amp; "
"</f>
        <v xml:space="preserve">		[StringLength(MaxWithQtyStructureLength)]
		public virtual string WithQtyStructure { get; set; }
</v>
      </c>
      <c r="K44" s="6"/>
      <c r="L44" t="str">
        <f t="shared" ref="L44:L51" si="68">IF(K44="","",REPT(CHAR(9),1)&amp;"[Index(nameof("&amp;IF(D44="","",""&amp;D44)&amp;")"&amp;", Name="&amp;"""IX_"&amp;$B$7&amp;"_"&amp;D44&amp;""")]")</f>
        <v/>
      </c>
      <c r="M44" t="str">
        <f t="shared" ref="M44:M51" si="69">REPT(CHAR(9),2)&amp;"public virtual "&amp;IF(OR(H44="DateTime",H44="TimeSpan"),H44&amp;"?",H44)&amp;IF(C44="?","? "," ")&amp;D44&amp;" { get; set; }" &amp; "
"</f>
        <v xml:space="preserve">		public virtual string WithQtyStructure { get; set; }
</v>
      </c>
      <c r="N44" t="str">
        <f t="shared" ref="N44:N51" si="70">IF(C44="Checked","",$I$3)&amp;IF(H44="string",REPT(CHAR(9),2)&amp;"[StringLength("&amp;$B$3&amp;"Consts.Max"&amp;D44&amp;"Length"&amp;")]"&amp;$E$3,"")&amp;REPT(CHAR(9),2)&amp;"public virtual "&amp;IF(OR(H44="DateTime",H44="TimeSpan"),H44&amp;"?",H44)&amp;IF(C44="?","? "," ")&amp;D44&amp;" { get; set; }" &amp; "
"</f>
        <v xml:space="preserve">		[StringLength(MstCmmMaterialMasterConsts.MaxWithQtyStructureLength)]
		public virtual string WithQtyStructure { get; set; }
</v>
      </c>
      <c r="O44" t="str">
        <f t="shared" ref="O44:O51" si="71">IF(OR(H44="string",H44="DateTime",H44="int"),REPT(CHAR(9),2)&amp;"public virtual "&amp;IF(OR(H44="DateTime",H44="TimeSpan"),H44&amp;"?",H44)&amp;IF(C44="?","? "," ")&amp;D44&amp;" { get; set; }"&amp;$E$3,"")</f>
        <v xml:space="preserve">		public virtual string WithQtyStructure { get; set; }
</v>
      </c>
      <c r="P44" t="str">
        <f t="shared" ref="P44:P51" si="72">REPT(CHAR(9),7)&amp;D44&amp;" = o." &amp;D44 &amp;","</f>
        <v xml:space="preserve">							WithQtyStructure = o.WithQtyStructure,</v>
      </c>
      <c r="T44" s="63" t="str">
        <f t="shared" ref="T44:T51" si="73">REPT(CHAR(9),8)&amp;"("""&amp;D44&amp;"""),"</f>
        <v xml:space="preserve">								("WithQtyStructure"),</v>
      </c>
      <c r="V44" s="64" t="str">
        <f t="shared" ref="V44:V51" si="74">REPT(CHAR(9),8)&amp;"_ =&gt; _."&amp;D44&amp;","</f>
        <v xml:space="preserve">								_ =&gt; _.WithQtyStructure,</v>
      </c>
      <c r="W44" s="63" t="str">
        <f t="shared" ref="W44:W51" si="75">IF(H44="string",REPT(CHAR(9),4)&amp;".WhereIf(!string.IsNullOrWhiteSpace(input."&amp;D44&amp;"), e =&gt; e."&amp;D44&amp;".Contains(input."&amp;D44&amp;"))",IF(H44="DateTime",REPT(CHAR(9),4)&amp;".WhereIf(input."&amp;D44&amp;".HasValue, t =&gt; t."&amp;D44&amp;" == input."&amp;D44&amp;".Value)",""))</f>
        <v xml:space="preserve">				.WhereIf(!string.IsNullOrWhiteSpace(input.WithQtyStructure), e =&gt; e.WithQtyStructure.Contains(input.WithQtyStructure))</v>
      </c>
    </row>
    <row r="45" spans="1:23" customFormat="1" ht="17.25" customHeight="1" x14ac:dyDescent="0.25">
      <c r="A45" s="28" t="s">
        <v>405</v>
      </c>
      <c r="B45" s="28" t="s">
        <v>364</v>
      </c>
      <c r="C45" t="s">
        <v>1</v>
      </c>
      <c r="D45" t="str">
        <f t="shared" si="13"/>
        <v>MaterialOrigin</v>
      </c>
      <c r="E45" t="str">
        <f t="shared" si="14"/>
        <v>nvarchar</v>
      </c>
      <c r="F45" s="6"/>
      <c r="G45" t="str">
        <f t="shared" si="15"/>
        <v>1</v>
      </c>
      <c r="H45" t="str">
        <f>+VLOOKUP(E45,'Data Type Mapping'!A:B,2,)</f>
        <v>string</v>
      </c>
      <c r="I45" t="str">
        <f t="shared" si="66"/>
        <v xml:space="preserve">		public const int MaxMaterialOriginLength = 1;
</v>
      </c>
      <c r="J45" t="str">
        <f t="shared" si="67"/>
        <v xml:space="preserve">		[StringLength(MaxMaterialOriginLength)]
		public virtual string MaterialOrigin { get; set; }
</v>
      </c>
      <c r="K45" s="6"/>
      <c r="L45" t="str">
        <f t="shared" si="68"/>
        <v/>
      </c>
      <c r="M45" t="str">
        <f t="shared" si="69"/>
        <v xml:space="preserve">		public virtual string MaterialOrigin { get; set; }
</v>
      </c>
      <c r="N45" t="str">
        <f t="shared" si="70"/>
        <v xml:space="preserve">		[StringLength(MstCmmMaterialMasterConsts.MaxMaterialOriginLength)]
		public virtual string MaterialOrigin { get; set; }
</v>
      </c>
      <c r="O45" t="str">
        <f t="shared" si="71"/>
        <v xml:space="preserve">		public virtual string MaterialOrigin { get; set; }
</v>
      </c>
      <c r="P45" t="str">
        <f t="shared" si="72"/>
        <v xml:space="preserve">							MaterialOrigin = o.MaterialOrigin,</v>
      </c>
      <c r="T45" s="63" t="str">
        <f t="shared" si="73"/>
        <v xml:space="preserve">								("MaterialOrigin"),</v>
      </c>
      <c r="V45" s="64" t="str">
        <f t="shared" si="74"/>
        <v xml:space="preserve">								_ =&gt; _.MaterialOrigin,</v>
      </c>
      <c r="W45" s="63" t="str">
        <f t="shared" si="75"/>
        <v xml:space="preserve">				.WhereIf(!string.IsNullOrWhiteSpace(input.MaterialOrigin), e =&gt; e.MaterialOrigin.Contains(input.MaterialOrigin))</v>
      </c>
    </row>
    <row r="46" spans="1:23" customFormat="1" ht="18.75" customHeight="1" x14ac:dyDescent="0.25">
      <c r="A46" s="28" t="s">
        <v>406</v>
      </c>
      <c r="B46" s="28" t="s">
        <v>361</v>
      </c>
      <c r="C46" t="s">
        <v>1</v>
      </c>
      <c r="D46" t="str">
        <f t="shared" si="13"/>
        <v>OriginGroup</v>
      </c>
      <c r="E46" t="str">
        <f t="shared" si="14"/>
        <v>nvarchar</v>
      </c>
      <c r="F46" s="6"/>
      <c r="G46" t="str">
        <f t="shared" si="15"/>
        <v>4</v>
      </c>
      <c r="H46" t="str">
        <f>+VLOOKUP(E46,'Data Type Mapping'!A:B,2,)</f>
        <v>string</v>
      </c>
      <c r="I46" t="str">
        <f t="shared" si="66"/>
        <v xml:space="preserve">		public const int MaxOriginGroupLength = 4;
</v>
      </c>
      <c r="J46" t="str">
        <f t="shared" si="67"/>
        <v xml:space="preserve">		[StringLength(MaxOriginGroupLength)]
		public virtual string OriginGroup { get; set; }
</v>
      </c>
      <c r="K46" s="6"/>
      <c r="L46" t="str">
        <f t="shared" si="68"/>
        <v/>
      </c>
      <c r="M46" t="str">
        <f t="shared" si="69"/>
        <v xml:space="preserve">		public virtual string OriginGroup { get; set; }
</v>
      </c>
      <c r="N46" t="str">
        <f t="shared" si="70"/>
        <v xml:space="preserve">		[StringLength(MstCmmMaterialMasterConsts.MaxOriginGroupLength)]
		public virtual string OriginGroup { get; set; }
</v>
      </c>
      <c r="O46" t="str">
        <f t="shared" si="71"/>
        <v xml:space="preserve">		public virtual string OriginGroup { get; set; }
</v>
      </c>
      <c r="P46" t="str">
        <f t="shared" si="72"/>
        <v xml:space="preserve">							OriginGroup = o.OriginGroup,</v>
      </c>
      <c r="T46" s="63" t="str">
        <f t="shared" si="73"/>
        <v xml:space="preserve">								("OriginGroup"),</v>
      </c>
      <c r="V46" s="64" t="str">
        <f t="shared" si="74"/>
        <v xml:space="preserve">								_ =&gt; _.OriginGroup,</v>
      </c>
      <c r="W46" s="63" t="str">
        <f t="shared" si="75"/>
        <v xml:space="preserve">				.WhereIf(!string.IsNullOrWhiteSpace(input.OriginGroup), e =&gt; e.OriginGroup.Contains(input.OriginGroup))</v>
      </c>
    </row>
    <row r="47" spans="1:23" customFormat="1" ht="18.75" customHeight="1" x14ac:dyDescent="0.25">
      <c r="A47" s="28" t="s">
        <v>407</v>
      </c>
      <c r="B47" s="28" t="s">
        <v>361</v>
      </c>
      <c r="C47" t="s">
        <v>1</v>
      </c>
      <c r="D47" t="str">
        <f t="shared" si="13"/>
        <v>AuthorizationGroup</v>
      </c>
      <c r="E47" t="str">
        <f t="shared" si="14"/>
        <v>nvarchar</v>
      </c>
      <c r="F47" s="6"/>
      <c r="G47" t="str">
        <f t="shared" si="15"/>
        <v>4</v>
      </c>
      <c r="H47" t="str">
        <f>+VLOOKUP(E47,'Data Type Mapping'!A:B,2,)</f>
        <v>string</v>
      </c>
      <c r="I47" t="str">
        <f t="shared" si="66"/>
        <v xml:space="preserve">		public const int MaxAuthorizationGroupLength = 4;
</v>
      </c>
      <c r="J47" t="str">
        <f t="shared" si="67"/>
        <v xml:space="preserve">		[StringLength(MaxAuthorizationGroupLength)]
		public virtual string AuthorizationGroup { get; set; }
</v>
      </c>
      <c r="K47" s="6"/>
      <c r="L47" t="str">
        <f t="shared" si="68"/>
        <v/>
      </c>
      <c r="M47" t="str">
        <f t="shared" si="69"/>
        <v xml:space="preserve">		public virtual string AuthorizationGroup { get; set; }
</v>
      </c>
      <c r="N47" t="str">
        <f t="shared" si="70"/>
        <v xml:space="preserve">		[StringLength(MstCmmMaterialMasterConsts.MaxAuthorizationGroupLength)]
		public virtual string AuthorizationGroup { get; set; }
</v>
      </c>
      <c r="O47" t="str">
        <f t="shared" si="71"/>
        <v xml:space="preserve">		public virtual string AuthorizationGroup { get; set; }
</v>
      </c>
      <c r="P47" t="str">
        <f t="shared" si="72"/>
        <v xml:space="preserve">							AuthorizationGroup = o.AuthorizationGroup,</v>
      </c>
      <c r="T47" s="63" t="str">
        <f t="shared" si="73"/>
        <v xml:space="preserve">								("AuthorizationGroup"),</v>
      </c>
      <c r="V47" s="64" t="str">
        <f t="shared" si="74"/>
        <v xml:space="preserve">								_ =&gt; _.AuthorizationGroup,</v>
      </c>
      <c r="W47" s="63" t="str">
        <f t="shared" si="75"/>
        <v xml:space="preserve">				.WhereIf(!string.IsNullOrWhiteSpace(input.AuthorizationGroup), e =&gt; e.AuthorizationGroup.Contains(input.AuthorizationGroup))</v>
      </c>
    </row>
    <row r="48" spans="1:23" customFormat="1" ht="18.75" customHeight="1" x14ac:dyDescent="0.25">
      <c r="A48" s="28" t="s">
        <v>408</v>
      </c>
      <c r="B48" s="28" t="s">
        <v>361</v>
      </c>
      <c r="C48" t="s">
        <v>1</v>
      </c>
      <c r="D48" t="str">
        <f t="shared" si="13"/>
        <v>MatSrc</v>
      </c>
      <c r="E48" t="str">
        <f t="shared" si="14"/>
        <v>nvarchar</v>
      </c>
      <c r="F48" s="6"/>
      <c r="G48" t="str">
        <f t="shared" si="15"/>
        <v>4</v>
      </c>
      <c r="H48" t="str">
        <f>+VLOOKUP(E48,'Data Type Mapping'!A:B,2,)</f>
        <v>string</v>
      </c>
      <c r="I48" t="str">
        <f t="shared" si="66"/>
        <v xml:space="preserve">		public const int MaxMatSrcLength = 4;
</v>
      </c>
      <c r="J48" t="str">
        <f t="shared" si="67"/>
        <v xml:space="preserve">		[StringLength(MaxMatSrcLength)]
		public virtual string MatSrc { get; set; }
</v>
      </c>
      <c r="K48" s="6"/>
      <c r="L48" t="str">
        <f t="shared" si="68"/>
        <v/>
      </c>
      <c r="M48" t="str">
        <f t="shared" si="69"/>
        <v xml:space="preserve">		public virtual string MatSrc { get; set; }
</v>
      </c>
      <c r="N48" t="str">
        <f t="shared" si="70"/>
        <v xml:space="preserve">		[StringLength(MstCmmMaterialMasterConsts.MaxMatSrcLength)]
		public virtual string MatSrc { get; set; }
</v>
      </c>
      <c r="O48" t="str">
        <f t="shared" si="71"/>
        <v xml:space="preserve">		public virtual string MatSrc { get; set; }
</v>
      </c>
      <c r="P48" t="str">
        <f t="shared" si="72"/>
        <v xml:space="preserve">							MatSrc = o.MatSrc,</v>
      </c>
      <c r="T48" s="63" t="str">
        <f t="shared" si="73"/>
        <v xml:space="preserve">								("MatSrc"),</v>
      </c>
      <c r="V48" s="64" t="str">
        <f t="shared" si="74"/>
        <v xml:space="preserve">								_ =&gt; _.MatSrc,</v>
      </c>
      <c r="W48" s="63" t="str">
        <f t="shared" si="75"/>
        <v xml:space="preserve">				.WhereIf(!string.IsNullOrWhiteSpace(input.MatSrc), e =&gt; e.MatSrc.Contains(input.MatSrc))</v>
      </c>
    </row>
    <row r="49" spans="1:23" customFormat="1" ht="18.75" customHeight="1" x14ac:dyDescent="0.25">
      <c r="A49" s="28" t="s">
        <v>409</v>
      </c>
      <c r="B49" s="28" t="s">
        <v>3</v>
      </c>
      <c r="C49" t="s">
        <v>1</v>
      </c>
      <c r="D49" t="str">
        <f t="shared" si="13"/>
        <v>EffectiveDateFrom</v>
      </c>
      <c r="E49" t="str">
        <f t="shared" si="14"/>
        <v>datetime</v>
      </c>
      <c r="F49" s="6"/>
      <c r="G49" t="str">
        <f t="shared" si="15"/>
        <v/>
      </c>
      <c r="H49" t="str">
        <f>+VLOOKUP(E49,'Data Type Mapping'!A:B,2,)</f>
        <v>DateTime?</v>
      </c>
      <c r="I49" t="str">
        <f t="shared" si="66"/>
        <v/>
      </c>
      <c r="J49" t="str">
        <f t="shared" si="67"/>
        <v xml:space="preserve">		public virtual DateTime? EffectiveDateFrom { get; set; }
</v>
      </c>
      <c r="K49" s="6"/>
      <c r="L49" t="str">
        <f t="shared" si="68"/>
        <v/>
      </c>
      <c r="M49" t="str">
        <f t="shared" si="69"/>
        <v xml:space="preserve">		public virtual DateTime? EffectiveDateFrom { get; set; }
</v>
      </c>
      <c r="N49" t="str">
        <f t="shared" si="70"/>
        <v xml:space="preserve">		public virtual DateTime? EffectiveDateFrom { get; set; }
</v>
      </c>
      <c r="O49" t="str">
        <f t="shared" si="71"/>
        <v/>
      </c>
      <c r="P49" t="str">
        <f t="shared" si="72"/>
        <v xml:space="preserve">							EffectiveDateFrom = o.EffectiveDateFrom,</v>
      </c>
      <c r="T49" s="63" t="str">
        <f t="shared" si="73"/>
        <v xml:space="preserve">								("EffectiveDateFrom"),</v>
      </c>
      <c r="V49" s="64" t="str">
        <f t="shared" si="74"/>
        <v xml:space="preserve">								_ =&gt; _.EffectiveDateFrom,</v>
      </c>
      <c r="W49" s="63" t="str">
        <f t="shared" si="75"/>
        <v/>
      </c>
    </row>
    <row r="50" spans="1:23" customFormat="1" ht="18.75" customHeight="1" x14ac:dyDescent="0.25">
      <c r="A50" s="28" t="s">
        <v>410</v>
      </c>
      <c r="B50" s="28" t="s">
        <v>3</v>
      </c>
      <c r="C50" t="s">
        <v>1</v>
      </c>
      <c r="D50" t="str">
        <f t="shared" si="13"/>
        <v>EffectiveDateTo</v>
      </c>
      <c r="E50" t="str">
        <f t="shared" si="14"/>
        <v>datetime</v>
      </c>
      <c r="F50" s="6"/>
      <c r="G50" t="str">
        <f t="shared" si="15"/>
        <v/>
      </c>
      <c r="H50" t="str">
        <f>+VLOOKUP(E50,'Data Type Mapping'!A:B,2,)</f>
        <v>DateTime?</v>
      </c>
      <c r="I50" t="str">
        <f t="shared" si="66"/>
        <v/>
      </c>
      <c r="J50" t="str">
        <f t="shared" si="67"/>
        <v xml:space="preserve">		public virtual DateTime? EffectiveDateTo { get; set; }
</v>
      </c>
      <c r="K50" s="6"/>
      <c r="L50" t="str">
        <f t="shared" si="68"/>
        <v/>
      </c>
      <c r="M50" t="str">
        <f t="shared" si="69"/>
        <v xml:space="preserve">		public virtual DateTime? EffectiveDateTo { get; set; }
</v>
      </c>
      <c r="N50" t="str">
        <f t="shared" si="70"/>
        <v xml:space="preserve">		public virtual DateTime? EffectiveDateTo { get; set; }
</v>
      </c>
      <c r="O50" t="str">
        <f t="shared" si="71"/>
        <v/>
      </c>
      <c r="P50" t="str">
        <f t="shared" si="72"/>
        <v xml:space="preserve">							EffectiveDateTo = o.EffectiveDateTo,</v>
      </c>
      <c r="T50" s="63" t="str">
        <f t="shared" si="73"/>
        <v xml:space="preserve">								("EffectiveDateTo"),</v>
      </c>
      <c r="V50" s="64" t="str">
        <f t="shared" si="74"/>
        <v xml:space="preserve">								_ =&gt; _.EffectiveDateTo,</v>
      </c>
      <c r="W50" s="63" t="str">
        <f t="shared" si="75"/>
        <v/>
      </c>
    </row>
    <row r="51" spans="1:23" customFormat="1" ht="18.75" customHeight="1" x14ac:dyDescent="0.25">
      <c r="A51" s="28" t="s">
        <v>318</v>
      </c>
      <c r="B51" s="28" t="s">
        <v>364</v>
      </c>
      <c r="C51" t="s">
        <v>1</v>
      </c>
      <c r="D51" t="str">
        <f t="shared" si="13"/>
        <v>IsActive</v>
      </c>
      <c r="E51" t="str">
        <f t="shared" si="14"/>
        <v>nvarchar</v>
      </c>
      <c r="F51" s="6"/>
      <c r="G51" t="str">
        <f t="shared" si="15"/>
        <v>1</v>
      </c>
      <c r="H51" t="str">
        <f>+VLOOKUP(E51,'Data Type Mapping'!A:B,2,)</f>
        <v>string</v>
      </c>
      <c r="I51" t="str">
        <f t="shared" si="66"/>
        <v xml:space="preserve">		public const int MaxIsActiveLength = 1;
</v>
      </c>
      <c r="J51" t="str">
        <f t="shared" si="67"/>
        <v xml:space="preserve">		[StringLength(MaxIsActiveLength)]
		public virtual string IsActive { get; set; }
</v>
      </c>
      <c r="K51" s="6"/>
      <c r="L51" t="str">
        <f t="shared" si="68"/>
        <v/>
      </c>
      <c r="M51" t="str">
        <f t="shared" si="69"/>
        <v xml:space="preserve">		public virtual string IsActive { get; set; }
</v>
      </c>
      <c r="N51" t="str">
        <f t="shared" si="70"/>
        <v xml:space="preserve">		[StringLength(MstCmmMaterialMasterConsts.MaxIsActiveLength)]
		public virtual string IsActive { get; set; }
</v>
      </c>
      <c r="O51" t="str">
        <f t="shared" si="71"/>
        <v xml:space="preserve">		public virtual string IsActive { get; set; }
</v>
      </c>
      <c r="P51" t="str">
        <f t="shared" si="72"/>
        <v xml:space="preserve">							IsActive = o.IsActive,</v>
      </c>
      <c r="T51" s="63" t="str">
        <f t="shared" si="73"/>
        <v xml:space="preserve">								("IsActive"),</v>
      </c>
      <c r="V51" s="64" t="str">
        <f t="shared" si="74"/>
        <v xml:space="preserve">								_ =&gt; _.IsActive,</v>
      </c>
      <c r="W51" s="63" t="str">
        <f t="shared" si="75"/>
        <v xml:space="preserve">				.WhereIf(!string.IsNullOrWhiteSpace(input.IsActive), e =&gt; e.IsActive.Contains(input.IsActive))</v>
      </c>
    </row>
    <row r="53" spans="1:23" ht="45.75" customHeight="1" x14ac:dyDescent="0.25">
      <c r="H53" s="11"/>
      <c r="I53" s="31" t="str">
        <f ca="1">TEXTJOIN2("
", TRUE,INDIRECT( $H$1):INDIRECT( $H$3))</f>
        <v xml:space="preserve">		public const int MaxMaterialTypeLength = 4;
		public const int MaxMaterialCodeLength = 40;
		public const int MaxIndustrySectorLength = 1;
		public const int MaxDescriptionLength = 40;
		public const int MaxMaterialGroupLength = 9;
		public const int MaxBaseUnitOfMeasureLength = 3;
		public const int MaxDeletionFlagLength = 1;
		public const int MaxPlantLength = 4;
		public const int MaxStorageLocationLength = 4;
		public const int MaxProductionGroupLength = 3;
		public const int MaxProductionPurposeLength = 2;
		public const int MaxProductionTypeLength = 10;
		public const int MaxProfitCenterLength = 10;
		public const int MaxBatchManagementLength = 3;
		public const int MaxReservedStockLength = 2;
		public const int MaxLotCodeLength = 10;
		public const int MaxMrpGroupLength = 4;
		public const int MaxMrpTypeLength = 2;
		public const int MaxProcurementTypeLength = 1;
		public const int MaxSpecialProcurementLength = 2;
		public const int MaxProductionStorageLocationLength = 4;
		public const int MaxRepetManufacturingLength = 1;
		public const int MaxRemProfileLength = 4;
		public const int MaxDoNotCostLength = 1;
		public const int MaxVarianceKeyLength = 25;
		public const int MaxProductionVersionLength = 4;
		public const int MaxSpecialProcurementCtgViewLength = 2;
		public const int MaxValuationCategoryLength = 1;
		public const int MaxValuationTypeLength = 10;
		public const int MaxValuationClassLength = 4;
		public const int MaxPriceDeterminationLength = 1;
		public const int MaxPriceControlLength = 1;
		public const int MaxWithQtyStructureLength = 1;
		public const int MaxMaterialOriginLength = 1;
		public const int MaxOriginGroupLength = 4;
		public const int MaxAuthorizationGroupLength = 4;
		public const int MaxMatSrcLength = 4;
		public const int MaxIsActiveLength = 1;
</v>
      </c>
      <c r="J53" s="30" t="str">
        <f ca="1">TEXTJOIN2("
", TRUE,INDIRECT( $F$1):INDIRECT( $F$3))</f>
        <v xml:space="preserve">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[StringLength(MaxDescriptionLength)]
		public virtual string Description { get; set; }
		[StringLength(MaxMaterialGroupLength)]
		public virtual string MaterialGroup { get; set; }
		[StringLength(MaxBaseUnitOfMeasureLength)]
		public virtual string BaseUnitOfMeasure { get; set; }
		[StringLength(MaxDeletionFlagLength)]
		public virtual string DeletionFlag { get; set; }
		[StringLength(MaxPlantLength)]
		public virtual string Plant { get; set; }
		[StringLength(MaxStorageLocationLength)]
		public virtual string StorageLocation { get; set; }
		[StringLength(MaxProductionGroupLength)]
		public virtual string ProductionGroup { get; set; }
		[StringLength(MaxProductionPurposeLength)]
		public virtual string ProductionPurpose { get; set; }
		[StringLength(MaxProductionTypeLength)]
		public virtual string ProductionType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[StringLength(MaxProductionStorageLocationLength)]
		public virtual string ProductionStorageLocation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public virtual decimal? CostingLotSize { get; set; }
		[StringLength(MaxProductionVersionLength)]
		public virtual string ProductionVersion { get; set; }
		[StringLength(MaxSpecialProcurementCtgViewLength)]
		public virtual string SpecialProcurementCtgView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public virtual decimal? StandardPrice { get; set; }
		public virtual decimal?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[StringLength(MaxAuthorizationGroupLength)]
		public virtual string AuthorizationGroup { get; set; }
		[StringLength(MaxMatSrcLength)]
		public virtual string MatSrc { get; set; }
		public virtual DateTime? EffectiveDateFrom { get; set; }
		public virtual DateTime? EffectiveDateTo { get; set; }
		[StringLength(MaxIsActiveLength)]
		public virtual string IsActive { get; set; }
</v>
      </c>
      <c r="K53" s="32" t="str">
        <f ca="1">TEXTJOIN2("
", TRUE,INDIRECT( $J$1):INDIRECT( $J$3))</f>
        <v/>
      </c>
      <c r="L53" s="12" t="s">
        <v>56</v>
      </c>
      <c r="M53" s="33" t="str">
        <f ca="1">TEXTJOIN2("
",TRUE,INDIRECT( $L$1):INDIRECT($L$3))</f>
        <v xml:space="preserve">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decimal? CostingLotSize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decimal? StandardPrice { get; set; }
		public virtual decimal? MovingPrice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DateTime? EffectiveDateFrom { get; set; }
		public virtual DateTime? EffectiveDateTo { get; set; }
		public virtual string IsActive { get; set; }
</v>
      </c>
      <c r="N53" s="30" t="str">
        <f ca="1">TEXTJOIN2("
",TRUE,INDIRECT( $M$1):INDIRECT($M$3))</f>
        <v xml:space="preserve">		[StringLength(MstCmmMaterialMasterConsts.MaxMaterialTypeLength)]
		public virtual string MaterialType { get; set; }
		[StringLength(MstCmmMaterialMasterConsts.MaxMaterialCodeLength)]
		public virtual string MaterialCode { get; set; }
		[StringLength(MstCmmMaterialMasterConsts.MaxIndustrySectorLength)]
		public virtual string IndustrySector { get; set; }
		[StringLength(MstCmmMaterialMasterConsts.MaxDescriptionLength)]
		public virtual string Description { get; set; }
		[StringLength(MstCmmMaterialMasterConsts.MaxMaterialGroupLength)]
		public virtual string MaterialGroup { get; set; }
		[StringLength(MstCmmMaterialMasterConsts.MaxBaseUnitOfMeasureLength)]
		public virtual string BaseUnitOfMeasure { get; set; }
		[StringLength(MstCmmMaterialMasterConsts.MaxDeletionFlagLength)]
		public virtual string DeletionFlag { get; set; }
		[StringLength(MstCmmMaterialMasterConsts.MaxPlantLength)]
		public virtual string Plant { get; set; }
		[StringLength(MstCmmMaterialMasterConsts.MaxStorageLocationLength)]
		public virtual string StorageLocation { get; set; }
		[StringLength(MstCmmMaterialMasterConsts.MaxProductionGroupLength)]
		public virtual string ProductionGroup { get; set; }
		[StringLength(MstCmmMaterialMasterConsts.MaxProductionPurposeLength)]
		public virtual string ProductionPurpose { get; set; }
		[StringLength(MstCmmMaterialMasterConsts.MaxProductionTypeLength)]
		public virtual string ProductionType { get; set; }
		[StringLength(MstCmmMaterialMasterConsts.MaxProfitCenterLength)]
		public virtual string ProfitCenter { get; set; }
		[StringLength(MstCmmMaterialMasterConsts.MaxBatchManagementLength)]
		public virtual string BatchManagement { get; set; }
		[StringLength(MstCmmMaterialMasterConsts.MaxReservedStockLength)]
		public virtual string ReservedStock { get; set; }
		[StringLength(MstCmmMaterialMasterConsts.MaxLotCodeLength)]
		public virtual string LotCode { get; set; }
		[StringLength(MstCmmMaterialMasterConsts.MaxMrpGroupLength)]
		public virtual string MrpGroup { get; set; }
		[StringLength(MstCmmMaterialMasterConsts.MaxMrpTypeLength)]
		public virtual string MrpType { get; set; }
		[StringLength(MstCmmMaterialMasterConsts.MaxProcurementTypeLength)]
		public virtual string ProcurementType { get; set; }
		[StringLength(MstCmmMaterialMasterConsts.MaxSpecialProcurementLength)]
		public virtual string SpecialProcurement { get; set; }
		[StringLength(MstCmmMaterialMasterConsts.MaxProductionStorageLocationLength)]
		public virtual string ProductionStorageLocation { get; set; }
		[StringLength(MstCmmMaterialMasterConsts.MaxRepetManufacturingLength)]
		public virtual string RepetManufacturing { get; set; }
		[StringLength(MstCmmMaterialMasterConsts.MaxRemProfileLength)]
		public virtual string RemProfile { get; set; }
		[StringLength(MstCmmMaterialMasterConsts.MaxDoNotCostLength)]
		public virtual string DoNotCost { get; set; }
		[StringLength(MstCmmMaterialMasterConsts.MaxVarianceKeyLength)]
		public virtual string VarianceKey { get; set; }
		public virtual decimal? CostingLotSize { get; set; }
		[StringLength(MstCmmMaterialMasterConsts.MaxProductionVersionLength)]
		public virtual string ProductionVersion { get; set; }
		[StringLength(MstCmmMaterialMasterConsts.MaxSpecialProcurementCtgViewLength)]
		public virtual string SpecialProcurementCtgView { get; set; }
		[StringLength(MstCmmMaterialMasterConsts.MaxValuationCategoryLength)]
		public virtual string ValuationCategory { get; set; }
		[StringLength(MstCmmMaterialMasterConsts.MaxValuationTypeLength)]
		public virtual string ValuationType { get; set; }
		[StringLength(MstCmmMaterialMasterConsts.MaxValuationClassLength)]
		public virtual string ValuationClass { get; set; }
		[StringLength(MstCmmMaterialMasterConsts.MaxPriceDeterminationLength)]
		public virtual string PriceDetermination { get; set; }
		[StringLength(MstCmmMaterialMasterConsts.MaxPriceControlLength)]
		public virtual string PriceControl { get; set; }
		public virtual decimal? StandardPrice { get; set; }
		public virtual decimal? MovingPrice { get; set; }
		[StringLength(MstCmmMaterialMasterConsts.MaxWithQtyStructureLength)]
		public virtual string WithQtyStructure { get; set; }
		[StringLength(MstCmmMaterialMasterConsts.MaxMaterialOriginLength)]
		public virtual string MaterialOrigin { get; set; }
		[StringLength(MstCmmMaterialMasterConsts.MaxOriginGroupLength)]
		public virtual string OriginGroup { get; set; }
		[StringLength(MstCmmMaterialMasterConsts.MaxAuthorizationGroupLength)]
		public virtual string AuthorizationGroup { get; set; }
		[StringLength(MstCmmMaterialMasterConsts.MaxMatSrcLength)]
		public virtual string MatSrc { get; set; }
		public virtual DateTime? EffectiveDateFrom { get; set; }
		public virtual DateTime? EffectiveDateTo { get; set; }
		[StringLength(MstCmmMaterialMasterConsts.MaxIsActiveLength)]
		public virtual string IsActive { get; set; }
</v>
      </c>
      <c r="O53" s="30" t="str">
        <f ca="1">TEXTJOIN2("
",TRUE,INDIRECT( $N$1):INDIRECT($N$3))</f>
        <v xml:space="preserve">		public virtual string MaterialType { get; set; }
		public virtual string MaterialCode { get; set; }
		public virtual string IndustrySector { get; set; }
		public virtual string Description { get; set; }
		public virtual string MaterialGroup { get; set; }
		public virtual string BaseUnitOfMeasure { get; set; }
		public virtual string DeletionFlag { get; set; }
		public virtual string Plant { get; set; }
		public virtual string StorageLocation { get; set; }
		public virtual string ProductionGroup { get; set; }
		public virtual string ProductionPurpose { get; set; }
		public virtual string ProductionType { get; set; }
		public virtual string ProfitCenter { get; set; }
		public virtual string BatchManagement { get; set; }
		public virtual string ReservedStock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ProductionStorageLocation { get; set; }
		public virtual string RepetManufacturing { get; set; }
		public virtual string RemProfile { get; set; }
		public virtual string DoNotCost { get; set; }
		public virtual string VarianceKey { get; set; }
		public virtual string ProductionVersion { get; set; }
		public virtual string SpecialProcurementCtgView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WithQtyStructure { get; set; }
		public virtual string MaterialOrigin { get; set; }
		public virtual string OriginGroup { get; set; }
		public virtual string AuthorizationGroup { get; set; }
		public virtual string MatSrc { get; set; }
		public virtual string IsActive { get; set; }
</v>
      </c>
      <c r="P53" s="8" t="str">
        <f ca="1">TEXTJOIN2("
",TRUE,INDIRECT( $O$1):INDIRECT($O$3))</f>
        <v xml:space="preserve">							MaterialType = o.MaterialType,
							MaterialCode = o.MaterialCode,
							IndustrySector = o.IndustrySector,
							Description = o.Description,
							MaterialGroup = o.MaterialGroup,
							BaseUnitOfMeasure = o.BaseUnitOfMeasure,
							DeletionFlag = o.DeletionFlag,
							Plant = o.Plant,
							StorageLocation = o.StorageLocation,
							ProductionGroup = o.ProductionGroup,
							ProductionPurpose = o.ProductionPurpose,
							ProductionType = o.ProductionType,
							ProfitCenter = o.ProfitCenter,
							BatchManagement = o.BatchManagement,
							ReservedStock = o.ReservedStock,
							LotCode = o.LotCode,
							MrpGroup = o.MrpGroup,
							MrpType = o.MrpType,
							ProcurementType = o.ProcurementType,
							SpecialProcurement = o.SpecialProcurement,
							ProductionStorageLocation = o.ProductionStorageLocation,
							RepetManufacturing = o.RepetManufacturing,
							RemProfile = o.RemProfile,
							DoNotCost = o.DoNotCost,
							VarianceKey = o.VarianceKey,
							CostingLotSize = o.CostingLotSize,
							ProductionVersion = o.ProductionVersion,
							SpecialProcurementCtgView = o.SpecialProcurementCtgView,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AuthorizationGroup = o.AuthorizationGroup,
							MatSrc = o.MatSrc,
							EffectiveDateFrom = o.EffectiveDateFrom,
							EffectiveDateTo = o.EffectiveDateTo,
							IsActive = o.IsActive,</v>
      </c>
      <c r="T53" s="8" t="str">
        <f ca="1">TEXTJOIN2("
",TRUE,INDIRECT( $T$2):INDIRECT($T$3))</f>
        <v xml:space="preserve">								("MaterialType"),
								("MaterialCode"),
								("IndustrySector"),
								("Description"),
								("MaterialGroup"),
								("BaseUnitOfMeasure"),
								("DeletionFlag"),
								("Plant"),
								("StorageLocation"),
								("ProductionGroup"),
								("ProductionPurpose"),
								("ProductionType"),
								("ProfitCenter"),
								("BatchManagement"),
								("ReservedStock"),
								("LotCode"),
								("MrpGroup"),
								("MrpType"),
								("ProcurementType"),
								("SpecialProcurement"),
								("ProductionStorageLocation"),
								("RepetManufacturing"),
								("RemProfile"),
								("DoNotCost"),
								("VarianceKey"),
								("CostingLotSize"),
								("ProductionVersion"),
								("SpecialProcurementCtgView"),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("AuthorizationGroup"),
								("MatSrc"),
								("EffectiveDateFrom"),
								("EffectiveDateTo"),
								("IsActive"),</v>
      </c>
      <c r="V53" s="8" t="str">
        <f ca="1">TEXTJOIN2("
",TRUE,INDIRECT( $V$2):INDIRECT($V$3))</f>
        <v xml:space="preserve">								_ =&gt; _.MaterialType,
								_ =&gt; _.MaterialCode,
								_ =&gt; _.IndustrySector,
								_ =&gt; _.Description,
								_ =&gt; _.MaterialGroup,
								_ =&gt; _.BaseUnitOfMeasure,
								_ =&gt; _.DeletionFlag,
								_ =&gt; _.Plant,
								_ =&gt; _.StorageLocation,
								_ =&gt; _.ProductionGroup,
								_ =&gt; _.ProductionPurpose,
								_ =&gt; _.ProductionType,
								_ =&gt; _.ProfitCenter,
								_ =&gt; _.BatchManagement,
								_ =&gt; _.ReservedStock,
								_ =&gt; _.LotCode,
								_ =&gt; _.MrpGroup,
								_ =&gt; _.MrpType,
								_ =&gt; _.ProcurementType,
								_ =&gt; _.SpecialProcurement,
								_ =&gt; _.ProductionStorageLocation,
								_ =&gt; _.RepetManufacturing,
								_ =&gt; _.RemProfile,
								_ =&gt; _.DoNotCost,
								_ =&gt; _.VarianceKey,
								_ =&gt; _.CostingLotSize,
								_ =&gt; _.ProductionVersion,
								_ =&gt; _.SpecialProcurementCtgView,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_.AuthorizationGroup,
								_ =&gt; _.MatSrc,
								_ =&gt; _.EffectiveDateFrom,
								_ =&gt; _.EffectiveDateTo,
								_ =&gt; _.IsActive,</v>
      </c>
      <c r="W53" s="8" t="str">
        <f ca="1">TEXTJOIN2("
",TRUE,INDIRECT( $W$2):INDIRECT($W$3))</f>
        <v xml:space="preserve">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.WhereIf(!string.IsNullOrWhiteSpace(input.Description), e =&gt; e.Description.Contains(input.Description))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.WhereIf(!string.IsNullOrWhiteSpace(input.DeletionFlag), e =&gt; e.DeletionFlag.Contains(input.DeletionFlag))
				.WhereIf(!string.IsNullOrWhiteSpace(input.Plant), e =&gt; e.Plant.Contains(input.Plant))
				.WhereIf(!string.IsNullOrWhiteSpace(input.StorageLocation), e =&gt; e.StorageLocation.Contains(input.StorageLocation))
				.WhereIf(!string.IsNullOrWhiteSpace(input.ProductionGroup), e =&gt; e.ProductionGroup.Contains(input.ProductionGroup))
				.WhereIf(!string.IsNullOrWhiteSpace(input.ProductionPurpose), e =&gt; e.ProductionPurpose.Contains(input.ProductionPurpose))
				.WhereIf(!string.IsNullOrWhiteSpace(input.ProductionType), e =&gt; e.ProductionType.Contains(input.ProductionType))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.WhereIf(!string.IsNullOrWhiteSpace(input.ProductionStorageLocation), e =&gt; e.ProductionStorageLocation.Contains(input.ProductionStorageLocation))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.WhereIf(!string.IsNullOrWhiteSpace(input.ProductionVersion), e =&gt; e.ProductionVersion.Contains(input.ProductionVersion))
				.WhereIf(!string.IsNullOrWhiteSpace(input.SpecialProcurementCtgView), e =&gt; e.SpecialProcurementCtgView.Contains(input.SpecialProcurementCtgView))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.WhereIf(!string.IsNullOrWhiteSpace(input.AuthorizationGroup), e =&gt; e.AuthorizationGroup.Contains(input.AuthorizationGroup))
				.WhereIf(!string.IsNullOrWhiteSpace(input.MatSrc), e =&gt; e.MatSrc.Contains(input.MatSrc))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9"/>
  <sheetViews>
    <sheetView workbookViewId="0">
      <selection activeCell="D6" sqref="D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414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MstCmmMaterialMaster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MaterialMaster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materialmaster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MstCmmMaterialMasterDto, MstCmmMaterialMasterServiceProxy } from '@shared/service-proxies/service-proxies';
import { finalize } from 'rxjs/internal/operators/finalize';
import { CreateOrEditMaterialMasterModalComponent } from './create-or-edit-materialmaster-modal.component';
import { DatePipe } from '@angular/common';
import { FileDownloadService } from '@shared/utils/file-download.service';
import ceil from 'lodash-es/ceil';
import { Paginator } from 'primeng/paginator';
@Component({
    templateUrl: './materialmaster.component.html',
    styleUrls: ['./materialmaster.component.less'],
})
export class MaterialMasterComponent extends AppComponentBase implements OnInit {
    @ViewChild('createOrEditModalMaterialMaster', { static: true }) createOrEditModalMaterialMaster:| CreateOrEditMaterialMasterModalComponent|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MstCmmMaterialMasterDto = new MstCmmMaterialMasterDto();
    saveSelectedRow: MstCmmMaterialMasterDto = new MstCmmMaterialMasterDto();
    datas: MstCmmMaterialMasterDto = new MstCmmMaterialMasterDto();
    isLoading: boolean = false;
    dataParams: GridParams | undefined;
    rowData: any[] = [];
    gridApi!: GridApi;
    rowSelection = 'multiple';
    filter: string = '';
	pipe = new DatePipe('en-US');
	frameworkComponents: FrameworkComponent;
    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MstCmmMaterialMasterServiceProxy,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this.l('Description'),headerTooltip: this.l('Description'),field: 'description',flex: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this.l('Deletion Flag'),headerTooltip: this.l('Deletion Flag'),field:  'deletionFlag', cellClass: ['text-center'], width: 120, cellRenderer: 'agCellButtonComponent',
buttonDefTwo: { text: params =&gt; (params.data?.'deletionFlag' == 'Y') ? 'Active' : 'Inactive',iconName: 'fa fa-circle',className: params =&gt; (params.data?.'deletionFlag'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this.l('Production Group'),headerTooltip: this.l('Production Group'),field: 'productionGroup',flex: 1},
			{headerName: this.l('Production Purpose'),headerTooltip: this.l('Production Purpose'),field: 'productionPurpose',flex: 1},
			{headerName: this.l('Production Type'),headerTooltip: this.l('Production Type'),field: 'productionType',flex: 1},
			{headerName: this.l('Profit Center'),headerTooltip: this.l('Profit Center'),field: 'profitCenter',flex: 1},
			{headerName: this.l('Batch Management'),headerTooltip: this.l('Batch Management'),field: 'batchManagement',flex: 1},
			{headerName: this.l('Reserved Stock'),headerTooltip: this.l('Reserved Stock'),field: 'reservedStock',flex: 1},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this.l('Production Storage Location'),headerTooltip: this.l('Production Storage Location'),field: 'productionStorageLocation',flex: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Ctg View'),headerTooltip: this.l('Special Procurement Ctg View'),field: 'specialProcurementCtgView',flex: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 'materialOrigin', cellClass: ['text-center'], width: 120, cellRenderer: 'agCellButtonComponent',
buttonDefTwo: { text: params =&gt; (params.data?.'materialOrigin' == 'Y') ? 'Active' : 'Inactive',iconName: 'fa fa-circle',className: params =&gt; (params.data?.'materialOrigin' == 'Y') ? 'btnActive' : 'btnInActive',},}
			{headerName: this.l('Origin Group'),headerTooltip: this.l('Origin Group'),field: 'originGroup',flex: 1},
			{headerName: this.l('Authorization Group'),headerTooltip: this.l('Authorization Group'),field: 'authorizationGroup',flex: 1},
			{headerName: this.l('Mat Src'),headerTooltip: this.l('Mat Src'),field: 'matSrc',flex: 1},
			{headerName: this.l('Effective Date From'),headerTooltip: this.l('Effective Date From'),field: 'effectiveDateFrom',flex: 1},
			{headerName: this.l('Effective Date To'),headerTooltip: this.l('Effective Date To'),field: 'effectiveDateTo',flex: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			'',
            this.paginationParams.skipCount,
            this.paginationParams.pageSize
        );
    }
    onChangeRowSelection(params: { api: { getSelectedRows: () =&gt; MstCmmMaterialMasterDto[] } }) {
        this.saveSelectedRow = params.api.getSelectedRows()[0] ?? new MstCmmMaterialMasterDto();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MstCmmMaterialMasterDto):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this._service.getMaterialMasterToExcel(
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Cmm Material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[(ngModel)]='productionGroup' name='productionGroup'
									class='form-control' [placeholder]="l('Production Group')"
									type='text' (keyup.enter)='searchDatas()'&gt;
								&lt;/div&gt;
								&lt;div class='input-search'&gt;
									&lt;input [(ngModel)]='productionPurpose' name='productionPurpose'
									class='form-control' [placeholder]="l('Production Purpose')"
									type='text' (keyup.enter)='searchDatas()'&gt;
								&lt;/div&gt;
								&lt;div class='input-search'&gt;
									&lt;input [(ngModel)]='productionType' name='productionType'
									class='form-control' [placeholder]="l('Production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[(ngModel)]='productionStorageLocation' name='productionStorageLocation'
									class='form-control' [placeholder]="l('Production Storage Location')"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[(ngModel)]='specialProcurementCtgView' name='specialProcurementCtgView'
									class='form-control' [placeholder]="l('Special Procurement Ctg View')"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[(ngModel)]='matSrc' name='matSrc'
									class='form-control' [placeholder]="l('Mat Src')"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(click)="createOrEditModalMaterialMaster.show()"&gt;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(click)="createOrEditModalMaterialMaster.show(selectedRow)"&gt;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&lt;create-or-edit-materialmaster-modal
    #createOrEditModalMaterialMaster
    (modalSave)="callBackDataGrid(dataParams)"
    (modalClose)="onChangeRowSelection(dataParams)"
&gt;
&lt;/create-or-edit-materialmaster-modal&gt;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#createOrEditModalMaterialMaster="bs-modal"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MaterialMaster')}}&lt;/h3&gt;
                    &lt;h3 *ngIf="!rowdata.id"&gt;{{('Create New MaterialMaster')}}&lt;/h3&gt;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title'&gt;Deletion Flag&lt;/label&gt;
						&lt;new-checkbox [(ngModel)]='_deletionFlag' name='deletionFlag'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title'&gt;Production Group&lt;/label&gt;
						&lt;input type='text' class='col-md-10 form-control input-text' name='ProductionGroup' [(ngModel)]='rowdata.productionGroup'&gt;
					&lt;/div&gt;
					&lt;div class='col-md-12 form-group row'&gt;
						&lt;label class='col-md-2 form-control title'&gt;Production Purpose&lt;/label&gt;
						&lt;input type='text' class='col-md-10 form-control input-text' name='ProductionPurpose' [(ngModel)]='rowdata.productionPurpose'&gt;
					&lt;/div&gt;
					&lt;div class='col-md-12 form-group row'&gt;
						&lt;label class='col-md-2 form-control title'&gt;Production Type&lt;/label&gt;
						&lt;input type='text' class='col-md-10 form-control input-text' name='ProductionType' [(ngModel)]='rowdata.productionType'&gt;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&lt;input type='text' class='col-md-10 form-control input-text' name='BatchManagement' [(ngModel)]='rowdata.batchManagement'&gt;
					&lt;/div&gt;
					&lt;div class='col-md-12 form-group row'&gt;
						&lt;label class='col-md-2 form-control title'&gt;Reserved Stock&lt;/label&gt;
						&lt;input type='text' class='col-md-10 form-control input-text' name='ReservedStock' [(ngModel)]='rowdata.reservedStock'&gt;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title'&gt;Production Storage Location&lt;/label&gt;
						&lt;input type='text' class='col-md-10 form-control input-text' name='ProductionStorageLocation' [(ngModel)]='rowdata.productionStorageLocation'&gt;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Ctg View&lt;/label&gt;
						&lt;input type='text' class='col-md-10 form-control input-text' name='SpecialProcurementCtgView' [(ngModel)]='rowdata.specialProcurementCtgView'&gt;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&lt;new-checkbox [(ngModel)]='_materialOrigin' name='materialOrigin' className='col-md-10' &gt; &lt;/new-checkbox&gt;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 Src&lt;/label&gt;
						&lt;input type='text' class='col-md-10 form-control input-text' name='MatSrc' [(ngModel)]='rowdata.matSrc'&gt;
					&lt;/div&gt;
					&lt;div class='col-md-12 form-group row'&gt;
						&lt;label class='col-md-2 form-control title'&gt;Effective Date From&lt;/label&gt;
						&lt;input type='text' class='col-md-10 form-control input-text' name='effectiveDateFrom' 
						#datepicker='bsDatepicker' [(ngModel)]='rowdata.effectiveDateFrom'  bsDatepicker &gt;
					&lt;/div&gt;
					&lt;div class='col-md-12 form-group row'&gt;
						&lt;label class='col-md-2 form-control title'&gt;Effective Date To&lt;/label&gt;
						&lt;input type='text' class='col-md-10 form-control input-text' name='effectiveDateTo' 
						#datepicker='bsDatepicker' [(ngModel)]='rowdata.effectiveDateTo'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CreateOrEditMstCmmMaterialMasterDto, MstCmmMaterialMasterServiceProxy } from '@shared/service-proxies/service-proxies';
import { BsDatepickerDirective } from 'ngx-bootstrap/datepicker';
@Component({
    selector: 'create-or-edit-materialmaster-modal',
    templateUrl: './create-or-edit-materialmaster-modal.component.html',
    styleUrls: ['./create-or-edit-materialmaster-modal.component.less']
    })
export class CreateOrEditMaterialMasterModalComponent extends AppComponentBase {
    @ViewChild('createOrEditModalMaterialMaster',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CreateOrEditMstCmmMaterialMasterDto = new CreateOrEditMstCmmMaterialMasterDto();
    active: boolean = false;
    saving: boolean = false;
    _industrySector
deletionFlag
procurementType
repetManufacturing
doNotCost
valuationCategory
priceDetermination
priceControl
withQtyStructure
materialOrigin
isActive: boolean;
    constructor(
        injector: Injector,
        private _mstwptMaterialMasterService: MstCmmMaterialMasterServiceProxy,
    ) 
    {
        super(injector);
    }
    show(rowdata?: CreateOrEditMstCmmMaterialMasterDto): void {
        if (!rowdata) this.rowdata = new CreateOrEditMstCmmMaterialMasterDto();
        else this.rowdata = rowdata;
        this._industrySector
deletionFlag
procurementType
repetManufacturing
doNotCost
valuationCategory
priceDetermination
priceControl
withQtyStructure
materialOrigin
isActive = (this.rowdata.industrySector
deletionFlag
procurementType
repetManufacturing
doNotCost
valuationCategory
priceDetermination
priceControl
withQtyStructure
materialOrigin
isActive == "N")? false: true;
        this.active = true;
        this.modal.show();
    } 
    changeActive(event){
        this._industrySector
deletionFlag
procurementType
repetManufacturing
doNotCost
valuationCategory
priceDetermination
priceControl
withQtyStructure
materialOrigin
isActive = event.target.checked;
    }
    save(): void {
    this.saving = true; 
    this.rowdata.industrySector
deletionFlag
procurementType
repetManufacturing
doNotCost
valuationCategory
priceDetermination
priceControl
withQtyStructure
materialOrigin
isActive = (this._industrySector
deletionFlag
procurementType
repetManufacturing
doNotCost
valuationCategory
priceDetermination
priceControl
withQtyStructure
materialOrigin
isActive == true) ? 'Y' : 'N'
    this._mstwptMaterialMasterService.createOrEdit(this.rowdata)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MaterialMasterRoutingModule } from './materialmaster-routing.module';
import { MaterialMasterComponent } from './materialmaster.component';
import { CreateOrEditMaterialMasterModalComponent } from './create-or-edit-materialmaster-modal.component';
@NgModule({
    declarations: [
       MaterialMasterComponent, 
        CreateOrEditMaterialMasterModalComponent
    ],
    imports: [
        AppSharedModule, MaterialMasterRoutingModule]
})
export class MaterialMasterModule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MaterialMasterComponent } from './materialmaster.component';
const routes: Routes = [{
    path: '',
    component: MaterialMasterComponent,
    pathMatch: 'full'
}];
@NgModule({
    imports: [RouterModule.forChild(routes)],
    exports: [RouterModule],
})
export class MaterialMasterRoutingModule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AppMenuItem("MaterialMaster", "Pages.Master.Common.MaterialMaster", "flaticon-book",   "/app/main/master/common/materialmaster"),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'master/common/materialmaster',
    loadChildren: () =&gt; import('./master/common/materialmaster/materialmaster.module').then(m =&gt; m.MaterialMasterModule),
    data: { permission: 'Pages.Master.Common.MaterialMaster' }
},</v>
      </c>
      <c r="R10" s="47" t="str">
        <f>SUBSTITUTE(R9,"MstWptCalendar",$B$6)</f>
        <v>ApiServiceProxies.MstCmmMaterialMasterServiceProxy,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H57</v>
      </c>
      <c r="I12" s="28" t="str">
        <f>"I"&amp;COUNTA($A:$A)</f>
        <v>I57</v>
      </c>
      <c r="J12" s="28"/>
      <c r="K12" s="28" t="str">
        <f>"K"&amp;COUNTA($A:$A)</f>
        <v>K57</v>
      </c>
      <c r="L12" s="28" t="str">
        <f>"L"&amp;COUNTA($A:$A)</f>
        <v>L57</v>
      </c>
      <c r="M12" s="28"/>
      <c r="N12" s="28"/>
      <c r="O12" s="28"/>
      <c r="P12" s="28"/>
      <c r="Q12" s="28"/>
      <c r="R12" s="28"/>
      <c r="S12" s="28" t="str">
        <f>"S"&amp;COUNTA($A:$A)</f>
        <v>S57</v>
      </c>
      <c r="T12" s="28" t="str">
        <f>"T"&amp;COUNTA($A:$A)</f>
        <v>T57</v>
      </c>
      <c r="U12" s="28" t="str">
        <f>"U"&amp;COUNTA($A:$A)</f>
        <v>U57</v>
      </c>
      <c r="V12" s="28" t="str">
        <f>"V"&amp;COUNTA($A:$A)</f>
        <v>V57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this.l('Description'),headerTooltip: this.l('Description'),field: 'description',flex: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this.l('Deletion Flag'),headerTooltip: this.l('Deletion Flag'),field:  'deletionFlag', cellClass: ['text-center'], width: 120, cellRenderer: 'agCellButtonComponent',
buttonDefTwo: { text: params =&gt; (params.data?.'deletionFlag' == 'Y') ? 'Active' : 'Inactive',iconName: 'fa fa-circle',className: params =&gt; (params.data?.'deletionFlag'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this.l('Production Group'),headerTooltip: this.l('Production Group'),field: 'productionGroup',flex: 1},
			{headerName: this.l('Production Purpose'),headerTooltip: this.l('Production Purpose'),field: 'productionPurpose',flex: 1},
			{headerName: this.l('Production Type'),headerTooltip: this.l('Production Type'),field: 'productionType',flex: 1},
			{headerName: this.l('Profit Center'),headerTooltip: this.l('Profit Center'),field: 'profitCenter',flex: 1},
			{headerName: this.l('Batch Management'),headerTooltip: this.l('Batch Management'),field: 'batchManagement',flex: 1},
			{headerName: this.l('Reserved Stock'),headerTooltip: this.l('Reserved Stock'),field: 'reservedStock',flex: 1},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this.l('Production Storage Location'),headerTooltip: this.l('Production Storage Location'),field: 'productionStorageLocation',flex: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Ctg View'),headerTooltip: this.l('Special Procurement Ctg View'),field: 'specialProcurementCtgView',flex: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 'materialOrigin', cellClass: ['text-center'], width: 120, cellRenderer: 'agCellButtonComponent',
buttonDefTwo: { text: params =&gt; (params.data?.'materialOrigin' == 'Y') ? 'Active' : 'Inactive',iconName: 'fa fa-circle',className: params =&gt; (params.data?.'materialOrigin' == 'Y') ? 'btnActive' : 'btnInActive',},}
			{headerName: this.l('Origin Group'),headerTooltip: this.l('Origin Group'),field: 'originGroup',flex: 1},
			{headerName: this.l('Authorization Group'),headerTooltip: this.l('Authorization Group'),field: 'authorizationGroup',flex: 1},
			{headerName: this.l('Mat Src'),headerTooltip: this.l('Mat Src'),field: 'matSrc',flex: 1},
			{headerName: this.l('Effective Date From'),headerTooltip: this.l('Effective Date From'),field: 'effectiveDateFrom',flex: 1},
			{headerName: this.l('Effective Date To'),headerTooltip: this.l('Effective Date To'),field: 'effectiveDateTo',flex: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[(ngModel)]='productionGroup' name='productionGroup'
									class='form-control' [placeholder]="l('Production Group')"
									type='text' (keyup.enter)='searchDatas()'&gt;
								&lt;/div&gt;
								&lt;div class='input-search'&gt;
									&lt;input [(ngModel)]='productionPurpose' name='productionPurpose'
									class='form-control' [placeholder]="l('Production Purpose')"
									type='text' (keyup.enter)='searchDatas()'&gt;
								&lt;/div&gt;
								&lt;div class='input-search'&gt;
									&lt;input [(ngModel)]='productionType' name='productionType'
									class='form-control' [placeholder]="l('Production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[(ngModel)]='productionStorageLocation' name='productionStorageLocation'
									class='form-control' [placeholder]="l('Production Storage Location')"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[(ngModel)]='specialProcurementCtgView' name='specialProcurementCtgView'
									class='form-control' [placeholder]="l('Special Procurement Ctg View')"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[(ngModel)]='matSrc' name='matSrc'
									class='form-control' [placeholder]="l('Mat Src')"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title'&gt;Deletion Flag&lt;/label&gt;
						&lt;new-checkbox [(ngModel)]='_deletionFlag' name='deletionFlag'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title'&gt;Production Group&lt;/label&gt;
						&lt;input type='text' class='col-md-10 form-control input-text' name='ProductionGroup' [(ngModel)]='rowdata.productionGroup'&gt;
					&lt;/div&gt;
					&lt;div class='col-md-12 form-group row'&gt;
						&lt;label class='col-md-2 form-control title'&gt;Production Purpose&lt;/label&gt;
						&lt;input type='text' class='col-md-10 form-control input-text' name='ProductionPurpose' [(ngModel)]='rowdata.productionPurpose'&gt;
					&lt;/div&gt;
					&lt;div class='col-md-12 form-group row'&gt;
						&lt;label class='col-md-2 form-control title'&gt;Production Type&lt;/label&gt;
						&lt;input type='text' class='col-md-10 form-control input-text' name='ProductionType' [(ngModel)]='rowdata.productionType'&gt;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&lt;input type='text' class='col-md-10 form-control input-text' name='BatchManagement' [(ngModel)]='rowdata.batchManagement'&gt;
					&lt;/div&gt;
					&lt;div class='col-md-12 form-group row'&gt;
						&lt;label class='col-md-2 form-control title'&gt;Reserved Stock&lt;/label&gt;
						&lt;input type='text' class='col-md-10 form-control input-text' name='ReservedStock' [(ngModel)]='rowdata.reservedStock'&gt;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title'&gt;Production Storage Location&lt;/label&gt;
						&lt;input type='text' class='col-md-10 form-control input-text' name='ProductionStorageLocation' [(ngModel)]='rowdata.productionStorageLocation'&gt;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Ctg View&lt;/label&gt;
						&lt;input type='text' class='col-md-10 form-control input-text' name='SpecialProcurementCtgView' [(ngModel)]='rowdata.specialProcurementCtgView'&gt;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&lt;new-checkbox [(ngModel)]='_materialOrigin' name='materialOrigin' className='col-md-10' &gt; &lt;/new-checkbox&gt;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 Src&lt;/label&gt;
						&lt;input type='text' class='col-md-10 form-control input-text' name='MatSrc' [(ngModel)]='rowdata.matSrc'&gt;
					&lt;/div&gt;
					&lt;div class='col-md-12 form-group row'&gt;
						&lt;label class='col-md-2 form-control title'&gt;Effective Date From&lt;/label&gt;
						&lt;input type='text' class='col-md-10 form-control input-text' name='effectiveDateFrom' 
						#datepicker='bsDatepicker' [(ngModel)]='rowdata.effectiveDateFrom'  bsDatepicker &gt;
					&lt;/div&gt;
					&lt;div class='col-md-12 form-group row'&gt;
						&lt;label class='col-md-2 form-control title'&gt;Effective Date To&lt;/label&gt;
						&lt;input type='text' class='col-md-10 form-control input-text' name='effectiveDateTo' 
						#datepicker='bsDatepicker' [(ngModel)]='rowdata.effectiveDateTo'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</v>
      </c>
      <c r="T13" s="62" t="str">
        <f ca="1">TEXTJOIN2("
",TRUE,INDIRECT(T11):INDIRECT(T12))</f>
        <v xml:space="preserve">			this.,
			this.materialType,
			this.industrySector,
			this.description,
			this.materialGroup,
			this.deletionFlag,
			this.plant,
			this.storageLocation,
			this.productionGroup,
			this.productionPurpose,
			this.productionType,
			this.profitCenter,
			this.batchManagement,
			this.reservedStock,
			this.lotCode,
			this.mrpGroup,
			this.procurementType,
			this.specialProcurement,
			this.repetManufacturing,
			this.doNotCost,
			this.costingLotSize,
			this.productionVersion,
			this.valuationCategory,
			this.valuationType,
			this.materialOrigin,
			this.originGroup,
			this.authorizationGroup,
</v>
      </c>
      <c r="U13" s="62" t="str">
        <f ca="1">TEXTJOIN2("
",TRUE,INDIRECT(U11):INDIRECT(U12))</f>
        <v xml:space="preserve">	materialType : string = '' ; 
	materialCode : string = '' ; 
	description : string = '' ; 
	materialGroup : string = '' ; 
	baseUnitOfMeasure : string = '' ; 
	plant : string = '' ; 
	storageLocation : string = '' ; 
	productionGroup : string = '' ; 
	productionPurpose : string = '' ; 
	productionType : string = '' ; 
	profitCenter : string = '' ; 
	batchManagement : string = '' ; 
	reservedStock : string = '' ; 
	lotCode : string = '' ; 
	mrpGroup : string = '' ; 
	mrpType : string = '' ; 
	specialProcurement : string = '' ; 
	productionStorageLocation : string = '' ; 
	remProfile : string = '' ; 
	varianceKey : string = '' ; 
	productionVersion : string = '' ; 
	specialProcurementCtgView : string = '' ; 
	valuationType : string = '' ; 
	valuationClass : string = '' ; 
	originGroup : string = '' ; 
	authorizationGroup : string = '' ; 
	matSrc : string = '' ; 
</v>
      </c>
      <c r="V13" s="28" t="str">
        <f ca="1">TEXTJOIN2("
",TRUE,INDIRECT(V11):INDIRECT(V12))</f>
        <v>industrySector
deletionFlag
procurementType
repetManufacturing
doNotCost
valuationCategory
priceDetermination
priceControl
withQtyStructure
materialOrigin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materialmaster.component.ts</v>
      </c>
      <c r="I14" s="37" t="str">
        <f>B8&amp;".component.html"</f>
        <v>materialmaster.component.html</v>
      </c>
      <c r="J14" s="36" t="str">
        <f>B8&amp;".component.less"</f>
        <v>materialmaster.component.less</v>
      </c>
      <c r="K14" s="37" t="str">
        <f>"create-or-edit-"&amp;B8&amp;"-modal.component.html"</f>
        <v>create-or-edit-materialmaster-modal.component.html</v>
      </c>
      <c r="L14" s="37" t="str">
        <f>"create-or-edit-"&amp;B8&amp;"-modal.component.ts"</f>
        <v>create-or-edit-materialmaster-modal.component.ts</v>
      </c>
      <c r="M14" s="37" t="str">
        <f>"create-or-edit-"&amp;B8&amp;"-modal.component.less"</f>
        <v>create-or-edit-materialmaster-modal.component.less</v>
      </c>
      <c r="N14" s="37" t="str">
        <f>B8&amp;".module.ts"</f>
        <v>materialmaster.module.ts</v>
      </c>
      <c r="O14" s="37" t="str">
        <f>B8&amp;"-routing.module.ts"</f>
        <v>materialmaster-routing.module.ts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360</v>
      </c>
      <c r="B15" s="28" t="str">
        <f t="shared" ref="B15" si="0">SUBSTITUTE(PROPER(A15),"_","")</f>
        <v>MaterialType</v>
      </c>
      <c r="C15" s="28" t="str">
        <f t="shared" ref="C15" si="1">SUBSTITUTE(PROPER(A15),"_"," ")</f>
        <v>Material Type</v>
      </c>
      <c r="D15" s="28" t="str">
        <f t="shared" ref="D15" si="2">LOWER(LEFT(B15,1))&amp;RIGHT(B15,LEN(B15) - 1)</f>
        <v>materialType</v>
      </c>
      <c r="E15" s="28" t="str">
        <f>A.Backend!H9</f>
        <v>string</v>
      </c>
      <c r="F15" s="28" t="str">
        <f>A.Backend!G9</f>
        <v>4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Type'),headerTooltip: this.l('Material Type'),field: 'materialType',flex: 1},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[(ngModel)]='materialType' name='materialType'
									class='form-control' [placeholder]="l('Material Type')"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Type&lt;/label&gt;
						&lt;input type='text' class='col-md-10 form-control input-text' name='MaterialType' [(ngModel)]='rowdata.materialType'&gt;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materialType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materialType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362</v>
      </c>
      <c r="B16" s="28" t="str">
        <f t="shared" ref="B16:B57" si="8">SUBSTITUTE(PROPER(A16),"_","")</f>
        <v>MaterialCode</v>
      </c>
      <c r="C16" s="28" t="str">
        <f t="shared" ref="C16:C57" si="9">SUBSTITUTE(PROPER(A16),"_"," ")</f>
        <v>Material Code</v>
      </c>
      <c r="D16" s="28" t="str">
        <f t="shared" ref="D16:D57" si="10">LOWER(LEFT(B16,1))&amp;RIGHT(B16,LEN(B16) - 1)</f>
        <v>materialCode</v>
      </c>
      <c r="E16" s="28" t="str">
        <f>A.Backend!H10</f>
        <v>string</v>
      </c>
      <c r="F16" s="28" t="str">
        <f>A.Backend!G10</f>
        <v>40</v>
      </c>
      <c r="G16" s="28" t="str">
        <f t="shared" ref="G16:G57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this.l('Material Code'),headerTooltip: this.l('Material Code'),field: 'materialCode',flex: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6" s="28"/>
      <c r="K16" s="35" t="str">
        <f t="shared" ref="K16:K20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0" si="15">IF(AND(E16="string",F16 &lt;&gt;"1"),(REPT(CHAR(9),1)&amp;D16&amp;G16),"")</f>
        <v xml:space="preserve">	materialCode : string = '' ; </v>
      </c>
      <c r="T16" s="28" t="str">
        <f>IF(AND(E16="string",F16 &lt;&gt;"1"),(REPT(CHAR(9),3)&amp;"this."&amp;D15&amp;","),"")</f>
        <v xml:space="preserve">			this.materialType,</v>
      </c>
      <c r="U16" s="28" t="str">
        <f t="shared" ref="U16:U20" si="16">IF(AND(E16="string",F16 &lt;&gt;"1"),(REPT(CHAR(9),1)&amp;D16&amp;G16),"")</f>
        <v xml:space="preserve">	materialCode : string = '' ; </v>
      </c>
      <c r="V16" s="28" t="str">
        <f t="shared" ref="V16:V21" si="17">IF(AND(E16="string",F16="1"),D16,"")</f>
        <v/>
      </c>
    </row>
    <row r="17" spans="1:22" ht="18" customHeight="1" x14ac:dyDescent="0.25">
      <c r="A17" s="28" t="s">
        <v>363</v>
      </c>
      <c r="B17" s="28" t="str">
        <f t="shared" si="8"/>
        <v>IndustrySector</v>
      </c>
      <c r="C17" s="28" t="str">
        <f t="shared" si="9"/>
        <v>Industry Sector</v>
      </c>
      <c r="D17" s="28" t="str">
        <f t="shared" si="10"/>
        <v>industrySector</v>
      </c>
      <c r="E17" s="28" t="str">
        <f>A.Backend!H11</f>
        <v>string</v>
      </c>
      <c r="F17" s="28" t="str">
        <f>A.Backend!G11</f>
        <v>1</v>
      </c>
      <c r="G17" s="28" t="str">
        <f t="shared" si="11"/>
        <v xml:space="preserve"> : string = '' ; </v>
      </c>
      <c r="H17" s="35" t="str">
        <f t="shared" si="12"/>
        <v xml:space="preserve">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title'&gt;Industry Sector&lt;/label&gt;
						&lt;new-checkbox [(ngModel)]='_industrySector' name='industrySector' className='col-md-10' &gt; &lt;/new-checkbox&gt;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>industrySector</v>
      </c>
    </row>
    <row r="18" spans="1:22" ht="15" customHeight="1" x14ac:dyDescent="0.25">
      <c r="A18" s="28" t="s">
        <v>365</v>
      </c>
      <c r="B18" s="28" t="str">
        <f t="shared" si="8"/>
        <v>Description</v>
      </c>
      <c r="C18" s="28" t="str">
        <f t="shared" si="9"/>
        <v>Description</v>
      </c>
      <c r="D18" s="28" t="str">
        <f t="shared" si="10"/>
        <v>description</v>
      </c>
      <c r="E18" s="28" t="str">
        <f>A.Backend!H12</f>
        <v>string</v>
      </c>
      <c r="F18" s="28" t="str">
        <f>A.Backend!G12</f>
        <v>40</v>
      </c>
      <c r="G18" s="28" t="str">
        <f t="shared" si="11"/>
        <v xml:space="preserve"> : string = '' ; </v>
      </c>
      <c r="H18" s="35" t="str">
        <f t="shared" si="12"/>
        <v xml:space="preserve">			{headerName: this.l('Description'),headerTooltip: this.l('Description'),field: 'description',flex: 1},</v>
      </c>
      <c r="I18" s="35" t="str">
        <f t="shared" si="5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8" s="56" t="str">
        <f t="shared" ref="L18:L22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description : string = '' ; </v>
      </c>
      <c r="T18" s="28" t="str">
        <f t="shared" si="18"/>
        <v xml:space="preserve">			this.industrySector,</v>
      </c>
      <c r="U18" s="28" t="str">
        <f t="shared" si="16"/>
        <v xml:space="preserve">	description : string = '' ; </v>
      </c>
      <c r="V18" s="28" t="str">
        <f t="shared" si="17"/>
        <v/>
      </c>
    </row>
    <row r="19" spans="1:22" ht="18" customHeight="1" x14ac:dyDescent="0.25">
      <c r="A19" s="28" t="s">
        <v>366</v>
      </c>
      <c r="B19" s="28" t="str">
        <f t="shared" si="8"/>
        <v>MaterialGroup</v>
      </c>
      <c r="C19" s="28" t="str">
        <f t="shared" si="9"/>
        <v>Material Group</v>
      </c>
      <c r="D19" s="28" t="str">
        <f t="shared" si="10"/>
        <v>materialGroup</v>
      </c>
      <c r="E19" s="28" t="str">
        <f>A.Backend!H13</f>
        <v>string</v>
      </c>
      <c r="F19" s="28" t="str">
        <f>A.Backend!G13</f>
        <v>9</v>
      </c>
      <c r="G19" s="28" t="str">
        <f t="shared" si="11"/>
        <v xml:space="preserve"> : string = '' ; </v>
      </c>
      <c r="H19" s="35" t="str">
        <f t="shared" si="12"/>
        <v xml:space="preserve">			{headerName: this.l('Material Group'),headerTooltip: this.l('Material Group'),field: 'materialGroup',flex: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[(ngModel)]='materialGroup' name='materialGroup'
									class='form-control' [placeholder]="l('Material Group')"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materialGroup : string = '' ; </v>
      </c>
      <c r="T19" s="28" t="str">
        <f t="shared" si="18"/>
        <v xml:space="preserve">			this.description,</v>
      </c>
      <c r="U19" s="28" t="str">
        <f t="shared" si="16"/>
        <v xml:space="preserve">	materialGroup : string = '' ; </v>
      </c>
      <c r="V19" s="28" t="str">
        <f t="shared" si="17"/>
        <v/>
      </c>
    </row>
    <row r="20" spans="1:22" ht="15" customHeight="1" x14ac:dyDescent="0.25">
      <c r="A20" s="28" t="s">
        <v>368</v>
      </c>
      <c r="B20" s="28" t="str">
        <f t="shared" si="8"/>
        <v>BaseUnitOfMeasure</v>
      </c>
      <c r="C20" s="28" t="str">
        <f t="shared" si="9"/>
        <v>Base Unit Of Measure</v>
      </c>
      <c r="D20" s="28" t="str">
        <f t="shared" si="10"/>
        <v>baseUnitOfMeasure</v>
      </c>
      <c r="E20" s="28" t="str">
        <f>A.Backend!H14</f>
        <v>string</v>
      </c>
      <c r="F20" s="28" t="str">
        <f>A.Backend!G14</f>
        <v>3</v>
      </c>
      <c r="G20" s="28" t="str">
        <f t="shared" si="11"/>
        <v xml:space="preserve"> : string = '' ; </v>
      </c>
      <c r="H20" s="35" t="str">
        <f t="shared" si="12"/>
        <v xml:space="preserve">			{headerName: this.l('Base Unit Of Measure'),headerTooltip: this.l('Base Unit Of Measure'),field: 'baseUnitOfMeasure',flex: 1},</v>
      </c>
      <c r="I20" s="35" t="str">
        <f t="shared" si="5"/>
        <v xml:space="preserve">								&lt;div class='input-search'&gt;
									&lt;input [(ngModel)]='baseUnitOfMeasure' name='baseUnitOfMeasure'
									class='form-control' [placeholder]="l('Base Unit Of Measure')"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baseUnitOfMeasure : string = '' ; </v>
      </c>
      <c r="T20" s="28" t="str">
        <f t="shared" si="18"/>
        <v xml:space="preserve">			this.materialGroup,</v>
      </c>
      <c r="U20" s="28" t="str">
        <f t="shared" si="16"/>
        <v xml:space="preserve">	baseUnitOfMeasure : string = '' ; </v>
      </c>
      <c r="V20" s="28" t="str">
        <f t="shared" si="17"/>
        <v/>
      </c>
    </row>
    <row r="21" spans="1:22" ht="15" customHeight="1" x14ac:dyDescent="0.25">
      <c r="A21" s="28" t="s">
        <v>370</v>
      </c>
      <c r="B21" s="28" t="str">
        <f t="shared" si="8"/>
        <v>DeletionFlag</v>
      </c>
      <c r="C21" s="28" t="str">
        <f t="shared" si="9"/>
        <v>Deletion Flag</v>
      </c>
      <c r="D21" s="28" t="str">
        <f t="shared" si="10"/>
        <v>deletionFlag</v>
      </c>
      <c r="E21" s="28" t="str">
        <f>A.Backend!H15</f>
        <v>string</v>
      </c>
      <c r="F21" s="28" t="str">
        <f>A.Backend!G15</f>
        <v>1</v>
      </c>
      <c r="G21" s="28" t="str">
        <f t="shared" si="11"/>
        <v xml:space="preserve"> : string = '' ; </v>
      </c>
      <c r="H21" s="35" t="str">
        <f t="shared" si="12"/>
        <v xml:space="preserve">			{headerName: this.l('Deletion Flag'),headerTooltip: this.l('Deletion Flag'),field:  'deletionFlag', cellClass: ['text-center'], width: 120, cellRenderer: 'agCellButtonComponent',
buttonDefTwo: { text: params =&gt; (params.data?.'deletionFlag' == 'Y') ? 'Active' : 'Inactive',iconName: 'fa fa-circle',className: params =&gt; (params.data?.'deletionFlag' == 'Y') ? 'btnActive' : 'btnInActive',},}</v>
      </c>
      <c r="I21" s="35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title'&gt;Deletion Flag&lt;/label&gt;
						&lt;new-checkbox [(ngModel)]='_deletionFlag' name='deletionFlag'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>IF(AND(E21="string",F21 &lt;&gt;"1"),(REPT(CHAR(9),1)&amp;D21&amp;G21),"")</f>
        <v/>
      </c>
      <c r="T21" s="28" t="str">
        <f>IF(AND(E21="string",F21 &lt;&gt;"1"),(REPT(CHAR(9),3)&amp;"this."&amp;D20&amp;","),"")</f>
        <v/>
      </c>
      <c r="U21" s="28" t="str">
        <f>IF(AND(E21="string",F21 &lt;&gt;"1"),(REPT(CHAR(9),1)&amp;D21&amp;G21),"")</f>
        <v/>
      </c>
      <c r="V21" s="28" t="str">
        <f t="shared" si="17"/>
        <v>deletionFlag</v>
      </c>
    </row>
    <row r="22" spans="1:22" ht="18" customHeight="1" x14ac:dyDescent="0.25">
      <c r="A22" s="28" t="s">
        <v>371</v>
      </c>
      <c r="B22" s="28" t="str">
        <f t="shared" si="8"/>
        <v>Plant</v>
      </c>
      <c r="C22" s="28" t="str">
        <f t="shared" si="9"/>
        <v>Plant</v>
      </c>
      <c r="D22" s="28" t="str">
        <f t="shared" si="10"/>
        <v>plant</v>
      </c>
      <c r="E22" s="28" t="str">
        <f>A.Backend!H16</f>
        <v>string</v>
      </c>
      <c r="F22" s="28" t="str">
        <f>A.Backend!G16</f>
        <v>4</v>
      </c>
      <c r="G22" s="28" t="str">
        <f t="shared" si="11"/>
        <v xml:space="preserve"> : string = '' ; </v>
      </c>
      <c r="H22" s="35" t="str">
        <f t="shared" ref="H22:H33" si="21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this.l('Plant'),headerTooltip: this.l('Plant'),field: 'plant',flex: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[(ngModel)]='plant' name='plant'
									class='form-control' [placeholder]="l('Plant')"
									type='text' (keyup.enter)='searchDatas()'&gt;
								&lt;/div&gt;</v>
      </c>
      <c r="J22" s="28"/>
      <c r="K22" s="35" t="str">
        <f t="shared" ref="K22:K26" si="22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title'&gt;Plant&lt;/label&gt;
						&lt;input type='text' class='col-md-10 form-control input-text' name='Plant' [(ngModel)]='rowdata.plant'&gt;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ref="S22:S26" si="23">IF(AND(E22="string",F22 &lt;&gt;"1"),(REPT(CHAR(9),1)&amp;D22&amp;G22),"")</f>
        <v xml:space="preserve">	plant : string = '' ; </v>
      </c>
      <c r="T22" s="28" t="str">
        <f>IF(AND(E22="string",F22 &lt;&gt;"1"),(REPT(CHAR(9),3)&amp;"this."&amp;D21&amp;","),"")</f>
        <v xml:space="preserve">			this.deletionFlag,</v>
      </c>
      <c r="U22" s="28" t="str">
        <f t="shared" ref="U22:U26" si="24">IF(AND(E22="string",F22 &lt;&gt;"1"),(REPT(CHAR(9),1)&amp;D22&amp;G22),"")</f>
        <v xml:space="preserve">	plant : string = '' ; </v>
      </c>
      <c r="V22" s="28" t="str">
        <f t="shared" ref="V22:V33" si="25">IF(AND(E22="string",F22="1"),D22,"")</f>
        <v/>
      </c>
    </row>
    <row r="23" spans="1:22" ht="18" customHeight="1" x14ac:dyDescent="0.25">
      <c r="A23" s="28" t="s">
        <v>372</v>
      </c>
      <c r="B23" s="28" t="str">
        <f t="shared" si="8"/>
        <v>StorageLocation</v>
      </c>
      <c r="C23" s="28" t="str">
        <f t="shared" si="9"/>
        <v>Storage Location</v>
      </c>
      <c r="D23" s="28" t="str">
        <f t="shared" si="10"/>
        <v>storageLocation</v>
      </c>
      <c r="E23" s="28" t="str">
        <f>A.Backend!H17</f>
        <v>string</v>
      </c>
      <c r="F23" s="28" t="str">
        <f>A.Backend!G17</f>
        <v>4</v>
      </c>
      <c r="G23" s="28" t="str">
        <f t="shared" si="11"/>
        <v xml:space="preserve"> : string = '' ; </v>
      </c>
      <c r="H23" s="35" t="str">
        <f t="shared" si="21"/>
        <v xml:space="preserve">			{headerName: this.l('Storage Location'),headerTooltip: this.l('Storage Location'),field: 'storageLocation',flex: 1},</v>
      </c>
      <c r="I23" s="35" t="str">
        <f t="shared" ref="I23:I24" si="26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IF(AND(E23="string",F23 &lt;&gt;"1"),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[(ngModel)]='storageLocation' name='storageLocation'
									class='form-control' [placeholder]="l('Storage Location')"
									type='text' (keyup.enter)='searchDatas()'&gt;
								&lt;/div&gt;</v>
      </c>
      <c r="J23" s="28"/>
      <c r="K23" s="35" t="str">
        <f t="shared" si="22"/>
        <v xml:space="preserve">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</v>
      </c>
      <c r="L23" s="56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 xml:space="preserve">	storageLocation : string = '' ; </v>
      </c>
      <c r="T23" s="28" t="str">
        <f t="shared" ref="T23:T26" si="27">IF(AND(E23="string",F23 &lt;&gt;"1"),(REPT(CHAR(9),3)&amp;"this."&amp;D22&amp;","),"")</f>
        <v xml:space="preserve">			this.plant,</v>
      </c>
      <c r="U23" s="28" t="str">
        <f t="shared" si="24"/>
        <v xml:space="preserve">	storageLocation : string = '' ; </v>
      </c>
      <c r="V23" s="28" t="str">
        <f t="shared" si="25"/>
        <v/>
      </c>
    </row>
    <row r="24" spans="1:22" ht="15" customHeight="1" x14ac:dyDescent="0.25">
      <c r="A24" s="28" t="s">
        <v>373</v>
      </c>
      <c r="B24" s="28" t="str">
        <f t="shared" si="8"/>
        <v>ProductionGroup</v>
      </c>
      <c r="C24" s="28" t="str">
        <f t="shared" si="9"/>
        <v>Production Group</v>
      </c>
      <c r="D24" s="28" t="str">
        <f t="shared" si="10"/>
        <v>productionGroup</v>
      </c>
      <c r="E24" s="28" t="str">
        <f>A.Backend!H18</f>
        <v>string</v>
      </c>
      <c r="F24" s="28" t="str">
        <f>A.Backend!G18</f>
        <v>3</v>
      </c>
      <c r="G24" s="28" t="str">
        <f t="shared" si="11"/>
        <v xml:space="preserve"> : string = '' ; </v>
      </c>
      <c r="H24" s="35" t="str">
        <f t="shared" si="21"/>
        <v xml:space="preserve">			{headerName: this.l('Production Group'),headerTooltip: this.l('Production Group'),field: 'productionGroup',flex: 1},</v>
      </c>
      <c r="I24" s="35" t="str">
        <f t="shared" si="26"/>
        <v xml:space="preserve">								&lt;div class='input-search'&gt;
									&lt;input [(ngModel)]='productionGroup' name='productionGroup'
									class='form-control' [placeholder]="l('Production Group')"
									type='text' (keyup.enter)='searchDatas()'&gt;
								&lt;/div&gt;</v>
      </c>
      <c r="J24" s="28"/>
      <c r="K24" s="35" t="str">
        <f t="shared" si="22"/>
        <v xml:space="preserve">					&lt;div class='col-md-12 form-group row'&gt;
						&lt;label class='col-md-2 form-control title'&gt;Production Group&lt;/label&gt;
						&lt;input type='text' class='col-md-10 form-control input-text' name='ProductionGroup' [(ngModel)]='rowdata.productionGroup'&gt;
					&lt;/div&gt;</v>
      </c>
      <c r="L24" s="56" t="str">
        <f t="shared" ref="L24:L28" si="28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23"/>
        <v xml:space="preserve">	productionGroup : string = '' ; </v>
      </c>
      <c r="T24" s="28" t="str">
        <f t="shared" si="27"/>
        <v xml:space="preserve">			this.storageLocation,</v>
      </c>
      <c r="U24" s="28" t="str">
        <f t="shared" si="24"/>
        <v xml:space="preserve">	productionGroup : string = '' ; </v>
      </c>
      <c r="V24" s="28" t="str">
        <f t="shared" si="25"/>
        <v/>
      </c>
    </row>
    <row r="25" spans="1:22" ht="18" customHeight="1" x14ac:dyDescent="0.25">
      <c r="A25" s="28" t="s">
        <v>374</v>
      </c>
      <c r="B25" s="28" t="str">
        <f t="shared" si="8"/>
        <v>ProductionPurpose</v>
      </c>
      <c r="C25" s="28" t="str">
        <f t="shared" si="9"/>
        <v>Production Purpose</v>
      </c>
      <c r="D25" s="28" t="str">
        <f t="shared" si="10"/>
        <v>productionPurpose</v>
      </c>
      <c r="E25" s="28" t="str">
        <f>A.Backend!H19</f>
        <v>string</v>
      </c>
      <c r="F25" s="28" t="str">
        <f>A.Backend!G19</f>
        <v>2</v>
      </c>
      <c r="G25" s="28" t="str">
        <f t="shared" si="11"/>
        <v xml:space="preserve"> : string = '' ; </v>
      </c>
      <c r="H25" s="35" t="str">
        <f t="shared" si="21"/>
        <v xml:space="preserve">			{headerName: this.l('Production Purpose'),headerTooltip: this.l('Production Purpose'),field: 'productionPurpose',flex: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[(ngModel)]='productionPurpose' name='productionPurpose'
									class='form-control' [placeholder]="l('Production Purpose')"
									type='text' (keyup.enter)='searchDatas()'&gt;
								&lt;/div&gt;</v>
      </c>
      <c r="J25" s="28"/>
      <c r="K25" s="35" t="str">
        <f t="shared" si="22"/>
        <v xml:space="preserve">					&lt;div class='col-md-12 form-group row'&gt;
						&lt;label class='col-md-2 form-control title'&gt;Production Purpose&lt;/label&gt;
						&lt;input type='text' class='col-md-10 form-control input-text' name='ProductionPurpose' [(ngModel)]='rowdata.productionPurpose'&gt;
					&lt;/div&gt;</v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 xml:space="preserve">	productionPurpose : string = '' ; </v>
      </c>
      <c r="T25" s="28" t="str">
        <f t="shared" si="27"/>
        <v xml:space="preserve">			this.productionGroup,</v>
      </c>
      <c r="U25" s="28" t="str">
        <f t="shared" si="24"/>
        <v xml:space="preserve">	productionPurpose : string = '' ; </v>
      </c>
      <c r="V25" s="28" t="str">
        <f t="shared" si="25"/>
        <v/>
      </c>
    </row>
    <row r="26" spans="1:22" ht="15" customHeight="1" x14ac:dyDescent="0.25">
      <c r="A26" s="28" t="s">
        <v>376</v>
      </c>
      <c r="B26" s="28" t="str">
        <f t="shared" si="8"/>
        <v>ProductionType</v>
      </c>
      <c r="C26" s="28" t="str">
        <f t="shared" si="9"/>
        <v>Production Type</v>
      </c>
      <c r="D26" s="28" t="str">
        <f t="shared" si="10"/>
        <v>productionType</v>
      </c>
      <c r="E26" s="28" t="str">
        <f>A.Backend!H20</f>
        <v>string</v>
      </c>
      <c r="F26" s="28" t="str">
        <f>A.Backend!G20</f>
        <v>10</v>
      </c>
      <c r="G26" s="28" t="str">
        <f t="shared" si="11"/>
        <v xml:space="preserve"> : string = '' ; </v>
      </c>
      <c r="H26" s="35" t="str">
        <f t="shared" si="21"/>
        <v xml:space="preserve">			{headerName: this.l('Production Type'),headerTooltip: this.l('Production Type'),field: 'productionType',flex: 1},</v>
      </c>
      <c r="I26" s="35" t="str">
        <f t="shared" ref="I26:I27" si="29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[(ngModel)]='productionType' name='productionType'
									class='form-control' [placeholder]="l('Production Type')"
									type='text' (keyup.enter)='searchDatas()'&gt;
								&lt;/div&gt;</v>
      </c>
      <c r="J26" s="28"/>
      <c r="K26" s="35" t="str">
        <f t="shared" si="22"/>
        <v xml:space="preserve">					&lt;div class='col-md-12 form-group row'&gt;
						&lt;label class='col-md-2 form-control title'&gt;Production Type&lt;/label&gt;
						&lt;input type='text' class='col-md-10 form-control input-text' name='ProductionType' [(ngModel)]='rowdata.productionType'&gt;
					&lt;/div&gt;</v>
      </c>
      <c r="L26" s="56" t="str">
        <f t="shared" si="28"/>
        <v/>
      </c>
      <c r="M26" s="28"/>
      <c r="N26" s="28"/>
      <c r="O26" s="28"/>
      <c r="P26" s="28"/>
      <c r="Q26" s="28"/>
      <c r="R26" s="28"/>
      <c r="S26" s="28" t="str">
        <f t="shared" si="23"/>
        <v xml:space="preserve">	productionType : string = '' ; </v>
      </c>
      <c r="T26" s="28" t="str">
        <f t="shared" si="27"/>
        <v xml:space="preserve">			this.productionPurpose,</v>
      </c>
      <c r="U26" s="28" t="str">
        <f t="shared" si="24"/>
        <v xml:space="preserve">	productionType : string = '' ; </v>
      </c>
      <c r="V26" s="28" t="str">
        <f t="shared" si="25"/>
        <v/>
      </c>
    </row>
    <row r="27" spans="1:22" ht="15" customHeight="1" x14ac:dyDescent="0.25">
      <c r="A27" s="28" t="s">
        <v>378</v>
      </c>
      <c r="B27" s="28" t="str">
        <f t="shared" si="8"/>
        <v>ProfitCenter</v>
      </c>
      <c r="C27" s="28" t="str">
        <f t="shared" si="9"/>
        <v>Profit Center</v>
      </c>
      <c r="D27" s="28" t="str">
        <f t="shared" si="10"/>
        <v>profitCenter</v>
      </c>
      <c r="E27" s="28" t="str">
        <f>A.Backend!H21</f>
        <v>string</v>
      </c>
      <c r="F27" s="28" t="str">
        <f>A.Backend!G21</f>
        <v>10</v>
      </c>
      <c r="G27" s="28" t="str">
        <f t="shared" si="11"/>
        <v xml:space="preserve"> : string = '' ; </v>
      </c>
      <c r="H27" s="35" t="str">
        <f t="shared" si="21"/>
        <v xml:space="preserve">			{headerName: this.l('Profit Center'),headerTooltip: this.l('Profit Center'),field: 'profitCenter',flex: 1},</v>
      </c>
      <c r="I27" s="35" t="str">
        <f t="shared" si="29"/>
        <v xml:space="preserve">								&lt;div class='input-search'&gt;
									&lt;input [(ngModel)]='profitCenter' name='profitCenter'
									class='form-control' [placeholder]="l('Profit Center')"
									type='text' (keyup.enter)='searchDatas()'&gt;
								&lt;/div&gt;</v>
      </c>
      <c r="J27" s="28"/>
      <c r="K27" s="35" t="str">
        <f>IF(OR(E27="DateTime?",E27="TimeSpan?"),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IF(OR(E27="int?",E27="long?"),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title'&gt;Profit Center&lt;/label&gt;
						&lt;input type='text' class='col-md-10 form-control input-text' name='ProfitCenter' [(ngModel)]='rowdata.profitCenter'&gt;
					&lt;/div&gt;</v>
      </c>
      <c r="L27" s="56" t="str">
        <f t="shared" si="28"/>
        <v/>
      </c>
      <c r="M27" s="28"/>
      <c r="N27" s="28"/>
      <c r="O27" s="28"/>
      <c r="P27" s="28"/>
      <c r="Q27" s="28"/>
      <c r="R27" s="28"/>
      <c r="S27" s="28" t="str">
        <f>IF(AND(E27="string",F27 &lt;&gt;"1"),(REPT(CHAR(9),1)&amp;D27&amp;G27),"")</f>
        <v xml:space="preserve">	profitCenter : string = '' ; </v>
      </c>
      <c r="T27" s="28" t="str">
        <f>IF(AND(E27="string",F27 &lt;&gt;"1"),(REPT(CHAR(9),3)&amp;"this."&amp;D26&amp;","),"")</f>
        <v xml:space="preserve">			this.productionType,</v>
      </c>
      <c r="U27" s="28" t="str">
        <f>IF(AND(E27="string",F27 &lt;&gt;"1"),(REPT(CHAR(9),1)&amp;D27&amp;G27),"")</f>
        <v xml:space="preserve">	profitCenter : string = '' ; </v>
      </c>
      <c r="V27" s="28" t="str">
        <f t="shared" si="25"/>
        <v/>
      </c>
    </row>
    <row r="28" spans="1:22" ht="18" customHeight="1" x14ac:dyDescent="0.25">
      <c r="A28" s="28" t="s">
        <v>379</v>
      </c>
      <c r="B28" s="28" t="str">
        <f t="shared" si="8"/>
        <v>BatchManagement</v>
      </c>
      <c r="C28" s="28" t="str">
        <f t="shared" si="9"/>
        <v>Batch Management</v>
      </c>
      <c r="D28" s="28" t="str">
        <f t="shared" si="10"/>
        <v>batchManagement</v>
      </c>
      <c r="E28" s="28" t="str">
        <f>A.Backend!H22</f>
        <v>string</v>
      </c>
      <c r="F28" s="28" t="str">
        <f>A.Backend!G22</f>
        <v>3</v>
      </c>
      <c r="G28" s="28" t="str">
        <f t="shared" si="11"/>
        <v xml:space="preserve"> : string = '' ; </v>
      </c>
      <c r="H28" s="35" t="str">
        <f t="shared" si="21"/>
        <v xml:space="preserve">			{headerName: this.l('Batch Management'),headerTooltip: this.l('Batch Management'),field: 'batchManagement',flex: 1},</v>
      </c>
      <c r="I28" s="35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[(ngModel)]='batchManagement' name='batchManagement'
									class='form-control' [placeholder]="l('Batch Management')"
									type='text' (keyup.enter)='searchDatas()'&gt;
								&lt;/div&gt;</v>
      </c>
      <c r="J28" s="28"/>
      <c r="K28" s="35" t="str">
        <f t="shared" ref="K28:K32" si="30">IF(OR(E28="DateTime?",E28="TimeSpan?"),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IF(OR(E28="int?",E28="long?"),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title'&gt;Batch Management&lt;/label&gt;
						&lt;input type='text' class='col-md-10 form-control input-text' name='BatchManagement' [(ngModel)]='rowdata.batchManagement'&gt;
					&lt;/div&gt;</v>
      </c>
      <c r="L28" s="56" t="str">
        <f t="shared" si="28"/>
        <v/>
      </c>
      <c r="M28" s="28"/>
      <c r="N28" s="28"/>
      <c r="O28" s="28"/>
      <c r="P28" s="28"/>
      <c r="Q28" s="28"/>
      <c r="R28" s="28"/>
      <c r="S28" s="28" t="str">
        <f t="shared" ref="S28:S32" si="31">IF(AND(E28="string",F28 &lt;&gt;"1"),(REPT(CHAR(9),1)&amp;D28&amp;G28),"")</f>
        <v xml:space="preserve">	batchManagement : string = '' ; </v>
      </c>
      <c r="T28" s="28" t="str">
        <f>IF(AND(E28="string",F28 &lt;&gt;"1"),(REPT(CHAR(9),3)&amp;"this."&amp;D27&amp;","),"")</f>
        <v xml:space="preserve">			this.profitCenter,</v>
      </c>
      <c r="U28" s="28" t="str">
        <f t="shared" ref="U28:U32" si="32">IF(AND(E28="string",F28 &lt;&gt;"1"),(REPT(CHAR(9),1)&amp;D28&amp;G28),"")</f>
        <v xml:space="preserve">	batchManagement : string = '' ; </v>
      </c>
      <c r="V28" s="28" t="str">
        <f t="shared" si="25"/>
        <v/>
      </c>
    </row>
    <row r="29" spans="1:22" ht="18" customHeight="1" x14ac:dyDescent="0.25">
      <c r="A29" s="28" t="s">
        <v>380</v>
      </c>
      <c r="B29" s="28" t="str">
        <f t="shared" si="8"/>
        <v>ReservedStock</v>
      </c>
      <c r="C29" s="28" t="str">
        <f t="shared" si="9"/>
        <v>Reserved Stock</v>
      </c>
      <c r="D29" s="28" t="str">
        <f t="shared" si="10"/>
        <v>reservedStock</v>
      </c>
      <c r="E29" s="28" t="str">
        <f>A.Backend!H23</f>
        <v>string</v>
      </c>
      <c r="F29" s="28" t="str">
        <f>A.Backend!G23</f>
        <v>2</v>
      </c>
      <c r="G29" s="28" t="str">
        <f t="shared" si="11"/>
        <v xml:space="preserve"> : string = '' ; </v>
      </c>
      <c r="H29" s="35" t="str">
        <f t="shared" si="21"/>
        <v xml:space="preserve">			{headerName: this.l('Reserved Stock'),headerTooltip: this.l('Reserved Stock'),field: 'reservedStock',flex: 1},</v>
      </c>
      <c r="I29" s="35" t="str">
        <f t="shared" ref="I29:I30" si="33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IF(AND(E29="string",F29 &lt;&gt;"1"),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[(ngModel)]='reservedStock' name='reservedStock'
									class='form-control' [placeholder]="l('Reserved Stock')"
									type='text' (keyup.enter)='searchDatas()'&gt;
								&lt;/div&gt;</v>
      </c>
      <c r="J29" s="28"/>
      <c r="K29" s="35" t="str">
        <f t="shared" si="30"/>
        <v xml:space="preserve">					&lt;div class='col-md-12 form-group row'&gt;
						&lt;label class='col-md-2 form-control title'&gt;Reserved Stock&lt;/label&gt;
						&lt;input type='text' class='col-md-10 form-control input-text' name='ReservedStock' [(ngModel)]='rowdata.reservedStock'&gt;
					&lt;/div&gt;</v>
      </c>
      <c r="L29" s="56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31"/>
        <v xml:space="preserve">	reservedStock : string = '' ; </v>
      </c>
      <c r="T29" s="28" t="str">
        <f t="shared" ref="T29:T32" si="34">IF(AND(E29="string",F29 &lt;&gt;"1"),(REPT(CHAR(9),3)&amp;"this."&amp;D28&amp;","),"")</f>
        <v xml:space="preserve">			this.batchManagement,</v>
      </c>
      <c r="U29" s="28" t="str">
        <f t="shared" si="32"/>
        <v xml:space="preserve">	reservedStock : string = '' ; </v>
      </c>
      <c r="V29" s="28" t="str">
        <f t="shared" si="25"/>
        <v/>
      </c>
    </row>
    <row r="30" spans="1:22" ht="15" customHeight="1" x14ac:dyDescent="0.25">
      <c r="A30" s="28" t="s">
        <v>381</v>
      </c>
      <c r="B30" s="28" t="str">
        <f t="shared" si="8"/>
        <v>LotCode</v>
      </c>
      <c r="C30" s="28" t="str">
        <f t="shared" si="9"/>
        <v>Lot Code</v>
      </c>
      <c r="D30" s="28" t="str">
        <f t="shared" si="10"/>
        <v>lotCode</v>
      </c>
      <c r="E30" s="28" t="str">
        <f>A.Backend!H24</f>
        <v>string</v>
      </c>
      <c r="F30" s="28" t="str">
        <f>A.Backend!G24</f>
        <v>10</v>
      </c>
      <c r="G30" s="28" t="str">
        <f t="shared" si="11"/>
        <v xml:space="preserve"> : string = '' ; </v>
      </c>
      <c r="H30" s="35" t="str">
        <f t="shared" si="21"/>
        <v xml:space="preserve">			{headerName: this.l('Lot Code'),headerTooltip: this.l('Lot Code'),field: 'lotCode',flex: 1},</v>
      </c>
      <c r="I30" s="35" t="str">
        <f t="shared" si="33"/>
        <v xml:space="preserve">								&lt;div class='input-search'&gt;
									&lt;input [(ngModel)]='lotCode' name='lotCode'
									class='form-control' [placeholder]="l('Lot Code')"
									type='text' (keyup.enter)='searchDatas()'&gt;
								&lt;/div&gt;</v>
      </c>
      <c r="J30" s="28"/>
      <c r="K30" s="35" t="str">
        <f t="shared" si="30"/>
        <v xml:space="preserve">					&lt;div class='col-md-12 form-group row'&gt;
						&lt;label class='col-md-2 form-control title'&gt;Lot Code&lt;/label&gt;
						&lt;input type='text' class='col-md-10 form-control input-text' name='LotCode' [(ngModel)]='rowdata.lotCode'&gt;
					&lt;/div&gt;</v>
      </c>
      <c r="L30" s="56" t="str">
        <f t="shared" ref="L30:L34" si="35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31"/>
        <v xml:space="preserve">	lotCode : string = '' ; </v>
      </c>
      <c r="T30" s="28" t="str">
        <f t="shared" si="34"/>
        <v xml:space="preserve">			this.reservedStock,</v>
      </c>
      <c r="U30" s="28" t="str">
        <f t="shared" si="32"/>
        <v xml:space="preserve">	lotCode : string = '' ; </v>
      </c>
      <c r="V30" s="28" t="str">
        <f t="shared" si="25"/>
        <v/>
      </c>
    </row>
    <row r="31" spans="1:22" ht="18" customHeight="1" x14ac:dyDescent="0.25">
      <c r="A31" s="28" t="s">
        <v>382</v>
      </c>
      <c r="B31" s="28" t="str">
        <f t="shared" si="8"/>
        <v>MrpGroup</v>
      </c>
      <c r="C31" s="28" t="str">
        <f t="shared" si="9"/>
        <v>Mrp Group</v>
      </c>
      <c r="D31" s="28" t="str">
        <f t="shared" si="10"/>
        <v>mrpGroup</v>
      </c>
      <c r="E31" s="28" t="str">
        <f>A.Backend!H25</f>
        <v>string</v>
      </c>
      <c r="F31" s="28" t="str">
        <f>A.Backend!G25</f>
        <v>4</v>
      </c>
      <c r="G31" s="28" t="str">
        <f t="shared" si="11"/>
        <v xml:space="preserve"> : string = '' ; </v>
      </c>
      <c r="H31" s="35" t="str">
        <f t="shared" si="21"/>
        <v xml:space="preserve">			{headerName: this.l('Mrp Group'),headerTooltip: this.l('Mrp Group'),field: 'mrpGroup',flex: 1},</v>
      </c>
      <c r="I31" s="35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[(ngModel)]='mrpGroup' name='mrpGroup'
									class='form-control' [placeholder]="l('Mrp Group')"
									type='text' (keyup.enter)='searchDatas()'&gt;
								&lt;/div&gt;</v>
      </c>
      <c r="J31" s="28"/>
      <c r="K31" s="35" t="str">
        <f t="shared" si="30"/>
        <v xml:space="preserve">					&lt;div class='col-md-12 form-group row'&gt;
						&lt;label class='col-md-2 form-control title'&gt;Mrp Group&lt;/label&gt;
						&lt;input type='text' class='col-md-10 form-control input-text' name='MrpGroup' [(ngModel)]='rowdata.mrpGroup'&gt;
					&lt;/div&gt;</v>
      </c>
      <c r="L31" s="56" t="str">
        <f t="shared" si="35"/>
        <v/>
      </c>
      <c r="M31" s="28"/>
      <c r="N31" s="28"/>
      <c r="O31" s="28"/>
      <c r="P31" s="28"/>
      <c r="Q31" s="28"/>
      <c r="R31" s="28"/>
      <c r="S31" s="28" t="str">
        <f t="shared" si="31"/>
        <v xml:space="preserve">	mrpGroup : string = '' ; </v>
      </c>
      <c r="T31" s="28" t="str">
        <f t="shared" si="34"/>
        <v xml:space="preserve">			this.lotCode,</v>
      </c>
      <c r="U31" s="28" t="str">
        <f t="shared" si="32"/>
        <v xml:space="preserve">	mrpGroup : string = '' ; </v>
      </c>
      <c r="V31" s="28" t="str">
        <f t="shared" si="25"/>
        <v/>
      </c>
    </row>
    <row r="32" spans="1:22" ht="15" customHeight="1" x14ac:dyDescent="0.25">
      <c r="A32" s="28" t="s">
        <v>383</v>
      </c>
      <c r="B32" s="28" t="str">
        <f t="shared" si="8"/>
        <v>MrpType</v>
      </c>
      <c r="C32" s="28" t="str">
        <f t="shared" si="9"/>
        <v>Mrp Type</v>
      </c>
      <c r="D32" s="28" t="str">
        <f t="shared" si="10"/>
        <v>mrpType</v>
      </c>
      <c r="E32" s="28" t="str">
        <f>A.Backend!H26</f>
        <v>string</v>
      </c>
      <c r="F32" s="28" t="str">
        <f>A.Backend!G26</f>
        <v>2</v>
      </c>
      <c r="G32" s="28" t="str">
        <f t="shared" si="11"/>
        <v xml:space="preserve"> : string = '' ; </v>
      </c>
      <c r="H32" s="35" t="str">
        <f t="shared" si="21"/>
        <v xml:space="preserve">			{headerName: this.l('Mrp Type'),headerTooltip: this.l('Mrp Type'),field: 'mrpType',flex: 1},</v>
      </c>
      <c r="I32" s="35" t="str">
        <f t="shared" ref="I32:I33" si="36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IF(AND(E32="string",F32 &lt;&gt;"1"),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[(ngModel)]='mrpType' name='mrpType'
									class='form-control' [placeholder]="l('Mrp Type')"
									type='text' (keyup.enter)='searchDatas()'&gt;
								&lt;/div&gt;</v>
      </c>
      <c r="J32" s="28"/>
      <c r="K32" s="35" t="str">
        <f t="shared" si="30"/>
        <v xml:space="preserve">					&lt;div class='col-md-12 form-group row'&gt;
						&lt;label class='col-md-2 form-control title'&gt;Mrp Type&lt;/label&gt;
						&lt;input type='text' class='col-md-10 form-control input-text' name='MrpType' [(ngModel)]='rowdata.mrpType'&gt;
					&lt;/div&gt;</v>
      </c>
      <c r="L32" s="56" t="str">
        <f t="shared" si="35"/>
        <v/>
      </c>
      <c r="M32" s="28"/>
      <c r="N32" s="28"/>
      <c r="O32" s="28"/>
      <c r="P32" s="28"/>
      <c r="Q32" s="28"/>
      <c r="R32" s="28"/>
      <c r="S32" s="28" t="str">
        <f t="shared" si="31"/>
        <v xml:space="preserve">	mrpType : string = '' ; </v>
      </c>
      <c r="T32" s="28" t="str">
        <f t="shared" si="34"/>
        <v xml:space="preserve">			this.mrpGroup,</v>
      </c>
      <c r="U32" s="28" t="str">
        <f t="shared" si="32"/>
        <v xml:space="preserve">	mrpType : string = '' ; </v>
      </c>
      <c r="V32" s="28" t="str">
        <f t="shared" si="25"/>
        <v/>
      </c>
    </row>
    <row r="33" spans="1:22" ht="15" customHeight="1" x14ac:dyDescent="0.25">
      <c r="A33" s="28" t="s">
        <v>384</v>
      </c>
      <c r="B33" s="28" t="str">
        <f t="shared" si="8"/>
        <v>ProcurementType</v>
      </c>
      <c r="C33" s="28" t="str">
        <f t="shared" si="9"/>
        <v>Procurement Type</v>
      </c>
      <c r="D33" s="28" t="str">
        <f t="shared" si="10"/>
        <v>procurementType</v>
      </c>
      <c r="E33" s="28" t="str">
        <f>A.Backend!H27</f>
        <v>string</v>
      </c>
      <c r="F33" s="28" t="str">
        <f>A.Backend!G27</f>
        <v>1</v>
      </c>
      <c r="G33" s="28" t="str">
        <f t="shared" si="11"/>
        <v xml:space="preserve"> : string = '' ; </v>
      </c>
      <c r="H33" s="35" t="str">
        <f t="shared" si="21"/>
        <v xml:space="preserve">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</v>
      </c>
      <c r="I33" s="35" t="str">
        <f t="shared" si="36"/>
        <v/>
      </c>
      <c r="J33" s="28"/>
      <c r="K33" s="35" t="str">
        <f>IF(OR(E33="DateTime?",E33="TimeSpan?"),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IF(OR(E33="int?",E33="long?"),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title'&gt;Procurement Type&lt;/label&gt;
						&lt;new-checkbox [(ngModel)]='_procurementType' name='procurementType' className='col-md-10' &gt; &lt;/new-checkbox&gt;
					&lt;/div&gt;</v>
      </c>
      <c r="L33" s="56" t="str">
        <f t="shared" si="35"/>
        <v/>
      </c>
      <c r="M33" s="28"/>
      <c r="N33" s="28"/>
      <c r="O33" s="28"/>
      <c r="P33" s="28"/>
      <c r="Q33" s="28"/>
      <c r="R33" s="28"/>
      <c r="S33" s="28" t="str">
        <f>IF(AND(E33="string",F33 &lt;&gt;"1"),(REPT(CHAR(9),1)&amp;D33&amp;G33),"")</f>
        <v/>
      </c>
      <c r="T33" s="28" t="str">
        <f>IF(AND(E33="string",F33 &lt;&gt;"1"),(REPT(CHAR(9),3)&amp;"this."&amp;D32&amp;","),"")</f>
        <v/>
      </c>
      <c r="U33" s="28" t="str">
        <f>IF(AND(E33="string",F33 &lt;&gt;"1"),(REPT(CHAR(9),1)&amp;D33&amp;G33),"")</f>
        <v/>
      </c>
      <c r="V33" s="28" t="str">
        <f t="shared" si="25"/>
        <v>procurementType</v>
      </c>
    </row>
    <row r="34" spans="1:22" ht="18" customHeight="1" x14ac:dyDescent="0.25">
      <c r="A34" s="28" t="s">
        <v>385</v>
      </c>
      <c r="B34" s="28" t="str">
        <f t="shared" si="8"/>
        <v>SpecialProcurement</v>
      </c>
      <c r="C34" s="28" t="str">
        <f t="shared" si="9"/>
        <v>Special Procurement</v>
      </c>
      <c r="D34" s="28" t="str">
        <f t="shared" si="10"/>
        <v>specialProcurement</v>
      </c>
      <c r="E34" s="28" t="str">
        <f>A.Backend!H28</f>
        <v>string</v>
      </c>
      <c r="F34" s="28" t="str">
        <f>A.Backend!G28</f>
        <v>2</v>
      </c>
      <c r="G34" s="28" t="str">
        <f t="shared" si="11"/>
        <v xml:space="preserve"> : string = '' ; </v>
      </c>
      <c r="H34" s="35" t="str">
        <f t="shared" ref="H34:H57" si="37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this.l('Special Procurement'),headerTooltip: this.l('Special Procurement'),field: 'specialProcurement',flex: 1},</v>
      </c>
      <c r="I34" s="35" t="str">
        <f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[(ngModel)]='specialProcurement' name='specialProcurement'
									class='form-control' [placeholder]="l('Special Procurement')"
									type='text' (keyup.enter)='searchDatas()'&gt;
								&lt;/div&gt;</v>
      </c>
      <c r="J34" s="28"/>
      <c r="K34" s="35" t="str">
        <f t="shared" ref="K34:K38" si="38">IF(OR(E34="DateTime?",E34="TimeSpan?"),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IF(OR(E34="int?",E34="long?"),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ref="S34:S38" si="39">IF(AND(E34="string",F34 &lt;&gt;"1"),(REPT(CHAR(9),1)&amp;D34&amp;G34),"")</f>
        <v xml:space="preserve">	specialProcurement : string = '' ; </v>
      </c>
      <c r="T34" s="28" t="str">
        <f>IF(AND(E34="string",F34 &lt;&gt;"1"),(REPT(CHAR(9),3)&amp;"this."&amp;D33&amp;","),"")</f>
        <v xml:space="preserve">			this.procurementType,</v>
      </c>
      <c r="U34" s="28" t="str">
        <f t="shared" ref="U34:U38" si="40">IF(AND(E34="string",F34 &lt;&gt;"1"),(REPT(CHAR(9),1)&amp;D34&amp;G34),"")</f>
        <v xml:space="preserve">	specialProcurement : string = '' ; </v>
      </c>
      <c r="V34" s="28" t="str">
        <f t="shared" ref="V34:V57" si="41">IF(AND(E34="string",F34="1"),D34,"")</f>
        <v/>
      </c>
    </row>
    <row r="35" spans="1:22" ht="18" customHeight="1" x14ac:dyDescent="0.25">
      <c r="A35" s="28" t="s">
        <v>386</v>
      </c>
      <c r="B35" s="28" t="str">
        <f t="shared" si="8"/>
        <v>ProductionStorageLocation</v>
      </c>
      <c r="C35" s="28" t="str">
        <f t="shared" si="9"/>
        <v>Production Storage Location</v>
      </c>
      <c r="D35" s="28" t="str">
        <f t="shared" si="10"/>
        <v>productionStorageLocation</v>
      </c>
      <c r="E35" s="28" t="str">
        <f>A.Backend!H29</f>
        <v>string</v>
      </c>
      <c r="F35" s="28" t="str">
        <f>A.Backend!G29</f>
        <v>4</v>
      </c>
      <c r="G35" s="28" t="str">
        <f t="shared" si="11"/>
        <v xml:space="preserve"> : string = '' ; </v>
      </c>
      <c r="H35" s="35" t="str">
        <f t="shared" si="37"/>
        <v xml:space="preserve">			{headerName: this.l('Production Storage Location'),headerTooltip: this.l('Production Storage Location'),field: 'productionStorageLocation',flex: 1},</v>
      </c>
      <c r="I35" s="35" t="str">
        <f t="shared" ref="I35:I36" si="42"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IF(AND(E35="string",F35 &lt;&gt;"1"),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[(ngModel)]='productionStorageLocation' name='productionStorageLocation'
									class='form-control' [placeholder]="l('Production Storage Location')"
									type='text' (keyup.enter)='searchDatas()'&gt;
								&lt;/div&gt;</v>
      </c>
      <c r="J35" s="28"/>
      <c r="K35" s="35" t="str">
        <f t="shared" si="38"/>
        <v xml:space="preserve">					&lt;div class='col-md-12 form-group row'&gt;
						&lt;label class='col-md-2 form-control title'&gt;Production Storage Location&lt;/label&gt;
						&lt;input type='text' class='col-md-10 form-control input-text' name='ProductionStorageLocation' [(ngModel)]='rowdata.productionStorageLocation'&gt;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39"/>
        <v xml:space="preserve">	productionStorageLocation : string = '' ; </v>
      </c>
      <c r="T35" s="28" t="str">
        <f t="shared" ref="T35:T38" si="43">IF(AND(E35="string",F35 &lt;&gt;"1"),(REPT(CHAR(9),3)&amp;"this."&amp;D34&amp;","),"")</f>
        <v xml:space="preserve">			this.specialProcurement,</v>
      </c>
      <c r="U35" s="28" t="str">
        <f t="shared" si="40"/>
        <v xml:space="preserve">	productionStorageLocation : string = '' ; </v>
      </c>
      <c r="V35" s="28" t="str">
        <f t="shared" si="41"/>
        <v/>
      </c>
    </row>
    <row r="36" spans="1:22" ht="15" customHeight="1" x14ac:dyDescent="0.25">
      <c r="A36" s="28" t="s">
        <v>387</v>
      </c>
      <c r="B36" s="28" t="str">
        <f t="shared" si="8"/>
        <v>RepetManufacturing</v>
      </c>
      <c r="C36" s="28" t="str">
        <f t="shared" si="9"/>
        <v>Repet Manufacturing</v>
      </c>
      <c r="D36" s="28" t="str">
        <f t="shared" si="10"/>
        <v>repetManufacturing</v>
      </c>
      <c r="E36" s="28" t="str">
        <f>A.Backend!H30</f>
        <v>string</v>
      </c>
      <c r="F36" s="28" t="str">
        <f>A.Backend!G30</f>
        <v>1</v>
      </c>
      <c r="G36" s="28" t="str">
        <f t="shared" si="11"/>
        <v xml:space="preserve"> : string = '' ; </v>
      </c>
      <c r="H36" s="35" t="str">
        <f t="shared" si="37"/>
        <v xml:space="preserve">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</v>
      </c>
      <c r="I36" s="35" t="str">
        <f t="shared" si="42"/>
        <v/>
      </c>
      <c r="J36" s="28"/>
      <c r="K36" s="35" t="str">
        <f t="shared" si="38"/>
        <v xml:space="preserve">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</v>
      </c>
      <c r="L36" s="56" t="str">
        <f t="shared" ref="L36:L40" si="44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39"/>
        <v/>
      </c>
      <c r="T36" s="28" t="str">
        <f t="shared" si="43"/>
        <v/>
      </c>
      <c r="U36" s="28" t="str">
        <f t="shared" si="40"/>
        <v/>
      </c>
      <c r="V36" s="28" t="str">
        <f t="shared" si="41"/>
        <v>repetManufacturing</v>
      </c>
    </row>
    <row r="37" spans="1:22" ht="18" customHeight="1" x14ac:dyDescent="0.25">
      <c r="A37" s="28" t="s">
        <v>388</v>
      </c>
      <c r="B37" s="28" t="str">
        <f t="shared" si="8"/>
        <v>RemProfile</v>
      </c>
      <c r="C37" s="28" t="str">
        <f t="shared" si="9"/>
        <v>Rem Profile</v>
      </c>
      <c r="D37" s="28" t="str">
        <f t="shared" si="10"/>
        <v>remProfile</v>
      </c>
      <c r="E37" s="28" t="str">
        <f>A.Backend!H31</f>
        <v>string</v>
      </c>
      <c r="F37" s="28" t="str">
        <f>A.Backend!G31</f>
        <v>4</v>
      </c>
      <c r="G37" s="28" t="str">
        <f t="shared" si="11"/>
        <v xml:space="preserve"> : string = '' ; </v>
      </c>
      <c r="H37" s="35" t="str">
        <f t="shared" si="37"/>
        <v xml:space="preserve">			{headerName: this.l('Rem Profile'),headerTooltip: this.l('Rem Profile'),field: 'remProfile',flex: 1},</v>
      </c>
      <c r="I37" s="35" t="str">
        <f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IF(AND(E37="string",F37 &lt;&gt;"1"),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[(ngModel)]='remProfile' name='remProfile'
									class='form-control' [placeholder]="l('Rem Profile')"
									type='text' (keyup.enter)='searchDatas()'&gt;
								&lt;/div&gt;</v>
      </c>
      <c r="J37" s="28"/>
      <c r="K37" s="35" t="str">
        <f t="shared" si="38"/>
        <v xml:space="preserve">					&lt;div class='col-md-12 form-group row'&gt;
						&lt;label class='col-md-2 form-control title'&gt;Rem Profile&lt;/label&gt;
						&lt;input type='text' class='col-md-10 form-control input-text' name='RemProfile' [(ngModel)]='rowdata.remProfile'&gt;
					&lt;/div&gt;</v>
      </c>
      <c r="L37" s="56" t="str">
        <f t="shared" si="44"/>
        <v/>
      </c>
      <c r="M37" s="28"/>
      <c r="N37" s="28"/>
      <c r="O37" s="28"/>
      <c r="P37" s="28"/>
      <c r="Q37" s="28"/>
      <c r="R37" s="28"/>
      <c r="S37" s="28" t="str">
        <f t="shared" si="39"/>
        <v xml:space="preserve">	remProfile : string = '' ; </v>
      </c>
      <c r="T37" s="28" t="str">
        <f t="shared" si="43"/>
        <v xml:space="preserve">			this.repetManufacturing,</v>
      </c>
      <c r="U37" s="28" t="str">
        <f t="shared" si="40"/>
        <v xml:space="preserve">	remProfile : string = '' ; </v>
      </c>
      <c r="V37" s="28" t="str">
        <f t="shared" si="41"/>
        <v/>
      </c>
    </row>
    <row r="38" spans="1:22" ht="15" customHeight="1" x14ac:dyDescent="0.25">
      <c r="A38" s="28" t="s">
        <v>389</v>
      </c>
      <c r="B38" s="28" t="str">
        <f t="shared" si="8"/>
        <v>DoNotCost</v>
      </c>
      <c r="C38" s="28" t="str">
        <f t="shared" si="9"/>
        <v>Do Not Cost</v>
      </c>
      <c r="D38" s="28" t="str">
        <f t="shared" si="10"/>
        <v>doNotCost</v>
      </c>
      <c r="E38" s="28" t="str">
        <f>A.Backend!H32</f>
        <v>string</v>
      </c>
      <c r="F38" s="28" t="str">
        <f>A.Backend!G32</f>
        <v>1</v>
      </c>
      <c r="G38" s="28" t="str">
        <f t="shared" si="11"/>
        <v xml:space="preserve"> : string = '' ; </v>
      </c>
      <c r="H38" s="35" t="str">
        <f t="shared" si="37"/>
        <v xml:space="preserve">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</v>
      </c>
      <c r="I38" s="35" t="str">
        <f t="shared" ref="I38:I39" si="45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IF(AND(E38="string",F38 &lt;&gt;"1"),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/>
      </c>
      <c r="J38" s="28"/>
      <c r="K38" s="35" t="str">
        <f t="shared" si="38"/>
        <v xml:space="preserve">					&lt;div class='col-md-12 form-group row'&gt;
						&lt;label class='col-md-2 form-control title'&gt;Do Not Cost&lt;/label&gt;
						&lt;new-checkbox [(ngModel)]='_doNotCost' name='doNotCost' className='col-md-10' &gt; &lt;/new-checkbox&gt;
					&lt;/div&gt;</v>
      </c>
      <c r="L38" s="56" t="str">
        <f t="shared" si="44"/>
        <v/>
      </c>
      <c r="M38" s="28"/>
      <c r="N38" s="28"/>
      <c r="O38" s="28"/>
      <c r="P38" s="28"/>
      <c r="Q38" s="28"/>
      <c r="R38" s="28"/>
      <c r="S38" s="28" t="str">
        <f t="shared" si="39"/>
        <v/>
      </c>
      <c r="T38" s="28" t="str">
        <f t="shared" si="43"/>
        <v/>
      </c>
      <c r="U38" s="28" t="str">
        <f t="shared" si="40"/>
        <v/>
      </c>
      <c r="V38" s="28" t="str">
        <f t="shared" si="41"/>
        <v>doNotCost</v>
      </c>
    </row>
    <row r="39" spans="1:22" ht="15" customHeight="1" x14ac:dyDescent="0.25">
      <c r="A39" s="28" t="s">
        <v>390</v>
      </c>
      <c r="B39" s="28" t="str">
        <f t="shared" si="8"/>
        <v>VarianceKey</v>
      </c>
      <c r="C39" s="28" t="str">
        <f t="shared" si="9"/>
        <v>Variance Key</v>
      </c>
      <c r="D39" s="28" t="str">
        <f t="shared" si="10"/>
        <v>varianceKey</v>
      </c>
      <c r="E39" s="28" t="str">
        <f>A.Backend!H33</f>
        <v>string</v>
      </c>
      <c r="F39" s="28" t="str">
        <f>A.Backend!G33</f>
        <v>25</v>
      </c>
      <c r="G39" s="28" t="str">
        <f t="shared" si="11"/>
        <v xml:space="preserve"> : string = '' ; </v>
      </c>
      <c r="H39" s="35" t="str">
        <f t="shared" si="37"/>
        <v xml:space="preserve">			{headerName: this.l('Variance Key'),headerTooltip: this.l('Variance Key'),field: 'varianceKey',flex: 1},</v>
      </c>
      <c r="I39" s="35" t="str">
        <f t="shared" si="45"/>
        <v xml:space="preserve">								&lt;div class='input-search'&gt;
									&lt;input [(ngModel)]='varianceKey' name='varianceKey'
									class='form-control' [placeholder]="l('Variance Key')"
									type='text' (keyup.enter)='searchDatas()'&gt;
								&lt;/div&gt;</v>
      </c>
      <c r="J39" s="28"/>
      <c r="K39" s="35" t="str">
        <f>IF(OR(E39="DateTime?",E39="TimeSpan?"),
REPT(CHAR(9),5)&amp;"&lt;div class='col-md-12 form-group row'&gt;
"&amp;REPT(CHAR(9),6)&amp;"&lt;label class='col-md-2 form-control title'&gt;"&amp;C39&amp;"&lt;/label&gt;
"&amp;REPT(CHAR(9),6)&amp;"&lt;input type='text' class='col-md-10 form-control input-text' name='"&amp;D39&amp;"' 
"&amp;REPT(CHAR(9),6)&amp;"#datepicker='bsDatepicker' [(ngModel)]='rowdata."&amp;D39&amp;"'  bsDatepicker &gt;
"&amp;REPT(CHAR(9),5)&amp;"&lt;/div&gt;",
IF(AND(E39="string",F39="1"),
REPT(CHAR(9),5)&amp;"&lt;div class='col-md-12 form-group row'&gt;
"&amp;REPT(CHAR(9),6)&amp;"&lt;label class='col-md-2 form-control title'&gt;"&amp;C39&amp;"&lt;/label&gt;
"&amp;REPT(CHAR(9),6)&amp;"&lt;new-checkbox [(ngModel)]='_"&amp;D39&amp;"' name='"&amp;D39&amp;"' className='col-md-10' &gt; &lt;/new-checkbox&gt;
"&amp;REPT(CHAR(9),5)&amp;"&lt;/div&gt;",
IF(E39="string",
REPT(CHAR(9),5)&amp;"&lt;div class='col-md-12 form-group row'&gt;
"&amp;REPT(CHAR(9),6)&amp;"&lt;label class='col-md-2 form-control title'&gt;"&amp;C39&amp;"&lt;/label&gt;
"&amp;REPT(CHAR(9),6)&amp;"&lt;input type='text' class='col-md-10 form-control input-text' name='"&amp;B39&amp;"' [(ngModel)]='rowdata."&amp;D39&amp;"'&gt;
"&amp;REPT(CHAR(9),5)&amp;"&lt;/div&gt;",
IF(OR(E39="int?",E39="long?"),
REPT(CHAR(9),5)&amp;"&lt;div class='col-md-12 form-group row'&gt;
"&amp;REPT(CHAR(9),6)&amp;"&lt;label class='col-md-2 form-control title'&gt;"&amp;C39&amp;"&lt;/label&gt;
"&amp;REPT(CHAR(9),6)&amp;"&lt;input type='number' class='col-md-10 form-control input-text' name='"&amp;B39&amp;"' [(ngModel)]='rowdata."&amp;D39&amp;"'&gt;
"&amp;REPT(CHAR(9),5)&amp;"&lt;/div&gt;",""))))</f>
        <v xml:space="preserve">					&lt;div class='col-md-12 form-group row'&gt;
						&lt;label class='col-md-2 form-control title'&gt;Variance Key&lt;/label&gt;
						&lt;input type='text' class='col-md-10 form-control input-text' name='VarianceKey' [(ngModel)]='rowdata.varianceKey'&gt;
					&lt;/div&gt;</v>
      </c>
      <c r="L39" s="56" t="str">
        <f t="shared" si="44"/>
        <v/>
      </c>
      <c r="M39" s="28"/>
      <c r="N39" s="28"/>
      <c r="O39" s="28"/>
      <c r="P39" s="28"/>
      <c r="Q39" s="28"/>
      <c r="R39" s="28"/>
      <c r="S39" s="28" t="str">
        <f>IF(AND(E39="string",F39 &lt;&gt;"1"),(REPT(CHAR(9),1)&amp;D39&amp;G39),"")</f>
        <v xml:space="preserve">	varianceKey : string = '' ; </v>
      </c>
      <c r="T39" s="28" t="str">
        <f>IF(AND(E39="string",F39 &lt;&gt;"1"),(REPT(CHAR(9),3)&amp;"this."&amp;D38&amp;","),"")</f>
        <v xml:space="preserve">			this.doNotCost,</v>
      </c>
      <c r="U39" s="28" t="str">
        <f>IF(AND(E39="string",F39 &lt;&gt;"1"),(REPT(CHAR(9),1)&amp;D39&amp;G39),"")</f>
        <v xml:space="preserve">	varianceKey : string = '' ; </v>
      </c>
      <c r="V39" s="28" t="str">
        <f t="shared" si="41"/>
        <v/>
      </c>
    </row>
    <row r="40" spans="1:22" ht="18" customHeight="1" x14ac:dyDescent="0.25">
      <c r="A40" s="28" t="s">
        <v>392</v>
      </c>
      <c r="B40" s="28" t="str">
        <f t="shared" si="8"/>
        <v>CostingLotSize</v>
      </c>
      <c r="C40" s="28" t="str">
        <f t="shared" si="9"/>
        <v>Costing Lot Size</v>
      </c>
      <c r="D40" s="28" t="str">
        <f t="shared" si="10"/>
        <v>costingLotSize</v>
      </c>
      <c r="E40" s="28" t="str">
        <f>A.Backend!H34</f>
        <v>decimal?</v>
      </c>
      <c r="F40" s="28" t="str">
        <f>A.Backend!G34</f>
        <v>13,3</v>
      </c>
      <c r="G40" s="28" t="str">
        <f t="shared" si="11"/>
        <v/>
      </c>
      <c r="H40" s="35" t="str">
        <f t="shared" si="37"/>
        <v xml:space="preserve">			{headerName: this.l('Costing Lot Size'),headerTooltip: this.l('Costing Lot Size'),field: 'costingLotSize',flex: 1},</v>
      </c>
      <c r="I40" s="35" t="str">
        <f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IF(AND(E40="string",F40 &lt;&gt;"1"),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/>
      </c>
      <c r="J40" s="28"/>
      <c r="K40" s="35" t="str">
        <f t="shared" ref="K40:K44" si="46">IF(OR(E40="DateTime?",E40="TimeSpan?"),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IF(OR(E40="int?",E40="long?"),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/>
      </c>
      <c r="L40" s="56" t="str">
        <f t="shared" si="44"/>
        <v/>
      </c>
      <c r="M40" s="28"/>
      <c r="N40" s="28"/>
      <c r="O40" s="28"/>
      <c r="P40" s="28"/>
      <c r="Q40" s="28"/>
      <c r="R40" s="28"/>
      <c r="S40" s="28" t="str">
        <f t="shared" ref="S40:S44" si="47">IF(AND(E40="string",F40 &lt;&gt;"1"),(REPT(CHAR(9),1)&amp;D40&amp;G40),"")</f>
        <v/>
      </c>
      <c r="T40" s="28" t="str">
        <f>IF(AND(E40="string",F40 &lt;&gt;"1"),(REPT(CHAR(9),3)&amp;"this."&amp;D39&amp;","),"")</f>
        <v/>
      </c>
      <c r="U40" s="28" t="str">
        <f t="shared" ref="U40:U44" si="48">IF(AND(E40="string",F40 &lt;&gt;"1"),(REPT(CHAR(9),1)&amp;D40&amp;G40),"")</f>
        <v/>
      </c>
      <c r="V40" s="28" t="str">
        <f t="shared" si="41"/>
        <v/>
      </c>
    </row>
    <row r="41" spans="1:22" ht="18" customHeight="1" x14ac:dyDescent="0.25">
      <c r="A41" s="28" t="s">
        <v>394</v>
      </c>
      <c r="B41" s="28" t="str">
        <f t="shared" si="8"/>
        <v>ProductionVersion</v>
      </c>
      <c r="C41" s="28" t="str">
        <f t="shared" si="9"/>
        <v>Production Version</v>
      </c>
      <c r="D41" s="28" t="str">
        <f t="shared" si="10"/>
        <v>productionVersion</v>
      </c>
      <c r="E41" s="28" t="str">
        <f>A.Backend!H35</f>
        <v>string</v>
      </c>
      <c r="F41" s="28" t="str">
        <f>A.Backend!G35</f>
        <v>4</v>
      </c>
      <c r="G41" s="28" t="str">
        <f t="shared" si="11"/>
        <v xml:space="preserve"> : string = '' ; </v>
      </c>
      <c r="H41" s="35" t="str">
        <f t="shared" si="37"/>
        <v xml:space="preserve">			{headerName: this.l('Production Version'),headerTooltip: this.l('Production Version'),field: 'productionVersion',flex: 1},</v>
      </c>
      <c r="I41" s="35" t="str">
        <f t="shared" ref="I41:I42" si="49"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IF(AND(E41="string",F41 &lt;&gt;"1"),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[(ngModel)]='productionVersion' name='productionVersion'
									class='form-control' [placeholder]="l('Production Version')"
									type='text' (keyup.enter)='searchDatas()'&gt;
								&lt;/div&gt;</v>
      </c>
      <c r="J41" s="28"/>
      <c r="K41" s="35" t="str">
        <f t="shared" si="46"/>
        <v xml:space="preserve">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</v>
      </c>
      <c r="L41" s="56" t="str">
        <f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47"/>
        <v xml:space="preserve">	productionVersion : string = '' ; </v>
      </c>
      <c r="T41" s="28" t="str">
        <f t="shared" ref="T41:T44" si="50">IF(AND(E41="string",F41 &lt;&gt;"1"),(REPT(CHAR(9),3)&amp;"this."&amp;D40&amp;","),"")</f>
        <v xml:space="preserve">			this.costingLotSize,</v>
      </c>
      <c r="U41" s="28" t="str">
        <f t="shared" si="48"/>
        <v xml:space="preserve">	productionVersion : string = '' ; </v>
      </c>
      <c r="V41" s="28" t="str">
        <f t="shared" si="41"/>
        <v/>
      </c>
    </row>
    <row r="42" spans="1:22" ht="15" customHeight="1" x14ac:dyDescent="0.25">
      <c r="A42" s="28" t="s">
        <v>395</v>
      </c>
      <c r="B42" s="28" t="str">
        <f t="shared" si="8"/>
        <v>SpecialProcurementCtgView</v>
      </c>
      <c r="C42" s="28" t="str">
        <f t="shared" si="9"/>
        <v>Special Procurement Ctg View</v>
      </c>
      <c r="D42" s="28" t="str">
        <f t="shared" si="10"/>
        <v>specialProcurementCtgView</v>
      </c>
      <c r="E42" s="28" t="str">
        <f>A.Backend!H36</f>
        <v>string</v>
      </c>
      <c r="F42" s="28" t="str">
        <f>A.Backend!G36</f>
        <v>2</v>
      </c>
      <c r="G42" s="28" t="str">
        <f t="shared" si="11"/>
        <v xml:space="preserve"> : string = '' ; </v>
      </c>
      <c r="H42" s="35" t="str">
        <f t="shared" si="37"/>
        <v xml:space="preserve">			{headerName: this.l('Special Procurement Ctg View'),headerTooltip: this.l('Special Procurement Ctg View'),field: 'specialProcurementCtgView',flex: 1},</v>
      </c>
      <c r="I42" s="35" t="str">
        <f t="shared" si="49"/>
        <v xml:space="preserve">								&lt;div class='input-search'&gt;
									&lt;input [(ngModel)]='specialProcurementCtgView' name='specialProcurementCtgView'
									class='form-control' [placeholder]="l('Special Procurement Ctg View')"
									type='text' (keyup.enter)='searchDatas()'&gt;
								&lt;/div&gt;</v>
      </c>
      <c r="J42" s="28"/>
      <c r="K42" s="35" t="str">
        <f t="shared" si="46"/>
        <v xml:space="preserve">					&lt;div class='col-md-12 form-group row'&gt;
						&lt;label class='col-md-2 form-control title'&gt;Special Procurement Ctg View&lt;/label&gt;
						&lt;input type='text' class='col-md-10 form-control input-text' name='SpecialProcurementCtgView' [(ngModel)]='rowdata.specialProcurementCtgView'&gt;
					&lt;/div&gt;</v>
      </c>
      <c r="L42" s="56" t="str">
        <f t="shared" ref="L42:L46" si="51"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 t="shared" si="47"/>
        <v xml:space="preserve">	specialProcurementCtgView : string = '' ; </v>
      </c>
      <c r="T42" s="28" t="str">
        <f t="shared" si="50"/>
        <v xml:space="preserve">			this.productionVersion,</v>
      </c>
      <c r="U42" s="28" t="str">
        <f t="shared" si="48"/>
        <v xml:space="preserve">	specialProcurementCtgView : string = '' ; </v>
      </c>
      <c r="V42" s="28" t="str">
        <f t="shared" si="41"/>
        <v/>
      </c>
    </row>
    <row r="43" spans="1:22" ht="18" customHeight="1" x14ac:dyDescent="0.25">
      <c r="A43" s="28" t="s">
        <v>396</v>
      </c>
      <c r="B43" s="28" t="str">
        <f t="shared" si="8"/>
        <v>ValuationCategory</v>
      </c>
      <c r="C43" s="28" t="str">
        <f t="shared" si="9"/>
        <v>Valuation Category</v>
      </c>
      <c r="D43" s="28" t="str">
        <f t="shared" si="10"/>
        <v>valuationCategory</v>
      </c>
      <c r="E43" s="28" t="str">
        <f>A.Backend!H37</f>
        <v>string</v>
      </c>
      <c r="F43" s="28" t="str">
        <f>A.Backend!G37</f>
        <v>1</v>
      </c>
      <c r="G43" s="28" t="str">
        <f t="shared" si="11"/>
        <v xml:space="preserve"> : string = '' ; </v>
      </c>
      <c r="H43" s="35" t="str">
        <f t="shared" si="37"/>
        <v xml:space="preserve">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</v>
      </c>
      <c r="I43" s="35" t="str">
        <f>IF(E43="DateTime",
REPT(CHAR(9),8)&amp;"&lt;div class='input-search'&gt;
"&amp;REPT(CHAR(9),9)&amp;"&lt;input type='text' [placeholder]=""l('"&amp;C43&amp;"')"" [(ngModel)]='"&amp;D43&amp;"' 
"&amp;REPT(CHAR(9),9)&amp;"name='"&amp;D43&amp;"'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IF(AND(E43="string",F43 &lt;&gt;"1"),
REPT(CHAR(9),8)&amp;"&lt;div class='input-search'&gt;
"&amp;REPT(CHAR(9),9)&amp;"&lt;input [(ngModel)]='"&amp;D43&amp;"' name='"&amp;D43&amp;"'
"&amp;REPT(CHAR(9),9)&amp;"class='form-control' [placeholder]=""l('"&amp;C43&amp;"')""
"&amp;REPT(CHAR(9),9)&amp;"type='text' (keyup.enter)='searchDatas()'&gt;
"&amp;REPT(CHAR(9),8)&amp;"&lt;/div&gt;",""))</f>
        <v/>
      </c>
      <c r="J43" s="28"/>
      <c r="K43" s="35" t="str">
        <f t="shared" si="46"/>
        <v xml:space="preserve">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</v>
      </c>
      <c r="L43" s="56" t="str">
        <f t="shared" si="51"/>
        <v/>
      </c>
      <c r="M43" s="28"/>
      <c r="N43" s="28"/>
      <c r="O43" s="28"/>
      <c r="P43" s="28"/>
      <c r="Q43" s="28"/>
      <c r="R43" s="28"/>
      <c r="S43" s="28" t="str">
        <f t="shared" si="47"/>
        <v/>
      </c>
      <c r="T43" s="28" t="str">
        <f t="shared" si="50"/>
        <v/>
      </c>
      <c r="U43" s="28" t="str">
        <f t="shared" si="48"/>
        <v/>
      </c>
      <c r="V43" s="28" t="str">
        <f t="shared" si="41"/>
        <v>valuationCategory</v>
      </c>
    </row>
    <row r="44" spans="1:22" ht="15" customHeight="1" x14ac:dyDescent="0.25">
      <c r="A44" s="28" t="s">
        <v>397</v>
      </c>
      <c r="B44" s="28" t="str">
        <f t="shared" si="8"/>
        <v>ValuationType</v>
      </c>
      <c r="C44" s="28" t="str">
        <f t="shared" si="9"/>
        <v>Valuation Type</v>
      </c>
      <c r="D44" s="28" t="str">
        <f t="shared" si="10"/>
        <v>valuationType</v>
      </c>
      <c r="E44" s="28" t="str">
        <f>A.Backend!H38</f>
        <v>string</v>
      </c>
      <c r="F44" s="28" t="str">
        <f>A.Backend!G38</f>
        <v>10</v>
      </c>
      <c r="G44" s="28" t="str">
        <f t="shared" si="11"/>
        <v xml:space="preserve"> : string = '' ; </v>
      </c>
      <c r="H44" s="35" t="str">
        <f t="shared" si="37"/>
        <v xml:space="preserve">			{headerName: this.l('Valuation Type'),headerTooltip: this.l('Valuation Type'),field: 'valuationType',flex: 1},</v>
      </c>
      <c r="I44" s="35" t="str">
        <f t="shared" ref="I44:I45" si="52"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IF(AND(E44="string",F44 &lt;&gt;"1"),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[(ngModel)]='valuationType' name='valuationType'
									class='form-control' [placeholder]="l('Valuation Type')"
									type='text' (keyup.enter)='searchDatas()'&gt;
								&lt;/div&gt;</v>
      </c>
      <c r="J44" s="28"/>
      <c r="K44" s="35" t="str">
        <f t="shared" si="46"/>
        <v xml:space="preserve">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</v>
      </c>
      <c r="L44" s="56" t="str">
        <f t="shared" si="51"/>
        <v/>
      </c>
      <c r="M44" s="28"/>
      <c r="N44" s="28"/>
      <c r="O44" s="28"/>
      <c r="P44" s="28"/>
      <c r="Q44" s="28"/>
      <c r="R44" s="28"/>
      <c r="S44" s="28" t="str">
        <f t="shared" si="47"/>
        <v xml:space="preserve">	valuationType : string = '' ; </v>
      </c>
      <c r="T44" s="28" t="str">
        <f t="shared" si="50"/>
        <v xml:space="preserve">			this.valuationCategory,</v>
      </c>
      <c r="U44" s="28" t="str">
        <f t="shared" si="48"/>
        <v xml:space="preserve">	valuationType : string = '' ; </v>
      </c>
      <c r="V44" s="28" t="str">
        <f t="shared" si="41"/>
        <v/>
      </c>
    </row>
    <row r="45" spans="1:22" ht="15" customHeight="1" x14ac:dyDescent="0.25">
      <c r="A45" s="28" t="s">
        <v>398</v>
      </c>
      <c r="B45" s="28" t="str">
        <f t="shared" si="8"/>
        <v>ValuationClass</v>
      </c>
      <c r="C45" s="28" t="str">
        <f t="shared" si="9"/>
        <v>Valuation Class</v>
      </c>
      <c r="D45" s="28" t="str">
        <f t="shared" si="10"/>
        <v>valuationClass</v>
      </c>
      <c r="E45" s="28" t="str">
        <f>A.Backend!H39</f>
        <v>string</v>
      </c>
      <c r="F45" s="28" t="str">
        <f>A.Backend!G39</f>
        <v>4</v>
      </c>
      <c r="G45" s="28" t="str">
        <f t="shared" si="11"/>
        <v xml:space="preserve"> : string = '' ; </v>
      </c>
      <c r="H45" s="35" t="str">
        <f t="shared" si="37"/>
        <v xml:space="preserve">			{headerName: this.l('Valuation Class'),headerTooltip: this.l('Valuation Class'),field: 'valuationClass',flex: 1},</v>
      </c>
      <c r="I45" s="35" t="str">
        <f t="shared" si="52"/>
        <v xml:space="preserve">								&lt;div class='input-search'&gt;
									&lt;input [(ngModel)]='valuationClass' name='valuationClass'
									class='form-control' [placeholder]="l('Valuation Class')"
									type='text' (keyup.enter)='searchDatas()'&gt;
								&lt;/div&gt;</v>
      </c>
      <c r="J45" s="28"/>
      <c r="K45" s="35" t="str">
        <f>IF(OR(E45="DateTime?",E45="TimeSpan?"),
REPT(CHAR(9),5)&amp;"&lt;div class='col-md-12 form-group row'&gt;
"&amp;REPT(CHAR(9),6)&amp;"&lt;label class='col-md-2 form-control title'&gt;"&amp;C45&amp;"&lt;/label&gt;
"&amp;REPT(CHAR(9),6)&amp;"&lt;input type='text' class='col-md-10 form-control input-text' name='"&amp;D45&amp;"' 
"&amp;REPT(CHAR(9),6)&amp;"#datepicker='bsDatepicker' [(ngModel)]='rowdata."&amp;D45&amp;"'  bsDatepicker &gt;
"&amp;REPT(CHAR(9),5)&amp;"&lt;/div&gt;",
IF(AND(E45="string",F45="1"),
REPT(CHAR(9),5)&amp;"&lt;div class='col-md-12 form-group row'&gt;
"&amp;REPT(CHAR(9),6)&amp;"&lt;label class='col-md-2 form-control title'&gt;"&amp;C45&amp;"&lt;/label&gt;
"&amp;REPT(CHAR(9),6)&amp;"&lt;new-checkbox [(ngModel)]='_"&amp;D45&amp;"' name='"&amp;D45&amp;"' className='col-md-10' &gt; &lt;/new-checkbox&gt;
"&amp;REPT(CHAR(9),5)&amp;"&lt;/div&gt;",
IF(E45="string",
REPT(CHAR(9),5)&amp;"&lt;div class='col-md-12 form-group row'&gt;
"&amp;REPT(CHAR(9),6)&amp;"&lt;label class='col-md-2 form-control title'&gt;"&amp;C45&amp;"&lt;/label&gt;
"&amp;REPT(CHAR(9),6)&amp;"&lt;input type='text' class='col-md-10 form-control input-text' name='"&amp;B45&amp;"' [(ngModel)]='rowdata."&amp;D45&amp;"'&gt;
"&amp;REPT(CHAR(9),5)&amp;"&lt;/div&gt;",
IF(OR(E45="int?",E45="long?"),
REPT(CHAR(9),5)&amp;"&lt;div class='col-md-12 form-group row'&gt;
"&amp;REPT(CHAR(9),6)&amp;"&lt;label class='col-md-2 form-control title'&gt;"&amp;C45&amp;"&lt;/label&gt;
"&amp;REPT(CHAR(9),6)&amp;"&lt;input type='number' class='col-md-10 form-control input-text' name='"&amp;B45&amp;"' [(ngModel)]='rowdata."&amp;D45&amp;"'&gt;
"&amp;REPT(CHAR(9),5)&amp;"&lt;/div&gt;",""))))</f>
        <v xml:space="preserve">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</v>
      </c>
      <c r="L45" s="56" t="str">
        <f t="shared" si="51"/>
        <v/>
      </c>
      <c r="M45" s="28"/>
      <c r="N45" s="28"/>
      <c r="O45" s="28"/>
      <c r="P45" s="28"/>
      <c r="Q45" s="28"/>
      <c r="R45" s="28"/>
      <c r="S45" s="28" t="str">
        <f>IF(AND(E45="string",F45 &lt;&gt;"1"),(REPT(CHAR(9),1)&amp;D45&amp;G45),"")</f>
        <v xml:space="preserve">	valuationClass : string = '' ; </v>
      </c>
      <c r="T45" s="28" t="str">
        <f>IF(AND(E45="string",F45 &lt;&gt;"1"),(REPT(CHAR(9),3)&amp;"this."&amp;D44&amp;","),"")</f>
        <v xml:space="preserve">			this.valuationType,</v>
      </c>
      <c r="U45" s="28" t="str">
        <f>IF(AND(E45="string",F45 &lt;&gt;"1"),(REPT(CHAR(9),1)&amp;D45&amp;G45),"")</f>
        <v xml:space="preserve">	valuationClass : string = '' ; </v>
      </c>
      <c r="V45" s="28" t="str">
        <f t="shared" si="41"/>
        <v/>
      </c>
    </row>
    <row r="46" spans="1:22" ht="18" customHeight="1" x14ac:dyDescent="0.25">
      <c r="A46" s="28" t="s">
        <v>399</v>
      </c>
      <c r="B46" s="28" t="str">
        <f t="shared" si="8"/>
        <v>PriceDetermination</v>
      </c>
      <c r="C46" s="28" t="str">
        <f t="shared" si="9"/>
        <v>Price Determination</v>
      </c>
      <c r="D46" s="28" t="str">
        <f t="shared" si="10"/>
        <v>priceDetermination</v>
      </c>
      <c r="E46" s="28" t="str">
        <f>A.Backend!H40</f>
        <v>string</v>
      </c>
      <c r="F46" s="28" t="str">
        <f>A.Backend!G40</f>
        <v>1</v>
      </c>
      <c r="G46" s="28" t="str">
        <f t="shared" si="11"/>
        <v xml:space="preserve"> : string = '' ; </v>
      </c>
      <c r="H46" s="35" t="str">
        <f t="shared" si="37"/>
        <v xml:space="preserve">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</v>
      </c>
      <c r="I46" s="35" t="str">
        <f>IF(E46="DateTime",
REPT(CHAR(9),8)&amp;"&lt;div class='input-search'&gt;
"&amp;REPT(CHAR(9),9)&amp;"&lt;input type='text' [placeholder]=""l('"&amp;C46&amp;"')"" [(ngModel)]='"&amp;D46&amp;"' 
"&amp;REPT(CHAR(9),9)&amp;"name='"&amp;D46&amp;"'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IF(AND(E46="string",F46 &lt;&gt;"1"),
REPT(CHAR(9),8)&amp;"&lt;div class='input-search'&gt;
"&amp;REPT(CHAR(9),9)&amp;"&lt;input [(ngModel)]='"&amp;D46&amp;"' name='"&amp;D46&amp;"'
"&amp;REPT(CHAR(9),9)&amp;"class='form-control' [placeholder]=""l('"&amp;C46&amp;"')""
"&amp;REPT(CHAR(9),9)&amp;"type='text' (keyup.enter)='searchDatas()'&gt;
"&amp;REPT(CHAR(9),8)&amp;"&lt;/div&gt;",""))</f>
        <v/>
      </c>
      <c r="J46" s="28"/>
      <c r="K46" s="35" t="str">
        <f t="shared" ref="K46:K50" si="53">IF(OR(E46="DateTime?",E46="TimeSpan?"),
REPT(CHAR(9),5)&amp;"&lt;div class='col-md-12 form-group row'&gt;
"&amp;REPT(CHAR(9),6)&amp;"&lt;label class='col-md-2 form-control title'&gt;"&amp;C46&amp;"&lt;/label&gt;
"&amp;REPT(CHAR(9),6)&amp;"&lt;input type='text' class='col-md-10 form-control input-text' name='"&amp;D46&amp;"' 
"&amp;REPT(CHAR(9),6)&amp;"#datepicker='bsDatepicker' [(ngModel)]='rowdata."&amp;D46&amp;"'  bsDatepicker &gt;
"&amp;REPT(CHAR(9),5)&amp;"&lt;/div&gt;",
IF(AND(E46="string",F46="1"),
REPT(CHAR(9),5)&amp;"&lt;div class='col-md-12 form-group row'&gt;
"&amp;REPT(CHAR(9),6)&amp;"&lt;label class='col-md-2 form-control title'&gt;"&amp;C46&amp;"&lt;/label&gt;
"&amp;REPT(CHAR(9),6)&amp;"&lt;new-checkbox [(ngModel)]='_"&amp;D46&amp;"' name='"&amp;D46&amp;"' className='col-md-10' &gt; &lt;/new-checkbox&gt;
"&amp;REPT(CHAR(9),5)&amp;"&lt;/div&gt;",
IF(E46="string",
REPT(CHAR(9),5)&amp;"&lt;div class='col-md-12 form-group row'&gt;
"&amp;REPT(CHAR(9),6)&amp;"&lt;label class='col-md-2 form-control title'&gt;"&amp;C46&amp;"&lt;/label&gt;
"&amp;REPT(CHAR(9),6)&amp;"&lt;input type='text' class='col-md-10 form-control input-text' name='"&amp;B46&amp;"' [(ngModel)]='rowdata."&amp;D46&amp;"'&gt;
"&amp;REPT(CHAR(9),5)&amp;"&lt;/div&gt;",
IF(OR(E46="int?",E46="long?"),
REPT(CHAR(9),5)&amp;"&lt;div class='col-md-12 form-group row'&gt;
"&amp;REPT(CHAR(9),6)&amp;"&lt;label class='col-md-2 form-control title'&gt;"&amp;C46&amp;"&lt;/label&gt;
"&amp;REPT(CHAR(9),6)&amp;"&lt;input type='number' class='col-md-10 form-control input-text' name='"&amp;B46&amp;"' [(ngModel)]='rowdata."&amp;D46&amp;"'&gt;
"&amp;REPT(CHAR(9),5)&amp;"&lt;/div&gt;",""))))</f>
        <v xml:space="preserve">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</v>
      </c>
      <c r="L46" s="56" t="str">
        <f t="shared" si="51"/>
        <v/>
      </c>
      <c r="M46" s="28"/>
      <c r="N46" s="28"/>
      <c r="O46" s="28"/>
      <c r="P46" s="28"/>
      <c r="Q46" s="28"/>
      <c r="R46" s="28"/>
      <c r="S46" s="28" t="str">
        <f t="shared" ref="S46:S50" si="54">IF(AND(E46="string",F46 &lt;&gt;"1"),(REPT(CHAR(9),1)&amp;D46&amp;G46),"")</f>
        <v/>
      </c>
      <c r="T46" s="28" t="str">
        <f>IF(AND(E46="string",F46 &lt;&gt;"1"),(REPT(CHAR(9),3)&amp;"this."&amp;D45&amp;","),"")</f>
        <v/>
      </c>
      <c r="U46" s="28" t="str">
        <f t="shared" ref="U46:U50" si="55">IF(AND(E46="string",F46 &lt;&gt;"1"),(REPT(CHAR(9),1)&amp;D46&amp;G46),"")</f>
        <v/>
      </c>
      <c r="V46" s="28" t="str">
        <f t="shared" si="41"/>
        <v>priceDetermination</v>
      </c>
    </row>
    <row r="47" spans="1:22" ht="18" customHeight="1" x14ac:dyDescent="0.25">
      <c r="A47" s="28" t="s">
        <v>400</v>
      </c>
      <c r="B47" s="28" t="str">
        <f t="shared" si="8"/>
        <v>PriceControl</v>
      </c>
      <c r="C47" s="28" t="str">
        <f t="shared" si="9"/>
        <v>Price Control</v>
      </c>
      <c r="D47" s="28" t="str">
        <f t="shared" si="10"/>
        <v>priceControl</v>
      </c>
      <c r="E47" s="28" t="str">
        <f>A.Backend!H41</f>
        <v>string</v>
      </c>
      <c r="F47" s="28" t="str">
        <f>A.Backend!G41</f>
        <v>1</v>
      </c>
      <c r="G47" s="28" t="str">
        <f t="shared" si="11"/>
        <v xml:space="preserve"> : string = '' ; </v>
      </c>
      <c r="H47" s="35" t="str">
        <f t="shared" si="37"/>
        <v xml:space="preserve">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</v>
      </c>
      <c r="I47" s="35" t="str">
        <f t="shared" ref="I47:I48" si="56">IF(E47="DateTime",
REPT(CHAR(9),8)&amp;"&lt;div class='input-search'&gt;
"&amp;REPT(CHAR(9),9)&amp;"&lt;input type='text' [placeholder]=""l('"&amp;C47&amp;"')"" [(ngModel)]='"&amp;D47&amp;"' 
"&amp;REPT(CHAR(9),9)&amp;"name='"&amp;D47&amp;"'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IF(AND(E47="string",F47 &lt;&gt;"1"),
REPT(CHAR(9),8)&amp;"&lt;div class='input-search'&gt;
"&amp;REPT(CHAR(9),9)&amp;"&lt;input [(ngModel)]='"&amp;D47&amp;"' name='"&amp;D47&amp;"'
"&amp;REPT(CHAR(9),9)&amp;"class='form-control' [placeholder]=""l('"&amp;C47&amp;"')""
"&amp;REPT(CHAR(9),9)&amp;"type='text' (keyup.enter)='searchDatas()'&gt;
"&amp;REPT(CHAR(9),8)&amp;"&lt;/div&gt;",""))</f>
        <v/>
      </c>
      <c r="J47" s="28"/>
      <c r="K47" s="35" t="str">
        <f t="shared" si="53"/>
        <v xml:space="preserve">					&lt;div class='col-md-12 form-group row'&gt;
						&lt;label class='col-md-2 form-control title'&gt;Price Control&lt;/label&gt;
						&lt;new-checkbox [(ngModel)]='_priceControl' name='priceControl' className='col-md-10' &gt; &lt;/new-checkbox&gt;
					&lt;/div&gt;</v>
      </c>
      <c r="L47" s="56" t="str">
        <f>IF(E47="DateTime",
REPT(CHAR(9),2)&amp;"const dateValue =  this.rowdata."&amp;D47&amp;" ? new Date(this.rowdata."&amp;D47&amp;"?.toString()) : new Date();
"&amp;REPT(CHAR(9),2)&amp;"this.datepicker?.bsValueChange.emit(dateValue);","")</f>
        <v/>
      </c>
      <c r="M47" s="28"/>
      <c r="N47" s="28"/>
      <c r="O47" s="28"/>
      <c r="P47" s="28"/>
      <c r="Q47" s="28"/>
      <c r="R47" s="28"/>
      <c r="S47" s="28" t="str">
        <f t="shared" si="54"/>
        <v/>
      </c>
      <c r="T47" s="28" t="str">
        <f t="shared" ref="T47:T50" si="57">IF(AND(E47="string",F47 &lt;&gt;"1"),(REPT(CHAR(9),3)&amp;"this."&amp;D46&amp;","),"")</f>
        <v/>
      </c>
      <c r="U47" s="28" t="str">
        <f t="shared" si="55"/>
        <v/>
      </c>
      <c r="V47" s="28" t="str">
        <f t="shared" si="41"/>
        <v>priceControl</v>
      </c>
    </row>
    <row r="48" spans="1:22" ht="15" customHeight="1" x14ac:dyDescent="0.25">
      <c r="A48" s="28" t="s">
        <v>401</v>
      </c>
      <c r="B48" s="28" t="str">
        <f t="shared" si="8"/>
        <v>StandardPrice</v>
      </c>
      <c r="C48" s="28" t="str">
        <f t="shared" si="9"/>
        <v>Standard Price</v>
      </c>
      <c r="D48" s="28" t="str">
        <f t="shared" si="10"/>
        <v>standardPrice</v>
      </c>
      <c r="E48" s="28" t="str">
        <f>A.Backend!H42</f>
        <v>decimal?</v>
      </c>
      <c r="F48" s="28" t="str">
        <f>A.Backend!G42</f>
        <v>11,2</v>
      </c>
      <c r="G48" s="28" t="str">
        <f t="shared" si="11"/>
        <v/>
      </c>
      <c r="H48" s="35" t="str">
        <f t="shared" si="37"/>
        <v xml:space="preserve">			{headerName: this.l('Standard Price'),headerTooltip: this.l('Standard Price'),field: 'standardPrice',flex: 1},</v>
      </c>
      <c r="I48" s="35" t="str">
        <f t="shared" si="56"/>
        <v/>
      </c>
      <c r="J48" s="28"/>
      <c r="K48" s="35" t="str">
        <f t="shared" si="53"/>
        <v/>
      </c>
      <c r="L48" s="56" t="str">
        <f t="shared" ref="L48:L52" si="58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54"/>
        <v/>
      </c>
      <c r="T48" s="28" t="str">
        <f t="shared" si="57"/>
        <v/>
      </c>
      <c r="U48" s="28" t="str">
        <f t="shared" si="55"/>
        <v/>
      </c>
      <c r="V48" s="28" t="str">
        <f t="shared" si="41"/>
        <v/>
      </c>
    </row>
    <row r="49" spans="1:22" ht="18" customHeight="1" x14ac:dyDescent="0.25">
      <c r="A49" s="28" t="s">
        <v>403</v>
      </c>
      <c r="B49" s="28" t="str">
        <f t="shared" si="8"/>
        <v>MovingPrice</v>
      </c>
      <c r="C49" s="28" t="str">
        <f t="shared" si="9"/>
        <v>Moving Price</v>
      </c>
      <c r="D49" s="28" t="str">
        <f t="shared" si="10"/>
        <v>movingPrice</v>
      </c>
      <c r="E49" s="28" t="str">
        <f>A.Backend!H43</f>
        <v>decimal?</v>
      </c>
      <c r="F49" s="28" t="str">
        <f>A.Backend!G43</f>
        <v>11,2</v>
      </c>
      <c r="G49" s="28" t="str">
        <f t="shared" si="11"/>
        <v/>
      </c>
      <c r="H49" s="35" t="str">
        <f t="shared" si="37"/>
        <v xml:space="preserve">			{headerName: this.l('Moving Price'),headerTooltip: this.l('Moving Price'),field: 'movingPrice',flex: 1},</v>
      </c>
      <c r="I49" s="35" t="str">
        <f>IF(E49="DateTime",
REPT(CHAR(9),8)&amp;"&lt;div class='input-search'&gt;
"&amp;REPT(CHAR(9),9)&amp;"&lt;input type='text' [placeholder]=""l('"&amp;C49&amp;"')"" [(ngModel)]='"&amp;D49&amp;"' 
"&amp;REPT(CHAR(9),9)&amp;"name='"&amp;D49&amp;"'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IF(AND(E49="string",F49 &lt;&gt;"1"),
REPT(CHAR(9),8)&amp;"&lt;div class='input-search'&gt;
"&amp;REPT(CHAR(9),9)&amp;"&lt;input [(ngModel)]='"&amp;D49&amp;"' name='"&amp;D49&amp;"'
"&amp;REPT(CHAR(9),9)&amp;"class='form-control' [placeholder]=""l('"&amp;C49&amp;"')""
"&amp;REPT(CHAR(9),9)&amp;"type='text' (keyup.enter)='searchDatas()'&gt;
"&amp;REPT(CHAR(9),8)&amp;"&lt;/div&gt;",""))</f>
        <v/>
      </c>
      <c r="J49" s="28"/>
      <c r="K49" s="35" t="str">
        <f t="shared" si="53"/>
        <v/>
      </c>
      <c r="L49" s="56" t="str">
        <f t="shared" si="58"/>
        <v/>
      </c>
      <c r="M49" s="28"/>
      <c r="N49" s="28"/>
      <c r="O49" s="28"/>
      <c r="P49" s="28"/>
      <c r="Q49" s="28"/>
      <c r="R49" s="28"/>
      <c r="S49" s="28" t="str">
        <f t="shared" si="54"/>
        <v/>
      </c>
      <c r="T49" s="28" t="str">
        <f t="shared" si="57"/>
        <v/>
      </c>
      <c r="U49" s="28" t="str">
        <f t="shared" si="55"/>
        <v/>
      </c>
      <c r="V49" s="28" t="str">
        <f t="shared" si="41"/>
        <v/>
      </c>
    </row>
    <row r="50" spans="1:22" ht="15" customHeight="1" x14ac:dyDescent="0.25">
      <c r="A50" s="28" t="s">
        <v>404</v>
      </c>
      <c r="B50" s="28" t="str">
        <f t="shared" si="8"/>
        <v>WithQtyStructure</v>
      </c>
      <c r="C50" s="28" t="str">
        <f t="shared" si="9"/>
        <v>With Qty Structure</v>
      </c>
      <c r="D50" s="28" t="str">
        <f t="shared" si="10"/>
        <v>withQtyStructure</v>
      </c>
      <c r="E50" s="28" t="str">
        <f>A.Backend!H44</f>
        <v>string</v>
      </c>
      <c r="F50" s="28" t="str">
        <f>A.Backend!G44</f>
        <v>1</v>
      </c>
      <c r="G50" s="28" t="str">
        <f t="shared" si="11"/>
        <v xml:space="preserve"> : string = '' ; </v>
      </c>
      <c r="H50" s="35" t="str">
        <f t="shared" si="37"/>
        <v xml:space="preserve">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</v>
      </c>
      <c r="I50" s="35" t="str">
        <f t="shared" ref="I50:I51" si="59">IF(E50="DateTime",
REPT(CHAR(9),8)&amp;"&lt;div class='input-search'&gt;
"&amp;REPT(CHAR(9),9)&amp;"&lt;input type='text' [placeholder]=""l('"&amp;C50&amp;"')"" [(ngModel)]='"&amp;D50&amp;"' 
"&amp;REPT(CHAR(9),9)&amp;"name='"&amp;D50&amp;"'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IF(AND(E50="string",F50 &lt;&gt;"1"),
REPT(CHAR(9),8)&amp;"&lt;div class='input-search'&gt;
"&amp;REPT(CHAR(9),9)&amp;"&lt;input [(ngModel)]='"&amp;D50&amp;"' name='"&amp;D50&amp;"'
"&amp;REPT(CHAR(9),9)&amp;"class='form-control' [placeholder]=""l('"&amp;C50&amp;"')""
"&amp;REPT(CHAR(9),9)&amp;"type='text' (keyup.enter)='searchDatas()'&gt;
"&amp;REPT(CHAR(9),8)&amp;"&lt;/div&gt;",""))</f>
        <v/>
      </c>
      <c r="J50" s="28"/>
      <c r="K50" s="35" t="str">
        <f t="shared" si="53"/>
        <v xml:space="preserve">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</v>
      </c>
      <c r="L50" s="56" t="str">
        <f t="shared" si="58"/>
        <v/>
      </c>
      <c r="M50" s="28"/>
      <c r="N50" s="28"/>
      <c r="O50" s="28"/>
      <c r="P50" s="28"/>
      <c r="Q50" s="28"/>
      <c r="R50" s="28"/>
      <c r="S50" s="28" t="str">
        <f t="shared" si="54"/>
        <v/>
      </c>
      <c r="T50" s="28" t="str">
        <f t="shared" si="57"/>
        <v/>
      </c>
      <c r="U50" s="28" t="str">
        <f t="shared" si="55"/>
        <v/>
      </c>
      <c r="V50" s="28" t="str">
        <f t="shared" si="41"/>
        <v>withQtyStructure</v>
      </c>
    </row>
    <row r="51" spans="1:22" ht="15" customHeight="1" x14ac:dyDescent="0.25">
      <c r="A51" s="28" t="s">
        <v>405</v>
      </c>
      <c r="B51" s="28" t="str">
        <f t="shared" si="8"/>
        <v>MaterialOrigin</v>
      </c>
      <c r="C51" s="28" t="str">
        <f t="shared" si="9"/>
        <v>Material Origin</v>
      </c>
      <c r="D51" s="28" t="str">
        <f t="shared" si="10"/>
        <v>materialOrigin</v>
      </c>
      <c r="E51" s="28" t="str">
        <f>A.Backend!H45</f>
        <v>string</v>
      </c>
      <c r="F51" s="28" t="str">
        <f>A.Backend!G45</f>
        <v>1</v>
      </c>
      <c r="G51" s="28" t="str">
        <f t="shared" si="11"/>
        <v xml:space="preserve"> : string = '' ; </v>
      </c>
      <c r="H51" s="35" t="str">
        <f t="shared" si="37"/>
        <v xml:space="preserve">			{headerName: this.l('Material Origin'),headerTooltip: this.l('Material Origin'),field:  'materialOrigin', cellClass: ['text-center'], width: 120, cellRenderer: 'agCellButtonComponent',
buttonDefTwo: { text: params =&gt; (params.data?.'materialOrigin' == 'Y') ? 'Active' : 'Inactive',iconName: 'fa fa-circle',className: params =&gt; (params.data?.'materialOrigin' == 'Y') ? 'btnActive' : 'btnInActive',},}</v>
      </c>
      <c r="I51" s="35" t="str">
        <f t="shared" si="59"/>
        <v/>
      </c>
      <c r="J51" s="28"/>
      <c r="K51" s="35" t="str">
        <f>IF(OR(E51="DateTime?",E51="TimeSpan?"),
REPT(CHAR(9),5)&amp;"&lt;div class='col-md-12 form-group row'&gt;
"&amp;REPT(CHAR(9),6)&amp;"&lt;label class='col-md-2 form-control title'&gt;"&amp;C51&amp;"&lt;/label&gt;
"&amp;REPT(CHAR(9),6)&amp;"&lt;input type='text' class='col-md-10 form-control input-text' name='"&amp;D51&amp;"' 
"&amp;REPT(CHAR(9),6)&amp;"#datepicker='bsDatepicker' [(ngModel)]='rowdata."&amp;D51&amp;"'  bsDatepicker &gt;
"&amp;REPT(CHAR(9),5)&amp;"&lt;/div&gt;",
IF(AND(E51="string",F51="1"),
REPT(CHAR(9),5)&amp;"&lt;div class='col-md-12 form-group row'&gt;
"&amp;REPT(CHAR(9),6)&amp;"&lt;label class='col-md-2 form-control title'&gt;"&amp;C51&amp;"&lt;/label&gt;
"&amp;REPT(CHAR(9),6)&amp;"&lt;new-checkbox [(ngModel)]='_"&amp;D51&amp;"' name='"&amp;D51&amp;"' className='col-md-10' &gt; &lt;/new-checkbox&gt;
"&amp;REPT(CHAR(9),5)&amp;"&lt;/div&gt;",
IF(E51="string",
REPT(CHAR(9),5)&amp;"&lt;div class='col-md-12 form-group row'&gt;
"&amp;REPT(CHAR(9),6)&amp;"&lt;label class='col-md-2 form-control title'&gt;"&amp;C51&amp;"&lt;/label&gt;
"&amp;REPT(CHAR(9),6)&amp;"&lt;input type='text' class='col-md-10 form-control input-text' name='"&amp;B51&amp;"' [(ngModel)]='rowdata."&amp;D51&amp;"'&gt;
"&amp;REPT(CHAR(9),5)&amp;"&lt;/div&gt;",
IF(OR(E51="int?",E51="long?"),
REPT(CHAR(9),5)&amp;"&lt;div class='col-md-12 form-group row'&gt;
"&amp;REPT(CHAR(9),6)&amp;"&lt;label class='col-md-2 form-control title'&gt;"&amp;C51&amp;"&lt;/label&gt;
"&amp;REPT(CHAR(9),6)&amp;"&lt;input type='number' class='col-md-10 form-control input-text' name='"&amp;B51&amp;"' [(ngModel)]='rowdata."&amp;D51&amp;"'&gt;
"&amp;REPT(CHAR(9),5)&amp;"&lt;/div&gt;",""))))</f>
        <v xml:space="preserve">					&lt;div class='col-md-12 form-group row'&gt;
						&lt;label class='col-md-2 form-control title'&gt;Material Origin&lt;/label&gt;
						&lt;new-checkbox [(ngModel)]='_materialOrigin' name='materialOrigin' className='col-md-10' &gt; &lt;/new-checkbox&gt;
					&lt;/div&gt;</v>
      </c>
      <c r="L51" s="56" t="str">
        <f t="shared" si="58"/>
        <v/>
      </c>
      <c r="M51" s="28"/>
      <c r="N51" s="28"/>
      <c r="O51" s="28"/>
      <c r="P51" s="28"/>
      <c r="Q51" s="28"/>
      <c r="R51" s="28"/>
      <c r="S51" s="28" t="str">
        <f>IF(AND(E51="string",F51 &lt;&gt;"1"),(REPT(CHAR(9),1)&amp;D51&amp;G51),"")</f>
        <v/>
      </c>
      <c r="T51" s="28" t="str">
        <f>IF(AND(E51="string",F51 &lt;&gt;"1"),(REPT(CHAR(9),3)&amp;"this."&amp;D50&amp;","),"")</f>
        <v/>
      </c>
      <c r="U51" s="28" t="str">
        <f>IF(AND(E51="string",F51 &lt;&gt;"1"),(REPT(CHAR(9),1)&amp;D51&amp;G51),"")</f>
        <v/>
      </c>
      <c r="V51" s="28" t="str">
        <f t="shared" si="41"/>
        <v>materialOrigin</v>
      </c>
    </row>
    <row r="52" spans="1:22" ht="18" customHeight="1" x14ac:dyDescent="0.25">
      <c r="A52" s="28" t="s">
        <v>406</v>
      </c>
      <c r="B52" s="28" t="str">
        <f t="shared" si="8"/>
        <v>OriginGroup</v>
      </c>
      <c r="C52" s="28" t="str">
        <f t="shared" si="9"/>
        <v>Origin Group</v>
      </c>
      <c r="D52" s="28" t="str">
        <f t="shared" si="10"/>
        <v>originGroup</v>
      </c>
      <c r="E52" s="28" t="str">
        <f>A.Backend!H46</f>
        <v>string</v>
      </c>
      <c r="F52" s="28" t="str">
        <f>A.Backend!G46</f>
        <v>4</v>
      </c>
      <c r="G52" s="28" t="str">
        <f t="shared" si="11"/>
        <v xml:space="preserve"> : string = '' ; </v>
      </c>
      <c r="H52" s="35" t="str">
        <f t="shared" si="37"/>
        <v xml:space="preserve">			{headerName: this.l('Origin Group'),headerTooltip: this.l('Origin Group'),field: 'originGroup',flex: 1},</v>
      </c>
      <c r="I52" s="35" t="str">
        <f>IF(E52="DateTime",
REPT(CHAR(9),8)&amp;"&lt;div class='input-search'&gt;
"&amp;REPT(CHAR(9),9)&amp;"&lt;input type='text' [placeholder]=""l('"&amp;C52&amp;"')"" [(ngModel)]='"&amp;D52&amp;"' 
"&amp;REPT(CHAR(9),9)&amp;"name='"&amp;D52&amp;"'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IF(AND(E52="string",F52 &lt;&gt;"1"),
REPT(CHAR(9),8)&amp;"&lt;div class='input-search'&gt;
"&amp;REPT(CHAR(9),9)&amp;"&lt;input [(ngModel)]='"&amp;D52&amp;"' name='"&amp;D52&amp;"'
"&amp;REPT(CHAR(9),9)&amp;"class='form-control' [placeholder]=""l('"&amp;C52&amp;"')""
"&amp;REPT(CHAR(9),9)&amp;"type='text' (keyup.enter)='searchDatas()'&gt;
"&amp;REPT(CHAR(9),8)&amp;"&lt;/div&gt;",""))</f>
        <v xml:space="preserve">								&lt;div class='input-search'&gt;
									&lt;input [(ngModel)]='originGroup' name='originGroup'
									class='form-control' [placeholder]="l('Origin Group')"
									type='text' (keyup.enter)='searchDatas()'&gt;
								&lt;/div&gt;</v>
      </c>
      <c r="J52" s="28"/>
      <c r="K52" s="35" t="str">
        <f t="shared" ref="K52:K56" si="60">IF(OR(E52="DateTime?",E52="TimeSpan?"),
REPT(CHAR(9),5)&amp;"&lt;div class='col-md-12 form-group row'&gt;
"&amp;REPT(CHAR(9),6)&amp;"&lt;label class='col-md-2 form-control title'&gt;"&amp;C52&amp;"&lt;/label&gt;
"&amp;REPT(CHAR(9),6)&amp;"&lt;input type='text' class='col-md-10 form-control input-text' name='"&amp;D52&amp;"' 
"&amp;REPT(CHAR(9),6)&amp;"#datepicker='bsDatepicker' [(ngModel)]='rowdata."&amp;D52&amp;"'  bsDatepicker &gt;
"&amp;REPT(CHAR(9),5)&amp;"&lt;/div&gt;",
IF(AND(E52="string",F52="1"),
REPT(CHAR(9),5)&amp;"&lt;div class='col-md-12 form-group row'&gt;
"&amp;REPT(CHAR(9),6)&amp;"&lt;label class='col-md-2 form-control title'&gt;"&amp;C52&amp;"&lt;/label&gt;
"&amp;REPT(CHAR(9),6)&amp;"&lt;new-checkbox [(ngModel)]='_"&amp;D52&amp;"' name='"&amp;D52&amp;"' className='col-md-10' &gt; &lt;/new-checkbox&gt;
"&amp;REPT(CHAR(9),5)&amp;"&lt;/div&gt;",
IF(E52="string",
REPT(CHAR(9),5)&amp;"&lt;div class='col-md-12 form-group row'&gt;
"&amp;REPT(CHAR(9),6)&amp;"&lt;label class='col-md-2 form-control title'&gt;"&amp;C52&amp;"&lt;/label&gt;
"&amp;REPT(CHAR(9),6)&amp;"&lt;input type='text' class='col-md-10 form-control input-text' name='"&amp;B52&amp;"' [(ngModel)]='rowdata."&amp;D52&amp;"'&gt;
"&amp;REPT(CHAR(9),5)&amp;"&lt;/div&gt;",
IF(OR(E52="int?",E52="long?"),
REPT(CHAR(9),5)&amp;"&lt;div class='col-md-12 form-group row'&gt;
"&amp;REPT(CHAR(9),6)&amp;"&lt;label class='col-md-2 form-control title'&gt;"&amp;C52&amp;"&lt;/label&gt;
"&amp;REPT(CHAR(9),6)&amp;"&lt;input type='number' class='col-md-10 form-control input-text' name='"&amp;B52&amp;"' [(ngModel)]='rowdata."&amp;D52&amp;"'&gt;
"&amp;REPT(CHAR(9),5)&amp;"&lt;/div&gt;",""))))</f>
        <v xml:space="preserve">					&lt;div class='col-md-12 form-group row'&gt;
						&lt;label class='col-md-2 form-control title'&gt;Origin Group&lt;/label&gt;
						&lt;input type='text' class='col-md-10 form-control input-text' name='OriginGroup' [(ngModel)]='rowdata.originGroup'&gt;
					&lt;/div&gt;</v>
      </c>
      <c r="L52" s="56" t="str">
        <f t="shared" si="58"/>
        <v/>
      </c>
      <c r="M52" s="28"/>
      <c r="N52" s="28"/>
      <c r="O52" s="28"/>
      <c r="P52" s="28"/>
      <c r="Q52" s="28"/>
      <c r="R52" s="28"/>
      <c r="S52" s="28" t="str">
        <f t="shared" ref="S52:S56" si="61">IF(AND(E52="string",F52 &lt;&gt;"1"),(REPT(CHAR(9),1)&amp;D52&amp;G52),"")</f>
        <v xml:space="preserve">	originGroup : string = '' ; </v>
      </c>
      <c r="T52" s="28" t="str">
        <f>IF(AND(E52="string",F52 &lt;&gt;"1"),(REPT(CHAR(9),3)&amp;"this."&amp;D51&amp;","),"")</f>
        <v xml:space="preserve">			this.materialOrigin,</v>
      </c>
      <c r="U52" s="28" t="str">
        <f t="shared" ref="U52:U56" si="62">IF(AND(E52="string",F52 &lt;&gt;"1"),(REPT(CHAR(9),1)&amp;D52&amp;G52),"")</f>
        <v xml:space="preserve">	originGroup : string = '' ; </v>
      </c>
      <c r="V52" s="28" t="str">
        <f t="shared" si="41"/>
        <v/>
      </c>
    </row>
    <row r="53" spans="1:22" ht="18" customHeight="1" x14ac:dyDescent="0.25">
      <c r="A53" s="28" t="s">
        <v>407</v>
      </c>
      <c r="B53" s="28" t="str">
        <f t="shared" si="8"/>
        <v>AuthorizationGroup</v>
      </c>
      <c r="C53" s="28" t="str">
        <f t="shared" si="9"/>
        <v>Authorization Group</v>
      </c>
      <c r="D53" s="28" t="str">
        <f t="shared" si="10"/>
        <v>authorizationGroup</v>
      </c>
      <c r="E53" s="28" t="str">
        <f>A.Backend!H47</f>
        <v>string</v>
      </c>
      <c r="F53" s="28" t="str">
        <f>A.Backend!G47</f>
        <v>4</v>
      </c>
      <c r="G53" s="28" t="str">
        <f t="shared" si="11"/>
        <v xml:space="preserve"> : string = '' ; </v>
      </c>
      <c r="H53" s="35" t="str">
        <f t="shared" si="37"/>
        <v xml:space="preserve">			{headerName: this.l('Authorization Group'),headerTooltip: this.l('Authorization Group'),field: 'authorizationGroup',flex: 1},</v>
      </c>
      <c r="I53" s="35" t="str">
        <f t="shared" ref="I53:I54" si="63">IF(E53="DateTime",
REPT(CHAR(9),8)&amp;"&lt;div class='input-search'&gt;
"&amp;REPT(CHAR(9),9)&amp;"&lt;input type='text' [placeholder]=""l('"&amp;C53&amp;"')"" [(ngModel)]='"&amp;D53&amp;"' 
"&amp;REPT(CHAR(9),9)&amp;"name='"&amp;D53&amp;"'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IF(AND(E53="string",F53 &lt;&gt;"1"),
REPT(CHAR(9),8)&amp;"&lt;div class='input-search'&gt;
"&amp;REPT(CHAR(9),9)&amp;"&lt;input [(ngModel)]='"&amp;D53&amp;"' name='"&amp;D53&amp;"'
"&amp;REPT(CHAR(9),9)&amp;"class='form-control' [placeholder]=""l('"&amp;C53&amp;"')""
"&amp;REPT(CHAR(9),9)&amp;"type='text' (keyup.enter)='searchDatas()'&gt;
"&amp;REPT(CHAR(9),8)&amp;"&lt;/div&gt;",""))</f>
        <v xml:space="preserve">								&lt;div class='input-search'&gt;
									&lt;input [(ngModel)]='authorizationGroup' name='authorizationGroup'
									class='form-control' [placeholder]="l('Authorization Group')"
									type='text' (keyup.enter)='searchDatas()'&gt;
								&lt;/div&gt;</v>
      </c>
      <c r="J53" s="28"/>
      <c r="K53" s="35" t="str">
        <f t="shared" si="60"/>
        <v xml:space="preserve">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</v>
      </c>
      <c r="L53" s="56" t="str">
        <f>IF(E53="DateTime",
REPT(CHAR(9),2)&amp;"const dateValue =  this.rowdata."&amp;D53&amp;" ? new Date(this.rowdata."&amp;D53&amp;"?.toString()) : new Date();
"&amp;REPT(CHAR(9),2)&amp;"this.datepicker?.bsValueChange.emit(dateValue);","")</f>
        <v/>
      </c>
      <c r="M53" s="28"/>
      <c r="N53" s="28"/>
      <c r="O53" s="28"/>
      <c r="P53" s="28"/>
      <c r="Q53" s="28"/>
      <c r="R53" s="28"/>
      <c r="S53" s="28" t="str">
        <f t="shared" si="61"/>
        <v xml:space="preserve">	authorizationGroup : string = '' ; </v>
      </c>
      <c r="T53" s="28" t="str">
        <f t="shared" ref="T53:T56" si="64">IF(AND(E53="string",F53 &lt;&gt;"1"),(REPT(CHAR(9),3)&amp;"this."&amp;D52&amp;","),"")</f>
        <v xml:space="preserve">			this.originGroup,</v>
      </c>
      <c r="U53" s="28" t="str">
        <f t="shared" si="62"/>
        <v xml:space="preserve">	authorizationGroup : string = '' ; </v>
      </c>
      <c r="V53" s="28" t="str">
        <f t="shared" si="41"/>
        <v/>
      </c>
    </row>
    <row r="54" spans="1:22" ht="15" customHeight="1" x14ac:dyDescent="0.25">
      <c r="A54" s="28" t="s">
        <v>408</v>
      </c>
      <c r="B54" s="28" t="str">
        <f t="shared" si="8"/>
        <v>MatSrc</v>
      </c>
      <c r="C54" s="28" t="str">
        <f t="shared" si="9"/>
        <v>Mat Src</v>
      </c>
      <c r="D54" s="28" t="str">
        <f t="shared" si="10"/>
        <v>matSrc</v>
      </c>
      <c r="E54" s="28" t="str">
        <f>A.Backend!H48</f>
        <v>string</v>
      </c>
      <c r="F54" s="28" t="str">
        <f>A.Backend!G48</f>
        <v>4</v>
      </c>
      <c r="G54" s="28" t="str">
        <f t="shared" si="11"/>
        <v xml:space="preserve"> : string = '' ; </v>
      </c>
      <c r="H54" s="35" t="str">
        <f t="shared" si="37"/>
        <v xml:space="preserve">			{headerName: this.l('Mat Src'),headerTooltip: this.l('Mat Src'),field: 'matSrc',flex: 1},</v>
      </c>
      <c r="I54" s="35" t="str">
        <f t="shared" si="63"/>
        <v xml:space="preserve">								&lt;div class='input-search'&gt;
									&lt;input [(ngModel)]='matSrc' name='matSrc'
									class='form-control' [placeholder]="l('Mat Src')"
									type='text' (keyup.enter)='searchDatas()'&gt;
								&lt;/div&gt;</v>
      </c>
      <c r="J54" s="28"/>
      <c r="K54" s="35" t="str">
        <f t="shared" si="60"/>
        <v xml:space="preserve">					&lt;div class='col-md-12 form-group row'&gt;
						&lt;label class='col-md-2 form-control title'&gt;Mat Src&lt;/label&gt;
						&lt;input type='text' class='col-md-10 form-control input-text' name='MatSrc' [(ngModel)]='rowdata.matSrc'&gt;
					&lt;/div&gt;</v>
      </c>
      <c r="L54" s="56" t="str">
        <f t="shared" ref="L54:L57" si="65">IF(E54="DateTime",
REPT(CHAR(9),2)&amp;"const dateValue =  this.rowdata."&amp;D54&amp;" ? new Date(this.rowdata."&amp;D54&amp;"?.toString()) : new Date();
"&amp;REPT(CHAR(9),2)&amp;"this.datepicker?.bsValueChange.emit(dateValue);","")</f>
        <v/>
      </c>
      <c r="M54" s="28"/>
      <c r="N54" s="28"/>
      <c r="O54" s="28"/>
      <c r="P54" s="28"/>
      <c r="Q54" s="28"/>
      <c r="R54" s="28"/>
      <c r="S54" s="28" t="str">
        <f t="shared" si="61"/>
        <v xml:space="preserve">	matSrc : string = '' ; </v>
      </c>
      <c r="T54" s="28" t="str">
        <f t="shared" si="64"/>
        <v xml:space="preserve">			this.authorizationGroup,</v>
      </c>
      <c r="U54" s="28" t="str">
        <f t="shared" si="62"/>
        <v xml:space="preserve">	matSrc : string = '' ; </v>
      </c>
      <c r="V54" s="28" t="str">
        <f t="shared" si="41"/>
        <v/>
      </c>
    </row>
    <row r="55" spans="1:22" ht="18" customHeight="1" x14ac:dyDescent="0.25">
      <c r="A55" s="28" t="s">
        <v>409</v>
      </c>
      <c r="B55" s="28" t="str">
        <f t="shared" si="8"/>
        <v>EffectiveDateFrom</v>
      </c>
      <c r="C55" s="28" t="str">
        <f t="shared" si="9"/>
        <v>Effective Date From</v>
      </c>
      <c r="D55" s="28" t="str">
        <f t="shared" si="10"/>
        <v>effectiveDateFrom</v>
      </c>
      <c r="E55" s="28" t="str">
        <f>A.Backend!H49</f>
        <v>DateTime?</v>
      </c>
      <c r="F55" s="28" t="str">
        <f>A.Backend!G49</f>
        <v/>
      </c>
      <c r="G55" s="28" t="str">
        <f t="shared" si="11"/>
        <v/>
      </c>
      <c r="H55" s="35" t="str">
        <f t="shared" si="37"/>
        <v xml:space="preserve">			{headerName: this.l('Effective Date From'),headerTooltip: this.l('Effective Date From'),field: 'effectiveDateFrom',flex: 1},</v>
      </c>
      <c r="I55" s="35" t="str">
        <f>IF(E55="DateTime",
REPT(CHAR(9),8)&amp;"&lt;div class='input-search'&gt;
"&amp;REPT(CHAR(9),9)&amp;"&lt;input type='text' [placeholder]=""l('"&amp;C55&amp;"')"" [(ngModel)]='"&amp;D55&amp;"' 
"&amp;REPT(CHAR(9),9)&amp;"name='"&amp;D55&amp;"'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IF(AND(E55="string",F55 &lt;&gt;"1"),
REPT(CHAR(9),8)&amp;"&lt;div class='input-search'&gt;
"&amp;REPT(CHAR(9),9)&amp;"&lt;input [(ngModel)]='"&amp;D55&amp;"' name='"&amp;D55&amp;"'
"&amp;REPT(CHAR(9),9)&amp;"class='form-control' [placeholder]=""l('"&amp;C55&amp;"')""
"&amp;REPT(CHAR(9),9)&amp;"type='text' (keyup.enter)='searchDatas()'&gt;
"&amp;REPT(CHAR(9),8)&amp;"&lt;/div&gt;",""))</f>
        <v/>
      </c>
      <c r="J55" s="28"/>
      <c r="K55" s="35" t="str">
        <f t="shared" si="60"/>
        <v xml:space="preserve">					&lt;div class='col-md-12 form-group row'&gt;
						&lt;label class='col-md-2 form-control title'&gt;Effective Date From&lt;/label&gt;
						&lt;input type='text' class='col-md-10 form-control input-text' name='effectiveDateFrom' 
						#datepicker='bsDatepicker' [(ngModel)]='rowdata.effectiveDateFrom'  bsDatepicker &gt;
					&lt;/div&gt;</v>
      </c>
      <c r="L55" s="56" t="str">
        <f t="shared" si="65"/>
        <v/>
      </c>
      <c r="M55" s="28"/>
      <c r="N55" s="28"/>
      <c r="O55" s="28"/>
      <c r="P55" s="28"/>
      <c r="Q55" s="28"/>
      <c r="R55" s="28"/>
      <c r="S55" s="28" t="str">
        <f t="shared" si="61"/>
        <v/>
      </c>
      <c r="T55" s="28" t="str">
        <f t="shared" si="64"/>
        <v/>
      </c>
      <c r="U55" s="28" t="str">
        <f t="shared" si="62"/>
        <v/>
      </c>
      <c r="V55" s="28" t="str">
        <f t="shared" si="41"/>
        <v/>
      </c>
    </row>
    <row r="56" spans="1:22" ht="15" customHeight="1" x14ac:dyDescent="0.25">
      <c r="A56" s="28" t="s">
        <v>410</v>
      </c>
      <c r="B56" s="28" t="str">
        <f t="shared" si="8"/>
        <v>EffectiveDateTo</v>
      </c>
      <c r="C56" s="28" t="str">
        <f t="shared" si="9"/>
        <v>Effective Date To</v>
      </c>
      <c r="D56" s="28" t="str">
        <f t="shared" si="10"/>
        <v>effectiveDateTo</v>
      </c>
      <c r="E56" s="28" t="str">
        <f>A.Backend!H50</f>
        <v>DateTime?</v>
      </c>
      <c r="F56" s="28" t="str">
        <f>A.Backend!G50</f>
        <v/>
      </c>
      <c r="G56" s="28" t="str">
        <f t="shared" si="11"/>
        <v/>
      </c>
      <c r="H56" s="35" t="str">
        <f t="shared" si="37"/>
        <v xml:space="preserve">			{headerName: this.l('Effective Date To'),headerTooltip: this.l('Effective Date To'),field: 'effectiveDateTo',flex: 1},</v>
      </c>
      <c r="I56" s="35" t="str">
        <f t="shared" ref="I56:I57" si="66">IF(E56="DateTime",
REPT(CHAR(9),8)&amp;"&lt;div class='input-search'&gt;
"&amp;REPT(CHAR(9),9)&amp;"&lt;input type='text' [placeholder]=""l('"&amp;C56&amp;"')"" [(ngModel)]='"&amp;D56&amp;"' 
"&amp;REPT(CHAR(9),9)&amp;"name='"&amp;D56&amp;"'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IF(AND(E56="string",F56 &lt;&gt;"1"),
REPT(CHAR(9),8)&amp;"&lt;div class='input-search'&gt;
"&amp;REPT(CHAR(9),9)&amp;"&lt;input [(ngModel)]='"&amp;D56&amp;"' name='"&amp;D56&amp;"'
"&amp;REPT(CHAR(9),9)&amp;"class='form-control' [placeholder]=""l('"&amp;C56&amp;"')""
"&amp;REPT(CHAR(9),9)&amp;"type='text' (keyup.enter)='searchDatas()'&gt;
"&amp;REPT(CHAR(9),8)&amp;"&lt;/div&gt;",""))</f>
        <v/>
      </c>
      <c r="J56" s="28"/>
      <c r="K56" s="35" t="str">
        <f t="shared" si="60"/>
        <v xml:space="preserve">					&lt;div class='col-md-12 form-group row'&gt;
						&lt;label class='col-md-2 form-control title'&gt;Effective Date To&lt;/label&gt;
						&lt;input type='text' class='col-md-10 form-control input-text' name='effectiveDateTo' 
						#datepicker='bsDatepicker' [(ngModel)]='rowdata.effectiveDateTo'  bsDatepicker &gt;
					&lt;/div&gt;</v>
      </c>
      <c r="L56" s="56" t="str">
        <f t="shared" si="65"/>
        <v/>
      </c>
      <c r="M56" s="28"/>
      <c r="N56" s="28"/>
      <c r="O56" s="28"/>
      <c r="P56" s="28"/>
      <c r="Q56" s="28"/>
      <c r="R56" s="28"/>
      <c r="S56" s="28" t="str">
        <f t="shared" si="61"/>
        <v/>
      </c>
      <c r="T56" s="28" t="str">
        <f t="shared" si="64"/>
        <v/>
      </c>
      <c r="U56" s="28" t="str">
        <f t="shared" si="62"/>
        <v/>
      </c>
      <c r="V56" s="28" t="str">
        <f t="shared" si="41"/>
        <v/>
      </c>
    </row>
    <row r="57" spans="1:22" ht="15" customHeight="1" x14ac:dyDescent="0.25">
      <c r="A57" s="28" t="s">
        <v>318</v>
      </c>
      <c r="B57" s="28" t="str">
        <f t="shared" si="8"/>
        <v>IsActive</v>
      </c>
      <c r="C57" s="28" t="str">
        <f t="shared" si="9"/>
        <v>Is Active</v>
      </c>
      <c r="D57" s="28" t="str">
        <f t="shared" si="10"/>
        <v>isActive</v>
      </c>
      <c r="E57" s="28" t="str">
        <f>A.Backend!H51</f>
        <v>string</v>
      </c>
      <c r="F57" s="28" t="str">
        <f>A.Backend!G51</f>
        <v>1</v>
      </c>
      <c r="G57" s="28" t="str">
        <f t="shared" si="11"/>
        <v xml:space="preserve"> : string = '' ; </v>
      </c>
      <c r="H57" s="35" t="str">
        <f t="shared" si="37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57" s="35" t="str">
        <f t="shared" si="66"/>
        <v/>
      </c>
      <c r="J57" s="28"/>
      <c r="K57" s="35" t="str">
        <f>IF(OR(E57="DateTime?",E57="TimeSpan?"),
REPT(CHAR(9),5)&amp;"&lt;div class='col-md-12 form-group row'&gt;
"&amp;REPT(CHAR(9),6)&amp;"&lt;label class='col-md-2 form-control title'&gt;"&amp;C57&amp;"&lt;/label&gt;
"&amp;REPT(CHAR(9),6)&amp;"&lt;input type='text' class='col-md-10 form-control input-text' name='"&amp;D57&amp;"' 
"&amp;REPT(CHAR(9),6)&amp;"#datepicker='bsDatepicker' [(ngModel)]='rowdata."&amp;D57&amp;"'  bsDatepicker &gt;
"&amp;REPT(CHAR(9),5)&amp;"&lt;/div&gt;",
IF(AND(E57="string",F57="1"),
REPT(CHAR(9),5)&amp;"&lt;div class='col-md-12 form-group row'&gt;
"&amp;REPT(CHAR(9),6)&amp;"&lt;label class='col-md-2 form-control title'&gt;"&amp;C57&amp;"&lt;/label&gt;
"&amp;REPT(CHAR(9),6)&amp;"&lt;new-checkbox [(ngModel)]='_"&amp;D57&amp;"' name='"&amp;D57&amp;"' className='col-md-10' &gt; &lt;/new-checkbox&gt;
"&amp;REPT(CHAR(9),5)&amp;"&lt;/div&gt;",
IF(E57="string",
REPT(CHAR(9),5)&amp;"&lt;div class='col-md-12 form-group row'&gt;
"&amp;REPT(CHAR(9),6)&amp;"&lt;label class='col-md-2 form-control title'&gt;"&amp;C57&amp;"&lt;/label&gt;
"&amp;REPT(CHAR(9),6)&amp;"&lt;input type='text' class='col-md-10 form-control input-text' name='"&amp;B57&amp;"' [(ngModel)]='rowdata."&amp;D57&amp;"'&gt;
"&amp;REPT(CHAR(9),5)&amp;"&lt;/div&gt;",
IF(OR(E57="int?",E57="long?"),
REPT(CHAR(9),5)&amp;"&lt;div class='col-md-12 form-group row'&gt;
"&amp;REPT(CHAR(9),6)&amp;"&lt;label class='col-md-2 form-control title'&gt;"&amp;C57&amp;"&lt;/label&gt;
"&amp;REPT(CHAR(9),6)&amp;"&lt;input type='number' class='col-md-10 form-control input-text' name='"&amp;B57&amp;"' [(ngModel)]='rowdata."&amp;D57&amp;"'&gt;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57" s="56" t="str">
        <f t="shared" si="65"/>
        <v/>
      </c>
      <c r="M57" s="28"/>
      <c r="N57" s="28"/>
      <c r="O57" s="28"/>
      <c r="P57" s="28"/>
      <c r="Q57" s="28"/>
      <c r="R57" s="28"/>
      <c r="S57" s="28" t="str">
        <f>IF(AND(E57="string",F57 &lt;&gt;"1"),(REPT(CHAR(9),1)&amp;D57&amp;G57),"")</f>
        <v/>
      </c>
      <c r="T57" s="28" t="str">
        <f>IF(AND(E57="string",F57 &lt;&gt;"1"),(REPT(CHAR(9),3)&amp;"this."&amp;D56&amp;","),"")</f>
        <v/>
      </c>
      <c r="U57" s="28" t="str">
        <f>IF(AND(E57="string",F57 &lt;&gt;"1"),(REPT(CHAR(9),1)&amp;D57&amp;G57),"")</f>
        <v/>
      </c>
      <c r="V57" s="28" t="str">
        <f t="shared" si="41"/>
        <v>isActive</v>
      </c>
    </row>
    <row r="5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2023-06-12T03:09:36Z</dcterms:modified>
</cp:coreProperties>
</file>
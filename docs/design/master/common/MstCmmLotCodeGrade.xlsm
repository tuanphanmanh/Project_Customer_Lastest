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Source\docs\design\master\common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V24" i="5" s="1"/>
  <c r="F24" i="5"/>
  <c r="E25" i="5"/>
  <c r="F25" i="5"/>
  <c r="E26" i="5"/>
  <c r="F26" i="5"/>
  <c r="E27" i="5"/>
  <c r="F27" i="5"/>
  <c r="E28" i="5"/>
  <c r="F28" i="5"/>
  <c r="E29" i="5"/>
  <c r="F29" i="5"/>
  <c r="E30" i="5"/>
  <c r="G30" i="5" s="1"/>
  <c r="F30" i="5"/>
  <c r="E31" i="5"/>
  <c r="F31" i="5"/>
  <c r="E32" i="5"/>
  <c r="G32" i="5" s="1"/>
  <c r="F32" i="5"/>
  <c r="E33" i="5"/>
  <c r="F33" i="5"/>
  <c r="E34" i="5"/>
  <c r="L34" i="5" s="1"/>
  <c r="F34" i="5"/>
  <c r="V34" i="5" s="1"/>
  <c r="E35" i="5"/>
  <c r="F35" i="5"/>
  <c r="E36" i="5"/>
  <c r="F36" i="5"/>
  <c r="E37" i="5"/>
  <c r="F37" i="5"/>
  <c r="E38" i="5"/>
  <c r="F38" i="5"/>
  <c r="E39" i="5"/>
  <c r="F39" i="5"/>
  <c r="L38" i="5"/>
  <c r="D38" i="5"/>
  <c r="U38" i="5" s="1"/>
  <c r="C38" i="5"/>
  <c r="B38" i="5"/>
  <c r="C37" i="5"/>
  <c r="B37" i="5"/>
  <c r="D37" i="5" s="1"/>
  <c r="C36" i="5"/>
  <c r="B36" i="5"/>
  <c r="D36" i="5" s="1"/>
  <c r="C35" i="5"/>
  <c r="B35" i="5"/>
  <c r="D35" i="5" s="1"/>
  <c r="D34" i="5"/>
  <c r="U34" i="5" s="1"/>
  <c r="C34" i="5"/>
  <c r="B34" i="5"/>
  <c r="C33" i="5"/>
  <c r="B33" i="5"/>
  <c r="D33" i="5" s="1"/>
  <c r="C32" i="5"/>
  <c r="B32" i="5"/>
  <c r="D32" i="5" s="1"/>
  <c r="C31" i="5"/>
  <c r="B31" i="5"/>
  <c r="D31" i="5" s="1"/>
  <c r="C30" i="5"/>
  <c r="B30" i="5"/>
  <c r="D30" i="5" s="1"/>
  <c r="C29" i="5"/>
  <c r="B29" i="5"/>
  <c r="D29" i="5" s="1"/>
  <c r="L28" i="5"/>
  <c r="C28" i="5"/>
  <c r="B28" i="5"/>
  <c r="D28" i="5" s="1"/>
  <c r="C27" i="5"/>
  <c r="B27" i="5"/>
  <c r="D27" i="5" s="1"/>
  <c r="C26" i="5"/>
  <c r="B26" i="5"/>
  <c r="D26" i="5" s="1"/>
  <c r="D25" i="5"/>
  <c r="T25" i="5" s="1"/>
  <c r="C25" i="5"/>
  <c r="B25" i="5"/>
  <c r="C24" i="5"/>
  <c r="B24" i="5"/>
  <c r="D24" i="5" s="1"/>
  <c r="C23" i="5"/>
  <c r="B23" i="5"/>
  <c r="D23" i="5" s="1"/>
  <c r="T23" i="5" s="1"/>
  <c r="L22" i="5"/>
  <c r="C22" i="5"/>
  <c r="B22" i="5"/>
  <c r="D22" i="5" s="1"/>
  <c r="G25" i="1"/>
  <c r="E25" i="1"/>
  <c r="H25" i="1" s="1"/>
  <c r="D25" i="1"/>
  <c r="V25" i="1" s="1"/>
  <c r="G26" i="1"/>
  <c r="E26" i="1"/>
  <c r="H26" i="1" s="1"/>
  <c r="D26" i="1"/>
  <c r="V26" i="1" s="1"/>
  <c r="L32" i="1"/>
  <c r="G32" i="1"/>
  <c r="E32" i="1"/>
  <c r="H32" i="1" s="1"/>
  <c r="D32" i="1"/>
  <c r="V32" i="1" s="1"/>
  <c r="L29" i="1"/>
  <c r="G29" i="1"/>
  <c r="E29" i="1"/>
  <c r="H29" i="1" s="1"/>
  <c r="D29" i="1"/>
  <c r="T29" i="1" s="1"/>
  <c r="L27" i="1"/>
  <c r="G27" i="1"/>
  <c r="E27" i="1"/>
  <c r="H27" i="1" s="1"/>
  <c r="D27" i="1"/>
  <c r="V27" i="1" s="1"/>
  <c r="L30" i="1"/>
  <c r="G30" i="1"/>
  <c r="E30" i="1"/>
  <c r="H30" i="1" s="1"/>
  <c r="D30" i="1"/>
  <c r="V30" i="1" s="1"/>
  <c r="L31" i="1"/>
  <c r="G31" i="1"/>
  <c r="E31" i="1"/>
  <c r="H31" i="1" s="1"/>
  <c r="D31" i="1"/>
  <c r="P31" i="1" s="1"/>
  <c r="L28" i="1"/>
  <c r="G28" i="1"/>
  <c r="E28" i="1"/>
  <c r="H28" i="1" s="1"/>
  <c r="D28" i="1"/>
  <c r="V28" i="1" s="1"/>
  <c r="L24" i="1"/>
  <c r="G24" i="1"/>
  <c r="E24" i="1"/>
  <c r="H24" i="1" s="1"/>
  <c r="D24" i="1"/>
  <c r="V24" i="1" s="1"/>
  <c r="L23" i="1"/>
  <c r="G23" i="1"/>
  <c r="E23" i="1"/>
  <c r="H23" i="1" s="1"/>
  <c r="D23" i="1"/>
  <c r="V23" i="1" s="1"/>
  <c r="G22" i="1"/>
  <c r="E22" i="1"/>
  <c r="H22" i="1" s="1"/>
  <c r="D22" i="1"/>
  <c r="V22" i="1" s="1"/>
  <c r="L20" i="1"/>
  <c r="G20" i="1"/>
  <c r="E20" i="1"/>
  <c r="H20" i="1" s="1"/>
  <c r="D20" i="1"/>
  <c r="V20" i="1" s="1"/>
  <c r="L21" i="1"/>
  <c r="G21" i="1"/>
  <c r="E21" i="1"/>
  <c r="H21" i="1" s="1"/>
  <c r="W21" i="1" s="1"/>
  <c r="D21" i="1"/>
  <c r="P21" i="1" s="1"/>
  <c r="L19" i="1"/>
  <c r="G19" i="1"/>
  <c r="E19" i="1"/>
  <c r="H19" i="1" s="1"/>
  <c r="D19" i="1"/>
  <c r="V19" i="1" s="1"/>
  <c r="L18" i="1"/>
  <c r="G18" i="1"/>
  <c r="E18" i="1"/>
  <c r="H18" i="1" s="1"/>
  <c r="D18" i="1"/>
  <c r="V18" i="1" s="1"/>
  <c r="L17" i="1"/>
  <c r="G17" i="1"/>
  <c r="E17" i="1"/>
  <c r="H17" i="1" s="1"/>
  <c r="D17" i="1"/>
  <c r="V17" i="1" s="1"/>
  <c r="G16" i="1"/>
  <c r="E16" i="1"/>
  <c r="H16" i="1" s="1"/>
  <c r="D16" i="1"/>
  <c r="V16" i="1" s="1"/>
  <c r="G24" i="5" l="1"/>
  <c r="G34" i="5"/>
  <c r="S34" i="5" s="1"/>
  <c r="L24" i="5"/>
  <c r="I33" i="5"/>
  <c r="H37" i="5"/>
  <c r="I38" i="5"/>
  <c r="V28" i="5"/>
  <c r="I29" i="5"/>
  <c r="I34" i="5"/>
  <c r="H29" i="5"/>
  <c r="I30" i="5"/>
  <c r="G38" i="5"/>
  <c r="I25" i="5"/>
  <c r="I26" i="5"/>
  <c r="I31" i="5"/>
  <c r="V38" i="5"/>
  <c r="I28" i="5"/>
  <c r="K31" i="5"/>
  <c r="I32" i="5"/>
  <c r="I23" i="5"/>
  <c r="H35" i="5"/>
  <c r="I36" i="5"/>
  <c r="I37" i="5"/>
  <c r="T37" i="5"/>
  <c r="U37" i="5"/>
  <c r="K37" i="5"/>
  <c r="H38" i="5"/>
  <c r="S38" i="5"/>
  <c r="V22" i="5"/>
  <c r="G28" i="5"/>
  <c r="S28" i="5" s="1"/>
  <c r="U30" i="5"/>
  <c r="H30" i="5"/>
  <c r="U32" i="5"/>
  <c r="L32" i="5"/>
  <c r="H33" i="5"/>
  <c r="V36" i="5"/>
  <c r="G37" i="5"/>
  <c r="S37" i="5" s="1"/>
  <c r="L37" i="5"/>
  <c r="V37" i="5"/>
  <c r="T38" i="5"/>
  <c r="L30" i="5"/>
  <c r="G36" i="5"/>
  <c r="S36" i="5" s="1"/>
  <c r="K38" i="5"/>
  <c r="G22" i="5"/>
  <c r="S22" i="5" s="1"/>
  <c r="V30" i="5"/>
  <c r="V32" i="5"/>
  <c r="U36" i="5"/>
  <c r="L36" i="5"/>
  <c r="T27" i="5"/>
  <c r="U27" i="5"/>
  <c r="I27" i="5"/>
  <c r="T33" i="5"/>
  <c r="U33" i="5"/>
  <c r="T35" i="5"/>
  <c r="U35" i="5"/>
  <c r="H27" i="5"/>
  <c r="T29" i="5"/>
  <c r="U29" i="5"/>
  <c r="T31" i="5"/>
  <c r="S31" i="5"/>
  <c r="U31" i="5"/>
  <c r="I35" i="5"/>
  <c r="H32" i="5"/>
  <c r="S32" i="5"/>
  <c r="K33" i="5"/>
  <c r="H34" i="5"/>
  <c r="K35" i="5"/>
  <c r="H36" i="5"/>
  <c r="K23" i="5"/>
  <c r="K25" i="5"/>
  <c r="V26" i="5"/>
  <c r="G27" i="5"/>
  <c r="S27" i="5" s="1"/>
  <c r="L27" i="5"/>
  <c r="V27" i="5"/>
  <c r="T28" i="5"/>
  <c r="G29" i="5"/>
  <c r="S29" i="5" s="1"/>
  <c r="L29" i="5"/>
  <c r="V29" i="5"/>
  <c r="T30" i="5"/>
  <c r="G31" i="5"/>
  <c r="L31" i="5"/>
  <c r="V31" i="5"/>
  <c r="T32" i="5"/>
  <c r="G33" i="5"/>
  <c r="S33" i="5" s="1"/>
  <c r="L33" i="5"/>
  <c r="V33" i="5"/>
  <c r="T34" i="5"/>
  <c r="G35" i="5"/>
  <c r="S35" i="5" s="1"/>
  <c r="L35" i="5"/>
  <c r="V35" i="5"/>
  <c r="T36" i="5"/>
  <c r="K27" i="5"/>
  <c r="K29" i="5"/>
  <c r="S30" i="5"/>
  <c r="U28" i="5"/>
  <c r="H31" i="5"/>
  <c r="K32" i="5"/>
  <c r="K34" i="5"/>
  <c r="K36" i="5"/>
  <c r="H28" i="5"/>
  <c r="H23" i="5"/>
  <c r="G26" i="5"/>
  <c r="K28" i="5"/>
  <c r="K30" i="5"/>
  <c r="L26" i="5"/>
  <c r="I22" i="5"/>
  <c r="I24" i="5"/>
  <c r="U26" i="5"/>
  <c r="T26" i="5"/>
  <c r="S26" i="5"/>
  <c r="U22" i="5"/>
  <c r="T22" i="5"/>
  <c r="U24" i="5"/>
  <c r="T24" i="5"/>
  <c r="S24" i="5"/>
  <c r="H22" i="5"/>
  <c r="U23" i="5"/>
  <c r="H24" i="5"/>
  <c r="U25" i="5"/>
  <c r="H26" i="5"/>
  <c r="G23" i="5"/>
  <c r="S23" i="5" s="1"/>
  <c r="L23" i="5"/>
  <c r="V23" i="5"/>
  <c r="G25" i="5"/>
  <c r="S25" i="5" s="1"/>
  <c r="L25" i="5"/>
  <c r="V25" i="5"/>
  <c r="H25" i="5"/>
  <c r="K26" i="5"/>
  <c r="K22" i="5"/>
  <c r="K24" i="5"/>
  <c r="W24" i="1"/>
  <c r="M29" i="1"/>
  <c r="W22" i="1"/>
  <c r="W18" i="1"/>
  <c r="W16" i="1"/>
  <c r="P25" i="1"/>
  <c r="W25" i="1"/>
  <c r="O25" i="1"/>
  <c r="J25" i="1"/>
  <c r="N25" i="1"/>
  <c r="I25" i="1"/>
  <c r="M25" i="1"/>
  <c r="T25" i="1"/>
  <c r="W26" i="1"/>
  <c r="O26" i="1"/>
  <c r="J26" i="1"/>
  <c r="N26" i="1"/>
  <c r="I26" i="1"/>
  <c r="M26" i="1"/>
  <c r="P26" i="1"/>
  <c r="T26" i="1"/>
  <c r="T21" i="1"/>
  <c r="W31" i="1"/>
  <c r="T31" i="1"/>
  <c r="P32" i="1"/>
  <c r="P27" i="1"/>
  <c r="W27" i="1"/>
  <c r="O27" i="1"/>
  <c r="J27" i="1"/>
  <c r="N27" i="1"/>
  <c r="I27" i="1"/>
  <c r="M27" i="1"/>
  <c r="W32" i="1"/>
  <c r="O32" i="1"/>
  <c r="J32" i="1"/>
  <c r="N32" i="1"/>
  <c r="I32" i="1"/>
  <c r="M32" i="1"/>
  <c r="I29" i="1"/>
  <c r="N29" i="1"/>
  <c r="V29" i="1"/>
  <c r="T27" i="1"/>
  <c r="J29" i="1"/>
  <c r="O29" i="1"/>
  <c r="W29" i="1"/>
  <c r="T32" i="1"/>
  <c r="P29" i="1"/>
  <c r="P18" i="1"/>
  <c r="P24" i="1"/>
  <c r="P16" i="1"/>
  <c r="P22" i="1"/>
  <c r="T24" i="1"/>
  <c r="T18" i="1"/>
  <c r="T16" i="1"/>
  <c r="T22" i="1"/>
  <c r="N23" i="1"/>
  <c r="I23" i="1"/>
  <c r="M23" i="1"/>
  <c r="W23" i="1"/>
  <c r="O23" i="1"/>
  <c r="J23" i="1"/>
  <c r="N30" i="1"/>
  <c r="I30" i="1"/>
  <c r="M30" i="1"/>
  <c r="W30" i="1"/>
  <c r="O30" i="1"/>
  <c r="J30" i="1"/>
  <c r="N28" i="1"/>
  <c r="I28" i="1"/>
  <c r="M28" i="1"/>
  <c r="W28" i="1"/>
  <c r="O28" i="1"/>
  <c r="J28" i="1"/>
  <c r="M24" i="1"/>
  <c r="I22" i="1"/>
  <c r="N22" i="1"/>
  <c r="P23" i="1"/>
  <c r="I24" i="1"/>
  <c r="N24" i="1"/>
  <c r="P28" i="1"/>
  <c r="I31" i="1"/>
  <c r="N31" i="1"/>
  <c r="V31" i="1"/>
  <c r="P30" i="1"/>
  <c r="M22" i="1"/>
  <c r="M31" i="1"/>
  <c r="J22" i="1"/>
  <c r="O22" i="1"/>
  <c r="T23" i="1"/>
  <c r="J24" i="1"/>
  <c r="O24" i="1"/>
  <c r="T28" i="1"/>
  <c r="J31" i="1"/>
  <c r="O31" i="1"/>
  <c r="T30" i="1"/>
  <c r="N17" i="1"/>
  <c r="I17" i="1"/>
  <c r="W17" i="1"/>
  <c r="O17" i="1"/>
  <c r="J17" i="1"/>
  <c r="M17" i="1"/>
  <c r="N20" i="1"/>
  <c r="I20" i="1"/>
  <c r="M20" i="1"/>
  <c r="W20" i="1"/>
  <c r="O20" i="1"/>
  <c r="J20" i="1"/>
  <c r="N19" i="1"/>
  <c r="I19" i="1"/>
  <c r="M19" i="1"/>
  <c r="W19" i="1"/>
  <c r="O19" i="1"/>
  <c r="J19" i="1"/>
  <c r="M16" i="1"/>
  <c r="M21" i="1"/>
  <c r="P19" i="1"/>
  <c r="I21" i="1"/>
  <c r="N21" i="1"/>
  <c r="V21" i="1"/>
  <c r="P20" i="1"/>
  <c r="M18" i="1"/>
  <c r="I16" i="1"/>
  <c r="N16" i="1"/>
  <c r="P17" i="1"/>
  <c r="I18" i="1"/>
  <c r="N18" i="1"/>
  <c r="J16" i="1"/>
  <c r="O16" i="1"/>
  <c r="T17" i="1"/>
  <c r="J18" i="1"/>
  <c r="O18" i="1"/>
  <c r="T19" i="1"/>
  <c r="J21" i="1"/>
  <c r="O21" i="1"/>
  <c r="T20" i="1"/>
  <c r="C21" i="5"/>
  <c r="B21" i="5"/>
  <c r="D21" i="5" s="1"/>
  <c r="T21" i="5" s="1"/>
  <c r="D20" i="5"/>
  <c r="T20" i="5" s="1"/>
  <c r="C20" i="5"/>
  <c r="B20" i="5"/>
  <c r="D19" i="5"/>
  <c r="T19" i="5" s="1"/>
  <c r="C19" i="5"/>
  <c r="B19" i="5"/>
  <c r="C18" i="5"/>
  <c r="B18" i="5"/>
  <c r="D18" i="5" s="1"/>
  <c r="T18" i="5" s="1"/>
  <c r="C17" i="5"/>
  <c r="B17" i="5"/>
  <c r="D17" i="5" s="1"/>
  <c r="T17" i="5" s="1"/>
  <c r="L14" i="1"/>
  <c r="G14" i="1"/>
  <c r="E14" i="1"/>
  <c r="H14" i="1" s="1"/>
  <c r="D14" i="1"/>
  <c r="V14" i="1" s="1"/>
  <c r="L15" i="1"/>
  <c r="G15" i="1"/>
  <c r="E15" i="1"/>
  <c r="H15" i="1" s="1"/>
  <c r="D15" i="1"/>
  <c r="T15" i="1" s="1"/>
  <c r="L13" i="1"/>
  <c r="G13" i="1"/>
  <c r="E13" i="1"/>
  <c r="H13" i="1" s="1"/>
  <c r="D13" i="1"/>
  <c r="V13" i="1" s="1"/>
  <c r="L12" i="1"/>
  <c r="G12" i="1"/>
  <c r="E12" i="1"/>
  <c r="H12" i="1" s="1"/>
  <c r="D12" i="1"/>
  <c r="T12" i="1" s="1"/>
  <c r="L11" i="1"/>
  <c r="G11" i="1"/>
  <c r="E11" i="1"/>
  <c r="H11" i="1" s="1"/>
  <c r="D11" i="1"/>
  <c r="V11" i="1" s="1"/>
  <c r="W14" i="1" l="1"/>
  <c r="T14" i="1"/>
  <c r="P14" i="1"/>
  <c r="I19" i="5"/>
  <c r="L19" i="5"/>
  <c r="G19" i="5"/>
  <c r="I21" i="5"/>
  <c r="L21" i="5"/>
  <c r="G21" i="5"/>
  <c r="S21" i="5" s="1"/>
  <c r="V21" i="5"/>
  <c r="V19" i="5"/>
  <c r="H20" i="5"/>
  <c r="K18" i="5"/>
  <c r="G18" i="5"/>
  <c r="S18" i="5" s="1"/>
  <c r="V18" i="5"/>
  <c r="L18" i="5"/>
  <c r="H18" i="5"/>
  <c r="I17" i="5"/>
  <c r="G17" i="5"/>
  <c r="S17" i="5" s="1"/>
  <c r="L17" i="5"/>
  <c r="V17" i="5"/>
  <c r="K21" i="5"/>
  <c r="H17" i="5"/>
  <c r="H19" i="5"/>
  <c r="S19" i="5"/>
  <c r="H21" i="5"/>
  <c r="K17" i="5"/>
  <c r="U17" i="5"/>
  <c r="U18" i="5"/>
  <c r="K19" i="5"/>
  <c r="U19" i="5"/>
  <c r="U21" i="5"/>
  <c r="I18" i="5"/>
  <c r="M15" i="1"/>
  <c r="N15" i="1"/>
  <c r="W15" i="1"/>
  <c r="O15" i="1"/>
  <c r="J15" i="1"/>
  <c r="I15" i="1"/>
  <c r="P15" i="1"/>
  <c r="I14" i="1"/>
  <c r="N14" i="1"/>
  <c r="V15" i="1"/>
  <c r="M14" i="1"/>
  <c r="J14" i="1"/>
  <c r="O14" i="1"/>
  <c r="P11" i="1"/>
  <c r="M12" i="1"/>
  <c r="P13" i="1"/>
  <c r="W13" i="1"/>
  <c r="O13" i="1"/>
  <c r="J13" i="1"/>
  <c r="N13" i="1"/>
  <c r="I13" i="1"/>
  <c r="M13" i="1"/>
  <c r="W11" i="1"/>
  <c r="O11" i="1"/>
  <c r="J11" i="1"/>
  <c r="N11" i="1"/>
  <c r="I11" i="1"/>
  <c r="M11" i="1"/>
  <c r="I12" i="1"/>
  <c r="N12" i="1"/>
  <c r="V12" i="1"/>
  <c r="T11" i="1"/>
  <c r="J12" i="1"/>
  <c r="O12" i="1"/>
  <c r="W12" i="1"/>
  <c r="T13" i="1"/>
  <c r="P12" i="1"/>
  <c r="C39" i="5"/>
  <c r="G33" i="1"/>
  <c r="E33" i="1"/>
  <c r="H33" i="1" s="1"/>
  <c r="D33" i="1"/>
  <c r="T33" i="1" s="1"/>
  <c r="I20" i="5" l="1"/>
  <c r="U20" i="5"/>
  <c r="G20" i="5"/>
  <c r="S20" i="5" s="1"/>
  <c r="L20" i="5"/>
  <c r="K20" i="5"/>
  <c r="V20" i="5"/>
  <c r="B39" i="5"/>
  <c r="D39" i="5" s="1"/>
  <c r="I39" i="5" s="1"/>
  <c r="G39" i="5"/>
  <c r="L39" i="5"/>
  <c r="M33" i="1"/>
  <c r="I33" i="1"/>
  <c r="N33" i="1"/>
  <c r="V33" i="1"/>
  <c r="J33" i="1"/>
  <c r="O33" i="1"/>
  <c r="W33" i="1"/>
  <c r="P33" i="1"/>
  <c r="U39" i="5" l="1"/>
  <c r="H39" i="5"/>
  <c r="V39" i="5"/>
  <c r="K39" i="5"/>
  <c r="S39" i="5"/>
  <c r="T39" i="5"/>
  <c r="W3" i="1"/>
  <c r="V3" i="1"/>
  <c r="B2" i="5" l="1"/>
  <c r="B3" i="5" s="1"/>
  <c r="B6" i="5" l="1"/>
  <c r="U7" i="1" l="1"/>
  <c r="B7" i="5" l="1"/>
  <c r="Q3" i="1" l="1"/>
  <c r="O7" i="1" s="1"/>
  <c r="T3" i="1"/>
  <c r="F3" i="1"/>
  <c r="B4" i="5" l="1"/>
  <c r="N7" i="1"/>
  <c r="E47" i="3" s="1"/>
  <c r="K7" i="1"/>
  <c r="H6" i="1"/>
  <c r="R10" i="5" l="1"/>
  <c r="M54" i="3" s="1"/>
  <c r="N47" i="3" l="1"/>
  <c r="B8" i="5"/>
  <c r="B5" i="5"/>
  <c r="D9" i="1"/>
  <c r="V9" i="1" l="1"/>
  <c r="T9" i="1"/>
  <c r="P10" i="5"/>
  <c r="K54" i="3" s="1"/>
  <c r="Q10" i="5"/>
  <c r="L54" i="3" s="1"/>
  <c r="B52" i="3"/>
  <c r="C52" i="3" s="1"/>
  <c r="M14" i="5"/>
  <c r="H53" i="3" s="1"/>
  <c r="L14" i="5"/>
  <c r="G53" i="3" s="1"/>
  <c r="K14" i="5"/>
  <c r="F53" i="3" s="1"/>
  <c r="L53" i="3"/>
  <c r="K53" i="3"/>
  <c r="O14" i="5"/>
  <c r="J53" i="3" s="1"/>
  <c r="N14" i="5"/>
  <c r="I53" i="3" s="1"/>
  <c r="J14" i="5"/>
  <c r="E53" i="3" s="1"/>
  <c r="I14" i="5"/>
  <c r="D53" i="3" s="1"/>
  <c r="H14" i="5"/>
  <c r="C53" i="3" s="1"/>
  <c r="O10" i="5"/>
  <c r="J54" i="3" s="1"/>
  <c r="N10" i="5"/>
  <c r="I54" i="3" s="1"/>
  <c r="M10" i="5"/>
  <c r="H54" i="3" s="1"/>
  <c r="J10" i="5"/>
  <c r="E54" i="3" s="1"/>
  <c r="N3" i="1" l="1"/>
  <c r="M3" i="1"/>
  <c r="O3" i="1"/>
  <c r="D10" i="1"/>
  <c r="V10" i="1" l="1"/>
  <c r="T10" i="1"/>
  <c r="C15" i="5"/>
  <c r="B15" i="5"/>
  <c r="D15" i="5" s="1"/>
  <c r="V35" i="1"/>
  <c r="V12" i="5" l="1"/>
  <c r="L12" i="5"/>
  <c r="U12" i="5"/>
  <c r="S12" i="5"/>
  <c r="H12" i="5"/>
  <c r="K12" i="5"/>
  <c r="T12" i="5"/>
  <c r="I12" i="5"/>
  <c r="T15" i="5"/>
  <c r="C16" i="5"/>
  <c r="B16" i="5"/>
  <c r="D16" i="5" s="1"/>
  <c r="T16" i="5" s="1"/>
  <c r="R3" i="1" l="1"/>
  <c r="D1" i="1"/>
  <c r="F6" i="1"/>
  <c r="T13" i="5"/>
  <c r="G9" i="1" l="1"/>
  <c r="F15" i="5" s="1"/>
  <c r="G10" i="1"/>
  <c r="E9" i="1"/>
  <c r="H9" i="1" s="1"/>
  <c r="E10" i="1"/>
  <c r="H10" i="1" s="1"/>
  <c r="P9" i="1"/>
  <c r="P10" i="1"/>
  <c r="T35" i="1"/>
  <c r="O10" i="1" l="1"/>
  <c r="M10" i="1"/>
  <c r="N10" i="1"/>
  <c r="O9" i="1"/>
  <c r="M9" i="1"/>
  <c r="N9" i="1"/>
  <c r="E15" i="5"/>
  <c r="W9" i="1"/>
  <c r="W10" i="1"/>
  <c r="T7" i="1"/>
  <c r="I10" i="1"/>
  <c r="I9" i="1"/>
  <c r="W35" i="1"/>
  <c r="L16" i="5" l="1"/>
  <c r="H16" i="5"/>
  <c r="I16" i="5"/>
  <c r="K16" i="5"/>
  <c r="L15" i="5"/>
  <c r="K15" i="5"/>
  <c r="I15" i="5"/>
  <c r="H15" i="5"/>
  <c r="G16" i="5"/>
  <c r="S16" i="5" s="1"/>
  <c r="U16" i="5"/>
  <c r="V16" i="5"/>
  <c r="G15" i="5"/>
  <c r="S15" i="5" s="1"/>
  <c r="V15" i="5"/>
  <c r="U15" i="5"/>
  <c r="G6" i="1"/>
  <c r="U13" i="5"/>
  <c r="L13" i="5"/>
  <c r="I13" i="5"/>
  <c r="K13" i="5"/>
  <c r="S13" i="5"/>
  <c r="H13" i="5"/>
  <c r="V13" i="5"/>
  <c r="K10" i="5" l="1"/>
  <c r="F54" i="3" s="1"/>
  <c r="I10" i="5"/>
  <c r="D54" i="3" s="1"/>
  <c r="H10" i="5"/>
  <c r="C54" i="3" s="1"/>
  <c r="L10" i="5"/>
  <c r="G54" i="3" s="1"/>
  <c r="L47" i="3"/>
  <c r="D47" i="3"/>
  <c r="D6" i="1"/>
  <c r="B6" i="1" l="1"/>
  <c r="L3" i="1"/>
  <c r="J3" i="1"/>
  <c r="H3" i="1"/>
  <c r="C6" i="1" l="1"/>
  <c r="P7" i="1" s="1"/>
  <c r="S3" i="1"/>
  <c r="S7" i="1" s="1"/>
  <c r="E6" i="1"/>
  <c r="F47" i="3"/>
  <c r="I3" i="1" l="1"/>
  <c r="B7" i="1"/>
  <c r="L26" i="1" l="1"/>
  <c r="L25" i="1"/>
  <c r="L22" i="1"/>
  <c r="L16" i="1"/>
  <c r="L33" i="1"/>
  <c r="L9" i="1"/>
  <c r="L10" i="1"/>
  <c r="J9" i="1"/>
  <c r="J10" i="1"/>
  <c r="C7" i="1"/>
  <c r="I35" i="1"/>
  <c r="P35" i="1"/>
  <c r="O35" i="1"/>
  <c r="N35" i="1"/>
  <c r="J35" i="1"/>
  <c r="Q7" i="1" l="1"/>
  <c r="M47" i="3" s="1"/>
  <c r="L7" i="1"/>
  <c r="G47" i="3" s="1"/>
  <c r="K47" i="3"/>
  <c r="J47" i="3"/>
  <c r="M35" i="1"/>
  <c r="K35" i="1"/>
  <c r="R7" i="1" l="1"/>
  <c r="I47" i="3" s="1"/>
  <c r="M7" i="1"/>
  <c r="H47" i="3" s="1"/>
  <c r="J7" i="1"/>
  <c r="C47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comments2.xml><?xml version="1.0" encoding="utf-8"?>
<comments xmlns="http://schemas.openxmlformats.org/spreadsheetml/2006/main">
  <authors>
    <author>S_member</author>
  </authors>
  <commentList>
    <comment ref="A2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- TY : Toyota        
- LX : Lexus       
- DH : Daihatsu       
- SZ : Suzuki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1GD
2GD
1KD
2KD
1NR
2NR
3NR
1TR
2TR
1ZR
2ZR
3ZR
1AZ
2AZ
1NZ
1ZZ
2ZZ
3ZZ</t>
        </r>
      </text>
    </comment>
  </commentList>
</comments>
</file>

<file path=xl/sharedStrings.xml><?xml version="1.0" encoding="utf-8"?>
<sst xmlns="http://schemas.openxmlformats.org/spreadsheetml/2006/main" count="469" uniqueCount="343">
  <si>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</si>
  <si>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</si>
  <si>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</si>
  <si>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</si>
  <si>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</si>
  <si>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</si>
  <si>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</si>
  <si>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</si>
  <si>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</si>
  <si>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</si>
  <si>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</si>
  <si>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</si>
  <si>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</si>
  <si>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</si>
  <si>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</si>
  <si>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</si>
  <si>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</si>
  <si>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</si>
  <si>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</si>
  <si>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</si>
  <si>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</si>
  <si>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</si>
  <si>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</si>
  <si>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</si>
  <si>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</si>
  <si>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</si>
  <si>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</si>
  <si>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</si>
  <si>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</si>
  <si>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</si>
  <si>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</si>
  <si>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</si>
  <si>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</si>
  <si>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</si>
  <si>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</si>
  <si>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</si>
  <si>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</si>
  <si>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</si>
  <si>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</si>
  <si>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</si>
  <si>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</si>
  <si>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</si>
  <si>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</si>
  <si>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</si>
  <si>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</si>
  <si>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</si>
  <si>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</si>
  <si>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</si>
  <si>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</si>
  <si>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</si>
  <si>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</si>
  <si>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</si>
  <si>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</si>
  <si>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</si>
  <si>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</si>
  <si>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</si>
  <si>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</si>
  <si>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</si>
  <si>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</si>
  <si>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</si>
  <si>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</si>
  <si>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</si>
  <si>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</si>
  <si>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</si>
  <si>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</si>
  <si>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</si>
  <si>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</si>
  <si>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</si>
  <si>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</si>
  <si>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</si>
  <si>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</si>
  <si>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</si>
  <si>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</si>
  <si>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</si>
  <si>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</si>
  <si>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</si>
  <si>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</si>
  <si>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</si>
  <si>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</si>
  <si>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</si>
  <si>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</si>
  <si>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</si>
  <si>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</si>
  <si>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</si>
  <si>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</si>
  <si>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</si>
  <si>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</si>
  <si>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</si>
  <si>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</si>
  <si>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</si>
  <si>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</si>
  <si>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</si>
  <si>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</si>
  <si>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</si>
  <si>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</si>
  <si>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</si>
  <si>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</si>
  <si>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</si>
  <si>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</si>
  <si>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</si>
  <si>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</si>
  <si>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</si>
  <si>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</si>
  <si>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</si>
  <si>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</si>
  <si>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</si>
  <si>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</si>
  <si>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</si>
  <si>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</si>
  <si>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</si>
  <si>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</si>
  <si>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</si>
  <si>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</si>
  <si>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</si>
  <si>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</si>
  <si>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</si>
  <si>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</si>
  <si>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</si>
  <si>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</si>
  <si>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</si>
  <si>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</si>
  <si>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</si>
  <si>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</si>
  <si>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</si>
  <si>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</si>
  <si>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</si>
  <si>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</si>
  <si>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</si>
  <si>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</si>
  <si>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</si>
  <si>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</si>
  <si>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</si>
  <si>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</si>
  <si>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</si>
  <si>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</si>
  <si>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</si>
  <si>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</si>
  <si>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</si>
  <si>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</si>
  <si>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</si>
  <si>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</si>
  <si>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</si>
  <si>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</si>
  <si>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</si>
  <si>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</si>
  <si>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</si>
  <si>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</si>
  <si>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</si>
  <si>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</si>
  <si>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</si>
  <si>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</si>
  <si>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</si>
  <si>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</si>
  <si>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</si>
  <si>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</si>
  <si>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</si>
  <si>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</si>
  <si>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</si>
  <si>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</si>
  <si>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</si>
  <si>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</si>
  <si>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</si>
  <si>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</si>
  <si>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</si>
  <si>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</si>
  <si>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</si>
  <si>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</si>
  <si>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</si>
  <si>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</si>
  <si>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</si>
  <si>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</si>
  <si>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</si>
  <si>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</si>
  <si>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</si>
  <si>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</si>
  <si>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</si>
  <si>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</si>
  <si>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</si>
  <si>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</si>
  <si>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</si>
  <si>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</si>
  <si>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</si>
  <si>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</si>
  <si>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</si>
  <si>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</si>
  <si>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</si>
  <si>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</si>
  <si>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</si>
  <si>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</si>
  <si>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</si>
  <si>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</si>
  <si>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</si>
  <si>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</si>
  <si>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</si>
  <si>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</si>
  <si>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</si>
  <si>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</si>
  <si>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</si>
  <si>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</si>
  <si>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</si>
  <si>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</si>
  <si>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</si>
  <si>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</si>
  <si>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</si>
  <si>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</si>
  <si>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</si>
  <si>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</si>
  <si>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</si>
  <si>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</si>
  <si>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</si>
  <si>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</si>
  <si>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</si>
  <si>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</si>
  <si>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</si>
  <si>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</si>
  <si>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</si>
  <si>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</si>
  <si>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</si>
  <si>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</si>
  <si>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</si>
  <si>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</si>
  <si>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</si>
  <si>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</si>
  <si>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</si>
  <si>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</si>
  <si>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</si>
  <si>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</si>
  <si>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</si>
  <si>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</si>
  <si>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</si>
  <si>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</si>
  <si>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</si>
  <si>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</si>
  <si>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</si>
  <si>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</si>
  <si>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</si>
  <si>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</si>
  <si>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</si>
  <si>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</si>
  <si>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</si>
  <si>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</si>
  <si>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</si>
  <si>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</si>
  <si>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</si>
  <si>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</si>
  <si>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</si>
  <si>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</si>
  <si>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</si>
  <si>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</si>
  <si>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</si>
  <si>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</si>
  <si>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</si>
  <si>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</si>
  <si>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</si>
  <si>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</si>
  <si>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</si>
  <si>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</si>
  <si>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</si>
  <si>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</si>
  <si>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</si>
  <si>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</si>
  <si>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</si>
  <si>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</si>
  <si>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</si>
  <si>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</si>
  <si>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</si>
  <si>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</si>
  <si>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</si>
  <si>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</si>
  <si>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</si>
  <si>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</si>
  <si>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</si>
  <si>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</si>
  <si>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</si>
  <si>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</si>
  <si>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</si>
  <si>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</si>
  <si>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</si>
  <si>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</si>
  <si>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</si>
  <si>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</si>
  <si>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</si>
  <si>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</si>
  <si>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</si>
  <si>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</si>
  <si>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</si>
  <si>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</si>
  <si>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</si>
  <si>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</si>
  <si>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</si>
  <si>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</si>
  <si>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</si>
  <si>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</si>
  <si>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</si>
  <si>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</si>
  <si>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</si>
  <si>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</si>
  <si>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</si>
  <si>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</si>
  <si>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</si>
  <si>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</si>
  <si>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IS_ACTIVE</t>
  </si>
  <si>
    <t>varchar(1)</t>
  </si>
  <si>
    <t>varchar(50)</t>
  </si>
  <si>
    <t>Master.Cmm</t>
  </si>
  <si>
    <t>LotCodeGrade</t>
  </si>
  <si>
    <t>MstCmmLotCodeGrade</t>
  </si>
  <si>
    <t>MODEL</t>
  </si>
  <si>
    <t>MODEL_CODE</t>
  </si>
  <si>
    <t>LOT_CODE</t>
  </si>
  <si>
    <t>CFC</t>
  </si>
  <si>
    <t>GRADE</t>
  </si>
  <si>
    <t>GRADE_NAME</t>
  </si>
  <si>
    <t>MODEL_VIN</t>
  </si>
  <si>
    <t>Master Common Lot Code Grade</t>
  </si>
  <si>
    <t>varchar(2)</t>
  </si>
  <si>
    <r>
      <t>varchar(</t>
    </r>
    <r>
      <rPr>
        <sz val="11"/>
        <color rgb="FFFF0000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</si>
  <si>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ID_LINE</t>
  </si>
  <si>
    <t>SPEC_200</t>
  </si>
  <si>
    <t>nvarchar(200)</t>
  </si>
  <si>
    <t>SS_NO</t>
  </si>
  <si>
    <t>nvarchar(2)</t>
  </si>
  <si>
    <t>KATASHIKI_CTL</t>
  </si>
  <si>
    <t>nvarchar(20)</t>
  </si>
  <si>
    <t>VEH_NAME_CD</t>
  </si>
  <si>
    <t>KATASHIKI</t>
  </si>
  <si>
    <t>MAR_LOT_CODE</t>
  </si>
  <si>
    <t>nvarchar(50)</t>
  </si>
  <si>
    <t>TEST_NO</t>
  </si>
  <si>
    <t>nvarchar(10)</t>
  </si>
  <si>
    <t>VEHICLE_ID</t>
  </si>
  <si>
    <r>
      <t>nvarchar(</t>
    </r>
    <r>
      <rPr>
        <sz val="11"/>
        <color rgb="FFFF0000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</si>
  <si>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t>BRAND</t>
  </si>
  <si>
    <t>TRANSMISSION_TYPE</t>
  </si>
  <si>
    <t>GOSHI_CAR</t>
  </si>
  <si>
    <t>CAR_SERIES</t>
  </si>
  <si>
    <t>varchar(18)</t>
  </si>
  <si>
    <t>FUEL_TYPE</t>
  </si>
  <si>
    <t>ENGINE_TYPE</t>
  </si>
  <si>
    <t>varchar(10)</t>
  </si>
  <si>
    <t>PROD_SFX</t>
  </si>
  <si>
    <t>SALES_SFX</t>
  </si>
  <si>
    <r>
      <t>varchar(</t>
    </r>
    <r>
      <rPr>
        <sz val="11"/>
        <color rgb="FFFF0000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</si>
</sst>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56"/>
  <sheetViews>
    <sheetView topLeftCell="A26" workbookViewId="0">
      <selection activeCell="C54" sqref="C54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x14ac:dyDescent="0.25">
      <c r="A17" s="1"/>
      <c r="B17" s="17"/>
      <c r="C17" t="s">
        <v>91</v>
      </c>
      <c r="F17" s="1" t="s">
        <v>100</v>
      </c>
      <c r="G17" s="17" t="s">
        <v>100</v>
      </c>
    </row>
    <row r="18" spans="1:7" x14ac:dyDescent="0.25">
      <c r="A18" s="1"/>
      <c r="B18" s="17"/>
      <c r="D18" t="s">
        <v>95</v>
      </c>
      <c r="F18" s="1" t="s">
        <v>114</v>
      </c>
      <c r="G18" s="17" t="s">
        <v>293</v>
      </c>
    </row>
    <row r="19" spans="1:7" x14ac:dyDescent="0.25">
      <c r="A19" s="1"/>
      <c r="B19" s="17"/>
      <c r="D19" t="s">
        <v>96</v>
      </c>
      <c r="F19" s="1" t="s">
        <v>104</v>
      </c>
      <c r="G19" s="17" t="s">
        <v>294</v>
      </c>
    </row>
    <row r="20" spans="1:7" x14ac:dyDescent="0.25">
      <c r="A20" s="1"/>
      <c r="B20" s="17"/>
      <c r="C20" t="s">
        <v>92</v>
      </c>
      <c r="F20" s="1" t="s">
        <v>101</v>
      </c>
      <c r="G20" s="17" t="s">
        <v>101</v>
      </c>
    </row>
    <row r="21" spans="1:7" x14ac:dyDescent="0.25">
      <c r="A21" s="1"/>
      <c r="B21" s="17"/>
      <c r="C21" t="s">
        <v>93</v>
      </c>
      <c r="F21" s="1" t="s">
        <v>102</v>
      </c>
      <c r="G21" s="17" t="s">
        <v>102</v>
      </c>
    </row>
    <row r="22" spans="1:7" x14ac:dyDescent="0.25">
      <c r="A22" s="1"/>
      <c r="B22" s="17"/>
      <c r="C22" t="s">
        <v>271</v>
      </c>
      <c r="F22" s="1" t="s">
        <v>272</v>
      </c>
      <c r="G22" s="17" t="s">
        <v>272</v>
      </c>
    </row>
    <row r="23" spans="1:7" x14ac:dyDescent="0.25">
      <c r="A23" s="1"/>
      <c r="B23" s="17"/>
      <c r="D23" t="s">
        <v>273</v>
      </c>
      <c r="F23" s="1" t="s">
        <v>275</v>
      </c>
      <c r="G23" s="17" t="s">
        <v>295</v>
      </c>
    </row>
    <row r="24" spans="1:7" x14ac:dyDescent="0.25">
      <c r="A24" s="1"/>
      <c r="B24" s="17"/>
      <c r="D24" t="s">
        <v>276</v>
      </c>
      <c r="F24" s="1" t="s">
        <v>274</v>
      </c>
      <c r="G24" s="17" t="s">
        <v>296</v>
      </c>
    </row>
    <row r="25" spans="1:7" x14ac:dyDescent="0.25">
      <c r="A25" s="1"/>
      <c r="B25" s="17"/>
      <c r="D25" t="s">
        <v>277</v>
      </c>
      <c r="F25" s="1" t="s">
        <v>280</v>
      </c>
      <c r="G25" s="17" t="s">
        <v>297</v>
      </c>
    </row>
    <row r="26" spans="1:7" x14ac:dyDescent="0.25">
      <c r="A26" s="1"/>
      <c r="B26" s="17"/>
      <c r="D26" t="s">
        <v>278</v>
      </c>
      <c r="F26" s="1" t="s">
        <v>281</v>
      </c>
      <c r="G26" s="17" t="s">
        <v>298</v>
      </c>
    </row>
    <row r="27" spans="1:7" x14ac:dyDescent="0.25">
      <c r="A27" s="1"/>
      <c r="B27" s="17"/>
      <c r="D27" t="s">
        <v>279</v>
      </c>
      <c r="F27" s="1" t="s">
        <v>282</v>
      </c>
      <c r="G27" s="17" t="s">
        <v>299</v>
      </c>
    </row>
    <row r="28" spans="1:7" x14ac:dyDescent="0.25">
      <c r="A28" s="1"/>
      <c r="B28" s="17"/>
      <c r="D28" t="s">
        <v>284</v>
      </c>
      <c r="F28" s="1" t="s">
        <v>283</v>
      </c>
      <c r="G28" s="17" t="s">
        <v>300</v>
      </c>
    </row>
    <row r="29" spans="1:7" x14ac:dyDescent="0.25">
      <c r="A29" s="1"/>
      <c r="B29" s="17"/>
      <c r="F29" s="1"/>
    </row>
    <row r="30" spans="1:7" x14ac:dyDescent="0.25">
      <c r="A30" s="1"/>
      <c r="B30" s="17"/>
    </row>
    <row r="31" spans="1:7" x14ac:dyDescent="0.25">
      <c r="A31" s="1"/>
      <c r="B31" s="17" t="s">
        <v>86</v>
      </c>
    </row>
    <row r="32" spans="1:7" x14ac:dyDescent="0.25">
      <c r="A32" s="1"/>
      <c r="B32" s="17" t="s">
        <v>83</v>
      </c>
    </row>
    <row r="33" spans="1:14" x14ac:dyDescent="0.25">
      <c r="A33" s="1"/>
      <c r="B33" s="17"/>
      <c r="C33" s="19" t="s">
        <v>80</v>
      </c>
    </row>
    <row r="34" spans="1:14" x14ac:dyDescent="0.25">
      <c r="A34" s="1"/>
      <c r="B34" s="17"/>
      <c r="C34" s="18" t="s">
        <v>81</v>
      </c>
    </row>
    <row r="35" spans="1:14" x14ac:dyDescent="0.25">
      <c r="A35" s="1"/>
      <c r="B35" s="17"/>
      <c r="C35" s="18" t="s">
        <v>82</v>
      </c>
    </row>
    <row r="36" spans="1:14" x14ac:dyDescent="0.25">
      <c r="A36" s="1"/>
      <c r="B36" s="17" t="s">
        <v>106</v>
      </c>
      <c r="C36" s="18"/>
    </row>
    <row r="37" spans="1:14" x14ac:dyDescent="0.25">
      <c r="A37" s="1"/>
      <c r="B37" s="17"/>
      <c r="C37" s="18" t="s">
        <v>107</v>
      </c>
    </row>
    <row r="38" spans="1:14" x14ac:dyDescent="0.25">
      <c r="A38" s="1"/>
      <c r="B38" s="17"/>
      <c r="C38" s="18" t="s">
        <v>108</v>
      </c>
    </row>
    <row r="39" spans="1:14" x14ac:dyDescent="0.25">
      <c r="A39" s="1"/>
      <c r="B39" s="17"/>
      <c r="C39" s="18" t="s">
        <v>109</v>
      </c>
    </row>
    <row r="40" spans="1:14" x14ac:dyDescent="0.25">
      <c r="A40" s="1"/>
      <c r="B40" s="17"/>
      <c r="C40" s="18" t="s">
        <v>111</v>
      </c>
    </row>
    <row r="41" spans="1:14" x14ac:dyDescent="0.25">
      <c r="A41" s="1"/>
      <c r="B41" s="17"/>
      <c r="C41" s="18" t="s">
        <v>113</v>
      </c>
    </row>
    <row r="42" spans="1:14" x14ac:dyDescent="0.25">
      <c r="A42" s="1"/>
      <c r="B42" s="17"/>
      <c r="C42" s="18" t="s">
        <v>112</v>
      </c>
    </row>
    <row r="43" spans="1:14" x14ac:dyDescent="0.25">
      <c r="A43" s="1"/>
      <c r="B43" s="17"/>
      <c r="C43" s="18" t="s">
        <v>110</v>
      </c>
    </row>
    <row r="44" spans="1:14" ht="21" customHeight="1" x14ac:dyDescent="0.25">
      <c r="B44" s="21" t="s">
        <v>78</v>
      </c>
    </row>
    <row r="45" spans="1:14" ht="21" customHeight="1" x14ac:dyDescent="0.25">
      <c r="B45" s="63" t="s">
        <v>231</v>
      </c>
    </row>
    <row r="46" spans="1:14" ht="15.75" thickBot="1" x14ac:dyDescent="0.3">
      <c r="C46" s="1" t="s">
        <v>72</v>
      </c>
      <c r="D46" s="1" t="s">
        <v>207</v>
      </c>
      <c r="E46" s="1" t="s">
        <v>208</v>
      </c>
      <c r="F46" s="1" t="s">
        <v>198</v>
      </c>
      <c r="G46" s="1" t="s">
        <v>199</v>
      </c>
      <c r="H46" s="1" t="s">
        <v>200</v>
      </c>
      <c r="I46" s="1" t="s">
        <v>201</v>
      </c>
      <c r="J46" s="1" t="s">
        <v>205</v>
      </c>
      <c r="K46" s="1" t="s">
        <v>209</v>
      </c>
      <c r="L46" s="1" t="s">
        <v>210</v>
      </c>
      <c r="M46" s="1" t="s">
        <v>211</v>
      </c>
      <c r="N46" s="1" t="s">
        <v>227</v>
      </c>
    </row>
    <row r="47" spans="1:14" s="16" customFormat="1" ht="21.75" customHeight="1" thickBot="1" x14ac:dyDescent="0.3">
      <c r="B47" s="52" t="s">
        <v>226</v>
      </c>
      <c r="C47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vovina.Master.Cmm
{
	[Table("MstCmmLotCodeGrade")]
	[Index(nameof(Model), Name="IX_MstCmmLotCodeGrade_Model")]
	[Index(nameof(LotCode), Name="IX_MstCmmLotCodeGrade_LotCode")]
	[Index(nameof(ProdSfx), Name="IX_MstCmmLotCodeGrade_ProdSfx")]
	[Index(nameof(SalesSfx), Name="IX_MstCmmLotCodeGrade_SalesSfx")]
	[Index(nameof(IsActive), Name="IX_MstCmmLotCodeGrade_IsActive")]	public class MstCmmLotCodeGrade: FullAuditedEntity&lt;long&gt;, IEntity&lt;long&gt;	
	{
		public const int MaxModelLength = 1;
		public const int MaxLotCodeLength = 2;
		public const int MaxCfcLength = 4;
		public const int MaxGradeLength = 2;
		public const int MaxGradeNameLength = 50;
		public const int MaxModelCodeLength = 50;
		public const int MaxModelVinLength = 50;
		public const int MaxIdLineLength = 3;
		public const int MaxSpec200Length = 200;
		public const int MaxSsNoLength = 2;
		public const int MaxKatashikiCtlLength = 20;
		public const int MaxKatashikiLength = 20;
		public const int MaxVehNameCdLength = 2;
		public const int MaxMarLotCodeLength = 50;
		public const int MaxTestNoLength = 10;
		public const int MaxVehicleIdLength = 2;
		public const int MaxProdSfxLength = 2;
		public const int MaxSalesSfxLength = 2;
		public const int MaxBrandLength = 2;
		public const int MaxCarSeriesLength = 18;
		public const int MaxTransmissionTypeLength = 2;
		public const int MaxEngineTypeLength = 10;
		public const int MaxFuelTypeLength = 2;
		public const int MaxGoshiCarLength = 1;
		public const int MaxIsActiveLength = 1;
		[StringLength(MaxModelLength)]
		public virtual string Model { get; set; }
		[StringLength(MaxLotCodeLength)]
		public virtual string LotCode { get; set; }
		[StringLength(MaxCfcLength)]
		public virtual string Cfc { get; set; }
		[StringLength(MaxGradeLength)]
		public virtual string Grade { get; set; }
		[StringLength(MaxGradeNameLength)]
		public virtual string GradeName { get; set; }
		[StringLength(MaxModelCodeLength)]
		public virtual string ModelCode { get; set; }
		[StringLength(MaxModelVinLength)]
		public virtual string ModelVin { get; set; }
		[StringLength(MaxIdLineLength)]
		public virtual string IdLine { get; set; }
		[StringLength(MaxSpec200Length)]
		public virtual string Spec200 { get; set; }
		[StringLength(MaxSsNoLength)]
		public virtual string SsNo { get; set; }
		[StringLength(MaxKatashikiCtlLength)]
		public virtual string KatashikiCtl { get; set; }
		[StringLength(MaxKatashikiLength)]
		public virtual string Katashiki { get; set; }
		[StringLength(MaxVehNameCdLength)]
		public virtual string VehNameCd { get; set; }
		[StringLength(MaxMarLotCodeLength)]
		public virtual string MarLotCode { get; set; }
		[StringLength(MaxTestNoLength)]
		public virtual string TestNo { get; set; }
		[StringLength(MaxVehicleIdLength)]
		public virtual string VehicleId { get; set; }
		[StringLength(MaxProdSfxLength)]
		public virtual string ProdSfx { get; set; }
		[StringLength(MaxSalesSfxLength)]
		public virtual string SalesSfx { get; set; }
		[StringLength(MaxBrandLength)]
		public virtual string Brand { get; set; }
		[StringLength(MaxCarSeriesLength)]
		public virtual string CarSeries { get; set; }
		[StringLength(MaxTransmissionTypeLength)]
		public virtual string TransmissionType { get; set; }
		[StringLength(MaxEngineTypeLength)]
		public virtual string EngineType { get; set; }
		[StringLength(MaxFuelTypeLength)]
		public virtual string FuelType { get; set; }
		[StringLength(MaxGoshiCarLength)]
		public virtual string GoshiCar { get; set; }
		[StringLength(MaxIsActiveLength)]
		public virtual string IsActive { get; set; }
	}
}
</v>
      </c>
      <c r="D47" s="51" t="str">
        <f>A.Backend!O7</f>
        <v xml:space="preserve">		public const string Pages_Master_Cmm_LotCodeGrade = "Pages.Master.Cmm.LotCodeGrade";
		public const string Pages_Master_Cmm_LotCodeGrade_CreateEdit = "Pages.Master.Cmm.LotCodeGrade.CreateEdit";
		public const string Pages_Master_Cmm_LotCodeGrade_Delete = "Pages.Master.Cmm.LotCodeGrade.Delete";
</v>
      </c>
      <c r="E47" s="51" t="str">
        <f>A.Backend!N7</f>
        <v xml:space="preserve">		var perMstCmmLotCodeGrade = PARENTS.CreateChildPermission(AppPermissions.Pages_Master_Cmm_LotCodeGrade, L( "MasterCmmLotCodeGrade"));
		perMstCmmLotCodeGrade.CreateChildPermission(AppPermissions.Pages_Master_Cmm_LotCodeGrade_CreateEdit, L( "MasterCmmLotCodeGradeCreateEdit"));
		perMstCmmLotCodeGrade.CreateChildPermission(AppPermissions.Pages_Master_Cmm_LotCodeGrade_Delete, L( "MasterCmmLotCodeGradeDelete"));</v>
      </c>
      <c r="F47" s="51" t="str">
        <f>A.Backend!K7</f>
        <v>public virtual DbSet&lt;MstCmmLotCodeGrade&gt; MstCmmLotCodeGrades { get; set; }</v>
      </c>
      <c r="G47" s="51" t="str">
        <f ca="1">A.Backend!L7</f>
        <v xml:space="preserve">namespace vovina.Master.Cmm
{
	public class MstCmmLotCodeGradeConsts	
	{
		public const int MaxModelLength = 1;
		public const int MaxLotCodeLength = 2;
		public const int MaxCfcLength = 4;
		public const int MaxGradeLength = 2;
		public const int MaxGradeNameLength = 50;
		public const int MaxModelCodeLength = 50;
		public const int MaxModelVinLength = 50;
		public const int MaxIdLineLength = 3;
		public const int MaxSpec200Length = 200;
		public const int MaxSsNoLength = 2;
		public const int MaxKatashikiCtlLength = 20;
		public const int MaxKatashikiLength = 20;
		public const int MaxVehNameCdLength = 2;
		public const int MaxMarLotCodeLength = 50;
		public const int MaxTestNoLength = 10;
		public const int MaxVehicleIdLength = 2;
		public const int MaxProdSfxLength = 2;
		public const int MaxSalesSfxLength = 2;
		public const int MaxBrandLength = 2;
		public const int MaxCarSeriesLength = 18;
		public const int MaxTransmissionTypeLength = 2;
		public const int MaxEngineTypeLength = 10;
		public const int MaxFuelTypeLength = 2;
		public const int MaxGoshiCarLength = 1;
		public const int MaxIsActiveLength = 1;
		// Define Store Name: Format SP_ + &lt;Store Name&gt; = &lt;Store Name&gt;
	}
}
</v>
      </c>
      <c r="H47" s="51" t="str">
        <f ca="1">A.Backend!M7</f>
        <v xml:space="preserve">using Abp.Application.Services.Dto;
using System;
using System.ComponentModel.DataAnnotations;
namespace vovina.Master.Cmm.Dto
{
	public class MstCmmLotCodeGradeDto : EntityDto&lt;long?&gt;	
	{
		public virtual string Model { get; set; }
		public virtual string LotCode { get; set; }
		public virtual string Cfc { get; set; }
		public virtual string Grade { get; set; }
		public virtual string GradeName { get; set; }
		public virtual string ModelCode { get; set; }
		public virtual string ModelVin { get; set; }
		public virtual string IdLine { get; set; }
		public virtual string Spec200 { get; set; }
		public virtual string SsNo { get; set; }
		public virtual string KatashikiCtl { get; set; }
		public virtual string Katashiki { get; set; }
		public virtual string VehNameCd { get; set; }
		public virtual string MarLotCode { get; set; }
		public virtual string TestNo { get; set; }
		public virtual string VehicleId { get; set; }
		public virtual string ProdSfx { get; set; }
		public virtual string SalesSfx { get; set; }
		public virtual string Brand { get; set; }
		public virtual string CarSeries { get; set; }
		public virtual string TransmissionType { get; set; }
		public virtual string EngineType { get; set; }
		public virtual string FuelType { get; set; }
		public virtual string GoshiCar { get; set; }
		public virtual string IsActive { get; set; }
	}
	public class CreateOrEditMstCmmLotCodeGradeDto : EntityDto&lt;long?&gt;	
	{
		[StringLength(MstCmmLotCodeGradeConsts.MaxModelLength)]
		public virtual string Model { get; set; }
		[StringLength(MstCmmLotCodeGradeConsts.MaxLotCodeLength)]
		public virtual string LotCode { get; set; }
		[StringLength(MstCmmLotCodeGradeConsts.MaxCfcLength)]
		public virtual string Cfc { get; set; }
		[StringLength(MstCmmLotCodeGradeConsts.MaxGradeLength)]
		public virtual string Grade { get; set; }
		[StringLength(MstCmmLotCodeGradeConsts.MaxGradeNameLength)]
		public virtual string GradeName { get; set; }
		[StringLength(MstCmmLotCodeGradeConsts.MaxModelCodeLength)]
		public virtual string ModelCode { get; set; }
		[StringLength(MstCmmLotCodeGradeConsts.MaxModelVinLength)]
		public virtual string ModelVin { get; set; }
		[StringLength(MstCmmLotCodeGradeConsts.MaxIdLineLength)]
		public virtual string IdLine { get; set; }
		[StringLength(MstCmmLotCodeGradeConsts.MaxSpec200Length)]
		public virtual string Spec200 { get; set; }
		[StringLength(MstCmmLotCodeGradeConsts.MaxSsNoLength)]
		public virtual string SsNo { get; set; }
		[StringLength(MstCmmLotCodeGradeConsts.MaxKatashikiCtlLength)]
		public virtual string KatashikiCtl { get; set; }
		[StringLength(MstCmmLotCodeGradeConsts.MaxKatashikiLength)]
		public virtual string Katashiki { get; set; }
		[StringLength(MstCmmLotCodeGradeConsts.MaxVehNameCdLength)]
		public virtual string VehNameCd { get; set; }
		[StringLength(MstCmmLotCodeGradeConsts.MaxMarLotCodeLength)]
		public virtual string MarLotCode { get; set; }
		[StringLength(MstCmmLotCodeGradeConsts.MaxTestNoLength)]
		public virtual string TestNo { get; set; }
		[StringLength(MstCmmLotCodeGradeConsts.MaxVehicleIdLength)]
		public virtual string VehicleId { get; set; }
		[StringLength(MstCmmLotCodeGradeConsts.MaxProdSfxLength)]
		public virtual string ProdSfx { get; set; }
		[StringLength(MstCmmLotCodeGradeConsts.MaxSalesSfxLength)]
		public virtual string SalesSfx { get; set; }
		[StringLength(MstCmmLotCodeGradeConsts.MaxBrandLength)]
		public virtual string Brand { get; set; }
		[StringLength(MstCmmLotCodeGradeConsts.MaxCarSeriesLength)]
		public virtual string CarSeries { get; set; }
		[StringLength(MstCmmLotCodeGradeConsts.MaxTransmissionTypeLength)]
		public virtual string TransmissionType { get; set; }
		[StringLength(MstCmmLotCodeGradeConsts.MaxEngineTypeLength)]
		public virtual string EngineType { get; set; }
		[StringLength(MstCmmLotCodeGradeConsts.MaxFuelTypeLength)]
		public virtual string FuelType { get; set; }
		[StringLength(MstCmmLotCodeGradeConsts.MaxGoshiCarLength)]
		public virtual string GoshiCar { get; set; }
		[StringLength(MstCmmLotCodeGradeConsts.MaxIsActiveLength)]
		public virtual string IsActive { get; set; }
	}
	public class GetMstCmmLotCodeGradeInput : PagedAndSortedResultRequestDto	
	{
		public virtual string Model { get; set; }
		public virtual string LotCode { get; set; }
		public virtual string Cfc { get; set; }
		public virtual string Grade { get; set; }
		public virtual string GradeName { get; set; }
		public virtual string ModelCode { get; set; }
		public virtual string ModelVin { get; set; }
		public virtual string IdLine { get; set; }
		public virtual string Spec200 { get; set; }
		public virtual string SsNo { get; set; }
		public virtual string KatashikiCtl { get; set; }
		public virtual string Katashiki { get; set; }
		public virtual string VehNameCd { get; set; }
		public virtual string MarLotCode { get; set; }
		public virtual string TestNo { get; set; }
		public virtual string VehicleId { get; set; }
		public virtual string ProdSfx { get; set; }
		public virtual string SalesSfx { get; set; }
		public virtual string Brand { get; set; }
		public virtual string CarSeries { get; set; }
		public virtual string TransmissionType { get; set; }
		public virtual string EngineType { get; set; }
		public virtual string FuelType { get; set; }
		public virtual string GoshiCar { get; set; }
		public virtual string IsActive { get; set; }
	}
}
</v>
      </c>
      <c r="I47" s="51" t="str">
        <f ca="1">A.Backend!R7</f>
        <v xml:space="preserve">using Abp.Application.Services.Dto;
using System;
using System.ComponentModel.DataAnnotations;
namespace vovina.Master.Cmm.Dto
{
	public class MstCmmLotCodeGradeExportInput{
		public virtual string Model { get; set; }
		public virtual string LotCode { get; set; }
		public virtual string Cfc { get; set; }
		public virtual string Grade { get; set; }
		public virtual string GradeName { get; set; }
		public virtual string ModelCode { get; set; }
		public virtual string ModelVin { get; set; }
		public virtual string IdLine { get; set; }
		public virtual string Spec200 { get; set; }
		public virtual string SsNo { get; set; }
		public virtual string KatashikiCtl { get; set; }
		public virtual string Katashiki { get; set; }
		public virtual string VehNameCd { get; set; }
		public virtual string MarLotCode { get; set; }
		public virtual string TestNo { get; set; }
		public virtual string VehicleId { get; set; }
		public virtual string ProdSfx { get; set; }
		public virtual string SalesSfx { get; set; }
		public virtual string Brand { get; set; }
		public virtual string CarSeries { get; set; }
		public virtual string TransmissionType { get; set; }
		public virtual string EngineType { get; set; }
		public virtual string FuelType { get; set; }
		public virtual string GoshiCar { get; set; }
		public virtual string IsActive { get; set; }
	}
}
</v>
      </c>
      <c r="J47" s="51" t="str">
        <f>A.Backend!P7</f>
        <v xml:space="preserve">using Abp.Application.Services;
using Abp.Application.Services.Dto;
using System.Collections.Generic;using vovina.Dto;
using System.Threading.Tasks;
using vovina.Master.Cmm.Dto;
namespace vovina.Master.Cmm
{
	public interface IMstCmmLotCodeGradeAppService : IApplicationService
	{
		Task&lt;PagedResultDto&lt;MstCmmLotCodeGradeDto&gt;&gt; GetAll(GetMstCmmLotCodeGradeInput input);
		Task CreateOrEdit(CreateOrEditMstCmmLotCodeGradeDto input);
		Task Delete(EntityDto input);
	}
}
</v>
      </c>
      <c r="K47" s="51" t="str">
        <f>A.Backend!S7</f>
        <v xml:space="preserve">using Abp.Application.Services;
using Abp.Application.Services.Dto;
using System.Collections.Generic;using vovina.Dto;
using System.Threading.Tasks;
using vovina.Master.Cmm.Dto;
namespace vovina.Master.Cmm.Exporting
{
	public interface IMstCmmLotCodeGradeExcelExporter : IApplicationService
	{
		FileDto ExportToFile(List&lt;MstCmmLotCodeGradeDto&gt; mstcmmlotcodegrade);
	}
}
</v>
      </c>
      <c r="L47" s="51" t="str">
        <f ca="1">A.Backend!T7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MstCmmLotCodeGradeExcelExporter : NpoiExcelExporterBase, IMstCmmLotCodeGradeExcelExporter
    {
        public MstCmmLotCodeGradeExcelExporter(ITempFileCacheManager tempFileCacheManager) : base(tempFileCacheManager) { }
        public FileDto ExportToFile(List&lt;MstCmmLotCodeGradeDto&gt; lotcodegrade)
        {
            return CreateExcelPackage(
				"MasterCmmLotCodeGrade.xlsx",
				excelPackage =&gt;
				 {
					var sheet = excelPackage.CreateSheet("LotCodeGrade");
					AddHeader(
								sheet,
								("Model"),
								("LotCode"),
								("Cfc"),
								("Grade"),
								("GradeName"),
								("ModelCode"),
								("ModelVin"),
								("IdLine"),
								("Spec200"),
								("SsNo"),
								("KatashikiCtl"),
								("Katashiki"),
								("VehNameCd"),
								("MarLotCode"),
								("TestNo"),
								("VehicleId"),
								("ProdSfx"),
								("SalesSfx"),
								("Brand"),
								("CarSeries"),
								("TransmissionType"),
								("EngineType"),
								("FuelType"),
								("GoshiCar"),
								("IsActive"),
							   );
					AddObjects(
						 sheet, 1, lotcodegrade,                                       
								_ =&gt; _.Model,
								_ =&gt; _.LotCode,
								_ =&gt; _.Cfc,
								_ =&gt; _.Grade,
								_ =&gt; _.GradeName,
								_ =&gt; _.ModelCode,
								_ =&gt; _.ModelVin,
								_ =&gt; _.IdLine,
								_ =&gt; _.Spec200,
								_ =&gt; _.SsNo,
								_ =&gt; _.KatashikiCtl,
								_ =&gt; _.Katashiki,
								_ =&gt; _.VehNameCd,
								_ =&gt; _.MarLotCode,
								_ =&gt; _.TestNo,
								_ =&gt; _.VehicleId,
								_ =&gt; _.ProdSfx,
								_ =&gt; _.SalesSfx,
								_ =&gt; _.Brand,
								_ =&gt; _.CarSeries,
								_ =&gt; _.TransmissionType,
								_ =&gt; _.EngineType,
								_ =&gt; _.FuelType,
								_ =&gt; _.GoshiCar,
								_ =&gt; _.IsActive,
								);
			for (var i = 0; i &lt; 8; i++)
				{
					sheet.AutoSizeColumn(i);
				}
			});
        }
    }
}</v>
      </c>
      <c r="M47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[AbpAuthorize(AppPermissions.Pages_Master_Cmm_LotCodeGrade)]
    public class MstCmmLotCodeGradeAppService : vovinaAppServiceBase, IMstCmmLotCodeGradeAppService
    {
        private readonly IDapperRepository&lt;MstCmmLotCodeGrade, long&gt; _dapperRepo;
        private readonly IRepository&lt;MstCmmLotCodeGrade, long&gt; _repo;
        private readonly IMstCmmLotCodeGradeExcelExporter _calendarListExcelExporter;
        public MstCmmLotCodeGradeAppService(IRepository&lt;MstCmmLotCodeGrade,long&gt; repo, 
                                         IDapperRepository&lt;MstCmmLotCodeGrade,long&gt; dapperRepo,
                                        IMstCmmLotCodeGradeExcelExporter calendarListExcelExporter
            )
        {
            _repo = repo;
            _dapperRepo = dapperRepo;
            _calendarListExcelExporter = calendarListExcelExporter;
        }
        [AbpAuthorize(AppPermissions.Pages_Master_Cmm_LotCodeGrade_CreateEdit)]
        public async Task CreateOrEdit(CreateOrEditMstCmmLotCodeGradeDto input)
        {
            if (input.Id == null) await Create(input);
            else await Update(input);
        }
        //CREATE
        private async Task Create(CreateOrEditMstCmmLotCodeGradeDto input)
        {          
            var mainObj = ObjectMapper.Map&lt;MstCmmLotCodeGrade&gt;(input);
            await CurrentUnitOfWork.GetDbContext&lt;vovinaDbContext&gt;().AddAsync(mainObj);
        }
        // EDIT
        private async Task Update(CreateOrEditMstCmmLotCodeGradeDto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[AbpAuthorize(AppPermissions.Pages_Master_Cmm_LotCodeGrade_Delete)]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Task&lt;PagedResultDto&lt;MstCmmLotCodeGradeDto&gt;&gt; GetAll(GetMstCmmLotCodeGradeInput input)
        {
            var filtered = _repo.GetAll()
				.WhereIf(!string.IsNullOrWhiteSpace(input.Model), e =&gt; e.Model.Contains(input.Model))
				.WhereIf(!string.IsNullOrWhiteSpace(input.LotCode), e =&gt; e.LotCode.Contains(input.LotCode))
				.WhereIf(!string.IsNullOrWhiteSpace(input.Cfc), e =&gt; e.Cfc.Contains(input.Cfc))
				.WhereIf(!string.IsNullOrWhiteSpace(input.Grade), e =&gt; e.Grade.Contains(input.Grade))
				.WhereIf(!string.IsNullOrWhiteSpace(input.GradeName), e =&gt; e.GradeName.Contains(input.GradeName))
				.WhereIf(!string.IsNullOrWhiteSpace(input.ModelCode), e =&gt; e.ModelCode.Contains(input.ModelCode))
				.WhereIf(!string.IsNullOrWhiteSpace(input.ModelVin), e =&gt; e.ModelVin.Contains(input.ModelVin))
				.WhereIf(!string.IsNullOrWhiteSpace(input.IdLine), e =&gt; e.IdLine.Contains(input.IdLine))
				.WhereIf(!string.IsNullOrWhiteSpace(input.Spec200), e =&gt; e.Spec200.Contains(input.Spec200))
				.WhereIf(!string.IsNullOrWhiteSpace(input.SsNo), e =&gt; e.SsNo.Contains(input.SsNo))
				.WhereIf(!string.IsNullOrWhiteSpace(input.KatashikiCtl), e =&gt; e.KatashikiCtl.Contains(input.KatashikiCtl))
				.WhereIf(!string.IsNullOrWhiteSpace(input.Katashiki), e =&gt; e.Katashiki.Contains(input.Katashiki))
				.WhereIf(!string.IsNullOrWhiteSpace(input.VehNameCd), e =&gt; e.VehNameCd.Contains(input.VehNameCd))
				.WhereIf(!string.IsNullOrWhiteSpace(input.MarLotCode), e =&gt; e.MarLotCode.Contains(input.MarLotCode))
				.WhereIf(!string.IsNullOrWhiteSpace(input.TestNo), e =&gt; e.TestNo.Contains(input.TestNo))
				.WhereIf(!string.IsNullOrWhiteSpace(input.VehicleId), e =&gt; e.VehicleId.Contains(input.VehicleId))
				.WhereIf(!string.IsNullOrWhiteSpace(input.ProdSfx), e =&gt; e.ProdSfx.Contains(input.ProdSfx))
				.WhereIf(!string.IsNullOrWhiteSpace(input.SalesSfx), e =&gt; e.SalesSfx.Contains(input.SalesSfx))
				.WhereIf(!string.IsNullOrWhiteSpace(input.Brand), e =&gt; e.Brand.Contains(input.Brand))
				.WhereIf(!string.IsNullOrWhiteSpace(input.CarSeries), e =&gt; e.CarSeries.Contains(input.CarSeries))
				.WhereIf(!string.IsNullOrWhiteSpace(input.TransmissionType), e =&gt; e.TransmissionType.Contains(input.TransmissionType))
				.WhereIf(!string.IsNullOrWhiteSpace(input.EngineType), e =&gt; e.EngineType.Contains(input.EngineType))
				.WhereIf(!string.IsNullOrWhiteSpace(input.FuelType), e =&gt; e.FuelType.Contains(input.FuelType))
				.WhereIf(!string.IsNullOrWhiteSpace(input.GoshiCar), e =&gt; e.GoshiCar.Contains(input.GoshiCar))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MstCmmLotCodeGradeDto
                        {
							Id = o.Id,
							Model = o.Model,
							LotCode = o.LotCode,
							Cfc = o.Cfc,
							Grade = o.Grade,
							GradeName = o.GradeName,
							ModelCode = o.ModelCode,
							ModelVin = o.ModelVin,
							IdLine = o.IdLine,
							Spec200 = o.Spec200,
							SsNo = o.SsNo,
							KatashikiCtl = o.KatashikiCtl,
							Katashiki = o.Katashiki,
							VehNameCd = o.VehNameCd,
							MarLotCode = o.MarLotCode,
							TestNo = o.TestNo,
							VehicleId = o.VehicleId,
							ProdSfx = o.ProdSfx,
							SalesSfx = o.SalesSfx,
							Brand = o.Brand,
							CarSeries = o.CarSeries,
							TransmissionType = o.TransmissionType,
							EngineType = o.EngineType,
							FuelType = o.FuelType,
							GoshiCar = o.GoshiCar,
							IsActive = o.IsActive,
                        };
            var totalCount = await filtered.CountAsync();
			var paged = system.PageBy(input);
            return new PagedResultDto&lt;MstCmmLotCodeGradeDto&gt;(
                totalCount,
                 await paged.ToListAsync()
            );
        }
        public async Task&lt;FileDto&gt; GetLotCodeGradeToExcel(MstCmmLotCodeGradeExportInput input)
        {
            var query = from o in _repo.GetAll()
                        select new MstCmmLotCodeGradeDto
                        {
							Id = o.Id,
							Model = o.Model,
							LotCode = o.LotCode,
							Cfc = o.Cfc,
							Grade = o.Grade,
							GradeName = o.GradeName,
							ModelCode = o.ModelCode,
							ModelVin = o.ModelVin,
							IdLine = o.IdLine,
							Spec200 = o.Spec200,
							SsNo = o.SsNo,
							KatashikiCtl = o.KatashikiCtl,
							Katashiki = o.Katashiki,
							VehNameCd = o.VehNameCd,
							MarLotCode = o.MarLotCode,
							TestNo = o.TestNo,
							VehicleId = o.VehicleId,
							ProdSfx = o.ProdSfx,
							SalesSfx = o.SalesSfx,
							Brand = o.Brand,
							CarSeries = o.CarSeries,
							TransmissionType = o.TransmissionType,
							EngineType = o.EngineType,
							FuelType = o.FuelType,
							GoshiCar = o.GoshiCar,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_dapperRepo.ExecuteAsync(MstCmmLotCodeGradeConsts.SP_MST_WPT_CALENDAR_GENERATE);
       // }
    }
}</v>
      </c>
      <c r="N47" s="62" t="str">
        <f>A.Backend!U7</f>
        <v xml:space="preserve">  configuration.CreateMap&lt;MstCmmLotCodeGradeDto, MstCmmLotCodeGrade&gt;();
  configuration.CreateMap&lt;MstCmmLotCodeGrade, MstCmmLotCodeGradeDto&gt;();
  configuration.CreateMap&lt;CreateOrEditMstCmmLotCodeGradeDto, MstCmmLotCodeGrade&gt;();</v>
      </c>
    </row>
    <row r="48" spans="1:14" s="16" customFormat="1" ht="21.75" customHeight="1" x14ac:dyDescent="0.25">
      <c r="C48" s="65"/>
      <c r="D48" s="29"/>
      <c r="E48" s="29"/>
      <c r="F48" s="29"/>
      <c r="G48" s="29"/>
      <c r="H48" s="66"/>
      <c r="I48" s="67"/>
      <c r="J48" s="29"/>
      <c r="K48" s="29"/>
      <c r="M48" s="66"/>
    </row>
    <row r="49" spans="2:13" s="16" customFormat="1" ht="21.75" customHeight="1" x14ac:dyDescent="0.25">
      <c r="C49" s="29"/>
      <c r="D49" s="29"/>
      <c r="E49" s="29"/>
      <c r="F49" s="29"/>
      <c r="G49" s="29"/>
      <c r="H49" s="29"/>
      <c r="J49" s="29"/>
      <c r="K49" s="29"/>
      <c r="M49" s="29"/>
    </row>
    <row r="50" spans="2:13" s="16" customFormat="1" ht="21.75" customHeight="1" x14ac:dyDescent="0.25">
      <c r="C50" s="29"/>
      <c r="D50" s="29"/>
      <c r="E50" s="29"/>
      <c r="G50" s="29"/>
      <c r="H50" s="29"/>
    </row>
    <row r="51" spans="2:13" x14ac:dyDescent="0.25">
      <c r="B51" s="1" t="s">
        <v>73</v>
      </c>
    </row>
    <row r="52" spans="2:13" ht="21" x14ac:dyDescent="0.35">
      <c r="B52" t="str">
        <f>B.Frontend!B8</f>
        <v>lotcodegrade</v>
      </c>
      <c r="C52" s="72" t="str">
        <f>"create folder " &amp;B52</f>
        <v>create folder lotcodegrade</v>
      </c>
      <c r="D52" s="72"/>
      <c r="E52" s="72"/>
      <c r="F52" s="72"/>
      <c r="G52" s="72"/>
      <c r="H52" s="72"/>
      <c r="I52" s="72"/>
      <c r="J52" s="72"/>
      <c r="K52" s="73" t="s">
        <v>228</v>
      </c>
      <c r="L52" s="73"/>
      <c r="M52" s="31"/>
    </row>
    <row r="53" spans="2:13" s="28" customFormat="1" ht="18" customHeight="1" x14ac:dyDescent="0.25">
      <c r="B53" s="60" t="s">
        <v>229</v>
      </c>
      <c r="C53" s="31" t="str">
        <f>B.Frontend!H14</f>
        <v>lotcodegrade.component.ts</v>
      </c>
      <c r="D53" s="31" t="str">
        <f>B.Frontend!I14</f>
        <v>lotcodegrade.component.html</v>
      </c>
      <c r="E53" s="31" t="str">
        <f>B.Frontend!J14</f>
        <v>lotcodegrade.component.less</v>
      </c>
      <c r="F53" s="31" t="str">
        <f>B.Frontend!K14</f>
        <v>create-or-edit-lotcodegrade-modal.component.html</v>
      </c>
      <c r="G53" s="31" t="str">
        <f>B.Frontend!L14</f>
        <v>create-or-edit-lotcodegrade-modal.component.ts</v>
      </c>
      <c r="H53" s="31" t="str">
        <f>B.Frontend!M14</f>
        <v>create-or-edit-lotcodegrade-modal.component.less</v>
      </c>
      <c r="I53" s="31" t="str">
        <f>B.Frontend!N14</f>
        <v>lotcodegrade.module.ts</v>
      </c>
      <c r="J53" s="31" t="str">
        <f>B.Frontend!O14</f>
        <v>lotcodegrade-routing.module.ts</v>
      </c>
      <c r="K53" s="31" t="str">
        <f>B.Frontend!P14</f>
        <v>app.navigation.service.ts</v>
      </c>
      <c r="L53" s="31" t="str">
        <f>B.Frontend!Q14</f>
        <v>main.routing.module.ts</v>
      </c>
      <c r="M53" s="60" t="s">
        <v>232</v>
      </c>
    </row>
    <row r="54" spans="2:13" ht="21.75" customHeight="1" x14ac:dyDescent="0.25">
      <c r="B54" s="61" t="s">
        <v>226</v>
      </c>
      <c r="C54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MstCmmLotCodeGradeDto, MstCmmLotCodeGradeServiceProxy } from '@shared/service-proxies/service-proxies';
import { finalize } from 'rxjs/internal/operators/finalize';
import { CreateOrEditLotCodeGradeModalComponent } from './create-or-edit-lotcodegrade-modal.component';
import { DatePipe } from '@angular/common';
import { FileDownloadService } from '@shared/utils/file-download.service';
import ceil from 'lodash-es/ceil';
import { Paginator } from 'primeng/paginator';
@Component({
    templateUrl: './lotcodegrade.component.html',
    styleUrls: ['./lotcodegrade.component.less'],
})
export class LotCodeGradeComponent extends AppComponentBase implements OnInit {
    @ViewChild('createOrEditModalLotCodeGrade', { static: true }) createOrEditModalLotCodeGrade:| CreateOrEditLotCodeGradeModalComponent|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MstCmmLotCodeGradeDto = new MstCmmLotCodeGradeDto();
    saveSelectedRow: MstCmmLotCodeGradeDto = new MstCmmLotCodeGradeDto();
    datas: MstCmmLotCodeGradeDto = new MstCmmLotCodeGradeDto();
    isLoading: boolean = false;
    dataParams: GridParams | undefined;
    rowData: any[] = [];
    gridApi!: GridApi;
    rowSelection = 'multiple';
    filter: string = '';
	pipe = new DatePipe('en-US');
	frameworkComponents: FrameworkComponent;
    model : string = '' ; 
	lotCode : string = '' ; 
	cfc : string = '' ; 
	grade : string = '' ; 
	gradeName : string = '' ; 
	modelCode : string = '' ; 
	modelVin : string = '' ; 
	idLine : string = '' ; 
	spec200 : string = '' ; 
	ssNo : string = '' ; 
	katashikiCtl : string = '' ; 
	katashiki : string = '' ; 
	vehNameCd : string = '' ; 
	marLotCode : string = '' ; 
	testNo : string = '' ; 
	vehicleId : string = '' ; 
	prodSfx : string = '' ; 
	salesSfx : string = '' ; 
	brand : string = '' ; 
	carSeries : string = '' ; 
	transmissionType : string = '' ; 
	engineType : string = '' ; 
	fuelType : string = '' ; 
	goshiCar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MstCmmLotCodeGradeServiceProxy,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this.l('Model'),headerTooltip: this.l('Model'),field:  'model', cellClass: ['text-center'], width: 120, cellRenderer: 'agCellButtonComponent',
buttonDefTwo: { text: params =&gt; (params.data?.'model' == 'Y') ? 'Active' : 'Inactive',iconName: 'fa fa-circle',className: params =&gt; (params.data?.'model' == 'Y') ? 'btnActive' : 'btnInActive',},}
			{headerName: this.l('Lot Code'),headerTooltip: this.l('Lot Code'),field: 'lotCode',flex: 1},
			{headerName: this.l('Cfc'),headerTooltip: this.l('Cfc'),field: 'cfc',flex: 1},
			{headerName: this.l('Grade'),headerTooltip: this.l('Grade'),field: 'grade',flex: 1},
			{headerName: this.l('Grade Name'),headerTooltip: this.l('Grade Name'),field: 'gradeName',flex: 1},
			{headerName: this.l('Model Code'),headerTooltip: this.l('Model Code'),field: 'modelCode',flex: 1},
			{headerName: this.l('Model Vin'),headerTooltip: this.l('Model Vin'),field: 'modelVin',flex: 1},
			{headerName: this.l('Id Line'),headerTooltip: this.l('Id Line'),field: 'idLine',flex: 1},
			{headerName: this.l('Spec 200'),headerTooltip: this.l('Spec 200'),field: 'spec200',flex: 1},
			{headerName: this.l('Ss No'),headerTooltip: this.l('Ss No'),field: 'ssNo',flex: 1},
			{headerName: this.l('Katashiki Ctl'),headerTooltip: this.l('Katashiki Ctl'),field: 'katashikiCtl',flex: 1},
			{headerName: this.l('Katashiki'),headerTooltip: this.l('Katashiki'),field: 'katashiki',flex: 1},
			{headerName: this.l('Veh Name Cd'),headerTooltip: this.l('Veh Name Cd'),field: 'vehNameCd',flex: 1},
			{headerName: this.l('Mar Lot Code'),headerTooltip: this.l('Mar Lot Code'),field: 'marLotCode',flex: 1},
			{headerName: this.l('Test No'),headerTooltip: this.l('Test No'),field: 'testNo',flex: 1},
			{headerName: this.l('Vehicle Id'),headerTooltip: this.l('Vehicle Id'),field: 'vehicleId',flex: 1},
			{headerName: this.l('Prod Sfx'),headerTooltip: this.l('Prod Sfx'),field: 'prodSfx',flex: 1},
			{headerName: this.l('Sales Sfx'),headerTooltip: this.l('Sales Sfx'),field: 'salesSfx',flex: 1},
			{headerName: this.l('Brand'),headerTooltip: this.l('Brand'),field: 'brand',flex: 1},
			{headerName: this.l('Car Series'),headerTooltip: this.l('Car Series'),field: 'carSeries',flex: 1},
			{headerName: this.l('Transmission Type'),headerTooltip: this.l('Transmission Type'),field: 'transmissionType',flex: 1},
			{headerName: this.l('Engine Type'),headerTooltip: this.l('Engine Type'),field: 'engineType',flex: 1},
			{headerName: this.l('Fuel Type'),headerTooltip: this.l('Fuel Type'),field: 'fuelType',flex: 1},
			{headerName: this.l('Goshi Car'),headerTooltip: this.l('Goshi Car'),field:  'goshiCar', cellClass: ['text-center'], width: 120, cellRenderer: 'agCellButtonComponent',
buttonDefTwo: { text: params =&gt; (params.data?.'goshiCar' == 'Y') ? 'Active' : 'Inactive',iconName: 'fa fa-circle',className: params =&gt; (params.data?.'goshiCar'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this.model,
			this.lotCode,
			this.cfc,
			this.grade,
			this.gradeName,
			this.modelCode,
			this.modelVin,
			this.idLine,
			this.spec200,
			this.ssNo,
			this.katashikiCtl,
			this.katashiki,
			this.vehNameCd,
			this.marLotCode,
			this.testNo,
			this.vehicleId,
			this.prodSfx,
			this.salesSfx,
			this.brand,
			this.carSeries,
			this.transmissionType,
			this.engineType,
			this.fuelType,
			this.goshiCar,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this.model = '',
		this.lotCode = '',
		this.cfc = '',
		this.grade = '',
		this.gradeName = '',
		this.modelCode = '',
		this.modelVin = '',
		this.idLine = '',
		this.spec200 = '',
		this.ssNo = '',
		this.katashikiCtl = '',
		this.katashiki = '',
		this.vehNameCd = '',
		this.marLotCode = '',
		this.testNo = '',
		this.vehicleId = '',
		this.prodSfx = '',
		this.salesSfx = '',
		this.brand = '',
		this.carSeries = '',
		this.transmissionType = '',
		this.engineType = '',
		this.fuelType = '',
		this.goshiCar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this.model,
			this.lotCode,
			this.cfc,
			this.grade,
			this.gradeName,
			this.modelCode,
			this.modelVin,
			this.idLine,
			this.spec200,
			this.ssNo,
			this.katashikiCtl,
			this.katashiki,
			this.vehNameCd,
			this.marLotCode,
			this.testNo,
			this.vehicleId,
			this.prodSfx,
			this.salesSfx,
			this.brand,
			this.carSeries,
			this.transmissionType,
			this.engineType,
			this.fuelType,
			this.goshiCar,
			this.isActive,
			'',
            this.paginationParams.skipCount,
            this.paginationParams.pageSize
        );
    }
    onChangeRowSelection(params: { api: { getSelectedRows: () =&gt; MstCmmLotCodeGradeDto[] } }) {
        this.saveSelectedRow = params.api.getSelectedRows()[0] ?? new MstCmmLotCodeGradeDto();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MstCmmLotCodeGradeDto):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this._service.getLotCodeGradeToExcel(
			this.model,
			this.lotCode,
			this.cfc,
			this.grade,
			this.gradeName,
			this.modelCode,
			this.modelVin,
			this.idLine,
			this.spec200,
			this.ssNo,
			this.katashikiCtl,
			this.katashiki,
			this.vehNameCd,
			this.marLotCode,
			this.testNo,
			this.vehicleId,
			this.prodSfx,
			this.salesSfx,
			this.brand,
			this.carSeries,
			this.transmissionType,
			this.engineType,
			this.fuelType,
			this.goshiCar,
			this.isActive,
            )
            .subscribe((result) =&gt; {
                this._fileDownloadService.downloadTempFile(result);
        });
    }
}</v>
      </c>
      <c r="D54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Common Lot Code Grade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[(ngModel)]='lotCode' name='lotCode'
									class='form-control' [placeholder]="l('Lot Code')"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[(ngModel)]='gradeName' name='gradeName'
									class='form-control' [placeholder]="l('Grade Name')"
									type='text' (keyup.enter)='searchDatas()'&gt;
								&lt;/div&gt;
								&lt;div class='input-search'&gt;
									&lt;input [(ngModel)]='modelCode' name='modelCode'
									class='form-control' [placeholder]="l('Model Code')"
									type='text' (keyup.enter)='searchDatas()'&gt;
								&lt;/div&gt;
								&lt;div class='input-search'&gt;
									&lt;input [(ngModel)]='modelVin' name='modelVin'
									class='form-control' [placeholder]="l('Model Vin')"
									type='text' (keyup.enter)='searchDatas()'&gt;
								&lt;/div&gt;
								&lt;div class='input-search'&gt;
									&lt;input [(ngModel)]='idLine' name='idLine'
									class='form-control' [placeholder]="l('Id Line')"
									type='text' (keyup.enter)='searchDatas()'&gt;
								&lt;/div&gt;
								&lt;div class='input-search'&gt;
									&lt;input [(ngModel)]='spec200' name='spec200'
									class='form-control' [placeholder]="l('Spec 200')"
									type='text' (keyup.enter)='searchDatas()'&gt;
								&lt;/div&gt;
								&lt;div class='input-search'&gt;
									&lt;input [(ngModel)]='ssNo' name='ssNo'
									class='form-control' [placeholder]="l('Ss No')"
									type='text' (keyup.enter)='searchDatas()'&gt;
								&lt;/div&gt;
								&lt;div class='input-search'&gt;
									&lt;input [(ngModel)]='katashikiCtl' name='katashikiCtl'
									class='form-control' [placeholder]="l('Katashiki Ctl')"
									type='text' (keyup.enter)='searchDatas()'&gt;
								&lt;/div&gt;
								&lt;div class='input-search'&gt;
									&lt;input [(ngModel)]='katashiki' name='katashiki'
									class='form-control' [placeholder]="l('Katashiki')"
									type='text' (keyup.enter)='searchDatas()'&gt;
								&lt;/div&gt;
								&lt;div class='input-search'&gt;
									&lt;input [(ngModel)]='vehNameCd' name='vehNameCd'
									class='form-control' [placeholder]="l('Veh Name Cd')"
									type='text' (keyup.enter)='searchDatas()'&gt;
								&lt;/div&gt;
								&lt;div class='input-search'&gt;
									&lt;input [(ngModel)]='marLotCode' name='marLotCode'
									class='form-control' [placeholder]="l('Mar Lot Code')"
									type='text' (keyup.enter)='searchDatas()'&gt;
								&lt;/div&gt;
								&lt;div class='input-search'&gt;
									&lt;input [(ngModel)]='testNo' name='testNo'
									class='form-control' [placeholder]="l('Test No')"
									type='text' (keyup.enter)='searchDatas()'&gt;
								&lt;/div&gt;
								&lt;div class='input-search'&gt;
									&lt;input [(ngModel)]='vehicleId' name='vehicleId'
									class='form-control' [placeholder]="l('Vehicle Id')"
									type='text' (keyup.enter)='searchDatas()'&gt;
								&lt;/div&gt;
								&lt;div class='input-search'&gt;
									&lt;input [(ngModel)]='prodSfx' name='prodSfx'
									class='form-control' [placeholder]="l('Prod Sfx')"
									type='text' (keyup.enter)='searchDatas()'&gt;
								&lt;/div&gt;
								&lt;div class='input-search'&gt;
									&lt;input [(ngModel)]='salesSfx' name='salesSfx'
									class='form-control' [placeholder]="l('Sales Sfx')"
									type='text' (keyup.enter)='searchDatas()'&gt;
								&lt;/div&gt;
								&lt;div class='input-search'&gt;
									&lt;input [(ngModel)]='brand' name='brand'
									class='form-control' [placeholder]="l('Brand')"
									type='text' (keyup.enter)='searchDatas()'&gt;
								&lt;/div&gt;
								&lt;div class='input-search'&gt;
									&lt;input [(ngModel)]='carSeries' name='carSeries'
									class='form-control' [placeholder]="l('Car Series')"
									type='text' (keyup.enter)='searchDatas()'&gt;
								&lt;/div&gt;
								&lt;div class='input-search'&gt;
									&lt;input [(ngModel)]='transmissionType' name='transmissionType'
									class='form-control' [placeholder]="l('Transmission Type')"
									type='text' (keyup.enter)='searchDatas()'&gt;
								&lt;/div&gt;
								&lt;div class='input-search'&gt;
									&lt;input [(ngModel)]='engineType' name='engineType'
									class='form-control' [placeholder]="l('Engine Type')"
									type='text' (keyup.enter)='searchDatas()'&gt;
								&lt;/div&gt;
								&lt;div class='input-search'&gt;
									&lt;input [(ngModel)]='fuelType' name='fuelType'
									class='form-control' [placeholder]="l('Fuel Type')"
									type='text' (keyup.enter)='searchDatas()'&gt;
								&lt;/div&gt;
								&lt;div class='input-search'&gt;
									&lt;input [(ngModel)]='goshiCar' name='goshiCar'
									class='form-control' [placeholder]="l('Goshi Car')"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(click)="createOrEditModalLotCodeGrade.show()"&gt;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(click)="createOrEditModalLotCodeGrade.show(selectedRow)"&gt;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&lt;create-or-edit-lotcodegrade-modal
    #createOrEditModalLotCodeGrade
    (modalSave)="callBackDataGrid(dataParams)"
    (modalClose)="onChangeRowSelection(dataParams)"
&gt;
&lt;/create-or-edit-lotcodegrade-modal&gt;</v>
      </c>
      <c r="E54" s="49" t="str">
        <f>B.Frontend!J10</f>
        <v>.input-search{
    width: 250px;
    border-radius: 10px;
    margin-left: 10px;
}
.btn-search{
    width: 50px;
    margin-left: 10px;
}</v>
      </c>
      <c r="F54" s="49" t="str">
        <f ca="1">B.Frontend!K10</f>
        <v>&lt;div bsModal #createOrEditModalLotCodeGrade="bs-modal"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LotCodeGrade')}}&lt;/h3&gt;
                    &lt;h3 *ngIf="!rowdata.id"&gt;{{('Create New LotCodeGrade')}}&lt;/h3&gt;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title'&gt;Model&lt;/label&gt;
						&lt;new-checkbox [(ngModel)]='_model' name='model' className='col-md-10' &gt; &lt;/new-checkbox&gt;
					&lt;/div&gt;
					&lt;div class='col-md-12 form-group row'&gt;
						&lt;label class='col-md-2 form-control title'&gt;Lot Code&lt;/label&gt;
						&lt;input type='text' class='col-md-10 form-control input-text' name='LotCode' [(ngModel)]='rowdata.lotCode'&gt;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title'&gt;Grade Name&lt;/label&gt;
						&lt;input type='text' class='col-md-10 form-control input-text' name='GradeName' [(ngModel)]='rowdata.gradeName'&gt;
					&lt;/div&gt;
					&lt;div class='col-md-12 form-group row'&gt;
						&lt;label class='col-md-2 form-control title'&gt;Model Code&lt;/label&gt;
						&lt;input type='text' class='col-md-10 form-control input-text' name='ModelCode' [(ngModel)]='rowdata.modelCode'&gt;
					&lt;/div&gt;
					&lt;div class='col-md-12 form-group row'&gt;
						&lt;label class='col-md-2 form-control title'&gt;Model Vin&lt;/label&gt;
						&lt;input type='text' class='col-md-10 form-control input-text' name='ModelVin' [(ngModel)]='rowdata.modelVin'&gt;
					&lt;/div&gt;
					&lt;div class='col-md-12 form-group row'&gt;
						&lt;label class='col-md-2 form-control title'&gt;Id Line&lt;/label&gt;
						&lt;input type='text' class='col-md-10 form-control input-text' name='IdLine' [(ngModel)]='rowdata.idLine'&gt;
					&lt;/div&gt;
					&lt;div class='col-md-12 form-group row'&gt;
						&lt;label class='col-md-2 form-control title'&gt;Spec 200&lt;/label&gt;
						&lt;input type='text' class='col-md-10 form-control input-text' name='Spec200' [(ngModel)]='rowdata.spec200'&gt;
					&lt;/div&gt;
					&lt;div class='col-md-12 form-group row'&gt;
						&lt;label class='col-md-2 form-control title'&gt;Ss No&lt;/label&gt;
						&lt;input type='text' class='col-md-10 form-control input-text' name='SsNo' [(ngModel)]='rowdata.ssNo'&gt;
					&lt;/div&gt;
					&lt;div class='col-md-12 form-group row'&gt;
						&lt;label class='col-md-2 form-control title'&gt;Katashiki Ctl&lt;/label&gt;
						&lt;input type='text' class='col-md-10 form-control input-text' name='KatashikiCtl' [(ngModel)]='rowdata.katashikiCtl'&gt;
					&lt;/div&gt;
					&lt;div class='col-md-12 form-group row'&gt;
						&lt;label class='col-md-2 form-control title'&gt;Katashiki&lt;/label&gt;
						&lt;input type='text' class='col-md-10 form-control input-text' name='Katashiki' [(ngModel)]='rowdata.katashiki'&gt;
					&lt;/div&gt;
					&lt;div class='col-md-12 form-group row'&gt;
						&lt;label class='col-md-2 form-control title'&gt;Veh Name Cd&lt;/label&gt;
						&lt;input type='text' class='col-md-10 form-control input-text' name='VehNameCd' [(ngModel)]='rowdata.vehNameCd'&gt;
					&lt;/div&gt;
					&lt;div class='col-md-12 form-group row'&gt;
						&lt;label class='col-md-2 form-control title'&gt;Mar Lot Code&lt;/label&gt;
						&lt;input type='text' class='col-md-10 form-control input-text' name='MarLotCode' [(ngModel)]='rowdata.marLotCode'&gt;
					&lt;/div&gt;
					&lt;div class='col-md-12 form-group row'&gt;
						&lt;label class='col-md-2 form-control title'&gt;Test No&lt;/label&gt;
						&lt;input type='text' class='col-md-10 form-control input-text' name='TestNo' [(ngModel)]='rowdata.testNo'&gt;
					&lt;/div&gt;
					&lt;div class='col-md-12 form-group row'&gt;
						&lt;label class='col-md-2 form-control title'&gt;Vehicle Id&lt;/label&gt;
						&lt;input type='text' class='col-md-10 form-control input-text' name='VehicleId' [(ngModel)]='rowdata.vehicleId'&gt;
					&lt;/div&gt;
					&lt;div class='col-md-12 form-group row'&gt;
						&lt;label class='col-md-2 form-control title'&gt;Prod Sfx&lt;/label&gt;
						&lt;input type='text' class='col-md-10 form-control input-text' name='ProdSfx' [(ngModel)]='rowdata.prodSfx'&gt;
					&lt;/div&gt;
					&lt;div class='col-md-12 form-group row'&gt;
						&lt;label class='col-md-2 form-control title'&gt;Sales Sfx&lt;/label&gt;
						&lt;input type='text' class='col-md-10 form-control input-text' name='SalesSfx' [(ngModel)]='rowdata.salesSfx'&gt;
					&lt;/div&gt;
					&lt;div class='col-md-12 form-group row'&gt;
						&lt;label class='col-md-2 form-control title'&gt;Brand&lt;/label&gt;
						&lt;input type='text' class='col-md-10 form-control input-text' name='Brand' [(ngModel)]='rowdata.brand'&gt;
					&lt;/div&gt;
					&lt;div class='col-md-12 form-group row'&gt;
						&lt;label class='col-md-2 form-control title'&gt;Car Series&lt;/label&gt;
						&lt;input type='text' class='col-md-10 form-control input-text' name='CarSeries' [(ngModel)]='rowdata.carSeries'&gt;
					&lt;/div&gt;
					&lt;div class='col-md-12 form-group row'&gt;
						&lt;label class='col-md-2 form-control title'&gt;Transmission Type&lt;/label&gt;
						&lt;input type='text' class='col-md-10 form-control input-text' name='TransmissionType' [(ngModel)]='rowdata.transmissionType'&gt;
					&lt;/div&gt;
					&lt;div class='col-md-12 form-group row'&gt;
						&lt;label class='col-md-2 form-control title'&gt;Engine Type&lt;/label&gt;
						&lt;input type='text' class='col-md-10 form-control input-text' name='EngineType' [(ngModel)]='rowdata.engineType'&gt;
					&lt;/div&gt;
					&lt;div class='col-md-12 form-group row'&gt;
						&lt;label class='col-md-2 form-control title'&gt;Fuel Type&lt;/label&gt;
						&lt;input type='text' class='col-md-10 form-control input-text' name='FuelType' [(ngModel)]='rowdata.fuelType'&gt;
					&lt;/div&gt;
					&lt;div class='col-md-12 form-group row'&gt;
						&lt;label class='col-md-2 form-control title'&gt;Goshi Car&lt;/label&gt;
						&lt;new-checkbox [(ngModel)]='_goshiCar' name='goshiCar'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54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CreateOrEditMstCmmLotCodeGradeDto, MstCmmLotCodeGradeServiceProxy } from '@shared/service-proxies/service-proxies';
import { BsDatepickerDirective } from 'ngx-bootstrap/datepicker';
@Component({
    selector: 'create-or-edit-lotcodegrade-modal',
    templateUrl: './create-or-edit-lotcodegrade-modal.component.html',
    styleUrls: ['./create-or-edit-lotcodegrade-modal.component.less']
    })
export class CreateOrEditLotCodeGradeModalComponent extends AppComponentBase {
    @ViewChild('createOrEditModalLotCodeGrade',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CreateOrEditMstCmmLotCodeGradeDto = new CreateOrEditMstCmmLotCodeGradeDto();
    active: boolean = false;
    saving: boolean = false;
    _model
goshiCar
isActive: boolean;
    constructor(
        injector: Injector,
        private _mstwptLotCodeGradeService: MstCmmLotCodeGradeServiceProxy,
    ) 
    {
        super(injector);
    }
    show(rowdata?: CreateOrEditMstCmmLotCodeGradeDto): void {
        if (!rowdata) this.rowdata = new CreateOrEditMstCmmLotCodeGradeDto();
        else this.rowdata = rowdata;
        this._model
goshiCar
isActive = (this.rowdata.model
goshiCar
isActive == "N")? false: true;
        this.active = true;
        this.modal.show();
    } 
    changeActive(event){
        this._model
goshiCar
isActive = event.target.checked;
    }
    save(): void {
    this.saving = true; 
    this.rowdata.model
goshiCar
isActive = (this._model
goshiCar
isActive == true) ? 'Y' : 'N'
    this._mstwptLotCodeGradeService.createOrEdit(this.rowdata)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54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54" s="49" t="str">
        <f>B.Frontend!N10</f>
        <v>import {NgModule} from '@angular/core';
import {AppSharedModule} from '@app/shared/app-shared.module';
import { LotCodeGradeRoutingModule } from './lotcodegrade-routing.module';
import { LotCodeGradeComponent } from './lotcodegrade.component';
import { CreateOrEditLotCodeGradeModalComponent } from './create-or-edit-lotcodegrade-modal.component';
@NgModule({
    declarations: [
       LotCodeGradeComponent, 
        CreateOrEditLotCodeGradeModalComponent
    ],
    imports: [
        AppSharedModule, LotCodeGradeRoutingModule]
})
export class LotCodeGradeModule {}</v>
      </c>
      <c r="J54" s="49" t="str">
        <f>B.Frontend!O10</f>
        <v>import {NgModule} from '@angular/core';
import {RouterModule, Routes} from '@angular/router';
import { LotCodeGradeComponent } from './lotcodegrade.component';
const routes: Routes = [{
    path: '',
    component: LotCodeGradeComponent,
    pathMatch: 'full'
}];
@NgModule({
    imports: [RouterModule.forChild(routes)],
    exports: [RouterModule],
})
export class LotCodeGradeRoutingModule {}</v>
      </c>
      <c r="K54" s="49" t="str">
        <f>B.Frontend!P10</f>
        <v xml:space="preserve"> new AppMenuItem("LotCodeGrade", "Pages.Master.Cmm.LotCodeGrade", "flaticon-book",   "/app/main/master/cmm/lotcodegrade"),</v>
      </c>
      <c r="L54" s="50" t="str">
        <f>B.Frontend!Q10</f>
        <v>{
    path: 'master/cmm/lotcodegrade',
    loadChildren: () =&gt; import('./master/cmm/lotcodegrade/lotcodegrade.module').then(m =&gt; m.LotCodeGradeModule),
    data: { permission: 'Pages.Master.Cmm.LotCodeGrade' }
},</v>
      </c>
      <c r="M54" s="48" t="str">
        <f>B.Frontend!R10</f>
        <v>ApiServiceProxies.MstCmmLotCodeGradeServiceProxy,</v>
      </c>
    </row>
    <row r="56" spans="2:13" x14ac:dyDescent="0.25">
      <c r="B56" s="1" t="s">
        <v>75</v>
      </c>
    </row>
  </sheetData>
  <mergeCells count="2">
    <mergeCell ref="C52:J52"/>
    <mergeCell ref="K52:L5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35"/>
  <sheetViews>
    <sheetView tabSelected="1" topLeftCell="A6" workbookViewId="0">
      <pane xSplit="1" topLeftCell="B1" activePane="topRight" state="frozen"/>
      <selection pane="topRight" activeCell="A32" sqref="A32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44.140625" style="8" bestFit="1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vovina.Master.Cmm.Dto;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304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306</v>
      </c>
      <c r="C3" s="10" t="s">
        <v>43</v>
      </c>
      <c r="D3" s="10" t="s">
        <v>44</v>
      </c>
      <c r="E3" s="10" t="s">
        <v>39</v>
      </c>
      <c r="F3" s="11" t="str">
        <f>"J"&amp;COUNTA($A:$A)</f>
        <v>J33</v>
      </c>
      <c r="G3" s="4" t="s">
        <v>57</v>
      </c>
      <c r="H3" s="10" t="str">
        <f>"I"&amp;COUNTA($A:$A)</f>
        <v>I33</v>
      </c>
      <c r="I3" s="10" t="str">
        <f>REPT(CHAR(9),2)&amp;"[Required]"&amp;"
"</f>
        <v xml:space="preserve">		[Required]
</v>
      </c>
      <c r="J3" s="11" t="str">
        <f>"L"&amp;COUNTA($A:$A)</f>
        <v>L33</v>
      </c>
      <c r="K3" s="5" t="s">
        <v>56</v>
      </c>
      <c r="L3" s="11" t="str">
        <f>"M"&amp;COUNTA($A:$A)</f>
        <v>M33</v>
      </c>
      <c r="M3" s="11" t="str">
        <f>"N"&amp;COUNTA($A:$A)</f>
        <v>N33</v>
      </c>
      <c r="N3" s="11" t="str">
        <f>"O"&amp;COUNTA($A:$A)</f>
        <v>O33</v>
      </c>
      <c r="O3" s="11" t="str">
        <f>"P"&amp;COUNTA($A:$A)</f>
        <v>P33</v>
      </c>
      <c r="Q3" s="11" t="str">
        <f>RIGHT(B2,(LEN(B2)-FIND(".",B2,1)))</f>
        <v>Cmm</v>
      </c>
      <c r="R3" s="32" t="str">
        <f>REPT(CHAR(9),1)&amp;"public class "&amp;B3&amp;"ExportInput"&amp;C3</f>
        <v xml:space="preserve">	public class MstCmmLotCodeGradeExportInput{
</v>
      </c>
      <c r="S3" s="11" t="str">
        <f>"namespace "&amp;$B$6&amp;".Exporting
"&amp;$C$3</f>
        <v xml:space="preserve">namespace vovina.Master.Cmm.Exporting
{
</v>
      </c>
      <c r="T3" s="11" t="str">
        <f>"T"&amp;COUNTA($A:$A)</f>
        <v>T33</v>
      </c>
      <c r="V3" s="11" t="str">
        <f>"V"&amp;COUNTA($A:$A)</f>
        <v>V33</v>
      </c>
      <c r="W3" s="10" t="str">
        <f>"W"&amp;COUNTA($A:$A)</f>
        <v>W33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305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vovina.Master.Cmm</v>
      </c>
      <c r="C6" s="11" t="str">
        <f>"namespace "&amp;$B$6&amp;"
"&amp;$C$3</f>
        <v xml:space="preserve">namespace vovina.Master.Cmm
{
</v>
      </c>
      <c r="D6" s="11" t="str">
        <f>REPT(CHAR(9),1)&amp;"public class "&amp;B3&amp;G3&amp;REPT(CHAR(9),1)&amp;"
"&amp;REPT(CHAR(9),1)&amp;C3</f>
        <v xml:space="preserve">	public class MstCmmLotCodeGrade: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MstCmmLotCodeGradeConsts	
	{
</v>
      </c>
      <c r="F6" s="11" t="str">
        <f>REPT(CHAR(9),1)&amp;"public class "&amp;B3&amp;"Dto"&amp;K3&amp;REPT(CHAR(9),1)&amp;"
"&amp;REPT(CHAR(9),1)&amp;C3</f>
        <v xml:space="preserve">	public class MstCmmLotCodeGradeDto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CreateOrEditMstCmmLotCodeGradeDto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GetMstCmmLotCodeGradeInput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MstCmmLotCodeGrade</v>
      </c>
      <c r="C7" s="11" t="str">
        <f>REPT(CHAR(9),1)&amp;"[Table("""&amp;B7&amp;""")]"&amp;"
"</f>
        <v xml:space="preserve">	[Table("MstCmmLotCodeGrade")]
</v>
      </c>
      <c r="D7" s="11"/>
      <c r="E7" s="11"/>
      <c r="F7" s="11"/>
      <c r="G7" s="11"/>
      <c r="H7" s="11"/>
      <c r="I7" s="11"/>
      <c r="J7" s="6" t="str">
        <f ca="1">SUBSTITUTE(SUBSTITUTE((B1&amp;C6&amp;C7&amp;K35&amp;D6&amp;I35&amp;E3&amp;J35&amp;""&amp;REPT(CHAR(9),1)&amp;D3&amp;D3),"WorkingPattern",$Q$3),"Master",$B$4)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vovina.Master.Cmm
{
	[Table("MstCmmLotCodeGrade")]
	[Index(nameof(Model), Name="IX_MstCmmLotCodeGrade_Model")]
	[Index(nameof(LotCode), Name="IX_MstCmmLotCodeGrade_LotCode")]
	[Index(nameof(ProdSfx), Name="IX_MstCmmLotCodeGrade_ProdSfx")]
	[Index(nameof(SalesSfx), Name="IX_MstCmmLotCodeGrade_SalesSfx")]
	[Index(nameof(IsActive), Name="IX_MstCmmLotCodeGrade_IsActive")]	public class MstCmmLotCodeGrade: FullAuditedEntity&lt;long&gt;, IEntity&lt;long&gt;	
	{
		public const int MaxModelLength = 1;
		public const int MaxLotCodeLength = 2;
		public const int MaxCfcLength = 4;
		public const int MaxGradeLength = 2;
		public const int MaxGradeNameLength = 50;
		public const int MaxModelCodeLength = 50;
		public const int MaxModelVinLength = 50;
		public const int MaxIdLineLength = 3;
		public const int MaxSpec200Length = 200;
		public const int MaxSsNoLength = 2;
		public const int MaxKatashikiCtlLength = 20;
		public const int MaxKatashikiLength = 20;
		public const int MaxVehNameCdLength = 2;
		public const int MaxMarLotCodeLength = 50;
		public const int MaxTestNoLength = 10;
		public const int MaxVehicleIdLength = 2;
		public const int MaxProdSfxLength = 2;
		public const int MaxSalesSfxLength = 2;
		public const int MaxBrandLength = 2;
		public const int MaxCarSeriesLength = 18;
		public const int MaxTransmissionTypeLength = 2;
		public const int MaxEngineTypeLength = 10;
		public const int MaxFuelTypeLength = 2;
		public const int MaxGoshiCarLength = 1;
		public const int MaxIsActiveLength = 1;
		[StringLength(MaxModelLength)]
		public virtual string Model { get; set; }
		[StringLength(MaxLotCodeLength)]
		public virtual string LotCode { get; set; }
		[StringLength(MaxCfcLength)]
		public virtual string Cfc { get; set; }
		[StringLength(MaxGradeLength)]
		public virtual string Grade { get; set; }
		[StringLength(MaxGradeNameLength)]
		public virtual string GradeName { get; set; }
		[StringLength(MaxModelCodeLength)]
		public virtual string ModelCode { get; set; }
		[StringLength(MaxModelVinLength)]
		public virtual string ModelVin { get; set; }
		[StringLength(MaxIdLineLength)]
		public virtual string IdLine { get; set; }
		[StringLength(MaxSpec200Length)]
		public virtual string Spec200 { get; set; }
		[StringLength(MaxSsNoLength)]
		public virtual string SsNo { get; set; }
		[StringLength(MaxKatashikiCtlLength)]
		public virtual string KatashikiCtl { get; set; }
		[StringLength(MaxKatashikiLength)]
		public virtual string Katashiki { get; set; }
		[StringLength(MaxVehNameCdLength)]
		public virtual string VehNameCd { get; set; }
		[StringLength(MaxMarLotCodeLength)]
		public virtual string MarLotCode { get; set; }
		[StringLength(MaxTestNoLength)]
		public virtual string TestNo { get; set; }
		[StringLength(MaxVehicleIdLength)]
		public virtual string VehicleId { get; set; }
		[StringLength(MaxProdSfxLength)]
		public virtual string ProdSfx { get; set; }
		[StringLength(MaxSalesSfxLength)]
		public virtual string SalesSfx { get; set; }
		[StringLength(MaxBrandLength)]
		public virtual string Brand { get; set; }
		[StringLength(MaxCarSeriesLength)]
		public virtual string CarSeries { get; set; }
		[StringLength(MaxTransmissionTypeLength)]
		public virtual string TransmissionType { get; set; }
		[StringLength(MaxEngineTypeLength)]
		public virtual string EngineType { get; set; }
		[StringLength(MaxFuelTypeLength)]
		public virtual string FuelType { get; set; }
		[StringLength(MaxGoshiCarLength)]
		public virtual string GoshiCar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DbSet&lt;MstCmmLotCodeGrade&gt; MstCmmLotCodeGrades { get; set; }</v>
      </c>
      <c r="L7" t="str">
        <f ca="1">SUBSTITUTE(SUBSTITUTE((C6&amp;E6&amp;I35&amp;"
"&amp;REPT(CHAR(9),2)&amp;"// Define Store Name: Format SP_ + &lt;Store Name&gt; = &lt;Store Name&gt;
"&amp;E3&amp;REPT(CHAR(9),1)&amp;D3&amp;D3),"WorkingPattern",$Q$3),"Master",$B$4)</f>
        <v xml:space="preserve">namespace vovina.Master.Cmm
{
	public class MstCmmLotCodeGradeConsts	
	{
		public const int MaxModelLength = 1;
		public const int MaxLotCodeLength = 2;
		public const int MaxCfcLength = 4;
		public const int MaxGradeLength = 2;
		public const int MaxGradeNameLength = 50;
		public const int MaxModelCodeLength = 50;
		public const int MaxModelVinLength = 50;
		public const int MaxIdLineLength = 3;
		public const int MaxSpec200Length = 200;
		public const int MaxSsNoLength = 2;
		public const int MaxKatashikiCtlLength = 20;
		public const int MaxKatashikiLength = 20;
		public const int MaxVehNameCdLength = 2;
		public const int MaxMarLotCodeLength = 50;
		public const int MaxTestNoLength = 10;
		public const int MaxVehicleIdLength = 2;
		public const int MaxProdSfxLength = 2;
		public const int MaxSalesSfxLength = 2;
		public const int MaxBrandLength = 2;
		public const int MaxCarSeriesLength = 18;
		public const int MaxTransmissionTypeLength = 2;
		public const int MaxEngineTypeLength = 10;
		public const int MaxFuelTypeLength = 2;
		public const int MaxGoshiCarLength = 1;
		public const int MaxIsActiveLength = 1;
		// Define Store Name: Format SP_ + &lt;Store Name&gt; = &lt;Store Name&gt;
	}
}
</v>
      </c>
      <c r="M7" t="str">
        <f ca="1">SUBSTITUTE(SUBSTITUTE((C1&amp;"namespace "&amp;B6&amp;".Dto"&amp;E3&amp;C3&amp;F6&amp;M35&amp;E3&amp;REPT(CHAR(9),1)&amp;D3&amp;G6&amp;N35&amp;REPT(CHAR(9),1)&amp;D3&amp;H6&amp;O35&amp;"
"&amp;REPT(CHAR(9),1)&amp;D3&amp;D3),"WorkingPattern",$Q$3),"Master",$B$4)</f>
        <v xml:space="preserve">using Abp.Application.Services.Dto;
using System;
using System.ComponentModel.DataAnnotations;
namespace vovina.Master.Cmm.Dto
{
	public class MstCmmLotCodeGradeDto : EntityDto&lt;long?&gt;	
	{
		public virtual string Model { get; set; }
		public virtual string LotCode { get; set; }
		public virtual string Cfc { get; set; }
		public virtual string Grade { get; set; }
		public virtual string GradeName { get; set; }
		public virtual string ModelCode { get; set; }
		public virtual string ModelVin { get; set; }
		public virtual string IdLine { get; set; }
		public virtual string Spec200 { get; set; }
		public virtual string SsNo { get; set; }
		public virtual string KatashikiCtl { get; set; }
		public virtual string Katashiki { get; set; }
		public virtual string VehNameCd { get; set; }
		public virtual string MarLotCode { get; set; }
		public virtual string TestNo { get; set; }
		public virtual string VehicleId { get; set; }
		public virtual string ProdSfx { get; set; }
		public virtual string SalesSfx { get; set; }
		public virtual string Brand { get; set; }
		public virtual string CarSeries { get; set; }
		public virtual string TransmissionType { get; set; }
		public virtual string EngineType { get; set; }
		public virtual string FuelType { get; set; }
		public virtual string GoshiCar { get; set; }
		public virtual string IsActive { get; set; }
	}
	public class CreateOrEditMstCmmLotCodeGradeDto : EntityDto&lt;long?&gt;	
	{
		[StringLength(MstCmmLotCodeGradeConsts.MaxModelLength)]
		public virtual string Model { get; set; }
		[StringLength(MstCmmLotCodeGradeConsts.MaxLotCodeLength)]
		public virtual string LotCode { get; set; }
		[StringLength(MstCmmLotCodeGradeConsts.MaxCfcLength)]
		public virtual string Cfc { get; set; }
		[StringLength(MstCmmLotCodeGradeConsts.MaxGradeLength)]
		public virtual string Grade { get; set; }
		[StringLength(MstCmmLotCodeGradeConsts.MaxGradeNameLength)]
		public virtual string GradeName { get; set; }
		[StringLength(MstCmmLotCodeGradeConsts.MaxModelCodeLength)]
		public virtual string ModelCode { get; set; }
		[StringLength(MstCmmLotCodeGradeConsts.MaxModelVinLength)]
		public virtual string ModelVin { get; set; }
		[StringLength(MstCmmLotCodeGradeConsts.MaxIdLineLength)]
		public virtual string IdLine { get; set; }
		[StringLength(MstCmmLotCodeGradeConsts.MaxSpec200Length)]
		public virtual string Spec200 { get; set; }
		[StringLength(MstCmmLotCodeGradeConsts.MaxSsNoLength)]
		public virtual string SsNo { get; set; }
		[StringLength(MstCmmLotCodeGradeConsts.MaxKatashikiCtlLength)]
		public virtual string KatashikiCtl { get; set; }
		[StringLength(MstCmmLotCodeGradeConsts.MaxKatashikiLength)]
		public virtual string Katashiki { get; set; }
		[StringLength(MstCmmLotCodeGradeConsts.MaxVehNameCdLength)]
		public virtual string VehNameCd { get; set; }
		[StringLength(MstCmmLotCodeGradeConsts.MaxMarLotCodeLength)]
		public virtual string MarLotCode { get; set; }
		[StringLength(MstCmmLotCodeGradeConsts.MaxTestNoLength)]
		public virtual string TestNo { get; set; }
		[StringLength(MstCmmLotCodeGradeConsts.MaxVehicleIdLength)]
		public virtual string VehicleId { get; set; }
		[StringLength(MstCmmLotCodeGradeConsts.MaxProdSfxLength)]
		public virtual string ProdSfx { get; set; }
		[StringLength(MstCmmLotCodeGradeConsts.MaxSalesSfxLength)]
		public virtual string SalesSfx { get; set; }
		[StringLength(MstCmmLotCodeGradeConsts.MaxBrandLength)]
		public virtual string Brand { get; set; }
		[StringLength(MstCmmLotCodeGradeConsts.MaxCarSeriesLength)]
		public virtual string CarSeries { get; set; }
		[StringLength(MstCmmLotCodeGradeConsts.MaxTransmissionTypeLength)]
		public virtual string TransmissionType { get; set; }
		[StringLength(MstCmmLotCodeGradeConsts.MaxEngineTypeLength)]
		public virtual string EngineType { get; set; }
		[StringLength(MstCmmLotCodeGradeConsts.MaxFuelTypeLength)]
		public virtual string FuelType { get; set; }
		[StringLength(MstCmmLotCodeGradeConsts.MaxGoshiCarLength)]
		public virtual string GoshiCar { get; set; }
		[StringLength(MstCmmLotCodeGradeConsts.MaxIsActiveLength)]
		public virtual string IsActive { get; set; }
	}
	public class GetMstCmmLotCodeGradeInput : PagedAndSortedResultRequestDto	
	{
		public virtual string Model { get; set; }
		public virtual string LotCode { get; set; }
		public virtual string Cfc { get; set; }
		public virtual string Grade { get; set; }
		public virtual string GradeName { get; set; }
		public virtual string ModelCode { get; set; }
		public virtual string ModelVin { get; set; }
		public virtual string IdLine { get; set; }
		public virtual string Spec200 { get; set; }
		public virtual string SsNo { get; set; }
		public virtual string KatashikiCtl { get; set; }
		public virtual string Katashiki { get; set; }
		public virtual string VehNameCd { get; set; }
		public virtual string MarLotCode { get; set; }
		public virtual string TestNo { get; set; }
		public virtual string VehicleId { get; set; }
		public virtual string ProdSfx { get; set; }
		public virtual string SalesSfx { get; set; }
		public virtual string Brand { get; set; }
		public virtual string CarSeries { get; set; }
		public virtual string TransmissionType { get; set; }
		public virtual string EngineType { get; set; }
		public virtual string FuelType { get; set; }
		public virtual string GoshiCar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perMstCmmLotCodeGrade = PARENTS.CreateChildPermission(AppPermissions.Pages_Master_Cmm_LotCodeGrade, L( "MasterCmmLotCodeGrade"));
		perMstCmmLotCodeGrade.CreateChildPermission(AppPermissions.Pages_Master_Cmm_LotCodeGrade_CreateEdit, L( "MasterCmmLotCodeGradeCreateEdit"));
		perMstCmmLotCodeGrade.CreateChildPermission(AppPermissions.Pages_Master_Cmm_LotCodeGrade_Delete, L( "MasterCmmLotCodeGradeDelete"));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Pages_Master_Cmm_LotCodeGrade = "Pages.Master.Cmm.LotCodeGrade";
		public const string Pages_Master_Cmm_LotCodeGrade_CreateEdit = "Pages.Master.Cmm.LotCodeGrade.CreateEdit";
		public const string Pages_Master_Cmm_LotCodeGrade_Delete = "Pages.Master.Cmm.LotCodeGrade.Delete";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vovina.Master.Cmm
{
	public interface IMstCmmLotCodeGradeAppService : IApplicationService
	{
		Task&lt;PagedResultDto&lt;MstCmmLotCodeGradeDto&gt;&gt; GetAll(GetMstCmmLotCodeGradeInput input);
		Task CreateOrEdit(CreateOrEditMstCmmLotCodeGradeDto input);
		Task Delete(EntityDto input);
	}
}
</v>
      </c>
      <c r="Q7" t="str">
        <f ca="1">SUBSTITUTE(SUBSTITUTE(SUBSTITUTE(SUBSTITUTE(SUBSTITUTE(SUBSTITUTE(E1,"MstWptCalendar",$B$3),"&lt;PROPERTIES&gt;",P35),"Calendar",$B$5),"WorkingPattern",$Q$3),"Master",$B$4),"&lt;PARAMS_SEARCH&gt;",$W$35)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[AbpAuthorize(AppPermissions.Pages_Master_Cmm_LotCodeGrade)]
    public class MstCmmLotCodeGradeAppService : vovinaAppServiceBase, IMstCmmLotCodeGradeAppService
    {
        private readonly IDapperRepository&lt;MstCmmLotCodeGrade, long&gt; _dapperRepo;
        private readonly IRepository&lt;MstCmmLotCodeGrade, long&gt; _repo;
        private readonly IMstCmmLotCodeGradeExcelExporter _calendarListExcelExporter;
        public MstCmmLotCodeGradeAppService(IRepository&lt;MstCmmLotCodeGrade,long&gt; repo, 
                                         IDapperRepository&lt;MstCmmLotCodeGrade,long&gt; dapperRepo,
                                        IMstCmmLotCodeGradeExcelExporter calendarListExcelExporter
            )
        {
            _repo = repo;
            _dapperRepo = dapperRepo;
            _calendarListExcelExporter = calendarListExcelExporter;
        }
        [AbpAuthorize(AppPermissions.Pages_Master_Cmm_LotCodeGrade_CreateEdit)]
        public async Task CreateOrEdit(CreateOrEditMstCmmLotCodeGradeDto input)
        {
            if (input.Id == null) await Create(input);
            else await Update(input);
        }
        //CREATE
        private async Task Create(CreateOrEditMstCmmLotCodeGradeDto input)
        {          
            var mainObj = ObjectMapper.Map&lt;MstCmmLotCodeGrade&gt;(input);
            await CurrentUnitOfWork.GetDbContext&lt;vovinaDbContext&gt;().AddAsync(mainObj);
        }
        // EDIT
        private async Task Update(CreateOrEditMstCmmLotCodeGradeDto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[AbpAuthorize(AppPermissions.Pages_Master_Cmm_LotCodeGrade_Delete)]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Task&lt;PagedResultDto&lt;MstCmmLotCodeGradeDto&gt;&gt; GetAll(GetMstCmmLotCodeGradeInput input)
        {
            var filtered = _repo.GetAll()
				.WhereIf(!string.IsNullOrWhiteSpace(input.Model), e =&gt; e.Model.Contains(input.Model))
				.WhereIf(!string.IsNullOrWhiteSpace(input.LotCode), e =&gt; e.LotCode.Contains(input.LotCode))
				.WhereIf(!string.IsNullOrWhiteSpace(input.Cfc), e =&gt; e.Cfc.Contains(input.Cfc))
				.WhereIf(!string.IsNullOrWhiteSpace(input.Grade), e =&gt; e.Grade.Contains(input.Grade))
				.WhereIf(!string.IsNullOrWhiteSpace(input.GradeName), e =&gt; e.GradeName.Contains(input.GradeName))
				.WhereIf(!string.IsNullOrWhiteSpace(input.ModelCode), e =&gt; e.ModelCode.Contains(input.ModelCode))
				.WhereIf(!string.IsNullOrWhiteSpace(input.ModelVin), e =&gt; e.ModelVin.Contains(input.ModelVin))
				.WhereIf(!string.IsNullOrWhiteSpace(input.IdLine), e =&gt; e.IdLine.Contains(input.IdLine))
				.WhereIf(!string.IsNullOrWhiteSpace(input.Spec200), e =&gt; e.Spec200.Contains(input.Spec200))
				.WhereIf(!string.IsNullOrWhiteSpace(input.SsNo), e =&gt; e.SsNo.Contains(input.SsNo))
				.WhereIf(!string.IsNullOrWhiteSpace(input.KatashikiCtl), e =&gt; e.KatashikiCtl.Contains(input.KatashikiCtl))
				.WhereIf(!string.IsNullOrWhiteSpace(input.Katashiki), e =&gt; e.Katashiki.Contains(input.Katashiki))
				.WhereIf(!string.IsNullOrWhiteSpace(input.VehNameCd), e =&gt; e.VehNameCd.Contains(input.VehNameCd))
				.WhereIf(!string.IsNullOrWhiteSpace(input.MarLotCode), e =&gt; e.MarLotCode.Contains(input.MarLotCode))
				.WhereIf(!string.IsNullOrWhiteSpace(input.TestNo), e =&gt; e.TestNo.Contains(input.TestNo))
				.WhereIf(!string.IsNullOrWhiteSpace(input.VehicleId), e =&gt; e.VehicleId.Contains(input.VehicleId))
				.WhereIf(!string.IsNullOrWhiteSpace(input.ProdSfx), e =&gt; e.ProdSfx.Contains(input.ProdSfx))
				.WhereIf(!string.IsNullOrWhiteSpace(input.SalesSfx), e =&gt; e.SalesSfx.Contains(input.SalesSfx))
				.WhereIf(!string.IsNullOrWhiteSpace(input.Brand), e =&gt; e.Brand.Contains(input.Brand))
				.WhereIf(!string.IsNullOrWhiteSpace(input.CarSeries), e =&gt; e.CarSeries.Contains(input.CarSeries))
				.WhereIf(!string.IsNullOrWhiteSpace(input.TransmissionType), e =&gt; e.TransmissionType.Contains(input.TransmissionType))
				.WhereIf(!string.IsNullOrWhiteSpace(input.EngineType), e =&gt; e.EngineType.Contains(input.EngineType))
				.WhereIf(!string.IsNullOrWhiteSpace(input.FuelType), e =&gt; e.FuelType.Contains(input.FuelType))
				.WhereIf(!string.IsNullOrWhiteSpace(input.GoshiCar), e =&gt; e.GoshiCar.Contains(input.GoshiCar))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MstCmmLotCodeGradeDto
                        {
							Id = o.Id,
							Model = o.Model,
							LotCode = o.LotCode,
							Cfc = o.Cfc,
							Grade = o.Grade,
							GradeName = o.GradeName,
							ModelCode = o.ModelCode,
							ModelVin = o.ModelVin,
							IdLine = o.IdLine,
							Spec200 = o.Spec200,
							SsNo = o.SsNo,
							KatashikiCtl = o.KatashikiCtl,
							Katashiki = o.Katashiki,
							VehNameCd = o.VehNameCd,
							MarLotCode = o.MarLotCode,
							TestNo = o.TestNo,
							VehicleId = o.VehicleId,
							ProdSfx = o.ProdSfx,
							SalesSfx = o.SalesSfx,
							Brand = o.Brand,
							CarSeries = o.CarSeries,
							TransmissionType = o.TransmissionType,
							EngineType = o.EngineType,
							FuelType = o.FuelType,
							GoshiCar = o.GoshiCar,
							IsActive = o.IsActive,
                        };
            var totalCount = await filtered.CountAsync();
			var paged = system.PageBy(input);
            return new PagedResultDto&lt;MstCmmLotCodeGradeDto&gt;(
                totalCount,
                 await paged.ToListAsync()
            );
        }
        public async Task&lt;FileDto&gt; GetLotCodeGradeToExcel(MstCmmLotCodeGradeExportInput input)
        {
            var query = from o in _repo.GetAll()
                        select new MstCmmLotCodeGradeDto
                        {
							Id = o.Id,
							Model = o.Model,
							LotCode = o.LotCode,
							Cfc = o.Cfc,
							Grade = o.Grade,
							GradeName = o.GradeName,
							ModelCode = o.ModelCode,
							ModelVin = o.ModelVin,
							IdLine = o.IdLine,
							Spec200 = o.Spec200,
							SsNo = o.SsNo,
							KatashikiCtl = o.KatashikiCtl,
							Katashiki = o.Katashiki,
							VehNameCd = o.VehNameCd,
							MarLotCode = o.MarLotCode,
							TestNo = o.TestNo,
							VehicleId = o.VehicleId,
							ProdSfx = o.ProdSfx,
							SalesSfx = o.SalesSfx,
							Brand = o.Brand,
							CarSeries = o.CarSeries,
							TransmissionType = o.TransmissionType,
							EngineType = o.EngineType,
							FuelType = o.FuelType,
							GoshiCar = o.GoshiCar,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_dapperRepo.ExecuteAsync(MstCmmLotCodeGradeConsts.SP_MST_WPT_CALENDAR_GENERATE);
       // }
    }
}</v>
      </c>
      <c r="R7" t="str">
        <f ca="1">SUBSTITUTE(SUBSTITUTE((C1&amp;"namespace "&amp;B6&amp;".Dto"&amp;E3&amp;C3&amp;R3&amp;M35&amp;E3&amp;REPT(CHAR(9),1)&amp;D3&amp;D3),"WorkingPattern",$Q$3),"Master",$B$4)</f>
        <v xml:space="preserve">using Abp.Application.Services.Dto;
using System;
using System.ComponentModel.DataAnnotations;
namespace vovina.Master.Cmm.Dto
{
	public class MstCmmLotCodeGradeExportInput{
		public virtual string Model { get; set; }
		public virtual string LotCode { get; set; }
		public virtual string Cfc { get; set; }
		public virtual string Grade { get; set; }
		public virtual string GradeName { get; set; }
		public virtual string ModelCode { get; set; }
		public virtual string ModelVin { get; set; }
		public virtual string IdLine { get; set; }
		public virtual string Spec200 { get; set; }
		public virtual string SsNo { get; set; }
		public virtual string KatashikiCtl { get; set; }
		public virtual string Katashiki { get; set; }
		public virtual string VehNameCd { get; set; }
		public virtual string MarLotCode { get; set; }
		public virtual string TestNo { get; set; }
		public virtual string VehicleId { get; set; }
		public virtual string ProdSfx { get; set; }
		public virtual string SalesSfx { get; set; }
		public virtual string Brand { get; set; }
		public virtual string CarSeries { get; set; }
		public virtual string TransmissionType { get; set; }
		public virtual string EngineType { get; set; }
		public virtual string FuelType { get; set; }
		public virtual string GoshiCar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vovina.Master.Cmm.Exporting
{
	public interface IMstCmmLotCodeGradeExcelExporter : IApplicationService
	{
		FileDto ExportToFile(List&lt;MstCmmLotCodeGradeDto&gt; mstcmmlotcodegrade);
	}
}
</v>
      </c>
      <c r="T7" s="28" t="str">
        <f ca="1">SUBSTITUTE(SUBSTITUTE(SUBSTITUTE(SUBSTITUTE(SUBSTITUTE(SUBSTITUTE(SUBSTITUTE(T1,"MstWptCalendar",$B$3),"&lt;PROPERTIES1&gt;",V35),"&lt;PROPERTIES&gt;",T35),"Calendar",$B$5),"calendar",LOWER(B5)),"WorkingPattern",$Q$3),"Master",$B$4)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MstCmmLotCodeGradeExcelExporter : NpoiExcelExporterBase, IMstCmmLotCodeGradeExcelExporter
    {
        public MstCmmLotCodeGradeExcelExporter(ITempFileCacheManager tempFileCacheManager) : base(tempFileCacheManager) { }
        public FileDto ExportToFile(List&lt;MstCmmLotCodeGradeDto&gt; lotcodegrade)
        {
            return CreateExcelPackage(
				"MasterCmmLotCodeGrade.xlsx",
				excelPackage =&gt;
				 {
					var sheet = excelPackage.CreateSheet("LotCodeGrade");
					AddHeader(
								sheet,
								("Model"),
								("LotCode"),
								("Cfc"),
								("Grade"),
								("GradeName"),
								("ModelCode"),
								("ModelVin"),
								("IdLine"),
								("Spec200"),
								("SsNo"),
								("KatashikiCtl"),
								("Katashiki"),
								("VehNameCd"),
								("MarLotCode"),
								("TestNo"),
								("VehicleId"),
								("ProdSfx"),
								("SalesSfx"),
								("Brand"),
								("CarSeries"),
								("TransmissionType"),
								("EngineType"),
								("FuelType"),
								("GoshiCar"),
								("IsActive"),
							   );
					AddObjects(
						 sheet, 1, lotcodegrade,                                       
								_ =&gt; _.Model,
								_ =&gt; _.LotCode,
								_ =&gt; _.Cfc,
								_ =&gt; _.Grade,
								_ =&gt; _.GradeName,
								_ =&gt; _.ModelCode,
								_ =&gt; _.ModelVin,
								_ =&gt; _.IdLine,
								_ =&gt; _.Spec200,
								_ =&gt; _.SsNo,
								_ =&gt; _.KatashikiCtl,
								_ =&gt; _.Katashiki,
								_ =&gt; _.VehNameCd,
								_ =&gt; _.MarLotCode,
								_ =&gt; _.TestNo,
								_ =&gt; _.VehicleId,
								_ =&gt; _.ProdSfx,
								_ =&gt; _.SalesSfx,
								_ =&gt; _.Brand,
								_ =&gt; _.CarSeries,
								_ =&gt; _.TransmissionType,
								_ =&gt; _.EngineType,
								_ =&gt; _.FuelType,
								_ =&gt; _.GoshiCar,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configuration.CreateMap&lt;MstCmmLotCodeGradeDto, MstCmmLotCodeGrade&gt;();
  configuration.CreateMap&lt;MstCmmLotCodeGrade, MstCmmLotCodeGradeDto&gt;();
  configuration.CreateMap&lt;CreateOrEditMstCmmLotCodeGradeDto, MstCmmLotCodeGrade&gt;();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307</v>
      </c>
      <c r="B9" t="s">
        <v>302</v>
      </c>
      <c r="C9" t="s">
        <v>1</v>
      </c>
      <c r="D9" t="str">
        <f>SUBSTITUTE(PROPER(A9),"_","")</f>
        <v>Model</v>
      </c>
      <c r="E9" t="str">
        <f t="shared" ref="E9:E10" si="0">IFERROR(LEFT(B9, FIND("(",B9)-1),B9)</f>
        <v>varchar</v>
      </c>
      <c r="F9" s="7"/>
      <c r="G9" t="str">
        <f t="shared" ref="G9:G10" si="1">IFERROR(MID(B9,FIND("(",B9) +1, FIND(")",B9) - FIND("(",B9) - 1),"")</f>
        <v>1</v>
      </c>
      <c r="H9" t="str">
        <f>+VLOOKUP(E9,'Data Type Mapping'!A:B,2,)</f>
        <v>string</v>
      </c>
      <c r="I9" t="str">
        <f t="shared" ref="I9:I10" si="2">IF(H9="string",REPT(CHAR(9),2)&amp;"public const int Max"&amp;D9&amp;"Length = "&amp;G9&amp;";"&amp;$E$3,"" )</f>
        <v xml:space="preserve">		public const int MaxModelLength = 1;
</v>
      </c>
      <c r="J9" t="str">
        <f t="shared" ref="J9:J10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[StringLength(MaxModelLength)]
		public virtual string Model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[Index(nameof(Model), Name="IX_MstCmmLotCodeGrade_Model")]</v>
      </c>
      <c r="M9" t="str">
        <f>REPT(CHAR(9),2)&amp;"public virtual "&amp;IF(OR(H9="DateTime",H9="TimeSpan"),H9&amp;"?",H9)&amp;IF(C9="?","? "," ")&amp;D9&amp;" { get; set; }" &amp; "
"</f>
        <v xml:space="preserve">		public virtual string Model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[StringLength(MstCmmLotCodeGradeConsts.MaxModelLength)]
		public virtual string Model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Model { get; set; }
</v>
      </c>
      <c r="P9" t="str">
        <f t="shared" ref="P9:P10" si="4">REPT(CHAR(9),7)&amp;D9&amp;" = o." &amp;D9 &amp;","</f>
        <v xml:space="preserve">							Model = o.Model,</v>
      </c>
      <c r="T9" s="69" t="str">
        <f>REPT(CHAR(9),8)&amp;"("""&amp;D9&amp;"""),"</f>
        <v xml:space="preserve">								("Model"),</v>
      </c>
      <c r="V9" s="70" t="str">
        <f>REPT(CHAR(9),8)&amp;"_ =&gt; _."&amp;D9&amp;","</f>
        <v xml:space="preserve">								_ =&gt; _.Model,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.WhereIf(!string.IsNullOrWhiteSpace(input.Model), e =&gt; e.Model.Contains(input.Model))</v>
      </c>
    </row>
    <row r="10" spans="1:23" customFormat="1" ht="21" customHeight="1" x14ac:dyDescent="0.25">
      <c r="A10" t="s">
        <v>309</v>
      </c>
      <c r="B10" t="s">
        <v>315</v>
      </c>
      <c r="C10" t="s">
        <v>1</v>
      </c>
      <c r="D10" t="str">
        <f t="shared" ref="D10" si="5">SUBSTITUTE(PROPER(A10),"_","")</f>
        <v>LotCode</v>
      </c>
      <c r="E10" t="str">
        <f t="shared" si="0"/>
        <v>varchar</v>
      </c>
      <c r="F10" s="7"/>
      <c r="G10" t="str">
        <f t="shared" si="1"/>
        <v>2</v>
      </c>
      <c r="H10" t="str">
        <f>+VLOOKUP(E10,'Data Type Mapping'!A:B,2,)</f>
        <v>string</v>
      </c>
      <c r="I10" t="str">
        <f t="shared" si="2"/>
        <v xml:space="preserve">		public const int MaxLotCodeLength = 2;
</v>
      </c>
      <c r="J10" t="str">
        <f t="shared" si="3"/>
        <v xml:space="preserve">		[StringLength(MaxLotCodeLength)]
		public virtual string LotCode { get; set; }
</v>
      </c>
      <c r="K10" s="7" t="s">
        <v>206</v>
      </c>
      <c r="L10" t="str">
        <f t="shared" ref="L10" si="6">IF(K10="","",REPT(CHAR(9),1)&amp;"[Index(nameof("&amp;IF(D10="","",""&amp;D10)&amp;")"&amp;", Name="&amp;"""IX_"&amp;$B$7&amp;"_"&amp;D10&amp;""")]")</f>
        <v xml:space="preserve">	[Index(nameof(LotCode), Name="IX_MstCmmLotCodeGrade_LotCode")]</v>
      </c>
      <c r="M10" t="str">
        <f t="shared" ref="M10" si="7">REPT(CHAR(9),2)&amp;"public virtual "&amp;IF(OR(H10="DateTime",H10="TimeSpan"),H10&amp;"?",H10)&amp;IF(C10="?","? "," ")&amp;D10&amp;" { get; set; }" &amp; "
"</f>
        <v xml:space="preserve">		public virtual string LotCode { get; set; }
</v>
      </c>
      <c r="N10" t="str">
        <f t="shared" ref="N10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[StringLength(MstCmmLotCodeGradeConsts.MaxLotCodeLength)]
		public virtual string LotCode { get; set; }
</v>
      </c>
      <c r="O10" t="str">
        <f t="shared" ref="O10" si="9">IF(OR(H10="string",H10="DateTime",H10="int"),REPT(CHAR(9),2)&amp;"public virtual "&amp;IF(OR(H10="DateTime",H10="TimeSpan"),H10&amp;"?",H10)&amp;IF(C10="?","? "," ")&amp;D10&amp;" { get; set; }"&amp;$E$3,"")</f>
        <v xml:space="preserve">		public virtual string LotCode { get; set; }
</v>
      </c>
      <c r="P10" t="str">
        <f t="shared" si="4"/>
        <v xml:space="preserve">							LotCode = o.LotCode,</v>
      </c>
      <c r="T10" s="69" t="str">
        <f t="shared" ref="T10" si="10">REPT(CHAR(9),8)&amp;"("""&amp;D10&amp;"""),"</f>
        <v xml:space="preserve">								("LotCode"),</v>
      </c>
      <c r="V10" s="70" t="str">
        <f t="shared" ref="V10" si="11">REPT(CHAR(9),8)&amp;"_ =&gt; _."&amp;D10&amp;","</f>
        <v xml:space="preserve">								_ =&gt; _.LotCode,</v>
      </c>
      <c r="W10" s="69" t="str">
        <f t="shared" ref="W10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.WhereIf(!string.IsNullOrWhiteSpace(input.LotCode), e =&gt; e.LotCode.Contains(input.LotCode))</v>
      </c>
    </row>
    <row r="11" spans="1:23" customFormat="1" ht="21" customHeight="1" x14ac:dyDescent="0.25">
      <c r="A11" s="6" t="s">
        <v>310</v>
      </c>
      <c r="B11" t="s">
        <v>342</v>
      </c>
      <c r="C11" t="s">
        <v>1</v>
      </c>
      <c r="D11" t="str">
        <f t="shared" ref="D11:D12" si="13">SUBSTITUTE(PROPER(A11),"_","")</f>
        <v>Cfc</v>
      </c>
      <c r="E11" t="str">
        <f t="shared" ref="E11:E12" si="14">IFERROR(LEFT(B11, FIND("(",B11)-1),B11)</f>
        <v>varchar</v>
      </c>
      <c r="F11" s="7"/>
      <c r="G11" t="str">
        <f t="shared" ref="G11:G12" si="15">IFERROR(MID(B11,FIND("(",B11) +1, FIND(")",B11) - FIND("(",B11) - 1),"")</f>
        <v>4</v>
      </c>
      <c r="H11" t="str">
        <f>+VLOOKUP(E11,'Data Type Mapping'!A:B,2,)</f>
        <v>string</v>
      </c>
      <c r="I11" t="str">
        <f t="shared" ref="I11:I12" si="16">IF(H11="string",REPT(CHAR(9),2)&amp;"public const int Max"&amp;D11&amp;"Length = "&amp;G11&amp;";"&amp;$E$3,"" )</f>
        <v xml:space="preserve">		public const int MaxCfcLength = 4;
</v>
      </c>
      <c r="J11" t="str">
        <f t="shared" ref="J11:J12" si="17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[StringLength(MaxCfcLength)]
		public virtual string Cfc { get; set; }
</v>
      </c>
      <c r="K11" s="7"/>
      <c r="L11" t="str">
        <f t="shared" ref="L11:L12" si="18">IF(K11="","",REPT(CHAR(9),1)&amp;"[Index(nameof("&amp;IF(D11="","",""&amp;D11)&amp;")"&amp;", Name="&amp;"""IX_"&amp;$B$7&amp;"_"&amp;D11&amp;""")]")</f>
        <v/>
      </c>
      <c r="M11" t="str">
        <f t="shared" ref="M11:M12" si="19">REPT(CHAR(9),2)&amp;"public virtual "&amp;IF(OR(H11="DateTime",H11="TimeSpan"),H11&amp;"?",H11)&amp;IF(C11="?","? "," ")&amp;D11&amp;" { get; set; }" &amp; "
"</f>
        <v xml:space="preserve">		public virtual string Cfc { get; set; }
</v>
      </c>
      <c r="N11" t="str">
        <f t="shared" ref="N11:N12" si="20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[StringLength(MstCmmLotCodeGradeConsts.MaxCfcLength)]
		public virtual string Cfc { get; set; }
</v>
      </c>
      <c r="O11" t="str">
        <f t="shared" ref="O11:O12" si="21">IF(OR(H11="string",H11="DateTime",H11="int"),REPT(CHAR(9),2)&amp;"public virtual "&amp;IF(OR(H11="DateTime",H11="TimeSpan"),H11&amp;"?",H11)&amp;IF(C11="?","? "," ")&amp;D11&amp;" { get; set; }"&amp;$E$3,"")</f>
        <v xml:space="preserve">		public virtual string Cfc { get; set; }
</v>
      </c>
      <c r="P11" t="str">
        <f t="shared" ref="P11:P12" si="22">REPT(CHAR(9),7)&amp;D11&amp;" = o." &amp;D11 &amp;","</f>
        <v xml:space="preserve">							Cfc = o.Cfc,</v>
      </c>
      <c r="T11" s="69" t="str">
        <f t="shared" ref="T11:T12" si="23">REPT(CHAR(9),8)&amp;"("""&amp;D11&amp;"""),"</f>
        <v xml:space="preserve">								("Cfc"),</v>
      </c>
      <c r="V11" s="70" t="str">
        <f t="shared" ref="V11:V12" si="24">REPT(CHAR(9),8)&amp;"_ =&gt; _."&amp;D11&amp;","</f>
        <v xml:space="preserve">								_ =&gt; _.Cfc,</v>
      </c>
      <c r="W11" s="69" t="str">
        <f t="shared" ref="W11:W12" si="25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.WhereIf(!string.IsNullOrWhiteSpace(input.Cfc), e =&gt; e.Cfc.Contains(input.Cfc))</v>
      </c>
    </row>
    <row r="12" spans="1:23" customFormat="1" ht="21" customHeight="1" x14ac:dyDescent="0.25">
      <c r="A12" t="s">
        <v>311</v>
      </c>
      <c r="B12" t="s">
        <v>316</v>
      </c>
      <c r="C12" t="s">
        <v>1</v>
      </c>
      <c r="D12" t="str">
        <f t="shared" si="13"/>
        <v>Grade</v>
      </c>
      <c r="E12" t="str">
        <f t="shared" si="14"/>
        <v>varchar</v>
      </c>
      <c r="F12" s="7"/>
      <c r="G12" t="str">
        <f t="shared" si="15"/>
        <v>2</v>
      </c>
      <c r="H12" t="str">
        <f>+VLOOKUP(E12,'Data Type Mapping'!A:B,2,)</f>
        <v>string</v>
      </c>
      <c r="I12" t="str">
        <f t="shared" si="16"/>
        <v xml:space="preserve">		public const int MaxGradeLength = 2;
</v>
      </c>
      <c r="J12" t="str">
        <f t="shared" si="17"/>
        <v xml:space="preserve">		[StringLength(MaxGradeLength)]
		public virtual string Grade { get; set; }
</v>
      </c>
      <c r="K12" s="7"/>
      <c r="L12" t="str">
        <f t="shared" si="18"/>
        <v/>
      </c>
      <c r="M12" t="str">
        <f t="shared" si="19"/>
        <v xml:space="preserve">		public virtual string Grade { get; set; }
</v>
      </c>
      <c r="N12" t="str">
        <f t="shared" si="20"/>
        <v xml:space="preserve">		[StringLength(MstCmmLotCodeGradeConsts.MaxGradeLength)]
		public virtual string Grade { get; set; }
</v>
      </c>
      <c r="O12" t="str">
        <f t="shared" si="21"/>
        <v xml:space="preserve">		public virtual string Grade { get; set; }
</v>
      </c>
      <c r="P12" t="str">
        <f t="shared" si="22"/>
        <v xml:space="preserve">							Grade = o.Grade,</v>
      </c>
      <c r="T12" s="69" t="str">
        <f t="shared" si="23"/>
        <v xml:space="preserve">								("Grade"),</v>
      </c>
      <c r="V12" s="70" t="str">
        <f t="shared" si="24"/>
        <v xml:space="preserve">								_ =&gt; _.Grade,</v>
      </c>
      <c r="W12" s="69" t="str">
        <f t="shared" si="25"/>
        <v xml:space="preserve">				.WhereIf(!string.IsNullOrWhiteSpace(input.Grade), e =&gt; e.Grade.Contains(input.Grade))</v>
      </c>
    </row>
    <row r="13" spans="1:23" customFormat="1" ht="21" customHeight="1" x14ac:dyDescent="0.25">
      <c r="A13" t="s">
        <v>312</v>
      </c>
      <c r="B13" t="s">
        <v>303</v>
      </c>
      <c r="C13" t="s">
        <v>1</v>
      </c>
      <c r="D13" t="str">
        <f t="shared" ref="D13" si="26">SUBSTITUTE(PROPER(A13),"_","")</f>
        <v>GradeName</v>
      </c>
      <c r="E13" t="str">
        <f t="shared" ref="E13" si="27">IFERROR(LEFT(B13, FIND("(",B13)-1),B13)</f>
        <v>varchar</v>
      </c>
      <c r="F13" s="7"/>
      <c r="G13" t="str">
        <f t="shared" ref="G13" si="28">IFERROR(MID(B13,FIND("(",B13) +1, FIND(")",B13) - FIND("(",B13) - 1),"")</f>
        <v>50</v>
      </c>
      <c r="H13" t="str">
        <f>+VLOOKUP(E13,'Data Type Mapping'!A:B,2,)</f>
        <v>string</v>
      </c>
      <c r="I13" t="str">
        <f t="shared" ref="I13" si="29">IF(H13="string",REPT(CHAR(9),2)&amp;"public const int Max"&amp;D13&amp;"Length = "&amp;G13&amp;";"&amp;$E$3,"" )</f>
        <v xml:space="preserve">		public const int MaxGradeNameLength = 50;
</v>
      </c>
      <c r="J13" t="str">
        <f t="shared" ref="J13" si="30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[StringLength(MaxGradeNameLength)]
		public virtual string GradeName { get; set; }
</v>
      </c>
      <c r="K13" s="7"/>
      <c r="L13" t="str">
        <f t="shared" ref="L13" si="31">IF(K13="","",REPT(CHAR(9),1)&amp;"[Index(nameof("&amp;IF(D13="","",""&amp;D13)&amp;")"&amp;", Name="&amp;"""IX_"&amp;$B$7&amp;"_"&amp;D13&amp;""")]")</f>
        <v/>
      </c>
      <c r="M13" t="str">
        <f t="shared" ref="M13" si="32">REPT(CHAR(9),2)&amp;"public virtual "&amp;IF(OR(H13="DateTime",H13="TimeSpan"),H13&amp;"?",H13)&amp;IF(C13="?","? "," ")&amp;D13&amp;" { get; set; }" &amp; "
"</f>
        <v xml:space="preserve">		public virtual string GradeName { get; set; }
</v>
      </c>
      <c r="N13" t="str">
        <f t="shared" ref="N13" si="33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[StringLength(MstCmmLotCodeGradeConsts.MaxGradeNameLength)]
		public virtual string GradeName { get; set; }
</v>
      </c>
      <c r="O13" t="str">
        <f t="shared" ref="O13" si="34">IF(OR(H13="string",H13="DateTime",H13="int"),REPT(CHAR(9),2)&amp;"public virtual "&amp;IF(OR(H13="DateTime",H13="TimeSpan"),H13&amp;"?",H13)&amp;IF(C13="?","? "," ")&amp;D13&amp;" { get; set; }"&amp;$E$3,"")</f>
        <v xml:space="preserve">		public virtual string GradeName { get; set; }
</v>
      </c>
      <c r="P13" t="str">
        <f t="shared" ref="P13" si="35">REPT(CHAR(9),7)&amp;D13&amp;" = o." &amp;D13 &amp;","</f>
        <v xml:space="preserve">							GradeName = o.GradeName,</v>
      </c>
      <c r="T13" s="69" t="str">
        <f t="shared" ref="T13" si="36">REPT(CHAR(9),8)&amp;"("""&amp;D13&amp;"""),"</f>
        <v xml:space="preserve">								("GradeName"),</v>
      </c>
      <c r="V13" s="70" t="str">
        <f t="shared" ref="V13" si="37">REPT(CHAR(9),8)&amp;"_ =&gt; _."&amp;D13&amp;","</f>
        <v xml:space="preserve">								_ =&gt; _.GradeName,</v>
      </c>
      <c r="W13" s="69" t="str">
        <f t="shared" ref="W13" si="38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.WhereIf(!string.IsNullOrWhiteSpace(input.GradeName), e =&gt; e.GradeName.Contains(input.GradeName))</v>
      </c>
    </row>
    <row r="14" spans="1:23" customFormat="1" ht="21" customHeight="1" x14ac:dyDescent="0.25">
      <c r="A14" t="s">
        <v>308</v>
      </c>
      <c r="B14" t="s">
        <v>303</v>
      </c>
      <c r="C14" t="s">
        <v>1</v>
      </c>
      <c r="D14" t="str">
        <f t="shared" ref="D14" si="39">SUBSTITUTE(PROPER(A14),"_","")</f>
        <v>ModelCode</v>
      </c>
      <c r="E14" t="str">
        <f t="shared" ref="E14" si="40">IFERROR(LEFT(B14, FIND("(",B14)-1),B14)</f>
        <v>varchar</v>
      </c>
      <c r="F14" s="7"/>
      <c r="G14" t="str">
        <f t="shared" ref="G14" si="41">IFERROR(MID(B14,FIND("(",B14) +1, FIND(")",B14) - FIND("(",B14) - 1),"")</f>
        <v>50</v>
      </c>
      <c r="H14" t="str">
        <f>+VLOOKUP(E14,'Data Type Mapping'!A:B,2,)</f>
        <v>string</v>
      </c>
      <c r="I14" t="str">
        <f t="shared" ref="I14" si="42">IF(H14="string",REPT(CHAR(9),2)&amp;"public const int Max"&amp;D14&amp;"Length = "&amp;G14&amp;";"&amp;$E$3,"" )</f>
        <v xml:space="preserve">		public const int MaxModelCodeLength = 50;
</v>
      </c>
      <c r="J14" t="str">
        <f t="shared" ref="J14" si="43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[StringLength(MaxModelCodeLength)]
		public virtual string ModelCode { get; set; }
</v>
      </c>
      <c r="K14" s="7"/>
      <c r="L14" t="str">
        <f t="shared" ref="L14" si="44">IF(K14="","",REPT(CHAR(9),1)&amp;"[Index(nameof("&amp;IF(D14="","",""&amp;D14)&amp;")"&amp;", Name="&amp;"""IX_"&amp;$B$7&amp;"_"&amp;D14&amp;""")]")</f>
        <v/>
      </c>
      <c r="M14" t="str">
        <f t="shared" ref="M14" si="45">REPT(CHAR(9),2)&amp;"public virtual "&amp;IF(OR(H14="DateTime",H14="TimeSpan"),H14&amp;"?",H14)&amp;IF(C14="?","? "," ")&amp;D14&amp;" { get; set; }" &amp; "
"</f>
        <v xml:space="preserve">		public virtual string ModelCode { get; set; }
</v>
      </c>
      <c r="N14" t="str">
        <f t="shared" ref="N14" si="46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[StringLength(MstCmmLotCodeGradeConsts.MaxModelCodeLength)]
		public virtual string ModelCode { get; set; }
</v>
      </c>
      <c r="O14" t="str">
        <f t="shared" ref="O14" si="47">IF(OR(H14="string",H14="DateTime",H14="int"),REPT(CHAR(9),2)&amp;"public virtual "&amp;IF(OR(H14="DateTime",H14="TimeSpan"),H14&amp;"?",H14)&amp;IF(C14="?","? "," ")&amp;D14&amp;" { get; set; }"&amp;$E$3,"")</f>
        <v xml:space="preserve">		public virtual string ModelCode { get; set; }
</v>
      </c>
      <c r="P14" t="str">
        <f t="shared" ref="P14" si="48">REPT(CHAR(9),7)&amp;D14&amp;" = o." &amp;D14 &amp;","</f>
        <v xml:space="preserve">							ModelCode = o.ModelCode,</v>
      </c>
      <c r="T14" s="69" t="str">
        <f t="shared" ref="T14" si="49">REPT(CHAR(9),8)&amp;"("""&amp;D14&amp;"""),"</f>
        <v xml:space="preserve">								("ModelCode"),</v>
      </c>
      <c r="V14" s="70" t="str">
        <f t="shared" ref="V14" si="50">REPT(CHAR(9),8)&amp;"_ =&gt; _."&amp;D14&amp;","</f>
        <v xml:space="preserve">								_ =&gt; _.ModelCode,</v>
      </c>
      <c r="W14" s="69" t="str">
        <f t="shared" ref="W14" si="51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.WhereIf(!string.IsNullOrWhiteSpace(input.ModelCode), e =&gt; e.ModelCode.Contains(input.ModelCode))</v>
      </c>
    </row>
    <row r="15" spans="1:23" customFormat="1" ht="21" customHeight="1" x14ac:dyDescent="0.25">
      <c r="A15" t="s">
        <v>313</v>
      </c>
      <c r="B15" t="s">
        <v>303</v>
      </c>
      <c r="C15" t="s">
        <v>1</v>
      </c>
      <c r="D15" t="str">
        <f t="shared" ref="D15:D19" si="52">SUBSTITUTE(PROPER(A15),"_","")</f>
        <v>ModelVin</v>
      </c>
      <c r="E15" t="str">
        <f t="shared" ref="E15:E19" si="53">IFERROR(LEFT(B15, FIND("(",B15)-1),B15)</f>
        <v>varchar</v>
      </c>
      <c r="F15" s="7"/>
      <c r="G15" t="str">
        <f t="shared" ref="G15:G19" si="54">IFERROR(MID(B15,FIND("(",B15) +1, FIND(")",B15) - FIND("(",B15) - 1),"")</f>
        <v>50</v>
      </c>
      <c r="H15" t="str">
        <f>+VLOOKUP(E15,'Data Type Mapping'!A:B,2,)</f>
        <v>string</v>
      </c>
      <c r="I15" t="str">
        <f t="shared" ref="I15:I19" si="55">IF(H15="string",REPT(CHAR(9),2)&amp;"public const int Max"&amp;D15&amp;"Length = "&amp;G15&amp;";"&amp;$E$3,"" )</f>
        <v xml:space="preserve">		public const int MaxModelVinLength = 50;
</v>
      </c>
      <c r="J15" t="str">
        <f t="shared" ref="J15:J19" si="56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[StringLength(MaxModelVinLength)]
		public virtual string ModelVin { get; set; }
</v>
      </c>
      <c r="K15" s="7"/>
      <c r="L15" t="str">
        <f t="shared" ref="L15:L19" si="57">IF(K15="","",REPT(CHAR(9),1)&amp;"[Index(nameof("&amp;IF(D15="","",""&amp;D15)&amp;")"&amp;", Name="&amp;"""IX_"&amp;$B$7&amp;"_"&amp;D15&amp;""")]")</f>
        <v/>
      </c>
      <c r="M15" t="str">
        <f t="shared" ref="M15:M19" si="58">REPT(CHAR(9),2)&amp;"public virtual "&amp;IF(OR(H15="DateTime",H15="TimeSpan"),H15&amp;"?",H15)&amp;IF(C15="?","? "," ")&amp;D15&amp;" { get; set; }" &amp; "
"</f>
        <v xml:space="preserve">		public virtual string ModelVin { get; set; }
</v>
      </c>
      <c r="N15" t="str">
        <f t="shared" ref="N15:N19" si="59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[StringLength(MstCmmLotCodeGradeConsts.MaxModelVinLength)]
		public virtual string ModelVin { get; set; }
</v>
      </c>
      <c r="O15" t="str">
        <f t="shared" ref="O15:O19" si="60">IF(OR(H15="string",H15="DateTime",H15="int"),REPT(CHAR(9),2)&amp;"public virtual "&amp;IF(OR(H15="DateTime",H15="TimeSpan"),H15&amp;"?",H15)&amp;IF(C15="?","? "," ")&amp;D15&amp;" { get; set; }"&amp;$E$3,"")</f>
        <v xml:space="preserve">		public virtual string ModelVin { get; set; }
</v>
      </c>
      <c r="P15" t="str">
        <f t="shared" ref="P15:P19" si="61">REPT(CHAR(9),7)&amp;D15&amp;" = o." &amp;D15 &amp;","</f>
        <v xml:space="preserve">							ModelVin = o.ModelVin,</v>
      </c>
      <c r="T15" s="69" t="str">
        <f t="shared" ref="T15:T19" si="62">REPT(CHAR(9),8)&amp;"("""&amp;D15&amp;"""),"</f>
        <v xml:space="preserve">								("ModelVin"),</v>
      </c>
      <c r="V15" s="70" t="str">
        <f t="shared" ref="V15:V19" si="63">REPT(CHAR(9),8)&amp;"_ =&gt; _."&amp;D15&amp;","</f>
        <v xml:space="preserve">								_ =&gt; _.ModelVin,</v>
      </c>
      <c r="W15" s="69" t="str">
        <f t="shared" ref="W15:W19" si="64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 xml:space="preserve">				.WhereIf(!string.IsNullOrWhiteSpace(input.ModelVin), e =&gt; e.ModelVin.Contains(input.ModelVin))</v>
      </c>
    </row>
    <row r="16" spans="1:23" customFormat="1" ht="21" customHeight="1" x14ac:dyDescent="0.25">
      <c r="A16" t="s">
        <v>317</v>
      </c>
      <c r="B16" t="s">
        <v>331</v>
      </c>
      <c r="C16" t="s">
        <v>1</v>
      </c>
      <c r="D16" t="str">
        <f t="shared" si="52"/>
        <v>IdLine</v>
      </c>
      <c r="E16" t="str">
        <f t="shared" si="53"/>
        <v>nvarchar</v>
      </c>
      <c r="F16" s="7"/>
      <c r="G16" t="str">
        <f t="shared" si="54"/>
        <v>3</v>
      </c>
      <c r="H16" t="str">
        <f>+VLOOKUP(E16,'Data Type Mapping'!A:B,2,)</f>
        <v>string</v>
      </c>
      <c r="I16" t="str">
        <f t="shared" si="55"/>
        <v xml:space="preserve">		public const int MaxIdLineLength = 3;
</v>
      </c>
      <c r="J16" t="str">
        <f t="shared" si="56"/>
        <v xml:space="preserve">		[StringLength(MaxIdLineLength)]
		public virtual string IdLine { get; set; }
</v>
      </c>
      <c r="K16" s="7"/>
      <c r="L16" t="str">
        <f t="shared" si="57"/>
        <v/>
      </c>
      <c r="M16" t="str">
        <f t="shared" si="58"/>
        <v xml:space="preserve">		public virtual string IdLine { get; set; }
</v>
      </c>
      <c r="N16" t="str">
        <f t="shared" si="59"/>
        <v xml:space="preserve">		[StringLength(MstCmmLotCodeGradeConsts.MaxIdLineLength)]
		public virtual string IdLine { get; set; }
</v>
      </c>
      <c r="O16" t="str">
        <f t="shared" si="60"/>
        <v xml:space="preserve">		public virtual string IdLine { get; set; }
</v>
      </c>
      <c r="P16" t="str">
        <f t="shared" si="61"/>
        <v xml:space="preserve">							IdLine = o.IdLine,</v>
      </c>
      <c r="T16" s="69" t="str">
        <f t="shared" si="62"/>
        <v xml:space="preserve">								("IdLine"),</v>
      </c>
      <c r="V16" s="70" t="str">
        <f t="shared" si="63"/>
        <v xml:space="preserve">								_ =&gt; _.IdLine,</v>
      </c>
      <c r="W16" s="69" t="str">
        <f t="shared" si="64"/>
        <v xml:space="preserve">				.WhereIf(!string.IsNullOrWhiteSpace(input.IdLine), e =&gt; e.IdLine.Contains(input.IdLine))</v>
      </c>
    </row>
    <row r="17" spans="1:23" customFormat="1" ht="21" customHeight="1" x14ac:dyDescent="0.25">
      <c r="A17" s="6" t="s">
        <v>318</v>
      </c>
      <c r="B17" t="s">
        <v>319</v>
      </c>
      <c r="C17" t="s">
        <v>1</v>
      </c>
      <c r="D17" t="str">
        <f t="shared" si="52"/>
        <v>Spec200</v>
      </c>
      <c r="E17" t="str">
        <f t="shared" si="53"/>
        <v>nvarchar</v>
      </c>
      <c r="F17" s="7"/>
      <c r="G17" t="str">
        <f t="shared" si="54"/>
        <v>200</v>
      </c>
      <c r="H17" t="str">
        <f>+VLOOKUP(E17,'Data Type Mapping'!A:B,2,)</f>
        <v>string</v>
      </c>
      <c r="I17" t="str">
        <f t="shared" si="55"/>
        <v xml:space="preserve">		public const int MaxSpec200Length = 200;
</v>
      </c>
      <c r="J17" t="str">
        <f t="shared" si="56"/>
        <v xml:space="preserve">		[StringLength(MaxSpec200Length)]
		public virtual string Spec200 { get; set; }
</v>
      </c>
      <c r="K17" s="7"/>
      <c r="L17" t="str">
        <f t="shared" si="57"/>
        <v/>
      </c>
      <c r="M17" t="str">
        <f t="shared" si="58"/>
        <v xml:space="preserve">		public virtual string Spec200 { get; set; }
</v>
      </c>
      <c r="N17" t="str">
        <f t="shared" si="59"/>
        <v xml:space="preserve">		[StringLength(MstCmmLotCodeGradeConsts.MaxSpec200Length)]
		public virtual string Spec200 { get; set; }
</v>
      </c>
      <c r="O17" t="str">
        <f t="shared" si="60"/>
        <v xml:space="preserve">		public virtual string Spec200 { get; set; }
</v>
      </c>
      <c r="P17" t="str">
        <f t="shared" si="61"/>
        <v xml:space="preserve">							Spec200 = o.Spec200,</v>
      </c>
      <c r="T17" s="69" t="str">
        <f t="shared" si="62"/>
        <v xml:space="preserve">								("Spec200"),</v>
      </c>
      <c r="V17" s="70" t="str">
        <f t="shared" si="63"/>
        <v xml:space="preserve">								_ =&gt; _.Spec200,</v>
      </c>
      <c r="W17" s="69" t="str">
        <f t="shared" si="64"/>
        <v xml:space="preserve">				.WhereIf(!string.IsNullOrWhiteSpace(input.Spec200), e =&gt; e.Spec200.Contains(input.Spec200))</v>
      </c>
    </row>
    <row r="18" spans="1:23" customFormat="1" ht="21" customHeight="1" x14ac:dyDescent="0.25">
      <c r="A18" t="s">
        <v>320</v>
      </c>
      <c r="B18" t="s">
        <v>321</v>
      </c>
      <c r="C18" t="s">
        <v>1</v>
      </c>
      <c r="D18" t="str">
        <f t="shared" si="52"/>
        <v>SsNo</v>
      </c>
      <c r="E18" t="str">
        <f t="shared" si="53"/>
        <v>nvarchar</v>
      </c>
      <c r="F18" s="7"/>
      <c r="G18" t="str">
        <f t="shared" si="54"/>
        <v>2</v>
      </c>
      <c r="H18" t="str">
        <f>+VLOOKUP(E18,'Data Type Mapping'!A:B,2,)</f>
        <v>string</v>
      </c>
      <c r="I18" t="str">
        <f t="shared" si="55"/>
        <v xml:space="preserve">		public const int MaxSsNoLength = 2;
</v>
      </c>
      <c r="J18" t="str">
        <f t="shared" si="56"/>
        <v xml:space="preserve">		[StringLength(MaxSsNoLength)]
		public virtual string SsNo { get; set; }
</v>
      </c>
      <c r="K18" s="7"/>
      <c r="L18" t="str">
        <f t="shared" si="57"/>
        <v/>
      </c>
      <c r="M18" t="str">
        <f t="shared" si="58"/>
        <v xml:space="preserve">		public virtual string SsNo { get; set; }
</v>
      </c>
      <c r="N18" t="str">
        <f t="shared" si="59"/>
        <v xml:space="preserve">		[StringLength(MstCmmLotCodeGradeConsts.MaxSsNoLength)]
		public virtual string SsNo { get; set; }
</v>
      </c>
      <c r="O18" t="str">
        <f t="shared" si="60"/>
        <v xml:space="preserve">		public virtual string SsNo { get; set; }
</v>
      </c>
      <c r="P18" t="str">
        <f t="shared" si="61"/>
        <v xml:space="preserve">							SsNo = o.SsNo,</v>
      </c>
      <c r="T18" s="69" t="str">
        <f t="shared" si="62"/>
        <v xml:space="preserve">								("SsNo"),</v>
      </c>
      <c r="V18" s="70" t="str">
        <f t="shared" si="63"/>
        <v xml:space="preserve">								_ =&gt; _.SsNo,</v>
      </c>
      <c r="W18" s="69" t="str">
        <f t="shared" si="64"/>
        <v xml:space="preserve">				.WhereIf(!string.IsNullOrWhiteSpace(input.SsNo), e =&gt; e.SsNo.Contains(input.SsNo))</v>
      </c>
    </row>
    <row r="19" spans="1:23" customFormat="1" ht="21" customHeight="1" x14ac:dyDescent="0.25">
      <c r="A19" t="s">
        <v>322</v>
      </c>
      <c r="B19" t="s">
        <v>323</v>
      </c>
      <c r="C19" t="s">
        <v>1</v>
      </c>
      <c r="D19" t="str">
        <f t="shared" si="52"/>
        <v>KatashikiCtl</v>
      </c>
      <c r="E19" t="str">
        <f t="shared" si="53"/>
        <v>nvarchar</v>
      </c>
      <c r="F19" s="7"/>
      <c r="G19" t="str">
        <f t="shared" si="54"/>
        <v>20</v>
      </c>
      <c r="H19" t="str">
        <f>+VLOOKUP(E19,'Data Type Mapping'!A:B,2,)</f>
        <v>string</v>
      </c>
      <c r="I19" t="str">
        <f t="shared" si="55"/>
        <v xml:space="preserve">		public const int MaxKatashikiCtlLength = 20;
</v>
      </c>
      <c r="J19" t="str">
        <f t="shared" si="56"/>
        <v xml:space="preserve">		[StringLength(MaxKatashikiCtlLength)]
		public virtual string KatashikiCtl { get; set; }
</v>
      </c>
      <c r="K19" s="7"/>
      <c r="L19" t="str">
        <f t="shared" si="57"/>
        <v/>
      </c>
      <c r="M19" t="str">
        <f t="shared" si="58"/>
        <v xml:space="preserve">		public virtual string KatashikiCtl { get; set; }
</v>
      </c>
      <c r="N19" t="str">
        <f t="shared" si="59"/>
        <v xml:space="preserve">		[StringLength(MstCmmLotCodeGradeConsts.MaxKatashikiCtlLength)]
		public virtual string KatashikiCtl { get; set; }
</v>
      </c>
      <c r="O19" t="str">
        <f t="shared" si="60"/>
        <v xml:space="preserve">		public virtual string KatashikiCtl { get; set; }
</v>
      </c>
      <c r="P19" t="str">
        <f t="shared" si="61"/>
        <v xml:space="preserve">							KatashikiCtl = o.KatashikiCtl,</v>
      </c>
      <c r="T19" s="69" t="str">
        <f t="shared" si="62"/>
        <v xml:space="preserve">								("KatashikiCtl"),</v>
      </c>
      <c r="V19" s="70" t="str">
        <f t="shared" si="63"/>
        <v xml:space="preserve">								_ =&gt; _.KatashikiCtl,</v>
      </c>
      <c r="W19" s="69" t="str">
        <f t="shared" si="64"/>
        <v xml:space="preserve">				.WhereIf(!string.IsNullOrWhiteSpace(input.KatashikiCtl), e =&gt; e.KatashikiCtl.Contains(input.KatashikiCtl))</v>
      </c>
    </row>
    <row r="20" spans="1:23" customFormat="1" ht="21" customHeight="1" x14ac:dyDescent="0.25">
      <c r="A20" t="s">
        <v>325</v>
      </c>
      <c r="B20" t="s">
        <v>323</v>
      </c>
      <c r="C20" t="s">
        <v>1</v>
      </c>
      <c r="D20" t="str">
        <f t="shared" ref="D20:D26" si="65">SUBSTITUTE(PROPER(A20),"_","")</f>
        <v>Katashiki</v>
      </c>
      <c r="E20" t="str">
        <f t="shared" ref="E20:E26" si="66">IFERROR(LEFT(B20, FIND("(",B20)-1),B20)</f>
        <v>nvarchar</v>
      </c>
      <c r="F20" s="7"/>
      <c r="G20" t="str">
        <f t="shared" ref="G20:G26" si="67">IFERROR(MID(B20,FIND("(",B20) +1, FIND(")",B20) - FIND("(",B20) - 1),"")</f>
        <v>20</v>
      </c>
      <c r="H20" t="str">
        <f>+VLOOKUP(E20,'Data Type Mapping'!A:B,2,)</f>
        <v>string</v>
      </c>
      <c r="I20" t="str">
        <f t="shared" ref="I20:I26" si="68">IF(H20="string",REPT(CHAR(9),2)&amp;"public const int Max"&amp;D20&amp;"Length = "&amp;G20&amp;";"&amp;$E$3,"" )</f>
        <v xml:space="preserve">		public const int MaxKatashikiLength = 20;
</v>
      </c>
      <c r="J20" t="str">
        <f t="shared" ref="J20:J26" si="69">IF(F20="","",REPT(CHAR(9),2)&amp;"[Column(TypeName="""&amp;F20&amp;""")]"&amp;$E$3)&amp;IF(C20="Checked","",$I$3)&amp;IF(H20="string",REPT(CHAR(9),2)&amp;"[StringLength(Max"&amp;D20&amp;"Length"&amp;")]"&amp;$E$3,"")&amp;REPT(CHAR(9),2)&amp;"public virtual "&amp;H20&amp;IF(C20="?","? "," ")&amp;D20&amp;" { get; set; }" &amp; "
"</f>
        <v xml:space="preserve">		[StringLength(MaxKatashikiLength)]
		public virtual string Katashiki { get; set; }
</v>
      </c>
      <c r="K20" s="7"/>
      <c r="L20" t="str">
        <f t="shared" ref="L20:L26" si="70">IF(K20="","",REPT(CHAR(9),1)&amp;"[Index(nameof("&amp;IF(D20="","",""&amp;D20)&amp;")"&amp;", Name="&amp;"""IX_"&amp;$B$7&amp;"_"&amp;D20&amp;""")]")</f>
        <v/>
      </c>
      <c r="M20" t="str">
        <f t="shared" ref="M20:M26" si="71">REPT(CHAR(9),2)&amp;"public virtual "&amp;IF(OR(H20="DateTime",H20="TimeSpan"),H20&amp;"?",H20)&amp;IF(C20="?","? "," ")&amp;D20&amp;" { get; set; }" &amp; "
"</f>
        <v xml:space="preserve">		public virtual string Katashiki { get; set; }
</v>
      </c>
      <c r="N20" t="str">
        <f t="shared" ref="N20:N26" si="72"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[StringLength(MstCmmLotCodeGradeConsts.MaxKatashikiLength)]
		public virtual string Katashiki { get; set; }
</v>
      </c>
      <c r="O20" t="str">
        <f t="shared" ref="O20:O26" si="73">IF(OR(H20="string",H20="DateTime",H20="int"),REPT(CHAR(9),2)&amp;"public virtual "&amp;IF(OR(H20="DateTime",H20="TimeSpan"),H20&amp;"?",H20)&amp;IF(C20="?","? "," ")&amp;D20&amp;" { get; set; }"&amp;$E$3,"")</f>
        <v xml:space="preserve">		public virtual string Katashiki { get; set; }
</v>
      </c>
      <c r="P20" t="str">
        <f t="shared" ref="P20:P26" si="74">REPT(CHAR(9),7)&amp;D20&amp;" = o." &amp;D20 &amp;","</f>
        <v xml:space="preserve">							Katashiki = o.Katashiki,</v>
      </c>
      <c r="T20" s="69" t="str">
        <f t="shared" ref="T20:T26" si="75">REPT(CHAR(9),8)&amp;"("""&amp;D20&amp;"""),"</f>
        <v xml:space="preserve">								("Katashiki"),</v>
      </c>
      <c r="V20" s="70" t="str">
        <f t="shared" ref="V20:V26" si="76">REPT(CHAR(9),8)&amp;"_ =&gt; _."&amp;D20&amp;","</f>
        <v xml:space="preserve">								_ =&gt; _.Katashiki,</v>
      </c>
      <c r="W20" s="69" t="str">
        <f t="shared" ref="W20:W26" si="77"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 xml:space="preserve">				.WhereIf(!string.IsNullOrWhiteSpace(input.Katashiki), e =&gt; e.Katashiki.Contains(input.Katashiki))</v>
      </c>
    </row>
    <row r="21" spans="1:23" customFormat="1" ht="21" customHeight="1" x14ac:dyDescent="0.25">
      <c r="A21" t="s">
        <v>324</v>
      </c>
      <c r="B21" t="s">
        <v>321</v>
      </c>
      <c r="C21" t="s">
        <v>1</v>
      </c>
      <c r="D21" t="str">
        <f>SUBSTITUTE(PROPER(A21),"_","")</f>
        <v>VehNameCd</v>
      </c>
      <c r="E21" t="str">
        <f>IFERROR(LEFT(B21, FIND("(",B21)-1),B21)</f>
        <v>nvarchar</v>
      </c>
      <c r="F21" s="7"/>
      <c r="G21" t="str">
        <f>IFERROR(MID(B21,FIND("(",B21) +1, FIND(")",B21) - FIND("(",B21) - 1),"")</f>
        <v>2</v>
      </c>
      <c r="H21" t="str">
        <f>+VLOOKUP(E21,'Data Type Mapping'!A:B,2,)</f>
        <v>string</v>
      </c>
      <c r="I21" t="str">
        <f>IF(H21="string",REPT(CHAR(9),2)&amp;"public const int Max"&amp;D21&amp;"Length = "&amp;G21&amp;";"&amp;$E$3,"" )</f>
        <v xml:space="preserve">		public const int MaxVehNameCdLength = 2;
</v>
      </c>
      <c r="J21" t="str">
        <f>IF(F21="","",REPT(CHAR(9),2)&amp;"[Column(TypeName="""&amp;F21&amp;""")]"&amp;$E$3)&amp;IF(C21="Checked","",$I$3)&amp;IF(H21="string",REPT(CHAR(9),2)&amp;"[StringLength(Max"&amp;D21&amp;"Length"&amp;")]"&amp;$E$3,"")&amp;REPT(CHAR(9),2)&amp;"public virtual "&amp;H21&amp;IF(C21="?","? "," ")&amp;D21&amp;" { get; set; }" &amp; "
"</f>
        <v xml:space="preserve">		[StringLength(MaxVehNameCdLength)]
		public virtual string VehNameCd { get; set; }
</v>
      </c>
      <c r="K21" s="7"/>
      <c r="L21" t="str">
        <f>IF(K21="","",REPT(CHAR(9),1)&amp;"[Index(nameof("&amp;IF(D21="","",""&amp;D21)&amp;")"&amp;", Name="&amp;"""IX_"&amp;$B$7&amp;"_"&amp;D21&amp;""")]")</f>
        <v/>
      </c>
      <c r="M21" t="str">
        <f>REPT(CHAR(9),2)&amp;"public virtual "&amp;IF(OR(H21="DateTime",H21="TimeSpan"),H21&amp;"?",H21)&amp;IF(C21="?","? "," ")&amp;D21&amp;" { get; set; }" &amp; "
"</f>
        <v xml:space="preserve">		public virtual string VehNameCd { get; set; }
</v>
      </c>
      <c r="N21" t="str">
        <f>IF(C21="Checked","",$I$3)&amp;IF(H21="string",REPT(CHAR(9),2)&amp;"[StringLength("&amp;$B$3&amp;"Consts.Max"&amp;D21&amp;"Length"&amp;")]"&amp;$E$3,"")&amp;REPT(CHAR(9),2)&amp;"public virtual "&amp;IF(OR(H21="DateTime",H21="TimeSpan"),H21&amp;"?",H21)&amp;IF(C21="?","? "," ")&amp;D21&amp;" { get; set; }" &amp; "
"</f>
        <v xml:space="preserve">		[StringLength(MstCmmLotCodeGradeConsts.MaxVehNameCdLength)]
		public virtual string VehNameCd { get; set; }
</v>
      </c>
      <c r="O21" t="str">
        <f>IF(OR(H21="string",H21="DateTime",H21="int"),REPT(CHAR(9),2)&amp;"public virtual "&amp;IF(OR(H21="DateTime",H21="TimeSpan"),H21&amp;"?",H21)&amp;IF(C21="?","? "," ")&amp;D21&amp;" { get; set; }"&amp;$E$3,"")</f>
        <v xml:space="preserve">		public virtual string VehNameCd { get; set; }
</v>
      </c>
      <c r="P21" t="str">
        <f>REPT(CHAR(9),7)&amp;D21&amp;" = o." &amp;D21 &amp;","</f>
        <v xml:space="preserve">							VehNameCd = o.VehNameCd,</v>
      </c>
      <c r="T21" s="69" t="str">
        <f>REPT(CHAR(9),8)&amp;"("""&amp;D21&amp;"""),"</f>
        <v xml:space="preserve">								("VehNameCd"),</v>
      </c>
      <c r="V21" s="70" t="str">
        <f>REPT(CHAR(9),8)&amp;"_ =&gt; _."&amp;D21&amp;","</f>
        <v xml:space="preserve">								_ =&gt; _.VehNameCd,</v>
      </c>
      <c r="W21" s="69" t="str">
        <f>IF(H21="string",REPT(CHAR(9),4)&amp;".WhereIf(!string.IsNullOrWhiteSpace(input."&amp;D21&amp;"), e =&gt; e."&amp;D21&amp;".Contains(input."&amp;D21&amp;"))",IF(H21="DateTime",REPT(CHAR(9),4)&amp;".WhereIf(input."&amp;D21&amp;".HasValue, t =&gt; t."&amp;D21&amp;" == input."&amp;D21&amp;".Value)",""))</f>
        <v xml:space="preserve">				.WhereIf(!string.IsNullOrWhiteSpace(input.VehNameCd), e =&gt; e.VehNameCd.Contains(input.VehNameCd))</v>
      </c>
    </row>
    <row r="22" spans="1:23" customFormat="1" ht="21" customHeight="1" x14ac:dyDescent="0.25">
      <c r="A22" t="s">
        <v>326</v>
      </c>
      <c r="B22" t="s">
        <v>327</v>
      </c>
      <c r="C22" t="s">
        <v>1</v>
      </c>
      <c r="D22" t="str">
        <f t="shared" si="65"/>
        <v>MarLotCode</v>
      </c>
      <c r="E22" t="str">
        <f t="shared" si="66"/>
        <v>nvarchar</v>
      </c>
      <c r="F22" s="7"/>
      <c r="G22" t="str">
        <f t="shared" si="67"/>
        <v>50</v>
      </c>
      <c r="H22" t="str">
        <f>+VLOOKUP(E22,'Data Type Mapping'!A:B,2,)</f>
        <v>string</v>
      </c>
      <c r="I22" t="str">
        <f t="shared" si="68"/>
        <v xml:space="preserve">		public const int MaxMarLotCodeLength = 50;
</v>
      </c>
      <c r="J22" t="str">
        <f t="shared" si="69"/>
        <v xml:space="preserve">		[StringLength(MaxMarLotCodeLength)]
		public virtual string MarLotCode { get; set; }
</v>
      </c>
      <c r="K22" s="7"/>
      <c r="L22" t="str">
        <f t="shared" si="70"/>
        <v/>
      </c>
      <c r="M22" t="str">
        <f t="shared" si="71"/>
        <v xml:space="preserve">		public virtual string MarLotCode { get; set; }
</v>
      </c>
      <c r="N22" t="str">
        <f t="shared" si="72"/>
        <v xml:space="preserve">		[StringLength(MstCmmLotCodeGradeConsts.MaxMarLotCodeLength)]
		public virtual string MarLotCode { get; set; }
</v>
      </c>
      <c r="O22" t="str">
        <f t="shared" si="73"/>
        <v xml:space="preserve">		public virtual string MarLotCode { get; set; }
</v>
      </c>
      <c r="P22" t="str">
        <f t="shared" si="74"/>
        <v xml:space="preserve">							MarLotCode = o.MarLotCode,</v>
      </c>
      <c r="T22" s="69" t="str">
        <f t="shared" si="75"/>
        <v xml:space="preserve">								("MarLotCode"),</v>
      </c>
      <c r="V22" s="70" t="str">
        <f t="shared" si="76"/>
        <v xml:space="preserve">								_ =&gt; _.MarLotCode,</v>
      </c>
      <c r="W22" s="69" t="str">
        <f t="shared" si="77"/>
        <v xml:space="preserve">				.WhereIf(!string.IsNullOrWhiteSpace(input.MarLotCode), e =&gt; e.MarLotCode.Contains(input.MarLotCode))</v>
      </c>
    </row>
    <row r="23" spans="1:23" customFormat="1" ht="21" customHeight="1" x14ac:dyDescent="0.25">
      <c r="A23" s="6" t="s">
        <v>328</v>
      </c>
      <c r="B23" t="s">
        <v>329</v>
      </c>
      <c r="C23" t="s">
        <v>1</v>
      </c>
      <c r="D23" t="str">
        <f t="shared" si="65"/>
        <v>TestNo</v>
      </c>
      <c r="E23" t="str">
        <f t="shared" si="66"/>
        <v>nvarchar</v>
      </c>
      <c r="F23" s="7"/>
      <c r="G23" t="str">
        <f t="shared" si="67"/>
        <v>10</v>
      </c>
      <c r="H23" t="str">
        <f>+VLOOKUP(E23,'Data Type Mapping'!A:B,2,)</f>
        <v>string</v>
      </c>
      <c r="I23" t="str">
        <f t="shared" si="68"/>
        <v xml:space="preserve">		public const int MaxTestNoLength = 10;
</v>
      </c>
      <c r="J23" t="str">
        <f t="shared" si="69"/>
        <v xml:space="preserve">		[StringLength(MaxTestNoLength)]
		public virtual string TestNo { get; set; }
</v>
      </c>
      <c r="K23" s="7"/>
      <c r="L23" t="str">
        <f t="shared" si="70"/>
        <v/>
      </c>
      <c r="M23" t="str">
        <f t="shared" si="71"/>
        <v xml:space="preserve">		public virtual string TestNo { get; set; }
</v>
      </c>
      <c r="N23" t="str">
        <f t="shared" si="72"/>
        <v xml:space="preserve">		[StringLength(MstCmmLotCodeGradeConsts.MaxTestNoLength)]
		public virtual string TestNo { get; set; }
</v>
      </c>
      <c r="O23" t="str">
        <f t="shared" si="73"/>
        <v xml:space="preserve">		public virtual string TestNo { get; set; }
</v>
      </c>
      <c r="P23" t="str">
        <f t="shared" si="74"/>
        <v xml:space="preserve">							TestNo = o.TestNo,</v>
      </c>
      <c r="T23" s="69" t="str">
        <f t="shared" si="75"/>
        <v xml:space="preserve">								("TestNo"),</v>
      </c>
      <c r="V23" s="70" t="str">
        <f t="shared" si="76"/>
        <v xml:space="preserve">								_ =&gt; _.TestNo,</v>
      </c>
      <c r="W23" s="69" t="str">
        <f t="shared" si="77"/>
        <v xml:space="preserve">				.WhereIf(!string.IsNullOrWhiteSpace(input.TestNo), e =&gt; e.TestNo.Contains(input.TestNo))</v>
      </c>
    </row>
    <row r="24" spans="1:23" customFormat="1" ht="21" customHeight="1" x14ac:dyDescent="0.25">
      <c r="A24" t="s">
        <v>330</v>
      </c>
      <c r="B24" t="s">
        <v>321</v>
      </c>
      <c r="C24" t="s">
        <v>1</v>
      </c>
      <c r="D24" t="str">
        <f t="shared" si="65"/>
        <v>VehicleId</v>
      </c>
      <c r="E24" t="str">
        <f t="shared" si="66"/>
        <v>nvarchar</v>
      </c>
      <c r="F24" s="7"/>
      <c r="G24" t="str">
        <f t="shared" si="67"/>
        <v>2</v>
      </c>
      <c r="H24" t="str">
        <f>+VLOOKUP(E24,'Data Type Mapping'!A:B,2,)</f>
        <v>string</v>
      </c>
      <c r="I24" t="str">
        <f t="shared" si="68"/>
        <v xml:space="preserve">		public const int MaxVehicleIdLength = 2;
</v>
      </c>
      <c r="J24" t="str">
        <f t="shared" si="69"/>
        <v xml:space="preserve">		[StringLength(MaxVehicleIdLength)]
		public virtual string VehicleId { get; set; }
</v>
      </c>
      <c r="K24" s="7"/>
      <c r="L24" t="str">
        <f t="shared" si="70"/>
        <v/>
      </c>
      <c r="M24" t="str">
        <f t="shared" si="71"/>
        <v xml:space="preserve">		public virtual string VehicleId { get; set; }
</v>
      </c>
      <c r="N24" t="str">
        <f t="shared" si="72"/>
        <v xml:space="preserve">		[StringLength(MstCmmLotCodeGradeConsts.MaxVehicleIdLength)]
		public virtual string VehicleId { get; set; }
</v>
      </c>
      <c r="O24" t="str">
        <f t="shared" si="73"/>
        <v xml:space="preserve">		public virtual string VehicleId { get; set; }
</v>
      </c>
      <c r="P24" t="str">
        <f t="shared" si="74"/>
        <v xml:space="preserve">							VehicleId = o.VehicleId,</v>
      </c>
      <c r="T24" s="69" t="str">
        <f t="shared" si="75"/>
        <v xml:space="preserve">								("VehicleId"),</v>
      </c>
      <c r="V24" s="70" t="str">
        <f t="shared" si="76"/>
        <v xml:space="preserve">								_ =&gt; _.VehicleId,</v>
      </c>
      <c r="W24" s="69" t="str">
        <f t="shared" si="77"/>
        <v xml:space="preserve">				.WhereIf(!string.IsNullOrWhiteSpace(input.VehicleId), e =&gt; e.VehicleId.Contains(input.VehicleId))</v>
      </c>
    </row>
    <row r="25" spans="1:23" customFormat="1" ht="21" customHeight="1" x14ac:dyDescent="0.25">
      <c r="A25" t="s">
        <v>340</v>
      </c>
      <c r="B25" t="s">
        <v>315</v>
      </c>
      <c r="C25" t="s">
        <v>1</v>
      </c>
      <c r="D25" t="str">
        <f t="shared" ref="D25" si="78">SUBSTITUTE(PROPER(A25),"_","")</f>
        <v>ProdSfx</v>
      </c>
      <c r="E25" t="str">
        <f t="shared" ref="E25" si="79">IFERROR(LEFT(B25, FIND("(",B25)-1),B25)</f>
        <v>varchar</v>
      </c>
      <c r="F25" s="7"/>
      <c r="G25" t="str">
        <f t="shared" ref="G25" si="80">IFERROR(MID(B25,FIND("(",B25) +1, FIND(")",B25) - FIND("(",B25) - 1),"")</f>
        <v>2</v>
      </c>
      <c r="H25" t="str">
        <f>+VLOOKUP(E25,'Data Type Mapping'!A:B,2,)</f>
        <v>string</v>
      </c>
      <c r="I25" t="str">
        <f t="shared" ref="I25" si="81">IF(H25="string",REPT(CHAR(9),2)&amp;"public const int Max"&amp;D25&amp;"Length = "&amp;G25&amp;";"&amp;$E$3,"" )</f>
        <v xml:space="preserve">		public const int MaxProdSfxLength = 2;
</v>
      </c>
      <c r="J25" t="str">
        <f t="shared" ref="J25" si="82">IF(F25="","",REPT(CHAR(9),2)&amp;"[Column(TypeName="""&amp;F25&amp;""")]"&amp;$E$3)&amp;IF(C25="Checked","",$I$3)&amp;IF(H25="string",REPT(CHAR(9),2)&amp;"[StringLength(Max"&amp;D25&amp;"Length"&amp;")]"&amp;$E$3,"")&amp;REPT(CHAR(9),2)&amp;"public virtual "&amp;H25&amp;IF(C25="?","? "," ")&amp;D25&amp;" { get; set; }" &amp; "
"</f>
        <v xml:space="preserve">		[StringLength(MaxProdSfxLength)]
		public virtual string ProdSfx { get; set; }
</v>
      </c>
      <c r="K25" s="7" t="s">
        <v>206</v>
      </c>
      <c r="L25" t="str">
        <f t="shared" ref="L25" si="83">IF(K25="","",REPT(CHAR(9),1)&amp;"[Index(nameof("&amp;IF(D25="","",""&amp;D25)&amp;")"&amp;", Name="&amp;"""IX_"&amp;$B$7&amp;"_"&amp;D25&amp;""")]")</f>
        <v xml:space="preserve">	[Index(nameof(ProdSfx), Name="IX_MstCmmLotCodeGrade_ProdSfx")]</v>
      </c>
      <c r="M25" t="str">
        <f t="shared" ref="M25" si="84">REPT(CHAR(9),2)&amp;"public virtual "&amp;IF(OR(H25="DateTime",H25="TimeSpan"),H25&amp;"?",H25)&amp;IF(C25="?","? "," ")&amp;D25&amp;" { get; set; }" &amp; "
"</f>
        <v xml:space="preserve">		public virtual string ProdSfx { get; set; }
</v>
      </c>
      <c r="N25" t="str">
        <f t="shared" ref="N25" si="85">IF(C25="Checked","",$I$3)&amp;IF(H25="string",REPT(CHAR(9),2)&amp;"[StringLength("&amp;$B$3&amp;"Consts.Max"&amp;D25&amp;"Length"&amp;")]"&amp;$E$3,"")&amp;REPT(CHAR(9),2)&amp;"public virtual "&amp;IF(OR(H25="DateTime",H25="TimeSpan"),H25&amp;"?",H25)&amp;IF(C25="?","? "," ")&amp;D25&amp;" { get; set; }" &amp; "
"</f>
        <v xml:space="preserve">		[StringLength(MstCmmLotCodeGradeConsts.MaxProdSfxLength)]
		public virtual string ProdSfx { get; set; }
</v>
      </c>
      <c r="O25" t="str">
        <f t="shared" ref="O25" si="86">IF(OR(H25="string",H25="DateTime",H25="int"),REPT(CHAR(9),2)&amp;"public virtual "&amp;IF(OR(H25="DateTime",H25="TimeSpan"),H25&amp;"?",H25)&amp;IF(C25="?","? "," ")&amp;D25&amp;" { get; set; }"&amp;$E$3,"")</f>
        <v xml:space="preserve">		public virtual string ProdSfx { get; set; }
</v>
      </c>
      <c r="P25" t="str">
        <f t="shared" ref="P25" si="87">REPT(CHAR(9),7)&amp;D25&amp;" = o." &amp;D25 &amp;","</f>
        <v xml:space="preserve">							ProdSfx = o.ProdSfx,</v>
      </c>
      <c r="T25" s="69" t="str">
        <f t="shared" ref="T25" si="88">REPT(CHAR(9),8)&amp;"("""&amp;D25&amp;"""),"</f>
        <v xml:space="preserve">								("ProdSfx"),</v>
      </c>
      <c r="V25" s="70" t="str">
        <f t="shared" ref="V25" si="89">REPT(CHAR(9),8)&amp;"_ =&gt; _."&amp;D25&amp;","</f>
        <v xml:space="preserve">								_ =&gt; _.ProdSfx,</v>
      </c>
      <c r="W25" s="69" t="str">
        <f t="shared" ref="W25" si="90">IF(H25="string",REPT(CHAR(9),4)&amp;".WhereIf(!string.IsNullOrWhiteSpace(input."&amp;D25&amp;"), e =&gt; e."&amp;D25&amp;".Contains(input."&amp;D25&amp;"))",IF(H25="DateTime",REPT(CHAR(9),4)&amp;".WhereIf(input."&amp;D25&amp;".HasValue, t =&gt; t."&amp;D25&amp;" == input."&amp;D25&amp;".Value)",""))</f>
        <v xml:space="preserve">				.WhereIf(!string.IsNullOrWhiteSpace(input.ProdSfx), e =&gt; e.ProdSfx.Contains(input.ProdSfx))</v>
      </c>
    </row>
    <row r="26" spans="1:23" customFormat="1" ht="21" customHeight="1" x14ac:dyDescent="0.25">
      <c r="A26" t="s">
        <v>341</v>
      </c>
      <c r="B26" t="s">
        <v>315</v>
      </c>
      <c r="C26" t="s">
        <v>1</v>
      </c>
      <c r="D26" t="str">
        <f t="shared" si="65"/>
        <v>SalesSfx</v>
      </c>
      <c r="E26" t="str">
        <f t="shared" si="66"/>
        <v>varchar</v>
      </c>
      <c r="F26" s="7"/>
      <c r="G26" t="str">
        <f t="shared" si="67"/>
        <v>2</v>
      </c>
      <c r="H26" t="str">
        <f>+VLOOKUP(E26,'Data Type Mapping'!A:B,2,)</f>
        <v>string</v>
      </c>
      <c r="I26" t="str">
        <f t="shared" si="68"/>
        <v xml:space="preserve">		public const int MaxSalesSfxLength = 2;
</v>
      </c>
      <c r="J26" t="str">
        <f t="shared" si="69"/>
        <v xml:space="preserve">		[StringLength(MaxSalesSfxLength)]
		public virtual string SalesSfx { get; set; }
</v>
      </c>
      <c r="K26" s="7" t="s">
        <v>206</v>
      </c>
      <c r="L26" t="str">
        <f t="shared" si="70"/>
        <v xml:space="preserve">	[Index(nameof(SalesSfx), Name="IX_MstCmmLotCodeGrade_SalesSfx")]</v>
      </c>
      <c r="M26" t="str">
        <f t="shared" si="71"/>
        <v xml:space="preserve">		public virtual string SalesSfx { get; set; }
</v>
      </c>
      <c r="N26" t="str">
        <f t="shared" si="72"/>
        <v xml:space="preserve">		[StringLength(MstCmmLotCodeGradeConsts.MaxSalesSfxLength)]
		public virtual string SalesSfx { get; set; }
</v>
      </c>
      <c r="O26" t="str">
        <f t="shared" si="73"/>
        <v xml:space="preserve">		public virtual string SalesSfx { get; set; }
</v>
      </c>
      <c r="P26" t="str">
        <f t="shared" si="74"/>
        <v xml:space="preserve">							SalesSfx = o.SalesSfx,</v>
      </c>
      <c r="T26" s="69" t="str">
        <f t="shared" si="75"/>
        <v xml:space="preserve">								("SalesSfx"),</v>
      </c>
      <c r="V26" s="70" t="str">
        <f t="shared" si="76"/>
        <v xml:space="preserve">								_ =&gt; _.SalesSfx,</v>
      </c>
      <c r="W26" s="69" t="str">
        <f t="shared" si="77"/>
        <v xml:space="preserve">				.WhereIf(!string.IsNullOrWhiteSpace(input.SalesSfx), e =&gt; e.SalesSfx.Contains(input.SalesSfx))</v>
      </c>
    </row>
    <row r="27" spans="1:23" customFormat="1" ht="21" customHeight="1" x14ac:dyDescent="0.25">
      <c r="A27" t="s">
        <v>332</v>
      </c>
      <c r="B27" t="s">
        <v>315</v>
      </c>
      <c r="C27" t="s">
        <v>1</v>
      </c>
      <c r="D27" t="str">
        <f t="shared" ref="D27:D29" si="91">SUBSTITUTE(PROPER(A27),"_","")</f>
        <v>Brand</v>
      </c>
      <c r="E27" t="str">
        <f t="shared" ref="E27:E29" si="92">IFERROR(LEFT(B27, FIND("(",B27)-1),B27)</f>
        <v>varchar</v>
      </c>
      <c r="F27" s="7"/>
      <c r="G27" t="str">
        <f t="shared" ref="G27:G29" si="93">IFERROR(MID(B27,FIND("(",B27) +1, FIND(")",B27) - FIND("(",B27) - 1),"")</f>
        <v>2</v>
      </c>
      <c r="H27" t="str">
        <f>+VLOOKUP(E27,'Data Type Mapping'!A:B,2,)</f>
        <v>string</v>
      </c>
      <c r="I27" t="str">
        <f t="shared" ref="I27:I29" si="94">IF(H27="string",REPT(CHAR(9),2)&amp;"public const int Max"&amp;D27&amp;"Length = "&amp;G27&amp;";"&amp;$E$3,"" )</f>
        <v xml:space="preserve">		public const int MaxBrandLength = 2;
</v>
      </c>
      <c r="J27" t="str">
        <f t="shared" ref="J27:J29" si="95">IF(F27="","",REPT(CHAR(9),2)&amp;"[Column(TypeName="""&amp;F27&amp;""")]"&amp;$E$3)&amp;IF(C27="Checked","",$I$3)&amp;IF(H27="string",REPT(CHAR(9),2)&amp;"[StringLength(Max"&amp;D27&amp;"Length"&amp;")]"&amp;$E$3,"")&amp;REPT(CHAR(9),2)&amp;"public virtual "&amp;H27&amp;IF(C27="?","? "," ")&amp;D27&amp;" { get; set; }" &amp; "
"</f>
        <v xml:space="preserve">		[StringLength(MaxBrandLength)]
		public virtual string Brand { get; set; }
</v>
      </c>
      <c r="K27" s="7"/>
      <c r="L27" t="str">
        <f t="shared" ref="L27:L29" si="96">IF(K27="","",REPT(CHAR(9),1)&amp;"[Index(nameof("&amp;IF(D27="","",""&amp;D27)&amp;")"&amp;", Name="&amp;"""IX_"&amp;$B$7&amp;"_"&amp;D27&amp;""")]")</f>
        <v/>
      </c>
      <c r="M27" t="str">
        <f t="shared" ref="M27:M29" si="97">REPT(CHAR(9),2)&amp;"public virtual "&amp;IF(OR(H27="DateTime",H27="TimeSpan"),H27&amp;"?",H27)&amp;IF(C27="?","? "," ")&amp;D27&amp;" { get; set; }" &amp; "
"</f>
        <v xml:space="preserve">		public virtual string Brand { get; set; }
</v>
      </c>
      <c r="N27" t="str">
        <f t="shared" ref="N27:N29" si="98">IF(C27="Checked","",$I$3)&amp;IF(H27="string",REPT(CHAR(9),2)&amp;"[StringLength("&amp;$B$3&amp;"Consts.Max"&amp;D27&amp;"Length"&amp;")]"&amp;$E$3,"")&amp;REPT(CHAR(9),2)&amp;"public virtual "&amp;IF(OR(H27="DateTime",H27="TimeSpan"),H27&amp;"?",H27)&amp;IF(C27="?","? "," ")&amp;D27&amp;" { get; set; }" &amp; "
"</f>
        <v xml:space="preserve">		[StringLength(MstCmmLotCodeGradeConsts.MaxBrandLength)]
		public virtual string Brand { get; set; }
</v>
      </c>
      <c r="O27" t="str">
        <f t="shared" ref="O27:O29" si="99">IF(OR(H27="string",H27="DateTime",H27="int"),REPT(CHAR(9),2)&amp;"public virtual "&amp;IF(OR(H27="DateTime",H27="TimeSpan"),H27&amp;"?",H27)&amp;IF(C27="?","? "," ")&amp;D27&amp;" { get; set; }"&amp;$E$3,"")</f>
        <v xml:space="preserve">		public virtual string Brand { get; set; }
</v>
      </c>
      <c r="P27" t="str">
        <f t="shared" ref="P27:P29" si="100">REPT(CHAR(9),7)&amp;D27&amp;" = o." &amp;D27 &amp;","</f>
        <v xml:space="preserve">							Brand = o.Brand,</v>
      </c>
      <c r="T27" s="69" t="str">
        <f t="shared" ref="T27:T29" si="101">REPT(CHAR(9),8)&amp;"("""&amp;D27&amp;"""),"</f>
        <v xml:space="preserve">								("Brand"),</v>
      </c>
      <c r="V27" s="70" t="str">
        <f t="shared" ref="V27:V29" si="102">REPT(CHAR(9),8)&amp;"_ =&gt; _."&amp;D27&amp;","</f>
        <v xml:space="preserve">								_ =&gt; _.Brand,</v>
      </c>
      <c r="W27" s="69" t="str">
        <f t="shared" ref="W27:W29" si="103">IF(H27="string",REPT(CHAR(9),4)&amp;".WhereIf(!string.IsNullOrWhiteSpace(input."&amp;D27&amp;"), e =&gt; e."&amp;D27&amp;".Contains(input."&amp;D27&amp;"))",IF(H27="DateTime",REPT(CHAR(9),4)&amp;".WhereIf(input."&amp;D27&amp;".HasValue, t =&gt; t."&amp;D27&amp;" == input."&amp;D27&amp;".Value)",""))</f>
        <v xml:space="preserve">				.WhereIf(!string.IsNullOrWhiteSpace(input.Brand), e =&gt; e.Brand.Contains(input.Brand))</v>
      </c>
    </row>
    <row r="28" spans="1:23" customFormat="1" ht="21" customHeight="1" x14ac:dyDescent="0.25">
      <c r="A28" t="s">
        <v>335</v>
      </c>
      <c r="B28" t="s">
        <v>336</v>
      </c>
      <c r="C28" t="s">
        <v>1</v>
      </c>
      <c r="D28" t="str">
        <f>SUBSTITUTE(PROPER(A28),"_","")</f>
        <v>CarSeries</v>
      </c>
      <c r="E28" t="str">
        <f>IFERROR(LEFT(B28, FIND("(",B28)-1),B28)</f>
        <v>varchar</v>
      </c>
      <c r="F28" s="7"/>
      <c r="G28" t="str">
        <f>IFERROR(MID(B28,FIND("(",B28) +1, FIND(")",B28) - FIND("(",B28) - 1),"")</f>
        <v>18</v>
      </c>
      <c r="H28" t="str">
        <f>+VLOOKUP(E28,'Data Type Mapping'!A:B,2,)</f>
        <v>string</v>
      </c>
      <c r="I28" t="str">
        <f>IF(H28="string",REPT(CHAR(9),2)&amp;"public const int Max"&amp;D28&amp;"Length = "&amp;G28&amp;";"&amp;$E$3,"" )</f>
        <v xml:space="preserve">		public const int MaxCarSeriesLength = 18;
</v>
      </c>
      <c r="J28" t="str">
        <f>IF(F28="","",REPT(CHAR(9),2)&amp;"[Column(TypeName="""&amp;F28&amp;""")]"&amp;$E$3)&amp;IF(C28="Checked","",$I$3)&amp;IF(H28="string",REPT(CHAR(9),2)&amp;"[StringLength(Max"&amp;D28&amp;"Length"&amp;")]"&amp;$E$3,"")&amp;REPT(CHAR(9),2)&amp;"public virtual "&amp;H28&amp;IF(C28="?","? "," ")&amp;D28&amp;" { get; set; }" &amp; "
"</f>
        <v xml:space="preserve">		[StringLength(MaxCarSeriesLength)]
		public virtual string CarSeries { get; set; }
</v>
      </c>
      <c r="K28" s="7"/>
      <c r="L28" t="str">
        <f>IF(K28="","",REPT(CHAR(9),1)&amp;"[Index(nameof("&amp;IF(D28="","",""&amp;D28)&amp;")"&amp;", Name="&amp;"""IX_"&amp;$B$7&amp;"_"&amp;D28&amp;""")]")</f>
        <v/>
      </c>
      <c r="M28" t="str">
        <f>REPT(CHAR(9),2)&amp;"public virtual "&amp;IF(OR(H28="DateTime",H28="TimeSpan"),H28&amp;"?",H28)&amp;IF(C28="?","? "," ")&amp;D28&amp;" { get; set; }" &amp; "
"</f>
        <v xml:space="preserve">		public virtual string CarSeries { get; set; }
</v>
      </c>
      <c r="N28" t="str">
        <f>IF(C28="Checked","",$I$3)&amp;IF(H28="string",REPT(CHAR(9),2)&amp;"[StringLength("&amp;$B$3&amp;"Consts.Max"&amp;D28&amp;"Length"&amp;")]"&amp;$E$3,"")&amp;REPT(CHAR(9),2)&amp;"public virtual "&amp;IF(OR(H28="DateTime",H28="TimeSpan"),H28&amp;"?",H28)&amp;IF(C28="?","? "," ")&amp;D28&amp;" { get; set; }" &amp; "
"</f>
        <v xml:space="preserve">		[StringLength(MstCmmLotCodeGradeConsts.MaxCarSeriesLength)]
		public virtual string CarSeries { get; set; }
</v>
      </c>
      <c r="O28" t="str">
        <f>IF(OR(H28="string",H28="DateTime",H28="int"),REPT(CHAR(9),2)&amp;"public virtual "&amp;IF(OR(H28="DateTime",H28="TimeSpan"),H28&amp;"?",H28)&amp;IF(C28="?","? "," ")&amp;D28&amp;" { get; set; }"&amp;$E$3,"")</f>
        <v xml:space="preserve">		public virtual string CarSeries { get; set; }
</v>
      </c>
      <c r="P28" t="str">
        <f>REPT(CHAR(9),7)&amp;D28&amp;" = o." &amp;D28 &amp;","</f>
        <v xml:space="preserve">							CarSeries = o.CarSeries,</v>
      </c>
      <c r="T28" s="69" t="str">
        <f>REPT(CHAR(9),8)&amp;"("""&amp;D28&amp;"""),"</f>
        <v xml:space="preserve">								("CarSeries"),</v>
      </c>
      <c r="V28" s="70" t="str">
        <f>REPT(CHAR(9),8)&amp;"_ =&gt; _."&amp;D28&amp;","</f>
        <v xml:space="preserve">								_ =&gt; _.CarSeries,</v>
      </c>
      <c r="W28" s="69" t="str">
        <f>IF(H28="string",REPT(CHAR(9),4)&amp;".WhereIf(!string.IsNullOrWhiteSpace(input."&amp;D28&amp;"), e =&gt; e."&amp;D28&amp;".Contains(input."&amp;D28&amp;"))",IF(H28="DateTime",REPT(CHAR(9),4)&amp;".WhereIf(input."&amp;D28&amp;".HasValue, t =&gt; t."&amp;D28&amp;" == input."&amp;D28&amp;".Value)",""))</f>
        <v xml:space="preserve">				.WhereIf(!string.IsNullOrWhiteSpace(input.CarSeries), e =&gt; e.CarSeries.Contains(input.CarSeries))</v>
      </c>
    </row>
    <row r="29" spans="1:23" customFormat="1" ht="21" customHeight="1" x14ac:dyDescent="0.25">
      <c r="A29" t="s">
        <v>333</v>
      </c>
      <c r="B29" t="s">
        <v>315</v>
      </c>
      <c r="C29" t="s">
        <v>1</v>
      </c>
      <c r="D29" t="str">
        <f t="shared" si="91"/>
        <v>TransmissionType</v>
      </c>
      <c r="E29" t="str">
        <f t="shared" si="92"/>
        <v>varchar</v>
      </c>
      <c r="F29" s="7"/>
      <c r="G29" t="str">
        <f t="shared" si="93"/>
        <v>2</v>
      </c>
      <c r="H29" t="str">
        <f>+VLOOKUP(E29,'Data Type Mapping'!A:B,2,)</f>
        <v>string</v>
      </c>
      <c r="I29" t="str">
        <f t="shared" si="94"/>
        <v xml:space="preserve">		public const int MaxTransmissionTypeLength = 2;
</v>
      </c>
      <c r="J29" t="str">
        <f t="shared" si="95"/>
        <v xml:space="preserve">		[StringLength(MaxTransmissionTypeLength)]
		public virtual string TransmissionType { get; set; }
</v>
      </c>
      <c r="K29" s="7"/>
      <c r="L29" t="str">
        <f t="shared" si="96"/>
        <v/>
      </c>
      <c r="M29" t="str">
        <f t="shared" si="97"/>
        <v xml:space="preserve">		public virtual string TransmissionType { get; set; }
</v>
      </c>
      <c r="N29" t="str">
        <f t="shared" si="98"/>
        <v xml:space="preserve">		[StringLength(MstCmmLotCodeGradeConsts.MaxTransmissionTypeLength)]
		public virtual string TransmissionType { get; set; }
</v>
      </c>
      <c r="O29" t="str">
        <f t="shared" si="99"/>
        <v xml:space="preserve">		public virtual string TransmissionType { get; set; }
</v>
      </c>
      <c r="P29" t="str">
        <f t="shared" si="100"/>
        <v xml:space="preserve">							TransmissionType = o.TransmissionType,</v>
      </c>
      <c r="T29" s="69" t="str">
        <f t="shared" si="101"/>
        <v xml:space="preserve">								("TransmissionType"),</v>
      </c>
      <c r="V29" s="70" t="str">
        <f t="shared" si="102"/>
        <v xml:space="preserve">								_ =&gt; _.TransmissionType,</v>
      </c>
      <c r="W29" s="69" t="str">
        <f t="shared" si="103"/>
        <v xml:space="preserve">				.WhereIf(!string.IsNullOrWhiteSpace(input.TransmissionType), e =&gt; e.TransmissionType.Contains(input.TransmissionType))</v>
      </c>
    </row>
    <row r="30" spans="1:23" customFormat="1" ht="21" customHeight="1" x14ac:dyDescent="0.25">
      <c r="A30" t="s">
        <v>338</v>
      </c>
      <c r="B30" t="s">
        <v>339</v>
      </c>
      <c r="C30" t="s">
        <v>1</v>
      </c>
      <c r="D30" t="str">
        <f t="shared" ref="D30" si="104">SUBSTITUTE(PROPER(A30),"_","")</f>
        <v>EngineType</v>
      </c>
      <c r="E30" t="str">
        <f t="shared" ref="E30" si="105">IFERROR(LEFT(B30, FIND("(",B30)-1),B30)</f>
        <v>varchar</v>
      </c>
      <c r="F30" s="7"/>
      <c r="G30" t="str">
        <f t="shared" ref="G30" si="106">IFERROR(MID(B30,FIND("(",B30) +1, FIND(")",B30) - FIND("(",B30) - 1),"")</f>
        <v>10</v>
      </c>
      <c r="H30" t="str">
        <f>+VLOOKUP(E30,'Data Type Mapping'!A:B,2,)</f>
        <v>string</v>
      </c>
      <c r="I30" t="str">
        <f t="shared" ref="I30" si="107">IF(H30="string",REPT(CHAR(9),2)&amp;"public const int Max"&amp;D30&amp;"Length = "&amp;G30&amp;";"&amp;$E$3,"" )</f>
        <v xml:space="preserve">		public const int MaxEngineTypeLength = 10;
</v>
      </c>
      <c r="J30" t="str">
        <f t="shared" ref="J30" si="108">IF(F30="","",REPT(CHAR(9),2)&amp;"[Column(TypeName="""&amp;F30&amp;""")]"&amp;$E$3)&amp;IF(C30="Checked","",$I$3)&amp;IF(H30="string",REPT(CHAR(9),2)&amp;"[StringLength(Max"&amp;D30&amp;"Length"&amp;")]"&amp;$E$3,"")&amp;REPT(CHAR(9),2)&amp;"public virtual "&amp;H30&amp;IF(C30="?","? "," ")&amp;D30&amp;" { get; set; }" &amp; "
"</f>
        <v xml:space="preserve">		[StringLength(MaxEngineTypeLength)]
		public virtual string EngineType { get; set; }
</v>
      </c>
      <c r="K30" s="7"/>
      <c r="L30" t="str">
        <f t="shared" ref="L30" si="109">IF(K30="","",REPT(CHAR(9),1)&amp;"[Index(nameof("&amp;IF(D30="","",""&amp;D30)&amp;")"&amp;", Name="&amp;"""IX_"&amp;$B$7&amp;"_"&amp;D30&amp;""")]")</f>
        <v/>
      </c>
      <c r="M30" t="str">
        <f t="shared" ref="M30" si="110">REPT(CHAR(9),2)&amp;"public virtual "&amp;IF(OR(H30="DateTime",H30="TimeSpan"),H30&amp;"?",H30)&amp;IF(C30="?","? "," ")&amp;D30&amp;" { get; set; }" &amp; "
"</f>
        <v xml:space="preserve">		public virtual string EngineType { get; set; }
</v>
      </c>
      <c r="N30" t="str">
        <f t="shared" ref="N30" si="111">IF(C30="Checked","",$I$3)&amp;IF(H30="string",REPT(CHAR(9),2)&amp;"[StringLength("&amp;$B$3&amp;"Consts.Max"&amp;D30&amp;"Length"&amp;")]"&amp;$E$3,"")&amp;REPT(CHAR(9),2)&amp;"public virtual "&amp;IF(OR(H30="DateTime",H30="TimeSpan"),H30&amp;"?",H30)&amp;IF(C30="?","? "," ")&amp;D30&amp;" { get; set; }" &amp; "
"</f>
        <v xml:space="preserve">		[StringLength(MstCmmLotCodeGradeConsts.MaxEngineTypeLength)]
		public virtual string EngineType { get; set; }
</v>
      </c>
      <c r="O30" t="str">
        <f t="shared" ref="O30" si="112">IF(OR(H30="string",H30="DateTime",H30="int"),REPT(CHAR(9),2)&amp;"public virtual "&amp;IF(OR(H30="DateTime",H30="TimeSpan"),H30&amp;"?",H30)&amp;IF(C30="?","? "," ")&amp;D30&amp;" { get; set; }"&amp;$E$3,"")</f>
        <v xml:space="preserve">		public virtual string EngineType { get; set; }
</v>
      </c>
      <c r="P30" t="str">
        <f t="shared" ref="P30" si="113">REPT(CHAR(9),7)&amp;D30&amp;" = o." &amp;D30 &amp;","</f>
        <v xml:space="preserve">							EngineType = o.EngineType,</v>
      </c>
      <c r="T30" s="69" t="str">
        <f t="shared" ref="T30" si="114">REPT(CHAR(9),8)&amp;"("""&amp;D30&amp;"""),"</f>
        <v xml:space="preserve">								("EngineType"),</v>
      </c>
      <c r="V30" s="70" t="str">
        <f t="shared" ref="V30" si="115">REPT(CHAR(9),8)&amp;"_ =&gt; _."&amp;D30&amp;","</f>
        <v xml:space="preserve">								_ =&gt; _.EngineType,</v>
      </c>
      <c r="W30" s="69" t="str">
        <f t="shared" ref="W30" si="116">IF(H30="string",REPT(CHAR(9),4)&amp;".WhereIf(!string.IsNullOrWhiteSpace(input."&amp;D30&amp;"), e =&gt; e."&amp;D30&amp;".Contains(input."&amp;D30&amp;"))",IF(H30="DateTime",REPT(CHAR(9),4)&amp;".WhereIf(input."&amp;D30&amp;".HasValue, t =&gt; t."&amp;D30&amp;" == input."&amp;D30&amp;".Value)",""))</f>
        <v xml:space="preserve">				.WhereIf(!string.IsNullOrWhiteSpace(input.EngineType), e =&gt; e.EngineType.Contains(input.EngineType))</v>
      </c>
    </row>
    <row r="31" spans="1:23" customFormat="1" ht="21" customHeight="1" x14ac:dyDescent="0.25">
      <c r="A31" t="s">
        <v>337</v>
      </c>
      <c r="B31" t="s">
        <v>315</v>
      </c>
      <c r="C31" t="s">
        <v>1</v>
      </c>
      <c r="D31" t="str">
        <f>SUBSTITUTE(PROPER(A31),"_","")</f>
        <v>FuelType</v>
      </c>
      <c r="E31" t="str">
        <f>IFERROR(LEFT(B31, FIND("(",B31)-1),B31)</f>
        <v>varchar</v>
      </c>
      <c r="F31" s="7"/>
      <c r="G31" t="str">
        <f>IFERROR(MID(B31,FIND("(",B31) +1, FIND(")",B31) - FIND("(",B31) - 1),"")</f>
        <v>2</v>
      </c>
      <c r="H31" t="str">
        <f>+VLOOKUP(E31,'Data Type Mapping'!A:B,2,)</f>
        <v>string</v>
      </c>
      <c r="I31" t="str">
        <f>IF(H31="string",REPT(CHAR(9),2)&amp;"public const int Max"&amp;D31&amp;"Length = "&amp;G31&amp;";"&amp;$E$3,"" )</f>
        <v xml:space="preserve">		public const int MaxFuelTypeLength = 2;
</v>
      </c>
      <c r="J31" t="str">
        <f>IF(F31="","",REPT(CHAR(9),2)&amp;"[Column(TypeName="""&amp;F31&amp;""")]"&amp;$E$3)&amp;IF(C31="Checked","",$I$3)&amp;IF(H31="string",REPT(CHAR(9),2)&amp;"[StringLength(Max"&amp;D31&amp;"Length"&amp;")]"&amp;$E$3,"")&amp;REPT(CHAR(9),2)&amp;"public virtual "&amp;H31&amp;IF(C31="?","? "," ")&amp;D31&amp;" { get; set; }" &amp; "
"</f>
        <v xml:space="preserve">		[StringLength(MaxFuelTypeLength)]
		public virtual string FuelType { get; set; }
</v>
      </c>
      <c r="K31" s="7"/>
      <c r="L31" t="str">
        <f>IF(K31="","",REPT(CHAR(9),1)&amp;"[Index(nameof("&amp;IF(D31="","",""&amp;D31)&amp;")"&amp;", Name="&amp;"""IX_"&amp;$B$7&amp;"_"&amp;D31&amp;""")]")</f>
        <v/>
      </c>
      <c r="M31" t="str">
        <f>REPT(CHAR(9),2)&amp;"public virtual "&amp;IF(OR(H31="DateTime",H31="TimeSpan"),H31&amp;"?",H31)&amp;IF(C31="?","? "," ")&amp;D31&amp;" { get; set; }" &amp; "
"</f>
        <v xml:space="preserve">		public virtual string FuelType { get; set; }
</v>
      </c>
      <c r="N31" t="str">
        <f>IF(C31="Checked","",$I$3)&amp;IF(H31="string",REPT(CHAR(9),2)&amp;"[StringLength("&amp;$B$3&amp;"Consts.Max"&amp;D31&amp;"Length"&amp;")]"&amp;$E$3,"")&amp;REPT(CHAR(9),2)&amp;"public virtual "&amp;IF(OR(H31="DateTime",H31="TimeSpan"),H31&amp;"?",H31)&amp;IF(C31="?","? "," ")&amp;D31&amp;" { get; set; }" &amp; "
"</f>
        <v xml:space="preserve">		[StringLength(MstCmmLotCodeGradeConsts.MaxFuelTypeLength)]
		public virtual string FuelType { get; set; }
</v>
      </c>
      <c r="O31" t="str">
        <f>IF(OR(H31="string",H31="DateTime",H31="int"),REPT(CHAR(9),2)&amp;"public virtual "&amp;IF(OR(H31="DateTime",H31="TimeSpan"),H31&amp;"?",H31)&amp;IF(C31="?","? "," ")&amp;D31&amp;" { get; set; }"&amp;$E$3,"")</f>
        <v xml:space="preserve">		public virtual string FuelType { get; set; }
</v>
      </c>
      <c r="P31" t="str">
        <f>REPT(CHAR(9),7)&amp;D31&amp;" = o." &amp;D31 &amp;","</f>
        <v xml:space="preserve">							FuelType = o.FuelType,</v>
      </c>
      <c r="T31" s="69" t="str">
        <f>REPT(CHAR(9),8)&amp;"("""&amp;D31&amp;"""),"</f>
        <v xml:space="preserve">								("FuelType"),</v>
      </c>
      <c r="V31" s="70" t="str">
        <f>REPT(CHAR(9),8)&amp;"_ =&gt; _."&amp;D31&amp;","</f>
        <v xml:space="preserve">								_ =&gt; _.FuelType,</v>
      </c>
      <c r="W31" s="69" t="str">
        <f>IF(H31="string",REPT(CHAR(9),4)&amp;".WhereIf(!string.IsNullOrWhiteSpace(input."&amp;D31&amp;"), e =&gt; e."&amp;D31&amp;".Contains(input."&amp;D31&amp;"))",IF(H31="DateTime",REPT(CHAR(9),4)&amp;".WhereIf(input."&amp;D31&amp;".HasValue, t =&gt; t."&amp;D31&amp;" == input."&amp;D31&amp;".Value)",""))</f>
        <v xml:space="preserve">				.WhereIf(!string.IsNullOrWhiteSpace(input.FuelType), e =&gt; e.FuelType.Contains(input.FuelType))</v>
      </c>
    </row>
    <row r="32" spans="1:23" customFormat="1" ht="21" customHeight="1" x14ac:dyDescent="0.25">
      <c r="A32" t="s">
        <v>334</v>
      </c>
      <c r="B32" t="s">
        <v>302</v>
      </c>
      <c r="C32" t="s">
        <v>1</v>
      </c>
      <c r="D32" t="str">
        <f>SUBSTITUTE(PROPER(A32),"_","")</f>
        <v>GoshiCar</v>
      </c>
      <c r="E32" t="str">
        <f>IFERROR(LEFT(B32, FIND("(",B32)-1),B32)</f>
        <v>varchar</v>
      </c>
      <c r="F32" s="7"/>
      <c r="G32" t="str">
        <f>IFERROR(MID(B32,FIND("(",B32) +1, FIND(")",B32) - FIND("(",B32) - 1),"")</f>
        <v>1</v>
      </c>
      <c r="H32" t="str">
        <f>+VLOOKUP(E32,'Data Type Mapping'!A:B,2,)</f>
        <v>string</v>
      </c>
      <c r="I32" t="str">
        <f>IF(H32="string",REPT(CHAR(9),2)&amp;"public const int Max"&amp;D32&amp;"Length = "&amp;G32&amp;";"&amp;$E$3,"" )</f>
        <v xml:space="preserve">		public const int MaxGoshiCarLength = 1;
</v>
      </c>
      <c r="J32" t="str">
        <f>IF(F32="","",REPT(CHAR(9),2)&amp;"[Column(TypeName="""&amp;F32&amp;""")]"&amp;$E$3)&amp;IF(C32="Checked","",$I$3)&amp;IF(H32="string",REPT(CHAR(9),2)&amp;"[StringLength(Max"&amp;D32&amp;"Length"&amp;")]"&amp;$E$3,"")&amp;REPT(CHAR(9),2)&amp;"public virtual "&amp;H32&amp;IF(C32="?","? "," ")&amp;D32&amp;" { get; set; }" &amp; "
"</f>
        <v xml:space="preserve">		[StringLength(MaxGoshiCarLength)]
		public virtual string GoshiCar { get; set; }
</v>
      </c>
      <c r="K32" s="7"/>
      <c r="L32" t="str">
        <f>IF(K32="","",REPT(CHAR(9),1)&amp;"[Index(nameof("&amp;IF(D32="","",""&amp;D32)&amp;")"&amp;", Name="&amp;"""IX_"&amp;$B$7&amp;"_"&amp;D32&amp;""")]")</f>
        <v/>
      </c>
      <c r="M32" t="str">
        <f>REPT(CHAR(9),2)&amp;"public virtual "&amp;IF(OR(H32="DateTime",H32="TimeSpan"),H32&amp;"?",H32)&amp;IF(C32="?","? "," ")&amp;D32&amp;" { get; set; }" &amp; "
"</f>
        <v xml:space="preserve">		public virtual string GoshiCar { get; set; }
</v>
      </c>
      <c r="N32" t="str">
        <f>IF(C32="Checked","",$I$3)&amp;IF(H32="string",REPT(CHAR(9),2)&amp;"[StringLength("&amp;$B$3&amp;"Consts.Max"&amp;D32&amp;"Length"&amp;")]"&amp;$E$3,"")&amp;REPT(CHAR(9),2)&amp;"public virtual "&amp;IF(OR(H32="DateTime",H32="TimeSpan"),H32&amp;"?",H32)&amp;IF(C32="?","? "," ")&amp;D32&amp;" { get; set; }" &amp; "
"</f>
        <v xml:space="preserve">		[StringLength(MstCmmLotCodeGradeConsts.MaxGoshiCarLength)]
		public virtual string GoshiCar { get; set; }
</v>
      </c>
      <c r="O32" t="str">
        <f>IF(OR(H32="string",H32="DateTime",H32="int"),REPT(CHAR(9),2)&amp;"public virtual "&amp;IF(OR(H32="DateTime",H32="TimeSpan"),H32&amp;"?",H32)&amp;IF(C32="?","? "," ")&amp;D32&amp;" { get; set; }"&amp;$E$3,"")</f>
        <v xml:space="preserve">		public virtual string GoshiCar { get; set; }
</v>
      </c>
      <c r="P32" t="str">
        <f>REPT(CHAR(9),7)&amp;D32&amp;" = o." &amp;D32 &amp;","</f>
        <v xml:space="preserve">							GoshiCar = o.GoshiCar,</v>
      </c>
      <c r="T32" s="69" t="str">
        <f>REPT(CHAR(9),8)&amp;"("""&amp;D32&amp;"""),"</f>
        <v xml:space="preserve">								("GoshiCar"),</v>
      </c>
      <c r="V32" s="70" t="str">
        <f>REPT(CHAR(9),8)&amp;"_ =&gt; _."&amp;D32&amp;","</f>
        <v xml:space="preserve">								_ =&gt; _.GoshiCar,</v>
      </c>
      <c r="W32" s="69" t="str">
        <f>IF(H32="string",REPT(CHAR(9),4)&amp;".WhereIf(!string.IsNullOrWhiteSpace(input."&amp;D32&amp;"), e =&gt; e."&amp;D32&amp;".Contains(input."&amp;D32&amp;"))",IF(H32="DateTime",REPT(CHAR(9),4)&amp;".WhereIf(input."&amp;D32&amp;".HasValue, t =&gt; t."&amp;D32&amp;" == input."&amp;D32&amp;".Value)",""))</f>
        <v xml:space="preserve">				.WhereIf(!string.IsNullOrWhiteSpace(input.GoshiCar), e =&gt; e.GoshiCar.Contains(input.GoshiCar))</v>
      </c>
    </row>
    <row r="33" spans="1:23" customFormat="1" ht="22.5" customHeight="1" x14ac:dyDescent="0.25">
      <c r="A33" t="s">
        <v>301</v>
      </c>
      <c r="B33" t="s">
        <v>302</v>
      </c>
      <c r="C33" t="s">
        <v>1</v>
      </c>
      <c r="D33" t="str">
        <f>SUBSTITUTE(PROPER(A33),"_","")</f>
        <v>IsActive</v>
      </c>
      <c r="E33" t="str">
        <f t="shared" ref="E33" si="117">IFERROR(LEFT(B33, FIND("(",B33)-1),B33)</f>
        <v>varchar</v>
      </c>
      <c r="F33" s="7"/>
      <c r="G33" t="str">
        <f t="shared" ref="G33" si="118">IFERROR(MID(B33,FIND("(",B33) +1, FIND(")",B33) - FIND("(",B33) - 1),"")</f>
        <v>1</v>
      </c>
      <c r="H33" t="str">
        <f>+VLOOKUP(E33,'Data Type Mapping'!A:B,2,)</f>
        <v>string</v>
      </c>
      <c r="I33" t="str">
        <f t="shared" ref="I33" si="119">IF(H33="string",REPT(CHAR(9),2)&amp;"public const int Max"&amp;D33&amp;"Length = "&amp;G33&amp;";"&amp;$E$3,"" )</f>
        <v xml:space="preserve">		public const int MaxIsActiveLength = 1;
</v>
      </c>
      <c r="J33" t="str">
        <f t="shared" ref="J33" si="120">IF(F33="","",REPT(CHAR(9),2)&amp;"[Column(TypeName="""&amp;F33&amp;""")]"&amp;$E$3)&amp;IF(C33="Checked","",$I$3)&amp;IF(H33="string",REPT(CHAR(9),2)&amp;"[StringLength(Max"&amp;D33&amp;"Length"&amp;")]"&amp;$E$3,"")&amp;REPT(CHAR(9),2)&amp;"public virtual "&amp;H33&amp;IF(C33="?","? "," ")&amp;D33&amp;" { get; set; }" &amp; "
"</f>
        <v xml:space="preserve">		[StringLength(MaxIsActiveLength)]
		public virtual string IsActive { get; set; }
</v>
      </c>
      <c r="K33" s="7" t="s">
        <v>206</v>
      </c>
      <c r="L33" t="str">
        <f>IF(K33="","",REPT(CHAR(9),1)&amp;"[Index(nameof("&amp;IF(D33="","",""&amp;D33)&amp;")"&amp;", Name="&amp;"""IX_"&amp;$B$7&amp;"_"&amp;D33&amp;""")]")</f>
        <v xml:space="preserve">	[Index(nameof(IsActive), Name="IX_MstCmmLotCodeGrade_IsActive")]</v>
      </c>
      <c r="M33" t="str">
        <f t="shared" ref="M33" si="121">REPT(CHAR(9),2)&amp;"public virtual "&amp;IF(OR(H33="DateTime",H33="TimeSpan"),H33&amp;"?",H33)&amp;IF(C33="?","? "," ")&amp;D33&amp;" { get; set; }" &amp; "
"</f>
        <v xml:space="preserve">		public virtual string IsActive { get; set; }
</v>
      </c>
      <c r="N33" t="str">
        <f t="shared" ref="N33" si="122">IF(C33="Checked","",$I$3)&amp;IF(H33="string",REPT(CHAR(9),2)&amp;"[StringLength("&amp;$B$3&amp;"Consts.Max"&amp;D33&amp;"Length"&amp;")]"&amp;$E$3,"")&amp;REPT(CHAR(9),2)&amp;"public virtual "&amp;IF(OR(H33="DateTime",H33="TimeSpan"),H33&amp;"?",H33)&amp;IF(C33="?","? "," ")&amp;D33&amp;" { get; set; }" &amp; "
"</f>
        <v xml:space="preserve">		[StringLength(MstCmmLotCodeGradeConsts.MaxIsActiveLength)]
		public virtual string IsActive { get; set; }
</v>
      </c>
      <c r="O33" t="str">
        <f t="shared" ref="O33" si="123">IF(OR(H33="string",H33="DateTime",H33="int"),REPT(CHAR(9),2)&amp;"public virtual "&amp;IF(OR(H33="DateTime",H33="TimeSpan"),H33&amp;"?",H33)&amp;IF(C33="?","? "," ")&amp;D33&amp;" { get; set; }"&amp;$E$3,"")</f>
        <v xml:space="preserve">		public virtual string IsActive { get; set; }
</v>
      </c>
      <c r="P33" t="str">
        <f t="shared" ref="P33" si="124">REPT(CHAR(9),7)&amp;D33&amp;" = o." &amp;D33 &amp;","</f>
        <v xml:space="preserve">							IsActive = o.IsActive,</v>
      </c>
      <c r="T33" s="69" t="str">
        <f t="shared" ref="T33" si="125">REPT(CHAR(9),8)&amp;"("""&amp;D33&amp;"""),"</f>
        <v xml:space="preserve">								("IsActive"),</v>
      </c>
      <c r="V33" s="70" t="str">
        <f t="shared" ref="V33" si="126">REPT(CHAR(9),8)&amp;"_ =&gt; _."&amp;D33&amp;","</f>
        <v xml:space="preserve">								_ =&gt; _.IsActive,</v>
      </c>
      <c r="W33" s="69" t="str">
        <f t="shared" ref="W33" si="127">IF(H33="string",REPT(CHAR(9),4)&amp;".WhereIf(!string.IsNullOrWhiteSpace(input."&amp;D33&amp;"), e =&gt; e."&amp;D33&amp;".Contains(input."&amp;D33&amp;"))",IF(H33="DateTime",REPT(CHAR(9),4)&amp;".WhereIf(input."&amp;D33&amp;".HasValue, t =&gt; t."&amp;D33&amp;" == input."&amp;D33&amp;".Value)",""))</f>
        <v xml:space="preserve">				.WhereIf(!string.IsNullOrWhiteSpace(input.IsActive), e =&gt; e.IsActive.Contains(input.IsActive))</v>
      </c>
    </row>
    <row r="35" spans="1:23" ht="45.75" customHeight="1" x14ac:dyDescent="0.25">
      <c r="H35" s="12"/>
      <c r="I35" s="34" t="str">
        <f ca="1">TEXTJOIN2("
", TRUE,INDIRECT( $H$1):INDIRECT( $H$3))</f>
        <v xml:space="preserve">		public const int MaxModelLength = 1;
		public const int MaxLotCodeLength = 2;
		public const int MaxCfcLength = 4;
		public const int MaxGradeLength = 2;
		public const int MaxGradeNameLength = 50;
		public const int MaxModelCodeLength = 50;
		public const int MaxModelVinLength = 50;
		public const int MaxIdLineLength = 3;
		public const int MaxSpec200Length = 200;
		public const int MaxSsNoLength = 2;
		public const int MaxKatashikiCtlLength = 20;
		public const int MaxKatashikiLength = 20;
		public const int MaxVehNameCdLength = 2;
		public const int MaxMarLotCodeLength = 50;
		public const int MaxTestNoLength = 10;
		public const int MaxVehicleIdLength = 2;
		public const int MaxProdSfxLength = 2;
		public const int MaxSalesSfxLength = 2;
		public const int MaxBrandLength = 2;
		public const int MaxCarSeriesLength = 18;
		public const int MaxTransmissionTypeLength = 2;
		public const int MaxEngineTypeLength = 10;
		public const int MaxFuelTypeLength = 2;
		public const int MaxGoshiCarLength = 1;
		public const int MaxIsActiveLength = 1;
</v>
      </c>
      <c r="J35" s="33" t="str">
        <f ca="1">TEXTJOIN2("
", TRUE,INDIRECT( $F$1):INDIRECT( $F$3))</f>
        <v xml:space="preserve">		[StringLength(MaxModelLength)]
		public virtual string Model { get; set; }
		[StringLength(MaxLotCodeLength)]
		public virtual string LotCode { get; set; }
		[StringLength(MaxCfcLength)]
		public virtual string Cfc { get; set; }
		[StringLength(MaxGradeLength)]
		public virtual string Grade { get; set; }
		[StringLength(MaxGradeNameLength)]
		public virtual string GradeName { get; set; }
		[StringLength(MaxModelCodeLength)]
		public virtual string ModelCode { get; set; }
		[StringLength(MaxModelVinLength)]
		public virtual string ModelVin { get; set; }
		[StringLength(MaxIdLineLength)]
		public virtual string IdLine { get; set; }
		[StringLength(MaxSpec200Length)]
		public virtual string Spec200 { get; set; }
		[StringLength(MaxSsNoLength)]
		public virtual string SsNo { get; set; }
		[StringLength(MaxKatashikiCtlLength)]
		public virtual string KatashikiCtl { get; set; }
		[StringLength(MaxKatashikiLength)]
		public virtual string Katashiki { get; set; }
		[StringLength(MaxVehNameCdLength)]
		public virtual string VehNameCd { get; set; }
		[StringLength(MaxMarLotCodeLength)]
		public virtual string MarLotCode { get; set; }
		[StringLength(MaxTestNoLength)]
		public virtual string TestNo { get; set; }
		[StringLength(MaxVehicleIdLength)]
		public virtual string VehicleId { get; set; }
		[StringLength(MaxProdSfxLength)]
		public virtual string ProdSfx { get; set; }
		[StringLength(MaxSalesSfxLength)]
		public virtual string SalesSfx { get; set; }
		[StringLength(MaxBrandLength)]
		public virtual string Brand { get; set; }
		[StringLength(MaxCarSeriesLength)]
		public virtual string CarSeries { get; set; }
		[StringLength(MaxTransmissionTypeLength)]
		public virtual string TransmissionType { get; set; }
		[StringLength(MaxEngineTypeLength)]
		public virtual string EngineType { get; set; }
		[StringLength(MaxFuelTypeLength)]
		public virtual string FuelType { get; set; }
		[StringLength(MaxGoshiCarLength)]
		public virtual string GoshiCar { get; set; }
		[StringLength(MaxIsActiveLength)]
		public virtual string IsActive { get; set; }
</v>
      </c>
      <c r="K35" s="35" t="str">
        <f ca="1">TEXTJOIN2("
", TRUE,INDIRECT( $J$1):INDIRECT( $J$3))</f>
        <v xml:space="preserve">	[Index(nameof(Model), Name="IX_MstCmmLotCodeGrade_Model")]
	[Index(nameof(LotCode), Name="IX_MstCmmLotCodeGrade_LotCode")]
	[Index(nameof(ProdSfx), Name="IX_MstCmmLotCodeGrade_ProdSfx")]
	[Index(nameof(SalesSfx), Name="IX_MstCmmLotCodeGrade_SalesSfx")]
	[Index(nameof(IsActive), Name="IX_MstCmmLotCodeGrade_IsActive")]</v>
      </c>
      <c r="L35" s="13" t="s">
        <v>60</v>
      </c>
      <c r="M35" s="36" t="str">
        <f ca="1">TEXTJOIN2("
",TRUE,INDIRECT( $L$1):INDIRECT($L$3))</f>
        <v xml:space="preserve">		public virtual string Model { get; set; }
		public virtual string LotCode { get; set; }
		public virtual string Cfc { get; set; }
		public virtual string Grade { get; set; }
		public virtual string GradeName { get; set; }
		public virtual string ModelCode { get; set; }
		public virtual string ModelVin { get; set; }
		public virtual string IdLine { get; set; }
		public virtual string Spec200 { get; set; }
		public virtual string SsNo { get; set; }
		public virtual string KatashikiCtl { get; set; }
		public virtual string Katashiki { get; set; }
		public virtual string VehNameCd { get; set; }
		public virtual string MarLotCode { get; set; }
		public virtual string TestNo { get; set; }
		public virtual string VehicleId { get; set; }
		public virtual string ProdSfx { get; set; }
		public virtual string SalesSfx { get; set; }
		public virtual string Brand { get; set; }
		public virtual string CarSeries { get; set; }
		public virtual string TransmissionType { get; set; }
		public virtual string EngineType { get; set; }
		public virtual string FuelType { get; set; }
		public virtual string GoshiCar { get; set; }
		public virtual string IsActive { get; set; }
</v>
      </c>
      <c r="N35" s="33" t="str">
        <f ca="1">TEXTJOIN2("
",TRUE,INDIRECT( $M$1):INDIRECT($M$3))</f>
        <v xml:space="preserve">		[StringLength(MstCmmLotCodeGradeConsts.MaxModelLength)]
		public virtual string Model { get; set; }
		[StringLength(MstCmmLotCodeGradeConsts.MaxLotCodeLength)]
		public virtual string LotCode { get; set; }
		[StringLength(MstCmmLotCodeGradeConsts.MaxCfcLength)]
		public virtual string Cfc { get; set; }
		[StringLength(MstCmmLotCodeGradeConsts.MaxGradeLength)]
		public virtual string Grade { get; set; }
		[StringLength(MstCmmLotCodeGradeConsts.MaxGradeNameLength)]
		public virtual string GradeName { get; set; }
		[StringLength(MstCmmLotCodeGradeConsts.MaxModelCodeLength)]
		public virtual string ModelCode { get; set; }
		[StringLength(MstCmmLotCodeGradeConsts.MaxModelVinLength)]
		public virtual string ModelVin { get; set; }
		[StringLength(MstCmmLotCodeGradeConsts.MaxIdLineLength)]
		public virtual string IdLine { get; set; }
		[StringLength(MstCmmLotCodeGradeConsts.MaxSpec200Length)]
		public virtual string Spec200 { get; set; }
		[StringLength(MstCmmLotCodeGradeConsts.MaxSsNoLength)]
		public virtual string SsNo { get; set; }
		[StringLength(MstCmmLotCodeGradeConsts.MaxKatashikiCtlLength)]
		public virtual string KatashikiCtl { get; set; }
		[StringLength(MstCmmLotCodeGradeConsts.MaxKatashikiLength)]
		public virtual string Katashiki { get; set; }
		[StringLength(MstCmmLotCodeGradeConsts.MaxVehNameCdLength)]
		public virtual string VehNameCd { get; set; }
		[StringLength(MstCmmLotCodeGradeConsts.MaxMarLotCodeLength)]
		public virtual string MarLotCode { get; set; }
		[StringLength(MstCmmLotCodeGradeConsts.MaxTestNoLength)]
		public virtual string TestNo { get; set; }
		[StringLength(MstCmmLotCodeGradeConsts.MaxVehicleIdLength)]
		public virtual string VehicleId { get; set; }
		[StringLength(MstCmmLotCodeGradeConsts.MaxProdSfxLength)]
		public virtual string ProdSfx { get; set; }
		[StringLength(MstCmmLotCodeGradeConsts.MaxSalesSfxLength)]
		public virtual string SalesSfx { get; set; }
		[StringLength(MstCmmLotCodeGradeConsts.MaxBrandLength)]
		public virtual string Brand { get; set; }
		[StringLength(MstCmmLotCodeGradeConsts.MaxCarSeriesLength)]
		public virtual string CarSeries { get; set; }
		[StringLength(MstCmmLotCodeGradeConsts.MaxTransmissionTypeLength)]
		public virtual string TransmissionType { get; set; }
		[StringLength(MstCmmLotCodeGradeConsts.MaxEngineTypeLength)]
		public virtual string EngineType { get; set; }
		[StringLength(MstCmmLotCodeGradeConsts.MaxFuelTypeLength)]
		public virtual string FuelType { get; set; }
		[StringLength(MstCmmLotCodeGradeConsts.MaxGoshiCarLength)]
		public virtual string GoshiCar { get; set; }
		[StringLength(MstCmmLotCodeGradeConsts.MaxIsActiveLength)]
		public virtual string IsActive { get; set; }
</v>
      </c>
      <c r="O35" s="33" t="str">
        <f ca="1">TEXTJOIN2("
",TRUE,INDIRECT( $N$1):INDIRECT($N$3))</f>
        <v xml:space="preserve">		public virtual string Model { get; set; }
		public virtual string LotCode { get; set; }
		public virtual string Cfc { get; set; }
		public virtual string Grade { get; set; }
		public virtual string GradeName { get; set; }
		public virtual string ModelCode { get; set; }
		public virtual string ModelVin { get; set; }
		public virtual string IdLine { get; set; }
		public virtual string Spec200 { get; set; }
		public virtual string SsNo { get; set; }
		public virtual string KatashikiCtl { get; set; }
		public virtual string Katashiki { get; set; }
		public virtual string VehNameCd { get; set; }
		public virtual string MarLotCode { get; set; }
		public virtual string TestNo { get; set; }
		public virtual string VehicleId { get; set; }
		public virtual string ProdSfx { get; set; }
		public virtual string SalesSfx { get; set; }
		public virtual string Brand { get; set; }
		public virtual string CarSeries { get; set; }
		public virtual string TransmissionType { get; set; }
		public virtual string EngineType { get; set; }
		public virtual string FuelType { get; set; }
		public virtual string GoshiCar { get; set; }
		public virtual string IsActive { get; set; }
</v>
      </c>
      <c r="P35" s="9" t="str">
        <f ca="1">TEXTJOIN2("
",TRUE,INDIRECT( $O$1):INDIRECT($O$3))</f>
        <v xml:space="preserve">							Model = o.Model,
							LotCode = o.LotCode,
							Cfc = o.Cfc,
							Grade = o.Grade,
							GradeName = o.GradeName,
							ModelCode = o.ModelCode,
							ModelVin = o.ModelVin,
							IdLine = o.IdLine,
							Spec200 = o.Spec200,
							SsNo = o.SsNo,
							KatashikiCtl = o.KatashikiCtl,
							Katashiki = o.Katashiki,
							VehNameCd = o.VehNameCd,
							MarLotCode = o.MarLotCode,
							TestNo = o.TestNo,
							VehicleId = o.VehicleId,
							ProdSfx = o.ProdSfx,
							SalesSfx = o.SalesSfx,
							Brand = o.Brand,
							CarSeries = o.CarSeries,
							TransmissionType = o.TransmissionType,
							EngineType = o.EngineType,
							FuelType = o.FuelType,
							GoshiCar = o.GoshiCar,
							IsActive = o.IsActive,</v>
      </c>
      <c r="T35" s="9" t="str">
        <f ca="1">TEXTJOIN2("
",TRUE,INDIRECT( $T$2):INDIRECT($T$3))</f>
        <v xml:space="preserve">								("Model"),
								("LotCode"),
								("Cfc"),
								("Grade"),
								("GradeName"),
								("ModelCode"),
								("ModelVin"),
								("IdLine"),
								("Spec200"),
								("SsNo"),
								("KatashikiCtl"),
								("Katashiki"),
								("VehNameCd"),
								("MarLotCode"),
								("TestNo"),
								("VehicleId"),
								("ProdSfx"),
								("SalesSfx"),
								("Brand"),
								("CarSeries"),
								("TransmissionType"),
								("EngineType"),
								("FuelType"),
								("GoshiCar"),
								("IsActive"),</v>
      </c>
      <c r="V35" s="9" t="str">
        <f ca="1">TEXTJOIN2("
",TRUE,INDIRECT( $V$2):INDIRECT($V$3))</f>
        <v xml:space="preserve">								_ =&gt; _.Model,
								_ =&gt; _.LotCode,
								_ =&gt; _.Cfc,
								_ =&gt; _.Grade,
								_ =&gt; _.GradeName,
								_ =&gt; _.ModelCode,
								_ =&gt; _.ModelVin,
								_ =&gt; _.IdLine,
								_ =&gt; _.Spec200,
								_ =&gt; _.SsNo,
								_ =&gt; _.KatashikiCtl,
								_ =&gt; _.Katashiki,
								_ =&gt; _.VehNameCd,
								_ =&gt; _.MarLotCode,
								_ =&gt; _.TestNo,
								_ =&gt; _.VehicleId,
								_ =&gt; _.ProdSfx,
								_ =&gt; _.SalesSfx,
								_ =&gt; _.Brand,
								_ =&gt; _.CarSeries,
								_ =&gt; _.TransmissionType,
								_ =&gt; _.EngineType,
								_ =&gt; _.FuelType,
								_ =&gt; _.GoshiCar,
								_ =&gt; _.IsActive,</v>
      </c>
      <c r="W35" s="9" t="str">
        <f ca="1">TEXTJOIN2("
",TRUE,INDIRECT( $W$2):INDIRECT($W$3))</f>
        <v xml:space="preserve">				.WhereIf(!string.IsNullOrWhiteSpace(input.Model), e =&gt; e.Model.Contains(input.Model))
				.WhereIf(!string.IsNullOrWhiteSpace(input.LotCode), e =&gt; e.LotCode.Contains(input.LotCode))
				.WhereIf(!string.IsNullOrWhiteSpace(input.Cfc), e =&gt; e.Cfc.Contains(input.Cfc))
				.WhereIf(!string.IsNullOrWhiteSpace(input.Grade), e =&gt; e.Grade.Contains(input.Grade))
				.WhereIf(!string.IsNullOrWhiteSpace(input.GradeName), e =&gt; e.GradeName.Contains(input.GradeName))
				.WhereIf(!string.IsNullOrWhiteSpace(input.ModelCode), e =&gt; e.ModelCode.Contains(input.ModelCode))
				.WhereIf(!string.IsNullOrWhiteSpace(input.ModelVin), e =&gt; e.ModelVin.Contains(input.ModelVin))
				.WhereIf(!string.IsNullOrWhiteSpace(input.IdLine), e =&gt; e.IdLine.Contains(input.IdLine))
				.WhereIf(!string.IsNullOrWhiteSpace(input.Spec200), e =&gt; e.Spec200.Contains(input.Spec200))
				.WhereIf(!string.IsNullOrWhiteSpace(input.SsNo), e =&gt; e.SsNo.Contains(input.SsNo))
				.WhereIf(!string.IsNullOrWhiteSpace(input.KatashikiCtl), e =&gt; e.KatashikiCtl.Contains(input.KatashikiCtl))
				.WhereIf(!string.IsNullOrWhiteSpace(input.Katashiki), e =&gt; e.Katashiki.Contains(input.Katashiki))
				.WhereIf(!string.IsNullOrWhiteSpace(input.VehNameCd), e =&gt; e.VehNameCd.Contains(input.VehNameCd))
				.WhereIf(!string.IsNullOrWhiteSpace(input.MarLotCode), e =&gt; e.MarLotCode.Contains(input.MarLotCode))
				.WhereIf(!string.IsNullOrWhiteSpace(input.TestNo), e =&gt; e.TestNo.Contains(input.TestNo))
				.WhereIf(!string.IsNullOrWhiteSpace(input.VehicleId), e =&gt; e.VehicleId.Contains(input.VehicleId))
				.WhereIf(!string.IsNullOrWhiteSpace(input.ProdSfx), e =&gt; e.ProdSfx.Contains(input.ProdSfx))
				.WhereIf(!string.IsNullOrWhiteSpace(input.SalesSfx), e =&gt; e.SalesSfx.Contains(input.SalesSfx))
				.WhereIf(!string.IsNullOrWhiteSpace(input.Brand), e =&gt; e.Brand.Contains(input.Brand))
				.WhereIf(!string.IsNullOrWhiteSpace(input.CarSeries), e =&gt; e.CarSeries.Contains(input.CarSeries))
				.WhereIf(!string.IsNullOrWhiteSpace(input.TransmissionType), e =&gt; e.TransmissionType.Contains(input.TransmissionType))
				.WhereIf(!string.IsNullOrWhiteSpace(input.EngineType), e =&gt; e.EngineType.Contains(input.EngineType))
				.WhereIf(!string.IsNullOrWhiteSpace(input.FuelType), e =&gt; e.FuelType.Contains(input.FuelType))
				.WhereIf(!string.IsNullOrWhiteSpace(input.GoshiCar), e =&gt; e.GoshiCar.Contains(input.GoshiCar))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42"/>
  <sheetViews>
    <sheetView topLeftCell="A6" workbookViewId="0">
      <selection activeCell="E15" sqref="E15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41" t="s">
        <v>212</v>
      </c>
      <c r="B1" s="42" t="s">
        <v>314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Cmm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cmm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MstCmmLotCodeGrade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LotCodeGrade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lotcodegrade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MstCmmLotCodeGradeDto, MstCmmLotCodeGradeServiceProxy } from '@shared/service-proxies/service-proxies';
import { finalize } from 'rxjs/internal/operators/finalize';
import { CreateOrEditLotCodeGradeModalComponent } from './create-or-edit-lotcodegrade-modal.component';
import { DatePipe } from '@angular/common';
import { FileDownloadService } from '@shared/utils/file-download.service';
import ceil from 'lodash-es/ceil';
import { Paginator } from 'primeng/paginator';
@Component({
    templateUrl: './lotcodegrade.component.html',
    styleUrls: ['./lotcodegrade.component.less'],
})
export class LotCodeGradeComponent extends AppComponentBase implements OnInit {
    @ViewChild('createOrEditModalLotCodeGrade', { static: true }) createOrEditModalLotCodeGrade:| CreateOrEditLotCodeGradeModalComponent|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MstCmmLotCodeGradeDto = new MstCmmLotCodeGradeDto();
    saveSelectedRow: MstCmmLotCodeGradeDto = new MstCmmLotCodeGradeDto();
    datas: MstCmmLotCodeGradeDto = new MstCmmLotCodeGradeDto();
    isLoading: boolean = false;
    dataParams: GridParams | undefined;
    rowData: any[] = [];
    gridApi!: GridApi;
    rowSelection = 'multiple';
    filter: string = '';
	pipe = new DatePipe('en-US');
	frameworkComponents: FrameworkComponent;
    model : string = '' ; 
	lotCode : string = '' ; 
	cfc : string = '' ; 
	grade : string = '' ; 
	gradeName : string = '' ; 
	modelCode : string = '' ; 
	modelVin : string = '' ; 
	idLine : string = '' ; 
	spec200 : string = '' ; 
	ssNo : string = '' ; 
	katashikiCtl : string = '' ; 
	katashiki : string = '' ; 
	vehNameCd : string = '' ; 
	marLotCode : string = '' ; 
	testNo : string = '' ; 
	vehicleId : string = '' ; 
	prodSfx : string = '' ; 
	salesSfx : string = '' ; 
	brand : string = '' ; 
	carSeries : string = '' ; 
	transmissionType : string = '' ; 
	engineType : string = '' ; 
	fuelType : string = '' ; 
	goshiCar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MstCmmLotCodeGradeServiceProxy,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this.l('Model'),headerTooltip: this.l('Model'),field:  'model', cellClass: ['text-center'], width: 120, cellRenderer: 'agCellButtonComponent',
buttonDefTwo: { text: params =&gt; (params.data?.'model' == 'Y') ? 'Active' : 'Inactive',iconName: 'fa fa-circle',className: params =&gt; (params.data?.'model' == 'Y') ? 'btnActive' : 'btnInActive',},}
			{headerName: this.l('Lot Code'),headerTooltip: this.l('Lot Code'),field: 'lotCode',flex: 1},
			{headerName: this.l('Cfc'),headerTooltip: this.l('Cfc'),field: 'cfc',flex: 1},
			{headerName: this.l('Grade'),headerTooltip: this.l('Grade'),field: 'grade',flex: 1},
			{headerName: this.l('Grade Name'),headerTooltip: this.l('Grade Name'),field: 'gradeName',flex: 1},
			{headerName: this.l('Model Code'),headerTooltip: this.l('Model Code'),field: 'modelCode',flex: 1},
			{headerName: this.l('Model Vin'),headerTooltip: this.l('Model Vin'),field: 'modelVin',flex: 1},
			{headerName: this.l('Id Line'),headerTooltip: this.l('Id Line'),field: 'idLine',flex: 1},
			{headerName: this.l('Spec 200'),headerTooltip: this.l('Spec 200'),field: 'spec200',flex: 1},
			{headerName: this.l('Ss No'),headerTooltip: this.l('Ss No'),field: 'ssNo',flex: 1},
			{headerName: this.l('Katashiki Ctl'),headerTooltip: this.l('Katashiki Ctl'),field: 'katashikiCtl',flex: 1},
			{headerName: this.l('Katashiki'),headerTooltip: this.l('Katashiki'),field: 'katashiki',flex: 1},
			{headerName: this.l('Veh Name Cd'),headerTooltip: this.l('Veh Name Cd'),field: 'vehNameCd',flex: 1},
			{headerName: this.l('Mar Lot Code'),headerTooltip: this.l('Mar Lot Code'),field: 'marLotCode',flex: 1},
			{headerName: this.l('Test No'),headerTooltip: this.l('Test No'),field: 'testNo',flex: 1},
			{headerName: this.l('Vehicle Id'),headerTooltip: this.l('Vehicle Id'),field: 'vehicleId',flex: 1},
			{headerName: this.l('Prod Sfx'),headerTooltip: this.l('Prod Sfx'),field: 'prodSfx',flex: 1},
			{headerName: this.l('Sales Sfx'),headerTooltip: this.l('Sales Sfx'),field: 'salesSfx',flex: 1},
			{headerName: this.l('Brand'),headerTooltip: this.l('Brand'),field: 'brand',flex: 1},
			{headerName: this.l('Car Series'),headerTooltip: this.l('Car Series'),field: 'carSeries',flex: 1},
			{headerName: this.l('Transmission Type'),headerTooltip: this.l('Transmission Type'),field: 'transmissionType',flex: 1},
			{headerName: this.l('Engine Type'),headerTooltip: this.l('Engine Type'),field: 'engineType',flex: 1},
			{headerName: this.l('Fuel Type'),headerTooltip: this.l('Fuel Type'),field: 'fuelType',flex: 1},
			{headerName: this.l('Goshi Car'),headerTooltip: this.l('Goshi Car'),field:  'goshiCar', cellClass: ['text-center'], width: 120, cellRenderer: 'agCellButtonComponent',
buttonDefTwo: { text: params =&gt; (params.data?.'goshiCar' == 'Y') ? 'Active' : 'Inactive',iconName: 'fa fa-circle',className: params =&gt; (params.data?.'goshiCar'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this.model,
			this.lotCode,
			this.cfc,
			this.grade,
			this.gradeName,
			this.modelCode,
			this.modelVin,
			this.idLine,
			this.spec200,
			this.ssNo,
			this.katashikiCtl,
			this.katashiki,
			this.vehNameCd,
			this.marLotCode,
			this.testNo,
			this.vehicleId,
			this.prodSfx,
			this.salesSfx,
			this.brand,
			this.carSeries,
			this.transmissionType,
			this.engineType,
			this.fuelType,
			this.goshiCar,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this.model = '',
		this.lotCode = '',
		this.cfc = '',
		this.grade = '',
		this.gradeName = '',
		this.modelCode = '',
		this.modelVin = '',
		this.idLine = '',
		this.spec200 = '',
		this.ssNo = '',
		this.katashikiCtl = '',
		this.katashiki = '',
		this.vehNameCd = '',
		this.marLotCode = '',
		this.testNo = '',
		this.vehicleId = '',
		this.prodSfx = '',
		this.salesSfx = '',
		this.brand = '',
		this.carSeries = '',
		this.transmissionType = '',
		this.engineType = '',
		this.fuelType = '',
		this.goshiCar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this.model,
			this.lotCode,
			this.cfc,
			this.grade,
			this.gradeName,
			this.modelCode,
			this.modelVin,
			this.idLine,
			this.spec200,
			this.ssNo,
			this.katashikiCtl,
			this.katashiki,
			this.vehNameCd,
			this.marLotCode,
			this.testNo,
			this.vehicleId,
			this.prodSfx,
			this.salesSfx,
			this.brand,
			this.carSeries,
			this.transmissionType,
			this.engineType,
			this.fuelType,
			this.goshiCar,
			this.isActive,
			'',
            this.paginationParams.skipCount,
            this.paginationParams.pageSize
        );
    }
    onChangeRowSelection(params: { api: { getSelectedRows: () =&gt; MstCmmLotCodeGradeDto[] } }) {
        this.saveSelectedRow = params.api.getSelectedRows()[0] ?? new MstCmmLotCodeGradeDto();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MstCmmLotCodeGradeDto):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this._service.getLotCodeGradeToExcel(
			this.model,
			this.lotCode,
			this.cfc,
			this.grade,
			this.gradeName,
			this.modelCode,
			this.modelVin,
			this.idLine,
			this.spec200,
			this.ssNo,
			this.katashikiCtl,
			this.katashiki,
			this.vehNameCd,
			this.marLotCode,
			this.testNo,
			this.vehicleId,
			this.prodSfx,
			this.salesSfx,
			this.brand,
			this.carSeries,
			this.transmissionType,
			this.engineType,
			this.fuelType,
			this.goshiCar,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Common Lot Code Grade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[(ngModel)]='lotCode' name='lotCode'
									class='form-control' [placeholder]="l('Lot Code')"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[(ngModel)]='gradeName' name='gradeName'
									class='form-control' [placeholder]="l('Grade Name')"
									type='text' (keyup.enter)='searchDatas()'&gt;
								&lt;/div&gt;
								&lt;div class='input-search'&gt;
									&lt;input [(ngModel)]='modelCode' name='modelCode'
									class='form-control' [placeholder]="l('Model Code')"
									type='text' (keyup.enter)='searchDatas()'&gt;
								&lt;/div&gt;
								&lt;div class='input-search'&gt;
									&lt;input [(ngModel)]='modelVin' name='modelVin'
									class='form-control' [placeholder]="l('Model Vin')"
									type='text' (keyup.enter)='searchDatas()'&gt;
								&lt;/div&gt;
								&lt;div class='input-search'&gt;
									&lt;input [(ngModel)]='idLine' name='idLine'
									class='form-control' [placeholder]="l('Id Line')"
									type='text' (keyup.enter)='searchDatas()'&gt;
								&lt;/div&gt;
								&lt;div class='input-search'&gt;
									&lt;input [(ngModel)]='spec200' name='spec200'
									class='form-control' [placeholder]="l('Spec 200')"
									type='text' (keyup.enter)='searchDatas()'&gt;
								&lt;/div&gt;
								&lt;div class='input-search'&gt;
									&lt;input [(ngModel)]='ssNo' name='ssNo'
									class='form-control' [placeholder]="l('Ss No')"
									type='text' (keyup.enter)='searchDatas()'&gt;
								&lt;/div&gt;
								&lt;div class='input-search'&gt;
									&lt;input [(ngModel)]='katashikiCtl' name='katashikiCtl'
									class='form-control' [placeholder]="l('Katashiki Ctl')"
									type='text' (keyup.enter)='searchDatas()'&gt;
								&lt;/div&gt;
								&lt;div class='input-search'&gt;
									&lt;input [(ngModel)]='katashiki' name='katashiki'
									class='form-control' [placeholder]="l('Katashiki')"
									type='text' (keyup.enter)='searchDatas()'&gt;
								&lt;/div&gt;
								&lt;div class='input-search'&gt;
									&lt;input [(ngModel)]='vehNameCd' name='vehNameCd'
									class='form-control' [placeholder]="l('Veh Name Cd')"
									type='text' (keyup.enter)='searchDatas()'&gt;
								&lt;/div&gt;
								&lt;div class='input-search'&gt;
									&lt;input [(ngModel)]='marLotCode' name='marLotCode'
									class='form-control' [placeholder]="l('Mar Lot Code')"
									type='text' (keyup.enter)='searchDatas()'&gt;
								&lt;/div&gt;
								&lt;div class='input-search'&gt;
									&lt;input [(ngModel)]='testNo' name='testNo'
									class='form-control' [placeholder]="l('Test No')"
									type='text' (keyup.enter)='searchDatas()'&gt;
								&lt;/div&gt;
								&lt;div class='input-search'&gt;
									&lt;input [(ngModel)]='vehicleId' name='vehicleId'
									class='form-control' [placeholder]="l('Vehicle Id')"
									type='text' (keyup.enter)='searchDatas()'&gt;
								&lt;/div&gt;
								&lt;div class='input-search'&gt;
									&lt;input [(ngModel)]='prodSfx' name='prodSfx'
									class='form-control' [placeholder]="l('Prod Sfx')"
									type='text' (keyup.enter)='searchDatas()'&gt;
								&lt;/div&gt;
								&lt;div class='input-search'&gt;
									&lt;input [(ngModel)]='salesSfx' name='salesSfx'
									class='form-control' [placeholder]="l('Sales Sfx')"
									type='text' (keyup.enter)='searchDatas()'&gt;
								&lt;/div&gt;
								&lt;div class='input-search'&gt;
									&lt;input [(ngModel)]='brand' name='brand'
									class='form-control' [placeholder]="l('Brand')"
									type='text' (keyup.enter)='searchDatas()'&gt;
								&lt;/div&gt;
								&lt;div class='input-search'&gt;
									&lt;input [(ngModel)]='carSeries' name='carSeries'
									class='form-control' [placeholder]="l('Car Series')"
									type='text' (keyup.enter)='searchDatas()'&gt;
								&lt;/div&gt;
								&lt;div class='input-search'&gt;
									&lt;input [(ngModel)]='transmissionType' name='transmissionType'
									class='form-control' [placeholder]="l('Transmission Type')"
									type='text' (keyup.enter)='searchDatas()'&gt;
								&lt;/div&gt;
								&lt;div class='input-search'&gt;
									&lt;input [(ngModel)]='engineType' name='engineType'
									class='form-control' [placeholder]="l('Engine Type')"
									type='text' (keyup.enter)='searchDatas()'&gt;
								&lt;/div&gt;
								&lt;div class='input-search'&gt;
									&lt;input [(ngModel)]='fuelType' name='fuelType'
									class='form-control' [placeholder]="l('Fuel Type')"
									type='text' (keyup.enter)='searchDatas()'&gt;
								&lt;/div&gt;
								&lt;div class='input-search'&gt;
									&lt;input [(ngModel)]='goshiCar' name='goshiCar'
									class='form-control' [placeholder]="l('Goshi Car')"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(click)="createOrEditModalLotCodeGrade.show()"&gt;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(click)="createOrEditModalLotCodeGrade.show(selectedRow)"&gt;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&lt;create-or-edit-lotcodegrade-modal
    #createOrEditModalLotCodeGrade
    (modalSave)="callBackDataGrid(dataParams)"
    (modalClose)="onChangeRowSelection(dataParams)"
&gt;
&lt;/create-or-edit-lotcodegrade-modal&gt;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#createOrEditModalLotCodeGrade="bs-modal"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LotCodeGrade')}}&lt;/h3&gt;
                    &lt;h3 *ngIf="!rowdata.id"&gt;{{('Create New LotCodeGrade')}}&lt;/h3&gt;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title'&gt;Model&lt;/label&gt;
						&lt;new-checkbox [(ngModel)]='_model' name='model' className='col-md-10' &gt; &lt;/new-checkbox&gt;
					&lt;/div&gt;
					&lt;div class='col-md-12 form-group row'&gt;
						&lt;label class='col-md-2 form-control title'&gt;Lot Code&lt;/label&gt;
						&lt;input type='text' class='col-md-10 form-control input-text' name='LotCode' [(ngModel)]='rowdata.lotCode'&gt;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title'&gt;Grade Name&lt;/label&gt;
						&lt;input type='text' class='col-md-10 form-control input-text' name='GradeName' [(ngModel)]='rowdata.gradeName'&gt;
					&lt;/div&gt;
					&lt;div class='col-md-12 form-group row'&gt;
						&lt;label class='col-md-2 form-control title'&gt;Model Code&lt;/label&gt;
						&lt;input type='text' class='col-md-10 form-control input-text' name='ModelCode' [(ngModel)]='rowdata.modelCode'&gt;
					&lt;/div&gt;
					&lt;div class='col-md-12 form-group row'&gt;
						&lt;label class='col-md-2 form-control title'&gt;Model Vin&lt;/label&gt;
						&lt;input type='text' class='col-md-10 form-control input-text' name='ModelVin' [(ngModel)]='rowdata.modelVin'&gt;
					&lt;/div&gt;
					&lt;div class='col-md-12 form-group row'&gt;
						&lt;label class='col-md-2 form-control title'&gt;Id Line&lt;/label&gt;
						&lt;input type='text' class='col-md-10 form-control input-text' name='IdLine' [(ngModel)]='rowdata.idLine'&gt;
					&lt;/div&gt;
					&lt;div class='col-md-12 form-group row'&gt;
						&lt;label class='col-md-2 form-control title'&gt;Spec 200&lt;/label&gt;
						&lt;input type='text' class='col-md-10 form-control input-text' name='Spec200' [(ngModel)]='rowdata.spec200'&gt;
					&lt;/div&gt;
					&lt;div class='col-md-12 form-group row'&gt;
						&lt;label class='col-md-2 form-control title'&gt;Ss No&lt;/label&gt;
						&lt;input type='text' class='col-md-10 form-control input-text' name='SsNo' [(ngModel)]='rowdata.ssNo'&gt;
					&lt;/div&gt;
					&lt;div class='col-md-12 form-group row'&gt;
						&lt;label class='col-md-2 form-control title'&gt;Katashiki Ctl&lt;/label&gt;
						&lt;input type='text' class='col-md-10 form-control input-text' name='KatashikiCtl' [(ngModel)]='rowdata.katashikiCtl'&gt;
					&lt;/div&gt;
					&lt;div class='col-md-12 form-group row'&gt;
						&lt;label class='col-md-2 form-control title'&gt;Katashiki&lt;/label&gt;
						&lt;input type='text' class='col-md-10 form-control input-text' name='Katashiki' [(ngModel)]='rowdata.katashiki'&gt;
					&lt;/div&gt;
					&lt;div class='col-md-12 form-group row'&gt;
						&lt;label class='col-md-2 form-control title'&gt;Veh Name Cd&lt;/label&gt;
						&lt;input type='text' class='col-md-10 form-control input-text' name='VehNameCd' [(ngModel)]='rowdata.vehNameCd'&gt;
					&lt;/div&gt;
					&lt;div class='col-md-12 form-group row'&gt;
						&lt;label class='col-md-2 form-control title'&gt;Mar Lot Code&lt;/label&gt;
						&lt;input type='text' class='col-md-10 form-control input-text' name='MarLotCode' [(ngModel)]='rowdata.marLotCode'&gt;
					&lt;/div&gt;
					&lt;div class='col-md-12 form-group row'&gt;
						&lt;label class='col-md-2 form-control title'&gt;Test No&lt;/label&gt;
						&lt;input type='text' class='col-md-10 form-control input-text' name='TestNo' [(ngModel)]='rowdata.testNo'&gt;
					&lt;/div&gt;
					&lt;div class='col-md-12 form-group row'&gt;
						&lt;label class='col-md-2 form-control title'&gt;Vehicle Id&lt;/label&gt;
						&lt;input type='text' class='col-md-10 form-control input-text' name='VehicleId' [(ngModel)]='rowdata.vehicleId'&gt;
					&lt;/div&gt;
					&lt;div class='col-md-12 form-group row'&gt;
						&lt;label class='col-md-2 form-control title'&gt;Prod Sfx&lt;/label&gt;
						&lt;input type='text' class='col-md-10 form-control input-text' name='ProdSfx' [(ngModel)]='rowdata.prodSfx'&gt;
					&lt;/div&gt;
					&lt;div class='col-md-12 form-group row'&gt;
						&lt;label class='col-md-2 form-control title'&gt;Sales Sfx&lt;/label&gt;
						&lt;input type='text' class='col-md-10 form-control input-text' name='SalesSfx' [(ngModel)]='rowdata.salesSfx'&gt;
					&lt;/div&gt;
					&lt;div class='col-md-12 form-group row'&gt;
						&lt;label class='col-md-2 form-control title'&gt;Brand&lt;/label&gt;
						&lt;input type='text' class='col-md-10 form-control input-text' name='Brand' [(ngModel)]='rowdata.brand'&gt;
					&lt;/div&gt;
					&lt;div class='col-md-12 form-group row'&gt;
						&lt;label class='col-md-2 form-control title'&gt;Car Series&lt;/label&gt;
						&lt;input type='text' class='col-md-10 form-control input-text' name='CarSeries' [(ngModel)]='rowdata.carSeries'&gt;
					&lt;/div&gt;
					&lt;div class='col-md-12 form-group row'&gt;
						&lt;label class='col-md-2 form-control title'&gt;Transmission Type&lt;/label&gt;
						&lt;input type='text' class='col-md-10 form-control input-text' name='TransmissionType' [(ngModel)]='rowdata.transmissionType'&gt;
					&lt;/div&gt;
					&lt;div class='col-md-12 form-group row'&gt;
						&lt;label class='col-md-2 form-control title'&gt;Engine Type&lt;/label&gt;
						&lt;input type='text' class='col-md-10 form-control input-text' name='EngineType' [(ngModel)]='rowdata.engineType'&gt;
					&lt;/div&gt;
					&lt;div class='col-md-12 form-group row'&gt;
						&lt;label class='col-md-2 form-control title'&gt;Fuel Type&lt;/label&gt;
						&lt;input type='text' class='col-md-10 form-control input-text' name='FuelType' [(ngModel)]='rowdata.fuelType'&gt;
					&lt;/div&gt;
					&lt;div class='col-md-12 form-group row'&gt;
						&lt;label class='col-md-2 form-control title'&gt;Goshi Car&lt;/label&gt;
						&lt;new-checkbox [(ngModel)]='_goshiCar' name='goshiCar'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CreateOrEditMstCmmLotCodeGradeDto, MstCmmLotCodeGradeServiceProxy } from '@shared/service-proxies/service-proxies';
import { BsDatepickerDirective } from 'ngx-bootstrap/datepicker';
@Component({
    selector: 'create-or-edit-lotcodegrade-modal',
    templateUrl: './create-or-edit-lotcodegrade-modal.component.html',
    styleUrls: ['./create-or-edit-lotcodegrade-modal.component.less']
    })
export class CreateOrEditLotCodeGradeModalComponent extends AppComponentBase {
    @ViewChild('createOrEditModalLotCodeGrade',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CreateOrEditMstCmmLotCodeGradeDto = new CreateOrEditMstCmmLotCodeGradeDto();
    active: boolean = false;
    saving: boolean = false;
    _model
goshiCar
isActive: boolean;
    constructor(
        injector: Injector,
        private _mstwptLotCodeGradeService: MstCmmLotCodeGradeServiceProxy,
    ) 
    {
        super(injector);
    }
    show(rowdata?: CreateOrEditMstCmmLotCodeGradeDto): void {
        if (!rowdata) this.rowdata = new CreateOrEditMstCmmLotCodeGradeDto();
        else this.rowdata = rowdata;
        this._model
goshiCar
isActive = (this.rowdata.model
goshiCar
isActive == "N")? false: true;
        this.active = true;
        this.modal.show();
    } 
    changeActive(event){
        this._model
goshiCar
isActive = event.target.checked;
    }
    save(): void {
    this.saving = true; 
    this.rowdata.model
goshiCar
isActive = (this._model
goshiCar
isActive == true) ? 'Y' : 'N'
    this._mstwptLotCodeGradeService.createOrEdit(this.rowdata)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LotCodeGradeRoutingModule } from './lotcodegrade-routing.module';
import { LotCodeGradeComponent } from './lotcodegrade.component';
import { CreateOrEditLotCodeGradeModalComponent } from './create-or-edit-lotcodegrade-modal.component';
@NgModule({
    declarations: [
       LotCodeGradeComponent, 
        CreateOrEditLotCodeGradeModalComponent
    ],
    imports: [
        AppSharedModule, LotCodeGradeRoutingModule]
})
export class LotCodeGradeModule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LotCodeGradeComponent } from './lotcodegrade.component';
const routes: Routes = [{
    path: '',
    component: LotCodeGradeComponent,
    pathMatch: 'full'
}];
@NgModule({
    imports: [RouterModule.forChild(routes)],
    exports: [RouterModule],
})
export class LotCodeGradeRoutingModule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AppMenuItem("LotCodeGrade", "Pages.Master.Cmm.LotCodeGrade", "flaticon-book",   "/app/main/master/cmm/lotcodegrade"),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'master/cmm/lotcodegrade',
    loadChildren: () =&gt; import('./master/cmm/lotcodegrade/lotcodegrade.module').then(m =&gt; m.LotCodeGradeModule),
    data: { permission: 'Pages.Master.Cmm.LotCodeGrade' }
},</v>
      </c>
      <c r="R10" s="50" t="str">
        <f>SUBSTITUTE(R9,"MstWptCalendar",$B$6)</f>
        <v>ApiServiceProxies.MstCmmLotCodeGradeServiceProxy,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H39</v>
      </c>
      <c r="I12" s="31" t="str">
        <f>"I"&amp;COUNTA($A:$A)</f>
        <v>I39</v>
      </c>
      <c r="J12" s="31"/>
      <c r="K12" s="31" t="str">
        <f>"K"&amp;COUNTA($A:$A)</f>
        <v>K39</v>
      </c>
      <c r="L12" s="31" t="str">
        <f>"L"&amp;COUNTA($A:$A)</f>
        <v>L39</v>
      </c>
      <c r="M12" s="31"/>
      <c r="N12" s="31"/>
      <c r="O12" s="31"/>
      <c r="P12" s="31"/>
      <c r="Q12" s="31"/>
      <c r="R12" s="31"/>
      <c r="S12" s="31" t="str">
        <f>"S"&amp;COUNTA($A:$A)</f>
        <v>S39</v>
      </c>
      <c r="T12" s="31" t="str">
        <f>"T"&amp;COUNTA($A:$A)</f>
        <v>T39</v>
      </c>
      <c r="U12" s="31" t="str">
        <f>"U"&amp;COUNTA($A:$A)</f>
        <v>U39</v>
      </c>
      <c r="V12" s="31" t="str">
        <f>"V"&amp;COUNTA($A:$A)</f>
        <v>V39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this.l('Model'),headerTooltip: this.l('Model'),field:  'model', cellClass: ['text-center'], width: 120, cellRenderer: 'agCellButtonComponent',
buttonDefTwo: { text: params =&gt; (params.data?.'model' == 'Y') ? 'Active' : 'Inactive',iconName: 'fa fa-circle',className: params =&gt; (params.data?.'model' == 'Y') ? 'btnActive' : 'btnInActive',},}
			{headerName: this.l('Lot Code'),headerTooltip: this.l('Lot Code'),field: 'lotCode',flex: 1},
			{headerName: this.l('Cfc'),headerTooltip: this.l('Cfc'),field: 'cfc',flex: 1},
			{headerName: this.l('Grade'),headerTooltip: this.l('Grade'),field: 'grade',flex: 1},
			{headerName: this.l('Grade Name'),headerTooltip: this.l('Grade Name'),field: 'gradeName',flex: 1},
			{headerName: this.l('Model Code'),headerTooltip: this.l('Model Code'),field: 'modelCode',flex: 1},
			{headerName: this.l('Model Vin'),headerTooltip: this.l('Model Vin'),field: 'modelVin',flex: 1},
			{headerName: this.l('Id Line'),headerTooltip: this.l('Id Line'),field: 'idLine',flex: 1},
			{headerName: this.l('Spec 200'),headerTooltip: this.l('Spec 200'),field: 'spec200',flex: 1},
			{headerName: this.l('Ss No'),headerTooltip: this.l('Ss No'),field: 'ssNo',flex: 1},
			{headerName: this.l('Katashiki Ctl'),headerTooltip: this.l('Katashiki Ctl'),field: 'katashikiCtl',flex: 1},
			{headerName: this.l('Katashiki'),headerTooltip: this.l('Katashiki'),field: 'katashiki',flex: 1},
			{headerName: this.l('Veh Name Cd'),headerTooltip: this.l('Veh Name Cd'),field: 'vehNameCd',flex: 1},
			{headerName: this.l('Mar Lot Code'),headerTooltip: this.l('Mar Lot Code'),field: 'marLotCode',flex: 1},
			{headerName: this.l('Test No'),headerTooltip: this.l('Test No'),field: 'testNo',flex: 1},
			{headerName: this.l('Vehicle Id'),headerTooltip: this.l('Vehicle Id'),field: 'vehicleId',flex: 1},
			{headerName: this.l('Prod Sfx'),headerTooltip: this.l('Prod Sfx'),field: 'prodSfx',flex: 1},
			{headerName: this.l('Sales Sfx'),headerTooltip: this.l('Sales Sfx'),field: 'salesSfx',flex: 1},
			{headerName: this.l('Brand'),headerTooltip: this.l('Brand'),field: 'brand',flex: 1},
			{headerName: this.l('Car Series'),headerTooltip: this.l('Car Series'),field: 'carSeries',flex: 1},
			{headerName: this.l('Transmission Type'),headerTooltip: this.l('Transmission Type'),field: 'transmissionType',flex: 1},
			{headerName: this.l('Engine Type'),headerTooltip: this.l('Engine Type'),field: 'engineType',flex: 1},
			{headerName: this.l('Fuel Type'),headerTooltip: this.l('Fuel Type'),field: 'fuelType',flex: 1},
			{headerName: this.l('Goshi Car'),headerTooltip: this.l('Goshi Car'),field:  'goshiCar', cellClass: ['text-center'], width: 120, cellRenderer: 'agCellButtonComponent',
buttonDefTwo: { text: params =&gt; (params.data?.'goshiCar' == 'Y') ? 'Active' : 'Inactive',iconName: 'fa fa-circle',className: params =&gt; (params.data?.'goshiCar'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[(ngModel)]='lotCode' name='lotCode'
									class='form-control' [placeholder]="l('Lot Code')"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[(ngModel)]='gradeName' name='gradeName'
									class='form-control' [placeholder]="l('Grade Name')"
									type='text' (keyup.enter)='searchDatas()'&gt;
								&lt;/div&gt;
								&lt;div class='input-search'&gt;
									&lt;input [(ngModel)]='modelCode' name='modelCode'
									class='form-control' [placeholder]="l('Model Code')"
									type='text' (keyup.enter)='searchDatas()'&gt;
								&lt;/div&gt;
								&lt;div class='input-search'&gt;
									&lt;input [(ngModel)]='modelVin' name='modelVin'
									class='form-control' [placeholder]="l('Model Vin')"
									type='text' (keyup.enter)='searchDatas()'&gt;
								&lt;/div&gt;
								&lt;div class='input-search'&gt;
									&lt;input [(ngModel)]='idLine' name='idLine'
									class='form-control' [placeholder]="l('Id Line')"
									type='text' (keyup.enter)='searchDatas()'&gt;
								&lt;/div&gt;
								&lt;div class='input-search'&gt;
									&lt;input [(ngModel)]='spec200' name='spec200'
									class='form-control' [placeholder]="l('Spec 200')"
									type='text' (keyup.enter)='searchDatas()'&gt;
								&lt;/div&gt;
								&lt;div class='input-search'&gt;
									&lt;input [(ngModel)]='ssNo' name='ssNo'
									class='form-control' [placeholder]="l('Ss No')"
									type='text' (keyup.enter)='searchDatas()'&gt;
								&lt;/div&gt;
								&lt;div class='input-search'&gt;
									&lt;input [(ngModel)]='katashikiCtl' name='katashikiCtl'
									class='form-control' [placeholder]="l('Katashiki Ctl')"
									type='text' (keyup.enter)='searchDatas()'&gt;
								&lt;/div&gt;
								&lt;div class='input-search'&gt;
									&lt;input [(ngModel)]='katashiki' name='katashiki'
									class='form-control' [placeholder]="l('Katashiki')"
									type='text' (keyup.enter)='searchDatas()'&gt;
								&lt;/div&gt;
								&lt;div class='input-search'&gt;
									&lt;input [(ngModel)]='vehNameCd' name='vehNameCd'
									class='form-control' [placeholder]="l('Veh Name Cd')"
									type='text' (keyup.enter)='searchDatas()'&gt;
								&lt;/div&gt;
								&lt;div class='input-search'&gt;
									&lt;input [(ngModel)]='marLotCode' name='marLotCode'
									class='form-control' [placeholder]="l('Mar Lot Code')"
									type='text' (keyup.enter)='searchDatas()'&gt;
								&lt;/div&gt;
								&lt;div class='input-search'&gt;
									&lt;input [(ngModel)]='testNo' name='testNo'
									class='form-control' [placeholder]="l('Test No')"
									type='text' (keyup.enter)='searchDatas()'&gt;
								&lt;/div&gt;
								&lt;div class='input-search'&gt;
									&lt;input [(ngModel)]='vehicleId' name='vehicleId'
									class='form-control' [placeholder]="l('Vehicle Id')"
									type='text' (keyup.enter)='searchDatas()'&gt;
								&lt;/div&gt;
								&lt;div class='input-search'&gt;
									&lt;input [(ngModel)]='prodSfx' name='prodSfx'
									class='form-control' [placeholder]="l('Prod Sfx')"
									type='text' (keyup.enter)='searchDatas()'&gt;
								&lt;/div&gt;
								&lt;div class='input-search'&gt;
									&lt;input [(ngModel)]='salesSfx' name='salesSfx'
									class='form-control' [placeholder]="l('Sales Sfx')"
									type='text' (keyup.enter)='searchDatas()'&gt;
								&lt;/div&gt;
								&lt;div class='input-search'&gt;
									&lt;input [(ngModel)]='brand' name='brand'
									class='form-control' [placeholder]="l('Brand')"
									type='text' (keyup.enter)='searchDatas()'&gt;
								&lt;/div&gt;
								&lt;div class='input-search'&gt;
									&lt;input [(ngModel)]='carSeries' name='carSeries'
									class='form-control' [placeholder]="l('Car Series')"
									type='text' (keyup.enter)='searchDatas()'&gt;
								&lt;/div&gt;
								&lt;div class='input-search'&gt;
									&lt;input [(ngModel)]='transmissionType' name='transmissionType'
									class='form-control' [placeholder]="l('Transmission Type')"
									type='text' (keyup.enter)='searchDatas()'&gt;
								&lt;/div&gt;
								&lt;div class='input-search'&gt;
									&lt;input [(ngModel)]='engineType' name='engineType'
									class='form-control' [placeholder]="l('Engine Type')"
									type='text' (keyup.enter)='searchDatas()'&gt;
								&lt;/div&gt;
								&lt;div class='input-search'&gt;
									&lt;input [(ngModel)]='fuelType' name='fuelType'
									class='form-control' [placeholder]="l('Fuel Type')"
									type='text' (keyup.enter)='searchDatas()'&gt;
								&lt;/div&gt;
								&lt;div class='input-search'&gt;
									&lt;input [(ngModel)]='goshiCar' name='goshiCar'
									class='form-control' [placeholder]="l('Goshi Car')"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title'&gt;Model&lt;/label&gt;
						&lt;new-checkbox [(ngModel)]='_model' name='model' className='col-md-10' &gt; &lt;/new-checkbox&gt;
					&lt;/div&gt;
					&lt;div class='col-md-12 form-group row'&gt;
						&lt;label class='col-md-2 form-control title'&gt;Lot Code&lt;/label&gt;
						&lt;input type='text' class='col-md-10 form-control input-text' name='LotCode' [(ngModel)]='rowdata.lotCode'&gt;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title'&gt;Grade Name&lt;/label&gt;
						&lt;input type='text' class='col-md-10 form-control input-text' name='GradeName' [(ngModel)]='rowdata.gradeName'&gt;
					&lt;/div&gt;
					&lt;div class='col-md-12 form-group row'&gt;
						&lt;label class='col-md-2 form-control title'&gt;Model Code&lt;/label&gt;
						&lt;input type='text' class='col-md-10 form-control input-text' name='ModelCode' [(ngModel)]='rowdata.modelCode'&gt;
					&lt;/div&gt;
					&lt;div class='col-md-12 form-group row'&gt;
						&lt;label class='col-md-2 form-control title'&gt;Model Vin&lt;/label&gt;
						&lt;input type='text' class='col-md-10 form-control input-text' name='ModelVin' [(ngModel)]='rowdata.modelVin'&gt;
					&lt;/div&gt;
					&lt;div class='col-md-12 form-group row'&gt;
						&lt;label class='col-md-2 form-control title'&gt;Id Line&lt;/label&gt;
						&lt;input type='text' class='col-md-10 form-control input-text' name='IdLine' [(ngModel)]='rowdata.idLine'&gt;
					&lt;/div&gt;
					&lt;div class='col-md-12 form-group row'&gt;
						&lt;label class='col-md-2 form-control title'&gt;Spec 200&lt;/label&gt;
						&lt;input type='text' class='col-md-10 form-control input-text' name='Spec200' [(ngModel)]='rowdata.spec200'&gt;
					&lt;/div&gt;
					&lt;div class='col-md-12 form-group row'&gt;
						&lt;label class='col-md-2 form-control title'&gt;Ss No&lt;/label&gt;
						&lt;input type='text' class='col-md-10 form-control input-text' name='SsNo' [(ngModel)]='rowdata.ssNo'&gt;
					&lt;/div&gt;
					&lt;div class='col-md-12 form-group row'&gt;
						&lt;label class='col-md-2 form-control title'&gt;Katashiki Ctl&lt;/label&gt;
						&lt;input type='text' class='col-md-10 form-control input-text' name='KatashikiCtl' [(ngModel)]='rowdata.katashikiCtl'&gt;
					&lt;/div&gt;
					&lt;div class='col-md-12 form-group row'&gt;
						&lt;label class='col-md-2 form-control title'&gt;Katashiki&lt;/label&gt;
						&lt;input type='text' class='col-md-10 form-control input-text' name='Katashiki' [(ngModel)]='rowdata.katashiki'&gt;
					&lt;/div&gt;
					&lt;div class='col-md-12 form-group row'&gt;
						&lt;label class='col-md-2 form-control title'&gt;Veh Name Cd&lt;/label&gt;
						&lt;input type='text' class='col-md-10 form-control input-text' name='VehNameCd' [(ngModel)]='rowdata.vehNameCd'&gt;
					&lt;/div&gt;
					&lt;div class='col-md-12 form-group row'&gt;
						&lt;label class='col-md-2 form-control title'&gt;Mar Lot Code&lt;/label&gt;
						&lt;input type='text' class='col-md-10 form-control input-text' name='MarLotCode' [(ngModel)]='rowdata.marLotCode'&gt;
					&lt;/div&gt;
					&lt;div class='col-md-12 form-group row'&gt;
						&lt;label class='col-md-2 form-control title'&gt;Test No&lt;/label&gt;
						&lt;input type='text' class='col-md-10 form-control input-text' name='TestNo' [(ngModel)]='rowdata.testNo'&gt;
					&lt;/div&gt;
					&lt;div class='col-md-12 form-group row'&gt;
						&lt;label class='col-md-2 form-control title'&gt;Vehicle Id&lt;/label&gt;
						&lt;input type='text' class='col-md-10 form-control input-text' name='VehicleId' [(ngModel)]='rowdata.vehicleId'&gt;
					&lt;/div&gt;
					&lt;div class='col-md-12 form-group row'&gt;
						&lt;label class='col-md-2 form-control title'&gt;Prod Sfx&lt;/label&gt;
						&lt;input type='text' class='col-md-10 form-control input-text' name='ProdSfx' [(ngModel)]='rowdata.prodSfx'&gt;
					&lt;/div&gt;
					&lt;div class='col-md-12 form-group row'&gt;
						&lt;label class='col-md-2 form-control title'&gt;Sales Sfx&lt;/label&gt;
						&lt;input type='text' class='col-md-10 form-control input-text' name='SalesSfx' [(ngModel)]='rowdata.salesSfx'&gt;
					&lt;/div&gt;
					&lt;div class='col-md-12 form-group row'&gt;
						&lt;label class='col-md-2 form-control title'&gt;Brand&lt;/label&gt;
						&lt;input type='text' class='col-md-10 form-control input-text' name='Brand' [(ngModel)]='rowdata.brand'&gt;
					&lt;/div&gt;
					&lt;div class='col-md-12 form-group row'&gt;
						&lt;label class='col-md-2 form-control title'&gt;Car Series&lt;/label&gt;
						&lt;input type='text' class='col-md-10 form-control input-text' name='CarSeries' [(ngModel)]='rowdata.carSeries'&gt;
					&lt;/div&gt;
					&lt;div class='col-md-12 form-group row'&gt;
						&lt;label class='col-md-2 form-control title'&gt;Transmission Type&lt;/label&gt;
						&lt;input type='text' class='col-md-10 form-control input-text' name='TransmissionType' [(ngModel)]='rowdata.transmissionType'&gt;
					&lt;/div&gt;
					&lt;div class='col-md-12 form-group row'&gt;
						&lt;label class='col-md-2 form-control title'&gt;Engine Type&lt;/label&gt;
						&lt;input type='text' class='col-md-10 form-control input-text' name='EngineType' [(ngModel)]='rowdata.engineType'&gt;
					&lt;/div&gt;
					&lt;div class='col-md-12 form-group row'&gt;
						&lt;label class='col-md-2 form-control title'&gt;Fuel Type&lt;/label&gt;
						&lt;input type='text' class='col-md-10 form-control input-text' name='FuelType' [(ngModel)]='rowdata.fuelType'&gt;
					&lt;/div&gt;
					&lt;div class='col-md-12 form-group row'&gt;
						&lt;label class='col-md-2 form-control title'&gt;Goshi Car&lt;/label&gt;
						&lt;new-checkbox [(ngModel)]='_goshiCar' name='goshiCar'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model : string = '' ; 
	lotCode : string = '' ; 
	cfc : string = '' ; 
	grade : string = '' ; 
	gradeName : string = '' ; 
	modelCode : string = '' ; 
	modelVin : string = '' ; 
	idLine : string = '' ; 
	spec200 : string = '' ; 
	ssNo : string = '' ; 
	katashikiCtl : string = '' ; 
	katashiki : string = '' ; 
	vehNameCd : string = '' ; 
	marLotCode : string = '' ; 
	testNo : string = '' ; 
	vehicleId : string = '' ; 
	prodSfx : string = '' ; 
	salesSfx : string = '' ; 
	brand : string = '' ; 
	carSeries : string = '' ; 
	transmissionType : string = '' ; 
	engineType : string = '' ; 
	fuelType : string = '' ; 
	goshiCar : string = '' ; 
	isActive : string = '' ; </v>
      </c>
      <c r="T13" s="68" t="str">
        <f ca="1">TEXTJOIN2("
",TRUE,INDIRECT(T11):INDIRECT(T12))</f>
        <v xml:space="preserve">			this.model,
			this.lotCode,
			this.cfc,
			this.grade,
			this.gradeName,
			this.modelCode,
			this.modelVin,
			this.idLine,
			this.spec200,
			this.ssNo,
			this.katashikiCtl,
			this.katashiki,
			this.vehNameCd,
			this.marLotCode,
			this.testNo,
			this.vehicleId,
			this.prodSfx,
			this.salesSfx,
			this.brand,
			this.carSeries,
			this.transmissionType,
			this.engineType,
			this.fuelType,
			this.goshiCar,
			this.isActive,</v>
      </c>
      <c r="U13" s="68" t="str">
        <f ca="1">TEXTJOIN2("
",TRUE,INDIRECT(U11):INDIRECT(U12))</f>
        <v>this.model = '',
		this.lotCode = '',
		this.cfc = '',
		this.grade = '',
		this.gradeName = '',
		this.modelCode = '',
		this.modelVin = '',
		this.idLine = '',
		this.spec200 = '',
		this.ssNo = '',
		this.katashikiCtl = '',
		this.katashiki = '',
		this.vehNameCd = '',
		this.marLotCode = '',
		this.testNo = '',
		this.vehicleId = '',
		this.prodSfx = '',
		this.salesSfx = '',
		this.brand = '',
		this.carSeries = '',
		this.transmissionType = '',
		this.engineType = '',
		this.fuelType = '',
		this.goshiCar = '',
		this.isActive = '',</v>
      </c>
      <c r="V13" s="31" t="str">
        <f ca="1">TEXTJOIN2("
",TRUE,INDIRECT(V11):INDIRECT(V12))</f>
        <v>model
goshiCar
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lotcodegrade.component.ts</v>
      </c>
      <c r="I14" s="40" t="str">
        <f>B8&amp;".component.html"</f>
        <v>lotcodegrade.component.html</v>
      </c>
      <c r="J14" s="39" t="str">
        <f>B8&amp;".component.less"</f>
        <v>lotcodegrade.component.less</v>
      </c>
      <c r="K14" s="40" t="str">
        <f>"create-or-edit-"&amp;B8&amp;"-modal.component.html"</f>
        <v>create-or-edit-lotcodegrade-modal.component.html</v>
      </c>
      <c r="L14" s="40" t="str">
        <f>"create-or-edit-"&amp;B8&amp;"-modal.component.ts"</f>
        <v>create-or-edit-lotcodegrade-modal.component.ts</v>
      </c>
      <c r="M14" s="40" t="str">
        <f>"create-or-edit-"&amp;B8&amp;"-modal.component.less"</f>
        <v>create-or-edit-lotcodegrade-modal.component.less</v>
      </c>
      <c r="N14" s="40" t="str">
        <f>B8&amp;".module.ts"</f>
        <v>lotcodegrade.module.ts</v>
      </c>
      <c r="O14" s="40" t="str">
        <f>B8&amp;"-routing.module.ts"</f>
        <v>lotcodegrade-routing.module.ts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307</v>
      </c>
      <c r="B15" s="31" t="str">
        <f>SUBSTITUTE(PROPER(A15),"_","")</f>
        <v>Model</v>
      </c>
      <c r="C15" s="31" t="str">
        <f>SUBSTITUTE(PROPER(A15),"_"," ")</f>
        <v>Model</v>
      </c>
      <c r="D15" s="31" t="str">
        <f>LOWER(LEFT(B15,1))&amp;RIGHT(B15,LEN(B15) - 1)</f>
        <v>model</v>
      </c>
      <c r="E15" s="31" t="str">
        <f>A.Backend!H9</f>
        <v>string</v>
      </c>
      <c r="F15" s="31" t="str">
        <f>A.Backend!G9</f>
        <v>1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this.l('Model'),headerTooltip: this.l('Model'),field:  'model', cellClass: ['text-center'], width: 120, cellRenderer: 'agCellButtonComponent',
buttonDefTwo: { text: params =&gt; (params.data?.'model' == 'Y') ? 'Active' : 'Inactive',iconName: 'fa fa-circle',className: params =&gt; (params.data?.'model' == 'Y') ? 'btnActive' : 'btnInActive',},}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[(ngModel)]='model' name='model'
									class='form-control' [placeholder]="l('Model')"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title'&gt;Model&lt;/label&gt;
						&lt;new-checkbox [(ngModel)]='_model' name='model' className='col-md-10' &gt; &lt;/new-checkbox&gt;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model : string = '' ; </v>
      </c>
      <c r="T15" s="31" t="str">
        <f t="shared" ref="T15:T21" si="0">REPT(CHAR(9),3)&amp;"this."&amp;D15&amp;","</f>
        <v xml:space="preserve">			this.model,</v>
      </c>
      <c r="U15" s="31" t="str">
        <f>IF(E15="int","this."&amp;D15&amp;" = 0,","this."&amp;D15&amp;" = '',")</f>
        <v>this.model = '',</v>
      </c>
      <c r="V15" s="31" t="str">
        <f>IF(AND(E15="string",F15="1"),D15,"")</f>
        <v>model</v>
      </c>
    </row>
    <row r="16" spans="1:22" ht="15" customHeight="1" x14ac:dyDescent="0.25">
      <c r="A16" s="44" t="s">
        <v>309</v>
      </c>
      <c r="B16" s="31" t="str">
        <f t="shared" ref="B16" si="1">SUBSTITUTE(PROPER(A16),"_","")</f>
        <v>LotCode</v>
      </c>
      <c r="C16" s="31" t="str">
        <f t="shared" ref="C16" si="2">SUBSTITUTE(PROPER(A16),"_"," ")</f>
        <v>Lot Code</v>
      </c>
      <c r="D16" s="31" t="str">
        <f t="shared" ref="D16" si="3">LOWER(LEFT(B16,1))&amp;RIGHT(B16,LEN(B16) - 1)</f>
        <v>lotCode</v>
      </c>
      <c r="E16" s="31" t="str">
        <f>A.Backend!H10</f>
        <v>string</v>
      </c>
      <c r="F16" s="31" t="str">
        <f>A.Backend!G10</f>
        <v>2</v>
      </c>
      <c r="G16" s="31" t="str">
        <f t="shared" ref="G16" si="4">IF(E16="string"," : string = '' ; ",IF(OR(E16="DateTime",E16="TimeSpan")," : any ;",IF(E16="int"," : number = 0 ;","")))</f>
        <v xml:space="preserve"> : string = '' ; </v>
      </c>
      <c r="H16" s="38" t="str">
        <f t="shared" ref="H16" si="5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this.l('Lot Code'),headerTooltip: this.l('Lot Code'),field: 'lotCode',flex: 1},</v>
      </c>
      <c r="I16" s="38" t="str">
        <f t="shared" ref="I16" si="6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[(ngModel)]='lotCode' name='lotCode'
									class='form-control' [placeholder]="l('Lot Code')"
									type='text' (keyup.enter)='searchDatas()'&gt;
								&lt;/div&gt;</v>
      </c>
      <c r="J16" s="31"/>
      <c r="K16" s="38" t="str">
        <f t="shared" ref="K16" si="7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title'&gt;Lot Code&lt;/label&gt;
						&lt;input type='text' class='col-md-10 form-control input-text' name='LotCode' [(ngModel)]='rowdata.lotCode'&gt;
					&lt;/div&gt;</v>
      </c>
      <c r="L16" s="60" t="str">
        <f t="shared" ref="L16" si="8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 t="shared" ref="S16:S21" si="9">REPT(CHAR(9),1)&amp;D16&amp;G16</f>
        <v xml:space="preserve">	lotCode : string = '' ; </v>
      </c>
      <c r="T16" s="31" t="str">
        <f t="shared" si="0"/>
        <v xml:space="preserve">			this.lotCode,</v>
      </c>
      <c r="U16" s="31" t="str">
        <f t="shared" ref="U16:U21" si="10">IF(E16="int",REPT(CHAR(9),2)&amp;"this."&amp;D16&amp;" = 0,",REPT(CHAR(9),2)&amp;"this."&amp;D16&amp;" = '',")</f>
        <v xml:space="preserve">		this.lotCode = '',</v>
      </c>
      <c r="V16" s="31" t="str">
        <f t="shared" ref="V16" si="11">IF(AND(E16="string",F16="1"),D16,"")</f>
        <v/>
      </c>
    </row>
    <row r="17" spans="1:22" ht="15" customHeight="1" x14ac:dyDescent="0.25">
      <c r="A17" s="44" t="s">
        <v>310</v>
      </c>
      <c r="B17" s="31" t="str">
        <f t="shared" ref="B17:B18" si="12">SUBSTITUTE(PROPER(A17),"_","")</f>
        <v>Cfc</v>
      </c>
      <c r="C17" s="31" t="str">
        <f t="shared" ref="C17:C18" si="13">SUBSTITUTE(PROPER(A17),"_"," ")</f>
        <v>Cfc</v>
      </c>
      <c r="D17" s="31" t="str">
        <f t="shared" ref="D17:D18" si="14">LOWER(LEFT(B17,1))&amp;RIGHT(B17,LEN(B17) - 1)</f>
        <v>cfc</v>
      </c>
      <c r="E17" s="31" t="str">
        <f>A.Backend!H11</f>
        <v>string</v>
      </c>
      <c r="F17" s="31" t="str">
        <f>A.Backend!G11</f>
        <v>4</v>
      </c>
      <c r="G17" s="31" t="str">
        <f t="shared" ref="G17:G18" si="15">IF(E17="string"," : string = '' ; ",IF(OR(E17="DateTime",E17="TimeSpan")," : any ;",IF(E17="int"," : number = 0 ;","")))</f>
        <v xml:space="preserve"> : string = '' ; </v>
      </c>
      <c r="H17" s="38" t="str">
        <f t="shared" ref="H17:H18" si="16"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this.l('Cfc'),headerTooltip: this.l('Cfc'),field: 'cfc',flex: 1},</v>
      </c>
      <c r="I17" s="38" t="str">
        <f t="shared" ref="I17:I18" si="17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[(ngModel)]='cfc' name='cfc'
									class='form-control' [placeholder]="l('Cfc')"
									type='text' (keyup.enter)='searchDatas()'&gt;
								&lt;/div&gt;</v>
      </c>
      <c r="J17" s="31"/>
      <c r="K17" s="38" t="str">
        <f t="shared" ref="K17:K18" si="18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title'&gt;Cfc&lt;/label&gt;
						&lt;input type='text' class='col-md-10 form-control input-text' name='Cfc' [(ngModel)]='rowdata.cfc'&gt;
					&lt;/div&gt;</v>
      </c>
      <c r="L17" s="60" t="str">
        <f t="shared" ref="L17:L18" si="19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 t="shared" si="9"/>
        <v xml:space="preserve">	cfc : string = '' ; </v>
      </c>
      <c r="T17" s="31" t="str">
        <f t="shared" si="0"/>
        <v xml:space="preserve">			this.cfc,</v>
      </c>
      <c r="U17" s="31" t="str">
        <f t="shared" si="10"/>
        <v xml:space="preserve">		this.cfc = '',</v>
      </c>
      <c r="V17" s="31" t="str">
        <f t="shared" ref="V17:V18" si="20">IF(AND(E17="string",F17="1"),D17,"")</f>
        <v/>
      </c>
    </row>
    <row r="18" spans="1:22" ht="15" customHeight="1" x14ac:dyDescent="0.25">
      <c r="A18" s="44" t="s">
        <v>311</v>
      </c>
      <c r="B18" s="31" t="str">
        <f t="shared" si="12"/>
        <v>Grade</v>
      </c>
      <c r="C18" s="31" t="str">
        <f t="shared" si="13"/>
        <v>Grade</v>
      </c>
      <c r="D18" s="31" t="str">
        <f t="shared" si="14"/>
        <v>grade</v>
      </c>
      <c r="E18" s="31" t="str">
        <f>A.Backend!H12</f>
        <v>string</v>
      </c>
      <c r="F18" s="31" t="str">
        <f>A.Backend!G12</f>
        <v>2</v>
      </c>
      <c r="G18" s="31" t="str">
        <f t="shared" si="15"/>
        <v xml:space="preserve"> : string = '' ; </v>
      </c>
      <c r="H18" s="38" t="str">
        <f t="shared" si="16"/>
        <v xml:space="preserve">			{headerName: this.l('Grade'),headerTooltip: this.l('Grade'),field: 'grade',flex: 1},</v>
      </c>
      <c r="I18" s="38" t="str">
        <f t="shared" si="17"/>
        <v xml:space="preserve">								&lt;div class='input-search'&gt;
									&lt;input [(ngModel)]='grade' name='grade'
									class='form-control' [placeholder]="l('Grade')"
									type='text' (keyup.enter)='searchDatas()'&gt;
								&lt;/div&gt;</v>
      </c>
      <c r="J18" s="31"/>
      <c r="K18" s="38" t="str">
        <f t="shared" si="18"/>
        <v xml:space="preserve">					&lt;div class='col-md-12 form-group row'&gt;
						&lt;label class='col-md-2 form-control title'&gt;Grade&lt;/label&gt;
						&lt;input type='text' class='col-md-10 form-control input-text' name='Grade' [(ngModel)]='rowdata.grade'&gt;
					&lt;/div&gt;</v>
      </c>
      <c r="L18" s="60" t="str">
        <f t="shared" si="19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grade : string = '' ; </v>
      </c>
      <c r="T18" s="31" t="str">
        <f t="shared" si="0"/>
        <v xml:space="preserve">			this.grade,</v>
      </c>
      <c r="U18" s="31" t="str">
        <f t="shared" si="10"/>
        <v xml:space="preserve">		this.grade = '',</v>
      </c>
      <c r="V18" s="31" t="str">
        <f t="shared" si="20"/>
        <v/>
      </c>
    </row>
    <row r="19" spans="1:22" ht="15" customHeight="1" x14ac:dyDescent="0.25">
      <c r="A19" s="44" t="s">
        <v>312</v>
      </c>
      <c r="B19" s="31" t="str">
        <f t="shared" ref="B19:B20" si="21">SUBSTITUTE(PROPER(A19),"_","")</f>
        <v>GradeName</v>
      </c>
      <c r="C19" s="31" t="str">
        <f t="shared" ref="C19:C20" si="22">SUBSTITUTE(PROPER(A19),"_"," ")</f>
        <v>Grade Name</v>
      </c>
      <c r="D19" s="31" t="str">
        <f t="shared" ref="D19:D20" si="23">LOWER(LEFT(B19,1))&amp;RIGHT(B19,LEN(B19) - 1)</f>
        <v>gradeName</v>
      </c>
      <c r="E19" s="31" t="str">
        <f>A.Backend!H13</f>
        <v>string</v>
      </c>
      <c r="F19" s="31" t="str">
        <f>A.Backend!G13</f>
        <v>50</v>
      </c>
      <c r="G19" s="31" t="str">
        <f t="shared" ref="G19:G20" si="24">IF(E19="string"," : string = '' ; ",IF(OR(E19="DateTime",E19="TimeSpan")," : any ;",IF(E19="int"," : number = 0 ;","")))</f>
        <v xml:space="preserve"> : string = '' ; </v>
      </c>
      <c r="H19" s="38" t="str">
        <f t="shared" ref="H19:H20" si="25">IF(E19="DateTime",
REPT(CHAR(9),3)&amp;"{headerName: this.l('"&amp;C19&amp;"'),headerTooltip: this.l('"&amp;C19&amp;"'),field: '"&amp;D19&amp;"',valueGetter: (params) =&gt; this.pipe.transform(params.data?."&amp;D19&amp;", 'dd/MM/yyyy'),flex: 1},",
IF(AND(E19="string",F19="1"),
REPT(CHAR(9),3)&amp;"{headerName: this.l('"&amp;C19&amp;"'),headerTooltip: this.l('"&amp;C19&amp;"'),field:  '"&amp;D19&amp;"', cellClass: ['text-center'], width: 120, cellRenderer: 'agCellButtonComponent',
buttonDefTwo: { text: params =&gt; (params.data?.'"&amp;D19&amp;"' == 'Y') ? 'Active' : 'Inactive',iconName: 'fa fa-circle',className: params =&gt; (params.data?.'"&amp;D19&amp;"' == 'Y') ? 'btnActive' : 'btnInActive',},}",
REPT(CHAR(9),3)&amp;"{headerName: this.l('"&amp;C19&amp;"'),headerTooltip: this.l('"&amp;C19&amp;"'),field: '"&amp;D19&amp;"',flex: 1},"))</f>
        <v xml:space="preserve">			{headerName: this.l('Grade Name'),headerTooltip: this.l('Grade Name'),field: 'gradeName',flex: 1},</v>
      </c>
      <c r="I19" s="38" t="str">
        <f t="shared" ref="I19:I20" si="26"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IF(E19="string",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[(ngModel)]='gradeName' name='gradeName'
									class='form-control' [placeholder]="l('Grade Name')"
									type='text' (keyup.enter)='searchDatas()'&gt;
								&lt;/div&gt;</v>
      </c>
      <c r="J19" s="31"/>
      <c r="K19" s="38" t="str">
        <f t="shared" ref="K19:K20" si="27">IF(OR(E19="DateTime",E19="TimeSpan"),
REPT(CHAR(9),5)&amp;"&lt;div class='col-md-12 form-group row'&gt;
"&amp;REPT(CHAR(9),6)&amp;"&lt;label class='col-md-2 form-control title'&gt;"&amp;C19&amp;"&lt;/label&gt;
"&amp;REPT(CHAR(9),6)&amp;"&lt;input type='text' class='col-md-10 form-control input-text' name='"&amp;D19&amp;"' 
"&amp;REPT(CHAR(9),6)&amp;"#datepicker='bsDatepicker' [(ngModel)]='rowdata."&amp;D19&amp;"'  bsDatepicker &gt;
"&amp;REPT(CHAR(9),5)&amp;"&lt;/div&gt;",
IF(AND(E19="string",F19="1"),
REPT(CHAR(9),5)&amp;"&lt;div class='col-md-12 form-group row'&gt;
"&amp;REPT(CHAR(9),6)&amp;"&lt;label class='col-md-2 form-control title'&gt;"&amp;C19&amp;"&lt;/label&gt;
"&amp;REPT(CHAR(9),6)&amp;"&lt;new-checkbox [(ngModel)]='_"&amp;D19&amp;"' name='"&amp;D19&amp;"' className='col-md-10' &gt; &lt;/new-checkbox&gt;
"&amp;REPT(CHAR(9),5)&amp;"&lt;/div&gt;",
IF(E19="string",
REPT(CHAR(9),5)&amp;"&lt;div class='col-md-12 form-group row'&gt;
"&amp;REPT(CHAR(9),6)&amp;"&lt;label class='col-md-2 form-control title'&gt;"&amp;C19&amp;"&lt;/label&gt;
"&amp;REPT(CHAR(9),6)&amp;"&lt;input type='text' class='col-md-10 form-control input-text' name='"&amp;B19&amp;"' [(ngModel)]='rowdata."&amp;D19&amp;"'&gt;
"&amp;REPT(CHAR(9),5)&amp;"&lt;/div&gt;",
IF(E19="int",
REPT(CHAR(9),5)&amp;"&lt;div class='col-md-12 form-group row'&gt;
"&amp;REPT(CHAR(9),6)&amp;"&lt;label class='col-md-2 form-control title'&gt;"&amp;C19&amp;"&lt;/label&gt;
"&amp;REPT(CHAR(9),6)&amp;"&lt;input type='number' class='col-md-10 form-control input-text' name='"&amp;B19&amp;"' [(ngModel)]='rowdata."&amp;D19&amp;"'&gt;
"&amp;REPT(CHAR(9),5)&amp;"&lt;/div&gt;",""))))</f>
        <v xml:space="preserve">					&lt;div class='col-md-12 form-group row'&gt;
						&lt;label class='col-md-2 form-control title'&gt;Grade Name&lt;/label&gt;
						&lt;input type='text' class='col-md-10 form-control input-text' name='GradeName' [(ngModel)]='rowdata.gradeName'&gt;
					&lt;/div&gt;</v>
      </c>
      <c r="L19" s="60" t="str">
        <f t="shared" ref="L19:L20" si="28">IF(E19="DateTime",
REPT(CHAR(9),2)&amp;"const dateValue =  this.rowdata."&amp;D19&amp;" ? new Date(this.rowdata."&amp;D19&amp;"?.toString()) : new Date();
"&amp;REPT(CHAR(9),2)&amp;"this.datepicker?.bsValueChange.emit(dateValue);","")</f>
        <v/>
      </c>
      <c r="M19" s="31"/>
      <c r="N19" s="31"/>
      <c r="O19" s="31"/>
      <c r="P19" s="31"/>
      <c r="Q19" s="31"/>
      <c r="R19" s="31"/>
      <c r="S19" s="31" t="str">
        <f t="shared" si="9"/>
        <v xml:space="preserve">	gradeName : string = '' ; </v>
      </c>
      <c r="T19" s="31" t="str">
        <f t="shared" si="0"/>
        <v xml:space="preserve">			this.gradeName,</v>
      </c>
      <c r="U19" s="31" t="str">
        <f t="shared" si="10"/>
        <v xml:space="preserve">		this.gradeName = '',</v>
      </c>
      <c r="V19" s="31" t="str">
        <f t="shared" ref="V19:V20" si="29">IF(AND(E19="string",F19="1"),D19,"")</f>
        <v/>
      </c>
    </row>
    <row r="20" spans="1:22" ht="15" customHeight="1" x14ac:dyDescent="0.25">
      <c r="A20" s="44" t="s">
        <v>308</v>
      </c>
      <c r="B20" s="31" t="str">
        <f t="shared" si="21"/>
        <v>ModelCode</v>
      </c>
      <c r="C20" s="31" t="str">
        <f t="shared" si="22"/>
        <v>Model Code</v>
      </c>
      <c r="D20" s="31" t="str">
        <f t="shared" si="23"/>
        <v>modelCode</v>
      </c>
      <c r="E20" s="31" t="str">
        <f>A.Backend!H14</f>
        <v>string</v>
      </c>
      <c r="F20" s="31" t="str">
        <f>A.Backend!G14</f>
        <v>50</v>
      </c>
      <c r="G20" s="31" t="str">
        <f t="shared" si="24"/>
        <v xml:space="preserve"> : string = '' ; </v>
      </c>
      <c r="H20" s="38" t="str">
        <f t="shared" si="25"/>
        <v xml:space="preserve">			{headerName: this.l('Model Code'),headerTooltip: this.l('Model Code'),field: 'modelCode',flex: 1},</v>
      </c>
      <c r="I20" s="38" t="str">
        <f t="shared" si="26"/>
        <v xml:space="preserve">								&lt;div class='input-search'&gt;
									&lt;input [(ngModel)]='modelCode' name='modelCode'
									class='form-control' [placeholder]="l('Model Code')"
									type='text' (keyup.enter)='searchDatas()'&gt;
								&lt;/div&gt;</v>
      </c>
      <c r="J20" s="31"/>
      <c r="K20" s="38" t="str">
        <f t="shared" si="27"/>
        <v xml:space="preserve">					&lt;div class='col-md-12 form-group row'&gt;
						&lt;label class='col-md-2 form-control title'&gt;Model Code&lt;/label&gt;
						&lt;input type='text' class='col-md-10 form-control input-text' name='ModelCode' [(ngModel)]='rowdata.modelCode'&gt;
					&lt;/div&gt;</v>
      </c>
      <c r="L20" s="60" t="str">
        <f t="shared" si="28"/>
        <v/>
      </c>
      <c r="M20" s="31"/>
      <c r="N20" s="31"/>
      <c r="O20" s="31"/>
      <c r="P20" s="31"/>
      <c r="Q20" s="31"/>
      <c r="R20" s="31"/>
      <c r="S20" s="31" t="str">
        <f t="shared" si="9"/>
        <v xml:space="preserve">	modelCode : string = '' ; </v>
      </c>
      <c r="T20" s="31" t="str">
        <f t="shared" si="0"/>
        <v xml:space="preserve">			this.modelCode,</v>
      </c>
      <c r="U20" s="31" t="str">
        <f t="shared" si="10"/>
        <v xml:space="preserve">		this.modelCode = '',</v>
      </c>
      <c r="V20" s="31" t="str">
        <f t="shared" si="29"/>
        <v/>
      </c>
    </row>
    <row r="21" spans="1:22" ht="15" customHeight="1" x14ac:dyDescent="0.25">
      <c r="A21" s="44" t="s">
        <v>313</v>
      </c>
      <c r="B21" s="31" t="str">
        <f t="shared" ref="B21:B25" si="30">SUBSTITUTE(PROPER(A21),"_","")</f>
        <v>ModelVin</v>
      </c>
      <c r="C21" s="31" t="str">
        <f t="shared" ref="C21:C25" si="31">SUBSTITUTE(PROPER(A21),"_"," ")</f>
        <v>Model Vin</v>
      </c>
      <c r="D21" s="31" t="str">
        <f t="shared" ref="D21:D25" si="32">LOWER(LEFT(B21,1))&amp;RIGHT(B21,LEN(B21) - 1)</f>
        <v>modelVin</v>
      </c>
      <c r="E21" s="31" t="str">
        <f>A.Backend!H15</f>
        <v>string</v>
      </c>
      <c r="F21" s="31" t="str">
        <f>A.Backend!G15</f>
        <v>50</v>
      </c>
      <c r="G21" s="31" t="str">
        <f t="shared" ref="G21:G25" si="33">IF(E21="string"," : string = '' ; ",IF(OR(E21="DateTime",E21="TimeSpan")," : any ;",IF(E21="int"," : number = 0 ;","")))</f>
        <v xml:space="preserve"> : string = '' ; </v>
      </c>
      <c r="H21" s="38" t="str">
        <f t="shared" ref="H21:H25" si="34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this.l('Model Vin'),headerTooltip: this.l('Model Vin'),field: 'modelVin',flex: 1},</v>
      </c>
      <c r="I21" s="38" t="str">
        <f t="shared" ref="I21:I25" si="35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[(ngModel)]='modelVin' name='modelVin'
									class='form-control' [placeholder]="l('Model Vin')"
									type='text' (keyup.enter)='searchDatas()'&gt;
								&lt;/div&gt;</v>
      </c>
      <c r="J21" s="31"/>
      <c r="K21" s="38" t="str">
        <f t="shared" ref="K21:K25" si="36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title'&gt;Model Vin&lt;/label&gt;
						&lt;input type='text' class='col-md-10 form-control input-text' name='ModelVin' [(ngModel)]='rowdata.modelVin'&gt;
					&lt;/div&gt;</v>
      </c>
      <c r="L21" s="60" t="str">
        <f t="shared" ref="L21:L25" si="37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 t="shared" si="9"/>
        <v xml:space="preserve">	modelVin : string = '' ; </v>
      </c>
      <c r="T21" s="31" t="str">
        <f t="shared" si="0"/>
        <v xml:space="preserve">			this.modelVin,</v>
      </c>
      <c r="U21" s="31" t="str">
        <f t="shared" si="10"/>
        <v xml:space="preserve">		this.modelVin = '',</v>
      </c>
      <c r="V21" s="31" t="str">
        <f t="shared" ref="V21:V25" si="38">IF(AND(E21="string",F21="1"),D21,"")</f>
        <v/>
      </c>
    </row>
    <row r="22" spans="1:22" ht="15" customHeight="1" x14ac:dyDescent="0.25">
      <c r="A22" s="44" t="s">
        <v>317</v>
      </c>
      <c r="B22" s="31" t="str">
        <f t="shared" si="30"/>
        <v>IdLine</v>
      </c>
      <c r="C22" s="31" t="str">
        <f t="shared" si="31"/>
        <v>Id Line</v>
      </c>
      <c r="D22" s="31" t="str">
        <f t="shared" si="32"/>
        <v>idLine</v>
      </c>
      <c r="E22" s="31" t="str">
        <f>A.Backend!H16</f>
        <v>string</v>
      </c>
      <c r="F22" s="31" t="str">
        <f>A.Backend!G16</f>
        <v>3</v>
      </c>
      <c r="G22" s="31" t="str">
        <f t="shared" si="33"/>
        <v xml:space="preserve"> : string = '' ; </v>
      </c>
      <c r="H22" s="38" t="str">
        <f t="shared" si="34"/>
        <v xml:space="preserve">			{headerName: this.l('Id Line'),headerTooltip: this.l('Id Line'),field: 'idLine',flex: 1},</v>
      </c>
      <c r="I22" s="38" t="str">
        <f t="shared" si="35"/>
        <v xml:space="preserve">								&lt;div class='input-search'&gt;
									&lt;input [(ngModel)]='idLine' name='idLine'
									class='form-control' [placeholder]="l('Id Line')"
									type='text' (keyup.enter)='searchDatas()'&gt;
								&lt;/div&gt;</v>
      </c>
      <c r="J22" s="31"/>
      <c r="K22" s="38" t="str">
        <f t="shared" si="36"/>
        <v xml:space="preserve">					&lt;div class='col-md-12 form-group row'&gt;
						&lt;label class='col-md-2 form-control title'&gt;Id Line&lt;/label&gt;
						&lt;input type='text' class='col-md-10 form-control input-text' name='IdLine' [(ngModel)]='rowdata.idLine'&gt;
					&lt;/div&gt;</v>
      </c>
      <c r="L22" s="60" t="str">
        <f t="shared" si="37"/>
        <v/>
      </c>
      <c r="M22" s="31"/>
      <c r="N22" s="31"/>
      <c r="O22" s="31"/>
      <c r="P22" s="31"/>
      <c r="Q22" s="31"/>
      <c r="R22" s="31"/>
      <c r="S22" s="31" t="str">
        <f t="shared" ref="S22:S31" si="39">REPT(CHAR(9),1)&amp;D22&amp;G22</f>
        <v xml:space="preserve">	idLine : string = '' ; </v>
      </c>
      <c r="T22" s="31" t="str">
        <f t="shared" ref="T22:T31" si="40">REPT(CHAR(9),3)&amp;"this."&amp;D22&amp;","</f>
        <v xml:space="preserve">			this.idLine,</v>
      </c>
      <c r="U22" s="31" t="str">
        <f t="shared" ref="U22:U31" si="41">IF(E22="int",REPT(CHAR(9),2)&amp;"this."&amp;D22&amp;" = 0,",REPT(CHAR(9),2)&amp;"this."&amp;D22&amp;" = '',")</f>
        <v xml:space="preserve">		this.idLine = '',</v>
      </c>
      <c r="V22" s="31" t="str">
        <f t="shared" si="38"/>
        <v/>
      </c>
    </row>
    <row r="23" spans="1:22" ht="15" customHeight="1" x14ac:dyDescent="0.25">
      <c r="A23" s="44" t="s">
        <v>318</v>
      </c>
      <c r="B23" s="31" t="str">
        <f t="shared" si="30"/>
        <v>Spec200</v>
      </c>
      <c r="C23" s="31" t="str">
        <f t="shared" si="31"/>
        <v>Spec 200</v>
      </c>
      <c r="D23" s="31" t="str">
        <f t="shared" si="32"/>
        <v>spec200</v>
      </c>
      <c r="E23" s="31" t="str">
        <f>A.Backend!H17</f>
        <v>string</v>
      </c>
      <c r="F23" s="31" t="str">
        <f>A.Backend!G17</f>
        <v>200</v>
      </c>
      <c r="G23" s="31" t="str">
        <f t="shared" si="33"/>
        <v xml:space="preserve"> : string = '' ; </v>
      </c>
      <c r="H23" s="38" t="str">
        <f t="shared" si="34"/>
        <v xml:space="preserve">			{headerName: this.l('Spec 200'),headerTooltip: this.l('Spec 200'),field: 'spec200',flex: 1},</v>
      </c>
      <c r="I23" s="38" t="str">
        <f t="shared" si="35"/>
        <v xml:space="preserve">								&lt;div class='input-search'&gt;
									&lt;input [(ngModel)]='spec200' name='spec200'
									class='form-control' [placeholder]="l('Spec 200')"
									type='text' (keyup.enter)='searchDatas()'&gt;
								&lt;/div&gt;</v>
      </c>
      <c r="J23" s="31"/>
      <c r="K23" s="38" t="str">
        <f t="shared" si="36"/>
        <v xml:space="preserve">					&lt;div class='col-md-12 form-group row'&gt;
						&lt;label class='col-md-2 form-control title'&gt;Spec 200&lt;/label&gt;
						&lt;input type='text' class='col-md-10 form-control input-text' name='Spec200' [(ngModel)]='rowdata.spec200'&gt;
					&lt;/div&gt;</v>
      </c>
      <c r="L23" s="60" t="str">
        <f t="shared" si="37"/>
        <v/>
      </c>
      <c r="M23" s="31"/>
      <c r="N23" s="31"/>
      <c r="O23" s="31"/>
      <c r="P23" s="31"/>
      <c r="Q23" s="31"/>
      <c r="R23" s="31"/>
      <c r="S23" s="31" t="str">
        <f t="shared" si="39"/>
        <v xml:space="preserve">	spec200 : string = '' ; </v>
      </c>
      <c r="T23" s="31" t="str">
        <f t="shared" si="40"/>
        <v xml:space="preserve">			this.spec200,</v>
      </c>
      <c r="U23" s="31" t="str">
        <f t="shared" si="41"/>
        <v xml:space="preserve">		this.spec200 = '',</v>
      </c>
      <c r="V23" s="31" t="str">
        <f t="shared" si="38"/>
        <v/>
      </c>
    </row>
    <row r="24" spans="1:22" ht="15" customHeight="1" x14ac:dyDescent="0.25">
      <c r="A24" s="44" t="s">
        <v>320</v>
      </c>
      <c r="B24" s="31" t="str">
        <f t="shared" si="30"/>
        <v>SsNo</v>
      </c>
      <c r="C24" s="31" t="str">
        <f t="shared" si="31"/>
        <v>Ss No</v>
      </c>
      <c r="D24" s="31" t="str">
        <f t="shared" si="32"/>
        <v>ssNo</v>
      </c>
      <c r="E24" s="31" t="str">
        <f>A.Backend!H18</f>
        <v>string</v>
      </c>
      <c r="F24" s="31" t="str">
        <f>A.Backend!G18</f>
        <v>2</v>
      </c>
      <c r="G24" s="31" t="str">
        <f t="shared" si="33"/>
        <v xml:space="preserve"> : string = '' ; </v>
      </c>
      <c r="H24" s="38" t="str">
        <f t="shared" si="34"/>
        <v xml:space="preserve">			{headerName: this.l('Ss No'),headerTooltip: this.l('Ss No'),field: 'ssNo',flex: 1},</v>
      </c>
      <c r="I24" s="38" t="str">
        <f t="shared" si="35"/>
        <v xml:space="preserve">								&lt;div class='input-search'&gt;
									&lt;input [(ngModel)]='ssNo' name='ssNo'
									class='form-control' [placeholder]="l('Ss No')"
									type='text' (keyup.enter)='searchDatas()'&gt;
								&lt;/div&gt;</v>
      </c>
      <c r="J24" s="31"/>
      <c r="K24" s="38" t="str">
        <f t="shared" si="36"/>
        <v xml:space="preserve">					&lt;div class='col-md-12 form-group row'&gt;
						&lt;label class='col-md-2 form-control title'&gt;Ss No&lt;/label&gt;
						&lt;input type='text' class='col-md-10 form-control input-text' name='SsNo' [(ngModel)]='rowdata.ssNo'&gt;
					&lt;/div&gt;</v>
      </c>
      <c r="L24" s="60" t="str">
        <f t="shared" si="37"/>
        <v/>
      </c>
      <c r="M24" s="31"/>
      <c r="N24" s="31"/>
      <c r="O24" s="31"/>
      <c r="P24" s="31"/>
      <c r="Q24" s="31"/>
      <c r="R24" s="31"/>
      <c r="S24" s="31" t="str">
        <f t="shared" si="39"/>
        <v xml:space="preserve">	ssNo : string = '' ; </v>
      </c>
      <c r="T24" s="31" t="str">
        <f t="shared" si="40"/>
        <v xml:space="preserve">			this.ssNo,</v>
      </c>
      <c r="U24" s="31" t="str">
        <f t="shared" si="41"/>
        <v xml:space="preserve">		this.ssNo = '',</v>
      </c>
      <c r="V24" s="31" t="str">
        <f t="shared" si="38"/>
        <v/>
      </c>
    </row>
    <row r="25" spans="1:22" ht="15" customHeight="1" x14ac:dyDescent="0.25">
      <c r="A25" s="44" t="s">
        <v>322</v>
      </c>
      <c r="B25" s="31" t="str">
        <f t="shared" si="30"/>
        <v>KatashikiCtl</v>
      </c>
      <c r="C25" s="31" t="str">
        <f t="shared" si="31"/>
        <v>Katashiki Ctl</v>
      </c>
      <c r="D25" s="31" t="str">
        <f t="shared" si="32"/>
        <v>katashikiCtl</v>
      </c>
      <c r="E25" s="31" t="str">
        <f>A.Backend!H19</f>
        <v>string</v>
      </c>
      <c r="F25" s="31" t="str">
        <f>A.Backend!G19</f>
        <v>20</v>
      </c>
      <c r="G25" s="31" t="str">
        <f t="shared" si="33"/>
        <v xml:space="preserve"> : string = '' ; </v>
      </c>
      <c r="H25" s="38" t="str">
        <f t="shared" si="34"/>
        <v xml:space="preserve">			{headerName: this.l('Katashiki Ctl'),headerTooltip: this.l('Katashiki Ctl'),field: 'katashikiCtl',flex: 1},</v>
      </c>
      <c r="I25" s="38" t="str">
        <f t="shared" si="35"/>
        <v xml:space="preserve">								&lt;div class='input-search'&gt;
									&lt;input [(ngModel)]='katashikiCtl' name='katashikiCtl'
									class='form-control' [placeholder]="l('Katashiki Ctl')"
									type='text' (keyup.enter)='searchDatas()'&gt;
								&lt;/div&gt;</v>
      </c>
      <c r="J25" s="31"/>
      <c r="K25" s="38" t="str">
        <f t="shared" si="36"/>
        <v xml:space="preserve">					&lt;div class='col-md-12 form-group row'&gt;
						&lt;label class='col-md-2 form-control title'&gt;Katashiki Ctl&lt;/label&gt;
						&lt;input type='text' class='col-md-10 form-control input-text' name='KatashikiCtl' [(ngModel)]='rowdata.katashikiCtl'&gt;
					&lt;/div&gt;</v>
      </c>
      <c r="L25" s="60" t="str">
        <f t="shared" si="37"/>
        <v/>
      </c>
      <c r="M25" s="31"/>
      <c r="N25" s="31"/>
      <c r="O25" s="31"/>
      <c r="P25" s="31"/>
      <c r="Q25" s="31"/>
      <c r="R25" s="31"/>
      <c r="S25" s="31" t="str">
        <f t="shared" si="39"/>
        <v xml:space="preserve">	katashikiCtl : string = '' ; </v>
      </c>
      <c r="T25" s="31" t="str">
        <f t="shared" si="40"/>
        <v xml:space="preserve">			this.katashikiCtl,</v>
      </c>
      <c r="U25" s="31" t="str">
        <f t="shared" si="41"/>
        <v xml:space="preserve">		this.katashikiCtl = '',</v>
      </c>
      <c r="V25" s="31" t="str">
        <f t="shared" si="38"/>
        <v/>
      </c>
    </row>
    <row r="26" spans="1:22" ht="15" customHeight="1" x14ac:dyDescent="0.25">
      <c r="A26" s="44" t="s">
        <v>325</v>
      </c>
      <c r="B26" s="31" t="str">
        <f t="shared" ref="B26:B35" si="42">SUBSTITUTE(PROPER(A26),"_","")</f>
        <v>Katashiki</v>
      </c>
      <c r="C26" s="31" t="str">
        <f t="shared" ref="C26:C35" si="43">SUBSTITUTE(PROPER(A26),"_"," ")</f>
        <v>Katashiki</v>
      </c>
      <c r="D26" s="31" t="str">
        <f t="shared" ref="D26:D35" si="44">LOWER(LEFT(B26,1))&amp;RIGHT(B26,LEN(B26) - 1)</f>
        <v>katashiki</v>
      </c>
      <c r="E26" s="31" t="str">
        <f>A.Backend!H20</f>
        <v>string</v>
      </c>
      <c r="F26" s="31" t="str">
        <f>A.Backend!G20</f>
        <v>20</v>
      </c>
      <c r="G26" s="31" t="str">
        <f t="shared" ref="G26:G35" si="45">IF(E26="string"," : string = '' ; ",IF(OR(E26="DateTime",E26="TimeSpan")," : any ;",IF(E26="int"," : number = 0 ;","")))</f>
        <v xml:space="preserve"> : string = '' ; </v>
      </c>
      <c r="H26" s="38" t="str">
        <f t="shared" ref="H26:H35" si="46">IF(E26="DateTime",
REPT(CHAR(9),3)&amp;"{headerName: this.l('"&amp;C26&amp;"'),headerTooltip: this.l('"&amp;C26&amp;"'),field: '"&amp;D26&amp;"',valueGetter: (params) =&gt; this.pipe.transform(params.data?."&amp;D26&amp;", 'dd/MM/yyyy'),flex: 1},",
IF(AND(E26="string",F26="1"),
REPT(CHAR(9),3)&amp;"{headerName: this.l('"&amp;C26&amp;"'),headerTooltip: this.l('"&amp;C26&amp;"'),field:  '"&amp;D26&amp;"', cellClass: ['text-center'], width: 120, cellRenderer: 'agCellButtonComponent',
buttonDefTwo: { text: params =&gt; (params.data?.'"&amp;D26&amp;"' == 'Y') ? 'Active' : 'Inactive',iconName: 'fa fa-circle',className: params =&gt; (params.data?.'"&amp;D26&amp;"' == 'Y') ? 'btnActive' : 'btnInActive',},}",
REPT(CHAR(9),3)&amp;"{headerName: this.l('"&amp;C26&amp;"'),headerTooltip: this.l('"&amp;C26&amp;"'),field: '"&amp;D26&amp;"',flex: 1},"))</f>
        <v xml:space="preserve">			{headerName: this.l('Katashiki'),headerTooltip: this.l('Katashiki'),field: 'katashiki',flex: 1},</v>
      </c>
      <c r="I26" s="38" t="str">
        <f t="shared" ref="I26:I35" si="47">IF(E26="DateTime",
REPT(CHAR(9),8)&amp;"&lt;div class='input-search'&gt;
"&amp;REPT(CHAR(9),9)&amp;"&lt;input type='text' [placeholder]=""l('"&amp;C26&amp;"')"" [(ngModel)]='"&amp;D26&amp;"' 
"&amp;REPT(CHAR(9),9)&amp;"name='"&amp;D26&amp;"'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IF(E26="string",
REPT(CHAR(9),8)&amp;"&lt;div class='input-search'&gt;
"&amp;REPT(CHAR(9),9)&amp;"&lt;input [(ngModel)]='"&amp;D26&amp;"' name='"&amp;D26&amp;"'
"&amp;REPT(CHAR(9),9)&amp;"class='form-control' [placeholder]=""l('"&amp;C26&amp;"')""
"&amp;REPT(CHAR(9),9)&amp;"type='text' (keyup.enter)='searchDatas()'&gt;
"&amp;REPT(CHAR(9),8)&amp;"&lt;/div&gt;",""))</f>
        <v xml:space="preserve">								&lt;div class='input-search'&gt;
									&lt;input [(ngModel)]='katashiki' name='katashiki'
									class='form-control' [placeholder]="l('Katashiki')"
									type='text' (keyup.enter)='searchDatas()'&gt;
								&lt;/div&gt;</v>
      </c>
      <c r="J26" s="31"/>
      <c r="K26" s="38" t="str">
        <f t="shared" ref="K26:K35" si="48">IF(OR(E26="DateTime",E26="TimeSpan"),
REPT(CHAR(9),5)&amp;"&lt;div class='col-md-12 form-group row'&gt;
"&amp;REPT(CHAR(9),6)&amp;"&lt;label class='col-md-2 form-control title'&gt;"&amp;C26&amp;"&lt;/label&gt;
"&amp;REPT(CHAR(9),6)&amp;"&lt;input type='text' class='col-md-10 form-control input-text' name='"&amp;D26&amp;"' 
"&amp;REPT(CHAR(9),6)&amp;"#datepicker='bsDatepicker' [(ngModel)]='rowdata."&amp;D26&amp;"'  bsDatepicker &gt;
"&amp;REPT(CHAR(9),5)&amp;"&lt;/div&gt;",
IF(AND(E26="string",F26="1"),
REPT(CHAR(9),5)&amp;"&lt;div class='col-md-12 form-group row'&gt;
"&amp;REPT(CHAR(9),6)&amp;"&lt;label class='col-md-2 form-control title'&gt;"&amp;C26&amp;"&lt;/label&gt;
"&amp;REPT(CHAR(9),6)&amp;"&lt;new-checkbox [(ngModel)]='_"&amp;D26&amp;"' name='"&amp;D26&amp;"' className='col-md-10' &gt; &lt;/new-checkbox&gt;
"&amp;REPT(CHAR(9),5)&amp;"&lt;/div&gt;",
IF(E26="string",
REPT(CHAR(9),5)&amp;"&lt;div class='col-md-12 form-group row'&gt;
"&amp;REPT(CHAR(9),6)&amp;"&lt;label class='col-md-2 form-control title'&gt;"&amp;C26&amp;"&lt;/label&gt;
"&amp;REPT(CHAR(9),6)&amp;"&lt;input type='text' class='col-md-10 form-control input-text' name='"&amp;B26&amp;"' [(ngModel)]='rowdata."&amp;D26&amp;"'&gt;
"&amp;REPT(CHAR(9),5)&amp;"&lt;/div&gt;",
IF(E26="int",
REPT(CHAR(9),5)&amp;"&lt;div class='col-md-12 form-group row'&gt;
"&amp;REPT(CHAR(9),6)&amp;"&lt;label class='col-md-2 form-control title'&gt;"&amp;C26&amp;"&lt;/label&gt;
"&amp;REPT(CHAR(9),6)&amp;"&lt;input type='number' class='col-md-10 form-control input-text' name='"&amp;B26&amp;"' [(ngModel)]='rowdata."&amp;D26&amp;"'&gt;
"&amp;REPT(CHAR(9),5)&amp;"&lt;/div&gt;",""))))</f>
        <v xml:space="preserve">					&lt;div class='col-md-12 form-group row'&gt;
						&lt;label class='col-md-2 form-control title'&gt;Katashiki&lt;/label&gt;
						&lt;input type='text' class='col-md-10 form-control input-text' name='Katashiki' [(ngModel)]='rowdata.katashiki'&gt;
					&lt;/div&gt;</v>
      </c>
      <c r="L26" s="60" t="str">
        <f t="shared" ref="L26:L35" si="49">IF(E26="DateTime",
REPT(CHAR(9),2)&amp;"const dateValue =  this.rowdata."&amp;D26&amp;" ? new Date(this.rowdata."&amp;D26&amp;"?.toString()) : new Date();
"&amp;REPT(CHAR(9),2)&amp;"this.datepicker?.bsValueChange.emit(dateValue);","")</f>
        <v/>
      </c>
      <c r="M26" s="31"/>
      <c r="N26" s="31"/>
      <c r="O26" s="31"/>
      <c r="P26" s="31"/>
      <c r="Q26" s="31"/>
      <c r="R26" s="31"/>
      <c r="S26" s="31" t="str">
        <f t="shared" si="39"/>
        <v xml:space="preserve">	katashiki : string = '' ; </v>
      </c>
      <c r="T26" s="31" t="str">
        <f t="shared" si="40"/>
        <v xml:space="preserve">			this.katashiki,</v>
      </c>
      <c r="U26" s="31" t="str">
        <f t="shared" si="41"/>
        <v xml:space="preserve">		this.katashiki = '',</v>
      </c>
      <c r="V26" s="31" t="str">
        <f t="shared" ref="V26:V35" si="50">IF(AND(E26="string",F26="1"),D26,"")</f>
        <v/>
      </c>
    </row>
    <row r="27" spans="1:22" ht="15" customHeight="1" x14ac:dyDescent="0.25">
      <c r="A27" s="44" t="s">
        <v>324</v>
      </c>
      <c r="B27" s="31" t="str">
        <f t="shared" si="42"/>
        <v>VehNameCd</v>
      </c>
      <c r="C27" s="31" t="str">
        <f t="shared" si="43"/>
        <v>Veh Name Cd</v>
      </c>
      <c r="D27" s="31" t="str">
        <f t="shared" si="44"/>
        <v>vehNameCd</v>
      </c>
      <c r="E27" s="31" t="str">
        <f>A.Backend!H21</f>
        <v>string</v>
      </c>
      <c r="F27" s="31" t="str">
        <f>A.Backend!G21</f>
        <v>2</v>
      </c>
      <c r="G27" s="31" t="str">
        <f t="shared" si="45"/>
        <v xml:space="preserve"> : string = '' ; </v>
      </c>
      <c r="H27" s="38" t="str">
        <f t="shared" si="46"/>
        <v xml:space="preserve">			{headerName: this.l('Veh Name Cd'),headerTooltip: this.l('Veh Name Cd'),field: 'vehNameCd',flex: 1},</v>
      </c>
      <c r="I27" s="38" t="str">
        <f t="shared" si="47"/>
        <v xml:space="preserve">								&lt;div class='input-search'&gt;
									&lt;input [(ngModel)]='vehNameCd' name='vehNameCd'
									class='form-control' [placeholder]="l('Veh Name Cd')"
									type='text' (keyup.enter)='searchDatas()'&gt;
								&lt;/div&gt;</v>
      </c>
      <c r="J27" s="31"/>
      <c r="K27" s="38" t="str">
        <f t="shared" si="48"/>
        <v xml:space="preserve">					&lt;div class='col-md-12 form-group row'&gt;
						&lt;label class='col-md-2 form-control title'&gt;Veh Name Cd&lt;/label&gt;
						&lt;input type='text' class='col-md-10 form-control input-text' name='VehNameCd' [(ngModel)]='rowdata.vehNameCd'&gt;
					&lt;/div&gt;</v>
      </c>
      <c r="L27" s="60" t="str">
        <f t="shared" si="49"/>
        <v/>
      </c>
      <c r="M27" s="31"/>
      <c r="N27" s="31"/>
      <c r="O27" s="31"/>
      <c r="P27" s="31"/>
      <c r="Q27" s="31"/>
      <c r="R27" s="31"/>
      <c r="S27" s="31" t="str">
        <f t="shared" si="39"/>
        <v xml:space="preserve">	vehNameCd : string = '' ; </v>
      </c>
      <c r="T27" s="31" t="str">
        <f t="shared" si="40"/>
        <v xml:space="preserve">			this.vehNameCd,</v>
      </c>
      <c r="U27" s="31" t="str">
        <f t="shared" si="41"/>
        <v xml:space="preserve">		this.vehNameCd = '',</v>
      </c>
      <c r="V27" s="31" t="str">
        <f t="shared" si="50"/>
        <v/>
      </c>
    </row>
    <row r="28" spans="1:22" ht="15" customHeight="1" x14ac:dyDescent="0.25">
      <c r="A28" s="44" t="s">
        <v>326</v>
      </c>
      <c r="B28" s="31" t="str">
        <f t="shared" si="42"/>
        <v>MarLotCode</v>
      </c>
      <c r="C28" s="31" t="str">
        <f t="shared" si="43"/>
        <v>Mar Lot Code</v>
      </c>
      <c r="D28" s="31" t="str">
        <f t="shared" si="44"/>
        <v>marLotCode</v>
      </c>
      <c r="E28" s="31" t="str">
        <f>A.Backend!H22</f>
        <v>string</v>
      </c>
      <c r="F28" s="31" t="str">
        <f>A.Backend!G22</f>
        <v>50</v>
      </c>
      <c r="G28" s="31" t="str">
        <f t="shared" si="45"/>
        <v xml:space="preserve"> : string = '' ; </v>
      </c>
      <c r="H28" s="38" t="str">
        <f t="shared" si="46"/>
        <v xml:space="preserve">			{headerName: this.l('Mar Lot Code'),headerTooltip: this.l('Mar Lot Code'),field: 'marLotCode',flex: 1},</v>
      </c>
      <c r="I28" s="38" t="str">
        <f t="shared" si="47"/>
        <v xml:space="preserve">								&lt;div class='input-search'&gt;
									&lt;input [(ngModel)]='marLotCode' name='marLotCode'
									class='form-control' [placeholder]="l('Mar Lot Code')"
									type='text' (keyup.enter)='searchDatas()'&gt;
								&lt;/div&gt;</v>
      </c>
      <c r="J28" s="31"/>
      <c r="K28" s="38" t="str">
        <f t="shared" si="48"/>
        <v xml:space="preserve">					&lt;div class='col-md-12 form-group row'&gt;
						&lt;label class='col-md-2 form-control title'&gt;Mar Lot Code&lt;/label&gt;
						&lt;input type='text' class='col-md-10 form-control input-text' name='MarLotCode' [(ngModel)]='rowdata.marLotCode'&gt;
					&lt;/div&gt;</v>
      </c>
      <c r="L28" s="60" t="str">
        <f t="shared" si="49"/>
        <v/>
      </c>
      <c r="M28" s="31"/>
      <c r="N28" s="31"/>
      <c r="O28" s="31"/>
      <c r="P28" s="31"/>
      <c r="Q28" s="31"/>
      <c r="R28" s="31"/>
      <c r="S28" s="31" t="str">
        <f t="shared" si="39"/>
        <v xml:space="preserve">	marLotCode : string = '' ; </v>
      </c>
      <c r="T28" s="31" t="str">
        <f t="shared" si="40"/>
        <v xml:space="preserve">			this.marLotCode,</v>
      </c>
      <c r="U28" s="31" t="str">
        <f t="shared" si="41"/>
        <v xml:space="preserve">		this.marLotCode = '',</v>
      </c>
      <c r="V28" s="31" t="str">
        <f t="shared" si="50"/>
        <v/>
      </c>
    </row>
    <row r="29" spans="1:22" ht="15" customHeight="1" x14ac:dyDescent="0.25">
      <c r="A29" s="44" t="s">
        <v>328</v>
      </c>
      <c r="B29" s="31" t="str">
        <f t="shared" si="42"/>
        <v>TestNo</v>
      </c>
      <c r="C29" s="31" t="str">
        <f t="shared" si="43"/>
        <v>Test No</v>
      </c>
      <c r="D29" s="31" t="str">
        <f t="shared" si="44"/>
        <v>testNo</v>
      </c>
      <c r="E29" s="31" t="str">
        <f>A.Backend!H23</f>
        <v>string</v>
      </c>
      <c r="F29" s="31" t="str">
        <f>A.Backend!G23</f>
        <v>10</v>
      </c>
      <c r="G29" s="31" t="str">
        <f t="shared" si="45"/>
        <v xml:space="preserve"> : string = '' ; </v>
      </c>
      <c r="H29" s="38" t="str">
        <f t="shared" si="46"/>
        <v xml:space="preserve">			{headerName: this.l('Test No'),headerTooltip: this.l('Test No'),field: 'testNo',flex: 1},</v>
      </c>
      <c r="I29" s="38" t="str">
        <f t="shared" si="47"/>
        <v xml:space="preserve">								&lt;div class='input-search'&gt;
									&lt;input [(ngModel)]='testNo' name='testNo'
									class='form-control' [placeholder]="l('Test No')"
									type='text' (keyup.enter)='searchDatas()'&gt;
								&lt;/div&gt;</v>
      </c>
      <c r="J29" s="31"/>
      <c r="K29" s="38" t="str">
        <f t="shared" si="48"/>
        <v xml:space="preserve">					&lt;div class='col-md-12 form-group row'&gt;
						&lt;label class='col-md-2 form-control title'&gt;Test No&lt;/label&gt;
						&lt;input type='text' class='col-md-10 form-control input-text' name='TestNo' [(ngModel)]='rowdata.testNo'&gt;
					&lt;/div&gt;</v>
      </c>
      <c r="L29" s="60" t="str">
        <f t="shared" si="49"/>
        <v/>
      </c>
      <c r="M29" s="31"/>
      <c r="N29" s="31"/>
      <c r="O29" s="31"/>
      <c r="P29" s="31"/>
      <c r="Q29" s="31"/>
      <c r="R29" s="31"/>
      <c r="S29" s="31" t="str">
        <f t="shared" si="39"/>
        <v xml:space="preserve">	testNo : string = '' ; </v>
      </c>
      <c r="T29" s="31" t="str">
        <f t="shared" si="40"/>
        <v xml:space="preserve">			this.testNo,</v>
      </c>
      <c r="U29" s="31" t="str">
        <f t="shared" si="41"/>
        <v xml:space="preserve">		this.testNo = '',</v>
      </c>
      <c r="V29" s="31" t="str">
        <f t="shared" si="50"/>
        <v/>
      </c>
    </row>
    <row r="30" spans="1:22" ht="15" customHeight="1" x14ac:dyDescent="0.25">
      <c r="A30" s="44" t="s">
        <v>330</v>
      </c>
      <c r="B30" s="31" t="str">
        <f t="shared" si="42"/>
        <v>VehicleId</v>
      </c>
      <c r="C30" s="31" t="str">
        <f t="shared" si="43"/>
        <v>Vehicle Id</v>
      </c>
      <c r="D30" s="31" t="str">
        <f t="shared" si="44"/>
        <v>vehicleId</v>
      </c>
      <c r="E30" s="31" t="str">
        <f>A.Backend!H24</f>
        <v>string</v>
      </c>
      <c r="F30" s="31" t="str">
        <f>A.Backend!G24</f>
        <v>2</v>
      </c>
      <c r="G30" s="31" t="str">
        <f t="shared" si="45"/>
        <v xml:space="preserve"> : string = '' ; </v>
      </c>
      <c r="H30" s="38" t="str">
        <f t="shared" si="46"/>
        <v xml:space="preserve">			{headerName: this.l('Vehicle Id'),headerTooltip: this.l('Vehicle Id'),field: 'vehicleId',flex: 1},</v>
      </c>
      <c r="I30" s="38" t="str">
        <f t="shared" si="47"/>
        <v xml:space="preserve">								&lt;div class='input-search'&gt;
									&lt;input [(ngModel)]='vehicleId' name='vehicleId'
									class='form-control' [placeholder]="l('Vehicle Id')"
									type='text' (keyup.enter)='searchDatas()'&gt;
								&lt;/div&gt;</v>
      </c>
      <c r="J30" s="31"/>
      <c r="K30" s="38" t="str">
        <f t="shared" si="48"/>
        <v xml:space="preserve">					&lt;div class='col-md-12 form-group row'&gt;
						&lt;label class='col-md-2 form-control title'&gt;Vehicle Id&lt;/label&gt;
						&lt;input type='text' class='col-md-10 form-control input-text' name='VehicleId' [(ngModel)]='rowdata.vehicleId'&gt;
					&lt;/div&gt;</v>
      </c>
      <c r="L30" s="60" t="str">
        <f t="shared" si="49"/>
        <v/>
      </c>
      <c r="M30" s="31"/>
      <c r="N30" s="31"/>
      <c r="O30" s="31"/>
      <c r="P30" s="31"/>
      <c r="Q30" s="31"/>
      <c r="R30" s="31"/>
      <c r="S30" s="31" t="str">
        <f t="shared" si="39"/>
        <v xml:space="preserve">	vehicleId : string = '' ; </v>
      </c>
      <c r="T30" s="31" t="str">
        <f t="shared" si="40"/>
        <v xml:space="preserve">			this.vehicleId,</v>
      </c>
      <c r="U30" s="31" t="str">
        <f t="shared" si="41"/>
        <v xml:space="preserve">		this.vehicleId = '',</v>
      </c>
      <c r="V30" s="31" t="str">
        <f t="shared" si="50"/>
        <v/>
      </c>
    </row>
    <row r="31" spans="1:22" ht="15" customHeight="1" x14ac:dyDescent="0.25">
      <c r="A31" s="44" t="s">
        <v>340</v>
      </c>
      <c r="B31" s="31" t="str">
        <f t="shared" si="42"/>
        <v>ProdSfx</v>
      </c>
      <c r="C31" s="31" t="str">
        <f t="shared" si="43"/>
        <v>Prod Sfx</v>
      </c>
      <c r="D31" s="31" t="str">
        <f t="shared" si="44"/>
        <v>prodSfx</v>
      </c>
      <c r="E31" s="31" t="str">
        <f>A.Backend!H25</f>
        <v>string</v>
      </c>
      <c r="F31" s="31" t="str">
        <f>A.Backend!G25</f>
        <v>2</v>
      </c>
      <c r="G31" s="31" t="str">
        <f t="shared" si="45"/>
        <v xml:space="preserve"> : string = '' ; </v>
      </c>
      <c r="H31" s="38" t="str">
        <f t="shared" si="46"/>
        <v xml:space="preserve">			{headerName: this.l('Prod Sfx'),headerTooltip: this.l('Prod Sfx'),field: 'prodSfx',flex: 1},</v>
      </c>
      <c r="I31" s="38" t="str">
        <f t="shared" si="47"/>
        <v xml:space="preserve">								&lt;div class='input-search'&gt;
									&lt;input [(ngModel)]='prodSfx' name='prodSfx'
									class='form-control' [placeholder]="l('Prod Sfx')"
									type='text' (keyup.enter)='searchDatas()'&gt;
								&lt;/div&gt;</v>
      </c>
      <c r="J31" s="31"/>
      <c r="K31" s="38" t="str">
        <f t="shared" si="48"/>
        <v xml:space="preserve">					&lt;div class='col-md-12 form-group row'&gt;
						&lt;label class='col-md-2 form-control title'&gt;Prod Sfx&lt;/label&gt;
						&lt;input type='text' class='col-md-10 form-control input-text' name='ProdSfx' [(ngModel)]='rowdata.prodSfx'&gt;
					&lt;/div&gt;</v>
      </c>
      <c r="L31" s="60" t="str">
        <f t="shared" si="49"/>
        <v/>
      </c>
      <c r="M31" s="31"/>
      <c r="N31" s="31"/>
      <c r="O31" s="31"/>
      <c r="P31" s="31"/>
      <c r="Q31" s="31"/>
      <c r="R31" s="31"/>
      <c r="S31" s="31" t="str">
        <f t="shared" si="39"/>
        <v xml:space="preserve">	prodSfx : string = '' ; </v>
      </c>
      <c r="T31" s="31" t="str">
        <f t="shared" si="40"/>
        <v xml:space="preserve">			this.prodSfx,</v>
      </c>
      <c r="U31" s="31" t="str">
        <f t="shared" si="41"/>
        <v xml:space="preserve">		this.prodSfx = '',</v>
      </c>
      <c r="V31" s="31" t="str">
        <f t="shared" si="50"/>
        <v/>
      </c>
    </row>
    <row r="32" spans="1:22" ht="15" customHeight="1" x14ac:dyDescent="0.25">
      <c r="A32" s="44" t="s">
        <v>341</v>
      </c>
      <c r="B32" s="31" t="str">
        <f t="shared" si="42"/>
        <v>SalesSfx</v>
      </c>
      <c r="C32" s="31" t="str">
        <f t="shared" si="43"/>
        <v>Sales Sfx</v>
      </c>
      <c r="D32" s="31" t="str">
        <f t="shared" si="44"/>
        <v>salesSfx</v>
      </c>
      <c r="E32" s="31" t="str">
        <f>A.Backend!H26</f>
        <v>string</v>
      </c>
      <c r="F32" s="31" t="str">
        <f>A.Backend!G26</f>
        <v>2</v>
      </c>
      <c r="G32" s="31" t="str">
        <f t="shared" si="45"/>
        <v xml:space="preserve"> : string = '' ; </v>
      </c>
      <c r="H32" s="38" t="str">
        <f t="shared" si="46"/>
        <v xml:space="preserve">			{headerName: this.l('Sales Sfx'),headerTooltip: this.l('Sales Sfx'),field: 'salesSfx',flex: 1},</v>
      </c>
      <c r="I32" s="38" t="str">
        <f t="shared" si="47"/>
        <v xml:space="preserve">								&lt;div class='input-search'&gt;
									&lt;input [(ngModel)]='salesSfx' name='salesSfx'
									class='form-control' [placeholder]="l('Sales Sfx')"
									type='text' (keyup.enter)='searchDatas()'&gt;
								&lt;/div&gt;</v>
      </c>
      <c r="J32" s="31"/>
      <c r="K32" s="38" t="str">
        <f t="shared" si="48"/>
        <v xml:space="preserve">					&lt;div class='col-md-12 form-group row'&gt;
						&lt;label class='col-md-2 form-control title'&gt;Sales Sfx&lt;/label&gt;
						&lt;input type='text' class='col-md-10 form-control input-text' name='SalesSfx' [(ngModel)]='rowdata.salesSfx'&gt;
					&lt;/div&gt;</v>
      </c>
      <c r="L32" s="60" t="str">
        <f t="shared" si="49"/>
        <v/>
      </c>
      <c r="M32" s="31"/>
      <c r="N32" s="31"/>
      <c r="O32" s="31"/>
      <c r="P32" s="31"/>
      <c r="Q32" s="31"/>
      <c r="R32" s="31"/>
      <c r="S32" s="31" t="str">
        <f t="shared" ref="S32:S38" si="51">REPT(CHAR(9),1)&amp;D32&amp;G32</f>
        <v xml:space="preserve">	salesSfx : string = '' ; </v>
      </c>
      <c r="T32" s="31" t="str">
        <f t="shared" ref="T32:T38" si="52">REPT(CHAR(9),3)&amp;"this."&amp;D32&amp;","</f>
        <v xml:space="preserve">			this.salesSfx,</v>
      </c>
      <c r="U32" s="31" t="str">
        <f t="shared" ref="U32:U38" si="53">IF(E32="int",REPT(CHAR(9),2)&amp;"this."&amp;D32&amp;" = 0,",REPT(CHAR(9),2)&amp;"this."&amp;D32&amp;" = '',")</f>
        <v xml:space="preserve">		this.salesSfx = '',</v>
      </c>
      <c r="V32" s="31" t="str">
        <f t="shared" si="50"/>
        <v/>
      </c>
    </row>
    <row r="33" spans="1:22" ht="15" customHeight="1" x14ac:dyDescent="0.25">
      <c r="A33" s="44" t="s">
        <v>332</v>
      </c>
      <c r="B33" s="31" t="str">
        <f t="shared" si="42"/>
        <v>Brand</v>
      </c>
      <c r="C33" s="31" t="str">
        <f t="shared" si="43"/>
        <v>Brand</v>
      </c>
      <c r="D33" s="31" t="str">
        <f t="shared" si="44"/>
        <v>brand</v>
      </c>
      <c r="E33" s="31" t="str">
        <f>A.Backend!H27</f>
        <v>string</v>
      </c>
      <c r="F33" s="31" t="str">
        <f>A.Backend!G27</f>
        <v>2</v>
      </c>
      <c r="G33" s="31" t="str">
        <f t="shared" si="45"/>
        <v xml:space="preserve"> : string = '' ; </v>
      </c>
      <c r="H33" s="38" t="str">
        <f t="shared" si="46"/>
        <v xml:space="preserve">			{headerName: this.l('Brand'),headerTooltip: this.l('Brand'),field: 'brand',flex: 1},</v>
      </c>
      <c r="I33" s="38" t="str">
        <f t="shared" si="47"/>
        <v xml:space="preserve">								&lt;div class='input-search'&gt;
									&lt;input [(ngModel)]='brand' name='brand'
									class='form-control' [placeholder]="l('Brand')"
									type='text' (keyup.enter)='searchDatas()'&gt;
								&lt;/div&gt;</v>
      </c>
      <c r="J33" s="31"/>
      <c r="K33" s="38" t="str">
        <f t="shared" si="48"/>
        <v xml:space="preserve">					&lt;div class='col-md-12 form-group row'&gt;
						&lt;label class='col-md-2 form-control title'&gt;Brand&lt;/label&gt;
						&lt;input type='text' class='col-md-10 form-control input-text' name='Brand' [(ngModel)]='rowdata.brand'&gt;
					&lt;/div&gt;</v>
      </c>
      <c r="L33" s="60" t="str">
        <f t="shared" si="49"/>
        <v/>
      </c>
      <c r="M33" s="31"/>
      <c r="N33" s="31"/>
      <c r="O33" s="31"/>
      <c r="P33" s="31"/>
      <c r="Q33" s="31"/>
      <c r="R33" s="31"/>
      <c r="S33" s="31" t="str">
        <f t="shared" si="51"/>
        <v xml:space="preserve">	brand : string = '' ; </v>
      </c>
      <c r="T33" s="31" t="str">
        <f t="shared" si="52"/>
        <v xml:space="preserve">			this.brand,</v>
      </c>
      <c r="U33" s="31" t="str">
        <f t="shared" si="53"/>
        <v xml:space="preserve">		this.brand = '',</v>
      </c>
      <c r="V33" s="31" t="str">
        <f t="shared" si="50"/>
        <v/>
      </c>
    </row>
    <row r="34" spans="1:22" ht="15" customHeight="1" x14ac:dyDescent="0.25">
      <c r="A34" s="44" t="s">
        <v>335</v>
      </c>
      <c r="B34" s="31" t="str">
        <f t="shared" si="42"/>
        <v>CarSeries</v>
      </c>
      <c r="C34" s="31" t="str">
        <f t="shared" si="43"/>
        <v>Car Series</v>
      </c>
      <c r="D34" s="31" t="str">
        <f t="shared" si="44"/>
        <v>carSeries</v>
      </c>
      <c r="E34" s="31" t="str">
        <f>A.Backend!H28</f>
        <v>string</v>
      </c>
      <c r="F34" s="31" t="str">
        <f>A.Backend!G28</f>
        <v>18</v>
      </c>
      <c r="G34" s="31" t="str">
        <f t="shared" si="45"/>
        <v xml:space="preserve"> : string = '' ; </v>
      </c>
      <c r="H34" s="38" t="str">
        <f t="shared" si="46"/>
        <v xml:space="preserve">			{headerName: this.l('Car Series'),headerTooltip: this.l('Car Series'),field: 'carSeries',flex: 1},</v>
      </c>
      <c r="I34" s="38" t="str">
        <f t="shared" si="47"/>
        <v xml:space="preserve">								&lt;div class='input-search'&gt;
									&lt;input [(ngModel)]='carSeries' name='carSeries'
									class='form-control' [placeholder]="l('Car Series')"
									type='text' (keyup.enter)='searchDatas()'&gt;
								&lt;/div&gt;</v>
      </c>
      <c r="J34" s="31"/>
      <c r="K34" s="38" t="str">
        <f t="shared" si="48"/>
        <v xml:space="preserve">					&lt;div class='col-md-12 form-group row'&gt;
						&lt;label class='col-md-2 form-control title'&gt;Car Series&lt;/label&gt;
						&lt;input type='text' class='col-md-10 form-control input-text' name='CarSeries' [(ngModel)]='rowdata.carSeries'&gt;
					&lt;/div&gt;</v>
      </c>
      <c r="L34" s="60" t="str">
        <f t="shared" si="49"/>
        <v/>
      </c>
      <c r="M34" s="31"/>
      <c r="N34" s="31"/>
      <c r="O34" s="31"/>
      <c r="P34" s="31"/>
      <c r="Q34" s="31"/>
      <c r="R34" s="31"/>
      <c r="S34" s="31" t="str">
        <f t="shared" si="51"/>
        <v xml:space="preserve">	carSeries : string = '' ; </v>
      </c>
      <c r="T34" s="31" t="str">
        <f t="shared" si="52"/>
        <v xml:space="preserve">			this.carSeries,</v>
      </c>
      <c r="U34" s="31" t="str">
        <f t="shared" si="53"/>
        <v xml:space="preserve">		this.carSeries = '',</v>
      </c>
      <c r="V34" s="31" t="str">
        <f t="shared" si="50"/>
        <v/>
      </c>
    </row>
    <row r="35" spans="1:22" ht="15" customHeight="1" x14ac:dyDescent="0.25">
      <c r="A35" s="44" t="s">
        <v>333</v>
      </c>
      <c r="B35" s="31" t="str">
        <f t="shared" si="42"/>
        <v>TransmissionType</v>
      </c>
      <c r="C35" s="31" t="str">
        <f t="shared" si="43"/>
        <v>Transmission Type</v>
      </c>
      <c r="D35" s="31" t="str">
        <f t="shared" si="44"/>
        <v>transmissionType</v>
      </c>
      <c r="E35" s="31" t="str">
        <f>A.Backend!H29</f>
        <v>string</v>
      </c>
      <c r="F35" s="31" t="str">
        <f>A.Backend!G29</f>
        <v>2</v>
      </c>
      <c r="G35" s="31" t="str">
        <f t="shared" si="45"/>
        <v xml:space="preserve"> : string = '' ; </v>
      </c>
      <c r="H35" s="38" t="str">
        <f t="shared" si="46"/>
        <v xml:space="preserve">			{headerName: this.l('Transmission Type'),headerTooltip: this.l('Transmission Type'),field: 'transmissionType',flex: 1},</v>
      </c>
      <c r="I35" s="38" t="str">
        <f t="shared" si="47"/>
        <v xml:space="preserve">								&lt;div class='input-search'&gt;
									&lt;input [(ngModel)]='transmissionType' name='transmissionType'
									class='form-control' [placeholder]="l('Transmission Type')"
									type='text' (keyup.enter)='searchDatas()'&gt;
								&lt;/div&gt;</v>
      </c>
      <c r="J35" s="31"/>
      <c r="K35" s="38" t="str">
        <f t="shared" si="48"/>
        <v xml:space="preserve">					&lt;div class='col-md-12 form-group row'&gt;
						&lt;label class='col-md-2 form-control title'&gt;Transmission Type&lt;/label&gt;
						&lt;input type='text' class='col-md-10 form-control input-text' name='TransmissionType' [(ngModel)]='rowdata.transmissionType'&gt;
					&lt;/div&gt;</v>
      </c>
      <c r="L35" s="60" t="str">
        <f t="shared" si="49"/>
        <v/>
      </c>
      <c r="M35" s="31"/>
      <c r="N35" s="31"/>
      <c r="O35" s="31"/>
      <c r="P35" s="31"/>
      <c r="Q35" s="31"/>
      <c r="R35" s="31"/>
      <c r="S35" s="31" t="str">
        <f t="shared" si="51"/>
        <v xml:space="preserve">	transmissionType : string = '' ; </v>
      </c>
      <c r="T35" s="31" t="str">
        <f t="shared" si="52"/>
        <v xml:space="preserve">			this.transmissionType,</v>
      </c>
      <c r="U35" s="31" t="str">
        <f t="shared" si="53"/>
        <v xml:space="preserve">		this.transmissionType = '',</v>
      </c>
      <c r="V35" s="31" t="str">
        <f t="shared" si="50"/>
        <v/>
      </c>
    </row>
    <row r="36" spans="1:22" ht="15" customHeight="1" x14ac:dyDescent="0.25">
      <c r="A36" s="44" t="s">
        <v>338</v>
      </c>
      <c r="B36" s="31" t="str">
        <f t="shared" ref="B36:B38" si="54">SUBSTITUTE(PROPER(A36),"_","")</f>
        <v>EngineType</v>
      </c>
      <c r="C36" s="31" t="str">
        <f t="shared" ref="C36:C38" si="55">SUBSTITUTE(PROPER(A36),"_"," ")</f>
        <v>Engine Type</v>
      </c>
      <c r="D36" s="31" t="str">
        <f t="shared" ref="D36:D38" si="56">LOWER(LEFT(B36,1))&amp;RIGHT(B36,LEN(B36) - 1)</f>
        <v>engineType</v>
      </c>
      <c r="E36" s="31" t="str">
        <f>A.Backend!H30</f>
        <v>string</v>
      </c>
      <c r="F36" s="31" t="str">
        <f>A.Backend!G30</f>
        <v>10</v>
      </c>
      <c r="G36" s="31" t="str">
        <f t="shared" ref="G36:G38" si="57">IF(E36="string"," : string = '' ; ",IF(OR(E36="DateTime",E36="TimeSpan")," : any ;",IF(E36="int"," : number = 0 ;","")))</f>
        <v xml:space="preserve"> : string = '' ; </v>
      </c>
      <c r="H36" s="38" t="str">
        <f t="shared" ref="H36:H38" si="58">IF(E36="DateTime",
REPT(CHAR(9),3)&amp;"{headerName: this.l('"&amp;C36&amp;"'),headerTooltip: this.l('"&amp;C36&amp;"'),field: '"&amp;D36&amp;"',valueGetter: (params) =&gt; this.pipe.transform(params.data?."&amp;D36&amp;", 'dd/MM/yyyy'),flex: 1},",
IF(AND(E36="string",F36="1"),
REPT(CHAR(9),3)&amp;"{headerName: this.l('"&amp;C36&amp;"'),headerTooltip: this.l('"&amp;C36&amp;"'),field:  '"&amp;D36&amp;"', cellClass: ['text-center'], width: 120, cellRenderer: 'agCellButtonComponent',
buttonDefTwo: { text: params =&gt; (params.data?.'"&amp;D36&amp;"' == 'Y') ? 'Active' : 'Inactive',iconName: 'fa fa-circle',className: params =&gt; (params.data?.'"&amp;D36&amp;"' == 'Y') ? 'btnActive' : 'btnInActive',},}",
REPT(CHAR(9),3)&amp;"{headerName: this.l('"&amp;C36&amp;"'),headerTooltip: this.l('"&amp;C36&amp;"'),field: '"&amp;D36&amp;"',flex: 1},"))</f>
        <v xml:space="preserve">			{headerName: this.l('Engine Type'),headerTooltip: this.l('Engine Type'),field: 'engineType',flex: 1},</v>
      </c>
      <c r="I36" s="38" t="str">
        <f t="shared" ref="I36:I38" si="59">IF(E36="DateTime",
REPT(CHAR(9),8)&amp;"&lt;div class='input-search'&gt;
"&amp;REPT(CHAR(9),9)&amp;"&lt;input type='text' [placeholder]=""l('"&amp;C36&amp;"')"" [(ngModel)]='"&amp;D36&amp;"' 
"&amp;REPT(CHAR(9),9)&amp;"name='"&amp;D36&amp;"'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IF(E36="string",
REPT(CHAR(9),8)&amp;"&lt;div class='input-search'&gt;
"&amp;REPT(CHAR(9),9)&amp;"&lt;input [(ngModel)]='"&amp;D36&amp;"' name='"&amp;D36&amp;"'
"&amp;REPT(CHAR(9),9)&amp;"class='form-control' [placeholder]=""l('"&amp;C36&amp;"')""
"&amp;REPT(CHAR(9),9)&amp;"type='text' (keyup.enter)='searchDatas()'&gt;
"&amp;REPT(CHAR(9),8)&amp;"&lt;/div&gt;",""))</f>
        <v xml:space="preserve">								&lt;div class='input-search'&gt;
									&lt;input [(ngModel)]='engineType' name='engineType'
									class='form-control' [placeholder]="l('Engine Type')"
									type='text' (keyup.enter)='searchDatas()'&gt;
								&lt;/div&gt;</v>
      </c>
      <c r="J36" s="31"/>
      <c r="K36" s="38" t="str">
        <f t="shared" ref="K36:K38" si="60">IF(OR(E36="DateTime",E36="TimeSpan"),
REPT(CHAR(9),5)&amp;"&lt;div class='col-md-12 form-group row'&gt;
"&amp;REPT(CHAR(9),6)&amp;"&lt;label class='col-md-2 form-control title'&gt;"&amp;C36&amp;"&lt;/label&gt;
"&amp;REPT(CHAR(9),6)&amp;"&lt;input type='text' class='col-md-10 form-control input-text' name='"&amp;D36&amp;"' 
"&amp;REPT(CHAR(9),6)&amp;"#datepicker='bsDatepicker' [(ngModel)]='rowdata."&amp;D36&amp;"'  bsDatepicker &gt;
"&amp;REPT(CHAR(9),5)&amp;"&lt;/div&gt;",
IF(AND(E36="string",F36="1"),
REPT(CHAR(9),5)&amp;"&lt;div class='col-md-12 form-group row'&gt;
"&amp;REPT(CHAR(9),6)&amp;"&lt;label class='col-md-2 form-control title'&gt;"&amp;C36&amp;"&lt;/label&gt;
"&amp;REPT(CHAR(9),6)&amp;"&lt;new-checkbox [(ngModel)]='_"&amp;D36&amp;"' name='"&amp;D36&amp;"' className='col-md-10' &gt; &lt;/new-checkbox&gt;
"&amp;REPT(CHAR(9),5)&amp;"&lt;/div&gt;",
IF(E36="string",
REPT(CHAR(9),5)&amp;"&lt;div class='col-md-12 form-group row'&gt;
"&amp;REPT(CHAR(9),6)&amp;"&lt;label class='col-md-2 form-control title'&gt;"&amp;C36&amp;"&lt;/label&gt;
"&amp;REPT(CHAR(9),6)&amp;"&lt;input type='text' class='col-md-10 form-control input-text' name='"&amp;B36&amp;"' [(ngModel)]='rowdata."&amp;D36&amp;"'&gt;
"&amp;REPT(CHAR(9),5)&amp;"&lt;/div&gt;",
IF(E36="int",
REPT(CHAR(9),5)&amp;"&lt;div class='col-md-12 form-group row'&gt;
"&amp;REPT(CHAR(9),6)&amp;"&lt;label class='col-md-2 form-control title'&gt;"&amp;C36&amp;"&lt;/label&gt;
"&amp;REPT(CHAR(9),6)&amp;"&lt;input type='number' class='col-md-10 form-control input-text' name='"&amp;B36&amp;"' [(ngModel)]='rowdata."&amp;D36&amp;"'&gt;
"&amp;REPT(CHAR(9),5)&amp;"&lt;/div&gt;",""))))</f>
        <v xml:space="preserve">					&lt;div class='col-md-12 form-group row'&gt;
						&lt;label class='col-md-2 form-control title'&gt;Engine Type&lt;/label&gt;
						&lt;input type='text' class='col-md-10 form-control input-text' name='EngineType' [(ngModel)]='rowdata.engineType'&gt;
					&lt;/div&gt;</v>
      </c>
      <c r="L36" s="60" t="str">
        <f t="shared" ref="L36:L38" si="61">IF(E36="DateTime",
REPT(CHAR(9),2)&amp;"const dateValue =  this.rowdata."&amp;D36&amp;" ? new Date(this.rowdata."&amp;D36&amp;"?.toString()) : new Date();
"&amp;REPT(CHAR(9),2)&amp;"this.datepicker?.bsValueChange.emit(dateValue);","")</f>
        <v/>
      </c>
      <c r="M36" s="31"/>
      <c r="N36" s="31"/>
      <c r="O36" s="31"/>
      <c r="P36" s="31"/>
      <c r="Q36" s="31"/>
      <c r="R36" s="31"/>
      <c r="S36" s="31" t="str">
        <f t="shared" si="51"/>
        <v xml:space="preserve">	engineType : string = '' ; </v>
      </c>
      <c r="T36" s="31" t="str">
        <f t="shared" si="52"/>
        <v xml:space="preserve">			this.engineType,</v>
      </c>
      <c r="U36" s="31" t="str">
        <f t="shared" si="53"/>
        <v xml:space="preserve">		this.engineType = '',</v>
      </c>
      <c r="V36" s="31" t="str">
        <f t="shared" ref="V36:V38" si="62">IF(AND(E36="string",F36="1"),D36,"")</f>
        <v/>
      </c>
    </row>
    <row r="37" spans="1:22" ht="15" customHeight="1" x14ac:dyDescent="0.25">
      <c r="A37" s="44" t="s">
        <v>337</v>
      </c>
      <c r="B37" s="31" t="str">
        <f t="shared" si="54"/>
        <v>FuelType</v>
      </c>
      <c r="C37" s="31" t="str">
        <f t="shared" si="55"/>
        <v>Fuel Type</v>
      </c>
      <c r="D37" s="31" t="str">
        <f t="shared" si="56"/>
        <v>fuelType</v>
      </c>
      <c r="E37" s="31" t="str">
        <f>A.Backend!H31</f>
        <v>string</v>
      </c>
      <c r="F37" s="31" t="str">
        <f>A.Backend!G31</f>
        <v>2</v>
      </c>
      <c r="G37" s="31" t="str">
        <f t="shared" si="57"/>
        <v xml:space="preserve"> : string = '' ; </v>
      </c>
      <c r="H37" s="38" t="str">
        <f t="shared" si="58"/>
        <v xml:space="preserve">			{headerName: this.l('Fuel Type'),headerTooltip: this.l('Fuel Type'),field: 'fuelType',flex: 1},</v>
      </c>
      <c r="I37" s="38" t="str">
        <f t="shared" si="59"/>
        <v xml:space="preserve">								&lt;div class='input-search'&gt;
									&lt;input [(ngModel)]='fuelType' name='fuelType'
									class='form-control' [placeholder]="l('Fuel Type')"
									type='text' (keyup.enter)='searchDatas()'&gt;
								&lt;/div&gt;</v>
      </c>
      <c r="J37" s="31"/>
      <c r="K37" s="38" t="str">
        <f t="shared" si="60"/>
        <v xml:space="preserve">					&lt;div class='col-md-12 form-group row'&gt;
						&lt;label class='col-md-2 form-control title'&gt;Fuel Type&lt;/label&gt;
						&lt;input type='text' class='col-md-10 form-control input-text' name='FuelType' [(ngModel)]='rowdata.fuelType'&gt;
					&lt;/div&gt;</v>
      </c>
      <c r="L37" s="60" t="str">
        <f t="shared" si="61"/>
        <v/>
      </c>
      <c r="M37" s="31"/>
      <c r="N37" s="31"/>
      <c r="O37" s="31"/>
      <c r="P37" s="31"/>
      <c r="Q37" s="31"/>
      <c r="R37" s="31"/>
      <c r="S37" s="31" t="str">
        <f t="shared" si="51"/>
        <v xml:space="preserve">	fuelType : string = '' ; </v>
      </c>
      <c r="T37" s="31" t="str">
        <f t="shared" si="52"/>
        <v xml:space="preserve">			this.fuelType,</v>
      </c>
      <c r="U37" s="31" t="str">
        <f t="shared" si="53"/>
        <v xml:space="preserve">		this.fuelType = '',</v>
      </c>
      <c r="V37" s="31" t="str">
        <f t="shared" si="62"/>
        <v/>
      </c>
    </row>
    <row r="38" spans="1:22" ht="15" customHeight="1" x14ac:dyDescent="0.25">
      <c r="A38" s="44" t="s">
        <v>334</v>
      </c>
      <c r="B38" s="31" t="str">
        <f t="shared" si="54"/>
        <v>GoshiCar</v>
      </c>
      <c r="C38" s="31" t="str">
        <f t="shared" si="55"/>
        <v>Goshi Car</v>
      </c>
      <c r="D38" s="31" t="str">
        <f t="shared" si="56"/>
        <v>goshiCar</v>
      </c>
      <c r="E38" s="31" t="str">
        <f>A.Backend!H32</f>
        <v>string</v>
      </c>
      <c r="F38" s="31" t="str">
        <f>A.Backend!G32</f>
        <v>1</v>
      </c>
      <c r="G38" s="31" t="str">
        <f t="shared" si="57"/>
        <v xml:space="preserve"> : string = '' ; </v>
      </c>
      <c r="H38" s="38" t="str">
        <f t="shared" si="58"/>
        <v xml:space="preserve">			{headerName: this.l('Goshi Car'),headerTooltip: this.l('Goshi Car'),field:  'goshiCar', cellClass: ['text-center'], width: 120, cellRenderer: 'agCellButtonComponent',
buttonDefTwo: { text: params =&gt; (params.data?.'goshiCar' == 'Y') ? 'Active' : 'Inactive',iconName: 'fa fa-circle',className: params =&gt; (params.data?.'goshiCar' == 'Y') ? 'btnActive' : 'btnInActive',},}</v>
      </c>
      <c r="I38" s="38" t="str">
        <f t="shared" si="59"/>
        <v xml:space="preserve">								&lt;div class='input-search'&gt;
									&lt;input [(ngModel)]='goshiCar' name='goshiCar'
									class='form-control' [placeholder]="l('Goshi Car')"
									type='text' (keyup.enter)='searchDatas()'&gt;
								&lt;/div&gt;</v>
      </c>
      <c r="J38" s="31"/>
      <c r="K38" s="38" t="str">
        <f t="shared" si="60"/>
        <v xml:space="preserve">					&lt;div class='col-md-12 form-group row'&gt;
						&lt;label class='col-md-2 form-control title'&gt;Goshi Car&lt;/label&gt;
						&lt;new-checkbox [(ngModel)]='_goshiCar' name='goshiCar' className='col-md-10' &gt; &lt;/new-checkbox&gt;
					&lt;/div&gt;</v>
      </c>
      <c r="L38" s="60" t="str">
        <f t="shared" si="61"/>
        <v/>
      </c>
      <c r="M38" s="31"/>
      <c r="N38" s="31"/>
      <c r="O38" s="31"/>
      <c r="P38" s="31"/>
      <c r="Q38" s="31"/>
      <c r="R38" s="31"/>
      <c r="S38" s="31" t="str">
        <f t="shared" si="51"/>
        <v xml:space="preserve">	goshiCar : string = '' ; </v>
      </c>
      <c r="T38" s="31" t="str">
        <f t="shared" si="52"/>
        <v xml:space="preserve">			this.goshiCar,</v>
      </c>
      <c r="U38" s="31" t="str">
        <f t="shared" si="53"/>
        <v xml:space="preserve">		this.goshiCar = '',</v>
      </c>
      <c r="V38" s="31" t="str">
        <f t="shared" si="62"/>
        <v>goshiCar</v>
      </c>
    </row>
    <row r="39" spans="1:22" ht="15" customHeight="1" x14ac:dyDescent="0.25">
      <c r="A39" s="44" t="s">
        <v>301</v>
      </c>
      <c r="B39" s="31" t="str">
        <f t="shared" ref="B39" si="63">SUBSTITUTE(PROPER(A39),"_","")</f>
        <v>IsActive</v>
      </c>
      <c r="C39" s="31" t="str">
        <f t="shared" ref="C39" si="64">SUBSTITUTE(PROPER(A39),"_"," ")</f>
        <v>Is Active</v>
      </c>
      <c r="D39" s="31" t="str">
        <f t="shared" ref="D39" si="65">LOWER(LEFT(B39,1))&amp;RIGHT(B39,LEN(B39) - 1)</f>
        <v>isActive</v>
      </c>
      <c r="E39" s="31" t="str">
        <f>A.Backend!H33</f>
        <v>string</v>
      </c>
      <c r="F39" s="31" t="str">
        <f>A.Backend!G33</f>
        <v>1</v>
      </c>
      <c r="G39" s="31" t="str">
        <f t="shared" ref="G39" si="66">IF(E39="string"," : string = '' ; ",IF(OR(E39="DateTime",E39="TimeSpan")," : any ;",IF(E39="int"," : number = 0 ;","")))</f>
        <v xml:space="preserve"> : string = '' ; </v>
      </c>
      <c r="H39" s="38" t="str">
        <f t="shared" ref="H39" si="67">IF(E39="DateTime",
REPT(CHAR(9),3)&amp;"{headerName: this.l('"&amp;C39&amp;"'),headerTooltip: this.l('"&amp;C39&amp;"'),field: '"&amp;D39&amp;"',valueGetter: (params) =&gt; this.pipe.transform(params.data?."&amp;D39&amp;", 'dd/MM/yyyy'),flex: 1},",
IF(AND(E39="string",F39="1"),
REPT(CHAR(9),3)&amp;"{headerName: this.l('"&amp;C39&amp;"'),headerTooltip: this.l('"&amp;C39&amp;"'),field:  '"&amp;D39&amp;"', cellClass: ['text-center'], width: 120, cellRenderer: 'agCellButtonComponent',
buttonDefTwo: { text: params =&gt; (params.data?.'"&amp;D39&amp;"' == 'Y') ? 'Active' : 'Inactive',iconName: 'fa fa-circle',className: params =&gt; (params.data?.'"&amp;D39&amp;"' == 'Y') ? 'btnActive' : 'btnInActive',},}",
REPT(CHAR(9),3)&amp;"{headerName: this.l('"&amp;C39&amp;"'),headerTooltip: this.l('"&amp;C39&amp;"'),field: '"&amp;D39&amp;"',flex: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39" s="38" t="str">
        <f t="shared" ref="I39" si="68">IF(E39="DateTime",
REPT(CHAR(9),8)&amp;"&lt;div class='input-search'&gt;
"&amp;REPT(CHAR(9),9)&amp;"&lt;input type='text' [placeholder]=""l('"&amp;C39&amp;"')"" [(ngModel)]='"&amp;D39&amp;"' 
"&amp;REPT(CHAR(9),9)&amp;"name='"&amp;D39&amp;"'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IF(E39="string",
REPT(CHAR(9),8)&amp;"&lt;div class='input-search'&gt;
"&amp;REPT(CHAR(9),9)&amp;"&lt;input [(ngModel)]='"&amp;D39&amp;"' name='"&amp;D39&amp;"'
"&amp;REPT(CHAR(9),9)&amp;"class='form-control' [placeholder]=""l('"&amp;C39&amp;"')""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39" s="31"/>
      <c r="K39" s="38" t="str">
        <f t="shared" ref="K39" si="69">IF(OR(E39="DateTime",E39="TimeSpan"),
REPT(CHAR(9),5)&amp;"&lt;div class='col-md-12 form-group row'&gt;
"&amp;REPT(CHAR(9),6)&amp;"&lt;label class='col-md-2 form-control title'&gt;"&amp;C39&amp;"&lt;/label&gt;
"&amp;REPT(CHAR(9),6)&amp;"&lt;input type='text' class='col-md-10 form-control input-text' name='"&amp;D39&amp;"' 
"&amp;REPT(CHAR(9),6)&amp;"#datepicker='bsDatepicker' [(ngModel)]='rowdata."&amp;D39&amp;"'  bsDatepicker &gt;
"&amp;REPT(CHAR(9),5)&amp;"&lt;/div&gt;",
IF(AND(E39="string",F39="1"),
REPT(CHAR(9),5)&amp;"&lt;div class='col-md-12 form-group row'&gt;
"&amp;REPT(CHAR(9),6)&amp;"&lt;label class='col-md-2 form-control title'&gt;"&amp;C39&amp;"&lt;/label&gt;
"&amp;REPT(CHAR(9),6)&amp;"&lt;new-checkbox [(ngModel)]='_"&amp;D39&amp;"' name='"&amp;D39&amp;"' className='col-md-10' &gt; &lt;/new-checkbox&gt;
"&amp;REPT(CHAR(9),5)&amp;"&lt;/div&gt;",
IF(E39="string",
REPT(CHAR(9),5)&amp;"&lt;div class='col-md-12 form-group row'&gt;
"&amp;REPT(CHAR(9),6)&amp;"&lt;label class='col-md-2 form-control title'&gt;"&amp;C39&amp;"&lt;/label&gt;
"&amp;REPT(CHAR(9),6)&amp;"&lt;input type='text' class='col-md-10 form-control input-text' name='"&amp;B39&amp;"' [(ngModel)]='rowdata."&amp;D39&amp;"'&gt;
"&amp;REPT(CHAR(9),5)&amp;"&lt;/div&gt;",
IF(E39="int",
REPT(CHAR(9),5)&amp;"&lt;div class='col-md-12 form-group row'&gt;
"&amp;REPT(CHAR(9),6)&amp;"&lt;label class='col-md-2 form-control title'&gt;"&amp;C39&amp;"&lt;/label&gt;
"&amp;REPT(CHAR(9),6)&amp;"&lt;input type='number' class='col-md-10 form-control input-text' name='"&amp;B39&amp;"' [(ngModel)]='rowdata."&amp;D39&amp;"'&gt;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39" s="60" t="str">
        <f t="shared" ref="L39" si="70">IF(E39="DateTime",
REPT(CHAR(9),2)&amp;"const dateValue =  this.rowdata."&amp;D39&amp;" ? new Date(this.rowdata."&amp;D39&amp;"?.toString()) : new Date();
"&amp;REPT(CHAR(9),2)&amp;"this.datepicker?.bsValueChange.emit(dateValue);","")</f>
        <v/>
      </c>
      <c r="M39" s="31"/>
      <c r="N39" s="31"/>
      <c r="O39" s="31"/>
      <c r="P39" s="31"/>
      <c r="Q39" s="31"/>
      <c r="R39" s="31"/>
      <c r="S39" s="31" t="str">
        <f t="shared" ref="S39" si="71">REPT(CHAR(9),1)&amp;D39&amp;G39</f>
        <v xml:space="preserve">	isActive : string = '' ; </v>
      </c>
      <c r="T39" s="31" t="str">
        <f t="shared" ref="T39" si="72">REPT(CHAR(9),3)&amp;"this."&amp;D39&amp;","</f>
        <v xml:space="preserve">			this.isActive,</v>
      </c>
      <c r="U39" s="31" t="str">
        <f t="shared" ref="U39" si="73">IF(E39="int",REPT(CHAR(9),2)&amp;"this."&amp;D39&amp;" = 0,",REPT(CHAR(9),2)&amp;"this."&amp;D39&amp;" = '',")</f>
        <v xml:space="preserve">		this.isActive = '',</v>
      </c>
      <c r="V39" s="31" t="str">
        <f t="shared" ref="V39" si="74">IF(AND(E39="string",F39="1"),D39,"")</f>
        <v>isActive</v>
      </c>
    </row>
    <row r="42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2023-05-25T12:02:28Z</dcterms:modified>
</cp:coreProperties>
</file>
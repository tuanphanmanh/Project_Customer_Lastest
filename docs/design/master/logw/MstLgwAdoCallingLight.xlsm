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logw\"/>
    </mc:Choice>
  </mc:AlternateContent>
  <xr:revisionPtr revIDLastSave="0" documentId="13_ncr:1_{9FC4FAA3-DDFA-4A2E-933D-8E7A29B23B0F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A.Backend" sheetId="1" r:id="rId1"/>
    <sheet name="Dev Guide" sheetId="3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5" l="1"/>
  <c r="F23" i="5"/>
  <c r="E23" i="5"/>
  <c r="L23" i="5" s="1"/>
  <c r="C23" i="5"/>
  <c r="B23" i="5"/>
  <c r="D23" i="5" s="1"/>
  <c r="G17" i="1"/>
  <c r="E17" i="1"/>
  <c r="H17" i="1" s="1"/>
  <c r="D17" i="1"/>
  <c r="L17" i="1" s="1"/>
  <c r="H23" i="5" l="1"/>
  <c r="T23" i="5"/>
  <c r="S23" i="5"/>
  <c r="I23" i="5"/>
  <c r="U23" i="5"/>
  <c r="V23" i="5"/>
  <c r="K23" i="5"/>
  <c r="W17" i="1"/>
  <c r="J17" i="1"/>
  <c r="N17" i="1"/>
  <c r="M17" i="1"/>
  <c r="I17" i="1"/>
  <c r="O17" i="1"/>
  <c r="P17" i="1"/>
  <c r="T17" i="1"/>
  <c r="V17" i="1"/>
  <c r="C17" i="5"/>
  <c r="B17" i="5"/>
  <c r="D17" i="5" s="1"/>
  <c r="G11" i="1"/>
  <c r="F17" i="5" s="1"/>
  <c r="E11" i="1"/>
  <c r="H11" i="1" s="1"/>
  <c r="E17" i="5" s="1"/>
  <c r="D11" i="1"/>
  <c r="V11" i="1" s="1"/>
  <c r="V17" i="5" l="1"/>
  <c r="T17" i="5"/>
  <c r="H17" i="5"/>
  <c r="I17" i="5"/>
  <c r="K17" i="5"/>
  <c r="U17" i="5"/>
  <c r="G17" i="5"/>
  <c r="S17" i="5" s="1"/>
  <c r="L17" i="5"/>
  <c r="W11" i="1"/>
  <c r="O11" i="1"/>
  <c r="J11" i="1"/>
  <c r="N11" i="1"/>
  <c r="I11" i="1"/>
  <c r="M11" i="1"/>
  <c r="P11" i="1"/>
  <c r="T11" i="1"/>
  <c r="G12" i="1"/>
  <c r="F18" i="5" s="1"/>
  <c r="E12" i="1"/>
  <c r="H12" i="1" s="1"/>
  <c r="E18" i="5" s="1"/>
  <c r="D12" i="1"/>
  <c r="V12" i="1" s="1"/>
  <c r="G10" i="1"/>
  <c r="F16" i="5" s="1"/>
  <c r="E10" i="1"/>
  <c r="H10" i="1" s="1"/>
  <c r="E16" i="5" s="1"/>
  <c r="D10" i="1"/>
  <c r="V10" i="1" s="1"/>
  <c r="W12" i="1" l="1"/>
  <c r="P12" i="1"/>
  <c r="T12" i="1"/>
  <c r="I12" i="1"/>
  <c r="N12" i="1"/>
  <c r="M12" i="1"/>
  <c r="J12" i="1"/>
  <c r="O12" i="1"/>
  <c r="N10" i="1"/>
  <c r="I10" i="1"/>
  <c r="M10" i="1"/>
  <c r="W10" i="1"/>
  <c r="O10" i="1"/>
  <c r="J10" i="1"/>
  <c r="P10" i="1"/>
  <c r="T10" i="1"/>
  <c r="L13" i="1" l="1"/>
  <c r="G13" i="1"/>
  <c r="F19" i="5" s="1"/>
  <c r="E13" i="1"/>
  <c r="H13" i="1" s="1"/>
  <c r="E19" i="5" s="1"/>
  <c r="D13" i="1"/>
  <c r="V13" i="1" s="1"/>
  <c r="W13" i="1" l="1"/>
  <c r="O13" i="1"/>
  <c r="J13" i="1"/>
  <c r="N13" i="1"/>
  <c r="I13" i="1"/>
  <c r="M13" i="1"/>
  <c r="P13" i="1"/>
  <c r="T13" i="1"/>
  <c r="C21" i="5" l="1"/>
  <c r="B21" i="5"/>
  <c r="D21" i="5" s="1"/>
  <c r="D14" i="1"/>
  <c r="T14" i="1" s="1"/>
  <c r="E14" i="1"/>
  <c r="H14" i="1" s="1"/>
  <c r="E20" i="5" s="1"/>
  <c r="G14" i="1"/>
  <c r="F20" i="5" s="1"/>
  <c r="P14" i="1" l="1"/>
  <c r="I14" i="1"/>
  <c r="V14" i="1"/>
  <c r="T21" i="5"/>
  <c r="M14" i="1"/>
  <c r="W14" i="1"/>
  <c r="O14" i="1"/>
  <c r="J14" i="1"/>
  <c r="N14" i="1"/>
  <c r="C20" i="5" l="1"/>
  <c r="B20" i="5"/>
  <c r="D20" i="5" s="1"/>
  <c r="C19" i="5"/>
  <c r="B19" i="5"/>
  <c r="D19" i="5" s="1"/>
  <c r="T19" i="5" s="1"/>
  <c r="T20" i="5" l="1"/>
  <c r="B22" i="5"/>
  <c r="D22" i="5" s="1"/>
  <c r="G16" i="1"/>
  <c r="F22" i="5" s="1"/>
  <c r="E16" i="1"/>
  <c r="H16" i="1" s="1"/>
  <c r="E22" i="5" s="1"/>
  <c r="D16" i="1"/>
  <c r="V16" i="1" s="1"/>
  <c r="G15" i="1"/>
  <c r="F21" i="5" s="1"/>
  <c r="E15" i="1"/>
  <c r="H15" i="1" s="1"/>
  <c r="E21" i="5" s="1"/>
  <c r="D15" i="1"/>
  <c r="P15" i="1" s="1"/>
  <c r="G21" i="5" l="1"/>
  <c r="S21" i="5" s="1"/>
  <c r="L21" i="5"/>
  <c r="K21" i="5"/>
  <c r="U21" i="5"/>
  <c r="H21" i="5"/>
  <c r="V21" i="5"/>
  <c r="I21" i="5"/>
  <c r="T22" i="5"/>
  <c r="C22" i="5"/>
  <c r="I22" i="5" s="1"/>
  <c r="V22" i="5"/>
  <c r="U22" i="5"/>
  <c r="G22" i="5"/>
  <c r="S22" i="5" s="1"/>
  <c r="L22" i="5"/>
  <c r="T16" i="1"/>
  <c r="W15" i="1"/>
  <c r="T15" i="1"/>
  <c r="P16" i="1"/>
  <c r="N16" i="1"/>
  <c r="I16" i="1"/>
  <c r="M16" i="1"/>
  <c r="W16" i="1"/>
  <c r="O16" i="1"/>
  <c r="J16" i="1"/>
  <c r="M15" i="1"/>
  <c r="I15" i="1"/>
  <c r="N15" i="1"/>
  <c r="V15" i="1"/>
  <c r="J15" i="1"/>
  <c r="O15" i="1"/>
  <c r="K22" i="5" l="1"/>
  <c r="H22" i="5"/>
  <c r="W3" i="1"/>
  <c r="V3" i="1"/>
  <c r="B2" i="5" l="1"/>
  <c r="B3" i="5" s="1"/>
  <c r="G20" i="5" l="1"/>
  <c r="S20" i="5" s="1"/>
  <c r="U20" i="5"/>
  <c r="V20" i="5"/>
  <c r="K20" i="5"/>
  <c r="L20" i="5"/>
  <c r="H20" i="5"/>
  <c r="I20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C15" i="5" l="1"/>
  <c r="B15" i="5"/>
  <c r="D15" i="5" s="1"/>
  <c r="V18" i="1"/>
  <c r="V12" i="5" l="1"/>
  <c r="L12" i="5"/>
  <c r="U12" i="5"/>
  <c r="S12" i="5"/>
  <c r="H12" i="5"/>
  <c r="K12" i="5"/>
  <c r="T12" i="5"/>
  <c r="I12" i="5"/>
  <c r="T15" i="5"/>
  <c r="C18" i="5"/>
  <c r="B18" i="5"/>
  <c r="D18" i="5" s="1"/>
  <c r="C16" i="5"/>
  <c r="B16" i="5"/>
  <c r="D16" i="5" s="1"/>
  <c r="T16" i="5" s="1"/>
  <c r="T18" i="5" l="1"/>
  <c r="R3" i="1"/>
  <c r="D1" i="1"/>
  <c r="F6" i="1"/>
  <c r="T13" i="5"/>
  <c r="G9" i="1" l="1"/>
  <c r="F15" i="5" s="1"/>
  <c r="E9" i="1"/>
  <c r="H9" i="1" s="1"/>
  <c r="P9" i="1"/>
  <c r="T18" i="1"/>
  <c r="L19" i="5" l="1"/>
  <c r="K19" i="5"/>
  <c r="H19" i="5"/>
  <c r="U19" i="5"/>
  <c r="V19" i="5"/>
  <c r="G19" i="5"/>
  <c r="S19" i="5" s="1"/>
  <c r="I19" i="5"/>
  <c r="O9" i="1"/>
  <c r="M9" i="1"/>
  <c r="N9" i="1"/>
  <c r="E15" i="5"/>
  <c r="W9" i="1"/>
  <c r="T7" i="1"/>
  <c r="I9" i="1"/>
  <c r="W18" i="1"/>
  <c r="L16" i="5" l="1"/>
  <c r="H16" i="5"/>
  <c r="I16" i="5"/>
  <c r="K16" i="5"/>
  <c r="L18" i="5"/>
  <c r="H18" i="5"/>
  <c r="I18" i="5"/>
  <c r="K18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8" i="5"/>
  <c r="S18" i="5" s="1"/>
  <c r="U18" i="5"/>
  <c r="V18" i="5"/>
  <c r="G6" i="1"/>
  <c r="L13" i="5"/>
  <c r="S13" i="5"/>
  <c r="I13" i="5"/>
  <c r="K13" i="5"/>
  <c r="H13" i="5"/>
  <c r="U13" i="5"/>
  <c r="V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l="1"/>
  <c r="L14" i="1"/>
  <c r="L10" i="1"/>
  <c r="L12" i="1"/>
  <c r="L16" i="1"/>
  <c r="L15" i="1"/>
  <c r="L9" i="1"/>
  <c r="J9" i="1"/>
  <c r="C7" i="1"/>
  <c r="N18" i="1"/>
  <c r="P18" i="1"/>
  <c r="J18" i="1"/>
  <c r="I18" i="1"/>
  <c r="O18" i="1"/>
  <c r="Q7" i="1" l="1"/>
  <c r="M47" i="3" s="1"/>
  <c r="L7" i="1"/>
  <c r="G47" i="3" s="1"/>
  <c r="K47" i="3"/>
  <c r="J47" i="3"/>
  <c r="K18" i="1"/>
  <c r="M18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4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<sst xmlns="http://schemas.openxmlformats.org/spreadsheetml/2006/main" count="402" uniqueCount="316">
  <si>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</si>
  <si>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</si>
  <si>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</si>
  <si>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</si>
  <si>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</si>
  <si>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</si>
  <si>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</si>
  <si>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</si>
  <si>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</si>
  <si>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</si>
  <si>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</si>
  <si>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</si>
  <si>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</si>
  <si>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</si>
  <si>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</si>
  <si>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</si>
  <si>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</si>
  <si>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</si>
  <si>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</si>
  <si>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</si>
  <si>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</si>
  <si>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</si>
  <si>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</si>
  <si>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</si>
  <si>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</si>
  <si>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</si>
  <si>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</si>
  <si>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</si>
  <si>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</si>
  <si>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</si>
  <si>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</si>
  <si>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</si>
  <si>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</si>
  <si>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</si>
  <si>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</si>
  <si>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</si>
  <si>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</si>
  <si>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</si>
  <si>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</si>
  <si>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</si>
  <si>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</si>
  <si>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</si>
  <si>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</si>
  <si>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</si>
  <si>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</si>
  <si>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</si>
  <si>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</si>
  <si>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</si>
  <si>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</si>
  <si>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</si>
  <si>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</si>
  <si>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</si>
  <si>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</si>
  <si>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</si>
  <si>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</si>
  <si>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</si>
  <si>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</si>
  <si>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</si>
  <si>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</si>
  <si>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</si>
  <si>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</si>
  <si>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</si>
  <si>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</si>
  <si>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</si>
  <si>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</si>
  <si>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</si>
  <si>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</si>
  <si>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</si>
  <si>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</si>
  <si>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</si>
  <si>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</si>
  <si>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</si>
  <si>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</si>
  <si>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</si>
  <si>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</si>
  <si>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</si>
  <si>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</si>
  <si>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</si>
  <si>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</si>
  <si>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</si>
  <si>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</si>
  <si>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</si>
  <si>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</si>
  <si>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</si>
  <si>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</si>
  <si>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</si>
  <si>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</si>
  <si>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</si>
  <si>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</si>
  <si>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</si>
  <si>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</si>
  <si>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</si>
  <si>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</si>
  <si>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</si>
  <si>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</si>
  <si>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</si>
  <si>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</si>
  <si>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</si>
  <si>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</si>
  <si>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</si>
  <si>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</si>
  <si>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</si>
  <si>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</si>
  <si>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</si>
  <si>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</si>
  <si>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</si>
  <si>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</si>
  <si>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</si>
  <si>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</si>
  <si>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</si>
  <si>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</si>
  <si>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</si>
  <si>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</si>
  <si>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</si>
  <si>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</si>
  <si>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</si>
  <si>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</si>
  <si>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</si>
  <si>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</si>
  <si>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</si>
  <si>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</si>
  <si>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</si>
  <si>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</si>
  <si>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</si>
  <si>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</si>
  <si>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</si>
  <si>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</si>
  <si>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</si>
  <si>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</si>
  <si>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</si>
  <si>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</si>
  <si>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</si>
  <si>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</si>
  <si>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</si>
  <si>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</si>
  <si>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</si>
  <si>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</si>
  <si>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</si>
  <si>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</si>
  <si>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</si>
  <si>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</si>
  <si>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</si>
  <si>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</si>
  <si>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</si>
  <si>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</si>
  <si>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</si>
  <si>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</si>
  <si>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</si>
  <si>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</si>
  <si>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</si>
  <si>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</si>
  <si>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</si>
  <si>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</si>
  <si>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</si>
  <si>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</si>
  <si>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</si>
  <si>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</si>
  <si>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</si>
  <si>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</si>
  <si>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</si>
  <si>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</si>
  <si>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</si>
  <si>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</si>
  <si>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</si>
  <si>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</si>
  <si>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</si>
  <si>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</si>
  <si>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</si>
  <si>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</si>
  <si>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</si>
  <si>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</si>
  <si>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</si>
  <si>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</si>
  <si>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</si>
  <si>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</si>
  <si>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</si>
  <si>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</si>
  <si>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</si>
  <si>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</si>
  <si>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</si>
  <si>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</si>
  <si>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</si>
  <si>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</si>
  <si>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</si>
  <si>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</si>
  <si>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</si>
  <si>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</si>
  <si>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</si>
  <si>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</si>
  <si>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</si>
  <si>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</si>
  <si>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</si>
  <si>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</si>
  <si>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</si>
  <si>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</si>
  <si>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</si>
  <si>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</si>
  <si>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</si>
  <si>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</si>
  <si>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</si>
  <si>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</si>
  <si>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</si>
  <si>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</si>
  <si>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</si>
  <si>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</si>
  <si>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</si>
  <si>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</si>
  <si>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</si>
  <si>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</si>
  <si>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</si>
  <si>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</si>
  <si>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</si>
  <si>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</si>
  <si>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</si>
  <si>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</si>
  <si>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</si>
  <si>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</si>
  <si>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</si>
  <si>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</si>
  <si>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</si>
  <si>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</si>
  <si>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</si>
  <si>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</si>
  <si>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</si>
  <si>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</si>
  <si>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</si>
  <si>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</si>
  <si>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</si>
  <si>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</si>
  <si>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</si>
  <si>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</si>
  <si>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</si>
  <si>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</si>
  <si>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</si>
  <si>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</si>
  <si>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</si>
  <si>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</si>
  <si>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</si>
  <si>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</si>
  <si>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</si>
  <si>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</si>
  <si>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</si>
  <si>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</si>
  <si>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</si>
  <si>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</si>
  <si>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</si>
  <si>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</si>
  <si>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</si>
  <si>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</si>
  <si>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</si>
  <si>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</si>
  <si>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</si>
  <si>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</si>
  <si>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</si>
  <si>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</si>
  <si>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</si>
  <si>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</si>
  <si>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</si>
  <si>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</si>
  <si>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</si>
  <si>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</si>
  <si>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</si>
  <si>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</si>
  <si>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</si>
  <si>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</si>
  <si>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</si>
  <si>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</si>
  <si>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</si>
  <si>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</si>
  <si>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</si>
  <si>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</si>
  <si>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</si>
  <si>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</si>
  <si>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</si>
  <si>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</si>
  <si>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</si>
  <si>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</si>
  <si>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</si>
  <si>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</si>
  <si>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</si>
  <si>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</si>
  <si>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</si>
  <si>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</si>
  <si>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</si>
  <si>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</si>
  <si>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</si>
  <si>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</si>
  <si>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</si>
  <si>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</si>
  <si>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</si>
  <si>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</si>
  <si>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</si>
  <si>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</si>
  <si>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</si>
  <si>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</si>
  <si>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</si>
  <si>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</si>
  <si>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</si>
  <si>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</si>
  <si>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</si>
  <si>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</si>
  <si>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varchar(50)</t>
  </si>
  <si>
    <t>varchar(250)</t>
  </si>
  <si>
    <t>PROCESS</t>
  </si>
  <si>
    <t>SIGNAL_CODE</t>
  </si>
  <si>
    <t>PROD_LINE</t>
  </si>
  <si>
    <t>Master.LogW</t>
  </si>
  <si>
    <t>CODE</t>
  </si>
  <si>
    <t>LIGHT_NAME</t>
  </si>
  <si>
    <t>BLOCK_CODE</t>
  </si>
  <si>
    <t>BLOCK_DESCRIPTION</t>
  </si>
  <si>
    <t>SORTING</t>
  </si>
  <si>
    <t>SIGNAL_ID</t>
  </si>
  <si>
    <t>varchar(200)</t>
  </si>
  <si>
    <t>MstLgwAdoCallingLight</t>
  </si>
  <si>
    <t>AdoCallingLight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</si>
</sst>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5" xfId="0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8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3.2851562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314</v>
      </c>
      <c r="C3" s="10" t="s">
        <v>43</v>
      </c>
      <c r="D3" s="10" t="s">
        <v>44</v>
      </c>
      <c r="E3" s="10" t="s">
        <v>39</v>
      </c>
      <c r="F3" s="11" t="str">
        <f>"J"&amp;COUNTA($A:$A)</f>
        <v>J17</v>
      </c>
      <c r="G3" s="4" t="s">
        <v>57</v>
      </c>
      <c r="H3" s="10" t="str">
        <f>"I"&amp;COUNTA($A:$A)</f>
        <v>I17</v>
      </c>
      <c r="I3" s="10" t="str">
        <f>REPT(CHAR(9),2)&amp;"[Required]"&amp;"
"</f>
        <v xml:space="preserve">		[Required]
</v>
      </c>
      <c r="J3" s="11" t="str">
        <f>"L"&amp;COUNTA($A:$A)</f>
        <v>L17</v>
      </c>
      <c r="K3" s="5" t="s">
        <v>56</v>
      </c>
      <c r="L3" s="11" t="str">
        <f>"M"&amp;COUNTA($A:$A)</f>
        <v>M17</v>
      </c>
      <c r="M3" s="11" t="str">
        <f>"N"&amp;COUNTA($A:$A)</f>
        <v>N17</v>
      </c>
      <c r="N3" s="11" t="str">
        <f>"O"&amp;COUNTA($A:$A)</f>
        <v>O17</v>
      </c>
      <c r="O3" s="11" t="str">
        <f>"P"&amp;COUNTA($A:$A)</f>
        <v>P17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MstLgwAdoCallingLightExportInput{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T17</v>
      </c>
      <c r="V3" s="11" t="str">
        <f>"V"&amp;COUNTA($A:$A)</f>
        <v>V17</v>
      </c>
      <c r="W3" s="10" t="str">
        <f>"W"&amp;COUNTA($A:$A)</f>
        <v>W17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MstLgwAdoCallingLight: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MstLgwAdoCallingLightConsts	
	{
</v>
      </c>
      <c r="F6" s="11" t="str">
        <f>REPT(CHAR(9),1)&amp;"public class "&amp;B3&amp;"Dto"&amp;K3&amp;REPT(CHAR(9),1)&amp;"
"&amp;REPT(CHAR(9),1)&amp;C3</f>
        <v xml:space="preserve">	public class MstLgwAdoCallingLightDto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CreateOrEditMstLgwAdoCallingLightDto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GetMstLgwAdoCallingLightInput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MstLgwAdoCallingLight</v>
      </c>
      <c r="C7" s="11" t="str">
        <f>REPT(CHAR(9),1)&amp;"[Table("""&amp;B7&amp;""")]"&amp;"
"</f>
        <v xml:space="preserve">	[Table("MstLgwAdoCallingLight")]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[Table("MstLgwAdoCallingLight")]
	[Index(nameof(Code), Name="IX_MstLgwAdoCallingLight_Code")]
	[Index(nameof(LightName), Name="IX_MstLgwAdoCallingLight_LightName")]
	public class MstLgwAdoCallingLight: FullAuditedEntity&lt;long&gt;, IEntity&lt;long&gt;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[StringLength(MaxCodeLength)]
		public virtual string Code { get; set; }
		[StringLength(MaxLightNameLength)]
		public virtual string LightName { get; set; }
		[StringLength(MaxProdLineLength)]
		public virtual string ProdLine { get; set; }
		[StringLength(MaxProcessLength)]
		public virtual string Process { get; set; }
		[StringLength(MaxBlockCodeLength)]
		public virtual string BlockCode { get; set; }
		[StringLength(MaxBlockDescriptionLength)]
		public virtual string BlockDescription { get; set; }
		[StringLength(MaxSortingLength)]
		public virtual string Sorting { get; set; }
		public virtual int SignalId { get; set; }
		[StringLength(MaxSignalCodeLength)]
		public virtual string SignalCode { get; set; }
	}
}
</v>
      </c>
      <c r="K7" t="str">
        <f>SUBSTITUTE(SUBSTITUTE(("public virtual DbSet&lt;"&amp;B3&amp;"&gt; "&amp;B3&amp;"s { get; set; }"),"WorkingPattern",$Q$3),"Master",$B$4)</f>
        <v>public virtual DbSet&lt;MstLgwAdoCallingLight&gt; MstLgwAdoCallingLights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vovina.Master.LogW
{
	public class MstLgwAdoCallingLightConsts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vovina.Master.LogW.Dto
{
	public class MstLgwAdoCallingLightDto : EntityDto&lt;long?&gt;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}
	public class CreateOrEditMstLgwAdoCallingLightDto : EntityDto&lt;long?&gt;	
	{
		[StringLength(MstLgwAdoCallingLightConsts.MaxCodeLength)]
		public virtual string Code { get; set; }
		[StringLength(MstLgwAdoCallingLightConsts.MaxLightNameLength)]
		public virtual string LightName { get; set; }
		[StringLength(MstLgwAdoCallingLightConsts.MaxProdLineLength)]
		public virtual string ProdLine { get; set; }
		[StringLength(MstLgwAdoCallingLightConsts.MaxProcessLength)]
		public virtual string Process { get; set; }
		[StringLength(MstLgwAdoCallingLightConsts.MaxBlockCodeLength)]
		public virtual string BlockCode { get; set; }
		[StringLength(MstLgwAdoCallingLightConsts.MaxBlockDescriptionLength)]
		public virtual string BlockDescription { get; set; }
		[StringLength(MstLgwAdoCallingLightConsts.MaxSortingLength)]
		public virtual string Sorting { get; set; }
		public virtual int SignalId { get; set; }
		[StringLength(MstLgwAdoCallingLightConsts.MaxSignalCodeLength)]
		public virtual string SignalCode { get; set; }
	}
	public class GetMstLgwAdoCallingLightInput : PagedAndSortedResultRequestDto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perMstLgwAdoCallingLight = PARENTS.CreateChildPermission(AppPermissions.Pages_Master_LogW_AdoCallingLight, L( "MasterLogWAdoCallingLight"));
		perMstLgwAdoCallingLight.CreateChildPermission(AppPermissions.Pages_Master_LogW_AdoCallingLight_CreateEdit, L( "MasterLogWAdoCallingLightCreateEdit"));
		perMstLgwAdoCallingLight.CreateChildPermission(AppPermissions.Pages_Master_LogW_AdoCallingLight_Delete, L( "MasterLogWAdoCallingLightDelete"));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Pages_Master_LogW_AdoCallingLight = "Pages.Master.LogW.AdoCallingLight";
		public const string Pages_Master_LogW_AdoCallingLight_CreateEdit = "Pages.Master.LogW.AdoCallingLight.CreateEdit";
		public const string Pages_Master_LogW_AdoCallingLight_Delete = "Pages.Master.LogW.AdoCallingLight.Delete";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IMstLgwAdoCallingLightAppService : IApplicationService
	{
		Task&lt;PagedResultDto&lt;MstLgwAdoCallingLightDto&gt;&gt; GetAll(GetMstLgwAdoCallingLightInput input);
		Task CreateOrEdit(CreateOrEditMstLgwAdoCallingLightDto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[AbpAuthorize(AppPermissions.Pages_Master_LogW_AdoCallingLight)]
    public class MstLgwAdoCallingLightAppService : vovinaAppServiceBase, IMstLgwAdoCallingLightAppService
    {
        private readonly IDapperRepository&lt;MstLgwAdoCallingLight, long&gt; _dapperRepo;
        private readonly IRepository&lt;MstLgwAdoCallingLight, long&gt; _repo;
        private readonly IMstLgwAdoCallingLightExcelExporter _calendarListExcelExporter;
        public MstLgwAdoCallingLightAppService(IRepository&lt;MstLgwAdoCallingLight,long&gt; repo, 
                                         IDapperRepository&lt;MstLgwAdoCallingLight,long&gt; dapperRepo,
                                        IMstLgwAdoCallingLightExcelExporter calendarListExcelExporter
            )
        {
            _repo = repo;
            _dapperRepo = dapperRepo;
            _calendarListExcelExporter = calendarListExcelExporter;
        }
        [AbpAuthorize(AppPermissions.Pages_Master_LogW_AdoCallingLight_CreateEdit)]
        public async Task CreateOrEdit(CreateOrEditMstLgwAdoCallingLightDto input)
        {
            if (input.Id == null) await Create(input);
            else await Update(input);
        }
        //CREATE
        private async Task Create(CreateOrEditMstLgwAdoCallingLightDto input)
        {          
            var mainObj = ObjectMapper.Map&lt;MstLgwAdoCallingLight&gt;(input);
            await CurrentUnitOfWork.GetDbContext&lt;vovinaDbContext&gt;().AddAsync(mainObj);
        }
        // EDIT
        private async Task Update(CreateOrEditMstLgwAdoCallingLightDto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[AbpAuthorize(AppPermissions.Pages_Master_LogW_AdoCallingLight_Delete)]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Task&lt;PagedResultDto&lt;MstLgwAdoCallingLightDto&gt;&gt; GetAll(GetMstLgwAdoCallingLightInput input)
        {
            var filtered = _repo.GetAll()
				.WhereIf(!string.IsNullOrWhiteSpace(input.Code), e =&gt; e.Code.Contains(input.Code))
				.WhereIf(!string.IsNullOrWhiteSpace(input.LightName), e =&gt; e.LightName.Contains(input.LightName))
				.WhereIf(!string.IsNullOrWhiteSpace(input.ProdLine), e =&gt; e.ProdLine.Contains(input.ProdLine))
				.WhereIf(!string.IsNullOrWhiteSpace(input.Process), e =&gt; e.Process.Contains(input.Process))
				.WhereIf(!string.IsNullOrWhiteSpace(input.BlockCode), e =&gt; e.BlockCode.Contains(input.BlockCode))
				.WhereIf(!string.IsNullOrWhiteSpace(input.BlockDescription), e =&gt; e.BlockDescription.Contains(input.BlockDescription))
				.WhereIf(!string.IsNullOrWhiteSpace(input.Sorting), e =&gt; e.Sorting.Contains(input.Sorting))
				.WhereIf(!string.IsNullOrWhiteSpace(input.SignalCode), e =&gt; e.SignalCode.Contains(input.SignalCode))                   
				;
            var pageAndFiltered = filtered.OrderBy(s =&gt; s.Id);
            var system = from o in pageAndFiltered
                         select new MstLgwAdoCallingLightDto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                        };
            var totalCount = await filtered.CountAsync();
			var paged = system.PageBy(input);
            return new PagedResultDto&lt;MstLgwAdoCallingLightDto&gt;(
                totalCount,
                 await paged.ToListAsync()
            );
        }
        public async Task&lt;FileDto&gt; GetAdoCallingLightToExcel(MstLgwAdoCallingLightExportInput input)
        {
            var query = from o in _repo.GetAll()
                        select new MstLgwAdoCallingLightDto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_dapperRepo.ExecuteAsync(MstLgwAdoCallingLightConsts.SP_MST_WPT_CALENDAR_GENERATE);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vovina.Master.LogW.Dto
{
	public class MstLgwAdoCallingLightExportInput{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IMstLgwAdoCallingLightExcelExporter : IApplicationService
	{
		FileDto ExportToFile(List&lt;MstLgwAdoCallingLightDto&gt; mstlgwadocallinglight);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MstLgwAdoCallingLightExcelExporter : NpoiExcelExporterBase, IMstLgwAdoCallingLightExcelExporter
    {
        public MstLgwAdoCallingLightExcelExporter(ITempFileCacheManager tempFileCacheManager) : base(tempFileCacheManager) { }
        public FileDto ExportToFile(List&lt;MstLgwAdoCallingLightDto&gt; adocallinglight)
        {
            return CreateExcelPackage(
				"MasterLogWAdoCallingLight.xlsx",
				excelPackage =&gt;
				 {
					var sheet = excelPackage.CreateSheet("AdoCallingLight");
					AddHeader(
								sheet,
								("Code"),
								("LightName"),
								("ProdLine"),
								("Process"),
								("BlockCode"),
								("BlockDescription"),
								("Sorting"),
								("SignalId"),
								("SignalCode"),
							   );
					AddObjects(
						 sheet, 1, adocallinglight,                                       
								_ =&gt; _.Code,
								_ =&gt; _.LightName,
								_ =&gt; _.ProdLine,
								_ =&gt; _.Process,
								_ =&gt; _.BlockCode,
								_ =&gt; _.BlockDescription,
								_ =&gt; _.Sorting,
								_ =&gt; _.SignalId,
								_ =&gt; _.SignalCode,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configuration.CreateMap&lt;MstLgwAdoCallingLightDto, MstLgwAdoCallingLight&gt;();
  configuration.CreateMap&lt;MstLgwAdoCallingLight, MstLgwAdoCallingLightDto&gt;();
  configuration.CreateMap&lt;CreateOrEditMstLgwAdoCallingLightDto, MstLgwAdoCallingLight&gt;();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307</v>
      </c>
      <c r="B9" t="s">
        <v>301</v>
      </c>
      <c r="C9" t="s">
        <v>1</v>
      </c>
      <c r="D9" t="str">
        <f t="shared" ref="D9:D15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:L15" si="5">IF(K9="","",REPT(CHAR(9),1)&amp;"[Index(nameof("&amp;IF(D9="","",""&amp;D9)&amp;")"&amp;", Name="&amp;"""IX_"&amp;$B$7&amp;"_"&amp;D9&amp;""")]")</f>
        <v xml:space="preserve">	[Index(nameof(Code), Name="IX_MstLgwAdoCallingLight_Code")]</v>
      </c>
      <c r="M9" t="str">
        <f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[StringLength(MstLgwAdoCallingLightConsts.MaxCodeLength)]
		public virtual string Code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6">REPT(CHAR(9),7)&amp;D9&amp;" = o." &amp;D9 &amp;","</f>
        <v xml:space="preserve">							Code = o.Code,</v>
      </c>
      <c r="T9" s="69" t="str">
        <f>REPT(CHAR(9),8)&amp;"("""&amp;D9&amp;"""),"</f>
        <v xml:space="preserve">								("Code"),</v>
      </c>
      <c r="V9" s="70" t="str">
        <f>REPT(CHAR(9),8)&amp;"_ =&gt; _."&amp;D9&amp;","</f>
        <v xml:space="preserve">								_ =&gt; _.Code,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308</v>
      </c>
      <c r="B10" t="s">
        <v>313</v>
      </c>
      <c r="C10" t="s">
        <v>1</v>
      </c>
      <c r="D10" t="str">
        <f t="shared" si="0"/>
        <v>LightName</v>
      </c>
      <c r="E10" t="str">
        <f t="shared" ref="E10:E11" si="7">IFERROR(LEFT(B10, FIND("(",B10)-1),B10)</f>
        <v>varchar</v>
      </c>
      <c r="F10" s="7"/>
      <c r="G10" t="str">
        <f t="shared" ref="G10:G11" si="8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9">IF(H10="string",REPT(CHAR(9),2)&amp;"public const int Max"&amp;D10&amp;"Length = "&amp;G10&amp;";"&amp;$E$3,"" )</f>
        <v xml:space="preserve">		public const int MaxLightNameLength = 200;
</v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[StringLength(MaxLightNameLength)]
		public virtual string LightName { get; set; }
</v>
      </c>
      <c r="K10" s="7" t="s">
        <v>206</v>
      </c>
      <c r="L10" t="str">
        <f t="shared" si="5"/>
        <v xml:space="preserve">	[Index(nameof(LightName), Name="IX_MstLgwAdoCallingLight_LightName")]</v>
      </c>
      <c r="M10" t="str">
        <f t="shared" ref="M10:M11" si="11">REPT(CHAR(9),2)&amp;"public virtual "&amp;IF(OR(H10="DateTime",H10="TimeSpan"),H10&amp;"?",H10)&amp;IF(C10="?","? "," ")&amp;D10&amp;" { get; set; }" &amp; "
"</f>
        <v xml:space="preserve">		public virtual string LightName { get; set; }
</v>
      </c>
      <c r="N10" t="str">
        <f t="shared" ref="N10:N11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[StringLength(MstLgwAdoCallingLightConsts.MaxLightNameLength)]
		public virtual string LightName { get; set; }
</v>
      </c>
      <c r="O10" t="str">
        <f t="shared" ref="O10:O11" si="13">IF(OR(H10="string",H10="DateTime",H10="int"),REPT(CHAR(9),2)&amp;"public virtual "&amp;IF(OR(H10="DateTime",H10="TimeSpan"),H10&amp;"?",H10)&amp;IF(C10="?","? "," ")&amp;D10&amp;" { get; set; }"&amp;$E$3,"")</f>
        <v xml:space="preserve">		public virtual string LightName { get; set; }
</v>
      </c>
      <c r="P10" t="str">
        <f t="shared" ref="P10:P11" si="14">REPT(CHAR(9),7)&amp;D10&amp;" = o." &amp;D10 &amp;","</f>
        <v xml:space="preserve">							LightName = o.LightName,</v>
      </c>
      <c r="T10" s="69" t="str">
        <f t="shared" ref="T10:T11" si="15">REPT(CHAR(9),8)&amp;"("""&amp;D10&amp;"""),"</f>
        <v xml:space="preserve">								("LightName"),</v>
      </c>
      <c r="V10" s="70" t="str">
        <f t="shared" ref="V10:V11" si="16">REPT(CHAR(9),8)&amp;"_ =&gt; _."&amp;D10&amp;","</f>
        <v xml:space="preserve">								_ =&gt; _.LightName,</v>
      </c>
      <c r="W10" s="69" t="str">
        <f t="shared" ref="W10:W11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.WhereIf(!string.IsNullOrWhiteSpace(input.LightName), e =&gt; e.LightName.Contains(input.LightName))</v>
      </c>
    </row>
    <row r="11" spans="1:23" customFormat="1" ht="22.5" customHeight="1" x14ac:dyDescent="0.25">
      <c r="A11" t="s">
        <v>305</v>
      </c>
      <c r="B11" t="s">
        <v>301</v>
      </c>
      <c r="C11" t="s">
        <v>1</v>
      </c>
      <c r="D11" t="str">
        <f t="shared" ref="D11" si="18">SUBSTITUTE(PROPER(A11),"_","")</f>
        <v>ProdLine</v>
      </c>
      <c r="E11" t="str">
        <f t="shared" si="7"/>
        <v>varchar</v>
      </c>
      <c r="F11" s="7"/>
      <c r="G11" t="str">
        <f t="shared" si="8"/>
        <v>50</v>
      </c>
      <c r="H11" t="str">
        <f>+VLOOKUP(E11,'Data Type Mapping'!A:B,2,)</f>
        <v>string</v>
      </c>
      <c r="I11" t="str">
        <f t="shared" si="9"/>
        <v xml:space="preserve">		public const int MaxProdLineLength = 50;
</v>
      </c>
      <c r="J11" t="str">
        <f t="shared" si="10"/>
        <v xml:space="preserve">		[StringLength(MaxProdLineLength)]
		public virtual string ProdLine { get; set; }
</v>
      </c>
      <c r="K11" s="7"/>
      <c r="L11" t="str">
        <f t="shared" ref="L11" si="19">IF(K11="","",REPT(CHAR(9),1)&amp;"[Index(nameof("&amp;IF(D11="","",""&amp;D11)&amp;")"&amp;", Name="&amp;"""IX_"&amp;$B$7&amp;"_"&amp;D11&amp;""")]")</f>
        <v/>
      </c>
      <c r="M11" t="str">
        <f t="shared" si="11"/>
        <v xml:space="preserve">		public virtual string ProdLine { get; set; }
</v>
      </c>
      <c r="N11" t="str">
        <f t="shared" si="12"/>
        <v xml:space="preserve">		[StringLength(MstLgwAdoCallingLightConsts.MaxProdLineLength)]
		public virtual string ProdLine { get; set; }
</v>
      </c>
      <c r="O11" t="str">
        <f t="shared" si="13"/>
        <v xml:space="preserve">		public virtual string ProdLine { get; set; }
</v>
      </c>
      <c r="P11" t="str">
        <f t="shared" si="14"/>
        <v xml:space="preserve">							ProdLine = o.ProdLine,</v>
      </c>
      <c r="T11" s="69" t="str">
        <f t="shared" si="15"/>
        <v xml:space="preserve">								("ProdLine"),</v>
      </c>
      <c r="V11" s="70" t="str">
        <f t="shared" si="16"/>
        <v xml:space="preserve">								_ =&gt; _.ProdLine,</v>
      </c>
      <c r="W11" s="69" t="str">
        <f t="shared" si="17"/>
        <v xml:space="preserve">				.WhereIf(!string.IsNullOrWhiteSpace(input.ProdLine), e =&gt; e.ProdLine.Contains(input.ProdLine))</v>
      </c>
    </row>
    <row r="12" spans="1:23" customFormat="1" ht="22.5" customHeight="1" x14ac:dyDescent="0.25">
      <c r="A12" t="s">
        <v>303</v>
      </c>
      <c r="B12" t="s">
        <v>301</v>
      </c>
      <c r="C12" t="s">
        <v>1</v>
      </c>
      <c r="D12" t="str">
        <f t="shared" si="0"/>
        <v>Process</v>
      </c>
      <c r="E12" t="str">
        <f t="shared" ref="E12" si="20">IFERROR(LEFT(B12, FIND("(",B12)-1),B12)</f>
        <v>varchar</v>
      </c>
      <c r="F12" s="7"/>
      <c r="G12" t="str">
        <f t="shared" ref="G12" si="2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2">IF(H12="string",REPT(CHAR(9),2)&amp;"public const int Max"&amp;D12&amp;"Length = "&amp;G12&amp;";"&amp;$E$3,"" )</f>
        <v xml:space="preserve">		public const int MaxProcessLength = 50;
</v>
      </c>
      <c r="J12" t="str">
        <f t="shared" ref="J12" si="2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[StringLength(MaxProcessLength)]
		public virtual string Process { get; set; }
</v>
      </c>
      <c r="K12" s="7"/>
      <c r="L12" t="str">
        <f t="shared" si="5"/>
        <v/>
      </c>
      <c r="M12" t="str">
        <f t="shared" ref="M12" si="24">REPT(CHAR(9),2)&amp;"public virtual "&amp;IF(OR(H12="DateTime",H12="TimeSpan"),H12&amp;"?",H12)&amp;IF(C12="?","? "," ")&amp;D12&amp;" { get; set; }" &amp; "
"</f>
        <v xml:space="preserve">		public virtual string Process { get; set; }
</v>
      </c>
      <c r="N12" t="str">
        <f t="shared" ref="N12" si="2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[StringLength(MstLgwAdoCallingLightConsts.MaxProcessLength)]
		public virtual string Process { get; set; }
</v>
      </c>
      <c r="O12" t="str">
        <f t="shared" ref="O12" si="26">IF(OR(H12="string",H12="DateTime",H12="int"),REPT(CHAR(9),2)&amp;"public virtual "&amp;IF(OR(H12="DateTime",H12="TimeSpan"),H12&amp;"?",H12)&amp;IF(C12="?","? "," ")&amp;D12&amp;" { get; set; }"&amp;$E$3,"")</f>
        <v xml:space="preserve">		public virtual string Process { get; set; }
</v>
      </c>
      <c r="P12" t="str">
        <f t="shared" ref="P12" si="27">REPT(CHAR(9),7)&amp;D12&amp;" = o." &amp;D12 &amp;","</f>
        <v xml:space="preserve">							Process = o.Process,</v>
      </c>
      <c r="T12" s="69" t="str">
        <f t="shared" ref="T12" si="28">REPT(CHAR(9),8)&amp;"("""&amp;D12&amp;"""),"</f>
        <v xml:space="preserve">								("Process"),</v>
      </c>
      <c r="V12" s="70" t="str">
        <f t="shared" ref="V12" si="29">REPT(CHAR(9),8)&amp;"_ =&gt; _."&amp;D12&amp;","</f>
        <v xml:space="preserve">								_ =&gt; _.Process,</v>
      </c>
      <c r="W12" s="69" t="str">
        <f t="shared" ref="W12" si="3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.WhereIf(!string.IsNullOrWhiteSpace(input.Process), e =&gt; e.Process.Contains(input.Process))</v>
      </c>
    </row>
    <row r="13" spans="1:23" customFormat="1" ht="22.5" customHeight="1" x14ac:dyDescent="0.25">
      <c r="A13" t="s">
        <v>309</v>
      </c>
      <c r="B13" t="s">
        <v>301</v>
      </c>
      <c r="C13" t="s">
        <v>1</v>
      </c>
      <c r="D13" t="str">
        <f t="shared" si="0"/>
        <v>BlockCode</v>
      </c>
      <c r="E13" t="str">
        <f t="shared" ref="E13" si="31">IFERROR(LEFT(B13, FIND("(",B13)-1),B13)</f>
        <v>varchar</v>
      </c>
      <c r="F13" s="7"/>
      <c r="G13" t="str">
        <f t="shared" ref="G13" si="32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33">IF(H13="string",REPT(CHAR(9),2)&amp;"public const int Max"&amp;D13&amp;"Length = "&amp;G13&amp;";"&amp;$E$3,"" )</f>
        <v xml:space="preserve">		public const int MaxBlockCodeLength = 50;
</v>
      </c>
      <c r="J13" t="str">
        <f t="shared" ref="J13" si="34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[StringLength(MaxBlockCodeLength)]
		public virtual string BlockCode { get; set; }
</v>
      </c>
      <c r="K13" s="7"/>
      <c r="L13" t="str">
        <f t="shared" si="5"/>
        <v/>
      </c>
      <c r="M13" t="str">
        <f t="shared" ref="M13" si="35">REPT(CHAR(9),2)&amp;"public virtual "&amp;IF(OR(H13="DateTime",H13="TimeSpan"),H13&amp;"?",H13)&amp;IF(C13="?","? "," ")&amp;D13&amp;" { get; set; }" &amp; "
"</f>
        <v xml:space="preserve">		public virtual string BlockCode { get; set; }
</v>
      </c>
      <c r="N13" t="str">
        <f t="shared" ref="N13" si="3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[StringLength(MstLgwAdoCallingLightConsts.MaxBlockCodeLength)]
		public virtual string BlockCode { get; set; }
</v>
      </c>
      <c r="O13" t="str">
        <f t="shared" ref="O13" si="37">IF(OR(H13="string",H13="DateTime",H13="int"),REPT(CHAR(9),2)&amp;"public virtual "&amp;IF(OR(H13="DateTime",H13="TimeSpan"),H13&amp;"?",H13)&amp;IF(C13="?","? "," ")&amp;D13&amp;" { get; set; }"&amp;$E$3,"")</f>
        <v xml:space="preserve">		public virtual string BlockCode { get; set; }
</v>
      </c>
      <c r="P13" t="str">
        <f t="shared" ref="P13" si="38">REPT(CHAR(9),7)&amp;D13&amp;" = o." &amp;D13 &amp;","</f>
        <v xml:space="preserve">							BlockCode = o.BlockCode,</v>
      </c>
      <c r="T13" s="69" t="str">
        <f t="shared" ref="T13" si="39">REPT(CHAR(9),8)&amp;"("""&amp;D13&amp;"""),"</f>
        <v xml:space="preserve">								("BlockCode"),</v>
      </c>
      <c r="V13" s="70" t="str">
        <f t="shared" ref="V13" si="40">REPT(CHAR(9),8)&amp;"_ =&gt; _."&amp;D13&amp;","</f>
        <v xml:space="preserve">								_ =&gt; _.BlockCode,</v>
      </c>
      <c r="W13" s="69" t="str">
        <f t="shared" ref="W13" si="4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.WhereIf(!string.IsNullOrWhiteSpace(input.BlockCode), e =&gt; e.BlockCode.Contains(input.BlockCode))</v>
      </c>
    </row>
    <row r="14" spans="1:23" customFormat="1" ht="22.5" customHeight="1" x14ac:dyDescent="0.25">
      <c r="A14" t="s">
        <v>310</v>
      </c>
      <c r="B14" t="s">
        <v>302</v>
      </c>
      <c r="C14" t="s">
        <v>1</v>
      </c>
      <c r="D14" t="str">
        <f t="shared" si="0"/>
        <v>BlockDescription</v>
      </c>
      <c r="E14" t="str">
        <f t="shared" ref="E14" si="42">IFERROR(LEFT(B14, FIND("(",B14)-1),B14)</f>
        <v>varchar</v>
      </c>
      <c r="F14" s="7"/>
      <c r="G14" t="str">
        <f t="shared" ref="G14" si="43">IFERROR(MID(B14,FIND("(",B14) +1, FIND(")",B14) - FIND("(",B14) - 1),"")</f>
        <v>250</v>
      </c>
      <c r="H14" t="str">
        <f>+VLOOKUP(E14,'Data Type Mapping'!A:B,2,)</f>
        <v>string</v>
      </c>
      <c r="I14" t="str">
        <f t="shared" ref="I14" si="44">IF(H14="string",REPT(CHAR(9),2)&amp;"public const int Max"&amp;D14&amp;"Length = "&amp;G14&amp;";"&amp;$E$3,"" )</f>
        <v xml:space="preserve">		public const int MaxBlockDescriptionLength = 250;
</v>
      </c>
      <c r="J14" t="str">
        <f t="shared" ref="J14" si="4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[StringLength(MaxBlockDescriptionLength)]
		public virtual string BlockDescription { get; set; }
</v>
      </c>
      <c r="K14" s="7"/>
      <c r="L14" t="str">
        <f t="shared" si="5"/>
        <v/>
      </c>
      <c r="M14" t="str">
        <f t="shared" ref="M14" si="46">REPT(CHAR(9),2)&amp;"public virtual "&amp;IF(OR(H14="DateTime",H14="TimeSpan"),H14&amp;"?",H14)&amp;IF(C14="?","? "," ")&amp;D14&amp;" { get; set; }" &amp; "
"</f>
        <v xml:space="preserve">		public virtual string BlockDescription { get; set; }
</v>
      </c>
      <c r="N14" t="str">
        <f t="shared" ref="N14" si="4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[StringLength(MstLgwAdoCallingLightConsts.MaxBlockDescriptionLength)]
		public virtual string BlockDescription { get; set; }
</v>
      </c>
      <c r="O14" t="str">
        <f t="shared" ref="O14" si="48">IF(OR(H14="string",H14="DateTime",H14="int"),REPT(CHAR(9),2)&amp;"public virtual "&amp;IF(OR(H14="DateTime",H14="TimeSpan"),H14&amp;"?",H14)&amp;IF(C14="?","? "," ")&amp;D14&amp;" { get; set; }"&amp;$E$3,"")</f>
        <v xml:space="preserve">		public virtual string BlockDescription { get; set; }
</v>
      </c>
      <c r="P14" t="str">
        <f t="shared" ref="P14" si="49">REPT(CHAR(9),7)&amp;D14&amp;" = o." &amp;D14 &amp;","</f>
        <v xml:space="preserve">							BlockDescription = o.BlockDescription,</v>
      </c>
      <c r="T14" s="69" t="str">
        <f t="shared" ref="T14" si="50">REPT(CHAR(9),8)&amp;"("""&amp;D14&amp;"""),"</f>
        <v xml:space="preserve">								("BlockDescription"),</v>
      </c>
      <c r="V14" s="70" t="str">
        <f t="shared" ref="V14" si="51">REPT(CHAR(9),8)&amp;"_ =&gt; _."&amp;D14&amp;","</f>
        <v xml:space="preserve">								_ =&gt; _.BlockDescription,</v>
      </c>
      <c r="W14" s="69" t="str">
        <f t="shared" ref="W14" si="5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.WhereIf(!string.IsNullOrWhiteSpace(input.BlockDescription), e =&gt; e.BlockDescription.Contains(input.BlockDescription))</v>
      </c>
    </row>
    <row r="15" spans="1:23" customFormat="1" ht="22.5" customHeight="1" x14ac:dyDescent="0.25">
      <c r="A15" t="s">
        <v>311</v>
      </c>
      <c r="B15" t="s">
        <v>301</v>
      </c>
      <c r="C15" t="s">
        <v>1</v>
      </c>
      <c r="D15" t="str">
        <f t="shared" si="0"/>
        <v>Sorting</v>
      </c>
      <c r="E15" t="str">
        <f t="shared" ref="E15:E16" si="53">IFERROR(LEFT(B15, FIND("(",B15)-1),B15)</f>
        <v>varchar</v>
      </c>
      <c r="F15" s="7"/>
      <c r="G15" t="str">
        <f t="shared" ref="G15:G16" si="54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6" si="55">IF(H15="string",REPT(CHAR(9),2)&amp;"public const int Max"&amp;D15&amp;"Length = "&amp;G15&amp;";"&amp;$E$3,"" )</f>
        <v xml:space="preserve">		public const int MaxSortingLength = 50;
</v>
      </c>
      <c r="J15" t="str">
        <f t="shared" ref="J15:J16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[StringLength(MaxSortingLength)]
		public virtual string Sorting { get; set; }
</v>
      </c>
      <c r="K15" s="7"/>
      <c r="L15" t="str">
        <f t="shared" si="5"/>
        <v/>
      </c>
      <c r="M15" t="str">
        <f t="shared" ref="M15:M16" si="57">REPT(CHAR(9),2)&amp;"public virtual "&amp;IF(OR(H15="DateTime",H15="TimeSpan"),H15&amp;"?",H15)&amp;IF(C15="?","? "," ")&amp;D15&amp;" { get; set; }" &amp; "
"</f>
        <v xml:space="preserve">		public virtual string Sorting { get; set; }
</v>
      </c>
      <c r="N15" t="str">
        <f t="shared" ref="N15:N16" si="58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[StringLength(MstLgwAdoCallingLightConsts.MaxSortingLength)]
		public virtual string Sorting { get; set; }
</v>
      </c>
      <c r="O15" t="str">
        <f t="shared" ref="O15:O16" si="59">IF(OR(H15="string",H15="DateTime",H15="int"),REPT(CHAR(9),2)&amp;"public virtual "&amp;IF(OR(H15="DateTime",H15="TimeSpan"),H15&amp;"?",H15)&amp;IF(C15="?","? "," ")&amp;D15&amp;" { get; set; }"&amp;$E$3,"")</f>
        <v xml:space="preserve">		public virtual string Sorting { get; set; }
</v>
      </c>
      <c r="P15" t="str">
        <f t="shared" ref="P15:P16" si="60">REPT(CHAR(9),7)&amp;D15&amp;" = o." &amp;D15 &amp;","</f>
        <v xml:space="preserve">							Sorting = o.Sorting,</v>
      </c>
      <c r="T15" s="69" t="str">
        <f t="shared" ref="T15:T16" si="61">REPT(CHAR(9),8)&amp;"("""&amp;D15&amp;"""),"</f>
        <v xml:space="preserve">								("Sorting"),</v>
      </c>
      <c r="V15" s="70" t="str">
        <f t="shared" ref="V15:V16" si="62">REPT(CHAR(9),8)&amp;"_ =&gt; _."&amp;D15&amp;","</f>
        <v xml:space="preserve">								_ =&gt; _.Sorting,</v>
      </c>
      <c r="W15" s="69" t="str">
        <f t="shared" ref="W15:W16" si="63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.WhereIf(!string.IsNullOrWhiteSpace(input.Sorting), e =&gt; e.Sorting.Contains(input.Sorting))</v>
      </c>
    </row>
    <row r="16" spans="1:23" customFormat="1" ht="21" customHeight="1" x14ac:dyDescent="0.25">
      <c r="A16" t="s">
        <v>312</v>
      </c>
      <c r="B16" t="s">
        <v>4</v>
      </c>
      <c r="C16" t="s">
        <v>1</v>
      </c>
      <c r="D16" t="str">
        <f t="shared" ref="D16" si="64">SUBSTITUTE(PROPER(A16),"_","")</f>
        <v>SignalId</v>
      </c>
      <c r="E16" t="str">
        <f t="shared" si="53"/>
        <v>int</v>
      </c>
      <c r="F16" s="7"/>
      <c r="G16" t="str">
        <f t="shared" si="54"/>
        <v/>
      </c>
      <c r="H16" t="str">
        <f>+VLOOKUP(E16,'Data Type Mapping'!A:B,2,)</f>
        <v>int</v>
      </c>
      <c r="I16" t="str">
        <f t="shared" si="55"/>
        <v/>
      </c>
      <c r="J16" t="str">
        <f t="shared" si="56"/>
        <v xml:space="preserve">		public virtual int SignalId { get; set; }
</v>
      </c>
      <c r="K16" s="7"/>
      <c r="L16" t="str">
        <f t="shared" ref="L16" si="65">IF(K16="","",REPT(CHAR(9),1)&amp;"[Index(nameof("&amp;IF(D16="","",""&amp;D16)&amp;")"&amp;", Name="&amp;"""IX_"&amp;$B$7&amp;"_"&amp;D16&amp;""")]")</f>
        <v/>
      </c>
      <c r="M16" t="str">
        <f t="shared" si="57"/>
        <v xml:space="preserve">		public virtual int SignalId { get; set; }
</v>
      </c>
      <c r="N16" t="str">
        <f t="shared" si="58"/>
        <v xml:space="preserve">		public virtual int SignalId { get; set; }
</v>
      </c>
      <c r="O16" t="str">
        <f t="shared" si="59"/>
        <v xml:space="preserve">		public virtual int SignalId { get; set; }
</v>
      </c>
      <c r="P16" t="str">
        <f t="shared" si="60"/>
        <v xml:space="preserve">							SignalId = o.SignalId,</v>
      </c>
      <c r="T16" s="69" t="str">
        <f t="shared" si="61"/>
        <v xml:space="preserve">								("SignalId"),</v>
      </c>
      <c r="V16" s="70" t="str">
        <f t="shared" si="62"/>
        <v xml:space="preserve">								_ =&gt; _.SignalId,</v>
      </c>
      <c r="W16" s="69" t="str">
        <f t="shared" si="63"/>
        <v/>
      </c>
    </row>
    <row r="17" spans="1:23" customFormat="1" ht="21" customHeight="1" x14ac:dyDescent="0.25">
      <c r="A17" t="s">
        <v>304</v>
      </c>
      <c r="B17" t="s">
        <v>301</v>
      </c>
      <c r="C17" t="s">
        <v>1</v>
      </c>
      <c r="D17" t="str">
        <f t="shared" ref="D17" si="66">SUBSTITUTE(PROPER(A17),"_","")</f>
        <v>SignalCode</v>
      </c>
      <c r="E17" t="str">
        <f t="shared" ref="E17" si="67">IFERROR(LEFT(B17, FIND("(",B17)-1),B17)</f>
        <v>varchar</v>
      </c>
      <c r="F17" s="7"/>
      <c r="G17" t="str">
        <f t="shared" ref="G17" si="68">IFERROR(MID(B17,FIND("(",B17) +1, FIND(")",B17) - FIND("(",B17) - 1),"")</f>
        <v>50</v>
      </c>
      <c r="H17" t="str">
        <f>+VLOOKUP(E17,'Data Type Mapping'!A:B,2,)</f>
        <v>string</v>
      </c>
      <c r="I17" t="str">
        <f t="shared" ref="I17" si="69">IF(H17="string",REPT(CHAR(9),2)&amp;"public const int Max"&amp;D17&amp;"Length = "&amp;G17&amp;";"&amp;$E$3,"" )</f>
        <v xml:space="preserve">		public const int MaxSignalCodeLength = 50;
</v>
      </c>
      <c r="J17" t="str">
        <f t="shared" ref="J17" si="7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[StringLength(MaxSignalCodeLength)]
		public virtual string SignalCode { get; set; }
</v>
      </c>
      <c r="K17" s="7"/>
      <c r="L17" t="str">
        <f t="shared" ref="L17" si="71">IF(K17="","",REPT(CHAR(9),1)&amp;"[Index(nameof("&amp;IF(D17="","",""&amp;D17)&amp;")"&amp;", Name="&amp;"""IX_"&amp;$B$7&amp;"_"&amp;D17&amp;""")]")</f>
        <v/>
      </c>
      <c r="M17" t="str">
        <f t="shared" ref="M17" si="72">REPT(CHAR(9),2)&amp;"public virtual "&amp;IF(OR(H17="DateTime",H17="TimeSpan"),H17&amp;"?",H17)&amp;IF(C17="?","? "," ")&amp;D17&amp;" { get; set; }" &amp; "
"</f>
        <v xml:space="preserve">		public virtual string SignalCode { get; set; }
</v>
      </c>
      <c r="N17" t="str">
        <f t="shared" ref="N17" si="7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[StringLength(MstLgwAdoCallingLightConsts.MaxSignalCodeLength)]
		public virtual string SignalCode { get; set; }
</v>
      </c>
      <c r="O17" t="str">
        <f t="shared" ref="O17" si="74">IF(OR(H17="string",H17="DateTime",H17="int"),REPT(CHAR(9),2)&amp;"public virtual "&amp;IF(OR(H17="DateTime",H17="TimeSpan"),H17&amp;"?",H17)&amp;IF(C17="?","? "," ")&amp;D17&amp;" { get; set; }"&amp;$E$3,"")</f>
        <v xml:space="preserve">		public virtual string SignalCode { get; set; }
</v>
      </c>
      <c r="P17" t="str">
        <f t="shared" ref="P17" si="75">REPT(CHAR(9),7)&amp;D17&amp;" = o." &amp;D17 &amp;","</f>
        <v xml:space="preserve">							SignalCode = o.SignalCode,</v>
      </c>
      <c r="T17" s="69" t="str">
        <f t="shared" ref="T17" si="76">REPT(CHAR(9),8)&amp;"("""&amp;D17&amp;"""),"</f>
        <v xml:space="preserve">								("SignalCode"),</v>
      </c>
      <c r="V17" s="70" t="str">
        <f t="shared" ref="V17" si="77">REPT(CHAR(9),8)&amp;"_ =&gt; _."&amp;D17&amp;","</f>
        <v xml:space="preserve">								_ =&gt; _.SignalCode,</v>
      </c>
      <c r="W17" s="69" t="str">
        <f t="shared" ref="W17" si="7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.WhereIf(!string.IsNullOrWhiteSpace(input.SignalCode), e =&gt; e.SignalCode.Contains(input.SignalCode))</v>
      </c>
    </row>
    <row r="18" spans="1:23" ht="45.75" customHeight="1" x14ac:dyDescent="0.25">
      <c r="H18" s="12"/>
      <c r="I18" s="34" t="str">
        <f ca="1">TEXTJOIN2("
", TRUE,INDIRECT( $H$1):INDIRECT( $H$3))</f>
        <v xml:space="preserve">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</v>
      </c>
      <c r="J18" s="33" t="str">
        <f ca="1">TEXTJOIN2("
", TRUE,INDIRECT( $F$1):INDIRECT( $F$3))</f>
        <v xml:space="preserve">		[StringLength(MaxCodeLength)]
		public virtual string Code { get; set; }
		[StringLength(MaxLightNameLength)]
		public virtual string LightName { get; set; }
		[StringLength(MaxProdLineLength)]
		public virtual string ProdLine { get; set; }
		[StringLength(MaxProcessLength)]
		public virtual string Process { get; set; }
		[StringLength(MaxBlockCodeLength)]
		public virtual string BlockCode { get; set; }
		[StringLength(MaxBlockDescriptionLength)]
		public virtual string BlockDescription { get; set; }
		[StringLength(MaxSortingLength)]
		public virtual string Sorting { get; set; }
		public virtual int SignalId { get; set; }
		[StringLength(MaxSignalCodeLength)]
		public virtual string SignalCode { get; set; }
</v>
      </c>
      <c r="K18" s="35" t="str">
        <f ca="1">TEXTJOIN2("
", TRUE,INDIRECT( $J$1):INDIRECT( $J$3))</f>
        <v xml:space="preserve">	[Index(nameof(Code), Name="IX_MstLgwAdoCallingLight_Code")]
	[Index(nameof(LightName), Name="IX_MstLgwAdoCallingLight_LightName")]
</v>
      </c>
      <c r="L18" s="13" t="s">
        <v>60</v>
      </c>
      <c r="M18" s="36" t="str">
        <f ca="1">TEXTJOIN2("
",TRUE,INDIRECT( $L$1):INDIRECT($L$3))</f>
        <v xml:space="preserve">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</v>
      </c>
      <c r="N18" s="33" t="str">
        <f ca="1">TEXTJOIN2("
",TRUE,INDIRECT( $M$1):INDIRECT($M$3))</f>
        <v xml:space="preserve">		[StringLength(MstLgwAdoCallingLightConsts.MaxCodeLength)]
		public virtual string Code { get; set; }
		[StringLength(MstLgwAdoCallingLightConsts.MaxLightNameLength)]
		public virtual string LightName { get; set; }
		[StringLength(MstLgwAdoCallingLightConsts.MaxProdLineLength)]
		public virtual string ProdLine { get; set; }
		[StringLength(MstLgwAdoCallingLightConsts.MaxProcessLength)]
		public virtual string Process { get; set; }
		[StringLength(MstLgwAdoCallingLightConsts.MaxBlockCodeLength)]
		public virtual string BlockCode { get; set; }
		[StringLength(MstLgwAdoCallingLightConsts.MaxBlockDescriptionLength)]
		public virtual string BlockDescription { get; set; }
		[StringLength(MstLgwAdoCallingLightConsts.MaxSortingLength)]
		public virtual string Sorting { get; set; }
		public virtual int SignalId { get; set; }
		[StringLength(MstLgwAdoCallingLightConsts.MaxSignalCodeLength)]
		public virtual string SignalCode { get; set; }
</v>
      </c>
      <c r="O18" s="33" t="str">
        <f ca="1">TEXTJOIN2("
",TRUE,INDIRECT( $N$1):INDIRECT($N$3))</f>
        <v xml:space="preserve">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</v>
      </c>
      <c r="P18" s="9" t="str">
        <f ca="1">TEXTJOIN2("
",TRUE,INDIRECT( $O$1):INDIRECT($O$3))</f>
        <v xml:space="preserve">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</v>
      </c>
      <c r="T18" s="9" t="str">
        <f ca="1">TEXTJOIN2("
",TRUE,INDIRECT( $T$2):INDIRECT($T$3))</f>
        <v xml:space="preserve">								("Code"),
								("LightName"),
								("ProdLine"),
								("Process"),
								("BlockCode"),
								("BlockDescription"),
								("Sorting"),
								("SignalId"),
								("SignalCode"),</v>
      </c>
      <c r="V18" s="9" t="str">
        <f ca="1">TEXTJOIN2("
",TRUE,INDIRECT( $V$2):INDIRECT($V$3))</f>
        <v xml:space="preserve">								_ =&gt; _.Code,
								_ =&gt; _.LightName,
								_ =&gt; _.ProdLine,
								_ =&gt; _.Process,
								_ =&gt; _.BlockCode,
								_ =&gt; _.BlockDescription,
								_ =&gt; _.Sorting,
								_ =&gt; _.SignalId,
								_ =&gt; _.SignalCode,</v>
      </c>
      <c r="W18" s="9" t="str">
        <f ca="1">TEXTJOIN2("
",TRUE,INDIRECT( $W$2):INDIRECT($W$3))</f>
        <v xml:space="preserve">				.WhereIf(!string.IsNullOrWhiteSpace(input.Code), e =&gt; e.Code.Contains(input.Code))
				.WhereIf(!string.IsNullOrWhiteSpace(input.LightName), e =&gt; e.LightName.Contains(input.LightName))
				.WhereIf(!string.IsNullOrWhiteSpace(input.ProdLine), e =&gt; e.ProdLine.Contains(input.ProdLine))
				.WhereIf(!string.IsNullOrWhiteSpace(input.Process), e =&gt; e.Process.Contains(input.Process))
				.WhereIf(!string.IsNullOrWhiteSpace(input.BlockCode), e =&gt; e.BlockCode.Contains(input.BlockCode))
				.WhereIf(!string.IsNullOrWhiteSpace(input.BlockDescription), e =&gt; e.BlockDescription.Contains(input.BlockDescription))
				.WhereIf(!string.IsNullOrWhiteSpace(input.Sorting), e =&gt; e.Sorting.Contains(input.Sorting))
				.WhereIf(!string.IsNullOrWhiteSpace(input.SignalCode), e =&gt; e.SignalCode.Contains(input.SignalCode))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6"/>
  <sheetViews>
    <sheetView topLeftCell="A41" workbookViewId="0">
      <selection activeCell="D47" sqref="D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[Table("MstLgwAdoCallingLight")]
	[Index(nameof(Code), Name="IX_MstLgwAdoCallingLight_Code")]
	[Index(nameof(LightName), Name="IX_MstLgwAdoCallingLight_LightName")]
	public class MstLgwAdoCallingLight: FullAuditedEntity&lt;long&gt;, IEntity&lt;long&gt;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[StringLength(MaxCodeLength)]
		public virtual string Code { get; set; }
		[StringLength(MaxLightNameLength)]
		public virtual string LightName { get; set; }
		[StringLength(MaxProdLineLength)]
		public virtual string ProdLine { get; set; }
		[StringLength(MaxProcessLength)]
		public virtual string Process { get; set; }
		[StringLength(MaxBlockCodeLength)]
		public virtual string BlockCode { get; set; }
		[StringLength(MaxBlockDescriptionLength)]
		public virtual string BlockDescription { get; set; }
		[StringLength(MaxSortingLength)]
		public virtual string Sorting { get; set; }
		public virtual int SignalId { get; set; }
		[StringLength(MaxSignalCodeLength)]
		public virtual string SignalCode { get; set; }
	}
}
</v>
      </c>
      <c r="D47" s="51" t="str">
        <f>A.Backend!O7</f>
        <v xml:space="preserve">		public const string Pages_Master_LogW_AdoCallingLight = "Pages.Master.LogW.AdoCallingLight";
		public const string Pages_Master_LogW_AdoCallingLight_CreateEdit = "Pages.Master.LogW.AdoCallingLight.CreateEdit";
		public const string Pages_Master_LogW_AdoCallingLight_Delete = "Pages.Master.LogW.AdoCallingLight.Delete";
</v>
      </c>
      <c r="E47" s="51" t="str">
        <f>A.Backend!N7</f>
        <v xml:space="preserve">		var perMstLgwAdoCallingLight = PARENTS.CreateChildPermission(AppPermissions.Pages_Master_LogW_AdoCallingLight, L( "MasterLogWAdoCallingLight"));
		perMstLgwAdoCallingLight.CreateChildPermission(AppPermissions.Pages_Master_LogW_AdoCallingLight_CreateEdit, L( "MasterLogWAdoCallingLightCreateEdit"));
		perMstLgwAdoCallingLight.CreateChildPermission(AppPermissions.Pages_Master_LogW_AdoCallingLight_Delete, L( "MasterLogWAdoCallingLightDelete"));</v>
      </c>
      <c r="F47" s="51" t="str">
        <f>A.Backend!K7</f>
        <v>public virtual DbSet&lt;MstLgwAdoCallingLight&gt; MstLgwAdoCallingLights { get; set; }</v>
      </c>
      <c r="G47" s="51" t="str">
        <f ca="1">A.Backend!L7</f>
        <v xml:space="preserve">namespace vovina.Master.LogW
{
	public class MstLgwAdoCallingLightConsts	
	{
		public const int MaxCodeLength = 50;
		public const int MaxLightNameLength = 200;
		public const int MaxProdLineLength = 50;
		public const int MaxProcessLength = 50;
		public const int MaxBlockCodeLength = 50;
		public const int MaxBlockDescriptionLength = 250;
		public const int MaxSortingLength = 50;
		public const int MaxSignalCodeLength = 50;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MstLgwAdoCallingLightDto : EntityDto&lt;long?&gt;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}
	public class CreateOrEditMstLgwAdoCallingLightDto : EntityDto&lt;long?&gt;	
	{
		[StringLength(MstLgwAdoCallingLightConsts.MaxCodeLength)]
		public virtual string Code { get; set; }
		[StringLength(MstLgwAdoCallingLightConsts.MaxLightNameLength)]
		public virtual string LightName { get; set; }
		[StringLength(MstLgwAdoCallingLightConsts.MaxProdLineLength)]
		public virtual string ProdLine { get; set; }
		[StringLength(MstLgwAdoCallingLightConsts.MaxProcessLength)]
		public virtual string Process { get; set; }
		[StringLength(MstLgwAdoCallingLightConsts.MaxBlockCodeLength)]
		public virtual string BlockCode { get; set; }
		[StringLength(MstLgwAdoCallingLightConsts.MaxBlockDescriptionLength)]
		public virtual string BlockDescription { get; set; }
		[StringLength(MstLgwAdoCallingLightConsts.MaxSortingLength)]
		public virtual string Sorting { get; set; }
		public virtual int SignalId { get; set; }
		[StringLength(MstLgwAdoCallingLightConsts.MaxSignalCodeLength)]
		public virtual string SignalCode { get; set; }
	}
	public class GetMstLgwAdoCallingLightInput : PagedAndSortedResultRequestDto	
	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MstLgwAdoCallingLightExportInput{
		public virtual string Code { get; set; }
		public virtual string LightName { get; set; }
		public virtual string ProdLine { get; set; }
		public virtual string Process { get; set; }
		public virtual string BlockCode { get; set; }
		public virtual string BlockDescription { get; set; }
		public virtual string Sorting { get; set; }
		public virtual int SignalId { get; set; }
		public virtual string SignalCode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IMstLgwAdoCallingLightAppService : IApplicationService
	{
		Task&lt;PagedResultDto&lt;MstLgwAdoCallingLightDto&gt;&gt; GetAll(GetMstLgwAdoCallingLightInput input);
		Task CreateOrEdit(CreateOrEditMstLgwAdoCallingLightDto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IMstLgwAdoCallingLightExcelExporter : IApplicationService
	{
		FileDto ExportToFile(List&lt;MstLgwAdoCallingLightDto&gt; mstlgwadocallinglight);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MstLgwAdoCallingLightExcelExporter : NpoiExcelExporterBase, IMstLgwAdoCallingLightExcelExporter
    {
        public MstLgwAdoCallingLightExcelExporter(ITempFileCacheManager tempFileCacheManager) : base(tempFileCacheManager) { }
        public FileDto ExportToFile(List&lt;MstLgwAdoCallingLightDto&gt; adocallinglight)
        {
            return CreateExcelPackage(
				"MasterLogWAdoCallingLight.xlsx",
				excelPackage =&gt;
				 {
					var sheet = excelPackage.CreateSheet("AdoCallingLight");
					AddHeader(
								sheet,
								("Code"),
								("LightName"),
								("ProdLine"),
								("Process"),
								("BlockCode"),
								("BlockDescription"),
								("Sorting"),
								("SignalId"),
								("SignalCode"),
							   );
					AddObjects(
						 sheet, 1, adocallinglight,                                       
								_ =&gt; _.Code,
								_ =&gt; _.LightName,
								_ =&gt; _.ProdLine,
								_ =&gt; _.Process,
								_ =&gt; _.BlockCode,
								_ =&gt; _.BlockDescription,
								_ =&gt; _.Sorting,
								_ =&gt; _.SignalId,
								_ =&gt; _.SignalCode,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[AbpAuthorize(AppPermissions.Pages_Master_LogW_AdoCallingLight)]
    public class MstLgwAdoCallingLightAppService : vovinaAppServiceBase, IMstLgwAdoCallingLightAppService
    {
        private readonly IDapperRepository&lt;MstLgwAdoCallingLight, long&gt; _dapperRepo;
        private readonly IRepository&lt;MstLgwAdoCallingLight, long&gt; _repo;
        private readonly IMstLgwAdoCallingLightExcelExporter _calendarListExcelExporter;
        public MstLgwAdoCallingLightAppService(IRepository&lt;MstLgwAdoCallingLight,long&gt; repo, 
                                         IDapperRepository&lt;MstLgwAdoCallingLight,long&gt; dapperRepo,
                                        IMstLgwAdoCallingLightExcelExporter calendarListExcelExporter
            )
        {
            _repo = repo;
            _dapperRepo = dapperRepo;
            _calendarListExcelExporter = calendarListExcelExporter;
        }
        [AbpAuthorize(AppPermissions.Pages_Master_LogW_AdoCallingLight_CreateEdit)]
        public async Task CreateOrEdit(CreateOrEditMstLgwAdoCallingLightDto input)
        {
            if (input.Id == null) await Create(input);
            else await Update(input);
        }
        //CREATE
        private async Task Create(CreateOrEditMstLgwAdoCallingLightDto input)
        {          
            var mainObj = ObjectMapper.Map&lt;MstLgwAdoCallingLight&gt;(input);
            await CurrentUnitOfWork.GetDbContext&lt;vovinaDbContext&gt;().AddAsync(mainObj);
        }
        // EDIT
        private async Task Update(CreateOrEditMstLgwAdoCallingLightDto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[AbpAuthorize(AppPermissions.Pages_Master_LogW_AdoCallingLight_Delete)]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Task&lt;PagedResultDto&lt;MstLgwAdoCallingLightDto&gt;&gt; GetAll(GetMstLgwAdoCallingLightInput input)
        {
            var filtered = _repo.GetAll()
				.WhereIf(!string.IsNullOrWhiteSpace(input.Code), e =&gt; e.Code.Contains(input.Code))
				.WhereIf(!string.IsNullOrWhiteSpace(input.LightName), e =&gt; e.LightName.Contains(input.LightName))
				.WhereIf(!string.IsNullOrWhiteSpace(input.ProdLine), e =&gt; e.ProdLine.Contains(input.ProdLine))
				.WhereIf(!string.IsNullOrWhiteSpace(input.Process), e =&gt; e.Process.Contains(input.Process))
				.WhereIf(!string.IsNullOrWhiteSpace(input.BlockCode), e =&gt; e.BlockCode.Contains(input.BlockCode))
				.WhereIf(!string.IsNullOrWhiteSpace(input.BlockDescription), e =&gt; e.BlockDescription.Contains(input.BlockDescription))
				.WhereIf(!string.IsNullOrWhiteSpace(input.Sorting), e =&gt; e.Sorting.Contains(input.Sorting))
				.WhereIf(!string.IsNullOrWhiteSpace(input.SignalCode), e =&gt; e.SignalCode.Contains(input.SignalCode))                   
				;
            var pageAndFiltered = filtered.OrderBy(s =&gt; s.Id);
            var system = from o in pageAndFiltered
                         select new MstLgwAdoCallingLightDto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                        };
            var totalCount = await filtered.CountAsync();
			var paged = system.PageBy(input);
            return new PagedResultDto&lt;MstLgwAdoCallingLightDto&gt;(
                totalCount,
                 await paged.ToListAsync()
            );
        }
        public async Task&lt;FileDto&gt; GetAdoCallingLightToExcel(MstLgwAdoCallingLightExportInput input)
        {
            var query = from o in _repo.GetAll()
                        select new MstLgwAdoCallingLightDto
                        {
							Id = o.Id,
							Code = o.Code,
							LightName = o.LightName,
							ProdLine = o.ProdLine,
							Process = o.Process,
							BlockCode = o.BlockCode,
							BlockDescription = o.BlockDescription,
							Sorting = o.Sorting,
							SignalId = o.SignalId,
							SignalCode = o.SignalCode,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_dapperRepo.ExecuteAsync(MstLgwAdoCallingLightConsts.SP_MST_WPT_CALENDAR_GENERATE);
       // }
    }
}</v>
      </c>
      <c r="N47" s="62" t="str">
        <f>A.Backend!U7</f>
        <v xml:space="preserve">  configuration.CreateMap&lt;MstLgwAdoCallingLightDto, MstLgwAdoCallingLight&gt;();
  configuration.CreateMap&lt;MstLgwAdoCallingLight, MstLgwAdoCallingLightDto&gt;();
  configuration.CreateMap&lt;CreateOrEditMstLgwAdoCallingLightDto, MstLgwAdoCallingLight&gt;();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adocallinglight</v>
      </c>
      <c r="C52" s="73" t="str">
        <f>"create folder " &amp;B52</f>
        <v>create folder adocallinglight</v>
      </c>
      <c r="D52" s="73"/>
      <c r="E52" s="73"/>
      <c r="F52" s="73"/>
      <c r="G52" s="73"/>
      <c r="H52" s="73"/>
      <c r="I52" s="73"/>
      <c r="J52" s="73"/>
      <c r="K52" s="74" t="s">
        <v>228</v>
      </c>
      <c r="L52" s="74"/>
      <c r="M52" s="31"/>
    </row>
    <row r="53" spans="2:13" s="28" customFormat="1" ht="18" customHeight="1" x14ac:dyDescent="0.25">
      <c r="B53" s="60" t="s">
        <v>229</v>
      </c>
      <c r="C53" s="31" t="str">
        <f>B.Frontend!H14</f>
        <v>adocallinglight.component.ts</v>
      </c>
      <c r="D53" s="31" t="str">
        <f>B.Frontend!I14</f>
        <v>adocallinglight.component.html</v>
      </c>
      <c r="E53" s="31" t="str">
        <f>B.Frontend!J14</f>
        <v>adocallinglight.component.less</v>
      </c>
      <c r="F53" s="31" t="str">
        <f>B.Frontend!K14</f>
        <v>create-or-edit-adocallinglight-modal.component.html</v>
      </c>
      <c r="G53" s="31" t="str">
        <f>B.Frontend!L14</f>
        <v>create-or-edit-adocallinglight-modal.component.ts</v>
      </c>
      <c r="H53" s="31" t="str">
        <f>B.Frontend!M14</f>
        <v>create-or-edit-adocallinglight-modal.component.less</v>
      </c>
      <c r="I53" s="31" t="str">
        <f>B.Frontend!N14</f>
        <v>adocallinglight.module.ts</v>
      </c>
      <c r="J53" s="31" t="str">
        <f>B.Frontend!O14</f>
        <v>adocallinglight-routing.module.ts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MstLgwAdoCallingLightDto, MstLgwAdoCallingLightServiceProxy } from '@shared/service-proxies/service-proxies';
import { finalize } from 'rxjs/internal/operators/finalize';
import { CreateOrEditAdoCallingLightModalComponent } from './create-or-edit-adocallinglight-modal.component';
import { DatePipe } from '@angular/common';
import { FileDownloadService } from '@shared/utils/file-download.service';
import ceil from 'lodash-es/ceil';
import { Paginator } from 'primeng/paginator';
@Component({
    templateUrl: './adocallinglight.component.html',
    styleUrls: ['./adocallinglight.component.less'],
})
export class AdoCallingLightComponent extends AppComponentBase implements OnInit {
    @ViewChild('createOrEditModalAdoCallingLight', { static: true }) createOrEditModalAdoCallingLight:| CreateOrEditAdoCallingLightModalComponent|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MstLgwAdoCallingLightDto = new MstLgwAdoCallingLightDto();
    saveSelectedRow: MstLgwAdoCallingLightDto = new MstLgwAdoCallingLightDto();
    datas: MstLgwAdoCallingLightDto = new MstLgwAdoCallingLightDto();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lightName : string = '' ; 
	prodLine : string = '' ; 
	process : string = '' ; 
	blockCode : string = '' ; 
	blockDescription : string = '' ; 
sorting : string = '' ; 
	signalId : number = 0 ;
signalCode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MstLgwAdoCallingLightServiceProxy,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this.l('Light Name'),headerTooltip: this.l('Light Name'),field: 'lightName',flex: 1},
			{headerName: this.l('Prod Line'),headerTooltip: this.l('Prod Line'),field: 'prodLine',flex: 1},
			{headerName: this.l('Process'),headerTooltip: this.l('Process'),field: 'process',flex: 1},
			{headerName: this.l('Block Code'),headerTooltip: this.l('Block Code'),field: 'blockCode',flex: 1},
			{headerName: this.l('Block Description'),headerTooltip: this.l('Block Description'),field: 'blockDescription',flex: 1},
			{headerName: this.l('Sorting'),headerTooltip: this.l('Sorting'),field: 'sorting',flex: 1},
			{headerName: this.l('Signal Id'),headerTooltip: this.l('Signal Id'),field: 'signalId',flex: 1},
			{headerName: this.l('Signal Code'),headerTooltip: this.l('Signal Code'),field: 'signalCode',flex: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this.lightName,
			this.prodLine,
			this.process,
			this.blockCode,
			this.blockDescription,
			this.sorting,
			this.signalId,
			this.signalCode,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this.lightName = '',
		this.prodLine = '',
		this.process = '',
		this.blockCode = '',
		this.blockDescription = '',
this.sorting = '',
		this.signalId = 0,
this.signalCode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this.lightName,
			this.prodLine,
			this.process,
			this.blockCode,
			this.blockDescription,
			this.sorting,
			this.signalId,
			this.signalCode,
			'',
            this.paginationParams.skipCount,
            this.paginationParams.pageSize
        );
    }
    onChangeRowSelection(params: { api: { getSelectedRows: () =&gt; MstLgwAdoCallingLightDto[] } }) {
        this.saveSelectedRow = params.api.getSelectedRows()[0] ?? new MstLgwAdoCallingLightDto();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MstLgwAdoCallingLightDto):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this._service.getAdoCallingLightToExcel(
			this.code,
			this.lightName,
			this.prodLine,
			this.process,
			this.blockCode,
			this.blockDescription,
			this.sorting,
			this.signalId,
			this.signalCode,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MstLgwAdoCallingLight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[(ngModel)]='lightName' name='lightName'
									class='form-control' [placeholder]="l('Light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[(ngModel)]='blockCode' name='blockCode'
									class='form-control' [placeholder]="l('Block Code')"
									type='text' (keyup.enter)='searchDatas()'&gt;
								&lt;/div&gt;
								&lt;div class='input-search'&gt;
									&lt;input [(ngModel)]='blockDescription' name='blockDescription'
									class='form-control' [placeholder]="l('Block Description')"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(click)="createOrEditModalAdoCallingLight.show()"&gt;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(click)="createOrEditModalAdoCallingLight.show(selectedRow)"&gt;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&lt;create-or-edit-adocallinglight-modal
    #createOrEditModalAdoCallingLight
    (modalSave)="callBackDataGrid(dataParams)"
    (modalClose)="onChangeRowSelection(dataParams)"
&gt;
&lt;/create-or-edit-adocallinglight-modal&gt;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#createOrEditModalAdoCallingLight="bs-modal"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AdoCallingLight')}}&lt;/h3&gt;
                    &lt;h3 *ngIf="!rowdata.id"&gt;{{('Create New AdoCallingLight')}}&lt;/h3&gt;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title'&gt;Light Name&lt;/label&gt;
						&lt;input type='text' class='col-md-10 form-control input-text' name='LightName' [(ngModel)]='rowdata.lightName'&gt;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title'&gt;Block Code&lt;/label&gt;
						&lt;input type='text' class='col-md-10 form-control input-text' name='BlockCode' [(ngModel)]='rowdata.blockCode'&gt;
					&lt;/div&gt;
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
					&lt;div class='col-md-12 form-group row'&gt;
						&lt;label class='col-md-2 form-control title'&gt;Sorting&lt;/label&gt;
						&lt;input type='text' class='col-md-10 form-control input-text' name='Sorting' [(ngModel)]='rowdata.sorting'&gt;
					&lt;/div&gt;
					&lt;div class='col-md-12 form-group row'&gt;
						&lt;label class='col-md-2 form-control title'&gt;Signal Id&lt;/label&gt;
						&lt;input type='number' class='col-md-10 form-control input-text' name='SignalId' [(ngModel)]='rowdata.signalId'&gt;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CreateOrEditMstLgwAdoCallingLightDto, MstLgwAdoCallingLightServiceProxy } from '@shared/service-proxies/service-proxies';
import { BsDatepickerDirective } from 'ngx-bootstrap/datepicker';
@Component({
    selector: 'create-or-edit-adocallinglight-modal',
    templateUrl: './create-or-edit-adocallinglight-modal.component.html',
    styleUrls: ['./create-or-edit-adocallinglight-modal.component.less']
    })
export class CreateOrEditAdoCallingLightModalComponent extends AppComponentBase {
    @ViewChild('createOrEditModalAdoCallingLight',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CreateOrEditMstLgwAdoCallingLightDto = new CreateOrEditMstLgwAdoCallingLightDto();
    active: boolean = false;
    saving: boolean = false;
    _: boolean;
    constructor(
        injector: Injector,
        private _mstwptAdoCallingLightService: MstLgwAdoCallingLightServiceProxy,
    ) 
    {
        super(injector);
    }
    show(rowdata?: CreateOrEditMstLgwAdoCallingLightDto): void {
        if (!rowdata) this.rowdata = new CreateOrEditMstLgwAdoCallingLightDto();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this._mstwptAdoCallingLightService.createOrEdit(this.rowdata)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AdoCallingLightRoutingModule } from './adocallinglight-routing.module';
import { AdoCallingLightComponent } from './adocallinglight.component';
import { CreateOrEditAdoCallingLightModalComponent } from './create-or-edit-adocallinglight-modal.component';
@NgModule({
    declarations: [
       AdoCallingLightComponent, 
        CreateOrEditAdoCallingLightModalComponent
    ],
    imports: [
        AppSharedModule, AdoCallingLightRoutingModule]
})
export class AdoCallingLightModule {}</v>
      </c>
      <c r="J54" s="49" t="str">
        <f>B.Frontend!O10</f>
        <v>import {NgModule} from '@angular/core';
import {RouterModule, Routes} from '@angular/router';
import { AdoCallingLightComponent } from './adocallinglight.component';
const routes: Routes = [{
    path: '',
    component: AdoCallingLightComponent,
    pathMatch: 'full'
}];
@NgModule({
    imports: [RouterModule.forChild(routes)],
    exports: [RouterModule],
})
export class AdoCallingLightRoutingModule {}</v>
      </c>
      <c r="K54" s="49" t="str">
        <f>B.Frontend!P10</f>
        <v xml:space="preserve"> new AppMenuItem("AdoCallingLight", "Pages.Master.LogW.AdoCallingLight", "flaticon-book",   "/app/main/master/logw/adocallinglight"),</v>
      </c>
      <c r="L54" s="50" t="str">
        <f>B.Frontend!Q10</f>
        <v>{
    path: 'master/logw/adocallinglight',
    loadChildren: () =&gt; import('./master/logw/adocallinglight/adocallinglight.module').then(m =&gt; m.AdoCallingLightModule),
    data: { permission: 'Pages.Master.LogW.AdoCallingLight' }
},</v>
      </c>
      <c r="M54" s="48" t="str">
        <f>B.Frontend!R10</f>
        <v>ApiServiceProxies.MstLgwAdoCallingLightServiceProxy,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4"/>
  <sheetViews>
    <sheetView workbookViewId="0">
      <selection activeCell="C33" sqref="C3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MstLgwAdoCallingLight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AdoCallingLight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adocallinglight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MstLgwAdoCallingLightDto, MstLgwAdoCallingLightServiceProxy } from '@shared/service-proxies/service-proxies';
import { finalize } from 'rxjs/internal/operators/finalize';
import { CreateOrEditAdoCallingLightModalComponent } from './create-or-edit-adocallinglight-modal.component';
import { DatePipe } from '@angular/common';
import { FileDownloadService } from '@shared/utils/file-download.service';
import ceil from 'lodash-es/ceil';
import { Paginator } from 'primeng/paginator';
@Component({
    templateUrl: './adocallinglight.component.html',
    styleUrls: ['./adocallinglight.component.less'],
})
export class AdoCallingLightComponent extends AppComponentBase implements OnInit {
    @ViewChild('createOrEditModalAdoCallingLight', { static: true }) createOrEditModalAdoCallingLight:| CreateOrEditAdoCallingLightModalComponent|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MstLgwAdoCallingLightDto = new MstLgwAdoCallingLightDto();
    saveSelectedRow: MstLgwAdoCallingLightDto = new MstLgwAdoCallingLightDto();
    datas: MstLgwAdoCallingLightDto = new MstLgwAdoCallingLightDto();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lightName : string = '' ; 
	prodLine : string = '' ; 
	process : string = '' ; 
	blockCode : string = '' ; 
	blockDescription : string = '' ; 
sorting : string = '' ; 
	signalId : number = 0 ;
signalCode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MstLgwAdoCallingLightServiceProxy,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this.l('Light Name'),headerTooltip: this.l('Light Name'),field: 'lightName',flex: 1},
			{headerName: this.l('Prod Line'),headerTooltip: this.l('Prod Line'),field: 'prodLine',flex: 1},
			{headerName: this.l('Process'),headerTooltip: this.l('Process'),field: 'process',flex: 1},
			{headerName: this.l('Block Code'),headerTooltip: this.l('Block Code'),field: 'blockCode',flex: 1},
			{headerName: this.l('Block Description'),headerTooltip: this.l('Block Description'),field: 'blockDescription',flex: 1},
			{headerName: this.l('Sorting'),headerTooltip: this.l('Sorting'),field: 'sorting',flex: 1},
			{headerName: this.l('Signal Id'),headerTooltip: this.l('Signal Id'),field: 'signalId',flex: 1},
			{headerName: this.l('Signal Code'),headerTooltip: this.l('Signal Code'),field: 'signalCode',flex: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this.lightName,
			this.prodLine,
			this.process,
			this.blockCode,
			this.blockDescription,
			this.sorting,
			this.signalId,
			this.signalCode,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this.lightName = '',
		this.prodLine = '',
		this.process = '',
		this.blockCode = '',
		this.blockDescription = '',
this.sorting = '',
		this.signalId = 0,
this.signalCode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this.lightName,
			this.prodLine,
			this.process,
			this.blockCode,
			this.blockDescription,
			this.sorting,
			this.signalId,
			this.signalCode,
			'',
            this.paginationParams.skipCount,
            this.paginationParams.pageSize
        );
    }
    onChangeRowSelection(params: { api: { getSelectedRows: () =&gt; MstLgwAdoCallingLightDto[] } }) {
        this.saveSelectedRow = params.api.getSelectedRows()[0] ?? new MstLgwAdoCallingLightDto();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MstLgwAdoCallingLightDto):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this._service.getAdoCallingLightToExcel(
			this.code,
			this.lightName,
			this.prodLine,
			this.process,
			this.blockCode,
			this.blockDescription,
			this.sorting,
			this.signalId,
			this.signalCode,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MstLgwAdoCallingLight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[(ngModel)]='lightName' name='lightName'
									class='form-control' [placeholder]="l('Light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[(ngModel)]='blockCode' name='blockCode'
									class='form-control' [placeholder]="l('Block Code')"
									type='text' (keyup.enter)='searchDatas()'&gt;
								&lt;/div&gt;
								&lt;div class='input-search'&gt;
									&lt;input [(ngModel)]='blockDescription' name='blockDescription'
									class='form-control' [placeholder]="l('Block Description')"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(click)="createOrEditModalAdoCallingLight.show()"&gt;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(click)="createOrEditModalAdoCallingLight.show(selectedRow)"&gt;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&lt;create-or-edit-adocallinglight-modal
    #createOrEditModalAdoCallingLight
    (modalSave)="callBackDataGrid(dataParams)"
    (modalClose)="onChangeRowSelection(dataParams)"
&gt;
&lt;/create-or-edit-adocallinglight-modal&gt;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#createOrEditModalAdoCallingLight="bs-modal"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AdoCallingLight')}}&lt;/h3&gt;
                    &lt;h3 *ngIf="!rowdata.id"&gt;{{('Create New AdoCallingLight')}}&lt;/h3&gt;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title'&gt;Light Name&lt;/label&gt;
						&lt;input type='text' class='col-md-10 form-control input-text' name='LightName' [(ngModel)]='rowdata.lightName'&gt;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title'&gt;Block Code&lt;/label&gt;
						&lt;input type='text' class='col-md-10 form-control input-text' name='BlockCode' [(ngModel)]='rowdata.blockCode'&gt;
					&lt;/div&gt;
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
					&lt;div class='col-md-12 form-group row'&gt;
						&lt;label class='col-md-2 form-control title'&gt;Sorting&lt;/label&gt;
						&lt;input type='text' class='col-md-10 form-control input-text' name='Sorting' [(ngModel)]='rowdata.sorting'&gt;
					&lt;/div&gt;
					&lt;div class='col-md-12 form-group row'&gt;
						&lt;label class='col-md-2 form-control title'&gt;Signal Id&lt;/label&gt;
						&lt;input type='number' class='col-md-10 form-control input-text' name='SignalId' [(ngModel)]='rowdata.signalId'&gt;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CreateOrEditMstLgwAdoCallingLightDto, MstLgwAdoCallingLightServiceProxy } from '@shared/service-proxies/service-proxies';
import { BsDatepickerDirective } from 'ngx-bootstrap/datepicker';
@Component({
    selector: 'create-or-edit-adocallinglight-modal',
    templateUrl: './create-or-edit-adocallinglight-modal.component.html',
    styleUrls: ['./create-or-edit-adocallinglight-modal.component.less']
    })
export class CreateOrEditAdoCallingLightModalComponent extends AppComponentBase {
    @ViewChild('createOrEditModalAdoCallingLight',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CreateOrEditMstLgwAdoCallingLightDto = new CreateOrEditMstLgwAdoCallingLightDto();
    active: boolean = false;
    saving: boolean = false;
    _: boolean;
    constructor(
        injector: Injector,
        private _mstwptAdoCallingLightService: MstLgwAdoCallingLightServiceProxy,
    ) 
    {
        super(injector);
    }
    show(rowdata?: CreateOrEditMstLgwAdoCallingLightDto): void {
        if (!rowdata) this.rowdata = new CreateOrEditMstLgwAdoCallingLightDto();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this._mstwptAdoCallingLightService.createOrEdit(this.rowdata)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AdoCallingLightRoutingModule } from './adocallinglight-routing.module';
import { AdoCallingLightComponent } from './adocallinglight.component';
import { CreateOrEditAdoCallingLightModalComponent } from './create-or-edit-adocallinglight-modal.component';
@NgModule({
    declarations: [
       AdoCallingLightComponent, 
        CreateOrEditAdoCallingLightModalComponent
    ],
    imports: [
        AppSharedModule, AdoCallingLightRoutingModule]
})
export class AdoCallingLightModule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AdoCallingLightComponent } from './adocallinglight.component';
const routes: Routes = [{
    path: '',
    component: AdoCallingLightComponent,
    pathMatch: 'full'
}];
@NgModule({
    imports: [RouterModule.forChild(routes)],
    exports: [RouterModule],
})
export class AdoCallingLightRoutingModule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AppMenuItem("AdoCallingLight", "Pages.Master.LogW.AdoCallingLight", "flaticon-book",   "/app/main/master/logw/adocallinglight"),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'master/logw/adocallinglight',
    loadChildren: () =&gt; import('./master/logw/adocallinglight/adocallinglight.module').then(m =&gt; m.AdoCallingLightModule),
    data: { permission: 'Pages.Master.LogW.AdoCallingLight' }
},</v>
      </c>
      <c r="R10" s="50" t="str">
        <f>SUBSTITUTE(R9,"MstWptCalendar",$B$6)</f>
        <v>ApiServiceProxies.MstLgwAdoCallingLightServiceProxy,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H23</v>
      </c>
      <c r="I12" s="31" t="str">
        <f>"I"&amp;COUNTA($A:$A)</f>
        <v>I23</v>
      </c>
      <c r="J12" s="31"/>
      <c r="K12" s="31" t="str">
        <f>"K"&amp;COUNTA($A:$A)</f>
        <v>K23</v>
      </c>
      <c r="L12" s="31" t="str">
        <f>"L"&amp;COUNTA($A:$A)</f>
        <v>L23</v>
      </c>
      <c r="M12" s="31"/>
      <c r="N12" s="31"/>
      <c r="O12" s="31"/>
      <c r="P12" s="31"/>
      <c r="Q12" s="31"/>
      <c r="R12" s="31"/>
      <c r="S12" s="31" t="str">
        <f>"S"&amp;COUNTA($A:$A)</f>
        <v>S23</v>
      </c>
      <c r="T12" s="31" t="str">
        <f>"T"&amp;COUNTA($A:$A)</f>
        <v>T23</v>
      </c>
      <c r="U12" s="31" t="str">
        <f>"U"&amp;COUNTA($A:$A)</f>
        <v>U23</v>
      </c>
      <c r="V12" s="31" t="str">
        <f>"V"&amp;COUNTA($A:$A)</f>
        <v>V23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this.l('Light Name'),headerTooltip: this.l('Light Name'),field: 'lightName',flex: 1},
			{headerName: this.l('Prod Line'),headerTooltip: this.l('Prod Line'),field: 'prodLine',flex: 1},
			{headerName: this.l('Process'),headerTooltip: this.l('Process'),field: 'process',flex: 1},
			{headerName: this.l('Block Code'),headerTooltip: this.l('Block Code'),field: 'blockCode',flex: 1},
			{headerName: this.l('Block Description'),headerTooltip: this.l('Block Description'),field: 'blockDescription',flex: 1},
			{headerName: this.l('Sorting'),headerTooltip: this.l('Sorting'),field: 'sorting',flex: 1},
			{headerName: this.l('Signal Id'),headerTooltip: this.l('Signal Id'),field: 'signalId',flex: 1},
			{headerName: this.l('Signal Code'),headerTooltip: this.l('Signal Code'),field: 'signalCode',flex: 1},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[(ngModel)]='lightName' name='lightName'
									class='form-control' [placeholder]="l('Light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[(ngModel)]='blockCode' name='blockCode'
									class='form-control' [placeholder]="l('Block Code')"
									type='text' (keyup.enter)='searchDatas()'&gt;
								&lt;/div&gt;
								&lt;div class='input-search'&gt;
									&lt;input [(ngModel)]='blockDescription' name='blockDescription'
									class='form-control' [placeholder]="l('Block Description')"
									type='text' (keyup.enter)='searchDatas()'&gt;
								&lt;/div&gt;
								&lt;div class='input-search'&gt;
									&lt;input [(ngModel)]='sorting' name='sorting'
									class='form-control' [placeholder]="l('Sorting')"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title'&gt;Light Name&lt;/label&gt;
						&lt;input type='text' class='col-md-10 form-control input-text' name='LightName' [(ngModel)]='rowdata.lightName'&gt;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title'&gt;Block Code&lt;/label&gt;
						&lt;input type='text' class='col-md-10 form-control input-text' name='BlockCode' [(ngModel)]='rowdata.blockCode'&gt;
					&lt;/div&gt;
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
					&lt;div class='col-md-12 form-group row'&gt;
						&lt;label class='col-md-2 form-control title'&gt;Sorting&lt;/label&gt;
						&lt;input type='text' class='col-md-10 form-control input-text' name='Sorting' [(ngModel)]='rowdata.sorting'&gt;
					&lt;/div&gt;
					&lt;div class='col-md-12 form-group row'&gt;
						&lt;label class='col-md-2 form-control title'&gt;Signal Id&lt;/label&gt;
						&lt;input type='number' class='col-md-10 form-control input-text' name='SignalId' [(ngModel)]='rowdata.signalId'&gt;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lightName : string = '' ; 
	prodLine : string = '' ; 
	process : string = '' ; 
	blockCode : string = '' ; 
	blockDescription : string = '' ; 
sorting : string = '' ; 
	signalId : number = 0 ;
signalCode : string = '' ; </v>
      </c>
      <c r="T13" s="68" t="str">
        <f ca="1">TEXTJOIN2("
",TRUE,INDIRECT(T11):INDIRECT(T12))</f>
        <v xml:space="preserve">			this.code,
			this.lightName,
			this.prodLine,
			this.process,
			this.blockCode,
			this.blockDescription,
			this.sorting,
			this.signalId,
			this.signalCode,</v>
      </c>
      <c r="U13" s="68" t="str">
        <f ca="1">TEXTJOIN2("
",TRUE,INDIRECT(U11):INDIRECT(U12))</f>
        <v>this.code = '',
		this.lightName = '',
		this.prodLine = '',
		this.process = '',
		this.blockCode = '',
		this.blockDescription = '',
this.sorting = '',
		this.signalId = 0,
this.signalCode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adocallinglight.component.ts</v>
      </c>
      <c r="I14" s="40" t="str">
        <f>B8&amp;".component.html"</f>
        <v>adocallinglight.component.html</v>
      </c>
      <c r="J14" s="39" t="str">
        <f>B8&amp;".component.less"</f>
        <v>adocallinglight.component.less</v>
      </c>
      <c r="K14" s="40" t="str">
        <f>"create-or-edit-"&amp;B8&amp;"-modal.component.html"</f>
        <v>create-or-edit-adocallinglight-modal.component.html</v>
      </c>
      <c r="L14" s="40" t="str">
        <f>"create-or-edit-"&amp;B8&amp;"-modal.component.ts"</f>
        <v>create-or-edit-adocallinglight-modal.component.ts</v>
      </c>
      <c r="M14" s="40" t="str">
        <f>"create-or-edit-"&amp;B8&amp;"-modal.component.less"</f>
        <v>create-or-edit-adocallinglight-modal.component.less</v>
      </c>
      <c r="N14" s="40" t="str">
        <f>B8&amp;".module.ts"</f>
        <v>adocallinglight.module.ts</v>
      </c>
      <c r="O14" s="40" t="str">
        <f>B8&amp;"-routing.module.ts"</f>
        <v>adocallinglight-routing.module.ts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t="s">
        <v>307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t="s">
        <v>308</v>
      </c>
      <c r="B16" s="31" t="str">
        <f t="shared" ref="B16:B18" si="0">SUBSTITUTE(PROPER(A16),"_","")</f>
        <v>LightName</v>
      </c>
      <c r="C16" s="31" t="str">
        <f t="shared" ref="C16:C18" si="1">SUBSTITUTE(PROPER(A16),"_"," ")</f>
        <v>Light Name</v>
      </c>
      <c r="D16" s="31" t="str">
        <f t="shared" ref="D16:D18" si="2">LOWER(LEFT(B16,1))&amp;RIGHT(B16,LEN(B16) - 1)</f>
        <v>lightName</v>
      </c>
      <c r="E16" s="31" t="str">
        <f>A.Backend!H10</f>
        <v>string</v>
      </c>
      <c r="F16" s="31" t="str">
        <f>A.Backend!G10</f>
        <v>200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this.l('Light Name'),headerTooltip: this.l('Light Name'),field: 'lightName',flex: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[(ngModel)]='lightName' name='lightName'
									class='form-control' [placeholder]="l('Light Name')"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title'&gt;Light Name&lt;/label&gt;
						&lt;input type='text' class='col-md-10 form-control input-text' name='LightName' [(ngModel)]='rowdata.lightName'&gt;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lightName : string = '' ; </v>
      </c>
      <c r="T16" s="31" t="str">
        <f>REPT(CHAR(9),3)&amp;"this."&amp;D16&amp;","</f>
        <v xml:space="preserve">			this.lightName,</v>
      </c>
      <c r="U16" s="31" t="str">
        <f>IF(E16="int",REPT(CHAR(9),2)&amp;"this."&amp;D16&amp;" = 0,",REPT(CHAR(9),2)&amp;"this."&amp;D16&amp;" = '',")</f>
        <v xml:space="preserve">		this.lightName = '',</v>
      </c>
      <c r="V16" s="31" t="str">
        <f t="shared" ref="V16:V18" si="8">IF(AND(E16="string",F16="1"),D16,"")</f>
        <v/>
      </c>
    </row>
    <row r="17" spans="1:22" ht="18" customHeight="1" x14ac:dyDescent="0.25">
      <c r="A17" t="s">
        <v>305</v>
      </c>
      <c r="B17" s="31" t="str">
        <f t="shared" ref="B17" si="9">SUBSTITUTE(PROPER(A17),"_","")</f>
        <v>ProdLine</v>
      </c>
      <c r="C17" s="31" t="str">
        <f t="shared" ref="C17" si="10">SUBSTITUTE(PROPER(A17),"_"," ")</f>
        <v>Prod Line</v>
      </c>
      <c r="D17" s="31" t="str">
        <f t="shared" ref="D17" si="11">LOWER(LEFT(B17,1))&amp;RIGHT(B17,LEN(B17) - 1)</f>
        <v>prodLine</v>
      </c>
      <c r="E17" s="31" t="str">
        <f>A.Backend!H11</f>
        <v>string</v>
      </c>
      <c r="F17" s="31" t="str">
        <f>A.Backend!G11</f>
        <v>50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ref="H17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this.l('Prod Line'),headerTooltip: this.l('Prod Line'),field: 'prodLine',flex: 1},</v>
      </c>
      <c r="I17" s="38" t="str">
        <f t="shared" ref="I17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ref="K17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ref="L17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17">REPT(CHAR(9),1)&amp;D17&amp;G17</f>
        <v xml:space="preserve">	prodLine : string = '' ; </v>
      </c>
      <c r="T17" s="31" t="str">
        <f t="shared" ref="T17" si="18">REPT(CHAR(9),3)&amp;"this."&amp;D17&amp;","</f>
        <v xml:space="preserve">			this.prodLine,</v>
      </c>
      <c r="U17" s="31" t="str">
        <f t="shared" ref="U17" si="19">IF(E17="int",REPT(CHAR(9),2)&amp;"this."&amp;D17&amp;" = 0,",REPT(CHAR(9),2)&amp;"this."&amp;D17&amp;" = '',")</f>
        <v xml:space="preserve">		this.prodLine = '',</v>
      </c>
      <c r="V17" s="31" t="str">
        <f t="shared" ref="V17" si="20">IF(AND(E17="string",F17="1"),D17,"")</f>
        <v/>
      </c>
    </row>
    <row r="18" spans="1:22" ht="18" customHeight="1" x14ac:dyDescent="0.25">
      <c r="A18" t="s">
        <v>303</v>
      </c>
      <c r="B18" s="31" t="str">
        <f t="shared" si="0"/>
        <v>Process</v>
      </c>
      <c r="C18" s="31" t="str">
        <f t="shared" si="1"/>
        <v>Process</v>
      </c>
      <c r="D18" s="31" t="str">
        <f t="shared" si="2"/>
        <v>process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this.l('Process'),headerTooltip: this.l('Process'),field: 'process',flex: 1},</v>
      </c>
      <c r="I18" s="38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" si="21">REPT(CHAR(9),1)&amp;D18&amp;G18</f>
        <v xml:space="preserve">	process : string = '' ; </v>
      </c>
      <c r="T18" s="31" t="str">
        <f t="shared" ref="T18" si="22">REPT(CHAR(9),3)&amp;"this."&amp;D18&amp;","</f>
        <v xml:space="preserve">			this.process,</v>
      </c>
      <c r="U18" s="31" t="str">
        <f t="shared" ref="U18" si="23">IF(E18="int",REPT(CHAR(9),2)&amp;"this."&amp;D18&amp;" = 0,",REPT(CHAR(9),2)&amp;"this."&amp;D18&amp;" = '',")</f>
        <v xml:space="preserve">		this.process = '',</v>
      </c>
      <c r="V18" s="31" t="str">
        <f t="shared" si="8"/>
        <v/>
      </c>
    </row>
    <row r="19" spans="1:22" ht="18" customHeight="1" x14ac:dyDescent="0.25">
      <c r="A19" t="s">
        <v>309</v>
      </c>
      <c r="B19" s="31" t="str">
        <f>SUBSTITUTE(PROPER(A19),"_","")</f>
        <v>BlockCode</v>
      </c>
      <c r="C19" s="31" t="str">
        <f>SUBSTITUTE(PROPER(A19),"_"," ")</f>
        <v>Block Code</v>
      </c>
      <c r="D19" s="31" t="str">
        <f>LOWER(LEFT(B19,1))&amp;RIGHT(B19,LEN(B19) - 1)</f>
        <v>blockCode</v>
      </c>
      <c r="E19" s="31" t="str">
        <f>A.Backend!H13</f>
        <v>string</v>
      </c>
      <c r="F19" s="31" t="str">
        <f>A.Backend!G13</f>
        <v>50</v>
      </c>
      <c r="G19" s="31" t="str">
        <f t="shared" ref="G19:G20" si="24">IF(E19="string"," : string = '' ; ",IF(OR(E19="DateTime",E19="TimeSpan")," : any ;",IF(E19="int"," : number = 0 ;","")))</f>
        <v xml:space="preserve"> : string = '' ; </v>
      </c>
      <c r="H19" s="38" t="str">
        <f t="shared" ref="H19:H20" si="25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this.l('Block Code'),headerTooltip: this.l('Block Code'),field: 'blockCode',flex: 1},</v>
      </c>
      <c r="I19" s="38" t="str">
        <f t="shared" ref="I19:I20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[(ngModel)]='blockCode' name='blockCode'
									class='form-control' [placeholder]="l('Block Code')"
									type='text' (keyup.enter)='searchDatas()'&gt;
								&lt;/div&gt;</v>
      </c>
      <c r="J19" s="31"/>
      <c r="K19" s="38" t="str">
        <f t="shared" ref="K19:K20" si="27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title'&gt;Block Code&lt;/label&gt;
						&lt;input type='text' class='col-md-10 form-control input-text' name='BlockCode' [(ngModel)]='rowdata.blockCode'&gt;
					&lt;/div&gt;</v>
      </c>
      <c r="L19" s="60" t="str">
        <f t="shared" ref="L19:L20" si="28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:S20" si="29">REPT(CHAR(9),1)&amp;D19&amp;G19</f>
        <v xml:space="preserve">	blockCode : string = '' ; </v>
      </c>
      <c r="T19" s="31" t="str">
        <f t="shared" ref="T19:T20" si="30">REPT(CHAR(9),3)&amp;"this."&amp;D19&amp;","</f>
        <v xml:space="preserve">			this.blockCode,</v>
      </c>
      <c r="U19" s="31" t="str">
        <f t="shared" ref="U19:U20" si="31">IF(E19="int",REPT(CHAR(9),2)&amp;"this."&amp;D19&amp;" = 0,",REPT(CHAR(9),2)&amp;"this."&amp;D19&amp;" = '',")</f>
        <v xml:space="preserve">		this.blockCode = '',</v>
      </c>
      <c r="V19" s="31" t="str">
        <f t="shared" ref="V19:V20" si="32">IF(AND(E19="string",F19="1"),D19,"")</f>
        <v/>
      </c>
    </row>
    <row r="20" spans="1:22" ht="15" customHeight="1" x14ac:dyDescent="0.25">
      <c r="A20" t="s">
        <v>310</v>
      </c>
      <c r="B20" s="31" t="str">
        <f t="shared" ref="B20" si="33">SUBSTITUTE(PROPER(A20),"_","")</f>
        <v>BlockDescription</v>
      </c>
      <c r="C20" s="31" t="str">
        <f t="shared" ref="C20" si="34">SUBSTITUTE(PROPER(A20),"_"," ")</f>
        <v>Block Description</v>
      </c>
      <c r="D20" s="31" t="str">
        <f t="shared" ref="D20" si="35">LOWER(LEFT(B20,1))&amp;RIGHT(B20,LEN(B20) - 1)</f>
        <v>blockDescription</v>
      </c>
      <c r="E20" s="31" t="str">
        <f>A.Backend!H14</f>
        <v>string</v>
      </c>
      <c r="F20" s="31" t="str">
        <f>A.Backend!G14</f>
        <v>250</v>
      </c>
      <c r="G20" s="31" t="str">
        <f t="shared" si="24"/>
        <v xml:space="preserve"> : string = '' ; </v>
      </c>
      <c r="H20" s="38" t="str">
        <f t="shared" si="25"/>
        <v xml:space="preserve">			{headerName: this.l('Block Description'),headerTooltip: this.l('Block Description'),field: 'blockDescription',flex: 1},</v>
      </c>
      <c r="I20" s="38" t="str">
        <f t="shared" si="26"/>
        <v xml:space="preserve">								&lt;div class='input-search'&gt;
									&lt;input [(ngModel)]='blockDescription' name='blockDescription'
									class='form-control' [placeholder]="l('Block Description')"
									type='text' (keyup.enter)='searchDatas()'&gt;
								&lt;/div&gt;</v>
      </c>
      <c r="J20" s="31"/>
      <c r="K20" s="38" t="str">
        <f t="shared" si="27"/>
        <v xml:space="preserve">					&lt;div class='col-md-12 form-group row'&gt;
						&lt;label class='col-md-2 form-control title'&gt;Block Description&lt;/label&gt;
						&lt;input type='text' class='col-md-10 form-control input-text' name='BlockDescription' [(ngModel)]='rowdata.blockDescription'&gt;
					&lt;/div&gt;</v>
      </c>
      <c r="L20" s="60" t="str">
        <f t="shared" si="28"/>
        <v/>
      </c>
      <c r="M20" s="31"/>
      <c r="N20" s="31"/>
      <c r="O20" s="31"/>
      <c r="P20" s="31"/>
      <c r="Q20" s="31"/>
      <c r="R20" s="31"/>
      <c r="S20" s="31" t="str">
        <f t="shared" si="29"/>
        <v xml:space="preserve">	blockDescription : string = '' ; </v>
      </c>
      <c r="T20" s="31" t="str">
        <f t="shared" si="30"/>
        <v xml:space="preserve">			this.blockDescription,</v>
      </c>
      <c r="U20" s="31" t="str">
        <f t="shared" si="31"/>
        <v xml:space="preserve">		this.blockDescription = '',</v>
      </c>
      <c r="V20" s="31" t="str">
        <f t="shared" si="32"/>
        <v/>
      </c>
    </row>
    <row r="21" spans="1:22" ht="18" customHeight="1" x14ac:dyDescent="0.25">
      <c r="A21" t="s">
        <v>311</v>
      </c>
      <c r="B21" s="31" t="str">
        <f>SUBSTITUTE(PROPER(A21),"_","")</f>
        <v>Sorting</v>
      </c>
      <c r="C21" s="31" t="str">
        <f>SUBSTITUTE(PROPER(A21),"_"," ")</f>
        <v>Sorting</v>
      </c>
      <c r="D21" s="31" t="str">
        <f>LOWER(LEFT(B21,1))&amp;RIGHT(B21,LEN(B21) - 1)</f>
        <v>sorting</v>
      </c>
      <c r="E21" s="31" t="str">
        <f>A.Backend!H15</f>
        <v>string</v>
      </c>
      <c r="F21" s="31" t="str">
        <f>A.Backend!G15</f>
        <v>50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this.l('Sorting'),headerTooltip: this.l('Sorting'),field: 'sorting',flex: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[(ngModel)]='sorting' name='sorting'
									class='form-control' [placeholder]="l('Sorting')"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title'&gt;Sorting&lt;/label&gt;
						&lt;input type='text' class='col-md-10 form-control input-text' name='Sorting' [(ngModel)]='rowdata.sorting'&gt;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sorting : string = '' ; </v>
      </c>
      <c r="T21" s="31" t="str">
        <f>REPT(CHAR(9),3)&amp;"this."&amp;D21&amp;","</f>
        <v xml:space="preserve">			this.sorting,</v>
      </c>
      <c r="U21" s="31" t="str">
        <f>IF(E21="int","this."&amp;D21&amp;" = 0,","this."&amp;D21&amp;" = '',")</f>
        <v>this.sorting = '',</v>
      </c>
      <c r="V21" s="31" t="str">
        <f>IF(AND(E21="string",F21="1"),D21,"")</f>
        <v/>
      </c>
    </row>
    <row r="22" spans="1:22" ht="15" customHeight="1" x14ac:dyDescent="0.25">
      <c r="A22" t="s">
        <v>312</v>
      </c>
      <c r="B22" s="31" t="str">
        <f t="shared" ref="B22" si="36">SUBSTITUTE(PROPER(A22),"_","")</f>
        <v>SignalId</v>
      </c>
      <c r="C22" s="31" t="str">
        <f t="shared" ref="C22" si="37">SUBSTITUTE(PROPER(A22),"_"," ")</f>
        <v>Signal Id</v>
      </c>
      <c r="D22" s="31" t="str">
        <f t="shared" ref="D22" si="38">LOWER(LEFT(B22,1))&amp;RIGHT(B22,LEN(B22) - 1)</f>
        <v>signalId</v>
      </c>
      <c r="E22" s="31" t="str">
        <f>A.Backend!H16</f>
        <v>int</v>
      </c>
      <c r="F22" s="31" t="str">
        <f>A.Backend!G16</f>
        <v/>
      </c>
      <c r="G22" s="31" t="str">
        <f t="shared" ref="G22" si="39">IF(E22="string"," : string = '' ; ",IF(OR(E22="DateTime",E22="TimeSpan")," : any ;",IF(E22="int"," : number = 0 ;","")))</f>
        <v xml:space="preserve"> : number = 0 ;</v>
      </c>
      <c r="H22" s="38" t="str">
        <f t="shared" ref="H22" si="40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this.l('Signal Id'),headerTooltip: this.l('Signal Id'),field: 'signalId',flex: 1},</v>
      </c>
      <c r="I22" s="38" t="str">
        <f t="shared" ref="I22" si="41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31"/>
      <c r="K22" s="38" t="str">
        <f t="shared" ref="K22" si="42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title'&gt;Signal Id&lt;/label&gt;
						&lt;input type='number' class='col-md-10 form-control input-text' name='SignalId' [(ngModel)]='rowdata.signalId'&gt;
					&lt;/div&gt;</v>
      </c>
      <c r="L22" s="60" t="str">
        <f t="shared" ref="L22" si="43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signalId : number = 0 ;</v>
      </c>
      <c r="T22" s="31" t="str">
        <f>REPT(CHAR(9),3)&amp;"this."&amp;D22&amp;","</f>
        <v xml:space="preserve">			this.signalId,</v>
      </c>
      <c r="U22" s="31" t="str">
        <f>IF(E22="int",REPT(CHAR(9),2)&amp;"this."&amp;D22&amp;" = 0,",REPT(CHAR(9),2)&amp;"this."&amp;D22&amp;" = '',")</f>
        <v xml:space="preserve">		this.signalId = 0,</v>
      </c>
      <c r="V22" s="31" t="str">
        <f t="shared" ref="V22" si="44">IF(AND(E22="string",F22="1"),D22,"")</f>
        <v/>
      </c>
    </row>
    <row r="23" spans="1:22" ht="18" customHeight="1" x14ac:dyDescent="0.25">
      <c r="A23" s="72" t="s">
        <v>304</v>
      </c>
      <c r="B23" s="31" t="str">
        <f>SUBSTITUTE(PROPER(A23),"_","")</f>
        <v>SignalCode</v>
      </c>
      <c r="C23" s="31" t="str">
        <f>SUBSTITUTE(PROPER(A23),"_"," ")</f>
        <v>Signal Code</v>
      </c>
      <c r="D23" s="31" t="str">
        <f>LOWER(LEFT(B23,1))&amp;RIGHT(B23,LEN(B23) - 1)</f>
        <v>signalCode</v>
      </c>
      <c r="E23" s="31" t="str">
        <f>A.Backend!H17</f>
        <v>string</v>
      </c>
      <c r="F23" s="31" t="str">
        <f>A.Backend!G17</f>
        <v>50</v>
      </c>
      <c r="G23" s="31" t="str">
        <f>IF(E23="string"," : string = '' ; ",IF(OR(E23="DateTime",E23="TimeSpan")," : any ;",IF(E23="int"," : number = 0 ;","")))</f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this.l('Signal Code'),headerTooltip: this.l('Signal Code'),field: 'signalCode',flex: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[(ngModel)]='signalCode' name='signalCode'
									class='form-control' [placeholder]="l('Signal Code')"
									type='text' (keyup.enter)='searchDatas()'&gt;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D23&amp;G23</f>
        <v xml:space="preserve">signalCode : string = '' ; </v>
      </c>
      <c r="T23" s="31" t="str">
        <f>REPT(CHAR(9),3)&amp;"this."&amp;D23&amp;","</f>
        <v xml:space="preserve">			this.signalCode,</v>
      </c>
      <c r="U23" s="31" t="str">
        <f>IF(E23="int","this."&amp;D23&amp;" = 0,","this."&amp;D23&amp;" = '',")</f>
        <v>this.signalCode = '',</v>
      </c>
      <c r="V23" s="31" t="str">
        <f>IF(AND(E23="string",F23="1"),D23,"")</f>
        <v/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A.Backend</vt:lpstr>
      <vt:lpstr>Dev Guide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2023-02-27T03:16:00Z</dcterms:modified>
</cp:coreProperties>
</file>
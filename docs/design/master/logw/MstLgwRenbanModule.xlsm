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L20" i="1"/>
  <c r="G20" i="1"/>
  <c r="E20" i="1"/>
  <c r="H20" i="1" s="1"/>
  <c r="W20" i="1" s="1"/>
  <c r="D20" i="1"/>
  <c r="V20" i="1" s="1"/>
  <c r="L17" i="1"/>
  <c r="G17" i="1"/>
  <c r="E17" i="1"/>
  <c r="H17" i="1" s="1"/>
  <c r="D17" i="1"/>
  <c r="V17" i="1" s="1"/>
  <c r="L15" i="1"/>
  <c r="G15" i="1"/>
  <c r="E15" i="1"/>
  <c r="H15" i="1" s="1"/>
  <c r="D15" i="1"/>
  <c r="V15" i="1" s="1"/>
  <c r="L24" i="1"/>
  <c r="G24" i="1"/>
  <c r="E24" i="1"/>
  <c r="H24" i="1" s="1"/>
  <c r="D24" i="1"/>
  <c r="V24" i="1" s="1"/>
  <c r="T20" i="1" l="1"/>
  <c r="P20" i="1"/>
  <c r="M20" i="1"/>
  <c r="I20" i="1"/>
  <c r="N20" i="1"/>
  <c r="J20" i="1"/>
  <c r="O20" i="1"/>
  <c r="W17" i="1"/>
  <c r="N17" i="1"/>
  <c r="I17" i="1"/>
  <c r="J17" i="1"/>
  <c r="M17" i="1"/>
  <c r="O17" i="1"/>
  <c r="P17" i="1"/>
  <c r="T17" i="1"/>
  <c r="W15" i="1"/>
  <c r="O15" i="1"/>
  <c r="J15" i="1"/>
  <c r="N15" i="1"/>
  <c r="I15" i="1"/>
  <c r="M15" i="1"/>
  <c r="P15" i="1"/>
  <c r="T15" i="1"/>
  <c r="N24" i="1"/>
  <c r="I24" i="1"/>
  <c r="M24" i="1"/>
  <c r="W24" i="1"/>
  <c r="O24" i="1"/>
  <c r="J24" i="1"/>
  <c r="P24" i="1"/>
  <c r="T24" i="1"/>
  <c r="K24" i="5"/>
  <c r="C34" i="5"/>
  <c r="B34" i="5"/>
  <c r="D34" i="5" s="1"/>
  <c r="C33" i="5"/>
  <c r="B33" i="5"/>
  <c r="D33" i="5" s="1"/>
  <c r="T33" i="5" s="1"/>
  <c r="C32" i="5"/>
  <c r="B32" i="5"/>
  <c r="D32" i="5" s="1"/>
  <c r="D31" i="5"/>
  <c r="C31" i="5"/>
  <c r="B31" i="5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D23" i="5"/>
  <c r="T23" i="5" s="1"/>
  <c r="C23" i="5"/>
  <c r="B23" i="5"/>
  <c r="C22" i="5"/>
  <c r="B22" i="5"/>
  <c r="D22" i="5" s="1"/>
  <c r="C21" i="5"/>
  <c r="B21" i="5"/>
  <c r="D21" i="5" s="1"/>
  <c r="T21" i="5" s="1"/>
  <c r="I24" i="5" l="1"/>
  <c r="T32" i="5"/>
  <c r="U32" i="5"/>
  <c r="T30" i="5"/>
  <c r="T34" i="5"/>
  <c r="T22" i="5"/>
  <c r="T24" i="5"/>
  <c r="U24" i="5"/>
  <c r="T26" i="5"/>
  <c r="T28" i="5"/>
  <c r="I32" i="5"/>
  <c r="K32" i="5"/>
  <c r="G24" i="5"/>
  <c r="S24" i="5" s="1"/>
  <c r="L24" i="5"/>
  <c r="V24" i="5"/>
  <c r="T25" i="5"/>
  <c r="T27" i="5"/>
  <c r="T29" i="5"/>
  <c r="T31" i="5"/>
  <c r="G32" i="5"/>
  <c r="S32" i="5" s="1"/>
  <c r="L32" i="5"/>
  <c r="V32" i="5"/>
  <c r="H24" i="5"/>
  <c r="H32" i="5"/>
  <c r="G28" i="1" l="1"/>
  <c r="E28" i="1"/>
  <c r="H28" i="1" s="1"/>
  <c r="D28" i="1"/>
  <c r="V28" i="1" s="1"/>
  <c r="L25" i="1"/>
  <c r="G25" i="1"/>
  <c r="E25" i="1"/>
  <c r="H25" i="1" s="1"/>
  <c r="D25" i="1"/>
  <c r="V25" i="1" s="1"/>
  <c r="L23" i="1"/>
  <c r="G23" i="1"/>
  <c r="E23" i="1"/>
  <c r="H23" i="1" s="1"/>
  <c r="D23" i="1"/>
  <c r="V23" i="1" s="1"/>
  <c r="G27" i="1"/>
  <c r="E27" i="1"/>
  <c r="H27" i="1" s="1"/>
  <c r="D27" i="1"/>
  <c r="V27" i="1" s="1"/>
  <c r="G22" i="1"/>
  <c r="E22" i="1"/>
  <c r="H22" i="1" s="1"/>
  <c r="D22" i="1"/>
  <c r="V22" i="1" s="1"/>
  <c r="G21" i="1"/>
  <c r="E21" i="1"/>
  <c r="H21" i="1" s="1"/>
  <c r="D21" i="1"/>
  <c r="V21" i="1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G26" i="1"/>
  <c r="E26" i="1"/>
  <c r="H26" i="1" s="1"/>
  <c r="D26" i="1"/>
  <c r="V26" i="1" s="1"/>
  <c r="G16" i="1"/>
  <c r="E16" i="1"/>
  <c r="H16" i="1" s="1"/>
  <c r="D16" i="1"/>
  <c r="V16" i="1" s="1"/>
  <c r="G14" i="1"/>
  <c r="E14" i="1"/>
  <c r="H14" i="1" s="1"/>
  <c r="D14" i="1"/>
  <c r="V14" i="1" s="1"/>
  <c r="H21" i="5" l="1"/>
  <c r="M19" i="1"/>
  <c r="I28" i="5"/>
  <c r="K28" i="5"/>
  <c r="U28" i="5"/>
  <c r="L28" i="5"/>
  <c r="H28" i="5"/>
  <c r="G28" i="5"/>
  <c r="S28" i="5" s="1"/>
  <c r="V28" i="5"/>
  <c r="U31" i="5"/>
  <c r="G31" i="5"/>
  <c r="S31" i="5" s="1"/>
  <c r="H31" i="5"/>
  <c r="I31" i="5"/>
  <c r="K31" i="5"/>
  <c r="L31" i="5"/>
  <c r="I22" i="5"/>
  <c r="K22" i="5"/>
  <c r="L22" i="5"/>
  <c r="H22" i="5"/>
  <c r="V22" i="5"/>
  <c r="U22" i="5"/>
  <c r="G22" i="5"/>
  <c r="S22" i="5" s="1"/>
  <c r="G29" i="5"/>
  <c r="S29" i="5" s="1"/>
  <c r="V29" i="5"/>
  <c r="L29" i="5"/>
  <c r="I29" i="5"/>
  <c r="U29" i="5"/>
  <c r="H29" i="5"/>
  <c r="K29" i="5"/>
  <c r="V31" i="5"/>
  <c r="H33" i="5"/>
  <c r="V25" i="5"/>
  <c r="L25" i="5"/>
  <c r="U25" i="5"/>
  <c r="G25" i="5"/>
  <c r="S25" i="5" s="1"/>
  <c r="H25" i="5"/>
  <c r="K25" i="5"/>
  <c r="I25" i="5"/>
  <c r="N23" i="1"/>
  <c r="V33" i="5"/>
  <c r="G33" i="5"/>
  <c r="S33" i="5" s="1"/>
  <c r="L33" i="5"/>
  <c r="U33" i="5"/>
  <c r="I33" i="5"/>
  <c r="K33" i="5"/>
  <c r="G23" i="5"/>
  <c r="S23" i="5" s="1"/>
  <c r="U23" i="5"/>
  <c r="V23" i="5"/>
  <c r="L23" i="5"/>
  <c r="H23" i="5"/>
  <c r="I23" i="5"/>
  <c r="K23" i="5"/>
  <c r="L21" i="5"/>
  <c r="G21" i="5"/>
  <c r="S21" i="5" s="1"/>
  <c r="U21" i="5"/>
  <c r="K21" i="5"/>
  <c r="V21" i="5"/>
  <c r="I21" i="5"/>
  <c r="U27" i="5"/>
  <c r="L27" i="5"/>
  <c r="G27" i="5"/>
  <c r="S27" i="5" s="1"/>
  <c r="V27" i="5"/>
  <c r="H27" i="5"/>
  <c r="K27" i="5"/>
  <c r="I27" i="5"/>
  <c r="M16" i="1"/>
  <c r="N16" i="1"/>
  <c r="P18" i="1"/>
  <c r="P26" i="1"/>
  <c r="P25" i="1"/>
  <c r="P14" i="1"/>
  <c r="N19" i="1"/>
  <c r="P27" i="1"/>
  <c r="P21" i="1"/>
  <c r="P28" i="1"/>
  <c r="W14" i="1"/>
  <c r="O14" i="1"/>
  <c r="J14" i="1"/>
  <c r="N14" i="1"/>
  <c r="I14" i="1"/>
  <c r="M14" i="1"/>
  <c r="T16" i="1"/>
  <c r="P16" i="1"/>
  <c r="I16" i="1"/>
  <c r="W26" i="1"/>
  <c r="O26" i="1"/>
  <c r="J26" i="1"/>
  <c r="N26" i="1"/>
  <c r="I26" i="1"/>
  <c r="M26" i="1"/>
  <c r="W18" i="1"/>
  <c r="O18" i="1"/>
  <c r="J18" i="1"/>
  <c r="N18" i="1"/>
  <c r="I18" i="1"/>
  <c r="M18" i="1"/>
  <c r="T19" i="1"/>
  <c r="P19" i="1"/>
  <c r="I19" i="1"/>
  <c r="M22" i="1"/>
  <c r="M23" i="1"/>
  <c r="W21" i="1"/>
  <c r="O21" i="1"/>
  <c r="J21" i="1"/>
  <c r="N21" i="1"/>
  <c r="I21" i="1"/>
  <c r="M21" i="1"/>
  <c r="T22" i="1"/>
  <c r="P22" i="1"/>
  <c r="I22" i="1"/>
  <c r="W27" i="1"/>
  <c r="O27" i="1"/>
  <c r="J27" i="1"/>
  <c r="N27" i="1"/>
  <c r="I27" i="1"/>
  <c r="M27" i="1"/>
  <c r="T23" i="1"/>
  <c r="P23" i="1"/>
  <c r="I23" i="1"/>
  <c r="N22" i="1"/>
  <c r="W25" i="1"/>
  <c r="O25" i="1"/>
  <c r="J25" i="1"/>
  <c r="N25" i="1"/>
  <c r="I25" i="1"/>
  <c r="M25" i="1"/>
  <c r="W28" i="1"/>
  <c r="O28" i="1"/>
  <c r="J28" i="1"/>
  <c r="N28" i="1"/>
  <c r="I28" i="1"/>
  <c r="M28" i="1"/>
  <c r="T14" i="1"/>
  <c r="J16" i="1"/>
  <c r="O16" i="1"/>
  <c r="W16" i="1"/>
  <c r="T26" i="1"/>
  <c r="T18" i="1"/>
  <c r="J19" i="1"/>
  <c r="O19" i="1"/>
  <c r="W19" i="1"/>
  <c r="T21" i="1"/>
  <c r="J22" i="1"/>
  <c r="O22" i="1"/>
  <c r="W22" i="1"/>
  <c r="T27" i="1"/>
  <c r="J23" i="1"/>
  <c r="O23" i="1"/>
  <c r="W23" i="1"/>
  <c r="T25" i="1"/>
  <c r="T28" i="1"/>
  <c r="K34" i="5" l="1"/>
  <c r="I34" i="5"/>
  <c r="U34" i="5"/>
  <c r="L34" i="5"/>
  <c r="H34" i="5"/>
  <c r="V34" i="5"/>
  <c r="G34" i="5"/>
  <c r="S34" i="5" s="1"/>
  <c r="K26" i="5"/>
  <c r="I26" i="5"/>
  <c r="G26" i="5"/>
  <c r="S26" i="5" s="1"/>
  <c r="H26" i="5"/>
  <c r="U26" i="5"/>
  <c r="V26" i="5"/>
  <c r="L26" i="5"/>
  <c r="I30" i="5"/>
  <c r="V30" i="5"/>
  <c r="H30" i="5"/>
  <c r="U30" i="5"/>
  <c r="K30" i="5"/>
  <c r="G30" i="5"/>
  <c r="S30" i="5" s="1"/>
  <c r="L30" i="5"/>
  <c r="B35" i="5"/>
  <c r="D35" i="5" s="1"/>
  <c r="C20" i="5"/>
  <c r="G29" i="1"/>
  <c r="E29" i="1"/>
  <c r="H29" i="1" s="1"/>
  <c r="D29" i="1"/>
  <c r="V29" i="1" s="1"/>
  <c r="G13" i="1"/>
  <c r="E13" i="1"/>
  <c r="H13" i="1" s="1"/>
  <c r="D13" i="1"/>
  <c r="P13" i="1" s="1"/>
  <c r="V20" i="5" l="1"/>
  <c r="T35" i="5"/>
  <c r="C35" i="5"/>
  <c r="I35" i="5" s="1"/>
  <c r="V35" i="5"/>
  <c r="U35" i="5"/>
  <c r="B20" i="5"/>
  <c r="D20" i="5" s="1"/>
  <c r="I20" i="5" s="1"/>
  <c r="G35" i="5"/>
  <c r="S35" i="5" s="1"/>
  <c r="L35" i="5"/>
  <c r="G20" i="5"/>
  <c r="L20" i="5"/>
  <c r="T29" i="1"/>
  <c r="W13" i="1"/>
  <c r="T13" i="1"/>
  <c r="P29" i="1"/>
  <c r="N29" i="1"/>
  <c r="I29" i="1"/>
  <c r="M29" i="1"/>
  <c r="W29" i="1"/>
  <c r="O29" i="1"/>
  <c r="J29" i="1"/>
  <c r="M13" i="1"/>
  <c r="I13" i="1"/>
  <c r="N13" i="1"/>
  <c r="V13" i="1"/>
  <c r="J13" i="1"/>
  <c r="O13" i="1"/>
  <c r="K35" i="5" l="1"/>
  <c r="K20" i="5"/>
  <c r="U20" i="5"/>
  <c r="H35" i="5"/>
  <c r="T20" i="5"/>
  <c r="S20" i="5"/>
  <c r="H20" i="5"/>
  <c r="W3" i="1"/>
  <c r="V3" i="1"/>
  <c r="B2" i="5" l="1"/>
  <c r="B3" i="5" s="1"/>
  <c r="C19" i="5"/>
  <c r="B18" i="5"/>
  <c r="D18" i="5" s="1"/>
  <c r="G12" i="1"/>
  <c r="E12" i="1"/>
  <c r="H12" i="1" s="1"/>
  <c r="D12" i="1"/>
  <c r="N12" i="1" l="1"/>
  <c r="O12" i="1"/>
  <c r="M12" i="1"/>
  <c r="T12" i="1"/>
  <c r="V12" i="1"/>
  <c r="W12" i="1"/>
  <c r="T18" i="5"/>
  <c r="P12" i="1"/>
  <c r="C18" i="5"/>
  <c r="B19" i="5"/>
  <c r="D19" i="5" s="1"/>
  <c r="I12" i="1"/>
  <c r="J12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31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31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31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H13" i="5"/>
  <c r="L13" i="5"/>
  <c r="S13" i="5"/>
  <c r="K13" i="5"/>
  <c r="U13" i="5"/>
  <c r="I13" i="5"/>
  <c r="V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29" i="1"/>
  <c r="L26" i="1"/>
  <c r="L27" i="1"/>
  <c r="L28" i="1"/>
  <c r="L21" i="1"/>
  <c r="L22" i="1"/>
  <c r="L16" i="1"/>
  <c r="L11" i="1"/>
  <c r="L12" i="1"/>
  <c r="L13" i="1"/>
  <c r="L9" i="1"/>
  <c r="L10" i="1"/>
  <c r="J11" i="1"/>
  <c r="J9" i="1"/>
  <c r="J10" i="1"/>
  <c r="C7" i="1"/>
  <c r="I31" i="1"/>
  <c r="P31" i="1"/>
  <c r="J31" i="1"/>
  <c r="O31" i="1"/>
  <c r="N31" i="1"/>
  <c r="Q7" i="1" l="1"/>
  <c r="M47" i="3" s="1"/>
  <c r="L7" i="1"/>
  <c r="G47" i="3" s="1"/>
  <c r="K47" i="3"/>
  <c r="J47" i="3"/>
  <c r="K31" i="1"/>
  <c r="M31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<sst xmlns="http://schemas.openxmlformats.org/spreadsheetml/2006/main" count="453" uniqueCount="328">
  <si>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</si>
  <si>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</si>
  <si>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</si>
  <si>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</si>
  <si>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</si>
  <si>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</si>
  <si>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</si>
  <si>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</si>
  <si>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</si>
  <si>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</si>
  <si>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</si>
  <si>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</si>
  <si>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</si>
  <si>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</si>
  <si>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</si>
  <si>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</si>
  <si>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</si>
  <si>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</si>
  <si>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</si>
  <si>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</si>
  <si>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</si>
  <si>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</si>
  <si>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</si>
  <si>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</si>
  <si>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</si>
  <si>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</si>
  <si>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</si>
  <si>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</si>
  <si>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</si>
  <si>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</si>
  <si>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</si>
  <si>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</si>
  <si>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</si>
  <si>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</si>
  <si>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</si>
  <si>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</si>
  <si>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</si>
  <si>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</si>
  <si>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</si>
  <si>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</si>
  <si>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</si>
  <si>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</si>
  <si>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</si>
  <si>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</si>
  <si>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</si>
  <si>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</si>
  <si>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</si>
  <si>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</si>
  <si>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</si>
  <si>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</si>
  <si>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</si>
  <si>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</si>
  <si>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</si>
  <si>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</si>
  <si>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</si>
  <si>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</si>
  <si>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</si>
  <si>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</si>
  <si>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</si>
  <si>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</si>
  <si>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</si>
  <si>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</si>
  <si>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</si>
  <si>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</si>
  <si>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</si>
  <si>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</si>
  <si>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</si>
  <si>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</si>
  <si>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</si>
  <si>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</si>
  <si>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</si>
  <si>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</si>
  <si>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</si>
  <si>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</si>
  <si>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</si>
  <si>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</si>
  <si>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</si>
  <si>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</si>
  <si>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</si>
  <si>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</si>
  <si>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</si>
  <si>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</si>
  <si>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</si>
  <si>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</si>
  <si>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</si>
  <si>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</si>
  <si>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</si>
  <si>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</si>
  <si>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</si>
  <si>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</si>
  <si>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</si>
  <si>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</si>
  <si>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</si>
  <si>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</si>
  <si>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</si>
  <si>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</si>
  <si>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</si>
  <si>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</si>
  <si>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</si>
  <si>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</si>
  <si>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</si>
  <si>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</si>
  <si>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</si>
  <si>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</si>
  <si>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</si>
  <si>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</si>
  <si>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</si>
  <si>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</si>
  <si>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</si>
  <si>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</si>
  <si>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</si>
  <si>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</si>
  <si>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</si>
  <si>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</si>
  <si>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</si>
  <si>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</si>
  <si>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</si>
  <si>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</si>
  <si>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</si>
  <si>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</si>
  <si>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</si>
  <si>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</si>
  <si>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</si>
  <si>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</si>
  <si>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</si>
  <si>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</si>
  <si>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</si>
  <si>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</si>
  <si>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</si>
  <si>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</si>
  <si>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</si>
  <si>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</si>
  <si>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</si>
  <si>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</si>
  <si>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</si>
  <si>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</si>
  <si>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</si>
  <si>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</si>
  <si>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</si>
  <si>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</si>
  <si>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</si>
  <si>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</si>
  <si>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</si>
  <si>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</si>
  <si>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</si>
  <si>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</si>
  <si>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</si>
  <si>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</si>
  <si>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</si>
  <si>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</si>
  <si>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</si>
  <si>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</si>
  <si>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</si>
  <si>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</si>
  <si>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</si>
  <si>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</si>
  <si>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</si>
  <si>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</si>
  <si>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</si>
  <si>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</si>
  <si>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</si>
  <si>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</si>
  <si>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</si>
  <si>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</si>
  <si>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</si>
  <si>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</si>
  <si>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</si>
  <si>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</si>
  <si>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</si>
  <si>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</si>
  <si>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</si>
  <si>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</si>
  <si>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</si>
  <si>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</si>
  <si>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</si>
  <si>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</si>
  <si>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</si>
  <si>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</si>
  <si>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</si>
  <si>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</si>
  <si>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</si>
  <si>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</si>
  <si>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</si>
  <si>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</si>
  <si>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</si>
  <si>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</si>
  <si>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</si>
  <si>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</si>
  <si>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</si>
  <si>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</si>
  <si>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</si>
  <si>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</si>
  <si>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</si>
  <si>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</si>
  <si>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</si>
  <si>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</si>
  <si>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</si>
  <si>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</si>
  <si>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</si>
  <si>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</si>
  <si>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</si>
  <si>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</si>
  <si>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</si>
  <si>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</si>
  <si>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</si>
  <si>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</si>
  <si>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</si>
  <si>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</si>
  <si>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</si>
  <si>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</si>
  <si>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</si>
  <si>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</si>
  <si>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</si>
  <si>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</si>
  <si>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</si>
  <si>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</si>
  <si>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</si>
  <si>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</si>
  <si>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</si>
  <si>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</si>
  <si>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</si>
  <si>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</si>
  <si>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</si>
  <si>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</si>
  <si>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</si>
  <si>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</si>
  <si>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</si>
  <si>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</si>
  <si>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</si>
  <si>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</si>
  <si>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</si>
  <si>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</si>
  <si>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</si>
  <si>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</si>
  <si>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</si>
  <si>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</si>
  <si>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</si>
  <si>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</si>
  <si>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</si>
  <si>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</si>
  <si>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</si>
  <si>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</si>
  <si>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</si>
  <si>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</si>
  <si>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</si>
  <si>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</si>
  <si>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</si>
  <si>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</si>
  <si>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</si>
  <si>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</si>
  <si>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</si>
  <si>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</si>
  <si>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</si>
  <si>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</si>
  <si>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</si>
  <si>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</si>
  <si>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</si>
  <si>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</si>
  <si>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</si>
  <si>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</si>
  <si>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</si>
  <si>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</si>
  <si>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</si>
  <si>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</si>
  <si>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</si>
  <si>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</si>
  <si>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</si>
  <si>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</si>
  <si>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</si>
  <si>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</si>
  <si>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</si>
  <si>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</si>
  <si>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</si>
  <si>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</si>
  <si>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</si>
  <si>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</si>
  <si>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</si>
  <si>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</si>
  <si>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</si>
  <si>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</si>
  <si>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</si>
  <si>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</si>
  <si>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</si>
  <si>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</si>
  <si>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</si>
  <si>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</si>
  <si>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</si>
  <si>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</si>
  <si>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</si>
  <si>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</si>
  <si>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</si>
  <si>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</si>
  <si>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</si>
  <si>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</si>
  <si>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</si>
  <si>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</si>
  <si>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</si>
  <si>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</si>
  <si>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</si>
  <si>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</si>
  <si>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</si>
  <si>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</si>
  <si>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</si>
  <si>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varchar(1)</t>
  </si>
  <si>
    <t>varchar(50)</t>
  </si>
  <si>
    <t>RENBAN</t>
  </si>
  <si>
    <t>CASE_NO</t>
  </si>
  <si>
    <t>MODEL</t>
  </si>
  <si>
    <t>PROD_LINE</t>
  </si>
  <si>
    <t>MstLgwRenbanModule</t>
  </si>
  <si>
    <t>RenbanModule</t>
  </si>
  <si>
    <t>MIN_MODULE</t>
  </si>
  <si>
    <t>MAX_MODULE</t>
  </si>
  <si>
    <t>MODULE_CAPACITY</t>
  </si>
  <si>
    <t>MODULE_SIZE</t>
  </si>
  <si>
    <t>WH_LOC</t>
  </si>
  <si>
    <t>MIN_MOD</t>
  </si>
  <si>
    <t>MAX_MOD</t>
  </si>
  <si>
    <t>CASE_ORDER</t>
  </si>
  <si>
    <t>CASE_TYPE</t>
  </si>
  <si>
    <t>CFC</t>
  </si>
  <si>
    <t>MODULE_TYPE</t>
  </si>
  <si>
    <t>SORTING_TYPE</t>
  </si>
  <si>
    <t>UP_LEADTIME</t>
  </si>
  <si>
    <t>MONITOR_VISUALIZE</t>
  </si>
  <si>
    <t>IS_USE_PXP_DATA</t>
  </si>
  <si>
    <t>Master LogW Renban Module</t>
  </si>
  <si>
    <t>Master.LogW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</si>
</sst>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[Table("MstLgwRenbanModule")]
	[Index(nameof(Renban), Name="IX_MstLgwRenbanModule_Renban")]
	[Index(nameof(CaseNo), Name="IX_MstLgwRenbanModule_CaseNo")]
	[Index(nameof(SupplierNo), Name="IX_MstLgwRenbanModule_SupplierNo")]
	[Index(nameof(CaseOrder), Name="IX_MstLgwRenbanModule_CaseOrder")]
	[Index(nameof(IsActive), Name="IX_MstLgwRenbanModule_IsActive")]	public class MstLgwRenbanModule: FullAuditedEntity&lt;long&gt;, IEntity&lt;long&gt;	
	{
		public const int MaxRenbanLength = 50;
		public const int MaxCaseNoLength = 50;
		public const int MaxSupplierNoLength = 50;
		public const int MaxModuleTypeLength = 50;
		public const int MaxModuleSizeLength = 50;
		public const int MaxSortingTypeLength = 50;
		public const int MaxCaseTypeLength = 50;
		public const int MaxProdLineLength = 50;
		public const int MaxModelLength = 50;
		public const int MaxCfcLength = 50;
		public const int MaxWhLocLength = 50;
		public const int MaxIsUsePxpDataLength = 1;
		public const int MaxIsActiveLength = 1;
		[StringLength(MaxRenbanLength)]
		public virtual string Renban { get; set; }
		[StringLength(MaxCaseNoLength)]
		public virtual string CaseNo { get; set; }
		[StringLength(MaxSupplierNoLength)]
		public virtual string SupplierNo { get; set; }
		public virtual int MinModule { get; set; }
		public virtual int MaxModule { get; set; }
		public virtual int ModuleCapacity { get; set; }
		[StringLength(MaxModuleTypeLength)]
		public virtual string ModuleType { get; set; }
		[StringLength(MaxModuleSizeLength)]
		public virtual string ModuleSize { get; set; }
		[StringLength(MaxSortingTypeLength)]
		public virtual string SortingType { get; set; }
		public virtual int MinMod { get; set; }
		public virtual int MaxMod { get; set; }
		public virtual int MonitorVisualize { get; set; }
		public virtual int CaseOrder { get; set; }
		[StringLength(MaxCaseTypeLength)]
		public virtual string CaseType { get; set; }
		[StringLength(MaxProdLineLength)]
		public virtual string ProdLine { get; set; }
		[StringLength(MaxModelLength)]
		public virtual string Model { get; set; }
		[StringLength(MaxCfcLength)]
		public virtual string Cfc { get; set; }
		[StringLength(MaxWhLocLength)]
		public virtual string WhLoc { get; set; }
		[StringLength(MaxIsUsePxpDataLength)]
		public virtual string IsUsePxpData { get; set; }
		public virtual int UpLeadtime { get; set; }
		[StringLength(MaxIsActiveLength)]
		public virtual string IsActive { get; set; }
	}
}
</v>
      </c>
      <c r="D47" s="51" t="str">
        <f>A.Backend!O7</f>
        <v xml:space="preserve">		public const string Pages_Master_LogW_RenbanModule = "Pages.Master.LogW.RenbanModule";
		public const string Pages_Master_LogW_RenbanModule_CreateEdit = "Pages.Master.LogW.RenbanModule.CreateEdit";
		public const string Pages_Master_LogW_RenbanModule_Delete = "Pages.Master.LogW.RenbanModule.Delete";
</v>
      </c>
      <c r="E47" s="51" t="str">
        <f>A.Backend!N7</f>
        <v xml:space="preserve">		var perMstLgwRenbanModule = PARENTS.CreateChildPermission(AppPermissions.Pages_Master_LogW_RenbanModule, L( "MasterLogWRenbanModule"));
		perMstLgwRenbanModule.CreateChildPermission(AppPermissions.Pages_Master_LogW_RenbanModule_CreateEdit, L( "MasterLogWRenbanModuleCreateEdit"));
		perMstLgwRenbanModule.CreateChildPermission(AppPermissions.Pages_Master_LogW_RenbanModule_Delete, L( "MasterLogWRenbanModuleDelete"));</v>
      </c>
      <c r="F47" s="51" t="str">
        <f>A.Backend!K7</f>
        <v>public virtual DbSet&lt;MstLgwRenbanModule&gt; MstLgwRenbanModules { get; set; }</v>
      </c>
      <c r="G47" s="51" t="str">
        <f ca="1">A.Backend!L7</f>
        <v xml:space="preserve">namespace vovina.Master.LogW
{
	public class MstLgwRenbanModuleConsts	
	{
		public const int MaxRenbanLength = 50;
		public const int MaxCaseNoLength = 50;
		public const int MaxSupplierNoLength = 50;
		public const int MaxModuleTypeLength = 50;
		public const int MaxModuleSizeLength = 50;
		public const int MaxSortingTypeLength = 50;
		public const int MaxCaseTypeLength = 50;
		public const int MaxProdLineLength = 50;
		public const int MaxModelLength = 50;
		public const int MaxCfcLength = 50;
		public const int MaxWhLocLength = 50;
		public const int MaxIsUsePxpDataLength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MstLgwRenbanModuleDto : EntityDto&lt;long?&gt;	
	{
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	}
	public class CreateOrEditMstLgwRenbanModuleDto : EntityDto&lt;long?&gt;	
	{
		[StringLength(MstLgwRenbanModuleConsts.MaxRenbanLength)]
		public virtual string Renban { get; set; }
		[StringLength(MstLgwRenbanModuleConsts.MaxCaseNoLength)]
		public virtual string CaseNo { get; set; }
		[StringLength(MstLgwRenbanModuleConsts.MaxSupplierNoLength)]
		public virtual string SupplierNo { get; set; }
		public virtual int MinModule { get; set; }
		public virtual int MaxModule { get; set; }
		public virtual int ModuleCapacity { get; set; }
		[StringLength(MstLgwRenbanModuleConsts.MaxModuleTypeLength)]
		public virtual string ModuleType { get; set; }
		[StringLength(MstLgwRenbanModuleConsts.MaxModuleSizeLength)]
		public virtual string ModuleSize { get; set; }
		[StringLength(MstLgwRenbanModuleConsts.MaxSortingTypeLength)]
		public virtual string SortingType { get; set; }
		public virtual int MinMod { get; set; }
		public virtual int MaxMod { get; set; }
		public virtual int MonitorVisualize { get; set; }
		public virtual int CaseOrder { get; set; }
		[StringLength(MstLgwRenbanModuleConsts.MaxCaseTypeLength)]
		public virtual string CaseType { get; set; }
		[StringLength(MstLgwRenbanModuleConsts.MaxProdLineLength)]
		public virtual string ProdLine { get; set; }
		[StringLength(MstLgwRenbanModuleConsts.MaxModelLength)]
		public virtual string Model { get; set; }
		[StringLength(MstLgwRenbanModuleConsts.MaxCfcLength)]
		public virtual string Cfc { get; set; }
		[StringLength(MstLgwRenbanModuleConsts.MaxWhLocLength)]
		public virtual string WhLoc { get; set; }
		[StringLength(MstLgwRenbanModuleConsts.MaxIsUsePxpDataLength)]
		public virtual string IsUsePxpData { get; set; }
		public virtual int UpLeadtime { get; set; }
		[StringLength(MstLgwRenbanModuleConsts.MaxIsActiveLength)]
		public virtual string IsActive { get; set; }
	}
	public class GetMstLgwRenbanModuleInput : PagedAndSortedResultRequestDto	
	{
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MstLgwRenbanModuleExportInput{
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IMstLgwRenbanModuleAppService : IApplicationService
	{
		Task&lt;PagedResultDto&lt;MstLgwRenbanModuleDto&gt;&gt; GetAll(GetMstLgwRenbanModuleInput input);
		Task CreateOrEdit(CreateOrEditMstLgwRenbanModuleDto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IMstLgwRenbanModuleExcelExporter : IApplicationService
	{
		FileDto ExportToFile(List&lt;MstLgwRenbanModuleDto&gt; mstlgwrenbanmodule);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MstLgwRenbanModuleExcelExporter : NpoiExcelExporterBase, IMstLgwRenbanModuleExcelExporter
    {
        public MstLgwRenbanModuleExcelExporter(ITempFileCacheManager tempFileCacheManager) : base(tempFileCacheManager) { }
        public FileDto ExportToFile(List&lt;MstLgwRenbanModuleDto&gt; renbanmodule)
        {
            return CreateExcelPackage(
				"MasterLogWRenbanModule.xlsx",
				excelPackage =&gt;
				 {
					var sheet = excelPackage.CreateSheet("RenbanModule");
					AddHeader(
								sheet,
								("Renban"),
								("CaseNo"),
								("SupplierNo"),
								("MinModule"),
								("MaxModule"),
								("ModuleCapacity"),
								("ModuleType"),
								("ModuleSize"),
								("SortingType"),
								("MinMod"),
								("MaxMod"),
								("MonitorVisualize"),
								("CaseOrder"),
								("CaseType"),
								("ProdLine"),
								("Model"),
								("Cfc"),
								("WhLoc"),
								("IsUsePxpData"),
								("UpLeadtime"),
								("IsActive"),
							   );
					AddObjects(
						 sheet, 1, renbanmodule,                                       
								_ =&gt; _.Renban,
								_ =&gt; _.CaseNo,
								_ =&gt; _.SupplierNo,
								_ =&gt; _.MinModule,
								_ =&gt; _.MaxModule,
								_ =&gt; _.ModuleCapacity,
								_ =&gt; _.ModuleType,
								_ =&gt; _.ModuleSize,
								_ =&gt; _.SortingType,
								_ =&gt; _.MinMod,
								_ =&gt; _.MaxMod,
								_ =&gt; _.MonitorVisualize,
								_ =&gt; _.CaseOrder,
								_ =&gt; _.CaseType,
								_ =&gt; _.ProdLine,
								_ =&gt; _.Model,
								_ =&gt; _.Cfc,
								_ =&gt; _.WhLoc,
								_ =&gt; _.IsUsePxpData,
								_ =&gt; _.UpLeadtime,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[AbpAuthorize(AppPermissions.Pages_Master_LogW_RenbanModule)]
    public class MstLgwRenbanModuleAppService : vovinaAppServiceBase, IMstLgwRenbanModuleAppService
    {
        private readonly IDapperRepository&lt;MstLgwRenbanModule, long&gt; _dapperRepo;
        private readonly IRepository&lt;MstLgwRenbanModule, long&gt; _repo;
        private readonly IMstLgwRenbanModuleExcelExporter _calendarListExcelExporter;
        public MstLgwRenbanModuleAppService(IRepository&lt;MstLgwRenbanModule,long&gt; repo, 
                                         IDapperRepository&lt;MstLgwRenbanModule,long&gt; dapperRepo,
                                        IMstLgwRenbanModuleExcelExporter calendarListExcelExporter
            )
        {
            _repo = repo;
            _dapperRepo = dapperRepo;
            _calendarListExcelExporter = calendarListExcelExporter;
        }
        [AbpAuthorize(AppPermissions.Pages_Master_LogW_RenbanModule_CreateEdit)]
        public async Task CreateOrEdit(CreateOrEditMstLgwRenbanModuleDto input)
        {
            if (input.Id == null) await Create(input);
            else await Update(input);
        }
        //CREATE
        private async Task Create(CreateOrEditMstLgwRenbanModuleDto input)
        {          
            var mainObj = ObjectMapper.Map&lt;MstLgwRenbanModule&gt;(input);
            await CurrentUnitOfWork.GetDbContext&lt;vovinaDbContext&gt;().AddAsync(mainObj);
        }
        // EDIT
        private async Task Update(CreateOrEditMstLgwRenbanModuleDto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[AbpAuthorize(AppPermissions.Pages_Master_LogW_RenbanModule_Delete)]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Task&lt;PagedResultDto&lt;MstLgwRenbanModuleDto&gt;&gt; GetAll(GetMstLgwRenbanModuleInput input)
        {
            var filtered = _repo.GetAll()
				.WhereIf(!string.IsNullOrWhiteSpace(input.Renban), e =&gt; e.Renban.Contains(input.Renban))
				.WhereIf(!string.IsNullOrWhiteSpace(input.CaseNo), e =&gt; e.CaseNo.Contains(input.CaseNo))
				.WhereIf(!string.IsNullOrWhiteSpace(input.SupplierNo), e =&gt; e.SupplierNo.Contains(input.SupplierNo))
				.WhereIf(!string.IsNullOrWhiteSpace(input.ModuleType), e =&gt; e.ModuleType.Contains(input.ModuleType))
				.WhereIf(!string.IsNullOrWhiteSpace(input.ModuleSize), e =&gt; e.ModuleSize.Contains(input.ModuleSize))
				.WhereIf(!string.IsNullOrWhiteSpace(input.SortingType), e =&gt; e.SortingType.Contains(input.SortingType))
				.WhereIf(!string.IsNullOrWhiteSpace(input.CaseType), e =&gt; e.CaseType.Contains(input.CaseType))
				.WhereIf(!string.IsNullOrWhiteSpace(input.ProdLine), e =&gt; e.ProdLine.Contains(input.ProdLine))
				.WhereIf(!string.IsNullOrWhiteSpace(input.Model), e =&gt; e.Model.Contains(input.Model))
				.WhereIf(!string.IsNullOrWhiteSpace(input.Cfc), e =&gt; e.Cfc.Contains(input.Cfc))
				.WhereIf(!string.IsNullOrWhiteSpace(input.WhLoc), e =&gt; e.WhLoc.Contains(input.WhLoc))
				.WhereIf(!string.IsNullOrWhiteSpace(input.IsUsePxpData), e =&gt; e.IsUsePxpData.Contains(input.IsUsePxpData))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MstLgwRenbanModuleDto
                        {
							Id = o.Id,
							Renban = o.Renban,
							CaseNo = o.CaseNo,
							SupplierNo = o.SupplierNo,
							MinModule = o.MinModule,
							MaxModule = o.MaxModule,
							ModuleCapacity = o.ModuleCapacity,
							ModuleType = o.ModuleType,
							ModuleSize = o.ModuleSize,
							SortingType = o.SortingType,
							MinMod = o.MinMod,
							MaxMod = o.MaxMod,
							MonitorVisualize = o.MonitorVisualize,
							CaseOrder = o.CaseOrder,
							CaseType = o.CaseType,
							ProdLine = o.ProdLine,
							Model = o.Model,
							Cfc = o.Cfc,
							WhLoc = o.WhLoc,
							IsUsePxpData = o.IsUsePxpData,
							UpLeadtime = o.UpLeadtime,
							IsActive = o.IsActive,
                        };
            var totalCount = await filtered.CountAsync();
			var paged = system.PageBy(input);
            return new PagedResultDto&lt;MstLgwRenbanModuleDto&gt;(
                totalCount,
                 await paged.ToListAsync()
            );
        }
        public async Task&lt;FileDto&gt; GetRenbanModuleToExcel(MstLgwRenbanModuleExportInput input)
        {
            var query = from o in _repo.GetAll()
                        select new MstLgwRenbanModuleDto
                        {
							Id = o.Id,
							Renban = o.Renban,
							CaseNo = o.CaseNo,
							SupplierNo = o.SupplierNo,
							MinModule = o.MinModule,
							MaxModule = o.MaxModule,
							ModuleCapacity = o.ModuleCapacity,
							ModuleType = o.ModuleType,
							ModuleSize = o.ModuleSize,
							SortingType = o.SortingType,
							MinMod = o.MinMod,
							MaxMod = o.MaxMod,
							MonitorVisualize = o.MonitorVisualize,
							CaseOrder = o.CaseOrder,
							CaseType = o.CaseType,
							ProdLine = o.ProdLine,
							Model = o.Model,
							Cfc = o.Cfc,
							WhLoc = o.WhLoc,
							IsUsePxpData = o.IsUsePxpData,
							UpLeadtime = o.UpLeadtime,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_dapperRepo.ExecuteAsync(MstLgwRenbanModuleConsts.SP_MST_WPT_CALENDAR_GENERATE);
       // }
    }
}</v>
      </c>
      <c r="N47" s="62" t="str">
        <f>A.Backend!U7</f>
        <v xml:space="preserve">  configuration.CreateMap&lt;MstLgwRenbanModuleDto, MstLgwRenbanModule&gt;();
  configuration.CreateMap&lt;MstLgwRenbanModule, MstLgwRenbanModuleDto&gt;();
  configuration.CreateMap&lt;CreateOrEditMstLgwRenbanModuleDto, MstLgwRenbanModule&gt;();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renbanmodule</v>
      </c>
      <c r="C52" s="72" t="str">
        <f>"create folder " &amp;B52</f>
        <v>create folder renbanmodule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renbanmodule.component.ts</v>
      </c>
      <c r="D53" s="31" t="str">
        <f>B.Frontend!I14</f>
        <v>renbanmodule.component.html</v>
      </c>
      <c r="E53" s="31" t="str">
        <f>B.Frontend!J14</f>
        <v>renbanmodule.component.less</v>
      </c>
      <c r="F53" s="31" t="str">
        <f>B.Frontend!K14</f>
        <v>create-or-edit-renbanmodule-modal.component.html</v>
      </c>
      <c r="G53" s="31" t="str">
        <f>B.Frontend!L14</f>
        <v>create-or-edit-renbanmodule-modal.component.ts</v>
      </c>
      <c r="H53" s="31" t="str">
        <f>B.Frontend!M14</f>
        <v>create-or-edit-renbanmodule-modal.component.less</v>
      </c>
      <c r="I53" s="31" t="str">
        <f>B.Frontend!N14</f>
        <v>renbanmodule.module.ts</v>
      </c>
      <c r="J53" s="31" t="str">
        <f>B.Frontend!O14</f>
        <v>renbanmodule-routing.module.ts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MstLgwRenbanModuleDto, MstLgwRenbanModuleServiceProxy } from '@shared/service-proxies/service-proxies';
import { finalize } from 'rxjs/internal/operators/finalize';
import { CreateOrEditRenbanModuleModalComponent } from './create-or-edit-renbanmodule-modal.component';
import { DatePipe } from '@angular/common';
import { FileDownloadService } from '@shared/utils/file-download.service';
import ceil from 'lodash-es/ceil';
import { Paginator } from 'primeng/paginator';
@Component({
    templateUrl: './renbanmodule.component.html',
    styleUrls: ['./renbanmodule.component.less'],
})
export class RenbanModuleComponent extends AppComponentBase implements OnInit {
    @ViewChild('createOrEditModalRenbanModule', { static: true }) createOrEditModalRenbanModule:| CreateOrEditRenbanModuleModalComponent|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MstLgwRenbanModuleDto = new MstLgwRenbanModuleDto();
    saveSelectedRow: MstLgwRenbanModuleDto = new MstLgwRenbanModuleDto();
    datas: MstLgwRenbanModuleDto = new MstLgwRenbanModuleDto();
    isLoading: boolean = false;
    dataParams: GridParams | undefined;
    rowData: any[] = [];
    gridApi!: GridApi;
    rowSelection = 'multiple';
    filter: string = '';
	pipe = new DatePipe('en-US');
	frameworkComponents: FrameworkComponent;
    renban : string = '' ; 
	caseNo : string = '' ; 
	supplierNo : string = '' ; 
	minModule : number = 0 ;
	maxModule : number = 0 ;
moduleCapacity : number = 0 ;
	moduleType : string = '' ; 
	moduleSize : string = '' ; 
	sortingType : string = '' ; 
	minMod : number = 0 ;
maxMod : number = 0 ;
	monitorVisualize : number = 0 ;
	caseOrder : number = 0 ;
	caseType : string = '' ; 
	prodLine : string = '' ; 
model : string = '' ; 
	cfc : string = '' ; 
	whLoc : string = '' ; 
	isUsePxpData : string = '' ; 
	upLeadtime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MstLgwRenbanModuleServiceProxy,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this.l('Renban'),headerTooltip: this.l('Renban'),field: 'renban',flex: 1},
			{headerName: this.l('Case No'),headerTooltip: this.l('Case No'),field: 'caseNo',flex: 1},
			{headerName: this.l('Supplier No'),headerTooltip: this.l('Supplier No'),field: 'supplierNo',flex: 1},
			{headerName: this.l('Min Module'),headerTooltip: this.l('Min Module'),field: 'minModule',flex: 1},
			{headerName: this.l('Max Module'),headerTooltip: this.l('Max Module'),field: 'maxModule',flex: 1},
			{headerName: this.l('Module Capacity'),headerTooltip: this.l('Module Capacity'),field: 'moduleCapacity',flex: 1},
			{headerName: this.l('Module Type'),headerTooltip: this.l('Module Type'),field: 'moduleType',flex: 1},
			{headerName: this.l('Module Size'),headerTooltip: this.l('Module Size'),field: 'moduleSize',flex: 1},
			{headerName: this.l('Sorting Type'),headerTooltip: this.l('Sorting Type'),field: 'sortingType',flex: 1},
			{headerName: this.l('Min Mod'),headerTooltip: this.l('Min Mod'),field: 'minMod',flex: 1},
			{headerName: this.l('Max Mod'),headerTooltip: this.l('Max Mod'),field: 'maxMod',flex: 1},
			{headerName: this.l('Monitor Visualize'),headerTooltip: this.l('Monitor Visualize'),field: 'monitorVisualize',flex: 1},
			{headerName: this.l('Case Order'),headerTooltip: this.l('Case Order'),field: 'caseOrder',flex: 1},
			{headerName: this.l('Case Type'),headerTooltip: this.l('Case Type'),field: 'caseType',flex: 1},
			{headerName: this.l('Prod Line'),headerTooltip: this.l('Prod Line'),field: 'prodLine',flex: 1},
			{headerName: this.l('Model'),headerTooltip: this.l('Model'),field: 'model',flex: 1},
			{headerName: this.l('Cfc'),headerTooltip: this.l('Cfc'),field: 'cfc',flex: 1},
			{headerName: this.l('Wh Loc'),headerTooltip: this.l('Wh Loc'),field: 'whLoc',flex: 1},
			{headerName: this.l('Is Use Pxp Data'),headerTooltip: this.l('Is Use Pxp Data'),field:  'isUsePxpData', cellClass: ['text-center'], width: 120, cellRenderer: 'agCellButtonComponent',
buttonDefTwo: { text: params =&gt; (params.data?.'isUsePxpData' == 'Y') ? 'Active' : 'Inactive',iconName: 'fa fa-circle',className: params =&gt; (params.data?.'isUsePxpData' == 'Y') ? 'btnActive' : 'btnInActive',},}
			{headerName: this.l('Up Leadtime'),headerTooltip: this.l('Up Leadtime'),field: 'upLeadtime',flex: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this.renban = '',
		this.caseNo = '',
		this.supplierNo = '',
		this.minModule = 0,
		this.maxModule = 0,
this.moduleCapacity = 0,
		this.moduleType = '',
		this.moduleSize = '',
		this.sortingType = '',
		this.minMod = 0,
this.maxMod = 0,
		this.monitorVisualize = 0,
		this.caseOrder = 0,
		this.caseType = '',
		this.prodLine = '',
this.model = '',
		this.cfc = '',
		this.whLoc = '',
		this.isUsePxpData = '',
		this.upLeadtime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
			'',
            this.paginationParams.skipCount,
            this.paginationParams.pageSize
        );
    }
    onChangeRowSelection(params: { api: { getSelectedRows: () =&gt; MstLgwRenbanModuleDto[] } }) {
        this.saveSelectedRow = params.api.getSelectedRows()[0] ?? new MstLgwRenbanModuleDto();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MstLgwRenbanModuleDto):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this._service.getRenbanModuleToExcel(
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Renban Module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[(ngModel)]='moduleType' name='moduleType'
									class='form-control' [placeholder]="l('Module Type')"
									type='text' (keyup.enter)='searchDatas()'&gt;
								&lt;/div&gt;
								&lt;div class='input-search'&gt;
									&lt;input [(ngModel)]='moduleSize' name='moduleSize'
									class='form-control' [placeholder]="l('Module Size')"
									type='text' (keyup.enter)='searchDatas()'&gt;
								&lt;/div&gt;
								&lt;div class='input-search'&gt;
									&lt;input [(ngModel)]='sortingType' name='sortingType'
									class='form-control' [placeholder]="l('Sorting Type')"
									type='text' (keyup.enter)='searchDatas()'&gt;
								&lt;/div&gt;
								&lt;div class='input-search'&gt;
									&lt;input [(ngModel)]='caseType' name='caseType'
									class='form-control' [placeholder]="l('Case Type')"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[(ngModel)]='whLoc' name='whLoc'
									class='form-control' [placeholder]="l('Wh Loc')"
									type='text' (keyup.enter)='searchDatas()'&gt;
								&lt;/div&gt;
								&lt;div class='input-search'&gt;
									&lt;input [(ngModel)]='isUsePxpData' name='isUsePxpData'
									class='form-control' [placeholder]="l('Is Use Pxp Data')"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(click)="createOrEditModalRenbanModule.show()"&gt;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(click)="createOrEditModalRenbanModule.show(selectedRow)"&gt;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&lt;create-or-edit-renbanmodule-modal
    #createOrEditModalRenbanModule
    (modalSave)="callBackDataGrid(dataParams)"
    (modalClose)="onChangeRowSelection(dataParams)"
&gt;
&lt;/create-or-edit-renbanmodule-modal&gt;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#createOrEditModalRenbanModule="bs-modal"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RenbanModule')}}&lt;/h3&gt;
                    &lt;h3 *ngIf="!rowdata.id"&gt;{{('Create New RenbanModule')}}&lt;/h3&gt;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title'&gt;Min Module&lt;/label&gt;
						&lt;input type='number' class='col-md-10 form-control input-text' name='MinModule' [(ngModel)]='rowdata.minModule'&gt;
					&lt;/div&gt;
					&lt;div class='col-md-12 form-group row'&gt;
						&lt;label class='col-md-2 form-control title'&gt;Max Module&lt;/label&gt;
						&lt;input type='number' class='col-md-10 form-control input-text' name='MaxModule' [(ngModel)]='rowdata.maxModule'&gt;
					&lt;/div&gt;
					&lt;div class='col-md-12 form-group row'&gt;
						&lt;label class='col-md-2 form-control title'&gt;Module Capacity&lt;/label&gt;
						&lt;input type='number' class='col-md-10 form-control input-text' name='ModuleCapacity' [(ngModel)]='rowdata.moduleCapacity'&gt;
					&lt;/div&gt;
					&lt;div class='col-md-12 form-group row'&gt;
						&lt;label class='col-md-2 form-control title'&gt;Module Type&lt;/label&gt;
						&lt;input type='text' class='col-md-10 form-control input-text' name='ModuleType' [(ngModel)]='rowdata.moduleType'&gt;
					&lt;/div&gt;
					&lt;div class='col-md-12 form-group row'&gt;
						&lt;label class='col-md-2 form-control title'&gt;Module Size&lt;/label&gt;
						&lt;input type='text' class='col-md-10 form-control input-text' name='ModuleSize' [(ngModel)]='rowdata.moduleSize'&gt;
					&lt;/div&gt;
					&lt;div class='col-md-12 form-group row'&gt;
						&lt;label class='col-md-2 form-control title'&gt;Sorting Type&lt;/label&gt;
						&lt;input type='text' class='col-md-10 form-control input-text' name='SortingType' [(ngModel)]='rowdata.sortingType'&gt;
					&lt;/div&gt;
					&lt;div class='col-md-12 form-group row'&gt;
						&lt;label class='col-md-2 form-control title'&gt;Min Mod&lt;/label&gt;
						&lt;input type='number' class='col-md-10 form-control input-text' name='MinMod' [(ngModel)]='rowdata.minMod'&gt;
					&lt;/div&gt;
					&lt;div class='col-md-12 form-group row'&gt;
						&lt;label class='col-md-2 form-control title'&gt;Max Mod&lt;/label&gt;
						&lt;input type='number' class='col-md-10 form-control input-text' name='MaxMod' [(ngModel)]='rowdata.maxMod'&gt;
					&lt;/div&gt;
					&lt;div class='col-md-12 form-group row'&gt;
						&lt;label class='col-md-2 form-control title'&gt;Monitor Visualize&lt;/label&gt;
						&lt;input type='number' class='col-md-10 form-control input-text' name='MonitorVisualize' [(ngModel)]='rowdata.monitorVisualize'&gt;
					&lt;/div&gt;
					&lt;div class='col-md-12 form-group row'&gt;
						&lt;label class='col-md-2 form-control title'&gt;Case Order&lt;/label&gt;
						&lt;input type='number' class='col-md-10 form-control input-text' name='CaseOrder' [(ngModel)]='rowdata.caseOrder'&gt;
					&lt;/div&gt;
					&lt;div class='col-md-12 form-group row'&gt;
						&lt;label class='col-md-2 form-control title'&gt;Case Type&lt;/label&gt;
						&lt;input type='text' class='col-md-10 form-control input-text' name='CaseType' [(ngModel)]='rowdata.caseType'&gt;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title'&gt;Wh Loc&lt;/label&gt;
						&lt;input type='text' class='col-md-10 form-control input-text' name='WhLoc' [(ngModel)]='rowdata.whLoc'&gt;
					&lt;/div&gt;
					&lt;div class='col-md-12 form-group row'&gt;
						&lt;label class='col-md-2 form-control title'&gt;Is Use Pxp Data&lt;/label&gt;
						&lt;new-checkbox [(ngModel)]='_isUsePxpData' name='isUsePxpData' className='col-md-10' &gt; &lt;/new-checkbox&gt;
					&lt;/div&gt;
					&lt;div class='col-md-12 form-group row'&gt;
						&lt;label class='col-md-2 form-control title'&gt;Up Leadtime&lt;/label&gt;
						&lt;input type='number' class='col-md-10 form-control input-text' name='UpLeadtime' [(ngModel)]='rowdata.upLeadtime'&gt;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CreateOrEditMstLgwRenbanModuleDto, MstLgwRenbanModuleServiceProxy } from '@shared/service-proxies/service-proxies';
import { BsDatepickerDirective } from 'ngx-bootstrap/datepicker';
@Component({
    selector: 'create-or-edit-renbanmodule-modal',
    templateUrl: './create-or-edit-renbanmodule-modal.component.html',
    styleUrls: ['./create-or-edit-renbanmodule-modal.component.less']
    })
export class CreateOrEditRenbanModuleModalComponent extends AppComponentBase {
    @ViewChild('createOrEditModalRenbanModule',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CreateOrEditMstLgwRenbanModuleDto = new CreateOrEditMstLgwRenbanModuleDto();
    active: boolean = false;
    saving: boolean = false;
    _isUsePxpData
isActive: boolean;
    constructor(
        injector: Injector,
        private _mstwptRenbanModuleService: MstLgwRenbanModuleServiceProxy,
    ) 
    {
        super(injector);
    }
    show(rowdata?: CreateOrEditMstLgwRenbanModuleDto): void {
        if (!rowdata) this.rowdata = new CreateOrEditMstLgwRenbanModuleDto();
        else this.rowdata = rowdata;
        this._isUsePxpData
isActive = (this.rowdata.isUsePxpData
isActive == "N")? false: true;
        this.active = true;
        this.modal.show();
    } 
    changeActive(event){
        this._isUsePxpData
isActive = event.target.checked;
    }
    save(): void {
    this.saving = true; 
    this.rowdata.isUsePxpData
isActive = (this._isUsePxpData
isActive == true) ? 'Y' : 'N'
    this._mstwptRenbanModuleService.createOrEdit(this.rowdata)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RenbanModuleRoutingModule } from './renbanmodule-routing.module';
import { RenbanModuleComponent } from './renbanmodule.component';
import { CreateOrEditRenbanModuleModalComponent } from './create-or-edit-renbanmodule-modal.component';
@NgModule({
    declarations: [
       RenbanModuleComponent, 
        CreateOrEditRenbanModuleModalComponent
    ],
    imports: [
        AppSharedModule, RenbanModuleRoutingModule]
})
export class RenbanModuleModule {}</v>
      </c>
      <c r="J54" s="49" t="str">
        <f>B.Frontend!O10</f>
        <v>import {NgModule} from '@angular/core';
import {RouterModule, Routes} from '@angular/router';
import { RenbanModuleComponent } from './renbanmodule.component';
const routes: Routes = [{
    path: '',
    component: RenbanModuleComponent,
    pathMatch: 'full'
}];
@NgModule({
    imports: [RouterModule.forChild(routes)],
    exports: [RouterModule],
})
export class RenbanModuleRoutingModule {}</v>
      </c>
      <c r="K54" s="49" t="str">
        <f>B.Frontend!P10</f>
        <v xml:space="preserve"> new AppMenuItem("RenbanModule", "Pages.Master.LogW.RenbanModule", "flaticon-book",   "/app/main/master/logw/renbanmodule"),</v>
      </c>
      <c r="L54" s="50" t="str">
        <f>B.Frontend!Q10</f>
        <v>{
    path: 'master/logw/renbanmodule',
    loadChildren: () =&gt; import('./master/logw/renbanmodule/renbanmodule.module').then(m =&gt; m.RenbanModuleModule),
    data: { permission: 'Pages.Master.LogW.RenbanModule' }
},</v>
      </c>
      <c r="M54" s="48" t="str">
        <f>B.Frontend!R10</f>
        <v>ApiServiceProxies.MstLgwRenbanModuleServiceProxy,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1"/>
  <sheetViews>
    <sheetView tabSelected="1" workbookViewId="0">
      <pane xSplit="1" topLeftCell="B1" activePane="topRight" state="frozen"/>
      <selection pane="topRight" activeCell="J7" sqref="J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309</v>
      </c>
      <c r="C3" s="10" t="s">
        <v>43</v>
      </c>
      <c r="D3" s="10" t="s">
        <v>44</v>
      </c>
      <c r="E3" s="10" t="s">
        <v>39</v>
      </c>
      <c r="F3" s="11" t="str">
        <f>"J"&amp;COUNTA($A:$A)</f>
        <v>J29</v>
      </c>
      <c r="G3" s="4" t="s">
        <v>57</v>
      </c>
      <c r="H3" s="10" t="str">
        <f>"I"&amp;COUNTA($A:$A)</f>
        <v>I29</v>
      </c>
      <c r="I3" s="10" t="str">
        <f>REPT(CHAR(9),2)&amp;"[Required]"&amp;"
"</f>
        <v xml:space="preserve">		[Required]
</v>
      </c>
      <c r="J3" s="11" t="str">
        <f>"L"&amp;COUNTA($A:$A)</f>
        <v>L29</v>
      </c>
      <c r="K3" s="5" t="s">
        <v>56</v>
      </c>
      <c r="L3" s="11" t="str">
        <f>"M"&amp;COUNTA($A:$A)</f>
        <v>M29</v>
      </c>
      <c r="M3" s="11" t="str">
        <f>"N"&amp;COUNTA($A:$A)</f>
        <v>N29</v>
      </c>
      <c r="N3" s="11" t="str">
        <f>"O"&amp;COUNTA($A:$A)</f>
        <v>O29</v>
      </c>
      <c r="O3" s="11" t="str">
        <f>"P"&amp;COUNTA($A:$A)</f>
        <v>P29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MstLgwRenbanModuleExportInput{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T29</v>
      </c>
      <c r="V3" s="11" t="str">
        <f>"V"&amp;COUNTA($A:$A)</f>
        <v>V29</v>
      </c>
      <c r="W3" s="10" t="str">
        <f>"W"&amp;COUNTA($A:$A)</f>
        <v>W29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MstLgwRenbanModule: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MstLgwRenbanModuleConsts	
	{
</v>
      </c>
      <c r="F6" s="11" t="str">
        <f>REPT(CHAR(9),1)&amp;"public class "&amp;B3&amp;"Dto"&amp;K3&amp;REPT(CHAR(9),1)&amp;"
"&amp;REPT(CHAR(9),1)&amp;C3</f>
        <v xml:space="preserve">	public class MstLgwRenbanModuleDto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CreateOrEditMstLgwRenbanModuleDto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GetMstLgwRenbanModuleInput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MstLgwRenbanModule</v>
      </c>
      <c r="C7" s="11" t="str">
        <f>REPT(CHAR(9),1)&amp;"[Table("""&amp;B7&amp;""")]"&amp;"
"</f>
        <v xml:space="preserve">	[Table("MstLgwRenbanModule")]
</v>
      </c>
      <c r="D7" s="11"/>
      <c r="E7" s="11"/>
      <c r="F7" s="11"/>
      <c r="G7" s="11"/>
      <c r="H7" s="11"/>
      <c r="I7" s="11"/>
      <c r="J7" s="6" t="str">
        <f ca="1">SUBSTITUTE(SUBSTITUTE((B1&amp;C6&amp;C7&amp;K31&amp;D6&amp;I31&amp;E3&amp;J31&amp;""&amp;REPT(CHAR(9),1)&amp;D3&amp;D3),"WorkingPattern",$Q$3),"Master",$B$4)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[Table("MstLgwRenbanModule")]
	[Index(nameof(Renban), Name="IX_MstLgwRenbanModule_Renban")]
	[Index(nameof(CaseNo), Name="IX_MstLgwRenbanModule_CaseNo")]
	[Index(nameof(SupplierNo), Name="IX_MstLgwRenbanModule_SupplierNo")]
	[Index(nameof(CaseOrder), Name="IX_MstLgwRenbanModule_CaseOrder")]
	[Index(nameof(IsActive), Name="IX_MstLgwRenbanModule_IsActive")]	public class MstLgwRenbanModule: FullAuditedEntity&lt;long&gt;, IEntity&lt;long&gt;	
	{
		public const int MaxRenbanLength = 50;
		public const int MaxCaseNoLength = 50;
		public const int MaxSupplierNoLength = 50;
		public const int MaxModuleTypeLength = 50;
		public const int MaxModuleSizeLength = 50;
		public const int MaxSortingTypeLength = 50;
		public const int MaxCaseTypeLength = 50;
		public const int MaxProdLineLength = 50;
		public const int MaxModelLength = 50;
		public const int MaxCfcLength = 50;
		public const int MaxWhLocLength = 50;
		public const int MaxIsUsePxpDataLength = 1;
		public const int MaxIsActiveLength = 1;
		[StringLength(MaxRenbanLength)]
		public virtual string Renban { get; set; }
		[StringLength(MaxCaseNoLength)]
		public virtual string CaseNo { get; set; }
		[StringLength(MaxSupplierNoLength)]
		public virtual string SupplierNo { get; set; }
		public virtual int MinModule { get; set; }
		public virtual int MaxModule { get; set; }
		public virtual int ModuleCapacity { get; set; }
		[StringLength(MaxModuleTypeLength)]
		public virtual string ModuleType { get; set; }
		[StringLength(MaxModuleSizeLength)]
		public virtual string ModuleSize { get; set; }
		[StringLength(MaxSortingTypeLength)]
		public virtual string SortingType { get; set; }
		public virtual int MinMod { get; set; }
		public virtual int MaxMod { get; set; }
		public virtual int MonitorVisualize { get; set; }
		public virtual int CaseOrder { get; set; }
		[StringLength(MaxCaseTypeLength)]
		public virtual string CaseType { get; set; }
		[StringLength(MaxProdLineLength)]
		public virtual string ProdLine { get; set; }
		[StringLength(MaxModelLength)]
		public virtual string Model { get; set; }
		[StringLength(MaxCfcLength)]
		public virtual string Cfc { get; set; }
		[StringLength(MaxWhLocLength)]
		public virtual string WhLoc { get; set; }
		[StringLength(MaxIsUsePxpDataLength)]
		public virtual string IsUsePxpData { get; set; }
		public virtual int UpLeadtime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DbSet&lt;MstLgwRenbanModule&gt; MstLgwRenbanModules { get; set; }</v>
      </c>
      <c r="L7" t="str">
        <f ca="1">SUBSTITUTE(SUBSTITUTE((C6&amp;E6&amp;I31&amp;"
"&amp;REPT(CHAR(9),2)&amp;"// Define Store Name: Format SP_ + &lt;Store Name&gt; = &lt;Store Name&gt;
"&amp;E3&amp;REPT(CHAR(9),1)&amp;D3&amp;D3),"WorkingPattern",$Q$3),"Master",$B$4)</f>
        <v xml:space="preserve">namespace vovina.Master.LogW
{
	public class MstLgwRenbanModuleConsts	
	{
		public const int MaxRenbanLength = 50;
		public const int MaxCaseNoLength = 50;
		public const int MaxSupplierNoLength = 50;
		public const int MaxModuleTypeLength = 50;
		public const int MaxModuleSizeLength = 50;
		public const int MaxSortingTypeLength = 50;
		public const int MaxCaseTypeLength = 50;
		public const int MaxProdLineLength = 50;
		public const int MaxModelLength = 50;
		public const int MaxCfcLength = 50;
		public const int MaxWhLocLength = 50;
		public const int MaxIsUsePxpDataLength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"&amp;B6&amp;".Dto"&amp;E3&amp;C3&amp;F6&amp;M31&amp;E3&amp;REPT(CHAR(9),1)&amp;D3&amp;G6&amp;N31&amp;REPT(CHAR(9),1)&amp;D3&amp;H6&amp;O31&amp;"
"&amp;REPT(CHAR(9),1)&amp;D3&amp;D3),"WorkingPattern",$Q$3),"Master",$B$4)</f>
        <v xml:space="preserve">using Abp.Application.Services.Dto;
using System;
using System.ComponentModel.DataAnnotations;
namespace vovina.Master.LogW.Dto
{
	public class MstLgwRenbanModuleDto : EntityDto&lt;long?&gt;	
	{
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	}
	public class CreateOrEditMstLgwRenbanModuleDto : EntityDto&lt;long?&gt;	
	{
		[StringLength(MstLgwRenbanModuleConsts.MaxRenbanLength)]
		public virtual string Renban { get; set; }
		[StringLength(MstLgwRenbanModuleConsts.MaxCaseNoLength)]
		public virtual string CaseNo { get; set; }
		[StringLength(MstLgwRenbanModuleConsts.MaxSupplierNoLength)]
		public virtual string SupplierNo { get; set; }
		public virtual int MinModule { get; set; }
		public virtual int MaxModule { get; set; }
		public virtual int ModuleCapacity { get; set; }
		[StringLength(MstLgwRenbanModuleConsts.MaxModuleTypeLength)]
		public virtual string ModuleType { get; set; }
		[StringLength(MstLgwRenbanModuleConsts.MaxModuleSizeLength)]
		public virtual string ModuleSize { get; set; }
		[StringLength(MstLgwRenbanModuleConsts.MaxSortingTypeLength)]
		public virtual string SortingType { get; set; }
		public virtual int MinMod { get; set; }
		public virtual int MaxMod { get; set; }
		public virtual int MonitorVisualize { get; set; }
		public virtual int CaseOrder { get; set; }
		[StringLength(MstLgwRenbanModuleConsts.MaxCaseTypeLength)]
		public virtual string CaseType { get; set; }
		[StringLength(MstLgwRenbanModuleConsts.MaxProdLineLength)]
		public virtual string ProdLine { get; set; }
		[StringLength(MstLgwRenbanModuleConsts.MaxModelLength)]
		public virtual string Model { get; set; }
		[StringLength(MstLgwRenbanModuleConsts.MaxCfcLength)]
		public virtual string Cfc { get; set; }
		[StringLength(MstLgwRenbanModuleConsts.MaxWhLocLength)]
		public virtual string WhLoc { get; set; }
		[StringLength(MstLgwRenbanModuleConsts.MaxIsUsePxpDataLength)]
		public virtual string IsUsePxpData { get; set; }
		public virtual int UpLeadtime { get; set; }
		[StringLength(MstLgwRenbanModuleConsts.MaxIsActiveLength)]
		public virtual string IsActive { get; set; }
	}
	public class GetMstLgwRenbanModuleInput : PagedAndSortedResultRequestDto	
	{
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perMstLgwRenbanModule = PARENTS.CreateChildPermission(AppPermissions.Pages_Master_LogW_RenbanModule, L( "MasterLogWRenbanModule"));
		perMstLgwRenbanModule.CreateChildPermission(AppPermissions.Pages_Master_LogW_RenbanModule_CreateEdit, L( "MasterLogWRenbanModuleCreateEdit"));
		perMstLgwRenbanModule.CreateChildPermission(AppPermissions.Pages_Master_LogW_RenbanModule_Delete, L( "MasterLogWRenbanModuleDelete"));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Pages_Master_LogW_RenbanModule = "Pages.Master.LogW.RenbanModule";
		public const string Pages_Master_LogW_RenbanModule_CreateEdit = "Pages.Master.LogW.RenbanModule.CreateEdit";
		public const string Pages_Master_LogW_RenbanModule_Delete = "Pages.Master.LogW.RenbanModule.Delete";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IMstLgwRenbanModuleAppService : IApplicationService
	{
		Task&lt;PagedResultDto&lt;MstLgwRenbanModuleDto&gt;&gt; GetAll(GetMstLgwRenbanModuleInput input);
		Task CreateOrEdit(CreateOrEditMstLgwRenbanModuleDto input);
		Task Delete(EntityDto input);
	}
}
</v>
      </c>
      <c r="Q7" t="str">
        <f ca="1">SUBSTITUTE(SUBSTITUTE(SUBSTITUTE(SUBSTITUTE(SUBSTITUTE(SUBSTITUTE(E1,"MstWptCalendar",$B$3),"&lt;PROPERTIES&gt;",P31),"Calendar",$B$5),"WorkingPattern",$Q$3),"Master",$B$4),"&lt;PARAMS_SEARCH&gt;",$W$31)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[AbpAuthorize(AppPermissions.Pages_Master_LogW_RenbanModule)]
    public class MstLgwRenbanModuleAppService : vovinaAppServiceBase, IMstLgwRenbanModuleAppService
    {
        private readonly IDapperRepository&lt;MstLgwRenbanModule, long&gt; _dapperRepo;
        private readonly IRepository&lt;MstLgwRenbanModule, long&gt; _repo;
        private readonly IMstLgwRenbanModuleExcelExporter _calendarListExcelExporter;
        public MstLgwRenbanModuleAppService(IRepository&lt;MstLgwRenbanModule,long&gt; repo, 
                                         IDapperRepository&lt;MstLgwRenbanModule,long&gt; dapperRepo,
                                        IMstLgwRenbanModuleExcelExporter calendarListExcelExporter
            )
        {
            _repo = repo;
            _dapperRepo = dapperRepo;
            _calendarListExcelExporter = calendarListExcelExporter;
        }
        [AbpAuthorize(AppPermissions.Pages_Master_LogW_RenbanModule_CreateEdit)]
        public async Task CreateOrEdit(CreateOrEditMstLgwRenbanModuleDto input)
        {
            if (input.Id == null) await Create(input);
            else await Update(input);
        }
        //CREATE
        private async Task Create(CreateOrEditMstLgwRenbanModuleDto input)
        {          
            var mainObj = ObjectMapper.Map&lt;MstLgwRenbanModule&gt;(input);
            await CurrentUnitOfWork.GetDbContext&lt;vovinaDbContext&gt;().AddAsync(mainObj);
        }
        // EDIT
        private async Task Update(CreateOrEditMstLgwRenbanModuleDto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[AbpAuthorize(AppPermissions.Pages_Master_LogW_RenbanModule_Delete)]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Task&lt;PagedResultDto&lt;MstLgwRenbanModuleDto&gt;&gt; GetAll(GetMstLgwRenbanModuleInput input)
        {
            var filtered = _repo.GetAll()
				.WhereIf(!string.IsNullOrWhiteSpace(input.Renban), e =&gt; e.Renban.Contains(input.Renban))
				.WhereIf(!string.IsNullOrWhiteSpace(input.CaseNo), e =&gt; e.CaseNo.Contains(input.CaseNo))
				.WhereIf(!string.IsNullOrWhiteSpace(input.SupplierNo), e =&gt; e.SupplierNo.Contains(input.SupplierNo))
				.WhereIf(!string.IsNullOrWhiteSpace(input.ModuleType), e =&gt; e.ModuleType.Contains(input.ModuleType))
				.WhereIf(!string.IsNullOrWhiteSpace(input.ModuleSize), e =&gt; e.ModuleSize.Contains(input.ModuleSize))
				.WhereIf(!string.IsNullOrWhiteSpace(input.SortingType), e =&gt; e.SortingType.Contains(input.SortingType))
				.WhereIf(!string.IsNullOrWhiteSpace(input.CaseType), e =&gt; e.CaseType.Contains(input.CaseType))
				.WhereIf(!string.IsNullOrWhiteSpace(input.ProdLine), e =&gt; e.ProdLine.Contains(input.ProdLine))
				.WhereIf(!string.IsNullOrWhiteSpace(input.Model), e =&gt; e.Model.Contains(input.Model))
				.WhereIf(!string.IsNullOrWhiteSpace(input.Cfc), e =&gt; e.Cfc.Contains(input.Cfc))
				.WhereIf(!string.IsNullOrWhiteSpace(input.WhLoc), e =&gt; e.WhLoc.Contains(input.WhLoc))
				.WhereIf(!string.IsNullOrWhiteSpace(input.IsUsePxpData), e =&gt; e.IsUsePxpData.Contains(input.IsUsePxpData))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MstLgwRenbanModuleDto
                        {
							Id = o.Id,
							Renban = o.Renban,
							CaseNo = o.CaseNo,
							SupplierNo = o.SupplierNo,
							MinModule = o.MinModule,
							MaxModule = o.MaxModule,
							ModuleCapacity = o.ModuleCapacity,
							ModuleType = o.ModuleType,
							ModuleSize = o.ModuleSize,
							SortingType = o.SortingType,
							MinMod = o.MinMod,
							MaxMod = o.MaxMod,
							MonitorVisualize = o.MonitorVisualize,
							CaseOrder = o.CaseOrder,
							CaseType = o.CaseType,
							ProdLine = o.ProdLine,
							Model = o.Model,
							Cfc = o.Cfc,
							WhLoc = o.WhLoc,
							IsUsePxpData = o.IsUsePxpData,
							UpLeadtime = o.UpLeadtime,
							IsActive = o.IsActive,
                        };
            var totalCount = await filtered.CountAsync();
			var paged = system.PageBy(input);
            return new PagedResultDto&lt;MstLgwRenbanModuleDto&gt;(
                totalCount,
                 await paged.ToListAsync()
            );
        }
        public async Task&lt;FileDto&gt; GetRenbanModuleToExcel(MstLgwRenbanModuleExportInput input)
        {
            var query = from o in _repo.GetAll()
                        select new MstLgwRenbanModuleDto
                        {
							Id = o.Id,
							Renban = o.Renban,
							CaseNo = o.CaseNo,
							SupplierNo = o.SupplierNo,
							MinModule = o.MinModule,
							MaxModule = o.MaxModule,
							ModuleCapacity = o.ModuleCapacity,
							ModuleType = o.ModuleType,
							ModuleSize = o.ModuleSize,
							SortingType = o.SortingType,
							MinMod = o.MinMod,
							MaxMod = o.MaxMod,
							MonitorVisualize = o.MonitorVisualize,
							CaseOrder = o.CaseOrder,
							CaseType = o.CaseType,
							ProdLine = o.ProdLine,
							Model = o.Model,
							Cfc = o.Cfc,
							WhLoc = o.WhLoc,
							IsUsePxpData = o.IsUsePxpData,
							UpLeadtime = o.UpLeadtime,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_dapperRepo.ExecuteAsync(MstLgwRenbanModuleConsts.SP_MST_WPT_CALENDAR_GENERATE);
       // }
    }
}</v>
      </c>
      <c r="R7" t="str">
        <f ca="1">SUBSTITUTE(SUBSTITUTE((C1&amp;"namespace "&amp;B6&amp;".Dto"&amp;E3&amp;C3&amp;R3&amp;M31&amp;E3&amp;REPT(CHAR(9),1)&amp;D3&amp;D3),"WorkingPattern",$Q$3),"Master",$B$4)</f>
        <v xml:space="preserve">using Abp.Application.Services.Dto;
using System;
using System.ComponentModel.DataAnnotations;
namespace vovina.Master.LogW.Dto
{
	public class MstLgwRenbanModuleExportInput{
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IMstLgwRenbanModuleExcelExporter : IApplicationService
	{
		FileDto ExportToFile(List&lt;MstLgwRenbanModuleDto&gt; mstlgwrenbanmodule);
	}
}
</v>
      </c>
      <c r="T7" s="28" t="str">
        <f ca="1">SUBSTITUTE(SUBSTITUTE(SUBSTITUTE(SUBSTITUTE(SUBSTITUTE(SUBSTITUTE(SUBSTITUTE(T1,"MstWptCalendar",$B$3),"&lt;PROPERTIES1&gt;",V31),"&lt;PROPERTIES&gt;",T31),"Calendar",$B$5),"calendar",LOWER(B5)),"WorkingPattern",$Q$3),"Master",$B$4)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MstLgwRenbanModuleExcelExporter : NpoiExcelExporterBase, IMstLgwRenbanModuleExcelExporter
    {
        public MstLgwRenbanModuleExcelExporter(ITempFileCacheManager tempFileCacheManager) : base(tempFileCacheManager) { }
        public FileDto ExportToFile(List&lt;MstLgwRenbanModuleDto&gt; renbanmodule)
        {
            return CreateExcelPackage(
				"MasterLogWRenbanModule.xlsx",
				excelPackage =&gt;
				 {
					var sheet = excelPackage.CreateSheet("RenbanModule");
					AddHeader(
								sheet,
								("Renban"),
								("CaseNo"),
								("SupplierNo"),
								("MinModule"),
								("MaxModule"),
								("ModuleCapacity"),
								("ModuleType"),
								("ModuleSize"),
								("SortingType"),
								("MinMod"),
								("MaxMod"),
								("MonitorVisualize"),
								("CaseOrder"),
								("CaseType"),
								("ProdLine"),
								("Model"),
								("Cfc"),
								("WhLoc"),
								("IsUsePxpData"),
								("UpLeadtime"),
								("IsActive"),
							   );
					AddObjects(
						 sheet, 1, renbanmodule,                                       
								_ =&gt; _.Renban,
								_ =&gt; _.CaseNo,
								_ =&gt; _.SupplierNo,
								_ =&gt; _.MinModule,
								_ =&gt; _.MaxModule,
								_ =&gt; _.ModuleCapacity,
								_ =&gt; _.ModuleType,
								_ =&gt; _.ModuleSize,
								_ =&gt; _.SortingType,
								_ =&gt; _.MinMod,
								_ =&gt; _.MaxMod,
								_ =&gt; _.MonitorVisualize,
								_ =&gt; _.CaseOrder,
								_ =&gt; _.CaseType,
								_ =&gt; _.ProdLine,
								_ =&gt; _.Model,
								_ =&gt; _.Cfc,
								_ =&gt; _.WhLoc,
								_ =&gt; _.IsUsePxpData,
								_ =&gt; _.UpLeadtime,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configuration.CreateMap&lt;MstLgwRenbanModuleDto, MstLgwRenbanModule&gt;();
  configuration.CreateMap&lt;MstLgwRenbanModule, MstLgwRenbanModuleDto&gt;();
  configuration.CreateMap&lt;CreateOrEditMstLgwRenbanModuleDto, MstLgwRenbanModule&gt;();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304</v>
      </c>
      <c r="C9" t="s">
        <v>1</v>
      </c>
      <c r="D9" t="str">
        <f>SUBSTITUTE(PROPER(A9),"_","")</f>
        <v>Renban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MaxRenbanLength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[StringLength(MaxRenbanLength)]
		public virtual string Renban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[Index(nameof(Renban), Name="IX_MstLgwRenbanModule_Renban")]</v>
      </c>
      <c r="M9" t="str">
        <f>REPT(CHAR(9),2)&amp;"public virtual "&amp;IF(OR(H9="DateTime",H9="TimeSpan"),H9&amp;"?",H9)&amp;IF(C9="?","? "," ")&amp;D9&amp;" { get; set; }" &amp; "
"</f>
        <v xml:space="preserve">		public virtual string Renban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[StringLength(MstLgwRenbanModuleConsts.MaxRenbanLength)]
		public virtual string Renban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Renban { get; set; }
</v>
      </c>
      <c r="P9" t="str">
        <f t="shared" ref="P9:P11" si="4">REPT(CHAR(9),7)&amp;D9&amp;" = o." &amp;D9 &amp;","</f>
        <v xml:space="preserve">							Renban = o.Renban,</v>
      </c>
      <c r="T9" s="69" t="str">
        <f>REPT(CHAR(9),8)&amp;"("""&amp;D9&amp;"""),"</f>
        <v xml:space="preserve">								("Renban"),</v>
      </c>
      <c r="V9" s="70" t="str">
        <f>REPT(CHAR(9),8)&amp;"_ =&gt; _."&amp;D9&amp;","</f>
        <v xml:space="preserve">								_ =&gt; _.Renban,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.WhereIf(!string.IsNullOrWhiteSpace(input.Renban), e =&gt; e.Renban.Contains(input.Renban))</v>
      </c>
    </row>
    <row r="10" spans="1:23" customFormat="1" ht="21" customHeight="1" x14ac:dyDescent="0.25">
      <c r="A10" t="s">
        <v>306</v>
      </c>
      <c r="B10" t="s">
        <v>304</v>
      </c>
      <c r="C10" t="s">
        <v>1</v>
      </c>
      <c r="D10" t="str">
        <f t="shared" ref="D10:D11" si="5">SUBSTITUTE(PROPER(A10),"_","")</f>
        <v>CaseNo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MaxCaseNoLength = 50;
</v>
      </c>
      <c r="J10" t="str">
        <f t="shared" si="3"/>
        <v xml:space="preserve">		[StringLength(MaxCaseNoLength)]
		public virtual string CaseNo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[Index(nameof(CaseNo), Name="IX_MstLgwRenbanModule_CaseNo")]</v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string CaseNo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[StringLength(MstLgwRenbanModuleConsts.MaxCaseNoLength)]
		public virtual string CaseNo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string CaseNo { get; set; }
</v>
      </c>
      <c r="P10" t="str">
        <f t="shared" si="4"/>
        <v xml:space="preserve">							CaseNo = o.CaseNo,</v>
      </c>
      <c r="T10" s="69" t="str">
        <f t="shared" ref="T10:T12" si="10">REPT(CHAR(9),8)&amp;"("""&amp;D10&amp;"""),"</f>
        <v xml:space="preserve">								("CaseNo"),</v>
      </c>
      <c r="V10" s="70" t="str">
        <f t="shared" ref="V10:V12" si="11">REPT(CHAR(9),8)&amp;"_ =&gt; _."&amp;D10&amp;","</f>
        <v xml:space="preserve">								_ =&gt; _.CaseNo,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.WhereIf(!string.IsNullOrWhiteSpace(input.CaseNo), e =&gt; e.CaseNo.Contains(input.CaseNo))</v>
      </c>
    </row>
    <row r="11" spans="1:23" customFormat="1" ht="18.75" customHeight="1" x14ac:dyDescent="0.25">
      <c r="A11" t="s">
        <v>301</v>
      </c>
      <c r="B11" t="s">
        <v>304</v>
      </c>
      <c r="C11" t="s">
        <v>1</v>
      </c>
      <c r="D11" t="str">
        <f t="shared" si="5"/>
        <v>SupplierNo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MaxSupplierNoLength = 50;
</v>
      </c>
      <c r="J11" t="str">
        <f t="shared" si="3"/>
        <v xml:space="preserve">		[StringLength(MaxSupplierNoLength)]
		public virtual string SupplierNo { get; set; }
</v>
      </c>
      <c r="K11" s="7" t="s">
        <v>206</v>
      </c>
      <c r="L11" t="str">
        <f t="shared" si="6"/>
        <v xml:space="preserve">	[Index(nameof(SupplierNo), Name="IX_MstLgwRenbanModule_SupplierNo")]</v>
      </c>
      <c r="M11" t="str">
        <f t="shared" si="7"/>
        <v xml:space="preserve">		public virtual string SupplierNo { get; set; }
</v>
      </c>
      <c r="N11" t="str">
        <f t="shared" si="8"/>
        <v xml:space="preserve">		[StringLength(MstLgwRenbanModuleConsts.MaxSupplierNoLength)]
		public virtual string SupplierNo { get; set; }
</v>
      </c>
      <c r="O11" t="str">
        <f t="shared" si="9"/>
        <v xml:space="preserve">		public virtual string SupplierNo { get; set; }
</v>
      </c>
      <c r="P11" t="str">
        <f t="shared" si="4"/>
        <v xml:space="preserve">							SupplierNo = o.SupplierNo,</v>
      </c>
      <c r="T11" s="69" t="str">
        <f t="shared" si="10"/>
        <v xml:space="preserve">								("SupplierNo"),</v>
      </c>
      <c r="V11" s="70" t="str">
        <f t="shared" si="11"/>
        <v xml:space="preserve">								_ =&gt; _.SupplierNo,</v>
      </c>
      <c r="W11" s="69" t="str">
        <f t="shared" si="12"/>
        <v xml:space="preserve">				.WhereIf(!string.IsNullOrWhiteSpace(input.SupplierNo), e =&gt; e.SupplierNo.Contains(input.SupplierNo))</v>
      </c>
    </row>
    <row r="12" spans="1:23" customFormat="1" ht="21" customHeight="1" x14ac:dyDescent="0.25">
      <c r="A12" t="s">
        <v>311</v>
      </c>
      <c r="B12" t="s">
        <v>4</v>
      </c>
      <c r="C12" t="s">
        <v>1</v>
      </c>
      <c r="D12" t="str">
        <f t="shared" ref="D12" si="13">SUBSTITUTE(PROPER(A12),"_","")</f>
        <v>MinModule</v>
      </c>
      <c r="E12" t="str">
        <f t="shared" ref="E12" si="14">IFERROR(LEFT(B12, FIND("(",B12)-1),B12)</f>
        <v>int</v>
      </c>
      <c r="F12" s="7"/>
      <c r="G12" t="str">
        <f t="shared" ref="G12" si="15">IFERROR(MID(B12,FIND("(",B12) +1, FIND(")",B12) - FIND("(",B12) - 1),"")</f>
        <v/>
      </c>
      <c r="H12" t="str">
        <f>+VLOOKUP(E12,'Data Type Mapping'!A:B,2,)</f>
        <v>int</v>
      </c>
      <c r="I12" t="str">
        <f t="shared" ref="I12" si="16">IF(H12="string",REPT(CHAR(9),2)&amp;"public const int Max"&amp;D12&amp;"Length = "&amp;G12&amp;";"&amp;$E$3,"" )</f>
        <v/>
      </c>
      <c r="J12" t="str">
        <f t="shared" ref="J12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MinModule { get; set; }
</v>
      </c>
      <c r="K12" s="7"/>
      <c r="L12" t="str">
        <f t="shared" ref="L12" si="18"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int MinModule { get; set; }
</v>
      </c>
      <c r="N12" t="str">
        <f t="shared" si="8"/>
        <v xml:space="preserve">		public virtual int MinModule { get; set; }
</v>
      </c>
      <c r="O12" t="str">
        <f t="shared" si="9"/>
        <v xml:space="preserve">		public virtual int MinModule { get; set; }
</v>
      </c>
      <c r="P12" t="str">
        <f t="shared" ref="P12" si="19">REPT(CHAR(9),7)&amp;D12&amp;" = o." &amp;D12 &amp;","</f>
        <v xml:space="preserve">							MinModule = o.MinModule,</v>
      </c>
      <c r="T12" s="69" t="str">
        <f t="shared" si="10"/>
        <v xml:space="preserve">								("MinModule"),</v>
      </c>
      <c r="V12" s="70" t="str">
        <f t="shared" si="11"/>
        <v xml:space="preserve">								_ =&gt; _.MinModule,</v>
      </c>
      <c r="W12" s="69" t="str">
        <f t="shared" si="12"/>
        <v/>
      </c>
    </row>
    <row r="13" spans="1:23" customFormat="1" ht="22.5" customHeight="1" x14ac:dyDescent="0.25">
      <c r="A13" t="s">
        <v>312</v>
      </c>
      <c r="B13" t="s">
        <v>4</v>
      </c>
      <c r="C13" t="s">
        <v>1</v>
      </c>
      <c r="D13" t="str">
        <f>SUBSTITUTE(PROPER(A13),"_","")</f>
        <v>MaxModule</v>
      </c>
      <c r="E13" t="str">
        <f t="shared" ref="E13:E29" si="20">IFERROR(LEFT(B13, FIND("(",B13)-1),B13)</f>
        <v>int</v>
      </c>
      <c r="F13" s="7"/>
      <c r="G13" t="str">
        <f t="shared" ref="G13:G29" si="21">IFERROR(MID(B13,FIND("(",B13) +1, FIND(")",B13) - FIND("(",B13) - 1),"")</f>
        <v/>
      </c>
      <c r="H13" t="str">
        <f>+VLOOKUP(E13,'Data Type Mapping'!A:B,2,)</f>
        <v>int</v>
      </c>
      <c r="I13" t="str">
        <f t="shared" ref="I13:I29" si="22">IF(H13="string",REPT(CHAR(9),2)&amp;"public const int Max"&amp;D13&amp;"Length = "&amp;G13&amp;";"&amp;$E$3,"" )</f>
        <v/>
      </c>
      <c r="J13" t="str">
        <f t="shared" ref="J13:J29" si="2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 MaxModule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:M29" si="24">REPT(CHAR(9),2)&amp;"public virtual "&amp;IF(OR(H13="DateTime",H13="TimeSpan"),H13&amp;"?",H13)&amp;IF(C13="?","? "," ")&amp;D13&amp;" { get; set; }" &amp; "
"</f>
        <v xml:space="preserve">		public virtual int MaxModule { get; set; }
</v>
      </c>
      <c r="N13" t="str">
        <f t="shared" ref="N13:N29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 MaxModule { get; set; }
</v>
      </c>
      <c r="O13" t="str">
        <f t="shared" ref="O13:O29" si="26">IF(OR(H13="string",H13="DateTime",H13="int"),REPT(CHAR(9),2)&amp;"public virtual "&amp;IF(OR(H13="DateTime",H13="TimeSpan"),H13&amp;"?",H13)&amp;IF(C13="?","? "," ")&amp;D13&amp;" { get; set; }"&amp;$E$3,"")</f>
        <v xml:space="preserve">		public virtual int MaxModule { get; set; }
</v>
      </c>
      <c r="P13" t="str">
        <f t="shared" ref="P13:P29" si="27">REPT(CHAR(9),7)&amp;D13&amp;" = o." &amp;D13 &amp;","</f>
        <v xml:space="preserve">							MaxModule = o.MaxModule,</v>
      </c>
      <c r="T13" s="69" t="str">
        <f t="shared" ref="T13:T29" si="28">REPT(CHAR(9),8)&amp;"("""&amp;D13&amp;"""),"</f>
        <v xml:space="preserve">								("MaxModule"),</v>
      </c>
      <c r="V13" s="70" t="str">
        <f t="shared" ref="V13:V29" si="29">REPT(CHAR(9),8)&amp;"_ =&gt; _."&amp;D13&amp;","</f>
        <v xml:space="preserve">								_ =&gt; _.MaxModule,</v>
      </c>
      <c r="W13" s="69" t="str">
        <f t="shared" ref="W13:W29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21" customHeight="1" x14ac:dyDescent="0.25">
      <c r="A14" t="s">
        <v>313</v>
      </c>
      <c r="B14" t="s">
        <v>4</v>
      </c>
      <c r="C14" t="s">
        <v>1</v>
      </c>
      <c r="D14" t="str">
        <f t="shared" ref="D14:D16" si="31">SUBSTITUTE(PROPER(A14),"_","")</f>
        <v>ModuleCapacity</v>
      </c>
      <c r="E14" t="str">
        <f t="shared" si="20"/>
        <v>int</v>
      </c>
      <c r="F14" s="7"/>
      <c r="G14" t="str">
        <f t="shared" si="21"/>
        <v/>
      </c>
      <c r="H14" t="str">
        <f>+VLOOKUP(E14,'Data Type Mapping'!A:B,2,)</f>
        <v>int</v>
      </c>
      <c r="I14" t="str">
        <f t="shared" si="22"/>
        <v/>
      </c>
      <c r="J14" t="str">
        <f t="shared" si="23"/>
        <v xml:space="preserve">		public virtual int ModuleCapacity { get; set; }
</v>
      </c>
      <c r="K14" s="7"/>
      <c r="L14" t="str">
        <f t="shared" ref="L14:L16" si="32">IF(K14="","",REPT(CHAR(9),1)&amp;"[Index(nameof("&amp;IF(D14="","",""&amp;D14)&amp;")"&amp;", Name="&amp;"""IX_"&amp;$B$7&amp;"_"&amp;D14&amp;""")]")</f>
        <v/>
      </c>
      <c r="M14" t="str">
        <f t="shared" si="24"/>
        <v xml:space="preserve">		public virtual int ModuleCapacity { get; set; }
</v>
      </c>
      <c r="N14" t="str">
        <f t="shared" si="25"/>
        <v xml:space="preserve">		public virtual int ModuleCapacity { get; set; }
</v>
      </c>
      <c r="O14" t="str">
        <f t="shared" si="26"/>
        <v xml:space="preserve">		public virtual int ModuleCapacity { get; set; }
</v>
      </c>
      <c r="P14" t="str">
        <f t="shared" si="27"/>
        <v xml:space="preserve">							ModuleCapacity = o.ModuleCapacity,</v>
      </c>
      <c r="T14" s="69" t="str">
        <f t="shared" si="28"/>
        <v xml:space="preserve">								("ModuleCapacity"),</v>
      </c>
      <c r="V14" s="70" t="str">
        <f t="shared" si="29"/>
        <v xml:space="preserve">								_ =&gt; _.ModuleCapacity,</v>
      </c>
      <c r="W14" s="69" t="str">
        <f t="shared" si="30"/>
        <v/>
      </c>
    </row>
    <row r="15" spans="1:23" customFormat="1" ht="18.75" customHeight="1" x14ac:dyDescent="0.25">
      <c r="A15" t="s">
        <v>321</v>
      </c>
      <c r="B15" t="s">
        <v>304</v>
      </c>
      <c r="C15" t="s">
        <v>1</v>
      </c>
      <c r="D15" t="str">
        <f t="shared" ref="D15" si="33">SUBSTITUTE(PROPER(A15),"_","")</f>
        <v>ModuleType</v>
      </c>
      <c r="E15" t="str">
        <f t="shared" ref="E15" si="34">IFERROR(LEFT(B15, FIND("(",B15)-1),B15)</f>
        <v>varchar</v>
      </c>
      <c r="F15" s="7"/>
      <c r="G15" t="str">
        <f t="shared" ref="G15" si="35">IFERROR(MID(B15,FIND("(",B15) +1, FIND(")",B15) - FIND("(",B15) - 1),"")</f>
        <v>50</v>
      </c>
      <c r="H15" t="str">
        <f>+VLOOKUP(E15,'Data Type Mapping'!A:B,2,)</f>
        <v>string</v>
      </c>
      <c r="I15" t="str">
        <f t="shared" ref="I15" si="36">IF(H15="string",REPT(CHAR(9),2)&amp;"public const int Max"&amp;D15&amp;"Length = "&amp;G15&amp;";"&amp;$E$3,"" )</f>
        <v xml:space="preserve">		public const int MaxModuleTypeLength = 50;
</v>
      </c>
      <c r="J15" t="str">
        <f t="shared" ref="J15" si="3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[StringLength(MaxModuleTypeLength)]
		public virtual string ModuleType { get; set; }
</v>
      </c>
      <c r="K15" s="7"/>
      <c r="L15" t="str">
        <f t="shared" ref="L15" si="38">IF(K15="","",REPT(CHAR(9),1)&amp;"[Index(nameof("&amp;IF(D15="","",""&amp;D15)&amp;")"&amp;", Name="&amp;"""IX_"&amp;$B$7&amp;"_"&amp;D15&amp;""")]")</f>
        <v/>
      </c>
      <c r="M15" t="str">
        <f t="shared" ref="M15" si="39">REPT(CHAR(9),2)&amp;"public virtual "&amp;IF(OR(H15="DateTime",H15="TimeSpan"),H15&amp;"?",H15)&amp;IF(C15="?","? "," ")&amp;D15&amp;" { get; set; }" &amp; "
"</f>
        <v xml:space="preserve">		public virtual string ModuleType { get; set; }
</v>
      </c>
      <c r="N15" t="str">
        <f t="shared" ref="N15" si="4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[StringLength(MstLgwRenbanModuleConsts.MaxModuleTypeLength)]
		public virtual string ModuleType { get; set; }
</v>
      </c>
      <c r="O15" t="str">
        <f t="shared" ref="O15" si="41">IF(OR(H15="string",H15="DateTime",H15="int"),REPT(CHAR(9),2)&amp;"public virtual "&amp;IF(OR(H15="DateTime",H15="TimeSpan"),H15&amp;"?",H15)&amp;IF(C15="?","? "," ")&amp;D15&amp;" { get; set; }"&amp;$E$3,"")</f>
        <v xml:space="preserve">		public virtual string ModuleType { get; set; }
</v>
      </c>
      <c r="P15" t="str">
        <f t="shared" ref="P15" si="42">REPT(CHAR(9),7)&amp;D15&amp;" = o." &amp;D15 &amp;","</f>
        <v xml:space="preserve">							ModuleType = o.ModuleType,</v>
      </c>
      <c r="T15" s="69" t="str">
        <f t="shared" ref="T15" si="43">REPT(CHAR(9),8)&amp;"("""&amp;D15&amp;"""),"</f>
        <v xml:space="preserve">								("ModuleType"),</v>
      </c>
      <c r="V15" s="70" t="str">
        <f t="shared" ref="V15" si="44">REPT(CHAR(9),8)&amp;"_ =&gt; _."&amp;D15&amp;","</f>
        <v xml:space="preserve">								_ =&gt; _.ModuleType,</v>
      </c>
      <c r="W15" s="69" t="str">
        <f t="shared" ref="W15" si="4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.WhereIf(!string.IsNullOrWhiteSpace(input.ModuleType), e =&gt; e.ModuleType.Contains(input.ModuleType))</v>
      </c>
    </row>
    <row r="16" spans="1:23" customFormat="1" ht="18.75" customHeight="1" x14ac:dyDescent="0.25">
      <c r="A16" t="s">
        <v>314</v>
      </c>
      <c r="B16" t="s">
        <v>304</v>
      </c>
      <c r="C16" t="s">
        <v>1</v>
      </c>
      <c r="D16" t="str">
        <f t="shared" si="31"/>
        <v>ModuleSize</v>
      </c>
      <c r="E16" t="str">
        <f t="shared" si="20"/>
        <v>varchar</v>
      </c>
      <c r="F16" s="7"/>
      <c r="G16" t="str">
        <f t="shared" si="21"/>
        <v>50</v>
      </c>
      <c r="H16" t="str">
        <f>+VLOOKUP(E16,'Data Type Mapping'!A:B,2,)</f>
        <v>string</v>
      </c>
      <c r="I16" t="str">
        <f t="shared" si="22"/>
        <v xml:space="preserve">		public const int MaxModuleSizeLength = 50;
</v>
      </c>
      <c r="J16" t="str">
        <f t="shared" si="23"/>
        <v xml:space="preserve">		[StringLength(MaxModuleSizeLength)]
		public virtual string ModuleSize { get; set; }
</v>
      </c>
      <c r="K16" s="7"/>
      <c r="L16" t="str">
        <f t="shared" si="32"/>
        <v/>
      </c>
      <c r="M16" t="str">
        <f t="shared" si="24"/>
        <v xml:space="preserve">		public virtual string ModuleSize { get; set; }
</v>
      </c>
      <c r="N16" t="str">
        <f t="shared" si="25"/>
        <v xml:space="preserve">		[StringLength(MstLgwRenbanModuleConsts.MaxModuleSizeLength)]
		public virtual string ModuleSize { get; set; }
</v>
      </c>
      <c r="O16" t="str">
        <f t="shared" si="26"/>
        <v xml:space="preserve">		public virtual string ModuleSize { get; set; }
</v>
      </c>
      <c r="P16" t="str">
        <f t="shared" si="27"/>
        <v xml:space="preserve">							ModuleSize = o.ModuleSize,</v>
      </c>
      <c r="T16" s="69" t="str">
        <f t="shared" si="28"/>
        <v xml:space="preserve">								("ModuleSize"),</v>
      </c>
      <c r="V16" s="70" t="str">
        <f t="shared" si="29"/>
        <v xml:space="preserve">								_ =&gt; _.ModuleSize,</v>
      </c>
      <c r="W16" s="69" t="str">
        <f t="shared" si="30"/>
        <v xml:space="preserve">				.WhereIf(!string.IsNullOrWhiteSpace(input.ModuleSize), e =&gt; e.ModuleSize.Contains(input.ModuleSize))</v>
      </c>
    </row>
    <row r="17" spans="1:23" customFormat="1" ht="22.5" customHeight="1" x14ac:dyDescent="0.25">
      <c r="A17" t="s">
        <v>322</v>
      </c>
      <c r="B17" t="s">
        <v>304</v>
      </c>
      <c r="C17" t="s">
        <v>1</v>
      </c>
      <c r="D17" t="str">
        <f>SUBSTITUTE(PROPER(A17),"_","")</f>
        <v>SortingType</v>
      </c>
      <c r="E17" t="str">
        <f>IFERROR(LEFT(B17, FIND("(",B17)-1),B17)</f>
        <v>varchar</v>
      </c>
      <c r="F17" s="7"/>
      <c r="G17" t="str">
        <f>IFERROR(MID(B17,FIND("(",B17) +1, FIND(")",B17) - FIND("(",B17) - 1),"")</f>
        <v>50</v>
      </c>
      <c r="H17" t="str">
        <f>+VLOOKUP(E17,'Data Type Mapping'!A:B,2,)</f>
        <v>string</v>
      </c>
      <c r="I17" t="str">
        <f>IF(H17="string",REPT(CHAR(9),2)&amp;"public const int Max"&amp;D17&amp;"Length = "&amp;G17&amp;";"&amp;$E$3,"" )</f>
        <v xml:space="preserve">		public const int MaxSortingTypeLength = 50;
</v>
      </c>
      <c r="J17" t="str">
        <f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[StringLength(MaxSortingTypeLength)]
		public virtual string SortingType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>REPT(CHAR(9),2)&amp;"public virtual "&amp;IF(OR(H17="DateTime",H17="TimeSpan"),H17&amp;"?",H17)&amp;IF(C17="?","? "," ")&amp;D17&amp;" { get; set; }" &amp; "
"</f>
        <v xml:space="preserve">		public virtual string SortingType { get; set; }
</v>
      </c>
      <c r="N17" t="str">
        <f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[StringLength(MstLgwRenbanModuleConsts.MaxSortingTypeLength)]
		public virtual string SortingType { get; set; }
</v>
      </c>
      <c r="O17" t="str">
        <f>IF(OR(H17="string",H17="DateTime",H17="int"),REPT(CHAR(9),2)&amp;"public virtual "&amp;IF(OR(H17="DateTime",H17="TimeSpan"),H17&amp;"?",H17)&amp;IF(C17="?","? "," ")&amp;D17&amp;" { get; set; }"&amp;$E$3,"")</f>
        <v xml:space="preserve">		public virtual string SortingType { get; set; }
</v>
      </c>
      <c r="P17" t="str">
        <f>REPT(CHAR(9),7)&amp;D17&amp;" = o." &amp;D17 &amp;","</f>
        <v xml:space="preserve">							SortingType = o.SortingType,</v>
      </c>
      <c r="T17" s="69" t="str">
        <f>REPT(CHAR(9),8)&amp;"("""&amp;D17&amp;"""),"</f>
        <v xml:space="preserve">								("SortingType"),</v>
      </c>
      <c r="V17" s="70" t="str">
        <f>REPT(CHAR(9),8)&amp;"_ =&gt; _."&amp;D17&amp;","</f>
        <v xml:space="preserve">								_ =&gt; _.SortingType,</v>
      </c>
      <c r="W17" s="69" t="str">
        <f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.WhereIf(!string.IsNullOrWhiteSpace(input.SortingType), e =&gt; e.SortingType.Contains(input.SortingType))</v>
      </c>
    </row>
    <row r="18" spans="1:23" customFormat="1" ht="22.5" customHeight="1" x14ac:dyDescent="0.25">
      <c r="A18" t="s">
        <v>316</v>
      </c>
      <c r="B18" t="s">
        <v>4</v>
      </c>
      <c r="C18" t="s">
        <v>1</v>
      </c>
      <c r="D18" t="str">
        <f>SUBSTITUTE(PROPER(A18),"_","")</f>
        <v>MinMod</v>
      </c>
      <c r="E18" t="str">
        <f t="shared" ref="E18:E28" si="46">IFERROR(LEFT(B18, FIND("(",B18)-1),B18)</f>
        <v>int</v>
      </c>
      <c r="F18" s="7"/>
      <c r="G18" t="str">
        <f t="shared" ref="G18:G28" si="47">IFERROR(MID(B18,FIND("(",B18) +1, FIND(")",B18) - FIND("(",B18) - 1),"")</f>
        <v/>
      </c>
      <c r="H18" t="str">
        <f>+VLOOKUP(E18,'Data Type Mapping'!A:B,2,)</f>
        <v>int</v>
      </c>
      <c r="I18" t="str">
        <f t="shared" ref="I18:I28" si="48">IF(H18="string",REPT(CHAR(9),2)&amp;"public const int Max"&amp;D18&amp;"Length = "&amp;G18&amp;";"&amp;$E$3,"" )</f>
        <v/>
      </c>
      <c r="J18" t="str">
        <f t="shared" ref="J18:J28" si="4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 MinMod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 t="shared" ref="M18:M28" si="50">REPT(CHAR(9),2)&amp;"public virtual "&amp;IF(OR(H18="DateTime",H18="TimeSpan"),H18&amp;"?",H18)&amp;IF(C18="?","? "," ")&amp;D18&amp;" { get; set; }" &amp; "
"</f>
        <v xml:space="preserve">		public virtual int MinMod { get; set; }
</v>
      </c>
      <c r="N18" t="str">
        <f t="shared" ref="N18:N28" si="51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 MinMod { get; set; }
</v>
      </c>
      <c r="O18" t="str">
        <f t="shared" ref="O18:O28" si="52">IF(OR(H18="string",H18="DateTime",H18="int"),REPT(CHAR(9),2)&amp;"public virtual "&amp;IF(OR(H18="DateTime",H18="TimeSpan"),H18&amp;"?",H18)&amp;IF(C18="?","? "," ")&amp;D18&amp;" { get; set; }"&amp;$E$3,"")</f>
        <v xml:space="preserve">		public virtual int MinMod { get; set; }
</v>
      </c>
      <c r="P18" t="str">
        <f t="shared" ref="P18:P28" si="53">REPT(CHAR(9),7)&amp;D18&amp;" = o." &amp;D18 &amp;","</f>
        <v xml:space="preserve">							MinMod = o.MinMod,</v>
      </c>
      <c r="T18" s="69" t="str">
        <f t="shared" ref="T18:T28" si="54">REPT(CHAR(9),8)&amp;"("""&amp;D18&amp;"""),"</f>
        <v xml:space="preserve">								("MinMod"),</v>
      </c>
      <c r="V18" s="70" t="str">
        <f t="shared" ref="V18:V28" si="55">REPT(CHAR(9),8)&amp;"_ =&gt; _."&amp;D18&amp;","</f>
        <v xml:space="preserve">								_ =&gt; _.MinMod,</v>
      </c>
      <c r="W18" s="69" t="str">
        <f t="shared" ref="W18:W28" si="56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21" customHeight="1" x14ac:dyDescent="0.25">
      <c r="A19" t="s">
        <v>317</v>
      </c>
      <c r="B19" t="s">
        <v>4</v>
      </c>
      <c r="C19" t="s">
        <v>1</v>
      </c>
      <c r="D19" t="str">
        <f t="shared" ref="D19:D21" si="57">SUBSTITUTE(PROPER(A19),"_","")</f>
        <v>MaxMod</v>
      </c>
      <c r="E19" t="str">
        <f t="shared" si="46"/>
        <v>int</v>
      </c>
      <c r="F19" s="7"/>
      <c r="G19" t="str">
        <f t="shared" si="47"/>
        <v/>
      </c>
      <c r="H19" t="str">
        <f>+VLOOKUP(E19,'Data Type Mapping'!A:B,2,)</f>
        <v>int</v>
      </c>
      <c r="I19" t="str">
        <f t="shared" si="48"/>
        <v/>
      </c>
      <c r="J19" t="str">
        <f t="shared" si="49"/>
        <v xml:space="preserve">		public virtual int MaxMod { get; set; }
</v>
      </c>
      <c r="K19" s="7"/>
      <c r="L19" t="str">
        <f t="shared" ref="L19:L21" si="58">IF(K19="","",REPT(CHAR(9),1)&amp;"[Index(nameof("&amp;IF(D19="","",""&amp;D19)&amp;")"&amp;", Name="&amp;"""IX_"&amp;$B$7&amp;"_"&amp;D19&amp;""")]")</f>
        <v/>
      </c>
      <c r="M19" t="str">
        <f t="shared" si="50"/>
        <v xml:space="preserve">		public virtual int MaxMod { get; set; }
</v>
      </c>
      <c r="N19" t="str">
        <f t="shared" si="51"/>
        <v xml:space="preserve">		public virtual int MaxMod { get; set; }
</v>
      </c>
      <c r="O19" t="str">
        <f t="shared" si="52"/>
        <v xml:space="preserve">		public virtual int MaxMod { get; set; }
</v>
      </c>
      <c r="P19" t="str">
        <f t="shared" si="53"/>
        <v xml:space="preserve">							MaxMod = o.MaxMod,</v>
      </c>
      <c r="T19" s="69" t="str">
        <f t="shared" si="54"/>
        <v xml:space="preserve">								("MaxMod"),</v>
      </c>
      <c r="V19" s="70" t="str">
        <f t="shared" si="55"/>
        <v xml:space="preserve">								_ =&gt; _.MaxMod,</v>
      </c>
      <c r="W19" s="69" t="str">
        <f t="shared" si="56"/>
        <v/>
      </c>
    </row>
    <row r="20" spans="1:23" customFormat="1" ht="18.75" customHeight="1" x14ac:dyDescent="0.25">
      <c r="A20" t="s">
        <v>324</v>
      </c>
      <c r="B20" t="s">
        <v>4</v>
      </c>
      <c r="C20" t="s">
        <v>1</v>
      </c>
      <c r="D20" t="str">
        <f t="shared" ref="D20" si="59">SUBSTITUTE(PROPER(A20),"_","")</f>
        <v>MonitorVisualize</v>
      </c>
      <c r="E20" t="str">
        <f t="shared" ref="E20" si="60">IFERROR(LEFT(B20, FIND("(",B20)-1),B20)</f>
        <v>int</v>
      </c>
      <c r="F20" s="7"/>
      <c r="G20" t="str">
        <f t="shared" ref="G20" si="61">IFERROR(MID(B20,FIND("(",B20) +1, FIND(")",B20) - FIND("(",B20) - 1),"")</f>
        <v/>
      </c>
      <c r="H20" t="str">
        <f>+VLOOKUP(E20,'Data Type Mapping'!A:B,2,)</f>
        <v>int</v>
      </c>
      <c r="I20" t="str">
        <f t="shared" ref="I20" si="62">IF(H20="string",REPT(CHAR(9),2)&amp;"public const int Max"&amp;D20&amp;"Length = "&amp;G20&amp;";"&amp;$E$3,"" )</f>
        <v/>
      </c>
      <c r="J20" t="str">
        <f t="shared" ref="J20" si="63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int MonitorVisualize { get; set; }
</v>
      </c>
      <c r="K20" s="7"/>
      <c r="L20" t="str">
        <f t="shared" ref="L20" si="64">IF(K20="","",REPT(CHAR(9),1)&amp;"[Index(nameof("&amp;IF(D20="","",""&amp;D20)&amp;")"&amp;", Name="&amp;"""IX_"&amp;$B$7&amp;"_"&amp;D20&amp;""")]")</f>
        <v/>
      </c>
      <c r="M20" t="str">
        <f t="shared" ref="M20" si="65">REPT(CHAR(9),2)&amp;"public virtual "&amp;IF(OR(H20="DateTime",H20="TimeSpan"),H20&amp;"?",H20)&amp;IF(C20="?","? "," ")&amp;D20&amp;" { get; set; }" &amp; "
"</f>
        <v xml:space="preserve">		public virtual int MonitorVisualize { get; set; }
</v>
      </c>
      <c r="N20" t="str">
        <f t="shared" ref="N20" si="66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MonitorVisualize { get; set; }
</v>
      </c>
      <c r="O20" t="str">
        <f t="shared" ref="O20" si="67">IF(OR(H20="string",H20="DateTime",H20="int"),REPT(CHAR(9),2)&amp;"public virtual "&amp;IF(OR(H20="DateTime",H20="TimeSpan"),H20&amp;"?",H20)&amp;IF(C20="?","? "," ")&amp;D20&amp;" { get; set; }"&amp;$E$3,"")</f>
        <v xml:space="preserve">		public virtual int MonitorVisualize { get; set; }
</v>
      </c>
      <c r="P20" t="str">
        <f t="shared" ref="P20" si="68">REPT(CHAR(9),7)&amp;D20&amp;" = o." &amp;D20 &amp;","</f>
        <v xml:space="preserve">							MonitorVisualize = o.MonitorVisualize,</v>
      </c>
      <c r="T20" s="69" t="str">
        <f t="shared" ref="T20" si="69">REPT(CHAR(9),8)&amp;"("""&amp;D20&amp;"""),"</f>
        <v xml:space="preserve">								("MonitorVisualize"),</v>
      </c>
      <c r="V20" s="70" t="str">
        <f t="shared" ref="V20" si="70">REPT(CHAR(9),8)&amp;"_ =&gt; _."&amp;D20&amp;","</f>
        <v xml:space="preserve">								_ =&gt; _.MonitorVisualize,</v>
      </c>
      <c r="W20" s="69" t="str">
        <f t="shared" ref="W20" si="71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318</v>
      </c>
      <c r="B21" t="s">
        <v>4</v>
      </c>
      <c r="C21" t="s">
        <v>1</v>
      </c>
      <c r="D21" t="str">
        <f t="shared" si="57"/>
        <v>CaseOrder</v>
      </c>
      <c r="E21" t="str">
        <f t="shared" si="46"/>
        <v>int</v>
      </c>
      <c r="F21" s="7"/>
      <c r="G21" t="str">
        <f t="shared" si="47"/>
        <v/>
      </c>
      <c r="H21" t="str">
        <f>+VLOOKUP(E21,'Data Type Mapping'!A:B,2,)</f>
        <v>int</v>
      </c>
      <c r="I21" t="str">
        <f t="shared" si="48"/>
        <v/>
      </c>
      <c r="J21" t="str">
        <f t="shared" si="49"/>
        <v xml:space="preserve">		public virtual int CaseOrder { get; set; }
</v>
      </c>
      <c r="K21" s="7" t="s">
        <v>206</v>
      </c>
      <c r="L21" t="str">
        <f t="shared" si="58"/>
        <v xml:space="preserve">	[Index(nameof(CaseOrder), Name="IX_MstLgwRenbanModule_CaseOrder")]</v>
      </c>
      <c r="M21" t="str">
        <f t="shared" si="50"/>
        <v xml:space="preserve">		public virtual int CaseOrder { get; set; }
</v>
      </c>
      <c r="N21" t="str">
        <f t="shared" si="51"/>
        <v xml:space="preserve">		public virtual int CaseOrder { get; set; }
</v>
      </c>
      <c r="O21" t="str">
        <f t="shared" si="52"/>
        <v xml:space="preserve">		public virtual int CaseOrder { get; set; }
</v>
      </c>
      <c r="P21" t="str">
        <f t="shared" si="53"/>
        <v xml:space="preserve">							CaseOrder = o.CaseOrder,</v>
      </c>
      <c r="T21" s="69" t="str">
        <f t="shared" si="54"/>
        <v xml:space="preserve">								("CaseOrder"),</v>
      </c>
      <c r="V21" s="70" t="str">
        <f t="shared" si="55"/>
        <v xml:space="preserve">								_ =&gt; _.CaseOrder,</v>
      </c>
      <c r="W21" s="69" t="str">
        <f t="shared" si="56"/>
        <v/>
      </c>
    </row>
    <row r="22" spans="1:23" customFormat="1" ht="22.5" customHeight="1" x14ac:dyDescent="0.25">
      <c r="A22" t="s">
        <v>319</v>
      </c>
      <c r="B22" t="s">
        <v>304</v>
      </c>
      <c r="C22" t="s">
        <v>1</v>
      </c>
      <c r="D22" t="str">
        <f>SUBSTITUTE(PROPER(A22),"_","")</f>
        <v>CaseType</v>
      </c>
      <c r="E22" t="str">
        <f t="shared" si="46"/>
        <v>varchar</v>
      </c>
      <c r="F22" s="7"/>
      <c r="G22" t="str">
        <f t="shared" si="47"/>
        <v>50</v>
      </c>
      <c r="H22" t="str">
        <f>+VLOOKUP(E22,'Data Type Mapping'!A:B,2,)</f>
        <v>string</v>
      </c>
      <c r="I22" t="str">
        <f t="shared" si="48"/>
        <v xml:space="preserve">		public const int MaxCaseTypeLength = 50;
</v>
      </c>
      <c r="J22" t="str">
        <f t="shared" si="49"/>
        <v xml:space="preserve">		[StringLength(MaxCaseTypeLength)]
		public virtual string CaseType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50"/>
        <v xml:space="preserve">		public virtual string CaseType { get; set; }
</v>
      </c>
      <c r="N22" t="str">
        <f t="shared" si="51"/>
        <v xml:space="preserve">		[StringLength(MstLgwRenbanModuleConsts.MaxCaseTypeLength)]
		public virtual string CaseType { get; set; }
</v>
      </c>
      <c r="O22" t="str">
        <f t="shared" si="52"/>
        <v xml:space="preserve">		public virtual string CaseType { get; set; }
</v>
      </c>
      <c r="P22" t="str">
        <f t="shared" si="53"/>
        <v xml:space="preserve">							CaseType = o.CaseType,</v>
      </c>
      <c r="T22" s="69" t="str">
        <f t="shared" si="54"/>
        <v xml:space="preserve">								("CaseType"),</v>
      </c>
      <c r="V22" s="70" t="str">
        <f t="shared" si="55"/>
        <v xml:space="preserve">								_ =&gt; _.CaseType,</v>
      </c>
      <c r="W22" s="69" t="str">
        <f t="shared" si="56"/>
        <v xml:space="preserve">				.WhereIf(!string.IsNullOrWhiteSpace(input.CaseType), e =&gt; e.CaseType.Contains(input.CaseType))</v>
      </c>
    </row>
    <row r="23" spans="1:23" customFormat="1" ht="22.5" customHeight="1" x14ac:dyDescent="0.25">
      <c r="A23" t="s">
        <v>308</v>
      </c>
      <c r="B23" t="s">
        <v>304</v>
      </c>
      <c r="C23" t="s">
        <v>1</v>
      </c>
      <c r="D23" t="str">
        <f>SUBSTITUTE(PROPER(A23),"_","")</f>
        <v>ProdLine</v>
      </c>
      <c r="E23" t="str">
        <f t="shared" si="46"/>
        <v>varchar</v>
      </c>
      <c r="F23" s="7"/>
      <c r="G23" t="str">
        <f t="shared" si="47"/>
        <v>50</v>
      </c>
      <c r="H23" t="str">
        <f>+VLOOKUP(E23,'Data Type Mapping'!A:B,2,)</f>
        <v>string</v>
      </c>
      <c r="I23" t="str">
        <f t="shared" si="48"/>
        <v xml:space="preserve">		public const int MaxProdLineLength = 50;
</v>
      </c>
      <c r="J23" t="str">
        <f t="shared" si="49"/>
        <v xml:space="preserve">		[StringLength(MaxProdLineLength)]
		public virtual string ProdLine { get; set; }
</v>
      </c>
      <c r="K23" s="7"/>
      <c r="L23" t="str">
        <f>IF(K23="","",REPT(CHAR(9),1)&amp;"[Index(nameof("&amp;IF(D23="","",""&amp;D23)&amp;")"&amp;", Name="&amp;"""IX_"&amp;$B$7&amp;"_"&amp;D23&amp;""")]")</f>
        <v/>
      </c>
      <c r="M23" t="str">
        <f t="shared" si="50"/>
        <v xml:space="preserve">		public virtual string ProdLine { get; set; }
</v>
      </c>
      <c r="N23" t="str">
        <f t="shared" si="51"/>
        <v xml:space="preserve">		[StringLength(MstLgwRenbanModuleConsts.MaxProdLineLength)]
		public virtual string ProdLine { get; set; }
</v>
      </c>
      <c r="O23" t="str">
        <f t="shared" si="52"/>
        <v xml:space="preserve">		public virtual string ProdLine { get; set; }
</v>
      </c>
      <c r="P23" t="str">
        <f t="shared" si="53"/>
        <v xml:space="preserve">							ProdLine = o.ProdLine,</v>
      </c>
      <c r="T23" s="69" t="str">
        <f t="shared" si="54"/>
        <v xml:space="preserve">								("ProdLine"),</v>
      </c>
      <c r="V23" s="70" t="str">
        <f t="shared" si="55"/>
        <v xml:space="preserve">								_ =&gt; _.ProdLine,</v>
      </c>
      <c r="W23" s="69" t="str">
        <f t="shared" si="56"/>
        <v xml:space="preserve">				.WhereIf(!string.IsNullOrWhiteSpace(input.ProdLine), e =&gt; e.ProdLine.Contains(input.ProdLine))</v>
      </c>
    </row>
    <row r="24" spans="1:23" customFormat="1" ht="22.5" customHeight="1" x14ac:dyDescent="0.25">
      <c r="A24" t="s">
        <v>307</v>
      </c>
      <c r="B24" t="s">
        <v>304</v>
      </c>
      <c r="C24" t="s">
        <v>1</v>
      </c>
      <c r="D24" t="str">
        <f>SUBSTITUTE(PROPER(A24),"_","")</f>
        <v>Model</v>
      </c>
      <c r="E24" t="str">
        <f>IFERROR(LEFT(B24, FIND("(",B24)-1),B24)</f>
        <v>varchar</v>
      </c>
      <c r="F24" s="7"/>
      <c r="G24" t="str">
        <f>IFERROR(MID(B24,FIND("(",B24) +1, FIND(")",B24) - FIND("(",B24) - 1),"")</f>
        <v>50</v>
      </c>
      <c r="H24" t="str">
        <f>+VLOOKUP(E24,'Data Type Mapping'!A:B,2,)</f>
        <v>string</v>
      </c>
      <c r="I24" t="str">
        <f>IF(H24="string",REPT(CHAR(9),2)&amp;"public const int Max"&amp;D24&amp;"Length = "&amp;G24&amp;";"&amp;$E$3,"" )</f>
        <v xml:space="preserve">		public const int MaxModelLength = 50;
</v>
      </c>
      <c r="J24" t="str">
        <f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[StringLength(MaxModelLength)]
		public virtual string Model { get; set; }
</v>
      </c>
      <c r="K24" s="7"/>
      <c r="L24" t="str">
        <f>IF(K24="","",REPT(CHAR(9),1)&amp;"[Index(nameof("&amp;IF(D24="","",""&amp;D24)&amp;")"&amp;", Name="&amp;"""IX_"&amp;$B$7&amp;"_"&amp;D24&amp;""")]")</f>
        <v/>
      </c>
      <c r="M24" t="str">
        <f>REPT(CHAR(9),2)&amp;"public virtual "&amp;IF(OR(H24="DateTime",H24="TimeSpan"),H24&amp;"?",H24)&amp;IF(C24="?","? "," ")&amp;D24&amp;" { get; set; }" &amp; "
"</f>
        <v xml:space="preserve">		public virtual string Model { get; set; }
</v>
      </c>
      <c r="N24" t="str">
        <f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[StringLength(MstLgwRenbanModuleConsts.MaxModelLength)]
		public virtual string Model { get; set; }
</v>
      </c>
      <c r="O24" t="str">
        <f>IF(OR(H24="string",H24="DateTime",H24="int"),REPT(CHAR(9),2)&amp;"public virtual "&amp;IF(OR(H24="DateTime",H24="TimeSpan"),H24&amp;"?",H24)&amp;IF(C24="?","? "," ")&amp;D24&amp;" { get; set; }"&amp;$E$3,"")</f>
        <v xml:space="preserve">		public virtual string Model { get; set; }
</v>
      </c>
      <c r="P24" t="str">
        <f>REPT(CHAR(9),7)&amp;D24&amp;" = o." &amp;D24 &amp;","</f>
        <v xml:space="preserve">							Model = o.Model,</v>
      </c>
      <c r="T24" s="69" t="str">
        <f>REPT(CHAR(9),8)&amp;"("""&amp;D24&amp;"""),"</f>
        <v xml:space="preserve">								("Model"),</v>
      </c>
      <c r="V24" s="70" t="str">
        <f>REPT(CHAR(9),8)&amp;"_ =&gt; _."&amp;D24&amp;","</f>
        <v xml:space="preserve">								_ =&gt; _.Model,</v>
      </c>
      <c r="W24" s="69" t="str">
        <f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.WhereIf(!string.IsNullOrWhiteSpace(input.Model), e =&gt; e.Model.Contains(input.Model))</v>
      </c>
    </row>
    <row r="25" spans="1:23" customFormat="1" ht="21" customHeight="1" x14ac:dyDescent="0.25">
      <c r="A25" t="s">
        <v>320</v>
      </c>
      <c r="B25" t="s">
        <v>304</v>
      </c>
      <c r="C25" t="s">
        <v>1</v>
      </c>
      <c r="D25" t="str">
        <f t="shared" ref="D25" si="72">SUBSTITUTE(PROPER(A25),"_","")</f>
        <v>Cfc</v>
      </c>
      <c r="E25" t="str">
        <f t="shared" si="46"/>
        <v>varchar</v>
      </c>
      <c r="F25" s="7"/>
      <c r="G25" t="str">
        <f t="shared" si="47"/>
        <v>50</v>
      </c>
      <c r="H25" t="str">
        <f>+VLOOKUP(E25,'Data Type Mapping'!A:B,2,)</f>
        <v>string</v>
      </c>
      <c r="I25" t="str">
        <f t="shared" si="48"/>
        <v xml:space="preserve">		public const int MaxCfcLength = 50;
</v>
      </c>
      <c r="J25" t="str">
        <f t="shared" si="49"/>
        <v xml:space="preserve">		[StringLength(MaxCfcLength)]
		public virtual string Cfc { get; set; }
</v>
      </c>
      <c r="K25" s="7"/>
      <c r="L25" t="str">
        <f t="shared" ref="L25" si="73">IF(K25="","",REPT(CHAR(9),1)&amp;"[Index(nameof("&amp;IF(D25="","",""&amp;D25)&amp;")"&amp;", Name="&amp;"""IX_"&amp;$B$7&amp;"_"&amp;D25&amp;""")]")</f>
        <v/>
      </c>
      <c r="M25" t="str">
        <f t="shared" si="50"/>
        <v xml:space="preserve">		public virtual string Cfc { get; set; }
</v>
      </c>
      <c r="N25" t="str">
        <f t="shared" si="51"/>
        <v xml:space="preserve">		[StringLength(MstLgwRenbanModuleConsts.MaxCfcLength)]
		public virtual string Cfc { get; set; }
</v>
      </c>
      <c r="O25" t="str">
        <f t="shared" si="52"/>
        <v xml:space="preserve">		public virtual string Cfc { get; set; }
</v>
      </c>
      <c r="P25" t="str">
        <f t="shared" si="53"/>
        <v xml:space="preserve">							Cfc = o.Cfc,</v>
      </c>
      <c r="T25" s="69" t="str">
        <f t="shared" si="54"/>
        <v xml:space="preserve">								("Cfc"),</v>
      </c>
      <c r="V25" s="70" t="str">
        <f t="shared" si="55"/>
        <v xml:space="preserve">								_ =&gt; _.Cfc,</v>
      </c>
      <c r="W25" s="69" t="str">
        <f t="shared" si="56"/>
        <v xml:space="preserve">				.WhereIf(!string.IsNullOrWhiteSpace(input.Cfc), e =&gt; e.Cfc.Contains(input.Cfc))</v>
      </c>
    </row>
    <row r="26" spans="1:23" customFormat="1" ht="22.5" customHeight="1" x14ac:dyDescent="0.25">
      <c r="A26" t="s">
        <v>315</v>
      </c>
      <c r="B26" t="s">
        <v>304</v>
      </c>
      <c r="C26" t="s">
        <v>1</v>
      </c>
      <c r="D26" t="str">
        <f>SUBSTITUTE(PROPER(A26),"_","")</f>
        <v>WhLoc</v>
      </c>
      <c r="E26" t="str">
        <f>IFERROR(LEFT(B26, FIND("(",B26)-1),B26)</f>
        <v>varchar</v>
      </c>
      <c r="F26" s="7"/>
      <c r="G26" t="str">
        <f>IFERROR(MID(B26,FIND("(",B26) +1, FIND(")",B26) - FIND("(",B26) - 1),"")</f>
        <v>50</v>
      </c>
      <c r="H26" t="str">
        <f>+VLOOKUP(E26,'Data Type Mapping'!A:B,2,)</f>
        <v>string</v>
      </c>
      <c r="I26" t="str">
        <f>IF(H26="string",REPT(CHAR(9),2)&amp;"public const int Max"&amp;D26&amp;"Length = "&amp;G26&amp;";"&amp;$E$3,"" )</f>
        <v xml:space="preserve">		public const int MaxWhLocLength = 50;
</v>
      </c>
      <c r="J26" t="str">
        <f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[StringLength(MaxWhLocLength)]
		public virtual string WhLoc { get; set; }
</v>
      </c>
      <c r="K26" s="7"/>
      <c r="L26" t="str">
        <f>IF(K26="","",REPT(CHAR(9),1)&amp;"[Index(nameof("&amp;IF(D26="","",""&amp;D26)&amp;")"&amp;", Name="&amp;"""IX_"&amp;$B$7&amp;"_"&amp;D26&amp;""")]")</f>
        <v/>
      </c>
      <c r="M26" t="str">
        <f>REPT(CHAR(9),2)&amp;"public virtual "&amp;IF(OR(H26="DateTime",H26="TimeSpan"),H26&amp;"?",H26)&amp;IF(C26="?","? "," ")&amp;D26&amp;" { get; set; }" &amp; "
"</f>
        <v xml:space="preserve">		public virtual string WhLoc { get; set; }
</v>
      </c>
      <c r="N26" t="str">
        <f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[StringLength(MstLgwRenbanModuleConsts.MaxWhLocLength)]
		public virtual string WhLoc { get; set; }
</v>
      </c>
      <c r="O26" t="str">
        <f>IF(OR(H26="string",H26="DateTime",H26="int"),REPT(CHAR(9),2)&amp;"public virtual "&amp;IF(OR(H26="DateTime",H26="TimeSpan"),H26&amp;"?",H26)&amp;IF(C26="?","? "," ")&amp;D26&amp;" { get; set; }"&amp;$E$3,"")</f>
        <v xml:space="preserve">		public virtual string WhLoc { get; set; }
</v>
      </c>
      <c r="P26" t="str">
        <f>REPT(CHAR(9),7)&amp;D26&amp;" = o." &amp;D26 &amp;","</f>
        <v xml:space="preserve">							WhLoc = o.WhLoc,</v>
      </c>
      <c r="T26" s="69" t="str">
        <f>REPT(CHAR(9),8)&amp;"("""&amp;D26&amp;"""),"</f>
        <v xml:space="preserve">								("WhLoc"),</v>
      </c>
      <c r="V26" s="70" t="str">
        <f>REPT(CHAR(9),8)&amp;"_ =&gt; _."&amp;D26&amp;","</f>
        <v xml:space="preserve">								_ =&gt; _.WhLoc,</v>
      </c>
      <c r="W26" s="69" t="str">
        <f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.WhereIf(!string.IsNullOrWhiteSpace(input.WhLoc), e =&gt; e.WhLoc.Contains(input.WhLoc))</v>
      </c>
    </row>
    <row r="27" spans="1:23" customFormat="1" ht="21" customHeight="1" x14ac:dyDescent="0.25">
      <c r="A27" t="s">
        <v>325</v>
      </c>
      <c r="B27" t="s">
        <v>303</v>
      </c>
      <c r="C27" t="s">
        <v>1</v>
      </c>
      <c r="D27" t="str">
        <f t="shared" ref="D27" si="74">SUBSTITUTE(PROPER(A27),"_","")</f>
        <v>IsUsePxpData</v>
      </c>
      <c r="E27" t="str">
        <f>IFERROR(LEFT(B27, FIND("(",B27)-1),B27)</f>
        <v>varchar</v>
      </c>
      <c r="F27" s="7"/>
      <c r="G27" t="str">
        <f>IFERROR(MID(B27,FIND("(",B27) +1, FIND(")",B27) - FIND("(",B27) - 1),"")</f>
        <v>1</v>
      </c>
      <c r="H27" t="str">
        <f>+VLOOKUP(E27,'Data Type Mapping'!A:B,2,)</f>
        <v>string</v>
      </c>
      <c r="I27" t="str">
        <f>IF(H27="string",REPT(CHAR(9),2)&amp;"public const int Max"&amp;D27&amp;"Length = "&amp;G27&amp;";"&amp;$E$3,"" )</f>
        <v xml:space="preserve">		public const int MaxIsUsePxpDataLength = 1;
</v>
      </c>
      <c r="J27" t="str">
        <f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[StringLength(MaxIsUsePxpDataLength)]
		public virtual string IsUsePxpData { get; set; }
</v>
      </c>
      <c r="K27" s="7"/>
      <c r="L27" t="str">
        <f t="shared" ref="L27" si="75">IF(K27="","",REPT(CHAR(9),1)&amp;"[Index(nameof("&amp;IF(D27="","",""&amp;D27)&amp;")"&amp;", Name="&amp;"""IX_"&amp;$B$7&amp;"_"&amp;D27&amp;""")]")</f>
        <v/>
      </c>
      <c r="M27" t="str">
        <f>REPT(CHAR(9),2)&amp;"public virtual "&amp;IF(OR(H27="DateTime",H27="TimeSpan"),H27&amp;"?",H27)&amp;IF(C27="?","? "," ")&amp;D27&amp;" { get; set; }" &amp; "
"</f>
        <v xml:space="preserve">		public virtual string IsUsePxpData { get; set; }
</v>
      </c>
      <c r="N27" t="str">
        <f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[StringLength(MstLgwRenbanModuleConsts.MaxIsUsePxpDataLength)]
		public virtual string IsUsePxpData { get; set; }
</v>
      </c>
      <c r="O27" t="str">
        <f>IF(OR(H27="string",H27="DateTime",H27="int"),REPT(CHAR(9),2)&amp;"public virtual "&amp;IF(OR(H27="DateTime",H27="TimeSpan"),H27&amp;"?",H27)&amp;IF(C27="?","? "," ")&amp;D27&amp;" { get; set; }"&amp;$E$3,"")</f>
        <v xml:space="preserve">		public virtual string IsUsePxpData { get; set; }
</v>
      </c>
      <c r="P27" t="str">
        <f>REPT(CHAR(9),7)&amp;D27&amp;" = o." &amp;D27 &amp;","</f>
        <v xml:space="preserve">							IsUsePxpData = o.IsUsePxpData,</v>
      </c>
      <c r="T27" s="69" t="str">
        <f>REPT(CHAR(9),8)&amp;"("""&amp;D27&amp;"""),"</f>
        <v xml:space="preserve">								("IsUsePxpData"),</v>
      </c>
      <c r="V27" s="70" t="str">
        <f>REPT(CHAR(9),8)&amp;"_ =&gt; _."&amp;D27&amp;","</f>
        <v xml:space="preserve">								_ =&gt; _.IsUsePxpData,</v>
      </c>
      <c r="W27" s="69" t="str">
        <f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.WhereIf(!string.IsNullOrWhiteSpace(input.IsUsePxpData), e =&gt; e.IsUsePxpData.Contains(input.IsUsePxpData))</v>
      </c>
    </row>
    <row r="28" spans="1:23" customFormat="1" ht="22.5" customHeight="1" x14ac:dyDescent="0.25">
      <c r="A28" t="s">
        <v>323</v>
      </c>
      <c r="B28" t="s">
        <v>4</v>
      </c>
      <c r="C28" t="s">
        <v>1</v>
      </c>
      <c r="D28" t="str">
        <f>SUBSTITUTE(PROPER(A28),"_","")</f>
        <v>UpLeadtime</v>
      </c>
      <c r="E28" t="str">
        <f t="shared" si="46"/>
        <v>int</v>
      </c>
      <c r="F28" s="7"/>
      <c r="G28" t="str">
        <f t="shared" si="47"/>
        <v/>
      </c>
      <c r="H28" t="str">
        <f>+VLOOKUP(E28,'Data Type Mapping'!A:B,2,)</f>
        <v>int</v>
      </c>
      <c r="I28" t="str">
        <f t="shared" si="48"/>
        <v/>
      </c>
      <c r="J28" t="str">
        <f t="shared" si="49"/>
        <v xml:space="preserve">		public virtual int UpLeadtime { get; set; }
</v>
      </c>
      <c r="K28" s="7"/>
      <c r="L28" t="str">
        <f>IF(K28="","",REPT(CHAR(9),1)&amp;"[Index(nameof("&amp;IF(D28="","",""&amp;D28)&amp;")"&amp;", Name="&amp;"""IX_"&amp;$B$7&amp;"_"&amp;D28&amp;""")]")</f>
        <v/>
      </c>
      <c r="M28" t="str">
        <f t="shared" si="50"/>
        <v xml:space="preserve">		public virtual int UpLeadtime { get; set; }
</v>
      </c>
      <c r="N28" t="str">
        <f t="shared" si="51"/>
        <v xml:space="preserve">		public virtual int UpLeadtime { get; set; }
</v>
      </c>
      <c r="O28" t="str">
        <f t="shared" si="52"/>
        <v xml:space="preserve">		public virtual int UpLeadtime { get; set; }
</v>
      </c>
      <c r="P28" t="str">
        <f t="shared" si="53"/>
        <v xml:space="preserve">							UpLeadtime = o.UpLeadtime,</v>
      </c>
      <c r="T28" s="69" t="str">
        <f t="shared" si="54"/>
        <v xml:space="preserve">								("UpLeadtime"),</v>
      </c>
      <c r="V28" s="70" t="str">
        <f t="shared" si="55"/>
        <v xml:space="preserve">								_ =&gt; _.UpLeadtime,</v>
      </c>
      <c r="W28" s="69" t="str">
        <f t="shared" si="56"/>
        <v/>
      </c>
    </row>
    <row r="29" spans="1:23" customFormat="1" ht="21" customHeight="1" x14ac:dyDescent="0.25">
      <c r="A29" t="s">
        <v>302</v>
      </c>
      <c r="B29" t="s">
        <v>303</v>
      </c>
      <c r="C29" t="s">
        <v>1</v>
      </c>
      <c r="D29" t="str">
        <f t="shared" ref="D29" si="76">SUBSTITUTE(PROPER(A29),"_","")</f>
        <v>IsActive</v>
      </c>
      <c r="E29" t="str">
        <f t="shared" si="20"/>
        <v>varchar</v>
      </c>
      <c r="F29" s="7"/>
      <c r="G29" t="str">
        <f t="shared" si="21"/>
        <v>1</v>
      </c>
      <c r="H29" t="str">
        <f>+VLOOKUP(E29,'Data Type Mapping'!A:B,2,)</f>
        <v>string</v>
      </c>
      <c r="I29" t="str">
        <f t="shared" si="22"/>
        <v xml:space="preserve">		public const int MaxIsActiveLength = 1;
</v>
      </c>
      <c r="J29" t="str">
        <f t="shared" si="23"/>
        <v xml:space="preserve">		[StringLength(MaxIsActiveLength)]
		public virtual string IsActive { get; set; }
</v>
      </c>
      <c r="K29" s="7" t="s">
        <v>206</v>
      </c>
      <c r="L29" t="str">
        <f t="shared" ref="L29" si="77">IF(K29="","",REPT(CHAR(9),1)&amp;"[Index(nameof("&amp;IF(D29="","",""&amp;D29)&amp;")"&amp;", Name="&amp;"""IX_"&amp;$B$7&amp;"_"&amp;D29&amp;""")]")</f>
        <v xml:space="preserve">	[Index(nameof(IsActive), Name="IX_MstLgwRenbanModule_IsActive")]</v>
      </c>
      <c r="M29" t="str">
        <f t="shared" si="24"/>
        <v xml:space="preserve">		public virtual string IsActive { get; set; }
</v>
      </c>
      <c r="N29" t="str">
        <f t="shared" si="25"/>
        <v xml:space="preserve">		[StringLength(MstLgwRenbanModuleConsts.MaxIsActiveLength)]
		public virtual string IsActive { get; set; }
</v>
      </c>
      <c r="O29" t="str">
        <f t="shared" si="26"/>
        <v xml:space="preserve">		public virtual string IsActive { get; set; }
</v>
      </c>
      <c r="P29" t="str">
        <f t="shared" si="27"/>
        <v xml:space="preserve">							IsActive = o.IsActive,</v>
      </c>
      <c r="T29" s="69" t="str">
        <f t="shared" si="28"/>
        <v xml:space="preserve">								("IsActive"),</v>
      </c>
      <c r="V29" s="70" t="str">
        <f t="shared" si="29"/>
        <v xml:space="preserve">								_ =&gt; _.IsActive,</v>
      </c>
      <c r="W29" s="69" t="str">
        <f t="shared" si="30"/>
        <v xml:space="preserve">				.WhereIf(!string.IsNullOrWhiteSpace(input.IsActive), e =&gt; e.IsActive.Contains(input.IsActive))</v>
      </c>
    </row>
    <row r="31" spans="1:23" ht="45.75" customHeight="1" x14ac:dyDescent="0.25">
      <c r="H31" s="12"/>
      <c r="I31" s="34" t="str">
        <f ca="1">TEXTJOIN2("
", TRUE,INDIRECT( $H$1):INDIRECT( $H$3))</f>
        <v xml:space="preserve">		public const int MaxRenbanLength = 50;
		public const int MaxCaseNoLength = 50;
		public const int MaxSupplierNoLength = 50;
		public const int MaxModuleTypeLength = 50;
		public const int MaxModuleSizeLength = 50;
		public const int MaxSortingTypeLength = 50;
		public const int MaxCaseTypeLength = 50;
		public const int MaxProdLineLength = 50;
		public const int MaxModelLength = 50;
		public const int MaxCfcLength = 50;
		public const int MaxWhLocLength = 50;
		public const int MaxIsUsePxpDataLength = 1;
		public const int MaxIsActiveLength = 1;
</v>
      </c>
      <c r="J31" s="33" t="str">
        <f ca="1">TEXTJOIN2("
", TRUE,INDIRECT( $F$1):INDIRECT( $F$3))</f>
        <v xml:space="preserve">		[StringLength(MaxRenbanLength)]
		public virtual string Renban { get; set; }
		[StringLength(MaxCaseNoLength)]
		public virtual string CaseNo { get; set; }
		[StringLength(MaxSupplierNoLength)]
		public virtual string SupplierNo { get; set; }
		public virtual int MinModule { get; set; }
		public virtual int MaxModule { get; set; }
		public virtual int ModuleCapacity { get; set; }
		[StringLength(MaxModuleTypeLength)]
		public virtual string ModuleType { get; set; }
		[StringLength(MaxModuleSizeLength)]
		public virtual string ModuleSize { get; set; }
		[StringLength(MaxSortingTypeLength)]
		public virtual string SortingType { get; set; }
		public virtual int MinMod { get; set; }
		public virtual int MaxMod { get; set; }
		public virtual int MonitorVisualize { get; set; }
		public virtual int CaseOrder { get; set; }
		[StringLength(MaxCaseTypeLength)]
		public virtual string CaseType { get; set; }
		[StringLength(MaxProdLineLength)]
		public virtual string ProdLine { get; set; }
		[StringLength(MaxModelLength)]
		public virtual string Model { get; set; }
		[StringLength(MaxCfcLength)]
		public virtual string Cfc { get; set; }
		[StringLength(MaxWhLocLength)]
		public virtual string WhLoc { get; set; }
		[StringLength(MaxIsUsePxpDataLength)]
		public virtual string IsUsePxpData { get; set; }
		public virtual int UpLeadtime { get; set; }
		[StringLength(MaxIsActiveLength)]
		public virtual string IsActive { get; set; }
</v>
      </c>
      <c r="K31" s="35" t="str">
        <f ca="1">TEXTJOIN2("
", TRUE,INDIRECT( $J$1):INDIRECT( $J$3))</f>
        <v xml:space="preserve">	[Index(nameof(Renban), Name="IX_MstLgwRenbanModule_Renban")]
	[Index(nameof(CaseNo), Name="IX_MstLgwRenbanModule_CaseNo")]
	[Index(nameof(SupplierNo), Name="IX_MstLgwRenbanModule_SupplierNo")]
	[Index(nameof(CaseOrder), Name="IX_MstLgwRenbanModule_CaseOrder")]
	[Index(nameof(IsActive), Name="IX_MstLgwRenbanModule_IsActive")]</v>
      </c>
      <c r="L31" s="13" t="s">
        <v>60</v>
      </c>
      <c r="M31" s="36" t="str">
        <f ca="1">TEXTJOIN2("
",TRUE,INDIRECT( $L$1):INDIRECT($L$3))</f>
        <v xml:space="preserve">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</v>
      </c>
      <c r="N31" s="33" t="str">
        <f ca="1">TEXTJOIN2("
",TRUE,INDIRECT( $M$1):INDIRECT($M$3))</f>
        <v xml:space="preserve">		[StringLength(MstLgwRenbanModuleConsts.MaxRenbanLength)]
		public virtual string Renban { get; set; }
		[StringLength(MstLgwRenbanModuleConsts.MaxCaseNoLength)]
		public virtual string CaseNo { get; set; }
		[StringLength(MstLgwRenbanModuleConsts.MaxSupplierNoLength)]
		public virtual string SupplierNo { get; set; }
		public virtual int MinModule { get; set; }
		public virtual int MaxModule { get; set; }
		public virtual int ModuleCapacity { get; set; }
		[StringLength(MstLgwRenbanModuleConsts.MaxModuleTypeLength)]
		public virtual string ModuleType { get; set; }
		[StringLength(MstLgwRenbanModuleConsts.MaxModuleSizeLength)]
		public virtual string ModuleSize { get; set; }
		[StringLength(MstLgwRenbanModuleConsts.MaxSortingTypeLength)]
		public virtual string SortingType { get; set; }
		public virtual int MinMod { get; set; }
		public virtual int MaxMod { get; set; }
		public virtual int MonitorVisualize { get; set; }
		public virtual int CaseOrder { get; set; }
		[StringLength(MstLgwRenbanModuleConsts.MaxCaseTypeLength)]
		public virtual string CaseType { get; set; }
		[StringLength(MstLgwRenbanModuleConsts.MaxProdLineLength)]
		public virtual string ProdLine { get; set; }
		[StringLength(MstLgwRenbanModuleConsts.MaxModelLength)]
		public virtual string Model { get; set; }
		[StringLength(MstLgwRenbanModuleConsts.MaxCfcLength)]
		public virtual string Cfc { get; set; }
		[StringLength(MstLgwRenbanModuleConsts.MaxWhLocLength)]
		public virtual string WhLoc { get; set; }
		[StringLength(MstLgwRenbanModuleConsts.MaxIsUsePxpDataLength)]
		public virtual string IsUsePxpData { get; set; }
		public virtual int UpLeadtime { get; set; }
		[StringLength(MstLgwRenbanModuleConsts.MaxIsActiveLength)]
		public virtual string IsActive { get; set; }
</v>
      </c>
      <c r="O31" s="33" t="str">
        <f ca="1">TEXTJOIN2("
",TRUE,INDIRECT( $N$1):INDIRECT($N$3))</f>
        <v xml:space="preserve">		public virtual string Renban { get; set; }
		public virtual string CaseNo { get; set; }
		public virtual string SupplierNo { get; set; }
		public virtual int MinModule { get; set; }
		public virtual int MaxModule { get; set; }
		public virtual int ModuleCapacity { get; set; }
		public virtual string ModuleType { get; set; }
		public virtual string ModuleSize { get; set; }
		public virtual string SortingType { get; set; }
		public virtual int MinMod { get; set; }
		public virtual int MaxMod { get; set; }
		public virtual int MonitorVisualize { get; set; }
		public virtual int CaseOrder { get; set; }
		public virtual string CaseType { get; set; }
		public virtual string ProdLine { get; set; }
		public virtual string Model { get; set; }
		public virtual string Cfc { get; set; }
		public virtual string WhLoc { get; set; }
		public virtual string IsUsePxpData { get; set; }
		public virtual int UpLeadtime { get; set; }
		public virtual string IsActive { get; set; }
</v>
      </c>
      <c r="P31" s="9" t="str">
        <f ca="1">TEXTJOIN2("
",TRUE,INDIRECT( $O$1):INDIRECT($O$3))</f>
        <v xml:space="preserve">							Renban = o.Renban,
							CaseNo = o.CaseNo,
							SupplierNo = o.SupplierNo,
							MinModule = o.MinModule,
							MaxModule = o.MaxModule,
							ModuleCapacity = o.ModuleCapacity,
							ModuleType = o.ModuleType,
							ModuleSize = o.ModuleSize,
							SortingType = o.SortingType,
							MinMod = o.MinMod,
							MaxMod = o.MaxMod,
							MonitorVisualize = o.MonitorVisualize,
							CaseOrder = o.CaseOrder,
							CaseType = o.CaseType,
							ProdLine = o.ProdLine,
							Model = o.Model,
							Cfc = o.Cfc,
							WhLoc = o.WhLoc,
							IsUsePxpData = o.IsUsePxpData,
							UpLeadtime = o.UpLeadtime,
							IsActive = o.IsActive,</v>
      </c>
      <c r="T31" s="9" t="str">
        <f ca="1">TEXTJOIN2("
",TRUE,INDIRECT( $T$2):INDIRECT($T$3))</f>
        <v xml:space="preserve">								("Renban"),
								("CaseNo"),
								("SupplierNo"),
								("MinModule"),
								("MaxModule"),
								("ModuleCapacity"),
								("ModuleType"),
								("ModuleSize"),
								("SortingType"),
								("MinMod"),
								("MaxMod"),
								("MonitorVisualize"),
								("CaseOrder"),
								("CaseType"),
								("ProdLine"),
								("Model"),
								("Cfc"),
								("WhLoc"),
								("IsUsePxpData"),
								("UpLeadtime"),
								("IsActive"),</v>
      </c>
      <c r="V31" s="9" t="str">
        <f ca="1">TEXTJOIN2("
",TRUE,INDIRECT( $V$2):INDIRECT($V$3))</f>
        <v xml:space="preserve">								_ =&gt; _.Renban,
								_ =&gt; _.CaseNo,
								_ =&gt; _.SupplierNo,
								_ =&gt; _.MinModule,
								_ =&gt; _.MaxModule,
								_ =&gt; _.ModuleCapacity,
								_ =&gt; _.ModuleType,
								_ =&gt; _.ModuleSize,
								_ =&gt; _.SortingType,
								_ =&gt; _.MinMod,
								_ =&gt; _.MaxMod,
								_ =&gt; _.MonitorVisualize,
								_ =&gt; _.CaseOrder,
								_ =&gt; _.CaseType,
								_ =&gt; _.ProdLine,
								_ =&gt; _.Model,
								_ =&gt; _.Cfc,
								_ =&gt; _.WhLoc,
								_ =&gt; _.IsUsePxpData,
								_ =&gt; _.UpLeadtime,
								_ =&gt; _.IsActive,</v>
      </c>
      <c r="W31" s="9" t="str">
        <f ca="1">TEXTJOIN2("
",TRUE,INDIRECT( $W$2):INDIRECT($W$3))</f>
        <v xml:space="preserve">				.WhereIf(!string.IsNullOrWhiteSpace(input.Renban), e =&gt; e.Renban.Contains(input.Renban))
				.WhereIf(!string.IsNullOrWhiteSpace(input.CaseNo), e =&gt; e.CaseNo.Contains(input.CaseNo))
				.WhereIf(!string.IsNullOrWhiteSpace(input.SupplierNo), e =&gt; e.SupplierNo.Contains(input.SupplierNo))
				.WhereIf(!string.IsNullOrWhiteSpace(input.ModuleType), e =&gt; e.ModuleType.Contains(input.ModuleType))
				.WhereIf(!string.IsNullOrWhiteSpace(input.ModuleSize), e =&gt; e.ModuleSize.Contains(input.ModuleSize))
				.WhereIf(!string.IsNullOrWhiteSpace(input.SortingType), e =&gt; e.SortingType.Contains(input.SortingType))
				.WhereIf(!string.IsNullOrWhiteSpace(input.CaseType), e =&gt; e.CaseType.Contains(input.CaseType))
				.WhereIf(!string.IsNullOrWhiteSpace(input.ProdLine), e =&gt; e.ProdLine.Contains(input.ProdLine))
				.WhereIf(!string.IsNullOrWhiteSpace(input.Model), e =&gt; e.Model.Contains(input.Model))
				.WhereIf(!string.IsNullOrWhiteSpace(input.Cfc), e =&gt; e.Cfc.Contains(input.Cfc))
				.WhereIf(!string.IsNullOrWhiteSpace(input.WhLoc), e =&gt; e.WhLoc.Contains(input.WhLoc))
				.WhereIf(!string.IsNullOrWhiteSpace(input.IsUsePxpData), e =&gt; e.IsUsePxpData.Contains(input.IsUsePxpData))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8"/>
  <sheetViews>
    <sheetView workbookViewId="0">
      <selection activeCell="B2" sqref="B2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MstLgwRenbanModule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RenbanModule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renbanmodule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MstLgwRenbanModuleDto, MstLgwRenbanModuleServiceProxy } from '@shared/service-proxies/service-proxies';
import { finalize } from 'rxjs/internal/operators/finalize';
import { CreateOrEditRenbanModuleModalComponent } from './create-or-edit-renbanmodule-modal.component';
import { DatePipe } from '@angular/common';
import { FileDownloadService } from '@shared/utils/file-download.service';
import ceil from 'lodash-es/ceil';
import { Paginator } from 'primeng/paginator';
@Component({
    templateUrl: './renbanmodule.component.html',
    styleUrls: ['./renbanmodule.component.less'],
})
export class RenbanModuleComponent extends AppComponentBase implements OnInit {
    @ViewChild('createOrEditModalRenbanModule', { static: true }) createOrEditModalRenbanModule:| CreateOrEditRenbanModuleModalComponent|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MstLgwRenbanModuleDto = new MstLgwRenbanModuleDto();
    saveSelectedRow: MstLgwRenbanModuleDto = new MstLgwRenbanModuleDto();
    datas: MstLgwRenbanModuleDto = new MstLgwRenbanModuleDto();
    isLoading: boolean = false;
    dataParams: GridParams | undefined;
    rowData: any[] = [];
    gridApi!: GridApi;
    rowSelection = 'multiple';
    filter: string = '';
	pipe = new DatePipe('en-US');
	frameworkComponents: FrameworkComponent;
    renban : string = '' ; 
	caseNo : string = '' ; 
	supplierNo : string = '' ; 
	minModule : number = 0 ;
	maxModule : number = 0 ;
moduleCapacity : number = 0 ;
	moduleType : string = '' ; 
	moduleSize : string = '' ; 
	sortingType : string = '' ; 
	minMod : number = 0 ;
maxMod : number = 0 ;
	monitorVisualize : number = 0 ;
	caseOrder : number = 0 ;
	caseType : string = '' ; 
	prodLine : string = '' ; 
model : string = '' ; 
	cfc : string = '' ; 
	whLoc : string = '' ; 
	isUsePxpData : string = '' ; 
	upLeadtime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MstLgwRenbanModuleServiceProxy,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this.l('Renban'),headerTooltip: this.l('Renban'),field: 'renban',flex: 1},
			{headerName: this.l('Case No'),headerTooltip: this.l('Case No'),field: 'caseNo',flex: 1},
			{headerName: this.l('Supplier No'),headerTooltip: this.l('Supplier No'),field: 'supplierNo',flex: 1},
			{headerName: this.l('Min Module'),headerTooltip: this.l('Min Module'),field: 'minModule',flex: 1},
			{headerName: this.l('Max Module'),headerTooltip: this.l('Max Module'),field: 'maxModule',flex: 1},
			{headerName: this.l('Module Capacity'),headerTooltip: this.l('Module Capacity'),field: 'moduleCapacity',flex: 1},
			{headerName: this.l('Module Type'),headerTooltip: this.l('Module Type'),field: 'moduleType',flex: 1},
			{headerName: this.l('Module Size'),headerTooltip: this.l('Module Size'),field: 'moduleSize',flex: 1},
			{headerName: this.l('Sorting Type'),headerTooltip: this.l('Sorting Type'),field: 'sortingType',flex: 1},
			{headerName: this.l('Min Mod'),headerTooltip: this.l('Min Mod'),field: 'minMod',flex: 1},
			{headerName: this.l('Max Mod'),headerTooltip: this.l('Max Mod'),field: 'maxMod',flex: 1},
			{headerName: this.l('Monitor Visualize'),headerTooltip: this.l('Monitor Visualize'),field: 'monitorVisualize',flex: 1},
			{headerName: this.l('Case Order'),headerTooltip: this.l('Case Order'),field: 'caseOrder',flex: 1},
			{headerName: this.l('Case Type'),headerTooltip: this.l('Case Type'),field: 'caseType',flex: 1},
			{headerName: this.l('Prod Line'),headerTooltip: this.l('Prod Line'),field: 'prodLine',flex: 1},
			{headerName: this.l('Model'),headerTooltip: this.l('Model'),field: 'model',flex: 1},
			{headerName: this.l('Cfc'),headerTooltip: this.l('Cfc'),field: 'cfc',flex: 1},
			{headerName: this.l('Wh Loc'),headerTooltip: this.l('Wh Loc'),field: 'whLoc',flex: 1},
			{headerName: this.l('Is Use Pxp Data'),headerTooltip: this.l('Is Use Pxp Data'),field:  'isUsePxpData', cellClass: ['text-center'], width: 120, cellRenderer: 'agCellButtonComponent',
buttonDefTwo: { text: params =&gt; (params.data?.'isUsePxpData' == 'Y') ? 'Active' : 'Inactive',iconName: 'fa fa-circle',className: params =&gt; (params.data?.'isUsePxpData' == 'Y') ? 'btnActive' : 'btnInActive',},}
			{headerName: this.l('Up Leadtime'),headerTooltip: this.l('Up Leadtime'),field: 'upLeadtime',flex: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this.renban = '',
		this.caseNo = '',
		this.supplierNo = '',
		this.minModule = 0,
		this.maxModule = 0,
this.moduleCapacity = 0,
		this.moduleType = '',
		this.moduleSize = '',
		this.sortingType = '',
		this.minMod = 0,
this.maxMod = 0,
		this.monitorVisualize = 0,
		this.caseOrder = 0,
		this.caseType = '',
		this.prodLine = '',
this.model = '',
		this.cfc = '',
		this.whLoc = '',
		this.isUsePxpData = '',
		this.upLeadtime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
			'',
            this.paginationParams.skipCount,
            this.paginationParams.pageSize
        );
    }
    onChangeRowSelection(params: { api: { getSelectedRows: () =&gt; MstLgwRenbanModuleDto[] } }) {
        this.saveSelectedRow = params.api.getSelectedRows()[0] ?? new MstLgwRenbanModuleDto();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MstLgwRenbanModuleDto):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this._service.getRenbanModuleToExcel(
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Renban Module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[(ngModel)]='moduleType' name='moduleType'
									class='form-control' [placeholder]="l('Module Type')"
									type='text' (keyup.enter)='searchDatas()'&gt;
								&lt;/div&gt;
								&lt;div class='input-search'&gt;
									&lt;input [(ngModel)]='moduleSize' name='moduleSize'
									class='form-control' [placeholder]="l('Module Size')"
									type='text' (keyup.enter)='searchDatas()'&gt;
								&lt;/div&gt;
								&lt;div class='input-search'&gt;
									&lt;input [(ngModel)]='sortingType' name='sortingType'
									class='form-control' [placeholder]="l('Sorting Type')"
									type='text' (keyup.enter)='searchDatas()'&gt;
								&lt;/div&gt;
								&lt;div class='input-search'&gt;
									&lt;input [(ngModel)]='caseType' name='caseType'
									class='form-control' [placeholder]="l('Case Type')"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[(ngModel)]='whLoc' name='whLoc'
									class='form-control' [placeholder]="l('Wh Loc')"
									type='text' (keyup.enter)='searchDatas()'&gt;
								&lt;/div&gt;
								&lt;div class='input-search'&gt;
									&lt;input [(ngModel)]='isUsePxpData' name='isUsePxpData'
									class='form-control' [placeholder]="l('Is Use Pxp Data')"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(click)="createOrEditModalRenbanModule.show()"&gt;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(click)="createOrEditModalRenbanModule.show(selectedRow)"&gt;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&lt;create-or-edit-renbanmodule-modal
    #createOrEditModalRenbanModule
    (modalSave)="callBackDataGrid(dataParams)"
    (modalClose)="onChangeRowSelection(dataParams)"
&gt;
&lt;/create-or-edit-renbanmodule-modal&gt;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#createOrEditModalRenbanModule="bs-modal"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RenbanModule')}}&lt;/h3&gt;
                    &lt;h3 *ngIf="!rowdata.id"&gt;{{('Create New RenbanModule')}}&lt;/h3&gt;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title'&gt;Min Module&lt;/label&gt;
						&lt;input type='number' class='col-md-10 form-control input-text' name='MinModule' [(ngModel)]='rowdata.minModule'&gt;
					&lt;/div&gt;
					&lt;div class='col-md-12 form-group row'&gt;
						&lt;label class='col-md-2 form-control title'&gt;Max Module&lt;/label&gt;
						&lt;input type='number' class='col-md-10 form-control input-text' name='MaxModule' [(ngModel)]='rowdata.maxModule'&gt;
					&lt;/div&gt;
					&lt;div class='col-md-12 form-group row'&gt;
						&lt;label class='col-md-2 form-control title'&gt;Module Capacity&lt;/label&gt;
						&lt;input type='number' class='col-md-10 form-control input-text' name='ModuleCapacity' [(ngModel)]='rowdata.moduleCapacity'&gt;
					&lt;/div&gt;
					&lt;div class='col-md-12 form-group row'&gt;
						&lt;label class='col-md-2 form-control title'&gt;Module Type&lt;/label&gt;
						&lt;input type='text' class='col-md-10 form-control input-text' name='ModuleType' [(ngModel)]='rowdata.moduleType'&gt;
					&lt;/div&gt;
					&lt;div class='col-md-12 form-group row'&gt;
						&lt;label class='col-md-2 form-control title'&gt;Module Size&lt;/label&gt;
						&lt;input type='text' class='col-md-10 form-control input-text' name='ModuleSize' [(ngModel)]='rowdata.moduleSize'&gt;
					&lt;/div&gt;
					&lt;div class='col-md-12 form-group row'&gt;
						&lt;label class='col-md-2 form-control title'&gt;Sorting Type&lt;/label&gt;
						&lt;input type='text' class='col-md-10 form-control input-text' name='SortingType' [(ngModel)]='rowdata.sortingType'&gt;
					&lt;/div&gt;
					&lt;div class='col-md-12 form-group row'&gt;
						&lt;label class='col-md-2 form-control title'&gt;Min Mod&lt;/label&gt;
						&lt;input type='number' class='col-md-10 form-control input-text' name='MinMod' [(ngModel)]='rowdata.minMod'&gt;
					&lt;/div&gt;
					&lt;div class='col-md-12 form-group row'&gt;
						&lt;label class='col-md-2 form-control title'&gt;Max Mod&lt;/label&gt;
						&lt;input type='number' class='col-md-10 form-control input-text' name='MaxMod' [(ngModel)]='rowdata.maxMod'&gt;
					&lt;/div&gt;
					&lt;div class='col-md-12 form-group row'&gt;
						&lt;label class='col-md-2 form-control title'&gt;Monitor Visualize&lt;/label&gt;
						&lt;input type='number' class='col-md-10 form-control input-text' name='MonitorVisualize' [(ngModel)]='rowdata.monitorVisualize'&gt;
					&lt;/div&gt;
					&lt;div class='col-md-12 form-group row'&gt;
						&lt;label class='col-md-2 form-control title'&gt;Case Order&lt;/label&gt;
						&lt;input type='number' class='col-md-10 form-control input-text' name='CaseOrder' [(ngModel)]='rowdata.caseOrder'&gt;
					&lt;/div&gt;
					&lt;div class='col-md-12 form-group row'&gt;
						&lt;label class='col-md-2 form-control title'&gt;Case Type&lt;/label&gt;
						&lt;input type='text' class='col-md-10 form-control input-text' name='CaseType' [(ngModel)]='rowdata.caseType'&gt;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title'&gt;Wh Loc&lt;/label&gt;
						&lt;input type='text' class='col-md-10 form-control input-text' name='WhLoc' [(ngModel)]='rowdata.whLoc'&gt;
					&lt;/div&gt;
					&lt;div class='col-md-12 form-group row'&gt;
						&lt;label class='col-md-2 form-control title'&gt;Is Use Pxp Data&lt;/label&gt;
						&lt;new-checkbox [(ngModel)]='_isUsePxpData' name='isUsePxpData' className='col-md-10' &gt; &lt;/new-checkbox&gt;
					&lt;/div&gt;
					&lt;div class='col-md-12 form-group row'&gt;
						&lt;label class='col-md-2 form-control title'&gt;Up Leadtime&lt;/label&gt;
						&lt;input type='number' class='col-md-10 form-control input-text' name='UpLeadtime' [(ngModel)]='rowdata.upLeadtime'&gt;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CreateOrEditMstLgwRenbanModuleDto, MstLgwRenbanModuleServiceProxy } from '@shared/service-proxies/service-proxies';
import { BsDatepickerDirective } from 'ngx-bootstrap/datepicker';
@Component({
    selector: 'create-or-edit-renbanmodule-modal',
    templateUrl: './create-or-edit-renbanmodule-modal.component.html',
    styleUrls: ['./create-or-edit-renbanmodule-modal.component.less']
    })
export class CreateOrEditRenbanModuleModalComponent extends AppComponentBase {
    @ViewChild('createOrEditModalRenbanModule',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CreateOrEditMstLgwRenbanModuleDto = new CreateOrEditMstLgwRenbanModuleDto();
    active: boolean = false;
    saving: boolean = false;
    _isUsePxpData
isActive: boolean;
    constructor(
        injector: Injector,
        private _mstwptRenbanModuleService: MstLgwRenbanModuleServiceProxy,
    ) 
    {
        super(injector);
    }
    show(rowdata?: CreateOrEditMstLgwRenbanModuleDto): void {
        if (!rowdata) this.rowdata = new CreateOrEditMstLgwRenbanModuleDto();
        else this.rowdata = rowdata;
        this._isUsePxpData
isActive = (this.rowdata.isUsePxpData
isActive == "N")? false: true;
        this.active = true;
        this.modal.show();
    } 
    changeActive(event){
        this._isUsePxpData
isActive = event.target.checked;
    }
    save(): void {
    this.saving = true; 
    this.rowdata.isUsePxpData
isActive = (this._isUsePxpData
isActive == true) ? 'Y' : 'N'
    this._mstwptRenbanModuleService.createOrEdit(this.rowdata)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RenbanModuleRoutingModule } from './renbanmodule-routing.module';
import { RenbanModuleComponent } from './renbanmodule.component';
import { CreateOrEditRenbanModuleModalComponent } from './create-or-edit-renbanmodule-modal.component';
@NgModule({
    declarations: [
       RenbanModuleComponent, 
        CreateOrEditRenbanModuleModalComponent
    ],
    imports: [
        AppSharedModule, RenbanModuleRoutingModule]
})
export class RenbanModuleModule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RenbanModuleComponent } from './renbanmodule.component';
const routes: Routes = [{
    path: '',
    component: RenbanModuleComponent,
    pathMatch: 'full'
}];
@NgModule({
    imports: [RouterModule.forChild(routes)],
    exports: [RouterModule],
})
export class RenbanModuleRoutingModule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AppMenuItem("RenbanModule", "Pages.Master.LogW.RenbanModule", "flaticon-book",   "/app/main/master/logw/renbanmodule"),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'master/logw/renbanmodule',
    loadChildren: () =&gt; import('./master/logw/renbanmodule/renbanmodule.module').then(m =&gt; m.RenbanModuleModule),
    data: { permission: 'Pages.Master.LogW.RenbanModule' }
},</v>
      </c>
      <c r="R10" s="50" t="str">
        <f>SUBSTITUTE(R9,"MstWptCalendar",$B$6)</f>
        <v>ApiServiceProxies.MstLgwRenbanModuleServiceProxy,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H35</v>
      </c>
      <c r="I12" s="31" t="str">
        <f>"I"&amp;COUNTA($A:$A)</f>
        <v>I35</v>
      </c>
      <c r="J12" s="31"/>
      <c r="K12" s="31" t="str">
        <f>"K"&amp;COUNTA($A:$A)</f>
        <v>K35</v>
      </c>
      <c r="L12" s="31" t="str">
        <f>"L"&amp;COUNTA($A:$A)</f>
        <v>L35</v>
      </c>
      <c r="M12" s="31"/>
      <c r="N12" s="31"/>
      <c r="O12" s="31"/>
      <c r="P12" s="31"/>
      <c r="Q12" s="31"/>
      <c r="R12" s="31"/>
      <c r="S12" s="31" t="str">
        <f>"S"&amp;COUNTA($A:$A)</f>
        <v>S35</v>
      </c>
      <c r="T12" s="31" t="str">
        <f>"T"&amp;COUNTA($A:$A)</f>
        <v>T35</v>
      </c>
      <c r="U12" s="31" t="str">
        <f>"U"&amp;COUNTA($A:$A)</f>
        <v>U35</v>
      </c>
      <c r="V12" s="31" t="str">
        <f>"V"&amp;COUNTA($A:$A)</f>
        <v>V35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this.l('Renban'),headerTooltip: this.l('Renban'),field: 'renban',flex: 1},
			{headerName: this.l('Case No'),headerTooltip: this.l('Case No'),field: 'caseNo',flex: 1},
			{headerName: this.l('Supplier No'),headerTooltip: this.l('Supplier No'),field: 'supplierNo',flex: 1},
			{headerName: this.l('Min Module'),headerTooltip: this.l('Min Module'),field: 'minModule',flex: 1},
			{headerName: this.l('Max Module'),headerTooltip: this.l('Max Module'),field: 'maxModule',flex: 1},
			{headerName: this.l('Module Capacity'),headerTooltip: this.l('Module Capacity'),field: 'moduleCapacity',flex: 1},
			{headerName: this.l('Module Type'),headerTooltip: this.l('Module Type'),field: 'moduleType',flex: 1},
			{headerName: this.l('Module Size'),headerTooltip: this.l('Module Size'),field: 'moduleSize',flex: 1},
			{headerName: this.l('Sorting Type'),headerTooltip: this.l('Sorting Type'),field: 'sortingType',flex: 1},
			{headerName: this.l('Min Mod'),headerTooltip: this.l('Min Mod'),field: 'minMod',flex: 1},
			{headerName: this.l('Max Mod'),headerTooltip: this.l('Max Mod'),field: 'maxMod',flex: 1},
			{headerName: this.l('Monitor Visualize'),headerTooltip: this.l('Monitor Visualize'),field: 'monitorVisualize',flex: 1},
			{headerName: this.l('Case Order'),headerTooltip: this.l('Case Order'),field: 'caseOrder',flex: 1},
			{headerName: this.l('Case Type'),headerTooltip: this.l('Case Type'),field: 'caseType',flex: 1},
			{headerName: this.l('Prod Line'),headerTooltip: this.l('Prod Line'),field: 'prodLine',flex: 1},
			{headerName: this.l('Model'),headerTooltip: this.l('Model'),field: 'model',flex: 1},
			{headerName: this.l('Cfc'),headerTooltip: this.l('Cfc'),field: 'cfc',flex: 1},
			{headerName: this.l('Wh Loc'),headerTooltip: this.l('Wh Loc'),field: 'whLoc',flex: 1},
			{headerName: this.l('Is Use Pxp Data'),headerTooltip: this.l('Is Use Pxp Data'),field:  'isUsePxpData', cellClass: ['text-center'], width: 120, cellRenderer: 'agCellButtonComponent',
buttonDefTwo: { text: params =&gt; (params.data?.'isUsePxpData' == 'Y') ? 'Active' : 'Inactive',iconName: 'fa fa-circle',className: params =&gt; (params.data?.'isUsePxpData' == 'Y') ? 'btnActive' : 'btnInActive',},}
			{headerName: this.l('Up Leadtime'),headerTooltip: this.l('Up Leadtime'),field: 'upLeadtime',flex: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[(ngModel)]='moduleType' name='moduleType'
									class='form-control' [placeholder]="l('Module Type')"
									type='text' (keyup.enter)='searchDatas()'&gt;
								&lt;/div&gt;
								&lt;div class='input-search'&gt;
									&lt;input [(ngModel)]='moduleSize' name='moduleSize'
									class='form-control' [placeholder]="l('Module Size')"
									type='text' (keyup.enter)='searchDatas()'&gt;
								&lt;/div&gt;
								&lt;div class='input-search'&gt;
									&lt;input [(ngModel)]='sortingType' name='sortingType'
									class='form-control' [placeholder]="l('Sorting Type')"
									type='text' (keyup.enter)='searchDatas()'&gt;
								&lt;/div&gt;
								&lt;div class='input-search'&gt;
									&lt;input [(ngModel)]='caseType' name='caseType'
									class='form-control' [placeholder]="l('Case Type')"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[(ngModel)]='whLoc' name='whLoc'
									class='form-control' [placeholder]="l('Wh Loc')"
									type='text' (keyup.enter)='searchDatas()'&gt;
								&lt;/div&gt;
								&lt;div class='input-search'&gt;
									&lt;input [(ngModel)]='isUsePxpData' name='isUsePxpData'
									class='form-control' [placeholder]="l('Is Use Pxp Data')"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title'&gt;Min Module&lt;/label&gt;
						&lt;input type='number' class='col-md-10 form-control input-text' name='MinModule' [(ngModel)]='rowdata.minModule'&gt;
					&lt;/div&gt;
					&lt;div class='col-md-12 form-group row'&gt;
						&lt;label class='col-md-2 form-control title'&gt;Max Module&lt;/label&gt;
						&lt;input type='number' class='col-md-10 form-control input-text' name='MaxModule' [(ngModel)]='rowdata.maxModule'&gt;
					&lt;/div&gt;
					&lt;div class='col-md-12 form-group row'&gt;
						&lt;label class='col-md-2 form-control title'&gt;Module Capacity&lt;/label&gt;
						&lt;input type='number' class='col-md-10 form-control input-text' name='ModuleCapacity' [(ngModel)]='rowdata.moduleCapacity'&gt;
					&lt;/div&gt;
					&lt;div class='col-md-12 form-group row'&gt;
						&lt;label class='col-md-2 form-control title'&gt;Module Type&lt;/label&gt;
						&lt;input type='text' class='col-md-10 form-control input-text' name='ModuleType' [(ngModel)]='rowdata.moduleType'&gt;
					&lt;/div&gt;
					&lt;div class='col-md-12 form-group row'&gt;
						&lt;label class='col-md-2 form-control title'&gt;Module Size&lt;/label&gt;
						&lt;input type='text' class='col-md-10 form-control input-text' name='ModuleSize' [(ngModel)]='rowdata.moduleSize'&gt;
					&lt;/div&gt;
					&lt;div class='col-md-12 form-group row'&gt;
						&lt;label class='col-md-2 form-control title'&gt;Sorting Type&lt;/label&gt;
						&lt;input type='text' class='col-md-10 form-control input-text' name='SortingType' [(ngModel)]='rowdata.sortingType'&gt;
					&lt;/div&gt;
					&lt;div class='col-md-12 form-group row'&gt;
						&lt;label class='col-md-2 form-control title'&gt;Min Mod&lt;/label&gt;
						&lt;input type='number' class='col-md-10 form-control input-text' name='MinMod' [(ngModel)]='rowdata.minMod'&gt;
					&lt;/div&gt;
					&lt;div class='col-md-12 form-group row'&gt;
						&lt;label class='col-md-2 form-control title'&gt;Max Mod&lt;/label&gt;
						&lt;input type='number' class='col-md-10 form-control input-text' name='MaxMod' [(ngModel)]='rowdata.maxMod'&gt;
					&lt;/div&gt;
					&lt;div class='col-md-12 form-group row'&gt;
						&lt;label class='col-md-2 form-control title'&gt;Monitor Visualize&lt;/label&gt;
						&lt;input type='number' class='col-md-10 form-control input-text' name='MonitorVisualize' [(ngModel)]='rowdata.monitorVisualize'&gt;
					&lt;/div&gt;
					&lt;div class='col-md-12 form-group row'&gt;
						&lt;label class='col-md-2 form-control title'&gt;Case Order&lt;/label&gt;
						&lt;input type='number' class='col-md-10 form-control input-text' name='CaseOrder' [(ngModel)]='rowdata.caseOrder'&gt;
					&lt;/div&gt;
					&lt;div class='col-md-12 form-group row'&gt;
						&lt;label class='col-md-2 form-control title'&gt;Case Type&lt;/label&gt;
						&lt;input type='text' class='col-md-10 form-control input-text' name='CaseType' [(ngModel)]='rowdata.caseType'&gt;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title'&gt;Wh Loc&lt;/label&gt;
						&lt;input type='text' class='col-md-10 form-control input-text' name='WhLoc' [(ngModel)]='rowdata.whLoc'&gt;
					&lt;/div&gt;
					&lt;div class='col-md-12 form-group row'&gt;
						&lt;label class='col-md-2 form-control title'&gt;Is Use Pxp Data&lt;/label&gt;
						&lt;new-checkbox [(ngModel)]='_isUsePxpData' name='isUsePxpData' className='col-md-10' &gt; &lt;/new-checkbox&gt;
					&lt;/div&gt;
					&lt;div class='col-md-12 form-group row'&gt;
						&lt;label class='col-md-2 form-control title'&gt;Up Leadtime&lt;/label&gt;
						&lt;input type='number' class='col-md-10 form-control input-text' name='UpLeadtime' [(ngModel)]='rowdata.upLeadtime'&gt;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renban : string = '' ; 
	caseNo : string = '' ; 
	supplierNo : string = '' ; 
	minModule : number = 0 ;
	maxModule : number = 0 ;
moduleCapacity : number = 0 ;
	moduleType : string = '' ; 
	moduleSize : string = '' ; 
	sortingType : string = '' ; 
	minMod : number = 0 ;
maxMod : number = 0 ;
	monitorVisualize : number = 0 ;
	caseOrder : number = 0 ;
	caseType : string = '' ; 
	prodLine : string = '' ; 
model : string = '' ; 
	cfc : string = '' ; 
	whLoc : string = '' ; 
	isUsePxpData : string = '' ; 
	upLeadtime : number = 0 ;
	isActive : string = '' ; </v>
      </c>
      <c r="T13" s="68" t="str">
        <f ca="1">TEXTJOIN2("
",TRUE,INDIRECT(T11):INDIRECT(T12))</f>
        <v xml:space="preserve">			this.renban,
			this.caseNo,
			this.supplierNo,
			this.minModule,
			this.maxModule,
			this.moduleCapacity,
			this.moduleType,
			this.moduleSize,
			this.sortingType,
			this.minMod,
			this.maxMod,
			this.monitorVisualize,
			this.caseOrder,
			this.caseType,
			this.prodLine,
			this.model,
			this.cfc,
			this.whLoc,
			this.isUsePxpData,
			this.upLeadtime,
			this.isActive,</v>
      </c>
      <c r="U13" s="68" t="str">
        <f ca="1">TEXTJOIN2("
",TRUE,INDIRECT(U11):INDIRECT(U12))</f>
        <v>this.renban = '',
		this.caseNo = '',
		this.supplierNo = '',
		this.minModule = 0,
		this.maxModule = 0,
this.moduleCapacity = 0,
		this.moduleType = '',
		this.moduleSize = '',
		this.sortingType = '',
		this.minMod = 0,
this.maxMod = 0,
		this.monitorVisualize = 0,
		this.caseOrder = 0,
		this.caseType = '',
		this.prodLine = '',
this.model = '',
		this.cfc = '',
		this.whLoc = '',
		this.isUsePxpData = '',
		this.upLeadtime = 0,
		this.isActive = '',</v>
      </c>
      <c r="V13" s="31" t="str">
        <f ca="1">TEXTJOIN2("
",TRUE,INDIRECT(V11):INDIRECT(V12))</f>
        <v>isUsePxpData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renbanmodule.component.ts</v>
      </c>
      <c r="I14" s="40" t="str">
        <f>B8&amp;".component.html"</f>
        <v>renbanmodule.component.html</v>
      </c>
      <c r="J14" s="39" t="str">
        <f>B8&amp;".component.less"</f>
        <v>renbanmodule.component.less</v>
      </c>
      <c r="K14" s="40" t="str">
        <f>"create-or-edit-"&amp;B8&amp;"-modal.component.html"</f>
        <v>create-or-edit-renbanmodule-modal.component.html</v>
      </c>
      <c r="L14" s="40" t="str">
        <f>"create-or-edit-"&amp;B8&amp;"-modal.component.ts"</f>
        <v>create-or-edit-renbanmodule-modal.component.ts</v>
      </c>
      <c r="M14" s="40" t="str">
        <f>"create-or-edit-"&amp;B8&amp;"-modal.component.less"</f>
        <v>create-or-edit-renbanmodule-modal.component.less</v>
      </c>
      <c r="N14" s="40" t="str">
        <f>B8&amp;".module.ts"</f>
        <v>renbanmodule.module.ts</v>
      </c>
      <c r="O14" s="40" t="str">
        <f>B8&amp;"-routing.module.ts"</f>
        <v>renbanmodule-routing.module.ts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Renban</v>
      </c>
      <c r="C15" s="31" t="str">
        <f>SUBSTITUTE(PROPER(A15),"_"," ")</f>
        <v>Renban</v>
      </c>
      <c r="D15" s="31" t="str">
        <f>LOWER(LEFT(B15,1))&amp;RIGHT(B15,LEN(B15) - 1)</f>
        <v>renban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this.l('Renban'),headerTooltip: this.l('Renban'),field: 'renban',flex: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renban : string = '' ; </v>
      </c>
      <c r="T15" s="31" t="str">
        <f>REPT(CHAR(9),3)&amp;"this."&amp;D15&amp;","</f>
        <v xml:space="preserve">			this.renban,</v>
      </c>
      <c r="U15" s="31" t="str">
        <f>IF(E15="int","this."&amp;D15&amp;" = 0,","this."&amp;D15&amp;" = '',")</f>
        <v>this.renban = '',</v>
      </c>
      <c r="V15" s="31" t="str">
        <f>IF(AND(E15="string",F15="1"),D15,"")</f>
        <v/>
      </c>
    </row>
    <row r="16" spans="1:22" ht="15" customHeight="1" x14ac:dyDescent="0.25">
      <c r="A16" s="44" t="s">
        <v>306</v>
      </c>
      <c r="B16" s="31" t="str">
        <f t="shared" ref="B16:B17" si="0">SUBSTITUTE(PROPER(A16),"_","")</f>
        <v>CaseNo</v>
      </c>
      <c r="C16" s="31" t="str">
        <f t="shared" ref="C16:C17" si="1">SUBSTITUTE(PROPER(A16),"_"," ")</f>
        <v>Case No</v>
      </c>
      <c r="D16" s="31" t="str">
        <f t="shared" ref="D16:D17" si="2">LOWER(LEFT(B16,1))&amp;RIGHT(B16,LEN(B16) - 1)</f>
        <v>caseNo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this.l('Case No'),headerTooltip: this.l('Case No'),field: 'caseNo',flex: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caseNo : string = '' ; </v>
      </c>
      <c r="T16" s="31" t="str">
        <f>REPT(CHAR(9),3)&amp;"this."&amp;D16&amp;","</f>
        <v xml:space="preserve">			this.caseNo,</v>
      </c>
      <c r="U16" s="31" t="str">
        <f>IF(E16="int",REPT(CHAR(9),2)&amp;"this."&amp;D16&amp;" = 0,",REPT(CHAR(9),2)&amp;"this."&amp;D16&amp;" = '',")</f>
        <v xml:space="preserve">		this.caseNo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301</v>
      </c>
      <c r="B17" s="31" t="str">
        <f t="shared" si="0"/>
        <v>SupplierNo</v>
      </c>
      <c r="C17" s="31" t="str">
        <f t="shared" si="1"/>
        <v>Supplier No</v>
      </c>
      <c r="D17" s="31" t="str">
        <f t="shared" si="2"/>
        <v>supplierNo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this.l('Supplier No'),headerTooltip: this.l('Supplier No'),field: 'supplierNo',flex: 1},</v>
      </c>
      <c r="I17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supplierNo : string = '' ; </v>
      </c>
      <c r="T17" s="31" t="str">
        <f t="shared" ref="T17:T19" si="10">REPT(CHAR(9),3)&amp;"this."&amp;D17&amp;","</f>
        <v xml:space="preserve">			this.supplierNo,</v>
      </c>
      <c r="U17" s="31" t="str">
        <f t="shared" ref="U17:U19" si="11">IF(E17="int",REPT(CHAR(9),2)&amp;"this."&amp;D17&amp;" = 0,",REPT(CHAR(9),2)&amp;"this."&amp;D17&amp;" = '',")</f>
        <v xml:space="preserve">		this.supplierNo = '',</v>
      </c>
      <c r="V17" s="31" t="str">
        <f t="shared" si="8"/>
        <v/>
      </c>
    </row>
    <row r="18" spans="1:22" ht="18" customHeight="1" x14ac:dyDescent="0.25">
      <c r="A18" s="44" t="s">
        <v>311</v>
      </c>
      <c r="B18" s="31" t="str">
        <f>SUBSTITUTE(PROPER(A18),"_","")</f>
        <v>MinModule</v>
      </c>
      <c r="C18" s="31" t="str">
        <f>SUBSTITUTE(PROPER(A18),"_"," ")</f>
        <v>Min Module</v>
      </c>
      <c r="D18" s="31" t="str">
        <f>LOWER(LEFT(B18,1))&amp;RIGHT(B18,LEN(B18) - 1)</f>
        <v>minModule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this.l('Min Module'),headerTooltip: this.l('Min Module'),field: 'minModule',flex: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title'&gt;Min Module&lt;/label&gt;
						&lt;input type='number' class='col-md-10 form-control input-text' name='MinModule' [(ngModel)]='rowdata.minModule'&gt;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minModule : number = 0 ;</v>
      </c>
      <c r="T18" s="31" t="str">
        <f t="shared" si="10"/>
        <v xml:space="preserve">			this.minModule,</v>
      </c>
      <c r="U18" s="31" t="str">
        <f t="shared" si="11"/>
        <v xml:space="preserve">		this.minModule = 0,</v>
      </c>
      <c r="V18" s="31" t="str">
        <f t="shared" si="8"/>
        <v/>
      </c>
    </row>
    <row r="19" spans="1:22" ht="15" customHeight="1" x14ac:dyDescent="0.25">
      <c r="A19" s="44" t="s">
        <v>312</v>
      </c>
      <c r="B19" s="31" t="str">
        <f t="shared" ref="B19" si="12">SUBSTITUTE(PROPER(A19),"_","")</f>
        <v>MaxModule</v>
      </c>
      <c r="C19" s="31" t="str">
        <f t="shared" ref="C19" si="13">SUBSTITUTE(PROPER(A19),"_"," ")</f>
        <v>Max Module</v>
      </c>
      <c r="D19" s="31" t="str">
        <f t="shared" ref="D19" si="14">LOWER(LEFT(B19,1))&amp;RIGHT(B19,LEN(B19) - 1)</f>
        <v>maxModule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this.l('Max Module'),headerTooltip: this.l('Max Module'),field: 'maxModule',flex: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title'&gt;Max Module&lt;/label&gt;
						&lt;input type='number' class='col-md-10 form-control input-text' name='MaxModule' [(ngModel)]='rowdata.maxModule'&gt;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maxModule : number = 0 ;</v>
      </c>
      <c r="T19" s="31" t="str">
        <f t="shared" si="10"/>
        <v xml:space="preserve">			this.maxModule,</v>
      </c>
      <c r="U19" s="31" t="str">
        <f t="shared" si="11"/>
        <v xml:space="preserve">		this.maxModule = 0,</v>
      </c>
      <c r="V19" s="31" t="str">
        <f t="shared" si="8"/>
        <v/>
      </c>
    </row>
    <row r="20" spans="1:22" ht="18" customHeight="1" x14ac:dyDescent="0.25">
      <c r="A20" s="44" t="s">
        <v>313</v>
      </c>
      <c r="B20" s="31" t="str">
        <f>SUBSTITUTE(PROPER(A20),"_","")</f>
        <v>ModuleCapacity</v>
      </c>
      <c r="C20" s="31" t="str">
        <f>SUBSTITUTE(PROPER(A20),"_"," ")</f>
        <v>Module Capacity</v>
      </c>
      <c r="D20" s="31" t="str">
        <f>LOWER(LEFT(B20,1))&amp;RIGHT(B20,LEN(B20) - 1)</f>
        <v>moduleCapacity</v>
      </c>
      <c r="E20" s="31" t="str">
        <f>A.Backend!H14</f>
        <v>int</v>
      </c>
      <c r="F20" s="31" t="str">
        <f>A.Backend!G14</f>
        <v/>
      </c>
      <c r="G20" s="31" t="str">
        <f>IF(E20="string"," : string = '' ; ",IF(OR(E20="DateTime",E20="TimeSpan")," : any ;",IF(E20="int"," : number = 0 ;","")))</f>
        <v xml:space="preserve"> : number = 0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this.l('Module Capacity'),headerTooltip: this.l('Module Capacity'),field: 'moduleCapacity',flex: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title'&gt;Module Capacity&lt;/label&gt;
						&lt;input type='number' class='col-md-10 form-control input-text' name='ModuleCapacity' [(ngModel)]='rowdata.moduleCapacity'&gt;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>moduleCapacity : number = 0 ;</v>
      </c>
      <c r="T20" s="31" t="str">
        <f>REPT(CHAR(9),3)&amp;"this."&amp;D20&amp;","</f>
        <v xml:space="preserve">			this.moduleCapacity,</v>
      </c>
      <c r="U20" s="31" t="str">
        <f>IF(E20="int","this."&amp;D20&amp;" = 0,","this."&amp;D20&amp;" = '',")</f>
        <v>this.moduleCapacity = 0,</v>
      </c>
      <c r="V20" s="31" t="str">
        <f>IF(AND(E20="string",F20="1"),D20,"")</f>
        <v/>
      </c>
    </row>
    <row r="21" spans="1:22" ht="15" customHeight="1" x14ac:dyDescent="0.25">
      <c r="A21" s="44" t="s">
        <v>321</v>
      </c>
      <c r="B21" s="31" t="str">
        <f t="shared" ref="B21:B22" si="15">SUBSTITUTE(PROPER(A21),"_","")</f>
        <v>ModuleType</v>
      </c>
      <c r="C21" s="31" t="str">
        <f t="shared" ref="C21:C22" si="16">SUBSTITUTE(PROPER(A21),"_"," ")</f>
        <v>Module Type</v>
      </c>
      <c r="D21" s="31" t="str">
        <f t="shared" ref="D21:D22" si="17">LOWER(LEFT(B21,1))&amp;RIGHT(B21,LEN(B21) - 1)</f>
        <v>moduleType</v>
      </c>
      <c r="E21" s="31" t="str">
        <f>A.Backend!H15</f>
        <v>string</v>
      </c>
      <c r="F21" s="31" t="str">
        <f>A.Backend!G15</f>
        <v>50</v>
      </c>
      <c r="G21" s="31" t="str">
        <f t="shared" ref="G21:G24" si="18">IF(E21="string"," : string = '' ; ",IF(OR(E21="DateTime",E21="TimeSpan")," : any ;",IF(E21="int"," : number = 0 ;","")))</f>
        <v xml:space="preserve"> : string = '' ; </v>
      </c>
      <c r="H21" s="38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this.l('Module Type'),headerTooltip: this.l('Module Type'),field: 'moduleType',flex: 1},</v>
      </c>
      <c r="I21" s="38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[(ngModel)]='moduleType' name='moduleType'
									class='form-control' [placeholder]="l('Module Type')"
									type='text' (keyup.enter)='searchDatas()'&gt;
								&lt;/div&gt;</v>
      </c>
      <c r="J21" s="31"/>
      <c r="K21" s="38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title'&gt;Module Type&lt;/label&gt;
						&lt;input type='text' class='col-md-10 form-control input-text' name='ModuleType' [(ngModel)]='rowdata.moduleType'&gt;
					&lt;/div&gt;</v>
      </c>
      <c r="L21" s="60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moduleType : string = '' ; </v>
      </c>
      <c r="T21" s="31" t="str">
        <f>REPT(CHAR(9),3)&amp;"this."&amp;D21&amp;","</f>
        <v xml:space="preserve">			this.moduleType,</v>
      </c>
      <c r="U21" s="31" t="str">
        <f>IF(E21="int",REPT(CHAR(9),2)&amp;"this."&amp;D21&amp;" = 0,",REPT(CHAR(9),2)&amp;"this."&amp;D21&amp;" = '',")</f>
        <v xml:space="preserve">		this.moduleType = '',</v>
      </c>
      <c r="V21" s="31" t="str">
        <f t="shared" ref="V21:V24" si="23">IF(AND(E21="string",F21="1"),D21,"")</f>
        <v/>
      </c>
    </row>
    <row r="22" spans="1:22" ht="18" customHeight="1" x14ac:dyDescent="0.25">
      <c r="A22" s="44" t="s">
        <v>314</v>
      </c>
      <c r="B22" s="31" t="str">
        <f t="shared" si="15"/>
        <v>ModuleSize</v>
      </c>
      <c r="C22" s="31" t="str">
        <f t="shared" si="16"/>
        <v>Module Size</v>
      </c>
      <c r="D22" s="31" t="str">
        <f t="shared" si="17"/>
        <v>moduleSize</v>
      </c>
      <c r="E22" s="31" t="str">
        <f>A.Backend!H16</f>
        <v>string</v>
      </c>
      <c r="F22" s="31" t="str">
        <f>A.Backend!G16</f>
        <v>50</v>
      </c>
      <c r="G22" s="31" t="str">
        <f t="shared" si="18"/>
        <v xml:space="preserve"> : string = '' ; </v>
      </c>
      <c r="H22" s="38" t="str">
        <f t="shared" si="19"/>
        <v xml:space="preserve">			{headerName: this.l('Module Size'),headerTooltip: this.l('Module Size'),field: 'moduleSize',flex: 1},</v>
      </c>
      <c r="I22" s="38" t="str">
        <f t="shared" si="20"/>
        <v xml:space="preserve">								&lt;div class='input-search'&gt;
									&lt;input [(ngModel)]='moduleSize' name='moduleSize'
									class='form-control' [placeholder]="l('Module Size')"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title'&gt;Module Size&lt;/label&gt;
						&lt;input type='text' class='col-md-10 form-control input-text' name='ModuleSize' [(ngModel)]='rowdata.moduleSize'&gt;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4" si="24">REPT(CHAR(9),1)&amp;D22&amp;G22</f>
        <v xml:space="preserve">	moduleSize : string = '' ; </v>
      </c>
      <c r="T22" s="31" t="str">
        <f t="shared" ref="T22:T24" si="25">REPT(CHAR(9),3)&amp;"this."&amp;D22&amp;","</f>
        <v xml:space="preserve">			this.moduleSize,</v>
      </c>
      <c r="U22" s="31" t="str">
        <f t="shared" ref="U22:U24" si="26">IF(E22="int",REPT(CHAR(9),2)&amp;"this."&amp;D22&amp;" = 0,",REPT(CHAR(9),2)&amp;"this."&amp;D22&amp;" = '',")</f>
        <v xml:space="preserve">		this.moduleSize = '',</v>
      </c>
      <c r="V22" s="31" t="str">
        <f t="shared" si="23"/>
        <v/>
      </c>
    </row>
    <row r="23" spans="1:22" ht="18" customHeight="1" x14ac:dyDescent="0.25">
      <c r="A23" s="44" t="s">
        <v>322</v>
      </c>
      <c r="B23" s="31" t="str">
        <f>SUBSTITUTE(PROPER(A23),"_","")</f>
        <v>SortingType</v>
      </c>
      <c r="C23" s="31" t="str">
        <f>SUBSTITUTE(PROPER(A23),"_"," ")</f>
        <v>Sorting Type</v>
      </c>
      <c r="D23" s="31" t="str">
        <f>LOWER(LEFT(B23,1))&amp;RIGHT(B23,LEN(B23) - 1)</f>
        <v>sortingType</v>
      </c>
      <c r="E23" s="31" t="str">
        <f>A.Backend!H17</f>
        <v>string</v>
      </c>
      <c r="F23" s="31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this.l('Sorting Type'),headerTooltip: this.l('Sorting Type'),field: 'sortingType',flex: 1},</v>
      </c>
      <c r="I23" s="38" t="str">
        <f t="shared" si="20"/>
        <v xml:space="preserve">								&lt;div class='input-search'&gt;
									&lt;input [(ngModel)]='sortingType' name='sortingType'
									class='form-control' [placeholder]="l('Sorting Type')"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title'&gt;Sorting Type&lt;/label&gt;
						&lt;input type='text' class='col-md-10 form-control input-text' name='SortingType' [(ngModel)]='rowdata.sortingType'&gt;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sortingType : string = '' ; </v>
      </c>
      <c r="T23" s="31" t="str">
        <f t="shared" si="25"/>
        <v xml:space="preserve">			this.sortingType,</v>
      </c>
      <c r="U23" s="31" t="str">
        <f t="shared" si="26"/>
        <v xml:space="preserve">		this.sortingType = '',</v>
      </c>
      <c r="V23" s="31" t="str">
        <f t="shared" si="23"/>
        <v/>
      </c>
    </row>
    <row r="24" spans="1:22" ht="15" customHeight="1" x14ac:dyDescent="0.25">
      <c r="A24" s="44" t="s">
        <v>316</v>
      </c>
      <c r="B24" s="31" t="str">
        <f t="shared" ref="B24" si="27">SUBSTITUTE(PROPER(A24),"_","")</f>
        <v>MinMod</v>
      </c>
      <c r="C24" s="31" t="str">
        <f t="shared" ref="C24" si="28">SUBSTITUTE(PROPER(A24),"_"," ")</f>
        <v>Min Mod</v>
      </c>
      <c r="D24" s="31" t="str">
        <f t="shared" ref="D24" si="29">LOWER(LEFT(B24,1))&amp;RIGHT(B24,LEN(B24) - 1)</f>
        <v>minMod</v>
      </c>
      <c r="E24" s="31" t="str">
        <f>A.Backend!H18</f>
        <v>int</v>
      </c>
      <c r="F24" s="31" t="str">
        <f>A.Backend!G18</f>
        <v/>
      </c>
      <c r="G24" s="31" t="str">
        <f t="shared" si="18"/>
        <v xml:space="preserve"> : number = 0 ;</v>
      </c>
      <c r="H24" s="38" t="str">
        <f t="shared" si="19"/>
        <v xml:space="preserve">			{headerName: this.l('Min Mod'),headerTooltip: this.l('Min Mod'),field: 'minMod',flex: 1},</v>
      </c>
      <c r="I24" s="38" t="str">
        <f t="shared" si="20"/>
        <v/>
      </c>
      <c r="J24" s="31"/>
      <c r="K24" s="38" t="str">
        <f t="shared" si="21"/>
        <v xml:space="preserve">					&lt;div class='col-md-12 form-group row'&gt;
						&lt;label class='col-md-2 form-control title'&gt;Min Mod&lt;/label&gt;
						&lt;input type='number' class='col-md-10 form-control input-text' name='MinMod' [(ngModel)]='rowdata.minMod'&gt;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4"/>
        <v xml:space="preserve">	minMod : number = 0 ;</v>
      </c>
      <c r="T24" s="31" t="str">
        <f t="shared" si="25"/>
        <v xml:space="preserve">			this.minMod,</v>
      </c>
      <c r="U24" s="31" t="str">
        <f t="shared" si="26"/>
        <v xml:space="preserve">		this.minMod = 0,</v>
      </c>
      <c r="V24" s="31" t="str">
        <f t="shared" si="23"/>
        <v/>
      </c>
    </row>
    <row r="25" spans="1:22" ht="18" customHeight="1" x14ac:dyDescent="0.25">
      <c r="A25" s="44" t="s">
        <v>317</v>
      </c>
      <c r="B25" s="31" t="str">
        <f>SUBSTITUTE(PROPER(A25),"_","")</f>
        <v>MaxMod</v>
      </c>
      <c r="C25" s="31" t="str">
        <f>SUBSTITUTE(PROPER(A25),"_"," ")</f>
        <v>Max Mod</v>
      </c>
      <c r="D25" s="31" t="str">
        <f>LOWER(LEFT(B25,1))&amp;RIGHT(B25,LEN(B25) - 1)</f>
        <v>maxMod</v>
      </c>
      <c r="E25" s="31" t="str">
        <f>A.Backend!H19</f>
        <v>int</v>
      </c>
      <c r="F25" s="31" t="str">
        <f>A.Backend!G19</f>
        <v/>
      </c>
      <c r="G25" s="31" t="str">
        <f>IF(E25="string"," : string = '' ; ",IF(OR(E25="DateTime",E25="TimeSpan")," : any ;",IF(E25="int"," : number = 0 ;","")))</f>
        <v xml:space="preserve"> : number = 0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this.l('Max Mod'),headerTooltip: this.l('Max Mod'),field: 'maxMod',flex: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title'&gt;Max Mod&lt;/label&gt;
						&lt;input type='number' class='col-md-10 form-control input-text' name='MaxMod' [(ngModel)]='rowdata.maxMod'&gt;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>maxMod : number = 0 ;</v>
      </c>
      <c r="T25" s="31" t="str">
        <f>REPT(CHAR(9),3)&amp;"this."&amp;D25&amp;","</f>
        <v xml:space="preserve">			this.maxMod,</v>
      </c>
      <c r="U25" s="31" t="str">
        <f>IF(E25="int","this."&amp;D25&amp;" = 0,","this."&amp;D25&amp;" = '',")</f>
        <v>this.maxMod = 0,</v>
      </c>
      <c r="V25" s="31" t="str">
        <f>IF(AND(E25="string",F25="1"),D25,"")</f>
        <v/>
      </c>
    </row>
    <row r="26" spans="1:22" ht="15" customHeight="1" x14ac:dyDescent="0.25">
      <c r="A26" s="44" t="s">
        <v>324</v>
      </c>
      <c r="B26" s="31" t="str">
        <f t="shared" ref="B26:B27" si="30">SUBSTITUTE(PROPER(A26),"_","")</f>
        <v>MonitorVisualize</v>
      </c>
      <c r="C26" s="31" t="str">
        <f t="shared" ref="C26:C27" si="31">SUBSTITUTE(PROPER(A26),"_"," ")</f>
        <v>Monitor Visualize</v>
      </c>
      <c r="D26" s="31" t="str">
        <f t="shared" ref="D26:D27" si="32">LOWER(LEFT(B26,1))&amp;RIGHT(B26,LEN(B26) - 1)</f>
        <v>monitorVisualize</v>
      </c>
      <c r="E26" s="31" t="str">
        <f>A.Backend!H20</f>
        <v>int</v>
      </c>
      <c r="F26" s="31" t="str">
        <f>A.Backend!G20</f>
        <v/>
      </c>
      <c r="G26" s="31" t="str">
        <f t="shared" ref="G26:G29" si="33">IF(E26="string"," : string = '' ; ",IF(OR(E26="DateTime",E26="TimeSpan")," : any ;",IF(E26="int"," : number = 0 ;","")))</f>
        <v xml:space="preserve"> : number = 0 ;</v>
      </c>
      <c r="H26" s="38" t="str">
        <f t="shared" ref="H26:H29" si="34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this.l('Monitor Visualize'),headerTooltip: this.l('Monitor Visualize'),field: 'monitorVisualize',flex: 1},</v>
      </c>
      <c r="I26" s="38" t="str">
        <f t="shared" ref="I26:I29" si="35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31"/>
      <c r="K26" s="38" t="str">
        <f t="shared" ref="K26:K29" si="36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title'&gt;Monitor Visualize&lt;/label&gt;
						&lt;input type='number' class='col-md-10 form-control input-text' name='MonitorVisualize' [(ngModel)]='rowdata.monitorVisualize'&gt;
					&lt;/div&gt;</v>
      </c>
      <c r="L26" s="60" t="str">
        <f t="shared" ref="L26:L29" si="37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monitorVisualize : number = 0 ;</v>
      </c>
      <c r="T26" s="31" t="str">
        <f>REPT(CHAR(9),3)&amp;"this."&amp;D26&amp;","</f>
        <v xml:space="preserve">			this.monitorVisualize,</v>
      </c>
      <c r="U26" s="31" t="str">
        <f>IF(E26="int",REPT(CHAR(9),2)&amp;"this."&amp;D26&amp;" = 0,",REPT(CHAR(9),2)&amp;"this."&amp;D26&amp;" = '',")</f>
        <v xml:space="preserve">		this.monitorVisualize = 0,</v>
      </c>
      <c r="V26" s="31" t="str">
        <f t="shared" ref="V26:V29" si="38">IF(AND(E26="string",F26="1"),D26,"")</f>
        <v/>
      </c>
    </row>
    <row r="27" spans="1:22" ht="18" customHeight="1" x14ac:dyDescent="0.25">
      <c r="A27" s="44" t="s">
        <v>318</v>
      </c>
      <c r="B27" s="31" t="str">
        <f t="shared" si="30"/>
        <v>CaseOrder</v>
      </c>
      <c r="C27" s="31" t="str">
        <f t="shared" si="31"/>
        <v>Case Order</v>
      </c>
      <c r="D27" s="31" t="str">
        <f t="shared" si="32"/>
        <v>caseOrder</v>
      </c>
      <c r="E27" s="31" t="str">
        <f>A.Backend!H21</f>
        <v>int</v>
      </c>
      <c r="F27" s="31" t="str">
        <f>A.Backend!G21</f>
        <v/>
      </c>
      <c r="G27" s="31" t="str">
        <f t="shared" si="33"/>
        <v xml:space="preserve"> : number = 0 ;</v>
      </c>
      <c r="H27" s="38" t="str">
        <f t="shared" si="34"/>
        <v xml:space="preserve">			{headerName: this.l('Case Order'),headerTooltip: this.l('Case Order'),field: 'caseOrder',flex: 1},</v>
      </c>
      <c r="I27" s="38" t="str">
        <f t="shared" si="35"/>
        <v/>
      </c>
      <c r="J27" s="31"/>
      <c r="K27" s="38" t="str">
        <f t="shared" si="36"/>
        <v xml:space="preserve">					&lt;div class='col-md-12 form-group row'&gt;
						&lt;label class='col-md-2 form-control title'&gt;Case Order&lt;/label&gt;
						&lt;input type='number' class='col-md-10 form-control input-text' name='CaseOrder' [(ngModel)]='rowdata.caseOrder'&gt;
					&lt;/div&gt;</v>
      </c>
      <c r="L27" s="60" t="str">
        <f t="shared" si="37"/>
        <v/>
      </c>
      <c r="M27" s="31"/>
      <c r="N27" s="31"/>
      <c r="O27" s="31"/>
      <c r="P27" s="31"/>
      <c r="Q27" s="31"/>
      <c r="R27" s="31"/>
      <c r="S27" s="31" t="str">
        <f t="shared" ref="S27:S29" si="39">REPT(CHAR(9),1)&amp;D27&amp;G27</f>
        <v xml:space="preserve">	caseOrder : number = 0 ;</v>
      </c>
      <c r="T27" s="31" t="str">
        <f t="shared" ref="T27:T29" si="40">REPT(CHAR(9),3)&amp;"this."&amp;D27&amp;","</f>
        <v xml:space="preserve">			this.caseOrder,</v>
      </c>
      <c r="U27" s="31" t="str">
        <f t="shared" ref="U27:U29" si="41">IF(E27="int",REPT(CHAR(9),2)&amp;"this."&amp;D27&amp;" = 0,",REPT(CHAR(9),2)&amp;"this."&amp;D27&amp;" = '',")</f>
        <v xml:space="preserve">		this.caseOrder = 0,</v>
      </c>
      <c r="V27" s="31" t="str">
        <f t="shared" si="38"/>
        <v/>
      </c>
    </row>
    <row r="28" spans="1:22" ht="18" customHeight="1" x14ac:dyDescent="0.25">
      <c r="A28" s="44" t="s">
        <v>319</v>
      </c>
      <c r="B28" s="31" t="str">
        <f>SUBSTITUTE(PROPER(A28),"_","")</f>
        <v>CaseType</v>
      </c>
      <c r="C28" s="31" t="str">
        <f>SUBSTITUTE(PROPER(A28),"_"," ")</f>
        <v>Case Type</v>
      </c>
      <c r="D28" s="31" t="str">
        <f>LOWER(LEFT(B28,1))&amp;RIGHT(B28,LEN(B28) - 1)</f>
        <v>caseType</v>
      </c>
      <c r="E28" s="31" t="str">
        <f>A.Backend!H22</f>
        <v>string</v>
      </c>
      <c r="F28" s="31" t="str">
        <f>A.Backend!G22</f>
        <v>50</v>
      </c>
      <c r="G28" s="31" t="str">
        <f t="shared" si="33"/>
        <v xml:space="preserve"> : string = '' ; </v>
      </c>
      <c r="H28" s="38" t="str">
        <f t="shared" si="34"/>
        <v xml:space="preserve">			{headerName: this.l('Case Type'),headerTooltip: this.l('Case Type'),field: 'caseType',flex: 1},</v>
      </c>
      <c r="I28" s="38" t="str">
        <f t="shared" si="35"/>
        <v xml:space="preserve">								&lt;div class='input-search'&gt;
									&lt;input [(ngModel)]='caseType' name='caseType'
									class='form-control' [placeholder]="l('Case Type')"
									type='text' (keyup.enter)='searchDatas()'&gt;
								&lt;/div&gt;</v>
      </c>
      <c r="J28" s="31"/>
      <c r="K28" s="38" t="str">
        <f t="shared" si="36"/>
        <v xml:space="preserve">					&lt;div class='col-md-12 form-group row'&gt;
						&lt;label class='col-md-2 form-control title'&gt;Case Type&lt;/label&gt;
						&lt;input type='text' class='col-md-10 form-control input-text' name='CaseType' [(ngModel)]='rowdata.caseType'&gt;
					&lt;/div&gt;</v>
      </c>
      <c r="L28" s="60" t="str">
        <f t="shared" si="37"/>
        <v/>
      </c>
      <c r="M28" s="31"/>
      <c r="N28" s="31"/>
      <c r="O28" s="31"/>
      <c r="P28" s="31"/>
      <c r="Q28" s="31"/>
      <c r="R28" s="31"/>
      <c r="S28" s="31" t="str">
        <f t="shared" si="39"/>
        <v xml:space="preserve">	caseType : string = '' ; </v>
      </c>
      <c r="T28" s="31" t="str">
        <f t="shared" si="40"/>
        <v xml:space="preserve">			this.caseType,</v>
      </c>
      <c r="U28" s="31" t="str">
        <f t="shared" si="41"/>
        <v xml:space="preserve">		this.caseType = '',</v>
      </c>
      <c r="V28" s="31" t="str">
        <f t="shared" si="38"/>
        <v/>
      </c>
    </row>
    <row r="29" spans="1:22" ht="15" customHeight="1" x14ac:dyDescent="0.25">
      <c r="A29" s="44" t="s">
        <v>308</v>
      </c>
      <c r="B29" s="31" t="str">
        <f t="shared" ref="B29" si="42">SUBSTITUTE(PROPER(A29),"_","")</f>
        <v>ProdLine</v>
      </c>
      <c r="C29" s="31" t="str">
        <f t="shared" ref="C29" si="43">SUBSTITUTE(PROPER(A29),"_"," ")</f>
        <v>Prod Line</v>
      </c>
      <c r="D29" s="31" t="str">
        <f t="shared" ref="D29" si="44">LOWER(LEFT(B29,1))&amp;RIGHT(B29,LEN(B29) - 1)</f>
        <v>prodLine</v>
      </c>
      <c r="E29" s="31" t="str">
        <f>A.Backend!H23</f>
        <v>string</v>
      </c>
      <c r="F29" s="31" t="str">
        <f>A.Backend!G23</f>
        <v>50</v>
      </c>
      <c r="G29" s="31" t="str">
        <f t="shared" si="33"/>
        <v xml:space="preserve"> : string = '' ; </v>
      </c>
      <c r="H29" s="38" t="str">
        <f t="shared" si="34"/>
        <v xml:space="preserve">			{headerName: this.l('Prod Line'),headerTooltip: this.l('Prod Line'),field: 'prodLine',flex: 1},</v>
      </c>
      <c r="I29" s="38" t="str">
        <f t="shared" si="3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29" s="31"/>
      <c r="K29" s="38" t="str">
        <f t="shared" si="3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29" s="60" t="str">
        <f t="shared" si="37"/>
        <v/>
      </c>
      <c r="M29" s="31"/>
      <c r="N29" s="31"/>
      <c r="O29" s="31"/>
      <c r="P29" s="31"/>
      <c r="Q29" s="31"/>
      <c r="R29" s="31"/>
      <c r="S29" s="31" t="str">
        <f t="shared" si="39"/>
        <v xml:space="preserve">	prodLine : string = '' ; </v>
      </c>
      <c r="T29" s="31" t="str">
        <f t="shared" si="40"/>
        <v xml:space="preserve">			this.prodLine,</v>
      </c>
      <c r="U29" s="31" t="str">
        <f t="shared" si="41"/>
        <v xml:space="preserve">		this.prodLine = '',</v>
      </c>
      <c r="V29" s="31" t="str">
        <f t="shared" si="38"/>
        <v/>
      </c>
    </row>
    <row r="30" spans="1:22" ht="18" customHeight="1" x14ac:dyDescent="0.25">
      <c r="A30" s="44" t="s">
        <v>307</v>
      </c>
      <c r="B30" s="31" t="str">
        <f>SUBSTITUTE(PROPER(A30),"_","")</f>
        <v>Model</v>
      </c>
      <c r="C30" s="31" t="str">
        <f>SUBSTITUTE(PROPER(A30),"_"," ")</f>
        <v>Model</v>
      </c>
      <c r="D30" s="31" t="str">
        <f>LOWER(LEFT(B30,1))&amp;RIGHT(B30,LEN(B30) - 1)</f>
        <v>model</v>
      </c>
      <c r="E30" s="31" t="str">
        <f>A.Backend!H24</f>
        <v>string</v>
      </c>
      <c r="F30" s="31" t="str">
        <f>A.Backend!G24</f>
        <v>50</v>
      </c>
      <c r="G30" s="31" t="str">
        <f>IF(E30="string"," : string = '' ; ",IF(OR(E30="DateTime",E30="TimeSpan")," : any ;",IF(E30="int"," : number = 0 ;","")))</f>
        <v xml:space="preserve"> : string = '' ; 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this.l('Model'),headerTooltip: this.l('Model'),field: 'model',flex: 1},</v>
      </c>
      <c r="I30" s="38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30" s="31"/>
      <c r="K30" s="38" t="str">
        <f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30" s="60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D30&amp;G30</f>
        <v xml:space="preserve">model : string = '' ; </v>
      </c>
      <c r="T30" s="31" t="str">
        <f>REPT(CHAR(9),3)&amp;"this."&amp;D30&amp;","</f>
        <v xml:space="preserve">			this.model,</v>
      </c>
      <c r="U30" s="31" t="str">
        <f>IF(E30="int","this."&amp;D30&amp;" = 0,","this."&amp;D30&amp;" = '',")</f>
        <v>this.model = '',</v>
      </c>
      <c r="V30" s="31" t="str">
        <f>IF(AND(E30="string",F30="1"),D30,"")</f>
        <v/>
      </c>
    </row>
    <row r="31" spans="1:22" ht="15" customHeight="1" x14ac:dyDescent="0.25">
      <c r="A31" s="44" t="s">
        <v>320</v>
      </c>
      <c r="B31" s="31" t="str">
        <f t="shared" ref="B31:B32" si="45">SUBSTITUTE(PROPER(A31),"_","")</f>
        <v>Cfc</v>
      </c>
      <c r="C31" s="31" t="str">
        <f t="shared" ref="C31:C32" si="46">SUBSTITUTE(PROPER(A31),"_"," ")</f>
        <v>Cfc</v>
      </c>
      <c r="D31" s="31" t="str">
        <f t="shared" ref="D31:D32" si="47">LOWER(LEFT(B31,1))&amp;RIGHT(B31,LEN(B31) - 1)</f>
        <v>cfc</v>
      </c>
      <c r="E31" s="31" t="str">
        <f>A.Backend!H25</f>
        <v>string</v>
      </c>
      <c r="F31" s="31" t="str">
        <f>A.Backend!G25</f>
        <v>50</v>
      </c>
      <c r="G31" s="31" t="str">
        <f t="shared" ref="G31:G34" si="48">IF(E31="string"," : string = '' ; ",IF(OR(E31="DateTime",E31="TimeSpan")," : any ;",IF(E31="int"," : number = 0 ;","")))</f>
        <v xml:space="preserve"> : string = '' ; </v>
      </c>
      <c r="H31" s="38" t="str">
        <f t="shared" ref="H31:H34" si="49">IF(E31="DateTime",
REPT(CHAR(9),3)&amp;"{headerName: this.l('"&amp;C31&amp;"'),headerTooltip: this.l('"&amp;C31&amp;"'),field: '"&amp;D31&amp;"',valueGetter: (params) =&gt; this.pipe.transform(params.data?."&amp;D31&amp;", 'dd/MM/yyyy'),flex: 1},",
IF(AND(E31="string",F31="1"),
REPT(CHAR(9),3)&amp;"{headerName: this.l('"&amp;C31&amp;"'),headerTooltip: this.l('"&amp;C31&amp;"'),field:  '"&amp;D31&amp;"', cellClass: ['text-center'], width: 120, cellRenderer: 'agCellButtonComponent',
buttonDefTwo: { text: params =&gt; (params.data?.'"&amp;D31&amp;"' == 'Y') ? 'Active' : 'Inactive',iconName: 'fa fa-circle',className: params =&gt; (params.data?.'"&amp;D31&amp;"' == 'Y') ? 'btnActive' : 'btnInActive',},}",
REPT(CHAR(9),3)&amp;"{headerName: this.l('"&amp;C31&amp;"'),headerTooltip: this.l('"&amp;C31&amp;"'),field: '"&amp;D31&amp;"',flex: 1},"))</f>
        <v xml:space="preserve">			{headerName: this.l('Cfc'),headerTooltip: this.l('Cfc'),field: 'cfc',flex: 1},</v>
      </c>
      <c r="I31" s="38" t="str">
        <f t="shared" ref="I31:I34" si="50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31" s="31"/>
      <c r="K31" s="38" t="str">
        <f t="shared" ref="K31:K34" si="51"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31" s="60" t="str">
        <f t="shared" ref="L31:L34" si="52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cfc : string = '' ; </v>
      </c>
      <c r="T31" s="31" t="str">
        <f>REPT(CHAR(9),3)&amp;"this."&amp;D31&amp;","</f>
        <v xml:space="preserve">			this.cfc,</v>
      </c>
      <c r="U31" s="31" t="str">
        <f>IF(E31="int",REPT(CHAR(9),2)&amp;"this."&amp;D31&amp;" = 0,",REPT(CHAR(9),2)&amp;"this."&amp;D31&amp;" = '',")</f>
        <v xml:space="preserve">		this.cfc = '',</v>
      </c>
      <c r="V31" s="31" t="str">
        <f t="shared" ref="V31:V34" si="53">IF(AND(E31="string",F31="1"),D31,"")</f>
        <v/>
      </c>
    </row>
    <row r="32" spans="1:22" ht="18" customHeight="1" x14ac:dyDescent="0.25">
      <c r="A32" s="44" t="s">
        <v>315</v>
      </c>
      <c r="B32" s="31" t="str">
        <f t="shared" si="45"/>
        <v>WhLoc</v>
      </c>
      <c r="C32" s="31" t="str">
        <f t="shared" si="46"/>
        <v>Wh Loc</v>
      </c>
      <c r="D32" s="31" t="str">
        <f t="shared" si="47"/>
        <v>whLoc</v>
      </c>
      <c r="E32" s="31" t="str">
        <f>A.Backend!H26</f>
        <v>string</v>
      </c>
      <c r="F32" s="31" t="str">
        <f>A.Backend!G26</f>
        <v>50</v>
      </c>
      <c r="G32" s="31" t="str">
        <f t="shared" si="48"/>
        <v xml:space="preserve"> : string = '' ; </v>
      </c>
      <c r="H32" s="38" t="str">
        <f t="shared" si="49"/>
        <v xml:space="preserve">			{headerName: this.l('Wh Loc'),headerTooltip: this.l('Wh Loc'),field: 'whLoc',flex: 1},</v>
      </c>
      <c r="I32" s="38" t="str">
        <f t="shared" si="50"/>
        <v xml:space="preserve">								&lt;div class='input-search'&gt;
									&lt;input [(ngModel)]='whLoc' name='whLoc'
									class='form-control' [placeholder]="l('Wh Loc')"
									type='text' (keyup.enter)='searchDatas()'&gt;
								&lt;/div&gt;</v>
      </c>
      <c r="J32" s="31"/>
      <c r="K32" s="38" t="str">
        <f t="shared" si="51"/>
        <v xml:space="preserve">					&lt;div class='col-md-12 form-group row'&gt;
						&lt;label class='col-md-2 form-control title'&gt;Wh Loc&lt;/label&gt;
						&lt;input type='text' class='col-md-10 form-control input-text' name='WhLoc' [(ngModel)]='rowdata.whLoc'&gt;
					&lt;/div&gt;</v>
      </c>
      <c r="L32" s="60" t="str">
        <f t="shared" si="52"/>
        <v/>
      </c>
      <c r="M32" s="31"/>
      <c r="N32" s="31"/>
      <c r="O32" s="31"/>
      <c r="P32" s="31"/>
      <c r="Q32" s="31"/>
      <c r="R32" s="31"/>
      <c r="S32" s="31" t="str">
        <f t="shared" ref="S32:S34" si="54">REPT(CHAR(9),1)&amp;D32&amp;G32</f>
        <v xml:space="preserve">	whLoc : string = '' ; </v>
      </c>
      <c r="T32" s="31" t="str">
        <f t="shared" ref="T32:T34" si="55">REPT(CHAR(9),3)&amp;"this."&amp;D32&amp;","</f>
        <v xml:space="preserve">			this.whLoc,</v>
      </c>
      <c r="U32" s="31" t="str">
        <f t="shared" ref="U32:U34" si="56">IF(E32="int",REPT(CHAR(9),2)&amp;"this."&amp;D32&amp;" = 0,",REPT(CHAR(9),2)&amp;"this."&amp;D32&amp;" = '',")</f>
        <v xml:space="preserve">		this.whLoc = '',</v>
      </c>
      <c r="V32" s="31" t="str">
        <f t="shared" si="53"/>
        <v/>
      </c>
    </row>
    <row r="33" spans="1:22" ht="18" customHeight="1" x14ac:dyDescent="0.25">
      <c r="A33" s="44" t="s">
        <v>325</v>
      </c>
      <c r="B33" s="31" t="str">
        <f>SUBSTITUTE(PROPER(A33),"_","")</f>
        <v>IsUsePxpData</v>
      </c>
      <c r="C33" s="31" t="str">
        <f>SUBSTITUTE(PROPER(A33),"_"," ")</f>
        <v>Is Use Pxp Data</v>
      </c>
      <c r="D33" s="31" t="str">
        <f>LOWER(LEFT(B33,1))&amp;RIGHT(B33,LEN(B33) - 1)</f>
        <v>isUsePxpData</v>
      </c>
      <c r="E33" s="31" t="str">
        <f>A.Backend!H27</f>
        <v>string</v>
      </c>
      <c r="F33" s="31" t="str">
        <f>A.Backend!G27</f>
        <v>1</v>
      </c>
      <c r="G33" s="31" t="str">
        <f t="shared" si="48"/>
        <v xml:space="preserve"> : string = '' ; </v>
      </c>
      <c r="H33" s="38" t="str">
        <f t="shared" si="49"/>
        <v xml:space="preserve">			{headerName: this.l('Is Use Pxp Data'),headerTooltip: this.l('Is Use Pxp Data'),field:  'isUsePxpData', cellClass: ['text-center'], width: 120, cellRenderer: 'agCellButtonComponent',
buttonDefTwo: { text: params =&gt; (params.data?.'isUsePxpData' == 'Y') ? 'Active' : 'Inactive',iconName: 'fa fa-circle',className: params =&gt; (params.data?.'isUsePxpData' == 'Y') ? 'btnActive' : 'btnInActive',},}</v>
      </c>
      <c r="I33" s="38" t="str">
        <f t="shared" si="50"/>
        <v xml:space="preserve">								&lt;div class='input-search'&gt;
									&lt;input [(ngModel)]='isUsePxpData' name='isUsePxpData'
									class='form-control' [placeholder]="l('Is Use Pxp Data')"
									type='text' (keyup.enter)='searchDatas()'&gt;
								&lt;/div&gt;</v>
      </c>
      <c r="J33" s="31"/>
      <c r="K33" s="38" t="str">
        <f t="shared" si="51"/>
        <v xml:space="preserve">					&lt;div class='col-md-12 form-group row'&gt;
						&lt;label class='col-md-2 form-control title'&gt;Is Use Pxp Data&lt;/label&gt;
						&lt;new-checkbox [(ngModel)]='_isUsePxpData' name='isUsePxpData' className='col-md-10' &gt; &lt;/new-checkbox&gt;
					&lt;/div&gt;</v>
      </c>
      <c r="L33" s="60" t="str">
        <f t="shared" si="52"/>
        <v/>
      </c>
      <c r="M33" s="31"/>
      <c r="N33" s="31"/>
      <c r="O33" s="31"/>
      <c r="P33" s="31"/>
      <c r="Q33" s="31"/>
      <c r="R33" s="31"/>
      <c r="S33" s="31" t="str">
        <f t="shared" si="54"/>
        <v xml:space="preserve">	isUsePxpData : string = '' ; </v>
      </c>
      <c r="T33" s="31" t="str">
        <f t="shared" si="55"/>
        <v xml:space="preserve">			this.isUsePxpData,</v>
      </c>
      <c r="U33" s="31" t="str">
        <f t="shared" si="56"/>
        <v xml:space="preserve">		this.isUsePxpData = '',</v>
      </c>
      <c r="V33" s="31" t="str">
        <f t="shared" si="53"/>
        <v>isUsePxpData</v>
      </c>
    </row>
    <row r="34" spans="1:22" ht="15" customHeight="1" x14ac:dyDescent="0.25">
      <c r="A34" s="44" t="s">
        <v>323</v>
      </c>
      <c r="B34" s="31" t="str">
        <f t="shared" ref="B34" si="57">SUBSTITUTE(PROPER(A34),"_","")</f>
        <v>UpLeadtime</v>
      </c>
      <c r="C34" s="31" t="str">
        <f t="shared" ref="C34" si="58">SUBSTITUTE(PROPER(A34),"_"," ")</f>
        <v>Up Leadtime</v>
      </c>
      <c r="D34" s="31" t="str">
        <f t="shared" ref="D34" si="59">LOWER(LEFT(B34,1))&amp;RIGHT(B34,LEN(B34) - 1)</f>
        <v>upLeadtime</v>
      </c>
      <c r="E34" s="31" t="str">
        <f>A.Backend!H28</f>
        <v>int</v>
      </c>
      <c r="F34" s="31" t="str">
        <f>A.Backend!G28</f>
        <v/>
      </c>
      <c r="G34" s="31" t="str">
        <f t="shared" si="48"/>
        <v xml:space="preserve"> : number = 0 ;</v>
      </c>
      <c r="H34" s="38" t="str">
        <f t="shared" si="49"/>
        <v xml:space="preserve">			{headerName: this.l('Up Leadtime'),headerTooltip: this.l('Up Leadtime'),field: 'upLeadtime',flex: 1},</v>
      </c>
      <c r="I34" s="38" t="str">
        <f t="shared" si="50"/>
        <v/>
      </c>
      <c r="J34" s="31"/>
      <c r="K34" s="38" t="str">
        <f t="shared" si="51"/>
        <v xml:space="preserve">					&lt;div class='col-md-12 form-group row'&gt;
						&lt;label class='col-md-2 form-control title'&gt;Up Leadtime&lt;/label&gt;
						&lt;input type='number' class='col-md-10 form-control input-text' name='UpLeadtime' [(ngModel)]='rowdata.upLeadtime'&gt;
					&lt;/div&gt;</v>
      </c>
      <c r="L34" s="60" t="str">
        <f t="shared" si="52"/>
        <v/>
      </c>
      <c r="M34" s="31"/>
      <c r="N34" s="31"/>
      <c r="O34" s="31"/>
      <c r="P34" s="31"/>
      <c r="Q34" s="31"/>
      <c r="R34" s="31"/>
      <c r="S34" s="31" t="str">
        <f t="shared" si="54"/>
        <v xml:space="preserve">	upLeadtime : number = 0 ;</v>
      </c>
      <c r="T34" s="31" t="str">
        <f t="shared" si="55"/>
        <v xml:space="preserve">			this.upLeadtime,</v>
      </c>
      <c r="U34" s="31" t="str">
        <f t="shared" si="56"/>
        <v xml:space="preserve">		this.upLeadtime = 0,</v>
      </c>
      <c r="V34" s="31" t="str">
        <f t="shared" si="53"/>
        <v/>
      </c>
    </row>
    <row r="35" spans="1:22" ht="15" customHeight="1" x14ac:dyDescent="0.25">
      <c r="A35" s="44" t="s">
        <v>302</v>
      </c>
      <c r="B35" s="31" t="str">
        <f t="shared" ref="B35" si="60">SUBSTITUTE(PROPER(A35),"_","")</f>
        <v>IsActive</v>
      </c>
      <c r="C35" s="31" t="str">
        <f t="shared" ref="C35" si="61">SUBSTITUTE(PROPER(A35),"_"," ")</f>
        <v>Is Active</v>
      </c>
      <c r="D35" s="31" t="str">
        <f t="shared" ref="D35" si="62">LOWER(LEFT(B35,1))&amp;RIGHT(B35,LEN(B35) - 1)</f>
        <v>isActive</v>
      </c>
      <c r="E35" s="31" t="str">
        <f>A.Backend!H29</f>
        <v>string</v>
      </c>
      <c r="F35" s="31" t="str">
        <f>A.Backend!G29</f>
        <v>1</v>
      </c>
      <c r="G35" s="31" t="str">
        <f t="shared" ref="G35" si="63">IF(E35="string"," : string = '' ; ",IF(OR(E35="DateTime",E35="TimeSpan")," : any ;",IF(E35="int"," : number = 0 ;","")))</f>
        <v xml:space="preserve"> : string = '' ; </v>
      </c>
      <c r="H35" s="38" t="str">
        <f t="shared" ref="H35" si="64">IF(E35="DateTime",
REPT(CHAR(9),3)&amp;"{headerName: this.l('"&amp;C35&amp;"'),headerTooltip: this.l('"&amp;C35&amp;"'),field: '"&amp;D35&amp;"',valueGetter: (params) =&gt; this.pipe.transform(params.data?."&amp;D35&amp;", 'dd/MM/yyyy'),flex: 1},",
IF(AND(E35="string",F35="1"),
REPT(CHAR(9),3)&amp;"{headerName: this.l('"&amp;C35&amp;"'),headerTooltip: this.l('"&amp;C35&amp;"'),field:  '"&amp;D35&amp;"', cellClass: ['text-center'], width: 120, cellRenderer: 'agCellButtonComponent',
buttonDefTwo: { text: params =&gt; (params.data?.'"&amp;D35&amp;"' == 'Y') ? 'Active' : 'Inactive',iconName: 'fa fa-circle',className: params =&gt; (params.data?.'"&amp;D35&amp;"' == 'Y') ? 'btnActive' : 'btnInActive',},}",
REPT(CHAR(9),3)&amp;"{headerName: this.l('"&amp;C35&amp;"'),headerTooltip: this.l('"&amp;C35&amp;"'),field: '"&amp;D35&amp;"',flex: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5" s="38" t="str">
        <f t="shared" ref="I35" si="65"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IF(E35="string",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5" s="31"/>
      <c r="K35" s="38" t="str">
        <f t="shared" ref="K35" si="66">IF(OR(E35="DateTime",E35="TimeSpan"),
REPT(CHAR(9),5)&amp;"&lt;div class='col-md-12 form-group row'&gt;
"&amp;REPT(CHAR(9),6)&amp;"&lt;label class='col-md-2 form-control title'&gt;"&amp;C35&amp;"&lt;/label&gt;
"&amp;REPT(CHAR(9),6)&amp;"&lt;input type='text' class='col-md-10 form-control input-text' name='"&amp;D35&amp;"' 
"&amp;REPT(CHAR(9),6)&amp;"#datepicker='bsDatepicker' [(ngModel)]='rowdata."&amp;D35&amp;"'  bsDatepicker &gt;
"&amp;REPT(CHAR(9),5)&amp;"&lt;/div&gt;",
IF(AND(E35="string",F35="1"),
REPT(CHAR(9),5)&amp;"&lt;div class='col-md-12 form-group row'&gt;
"&amp;REPT(CHAR(9),6)&amp;"&lt;label class='col-md-2 form-control title'&gt;"&amp;C35&amp;"&lt;/label&gt;
"&amp;REPT(CHAR(9),6)&amp;"&lt;new-checkbox [(ngModel)]='_"&amp;D35&amp;"' name='"&amp;D35&amp;"' className='col-md-10' &gt; &lt;/new-checkbox&gt;
"&amp;REPT(CHAR(9),5)&amp;"&lt;/div&gt;",
IF(E35="string",
REPT(CHAR(9),5)&amp;"&lt;div class='col-md-12 form-group row'&gt;
"&amp;REPT(CHAR(9),6)&amp;"&lt;label class='col-md-2 form-control title'&gt;"&amp;C35&amp;"&lt;/label&gt;
"&amp;REPT(CHAR(9),6)&amp;"&lt;input type='text' class='col-md-10 form-control input-text' name='"&amp;B35&amp;"' [(ngModel)]='rowdata."&amp;D35&amp;"'&gt;
"&amp;REPT(CHAR(9),5)&amp;"&lt;/div&gt;",
IF(E35="int",
REPT(CHAR(9),5)&amp;"&lt;div class='col-md-12 form-group row'&gt;
"&amp;REPT(CHAR(9),6)&amp;"&lt;label class='col-md-2 form-control title'&gt;"&amp;C35&amp;"&lt;/label&gt;
"&amp;REPT(CHAR(9),6)&amp;"&lt;input type='number' class='col-md-10 form-control input-text' name='"&amp;B35&amp;"' [(ngModel)]='rowdata."&amp;D35&amp;"'&gt;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5" s="60" t="str">
        <f t="shared" ref="L35" si="67"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isActive : string = '' ; </v>
      </c>
      <c r="T35" s="31" t="str">
        <f>REPT(CHAR(9),3)&amp;"this."&amp;D35&amp;","</f>
        <v xml:space="preserve">			this.isActive,</v>
      </c>
      <c r="U35" s="31" t="str">
        <f>IF(E35="int",REPT(CHAR(9),2)&amp;"this."&amp;D35&amp;" = 0,",REPT(CHAR(9),2)&amp;"this."&amp;D35&amp;" = '',")</f>
        <v xml:space="preserve">		this.isActive = '',</v>
      </c>
      <c r="V35" s="31" t="str">
        <f t="shared" ref="V35" si="68">IF(AND(E35="string",F35="1"),D35,"")</f>
        <v>isActive</v>
      </c>
    </row>
    <row r="3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2022-07-18T02:35:32Z</dcterms:modified>
</cp:coreProperties>
</file>
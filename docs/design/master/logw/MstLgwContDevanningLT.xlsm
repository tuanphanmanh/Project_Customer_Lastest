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w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W3" i="1" l="1"/>
  <c r="V3" i="1"/>
  <c r="B2" i="5" l="1"/>
  <c r="B3" i="5" s="1"/>
  <c r="B18" i="5"/>
  <c r="D18" i="5" s="1"/>
  <c r="G12" i="1"/>
  <c r="E12" i="1"/>
  <c r="H12" i="1" s="1"/>
  <c r="D12" i="1"/>
  <c r="V12" i="1" l="1"/>
  <c r="T12" i="1"/>
  <c r="N12" i="1"/>
  <c r="M12" i="1"/>
  <c r="O12" i="1"/>
  <c r="W12" i="1"/>
  <c r="T18" i="5"/>
  <c r="C18" i="5"/>
  <c r="J12" i="1"/>
  <c r="I12" i="1"/>
  <c r="P12" i="1"/>
  <c r="B6" i="5"/>
  <c r="L18" i="5" l="1"/>
  <c r="K18" i="5"/>
  <c r="I18" i="5"/>
  <c r="H18" i="5"/>
  <c r="G18" i="5"/>
  <c r="S18" i="5" s="1"/>
  <c r="U18" i="5"/>
  <c r="V18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14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14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14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V13" i="5"/>
  <c r="I13" i="5"/>
  <c r="K13" i="5"/>
  <c r="S13" i="5"/>
  <c r="H13" i="5"/>
  <c r="U13" i="5"/>
  <c r="L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1" i="1" s="1"/>
  <c r="L12" i="1" l="1"/>
  <c r="L9" i="1"/>
  <c r="L10" i="1"/>
  <c r="J11" i="1"/>
  <c r="J9" i="1"/>
  <c r="J10" i="1"/>
  <c r="C7" i="1"/>
  <c r="P14" i="1"/>
  <c r="J14" i="1"/>
  <c r="N14" i="1"/>
  <c r="I14" i="1"/>
  <c r="O14" i="1"/>
  <c r="Q7" i="1" l="1"/>
  <c r="M47" i="3" s="1"/>
  <c r="L7" i="1"/>
  <c r="G47" i="3" s="1"/>
  <c r="K47" i="3"/>
  <c r="J47" i="3"/>
  <c r="K14" i="1"/>
  <c r="M14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<sst xmlns="http://schemas.openxmlformats.org/spreadsheetml/2006/main" count="382" uniqueCount="311">
  <si>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</si>
  <si>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</si>
  <si>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</si>
  <si>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</si>
  <si>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</si>
  <si>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</si>
  <si>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</si>
  <si>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</si>
  <si>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</si>
  <si>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</si>
  <si>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</si>
  <si>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</si>
  <si>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</si>
  <si>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</si>
  <si>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</si>
  <si>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</si>
  <si>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</si>
  <si>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</si>
  <si>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</si>
  <si>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</si>
  <si>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</si>
  <si>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</si>
  <si>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</si>
  <si>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</si>
  <si>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</si>
  <si>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</si>
  <si>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</si>
  <si>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</si>
  <si>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</si>
  <si>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</si>
  <si>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</si>
  <si>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</si>
  <si>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</si>
  <si>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</si>
  <si>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</si>
  <si>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</si>
  <si>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</si>
  <si>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</si>
  <si>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</si>
  <si>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</si>
  <si>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</si>
  <si>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</si>
  <si>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</si>
  <si>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</si>
  <si>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</si>
  <si>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</si>
  <si>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</si>
  <si>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</si>
  <si>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</si>
  <si>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</si>
  <si>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</si>
  <si>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</si>
  <si>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</si>
  <si>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</si>
  <si>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</si>
  <si>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</si>
  <si>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</si>
  <si>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</si>
  <si>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</si>
  <si>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</si>
  <si>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</si>
  <si>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</si>
  <si>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</si>
  <si>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</si>
  <si>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</si>
  <si>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</si>
  <si>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</si>
  <si>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</si>
  <si>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</si>
  <si>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</si>
  <si>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</si>
  <si>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</si>
  <si>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</si>
  <si>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</si>
  <si>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</si>
  <si>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</si>
  <si>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</si>
  <si>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</si>
  <si>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</si>
  <si>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</si>
  <si>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</si>
  <si>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</si>
  <si>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</si>
  <si>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</si>
  <si>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</si>
  <si>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</si>
  <si>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</si>
  <si>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</si>
  <si>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</si>
  <si>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</si>
  <si>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</si>
  <si>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</si>
  <si>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</si>
  <si>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</si>
  <si>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</si>
  <si>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</si>
  <si>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</si>
  <si>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</si>
  <si>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</si>
  <si>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</si>
  <si>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</si>
  <si>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</si>
  <si>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</si>
  <si>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</si>
  <si>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</si>
  <si>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</si>
  <si>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</si>
  <si>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</si>
  <si>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</si>
  <si>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</si>
  <si>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</si>
  <si>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</si>
  <si>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</si>
  <si>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</si>
  <si>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</si>
  <si>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</si>
  <si>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</si>
  <si>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</si>
  <si>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</si>
  <si>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</si>
  <si>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</si>
  <si>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</si>
  <si>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</si>
  <si>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</si>
  <si>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</si>
  <si>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</si>
  <si>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</si>
  <si>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</si>
  <si>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</si>
  <si>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</si>
  <si>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</si>
  <si>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</si>
  <si>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</si>
  <si>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</si>
  <si>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</si>
  <si>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</si>
  <si>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</si>
  <si>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</si>
  <si>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</si>
  <si>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</si>
  <si>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</si>
  <si>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</si>
  <si>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</si>
  <si>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</si>
  <si>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</si>
  <si>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</si>
  <si>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</si>
  <si>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</si>
  <si>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</si>
  <si>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</si>
  <si>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</si>
  <si>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</si>
  <si>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</si>
  <si>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</si>
  <si>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</si>
  <si>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</si>
  <si>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</si>
  <si>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</si>
  <si>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</si>
  <si>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</si>
  <si>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</si>
  <si>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</si>
  <si>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</si>
  <si>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</si>
  <si>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</si>
  <si>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</si>
  <si>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</si>
  <si>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</si>
  <si>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</si>
  <si>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</si>
  <si>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</si>
  <si>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</si>
  <si>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</si>
  <si>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</si>
  <si>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</si>
  <si>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</si>
  <si>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</si>
  <si>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</si>
  <si>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</si>
  <si>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</si>
  <si>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</si>
  <si>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</si>
  <si>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</si>
  <si>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</si>
  <si>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</si>
  <si>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</si>
  <si>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</si>
  <si>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</si>
  <si>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</si>
  <si>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</si>
  <si>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</si>
  <si>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</si>
  <si>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</si>
  <si>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</si>
  <si>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</si>
  <si>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</si>
  <si>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</si>
  <si>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</si>
  <si>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</si>
  <si>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</si>
  <si>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</si>
  <si>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</si>
  <si>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</si>
  <si>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</si>
  <si>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</si>
  <si>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</si>
  <si>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</si>
  <si>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</si>
  <si>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</si>
  <si>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</si>
  <si>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</si>
  <si>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</si>
  <si>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</si>
  <si>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</si>
  <si>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</si>
  <si>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</si>
  <si>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</si>
  <si>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</si>
  <si>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</si>
  <si>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</si>
  <si>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</si>
  <si>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</si>
  <si>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</si>
  <si>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</si>
  <si>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</si>
  <si>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</si>
  <si>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</si>
  <si>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</si>
  <si>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</si>
  <si>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</si>
  <si>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</si>
  <si>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</si>
  <si>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</si>
  <si>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</si>
  <si>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</si>
  <si>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</si>
  <si>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</si>
  <si>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</si>
  <si>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</si>
  <si>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</si>
  <si>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</si>
  <si>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</si>
  <si>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</si>
  <si>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</si>
  <si>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</si>
  <si>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</si>
  <si>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</si>
  <si>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</si>
  <si>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</si>
  <si>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</si>
  <si>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</si>
  <si>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</si>
  <si>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</si>
  <si>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</si>
  <si>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</si>
  <si>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</si>
  <si>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</si>
  <si>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</si>
  <si>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</si>
  <si>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</si>
  <si>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</si>
  <si>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</si>
  <si>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</si>
  <si>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</si>
  <si>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</si>
  <si>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</si>
  <si>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</si>
  <si>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</si>
  <si>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</si>
  <si>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</si>
  <si>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</si>
  <si>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</si>
  <si>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</si>
  <si>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</si>
  <si>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</si>
  <si>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</si>
  <si>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</si>
  <si>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</si>
  <si>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</si>
  <si>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</si>
  <si>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</si>
  <si>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</si>
  <si>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</si>
  <si>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</si>
  <si>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</si>
  <si>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</si>
  <si>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</si>
  <si>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</si>
  <si>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</si>
  <si>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</si>
  <si>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</si>
  <si>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</si>
  <si>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</si>
  <si>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</si>
  <si>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</si>
  <si>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</si>
  <si>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</si>
  <si>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</si>
  <si>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</si>
  <si>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</si>
  <si>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</si>
  <si>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</si>
  <si>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Master.LogW</t>
  </si>
  <si>
    <t>RENBAN_CODE</t>
  </si>
  <si>
    <t>varchar(10)</t>
  </si>
  <si>
    <t>SOURCE</t>
  </si>
  <si>
    <t>DEV_LEADTIME</t>
  </si>
  <si>
    <t>varchar(50)</t>
  </si>
  <si>
    <t>MstLgwContDevanningLT</t>
  </si>
  <si>
    <t>ContDevanningLT</t>
  </si>
  <si>
    <t>Master LogW Container Devanning Leadtime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</si>
</sst>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56" sqref="C56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[Table("MstLgwContDevanningLT")]
	[Index(nameof(RenbanCode), Name="IX_MstLgwContDevanningLT_RenbanCode")]
	[Index(nameof(IsActive), Name="IX_MstLgwContDevanningLT_IsActive")]	public class MstLgwContDevanningLT: FullAuditedEntity&lt;long&gt;, IEntity&lt;long&gt;	
	{
		public const int MaxRenbanCodeLength = 10;
		public const int MaxSourceLength = 10;
		public const int MaxIsActiveLength = 50;
		[StringLength(MaxRenbanCodeLength)]
		public virtual string RenbanCode { get; set; }
		[StringLength(MaxSourceLength)]
		public virtual string Source { get; set; }
		public virtual int DevLeadtime { get; set; }
		[StringLength(MaxIsActiveLength)]
		public virtual string IsActive { get; set; }
	}
}
</v>
      </c>
      <c r="D47" s="51" t="str">
        <f>A.Backend!O7</f>
        <v xml:space="preserve">		public const string Pages_Master_LogW_ContDevanningLT = "Pages.Master.LogW.ContDevanningLT";
		public const string Pages_Master_LogW_ContDevanningLT_CreateEdit = "Pages.Master.LogW.ContDevanningLT.CreateEdit";
		public const string Pages_Master_LogW_ContDevanningLT_Delete = "Pages.Master.LogW.ContDevanningLT.Delete";
</v>
      </c>
      <c r="E47" s="51" t="str">
        <f>A.Backend!N7</f>
        <v xml:space="preserve">		var perMstLgwContDevanningLT = PARENTS.CreateChildPermission(AppPermissions.Pages_Master_LogW_ContDevanningLT, L( "MasterLogWContDevanningLT"));
		perMstLgwContDevanningLT.CreateChildPermission(AppPermissions.Pages_Master_LogW_ContDevanningLT_CreateEdit, L( "MasterLogWContDevanningLTCreateEdit"));
		perMstLgwContDevanningLT.CreateChildPermission(AppPermissions.Pages_Master_LogW_ContDevanningLT_Delete, L( "MasterLogWContDevanningLTDelete"));</v>
      </c>
      <c r="F47" s="51" t="str">
        <f>A.Backend!K7</f>
        <v>public virtual DbSet&lt;MstLgwContDevanningLT&gt; MstLgwContDevanningLTs { get; set; }</v>
      </c>
      <c r="G47" s="51" t="str">
        <f ca="1">A.Backend!L7</f>
        <v xml:space="preserve">namespace vovina.Master.LogW
{
	public class MstLgwContDevanningLTConsts	
	{
		public const int MaxRenbanCodeLength = 10;
		public const int MaxSourceLength = 10;
		public const int MaxIsActiveLength = 50;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MstLgwContDevanningLTDto : EntityDto&lt;long?&gt;	
	{
		public virtual string RenbanCode { get; set; }
		public virtual string Source { get; set; }
		public virtual int DevLeadtime { get; set; }
		public virtual string IsActive { get; set; }
	}
	public class CreateOrEditMstLgwContDevanningLTDto : EntityDto&lt;long?&gt;	
	{
		[StringLength(MstLgwContDevanningLTConsts.MaxRenbanCodeLength)]
		public virtual string RenbanCode { get; set; }
		[StringLength(MstLgwContDevanningLTConsts.MaxSourceLength)]
		public virtual string Source { get; set; }
		public virtual int DevLeadtime { get; set; }
		[StringLength(MstLgwContDevanningLTConsts.MaxIsActiveLength)]
		public virtual string IsActive { get; set; }
	}
	public class GetMstLgwContDevanningLTInput : PagedAndSortedResultRequestDto	
	{
		public virtual string RenbanCode { get; set; }
		public virtual string Source { get; set; }
		public virtual int DevLeadtime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MstLgwContDevanningLTExportInput{
		public virtual string RenbanCode { get; set; }
		public virtual string Source { get; set; }
		public virtual int DevLeadtime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IMstLgwContDevanningLTAppService : IApplicationService
	{
		Task&lt;PagedResultDto&lt;MstLgwContDevanningLTDto&gt;&gt; GetAll(GetMstLgwContDevanningLTInput input);
		Task CreateOrEdit(CreateOrEditMstLgwContDevanningLTDto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IMstLgwContDevanningLTExcelExporter : IApplicationService
	{
		FileDto ExportToFile(List&lt;MstLgwContDevanningLTDto&gt; mstlgwcontdevanninglt);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MstLgwContDevanningLTExcelExporter : NpoiExcelExporterBase, IMstLgwContDevanningLTExcelExporter
    {
        public MstLgwContDevanningLTExcelExporter(ITempFileCacheManager tempFileCacheManager) : base(tempFileCacheManager) { }
        public FileDto ExportToFile(List&lt;MstLgwContDevanningLTDto&gt; contdevanninglt)
        {
            return CreateExcelPackage(
				"MasterLogWContDevanningLT.xlsx",
				excelPackage =&gt;
				 {
					var sheet = excelPackage.CreateSheet("ContDevanningLT");
					AddHeader(
								sheet,
								("RenbanCode"),
								("Source"),
								("DevLeadtime"),
								("IsActive"),
							   );
					AddObjects(
						 sheet, 1, contdevanninglt,                                       
								_ =&gt; _.RenbanCode,
								_ =&gt; _.Source,
								_ =&gt; _.DevLeadtime,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[AbpAuthorize(AppPermissions.Pages_Master_LogW_ContDevanningLT)]
    public class MstLgwContDevanningLTAppService : vovinaAppServiceBase, IMstLgwContDevanningLTAppService
    {
        private readonly IDapperRepository&lt;MstLgwContDevanningLT, long&gt; _dapperRepo;
        private readonly IRepository&lt;MstLgwContDevanningLT, long&gt; _repo;
        private readonly IMstLgwContDevanningLTExcelExporter _calendarListExcelExporter;
        public MstLgwContDevanningLTAppService(IRepository&lt;MstLgwContDevanningLT,long&gt; repo, 
                                         IDapperRepository&lt;MstLgwContDevanningLT,long&gt; dapperRepo,
                                        IMstLgwContDevanningLTExcelExporter calendarListExcelExporter
            )
        {
            _repo = repo;
            _dapperRepo = dapperRepo;
            _calendarListExcelExporter = calendarListExcelExporter;
        }
        [AbpAuthorize(AppPermissions.Pages_Master_LogW_ContDevanningLT_CreateEdit)]
        public async Task CreateOrEdit(CreateOrEditMstLgwContDevanningLTDto input)
        {
            if (input.Id == null) await Create(input);
            else await Update(input);
        }
        //CREATE
        private async Task Create(CreateOrEditMstLgwContDevanningLTDto input)
        {          
            var mainObj = ObjectMapper.Map&lt;MstLgwContDevanningLT&gt;(input);
            await CurrentUnitOfWork.GetDbContext&lt;vovinaDbContext&gt;().AddAsync(mainObj);
        }
        // EDIT
        private async Task Update(CreateOrEditMstLgwContDevanningLTDto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[AbpAuthorize(AppPermissions.Pages_Master_LogW_ContDevanningLT_Delete)]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Task&lt;PagedResultDto&lt;MstLgwContDevanningLTDto&gt;&gt; GetAll(GetMstLgwContDevanningLTInput input)
        {
            var filtered = _repo.GetAll()
				.WhereIf(!string.IsNullOrWhiteSpace(input.RenbanCode), e =&gt; e.RenbanCode.Contains(input.RenbanCode))
				.WhereIf(!string.IsNullOrWhiteSpace(input.Source), e =&gt; e.Source.Contains(input.Source))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MstLgwContDevanningLTDto
                        {
							Id = o.Id,
							RenbanCode = o.RenbanCode,
							Source = o.Source,
							DevLeadtime = o.DevLeadtime,
							IsActive = o.IsActive,
                        };
            var totalCount = await filtered.CountAsync();
			var paged = system.PageBy(input);
            return new PagedResultDto&lt;MstLgwContDevanningLTDto&gt;(
                totalCount,
                 await paged.ToListAsync()
            );
        }
        public async Task&lt;FileDto&gt; GetContDevanningLTToExcel(MstLgwContDevanningLTExportInput input)
        {
            var query = from o in _repo.GetAll()
                        select new MstLgwContDevanningLTDto
                        {
							Id = o.Id,
							RenbanCode = o.RenbanCode,
							Source = o.Source,
							DevLeadtime = o.DevLeadtime,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_dapperRepo.ExecuteAsync(MstLgwContDevanningLTConsts.SP_MST_WPT_CALENDAR_GENERATE);
       // }
    }
}</v>
      </c>
      <c r="N47" s="62" t="str">
        <f>A.Backend!U7</f>
        <v xml:space="preserve">  configuration.CreateMap&lt;MstLgwContDevanningLTDto, MstLgwContDevanningLT&gt;();
  configuration.CreateMap&lt;MstLgwContDevanningLT, MstLgwContDevanningLTDto&gt;();
  configuration.CreateMap&lt;CreateOrEditMstLgwContDevanningLTDto, MstLgwContDevanningLT&gt;();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contdevanninglt</v>
      </c>
      <c r="C52" s="72" t="str">
        <f>"create folder " &amp;B52</f>
        <v>create folder contdevanninglt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contdevanninglt.component.ts</v>
      </c>
      <c r="D53" s="31" t="str">
        <f>B.Frontend!I14</f>
        <v>contdevanninglt.component.html</v>
      </c>
      <c r="E53" s="31" t="str">
        <f>B.Frontend!J14</f>
        <v>contdevanninglt.component.less</v>
      </c>
      <c r="F53" s="31" t="str">
        <f>B.Frontend!K14</f>
        <v>create-or-edit-contdevanninglt-modal.component.html</v>
      </c>
      <c r="G53" s="31" t="str">
        <f>B.Frontend!L14</f>
        <v>create-or-edit-contdevanninglt-modal.component.ts</v>
      </c>
      <c r="H53" s="31" t="str">
        <f>B.Frontend!M14</f>
        <v>create-or-edit-contdevanninglt-modal.component.less</v>
      </c>
      <c r="I53" s="31" t="str">
        <f>B.Frontend!N14</f>
        <v>contdevanninglt.module.ts</v>
      </c>
      <c r="J53" s="31" t="str">
        <f>B.Frontend!O14</f>
        <v>contdevanninglt-routing.module.ts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MstLgwContDevanningLTDto, MstLgwContDevanningLTServiceProxy } from '@shared/service-proxies/service-proxies';
import { finalize } from 'rxjs/internal/operators/finalize';
import { CreateOrEditContDevanningLTModalComponent } from './create-or-edit-contdevanninglt-modal.component';
import { DatePipe } from '@angular/common';
import { FileDownloadService } from '@shared/utils/file-download.service';
import ceil from 'lodash-es/ceil';
import { Paginator } from 'primeng/paginator';
@Component({
    templateUrl: './contdevanninglt.component.html',
    styleUrls: ['./contdevanninglt.component.less'],
})
export class ContDevanningLTComponent extends AppComponentBase implements OnInit {
    @ViewChild('createOrEditModalContDevanningLT', { static: true }) createOrEditModalContDevanningLT:| CreateOrEditContDevanningLTModalComponent|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MstLgwContDevanningLTDto = new MstLgwContDevanningLTDto();
    saveSelectedRow: MstLgwContDevanningLTDto = new MstLgwContDevanningLTDto();
    datas: MstLgwContDevanningLTDto = new MstLgwContDevanningLTDto();
    isLoading: boolean = false;
    dataParams: GridParams | undefined;
    rowData: any[] = [];
    gridApi!: GridApi;
    rowSelection = 'multiple';
    filter: string = '';
	pipe = new DatePipe('en-US');
	frameworkComponents: FrameworkComponent;
    renbanCode : string = '' ; 
	source : string = '' ; 
	devLeadtime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MstLgwContDevanningLTServiceProxy,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this.l('Renban Code'),headerTooltip: this.l('Renban Code'),field: 'renbanCode',flex: 1},
			{headerName: this.l('Source'),headerTooltip: this.l('Source'),field: 'source',flex: 1},
			{headerName: this.l('Dev Leadtime'),headerTooltip: this.l('Dev Leadtime'),field: 'devLeadtime',flex: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this.renbanCode,
			this.source,
			this.devLeadtime,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this.renbanCode = '',
		this.source = '',
		this.devLeadtime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this.renbanCode,
			this.source,
			this.devLeadtime,
			this.isActive,
			'',
            this.paginationParams.skipCount,
            this.paginationParams.pageSize
        );
    }
    onChangeRowSelection(params: { api: { getSelectedRows: () =&gt; MstLgwContDevanningLTDto[] } }) {
        this.saveSelectedRow = params.api.getSelectedRows()[0] ?? new MstLgwContDevanningLTDto();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MstLgwContDevanningLTDto):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this._service.getContDevanningLTToExcel(
			this.renbanCode,
			this.source,
			this.devLeadtime,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Container Devanning Leadtime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[(ngModel)]='renbanCode' name='renbanCode'
									class='form-control' [placeholder]="l('Renban Code')"
									type='text' (keyup.enter)='searchDatas()'&gt;
								&lt;/div&gt;
								&lt;div class='input-search'&gt;
									&lt;input [(ngModel)]='source' name='source'
									class='form-control' [placeholder]="l('Source')"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(click)="createOrEditModalContDevanningLT.show()"&gt;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(click)="createOrEditModalContDevanningLT.show(selectedRow)"&gt;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&lt;create-or-edit-contdevanninglt-modal
    #createOrEditModalContDevanningLT
    (modalSave)="callBackDataGrid(dataParams)"
    (modalClose)="onChangeRowSelection(dataParams)"
&gt;
&lt;/create-or-edit-contdevanninglt-modal&gt;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#createOrEditModalContDevanningLT="bs-modal"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ContDevanningLT')}}&lt;/h3&gt;
                    &lt;h3 *ngIf="!rowdata.id"&gt;{{('Create New ContDevanningLT')}}&lt;/h3&gt;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title'&gt;Renban Code&lt;/label&gt;
						&lt;input type='text' class='col-md-10 form-control input-text' name='RenbanCode' [(ngModel)]='rowdata.renbanCode'&gt;
					&lt;/div&gt;
					&lt;div class='col-md-12 form-group row'&gt;
						&lt;label class='col-md-2 form-control title'&gt;Source&lt;/label&gt;
						&lt;input type='text' class='col-md-10 form-control input-text' name='Source' [(ngModel)]='rowdata.source'&gt;
					&lt;/div&gt;
					&lt;div class='col-md-12 form-group row'&gt;
						&lt;label class='col-md-2 form-control title'&gt;Dev Leadtime&lt;/label&gt;
						&lt;input type='number' class='col-md-10 form-control input-text' name='DevLeadtime' [(ngModel)]='rowdata.devLeadtime'&gt;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CreateOrEditMstLgwContDevanningLTDto, MstLgwContDevanningLTServiceProxy } from '@shared/service-proxies/service-proxies';
import { BsDatepickerDirective } from 'ngx-bootstrap/datepicker';
@Component({
    selector: 'create-or-edit-contdevanninglt-modal',
    templateUrl: './create-or-edit-contdevanninglt-modal.component.html',
    styleUrls: ['./create-or-edit-contdevanninglt-modal.component.less']
    })
export class CreateOrEditContDevanningLTModalComponent extends AppComponentBase {
    @ViewChild('createOrEditModalContDevanningLT',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CreateOrEditMstLgwContDevanningLTDto = new CreateOrEditMstLgwContDevanningLTDto();
    active: boolean = false;
    saving: boolean = false;
    _: boolean;
    constructor(
        injector: Injector,
        private _mstwptContDevanningLTService: MstLgwContDevanningLTServiceProxy,
    ) 
    {
        super(injector);
    }
    show(rowdata?: CreateOrEditMstLgwContDevanningLTDto): void {
        if (!rowdata) this.rowdata = new CreateOrEditMstLgwContDevanningLTDto();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this._mstwptContDevanningLTService.createOrEdit(this.rowdata)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ContDevanningLTRoutingModule } from './contdevanninglt-routing.module';
import { ContDevanningLTComponent } from './contdevanninglt.component';
import { CreateOrEditContDevanningLTModalComponent } from './create-or-edit-contdevanninglt-modal.component';
@NgModule({
    declarations: [
       ContDevanningLTComponent, 
        CreateOrEditContDevanningLTModalComponent
    ],
    imports: [
        AppSharedModule, ContDevanningLTRoutingModule]
})
export class ContDevanningLTModule {}</v>
      </c>
      <c r="J54" s="49" t="str">
        <f>B.Frontend!O10</f>
        <v>import {NgModule} from '@angular/core';
import {RouterModule, Routes} from '@angular/router';
import { ContDevanningLTComponent } from './contdevanninglt.component';
const routes: Routes = [{
    path: '',
    component: ContDevanningLTComponent,
    pathMatch: 'full'
}];
@NgModule({
    imports: [RouterModule.forChild(routes)],
    exports: [RouterModule],
})
export class ContDevanningLTRoutingModule {}</v>
      </c>
      <c r="K54" s="49" t="str">
        <f>B.Frontend!P10</f>
        <v xml:space="preserve"> new AppMenuItem("ContDevanningLT", "Pages.Master.LogW.ContDevanningLT", "flaticon-book",   "/app/main/master/logw/contdevanninglt"),</v>
      </c>
      <c r="L54" s="50" t="str">
        <f>B.Frontend!Q10</f>
        <v>{
    path: 'master/logw/contdevanninglt',
    loadChildren: () =&gt; import('./master/logw/contdevanninglt/contdevanninglt.module').then(m =&gt; m.ContDevanningLTModule),
    data: { permission: 'Pages.Master.LogW.ContDevanningLT' }
},</v>
      </c>
      <c r="M54" s="48" t="str">
        <f>B.Frontend!R10</f>
        <v>ApiServiceProxies.MstLgwContDevanningLTServiceProxy,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4"/>
  <sheetViews>
    <sheetView tabSelected="1" workbookViewId="0">
      <pane xSplit="1" topLeftCell="B1" activePane="topRight" state="frozen"/>
      <selection pane="topRight" activeCell="K9" sqref="K9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308</v>
      </c>
      <c r="C3" s="10" t="s">
        <v>43</v>
      </c>
      <c r="D3" s="10" t="s">
        <v>44</v>
      </c>
      <c r="E3" s="10" t="s">
        <v>39</v>
      </c>
      <c r="F3" s="11" t="str">
        <f>"J"&amp;COUNTA($A:$A)</f>
        <v>J12</v>
      </c>
      <c r="G3" s="4" t="s">
        <v>57</v>
      </c>
      <c r="H3" s="10" t="str">
        <f>"I"&amp;COUNTA($A:$A)</f>
        <v>I12</v>
      </c>
      <c r="I3" s="10" t="str">
        <f>REPT(CHAR(9),2)&amp;"[Required]"&amp;"
"</f>
        <v xml:space="preserve">		[Required]
</v>
      </c>
      <c r="J3" s="11" t="str">
        <f>"L"&amp;COUNTA($A:$A)</f>
        <v>L12</v>
      </c>
      <c r="K3" s="5" t="s">
        <v>56</v>
      </c>
      <c r="L3" s="11" t="str">
        <f>"M"&amp;COUNTA($A:$A)</f>
        <v>M12</v>
      </c>
      <c r="M3" s="11" t="str">
        <f>"N"&amp;COUNTA($A:$A)</f>
        <v>N12</v>
      </c>
      <c r="N3" s="11" t="str">
        <f>"O"&amp;COUNTA($A:$A)</f>
        <v>O12</v>
      </c>
      <c r="O3" s="11" t="str">
        <f>"P"&amp;COUNTA($A:$A)</f>
        <v>P12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MstLgwContDevanningLTExportInput{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T12</v>
      </c>
      <c r="V3" s="11" t="str">
        <f>"V"&amp;COUNTA($A:$A)</f>
        <v>V12</v>
      </c>
      <c r="W3" s="10" t="str">
        <f>"W"&amp;COUNTA($A:$A)</f>
        <v>W12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309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MstLgwContDevanningLT: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MstLgwContDevanningLTConsts	
	{
</v>
      </c>
      <c r="F6" s="11" t="str">
        <f>REPT(CHAR(9),1)&amp;"public class "&amp;B3&amp;"Dto"&amp;K3&amp;REPT(CHAR(9),1)&amp;"
"&amp;REPT(CHAR(9),1)&amp;C3</f>
        <v xml:space="preserve">	public class MstLgwContDevanningLTDto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CreateOrEditMstLgwContDevanningLTDto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GetMstLgwContDevanningLTInput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MstLgwContDevanningLT</v>
      </c>
      <c r="C7" s="11" t="str">
        <f>REPT(CHAR(9),1)&amp;"[Table("""&amp;B7&amp;""")]"&amp;"
"</f>
        <v xml:space="preserve">	[Table("MstLgwContDevanningLT")]
</v>
      </c>
      <c r="D7" s="11"/>
      <c r="E7" s="11"/>
      <c r="F7" s="11"/>
      <c r="G7" s="11"/>
      <c r="H7" s="11"/>
      <c r="I7" s="11"/>
      <c r="J7" s="6" t="str">
        <f ca="1">SUBSTITUTE(SUBSTITUTE((B1&amp;C6&amp;C7&amp;K14&amp;D6&amp;I14&amp;E3&amp;J14&amp;""&amp;REPT(CHAR(9),1)&amp;D3&amp;D3),"WorkingPattern",$Q$3),"Master",$B$4)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[Table("MstLgwContDevanningLT")]
	[Index(nameof(RenbanCode), Name="IX_MstLgwContDevanningLT_RenbanCode")]
	[Index(nameof(IsActive), Name="IX_MstLgwContDevanningLT_IsActive")]	public class MstLgwContDevanningLT: FullAuditedEntity&lt;long&gt;, IEntity&lt;long&gt;	
	{
		public const int MaxRenbanCodeLength = 10;
		public const int MaxSourceLength = 10;
		public const int MaxIsActiveLength = 50;
		[StringLength(MaxRenbanCodeLength)]
		public virtual string RenbanCode { get; set; }
		[StringLength(MaxSourceLength)]
		public virtual string Source { get; set; }
		public virtual int DevLeadtime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DbSet&lt;MstLgwContDevanningLT&gt; MstLgwContDevanningLTs { get; set; }</v>
      </c>
      <c r="L7" t="str">
        <f ca="1">SUBSTITUTE(SUBSTITUTE((C6&amp;E6&amp;I14&amp;"
"&amp;REPT(CHAR(9),2)&amp;"// Define Store Name: Format SP_ + &lt;Store Name&gt; = &lt;Store Name&gt;
"&amp;E3&amp;REPT(CHAR(9),1)&amp;D3&amp;D3),"WorkingPattern",$Q$3),"Master",$B$4)</f>
        <v xml:space="preserve">namespace vovina.Master.LogW
{
	public class MstLgwContDevanningLTConsts	
	{
		public const int MaxRenbanCodeLength = 10;
		public const int MaxSourceLength = 10;
		public const int MaxIsActiveLength = 50;
		// Define Store Name: Format SP_ + &lt;Store Name&gt; = &lt;Store Name&gt;
	}
}
</v>
      </c>
      <c r="M7" t="str">
        <f ca="1">SUBSTITUTE(SUBSTITUTE((C1&amp;"namespace "&amp;B6&amp;".Dto"&amp;E3&amp;C3&amp;F6&amp;M14&amp;E3&amp;REPT(CHAR(9),1)&amp;D3&amp;G6&amp;N14&amp;REPT(CHAR(9),1)&amp;D3&amp;H6&amp;O14&amp;"
"&amp;REPT(CHAR(9),1)&amp;D3&amp;D3),"WorkingPattern",$Q$3),"Master",$B$4)</f>
        <v xml:space="preserve">using Abp.Application.Services.Dto;
using System;
using System.ComponentModel.DataAnnotations;
namespace vovina.Master.LogW.Dto
{
	public class MstLgwContDevanningLTDto : EntityDto&lt;long?&gt;	
	{
		public virtual string RenbanCode { get; set; }
		public virtual string Source { get; set; }
		public virtual int DevLeadtime { get; set; }
		public virtual string IsActive { get; set; }
	}
	public class CreateOrEditMstLgwContDevanningLTDto : EntityDto&lt;long?&gt;	
	{
		[StringLength(MstLgwContDevanningLTConsts.MaxRenbanCodeLength)]
		public virtual string RenbanCode { get; set; }
		[StringLength(MstLgwContDevanningLTConsts.MaxSourceLength)]
		public virtual string Source { get; set; }
		public virtual int DevLeadtime { get; set; }
		[StringLength(MstLgwContDevanningLTConsts.MaxIsActiveLength)]
		public virtual string IsActive { get; set; }
	}
	public class GetMstLgwContDevanningLTInput : PagedAndSortedResultRequestDto	
	{
		public virtual string RenbanCode { get; set; }
		public virtual string Source { get; set; }
		public virtual int DevLeadtime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perMstLgwContDevanningLT = PARENTS.CreateChildPermission(AppPermissions.Pages_Master_LogW_ContDevanningLT, L( "MasterLogWContDevanningLT"));
		perMstLgwContDevanningLT.CreateChildPermission(AppPermissions.Pages_Master_LogW_ContDevanningLT_CreateEdit, L( "MasterLogWContDevanningLTCreateEdit"));
		perMstLgwContDevanningLT.CreateChildPermission(AppPermissions.Pages_Master_LogW_ContDevanningLT_Delete, L( "MasterLogWContDevanningLTDelete"));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Pages_Master_LogW_ContDevanningLT = "Pages.Master.LogW.ContDevanningLT";
		public const string Pages_Master_LogW_ContDevanningLT_CreateEdit = "Pages.Master.LogW.ContDevanningLT.CreateEdit";
		public const string Pages_Master_LogW_ContDevanningLT_Delete = "Pages.Master.LogW.ContDevanningLT.Delete";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IMstLgwContDevanningLTAppService : IApplicationService
	{
		Task&lt;PagedResultDto&lt;MstLgwContDevanningLTDto&gt;&gt; GetAll(GetMstLgwContDevanningLTInput input);
		Task CreateOrEdit(CreateOrEditMstLgwContDevanningLTDto input);
		Task Delete(EntityDto input);
	}
}
</v>
      </c>
      <c r="Q7" t="str">
        <f ca="1">SUBSTITUTE(SUBSTITUTE(SUBSTITUTE(SUBSTITUTE(SUBSTITUTE(SUBSTITUTE(E1,"MstWptCalendar",$B$3),"&lt;PROPERTIES&gt;",P14),"Calendar",$B$5),"WorkingPattern",$Q$3),"Master",$B$4),"&lt;PARAMS_SEARCH&gt;",$W$14)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[AbpAuthorize(AppPermissions.Pages_Master_LogW_ContDevanningLT)]
    public class MstLgwContDevanningLTAppService : vovinaAppServiceBase, IMstLgwContDevanningLTAppService
    {
        private readonly IDapperRepository&lt;MstLgwContDevanningLT, long&gt; _dapperRepo;
        private readonly IRepository&lt;MstLgwContDevanningLT, long&gt; _repo;
        private readonly IMstLgwContDevanningLTExcelExporter _calendarListExcelExporter;
        public MstLgwContDevanningLTAppService(IRepository&lt;MstLgwContDevanningLT,long&gt; repo, 
                                         IDapperRepository&lt;MstLgwContDevanningLT,long&gt; dapperRepo,
                                        IMstLgwContDevanningLTExcelExporter calendarListExcelExporter
            )
        {
            _repo = repo;
            _dapperRepo = dapperRepo;
            _calendarListExcelExporter = calendarListExcelExporter;
        }
        [AbpAuthorize(AppPermissions.Pages_Master_LogW_ContDevanningLT_CreateEdit)]
        public async Task CreateOrEdit(CreateOrEditMstLgwContDevanningLTDto input)
        {
            if (input.Id == null) await Create(input);
            else await Update(input);
        }
        //CREATE
        private async Task Create(CreateOrEditMstLgwContDevanningLTDto input)
        {          
            var mainObj = ObjectMapper.Map&lt;MstLgwContDevanningLT&gt;(input);
            await CurrentUnitOfWork.GetDbContext&lt;vovinaDbContext&gt;().AddAsync(mainObj);
        }
        // EDIT
        private async Task Update(CreateOrEditMstLgwContDevanningLTDto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[AbpAuthorize(AppPermissions.Pages_Master_LogW_ContDevanningLT_Delete)]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Task&lt;PagedResultDto&lt;MstLgwContDevanningLTDto&gt;&gt; GetAll(GetMstLgwContDevanningLTInput input)
        {
            var filtered = _repo.GetAll()
				.WhereIf(!string.IsNullOrWhiteSpace(input.RenbanCode), e =&gt; e.RenbanCode.Contains(input.RenbanCode))
				.WhereIf(!string.IsNullOrWhiteSpace(input.Source), e =&gt; e.Source.Contains(input.Source))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MstLgwContDevanningLTDto
                        {
							Id = o.Id,
							RenbanCode = o.RenbanCode,
							Source = o.Source,
							DevLeadtime = o.DevLeadtime,
							IsActive = o.IsActive,
                        };
            var totalCount = await filtered.CountAsync();
			var paged = system.PageBy(input);
            return new PagedResultDto&lt;MstLgwContDevanningLTDto&gt;(
                totalCount,
                 await paged.ToListAsync()
            );
        }
        public async Task&lt;FileDto&gt; GetContDevanningLTToExcel(MstLgwContDevanningLTExportInput input)
        {
            var query = from o in _repo.GetAll()
                        select new MstLgwContDevanningLTDto
                        {
							Id = o.Id,
							RenbanCode = o.RenbanCode,
							Source = o.Source,
							DevLeadtime = o.DevLeadtime,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_dapperRepo.ExecuteAsync(MstLgwContDevanningLTConsts.SP_MST_WPT_CALENDAR_GENERATE);
       // }
    }
}</v>
      </c>
      <c r="R7" t="str">
        <f ca="1">SUBSTITUTE(SUBSTITUTE((C1&amp;"namespace "&amp;B6&amp;".Dto"&amp;E3&amp;C3&amp;R3&amp;M14&amp;E3&amp;REPT(CHAR(9),1)&amp;D3&amp;D3),"WorkingPattern",$Q$3),"Master",$B$4)</f>
        <v xml:space="preserve">using Abp.Application.Services.Dto;
using System;
using System.ComponentModel.DataAnnotations;
namespace vovina.Master.LogW.Dto
{
	public class MstLgwContDevanningLTExportInput{
		public virtual string RenbanCode { get; set; }
		public virtual string Source { get; set; }
		public virtual int DevLeadtime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IMstLgwContDevanningLTExcelExporter : IApplicationService
	{
		FileDto ExportToFile(List&lt;MstLgwContDevanningLTDto&gt; mstlgwcontdevanninglt);
	}
}
</v>
      </c>
      <c r="T7" s="28" t="str">
        <f ca="1">SUBSTITUTE(SUBSTITUTE(SUBSTITUTE(SUBSTITUTE(SUBSTITUTE(SUBSTITUTE(SUBSTITUTE(T1,"MstWptCalendar",$B$3),"&lt;PROPERTIES1&gt;",V14),"&lt;PROPERTIES&gt;",T14),"Calendar",$B$5),"calendar",LOWER(B5)),"WorkingPattern",$Q$3),"Master",$B$4)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MstLgwContDevanningLTExcelExporter : NpoiExcelExporterBase, IMstLgwContDevanningLTExcelExporter
    {
        public MstLgwContDevanningLTExcelExporter(ITempFileCacheManager tempFileCacheManager) : base(tempFileCacheManager) { }
        public FileDto ExportToFile(List&lt;MstLgwContDevanningLTDto&gt; contdevanninglt)
        {
            return CreateExcelPackage(
				"MasterLogWContDevanningLT.xlsx",
				excelPackage =&gt;
				 {
					var sheet = excelPackage.CreateSheet("ContDevanningLT");
					AddHeader(
								sheet,
								("RenbanCode"),
								("Source"),
								("DevLeadtime"),
								("IsActive"),
							   );
					AddObjects(
						 sheet, 1, contdevanninglt,                                       
								_ =&gt; _.RenbanCode,
								_ =&gt; _.Source,
								_ =&gt; _.DevLeadtime,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configuration.CreateMap&lt;MstLgwContDevanningLTDto, MstLgwContDevanningLT&gt;();
  configuration.CreateMap&lt;MstLgwContDevanningLT, MstLgwContDevanningLTDto&gt;();
  configuration.CreateMap&lt;CreateOrEditMstLgwContDevanningLTDto, MstLgwContDevanningLT&gt;();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303</v>
      </c>
      <c r="B9" t="s">
        <v>304</v>
      </c>
      <c r="C9" t="s">
        <v>1</v>
      </c>
      <c r="D9" t="str">
        <f>SUBSTITUTE(PROPER(A9),"_","")</f>
        <v>RenbanCode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10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MaxRenbanCodeLength = 10;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[StringLength(MaxRenbanCodeLength)]
		public virtual string RenbanCode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[Index(nameof(RenbanCode), Name="IX_MstLgwContDevanningLT_RenbanCode")]</v>
      </c>
      <c r="M9" t="str">
        <f>REPT(CHAR(9),2)&amp;"public virtual "&amp;IF(OR(H9="DateTime",H9="TimeSpan"),H9&amp;"?",H9)&amp;IF(C9="?","? "," ")&amp;D9&amp;" { get; set; }" &amp; "
"</f>
        <v xml:space="preserve">		public virtual string RenbanCode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[StringLength(MstLgwContDevanningLTConsts.MaxRenbanCodeLength)]
		public virtual string RenbanCode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RenbanCode { get; set; }
</v>
      </c>
      <c r="P9" t="str">
        <f t="shared" ref="P9:P11" si="4">REPT(CHAR(9),7)&amp;D9&amp;" = o." &amp;D9 &amp;","</f>
        <v xml:space="preserve">							RenbanCode = o.RenbanCode,</v>
      </c>
      <c r="T9" s="69" t="str">
        <f>REPT(CHAR(9),8)&amp;"("""&amp;D9&amp;"""),"</f>
        <v xml:space="preserve">								("RenbanCode"),</v>
      </c>
      <c r="V9" s="70" t="str">
        <f>REPT(CHAR(9),8)&amp;"_ =&gt; _."&amp;D9&amp;","</f>
        <v xml:space="preserve">								_ =&gt; _.RenbanCode,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.WhereIf(!string.IsNullOrWhiteSpace(input.RenbanCode), e =&gt; e.RenbanCode.Contains(input.RenbanCode))</v>
      </c>
    </row>
    <row r="10" spans="1:23" customFormat="1" ht="21" customHeight="1" x14ac:dyDescent="0.25">
      <c r="A10" t="s">
        <v>305</v>
      </c>
      <c r="B10" t="s">
        <v>304</v>
      </c>
      <c r="C10" t="s">
        <v>1</v>
      </c>
      <c r="D10" t="str">
        <f t="shared" ref="D10:D11" si="5">SUBSTITUTE(PROPER(A10),"_","")</f>
        <v>Source</v>
      </c>
      <c r="E10" t="str">
        <f t="shared" si="0"/>
        <v>varchar</v>
      </c>
      <c r="F10" s="7"/>
      <c r="G10" t="str">
        <f t="shared" si="1"/>
        <v>10</v>
      </c>
      <c r="H10" t="str">
        <f>+VLOOKUP(E10,'Data Type Mapping'!A:B,2,)</f>
        <v>string</v>
      </c>
      <c r="I10" t="str">
        <f t="shared" si="2"/>
        <v xml:space="preserve">		public const int MaxSourceLength = 10;
</v>
      </c>
      <c r="J10" t="str">
        <f t="shared" si="3"/>
        <v xml:space="preserve">		[StringLength(MaxSourceLength)]
		public virtual string Source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2" si="7">REPT(CHAR(9),2)&amp;"public virtual "&amp;IF(OR(H10="DateTime",H10="TimeSpan"),H10&amp;"?",H10)&amp;IF(C10="?","? "," ")&amp;D10&amp;" { get; set; }" &amp; "
"</f>
        <v xml:space="preserve">		public virtual string Source { get; set; }
</v>
      </c>
      <c r="N10" t="str">
        <f t="shared" ref="N10:N12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[StringLength(MstLgwContDevanningLTConsts.MaxSourceLength)]
		public virtual string Source { get; set; }
</v>
      </c>
      <c r="O10" t="str">
        <f t="shared" ref="O10:O12" si="9">IF(OR(H10="string",H10="DateTime",H10="int"),REPT(CHAR(9),2)&amp;"public virtual "&amp;IF(OR(H10="DateTime",H10="TimeSpan"),H10&amp;"?",H10)&amp;IF(C10="?","? "," ")&amp;D10&amp;" { get; set; }"&amp;$E$3,"")</f>
        <v xml:space="preserve">		public virtual string Source { get; set; }
</v>
      </c>
      <c r="P10" t="str">
        <f t="shared" si="4"/>
        <v xml:space="preserve">							Source = o.Source,</v>
      </c>
      <c r="T10" s="69" t="str">
        <f t="shared" ref="T10:T12" si="10">REPT(CHAR(9),8)&amp;"("""&amp;D10&amp;"""),"</f>
        <v xml:space="preserve">								("Source"),</v>
      </c>
      <c r="V10" s="70" t="str">
        <f t="shared" ref="V10:V12" si="11">REPT(CHAR(9),8)&amp;"_ =&gt; _."&amp;D10&amp;","</f>
        <v xml:space="preserve">								_ =&gt; _.Source,</v>
      </c>
      <c r="W10" s="69" t="str">
        <f t="shared" ref="W10:W12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.WhereIf(!string.IsNullOrWhiteSpace(input.Source), e =&gt; e.Source.Contains(input.Source))</v>
      </c>
    </row>
    <row r="11" spans="1:23" customFormat="1" ht="18.75" customHeight="1" x14ac:dyDescent="0.25">
      <c r="A11" t="s">
        <v>306</v>
      </c>
      <c r="B11" t="s">
        <v>4</v>
      </c>
      <c r="C11" t="s">
        <v>1</v>
      </c>
      <c r="D11" t="str">
        <f t="shared" si="5"/>
        <v>DevLeadtime</v>
      </c>
      <c r="E11" t="str">
        <f t="shared" si="0"/>
        <v>int</v>
      </c>
      <c r="F11" s="7"/>
      <c r="G11" t="str">
        <f t="shared" si="1"/>
        <v/>
      </c>
      <c r="H11" t="str">
        <f>+VLOOKUP(E11,'Data Type Mapping'!A:B,2,)</f>
        <v>int</v>
      </c>
      <c r="I11" t="str">
        <f t="shared" si="2"/>
        <v/>
      </c>
      <c r="J11" t="str">
        <f t="shared" si="3"/>
        <v xml:space="preserve">		public virtual int DevLeadtime { get; set; }
</v>
      </c>
      <c r="K11" s="7"/>
      <c r="L11" t="str">
        <f t="shared" si="6"/>
        <v/>
      </c>
      <c r="M11" t="str">
        <f t="shared" si="7"/>
        <v xml:space="preserve">		public virtual int DevLeadtime { get; set; }
</v>
      </c>
      <c r="N11" t="str">
        <f t="shared" si="8"/>
        <v xml:space="preserve">		public virtual int DevLeadtime { get; set; }
</v>
      </c>
      <c r="O11" t="str">
        <f t="shared" si="9"/>
        <v xml:space="preserve">		public virtual int DevLeadtime { get; set; }
</v>
      </c>
      <c r="P11" t="str">
        <f t="shared" si="4"/>
        <v xml:space="preserve">							DevLeadtime = o.DevLeadtime,</v>
      </c>
      <c r="T11" s="69" t="str">
        <f t="shared" si="10"/>
        <v xml:space="preserve">								("DevLeadtime"),</v>
      </c>
      <c r="V11" s="70" t="str">
        <f t="shared" si="11"/>
        <v xml:space="preserve">								_ =&gt; _.DevLeadtime,</v>
      </c>
      <c r="W11" s="69" t="str">
        <f t="shared" si="12"/>
        <v/>
      </c>
    </row>
    <row r="12" spans="1:23" customFormat="1" ht="22.5" customHeight="1" x14ac:dyDescent="0.25">
      <c r="A12" t="s">
        <v>301</v>
      </c>
      <c r="B12" t="s">
        <v>307</v>
      </c>
      <c r="C12" t="s">
        <v>1</v>
      </c>
      <c r="D12" t="str">
        <f>SUBSTITUTE(PROPER(A12),"_","")</f>
        <v>IsActive</v>
      </c>
      <c r="E12" t="str">
        <f t="shared" ref="E12" si="13">IFERROR(LEFT(B12, FIND("(",B12)-1),B12)</f>
        <v>varchar</v>
      </c>
      <c r="F12" s="7"/>
      <c r="G12" t="str">
        <f t="shared" ref="G12" si="14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15">IF(H12="string",REPT(CHAR(9),2)&amp;"public const int Max"&amp;D12&amp;"Length = "&amp;G12&amp;";"&amp;$E$3,"" )</f>
        <v xml:space="preserve">		public const int MaxIsActiveLength = 50;
</v>
      </c>
      <c r="J12" t="str">
        <f t="shared" ref="J12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[StringLength(MaxIsActiveLength)]
		public virtual string IsActive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[Index(nameof(IsActive), Name="IX_MstLgwContDevanningLT_IsActive")]</v>
      </c>
      <c r="M12" t="str">
        <f t="shared" si="7"/>
        <v xml:space="preserve">		public virtual string IsActive { get; set; }
</v>
      </c>
      <c r="N12" t="str">
        <f t="shared" si="8"/>
        <v xml:space="preserve">		[StringLength(MstLgwContDevanningLTConsts.MaxIsActiveLength)]
		public virtual string IsActive { get; set; }
</v>
      </c>
      <c r="O12" t="str">
        <f t="shared" si="9"/>
        <v xml:space="preserve">		public virtual string IsActive { get; set; }
</v>
      </c>
      <c r="P12" t="str">
        <f t="shared" ref="P12" si="17">REPT(CHAR(9),7)&amp;D12&amp;" = o." &amp;D12 &amp;","</f>
        <v xml:space="preserve">							IsActive = o.IsActive,</v>
      </c>
      <c r="T12" s="69" t="str">
        <f t="shared" si="10"/>
        <v xml:space="preserve">								("IsActive"),</v>
      </c>
      <c r="V12" s="70" t="str">
        <f t="shared" si="11"/>
        <v xml:space="preserve">								_ =&gt; _.IsActive,</v>
      </c>
      <c r="W12" s="69" t="str">
        <f t="shared" si="12"/>
        <v xml:space="preserve">				.WhereIf(!string.IsNullOrWhiteSpace(input.IsActive), e =&gt; e.IsActive.Contains(input.IsActive))</v>
      </c>
    </row>
    <row r="14" spans="1:23" ht="45.75" customHeight="1" x14ac:dyDescent="0.25">
      <c r="H14" s="12"/>
      <c r="I14" s="34" t="str">
        <f ca="1">TEXTJOIN2("
", TRUE,INDIRECT( $H$1):INDIRECT( $H$3))</f>
        <v xml:space="preserve">		public const int MaxRenbanCodeLength = 10;
		public const int MaxSourceLength = 10;
		public const int MaxIsActiveLength = 50;
</v>
      </c>
      <c r="J14" s="33" t="str">
        <f ca="1">TEXTJOIN2("
", TRUE,INDIRECT( $F$1):INDIRECT( $F$3))</f>
        <v xml:space="preserve">		[StringLength(MaxRenbanCodeLength)]
		public virtual string RenbanCode { get; set; }
		[StringLength(MaxSourceLength)]
		public virtual string Source { get; set; }
		public virtual int DevLeadtime { get; set; }
		[StringLength(MaxIsActiveLength)]
		public virtual string IsActive { get; set; }
</v>
      </c>
      <c r="K14" s="35" t="str">
        <f ca="1">TEXTJOIN2("
", TRUE,INDIRECT( $J$1):INDIRECT( $J$3))</f>
        <v xml:space="preserve">	[Index(nameof(RenbanCode), Name="IX_MstLgwContDevanningLT_RenbanCode")]
	[Index(nameof(IsActive), Name="IX_MstLgwContDevanningLT_IsActive")]</v>
      </c>
      <c r="L14" s="13" t="s">
        <v>60</v>
      </c>
      <c r="M14" s="36" t="str">
        <f ca="1">TEXTJOIN2("
",TRUE,INDIRECT( $L$1):INDIRECT($L$3))</f>
        <v xml:space="preserve">		public virtual string RenbanCode { get; set; }
		public virtual string Source { get; set; }
		public virtual int DevLeadtime { get; set; }
		public virtual string IsActive { get; set; }
</v>
      </c>
      <c r="N14" s="33" t="str">
        <f ca="1">TEXTJOIN2("
",TRUE,INDIRECT( $M$1):INDIRECT($M$3))</f>
        <v xml:space="preserve">		[StringLength(MstLgwContDevanningLTConsts.MaxRenbanCodeLength)]
		public virtual string RenbanCode { get; set; }
		[StringLength(MstLgwContDevanningLTConsts.MaxSourceLength)]
		public virtual string Source { get; set; }
		public virtual int DevLeadtime { get; set; }
		[StringLength(MstLgwContDevanningLTConsts.MaxIsActiveLength)]
		public virtual string IsActive { get; set; }
</v>
      </c>
      <c r="O14" s="33" t="str">
        <f ca="1">TEXTJOIN2("
",TRUE,INDIRECT( $N$1):INDIRECT($N$3))</f>
        <v xml:space="preserve">		public virtual string RenbanCode { get; set; }
		public virtual string Source { get; set; }
		public virtual int DevLeadtime { get; set; }
		public virtual string IsActive { get; set; }
</v>
      </c>
      <c r="P14" s="9" t="str">
        <f ca="1">TEXTJOIN2("
",TRUE,INDIRECT( $O$1):INDIRECT($O$3))</f>
        <v xml:space="preserve">							RenbanCode = o.RenbanCode,
							Source = o.Source,
							DevLeadtime = o.DevLeadtime,
							IsActive = o.IsActive,</v>
      </c>
      <c r="T14" s="9" t="str">
        <f ca="1">TEXTJOIN2("
",TRUE,INDIRECT( $T$2):INDIRECT($T$3))</f>
        <v xml:space="preserve">								("RenbanCode"),
								("Source"),
								("DevLeadtime"),
								("IsActive"),</v>
      </c>
      <c r="V14" s="9" t="str">
        <f ca="1">TEXTJOIN2("
",TRUE,INDIRECT( $V$2):INDIRECT($V$3))</f>
        <v xml:space="preserve">								_ =&gt; _.RenbanCode,
								_ =&gt; _.Source,
								_ =&gt; _.DevLeadtime,
								_ =&gt; _.IsActive,</v>
      </c>
      <c r="W14" s="9" t="str">
        <f ca="1">TEXTJOIN2("
",TRUE,INDIRECT( $W$2):INDIRECT($W$3))</f>
        <v xml:space="preserve">				.WhereIf(!string.IsNullOrWhiteSpace(input.RenbanCode), e =&gt; e.RenbanCode.Contains(input.RenbanCode))
				.WhereIf(!string.IsNullOrWhiteSpace(input.Source), e =&gt; e.Source.Contains(input.Source))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1"/>
  <sheetViews>
    <sheetView workbookViewId="0">
      <selection activeCell="B16" sqref="B16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60" x14ac:dyDescent="0.25">
      <c r="A1" s="41" t="s">
        <v>212</v>
      </c>
      <c r="B1" s="42" t="s">
        <v>310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MstLgwContDevanningLT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ContDevanningLT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contdevanninglt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MstLgwContDevanningLTDto, MstLgwContDevanningLTServiceProxy } from '@shared/service-proxies/service-proxies';
import { finalize } from 'rxjs/internal/operators/finalize';
import { CreateOrEditContDevanningLTModalComponent } from './create-or-edit-contdevanninglt-modal.component';
import { DatePipe } from '@angular/common';
import { FileDownloadService } from '@shared/utils/file-download.service';
import ceil from 'lodash-es/ceil';
import { Paginator } from 'primeng/paginator';
@Component({
    templateUrl: './contdevanninglt.component.html',
    styleUrls: ['./contdevanninglt.component.less'],
})
export class ContDevanningLTComponent extends AppComponentBase implements OnInit {
    @ViewChild('createOrEditModalContDevanningLT', { static: true }) createOrEditModalContDevanningLT:| CreateOrEditContDevanningLTModalComponent|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MstLgwContDevanningLTDto = new MstLgwContDevanningLTDto();
    saveSelectedRow: MstLgwContDevanningLTDto = new MstLgwContDevanningLTDto();
    datas: MstLgwContDevanningLTDto = new MstLgwContDevanningLTDto();
    isLoading: boolean = false;
    dataParams: GridParams | undefined;
    rowData: any[] = [];
    gridApi!: GridApi;
    rowSelection = 'multiple';
    filter: string = '';
	pipe = new DatePipe('en-US');
	frameworkComponents: FrameworkComponent;
    renbanCode : string = '' ; 
	source : string = '' ; 
	devLeadtime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MstLgwContDevanningLTServiceProxy,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this.l('Renban Code'),headerTooltip: this.l('Renban Code'),field: 'renbanCode',flex: 1},
			{headerName: this.l('Source'),headerTooltip: this.l('Source'),field: 'source',flex: 1},
			{headerName: this.l('Dev Leadtime'),headerTooltip: this.l('Dev Leadtime'),field: 'devLeadtime',flex: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this.renbanCode,
			this.source,
			this.devLeadtime,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this.renbanCode = '',
		this.source = '',
		this.devLeadtime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this.renbanCode,
			this.source,
			this.devLeadtime,
			this.isActive,
			'',
            this.paginationParams.skipCount,
            this.paginationParams.pageSize
        );
    }
    onChangeRowSelection(params: { api: { getSelectedRows: () =&gt; MstLgwContDevanningLTDto[] } }) {
        this.saveSelectedRow = params.api.getSelectedRows()[0] ?? new MstLgwContDevanningLTDto();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MstLgwContDevanningLTDto):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this._service.getContDevanningLTToExcel(
			this.renbanCode,
			this.source,
			this.devLeadtime,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Container Devanning Leadtime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[(ngModel)]='renbanCode' name='renbanCode'
									class='form-control' [placeholder]="l('Renban Code')"
									type='text' (keyup.enter)='searchDatas()'&gt;
								&lt;/div&gt;
								&lt;div class='input-search'&gt;
									&lt;input [(ngModel)]='source' name='source'
									class='form-control' [placeholder]="l('Source')"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(click)="createOrEditModalContDevanningLT.show()"&gt;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(click)="createOrEditModalContDevanningLT.show(selectedRow)"&gt;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&lt;create-or-edit-contdevanninglt-modal
    #createOrEditModalContDevanningLT
    (modalSave)="callBackDataGrid(dataParams)"
    (modalClose)="onChangeRowSelection(dataParams)"
&gt;
&lt;/create-or-edit-contdevanninglt-modal&gt;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#createOrEditModalContDevanningLT="bs-modal"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ContDevanningLT')}}&lt;/h3&gt;
                    &lt;h3 *ngIf="!rowdata.id"&gt;{{('Create New ContDevanningLT')}}&lt;/h3&gt;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title'&gt;Renban Code&lt;/label&gt;
						&lt;input type='text' class='col-md-10 form-control input-text' name='RenbanCode' [(ngModel)]='rowdata.renbanCode'&gt;
					&lt;/div&gt;
					&lt;div class='col-md-12 form-group row'&gt;
						&lt;label class='col-md-2 form-control title'&gt;Source&lt;/label&gt;
						&lt;input type='text' class='col-md-10 form-control input-text' name='Source' [(ngModel)]='rowdata.source'&gt;
					&lt;/div&gt;
					&lt;div class='col-md-12 form-group row'&gt;
						&lt;label class='col-md-2 form-control title'&gt;Dev Leadtime&lt;/label&gt;
						&lt;input type='number' class='col-md-10 form-control input-text' name='DevLeadtime' [(ngModel)]='rowdata.devLeadtime'&gt;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CreateOrEditMstLgwContDevanningLTDto, MstLgwContDevanningLTServiceProxy } from '@shared/service-proxies/service-proxies';
import { BsDatepickerDirective } from 'ngx-bootstrap/datepicker';
@Component({
    selector: 'create-or-edit-contdevanninglt-modal',
    templateUrl: './create-or-edit-contdevanninglt-modal.component.html',
    styleUrls: ['./create-or-edit-contdevanninglt-modal.component.less']
    })
export class CreateOrEditContDevanningLTModalComponent extends AppComponentBase {
    @ViewChild('createOrEditModalContDevanningLT',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CreateOrEditMstLgwContDevanningLTDto = new CreateOrEditMstLgwContDevanningLTDto();
    active: boolean = false;
    saving: boolean = false;
    _: boolean;
    constructor(
        injector: Injector,
        private _mstwptContDevanningLTService: MstLgwContDevanningLTServiceProxy,
    ) 
    {
        super(injector);
    }
    show(rowdata?: CreateOrEditMstLgwContDevanningLTDto): void {
        if (!rowdata) this.rowdata = new CreateOrEditMstLgwContDevanningLTDto();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this._mstwptContDevanningLTService.createOrEdit(this.rowdata)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ContDevanningLTRoutingModule } from './contdevanninglt-routing.module';
import { ContDevanningLTComponent } from './contdevanninglt.component';
import { CreateOrEditContDevanningLTModalComponent } from './create-or-edit-contdevanninglt-modal.component';
@NgModule({
    declarations: [
       ContDevanningLTComponent, 
        CreateOrEditContDevanningLTModalComponent
    ],
    imports: [
        AppSharedModule, ContDevanningLTRoutingModule]
})
export class ContDevanningLTModule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ContDevanningLTComponent } from './contdevanninglt.component';
const routes: Routes = [{
    path: '',
    component: ContDevanningLTComponent,
    pathMatch: 'full'
}];
@NgModule({
    imports: [RouterModule.forChild(routes)],
    exports: [RouterModule],
})
export class ContDevanningLTRoutingModule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AppMenuItem("ContDevanningLT", "Pages.Master.LogW.ContDevanningLT", "flaticon-book",   "/app/main/master/logw/contdevanninglt"),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'master/logw/contdevanninglt',
    loadChildren: () =&gt; import('./master/logw/contdevanninglt/contdevanninglt.module').then(m =&gt; m.ContDevanningLTModule),
    data: { permission: 'Pages.Master.LogW.ContDevanningLT' }
},</v>
      </c>
      <c r="R10" s="50" t="str">
        <f>SUBSTITUTE(R9,"MstWptCalendar",$B$6)</f>
        <v>ApiServiceProxies.MstLgwContDevanningLTServiceProxy,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H18</v>
      </c>
      <c r="I12" s="31" t="str">
        <f>"I"&amp;COUNTA($A:$A)</f>
        <v>I18</v>
      </c>
      <c r="J12" s="31"/>
      <c r="K12" s="31" t="str">
        <f>"K"&amp;COUNTA($A:$A)</f>
        <v>K18</v>
      </c>
      <c r="L12" s="31" t="str">
        <f>"L"&amp;COUNTA($A:$A)</f>
        <v>L18</v>
      </c>
      <c r="M12" s="31"/>
      <c r="N12" s="31"/>
      <c r="O12" s="31"/>
      <c r="P12" s="31"/>
      <c r="Q12" s="31"/>
      <c r="R12" s="31"/>
      <c r="S12" s="31" t="str">
        <f>"S"&amp;COUNTA($A:$A)</f>
        <v>S18</v>
      </c>
      <c r="T12" s="31" t="str">
        <f>"T"&amp;COUNTA($A:$A)</f>
        <v>T18</v>
      </c>
      <c r="U12" s="31" t="str">
        <f>"U"&amp;COUNTA($A:$A)</f>
        <v>U18</v>
      </c>
      <c r="V12" s="31" t="str">
        <f>"V"&amp;COUNTA($A:$A)</f>
        <v>V18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this.l('Renban Code'),headerTooltip: this.l('Renban Code'),field: 'renbanCode',flex: 1},
			{headerName: this.l('Source'),headerTooltip: this.l('Source'),field: 'source',flex: 1},
			{headerName: this.l('Dev Leadtime'),headerTooltip: this.l('Dev Leadtime'),field: 'devLeadtime',flex: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[(ngModel)]='renbanCode' name='renbanCode'
									class='form-control' [placeholder]="l('Renban Code')"
									type='text' (keyup.enter)='searchDatas()'&gt;
								&lt;/div&gt;
								&lt;div class='input-search'&gt;
									&lt;input [(ngModel)]='source' name='source'
									class='form-control' [placeholder]="l('Source')"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title'&gt;Renban Code&lt;/label&gt;
						&lt;input type='text' class='col-md-10 form-control input-text' name='RenbanCode' [(ngModel)]='rowdata.renbanCode'&gt;
					&lt;/div&gt;
					&lt;div class='col-md-12 form-group row'&gt;
						&lt;label class='col-md-2 form-control title'&gt;Source&lt;/label&gt;
						&lt;input type='text' class='col-md-10 form-control input-text' name='Source' [(ngModel)]='rowdata.source'&gt;
					&lt;/div&gt;
					&lt;div class='col-md-12 form-group row'&gt;
						&lt;label class='col-md-2 form-control title'&gt;Dev Leadtime&lt;/label&gt;
						&lt;input type='number' class='col-md-10 form-control input-text' name='DevLeadtime' [(ngModel)]='rowdata.devLeadtime'&gt;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renbanCode : string = '' ; 
	source : string = '' ; 
	devLeadtime : number = 0 ;
	isActive : string = '' ; </v>
      </c>
      <c r="T13" s="68" t="str">
        <f ca="1">TEXTJOIN2("
",TRUE,INDIRECT(T11):INDIRECT(T12))</f>
        <v xml:space="preserve">			this.renbanCode,
			this.source,
			this.devLeadtime,
			this.isActive,</v>
      </c>
      <c r="U13" s="68" t="str">
        <f ca="1">TEXTJOIN2("
",TRUE,INDIRECT(U11):INDIRECT(U12))</f>
        <v>this.renbanCode = '',
		this.source = '',
		this.devLeadtime = 0,
		this.isActive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contdevanninglt.component.ts</v>
      </c>
      <c r="I14" s="40" t="str">
        <f>B8&amp;".component.html"</f>
        <v>contdevanninglt.component.html</v>
      </c>
      <c r="J14" s="39" t="str">
        <f>B8&amp;".component.less"</f>
        <v>contdevanninglt.component.less</v>
      </c>
      <c r="K14" s="40" t="str">
        <f>"create-or-edit-"&amp;B8&amp;"-modal.component.html"</f>
        <v>create-or-edit-contdevanninglt-modal.component.html</v>
      </c>
      <c r="L14" s="40" t="str">
        <f>"create-or-edit-"&amp;B8&amp;"-modal.component.ts"</f>
        <v>create-or-edit-contdevanninglt-modal.component.ts</v>
      </c>
      <c r="M14" s="40" t="str">
        <f>"create-or-edit-"&amp;B8&amp;"-modal.component.less"</f>
        <v>create-or-edit-contdevanninglt-modal.component.less</v>
      </c>
      <c r="N14" s="40" t="str">
        <f>B8&amp;".module.ts"</f>
        <v>contdevanninglt.module.ts</v>
      </c>
      <c r="O14" s="40" t="str">
        <f>B8&amp;"-routing.module.ts"</f>
        <v>contdevanninglt-routing.module.ts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303</v>
      </c>
      <c r="B15" s="31" t="str">
        <f>SUBSTITUTE(PROPER(A15),"_","")</f>
        <v>RenbanCode</v>
      </c>
      <c r="C15" s="31" t="str">
        <f>SUBSTITUTE(PROPER(A15),"_"," ")</f>
        <v>Renban Code</v>
      </c>
      <c r="D15" s="31" t="str">
        <f>LOWER(LEFT(B15,1))&amp;RIGHT(B15,LEN(B15) - 1)</f>
        <v>renbanCode</v>
      </c>
      <c r="E15" s="31" t="str">
        <f>A.Backend!H9</f>
        <v>string</v>
      </c>
      <c r="F15" s="31" t="str">
        <f>A.Backend!G9</f>
        <v>10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this.l('Renban Code'),headerTooltip: this.l('Renban Code'),field: 'renbanCode',flex: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[(ngModel)]='renbanCode' name='renbanCode'
									class='form-control' [placeholder]="l('Renban Code')"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title'&gt;Renban Code&lt;/label&gt;
						&lt;input type='text' class='col-md-10 form-control input-text' name='RenbanCode' [(ngModel)]='rowdata.renbanCode'&gt;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renbanCode : string = '' ; </v>
      </c>
      <c r="T15" s="31" t="str">
        <f>REPT(CHAR(9),3)&amp;"this."&amp;D15&amp;","</f>
        <v xml:space="preserve">			this.renbanCode,</v>
      </c>
      <c r="U15" s="31" t="str">
        <f>IF(E15="int","this."&amp;D15&amp;" = 0,","this."&amp;D15&amp;" = '',")</f>
        <v>this.renbanCode = '',</v>
      </c>
      <c r="V15" s="31" t="str">
        <f>IF(AND(E15="string",F15="1"),D15,"")</f>
        <v/>
      </c>
    </row>
    <row r="16" spans="1:22" ht="15" customHeight="1" x14ac:dyDescent="0.25">
      <c r="A16" s="44" t="s">
        <v>305</v>
      </c>
      <c r="B16" s="31" t="str">
        <f t="shared" ref="B16:B17" si="0">SUBSTITUTE(PROPER(A16),"_","")</f>
        <v>Source</v>
      </c>
      <c r="C16" s="31" t="str">
        <f t="shared" ref="C16:C17" si="1">SUBSTITUTE(PROPER(A16),"_"," ")</f>
        <v>Source</v>
      </c>
      <c r="D16" s="31" t="str">
        <f t="shared" ref="D16:D17" si="2">LOWER(LEFT(B16,1))&amp;RIGHT(B16,LEN(B16) - 1)</f>
        <v>source</v>
      </c>
      <c r="E16" s="31" t="str">
        <f>A.Backend!H10</f>
        <v>string</v>
      </c>
      <c r="F16" s="31" t="str">
        <f>A.Backend!G10</f>
        <v>10</v>
      </c>
      <c r="G16" s="31" t="str">
        <f t="shared" ref="G16:G18" si="3">IF(E16="string"," : string = '' ; ",IF(OR(E16="DateTime",E16="TimeSpan")," : any ;",IF(E16="int"," : number = 0 ;","")))</f>
        <v xml:space="preserve"> : string = '' ; 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this.l('Source'),headerTooltip: this.l('Source'),field: 'source',flex: 1},</v>
      </c>
      <c r="I16" s="38" t="str">
        <f t="shared" ref="I16:I18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[(ngModel)]='source' name='source'
									class='form-control' [placeholder]="l('Source')"
									type='text' (keyup.enter)='searchDatas()'&gt;
								&lt;/div&gt;</v>
      </c>
      <c r="J16" s="31"/>
      <c r="K16" s="38" t="str">
        <f t="shared" ref="K16:K18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title'&gt;Source&lt;/label&gt;
						&lt;input type='text' class='col-md-10 form-control input-text' name='Source' [(ngModel)]='rowdata.source'&gt;
					&lt;/div&gt;</v>
      </c>
      <c r="L16" s="60" t="str">
        <f t="shared" ref="L16:L18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source : string = '' ; </v>
      </c>
      <c r="T16" s="31" t="str">
        <f>REPT(CHAR(9),3)&amp;"this."&amp;D16&amp;","</f>
        <v xml:space="preserve">			this.source,</v>
      </c>
      <c r="U16" s="31" t="str">
        <f>IF(E16="int",REPT(CHAR(9),2)&amp;"this."&amp;D16&amp;" = 0,",REPT(CHAR(9),2)&amp;"this."&amp;D16&amp;" = '',")</f>
        <v xml:space="preserve">		this.source = '',</v>
      </c>
      <c r="V16" s="31" t="str">
        <f t="shared" ref="V16:V18" si="8">IF(AND(E16="string",F16="1"),D16,"")</f>
        <v/>
      </c>
    </row>
    <row r="17" spans="1:22" ht="18" customHeight="1" x14ac:dyDescent="0.25">
      <c r="A17" s="44" t="s">
        <v>306</v>
      </c>
      <c r="B17" s="31" t="str">
        <f t="shared" si="0"/>
        <v>DevLeadtime</v>
      </c>
      <c r="C17" s="31" t="str">
        <f t="shared" si="1"/>
        <v>Dev Leadtime</v>
      </c>
      <c r="D17" s="31" t="str">
        <f t="shared" si="2"/>
        <v>devLeadtime</v>
      </c>
      <c r="E17" s="31" t="str">
        <f>A.Backend!H11</f>
        <v>int</v>
      </c>
      <c r="F17" s="31" t="str">
        <f>A.Backend!G11</f>
        <v/>
      </c>
      <c r="G17" s="31" t="str">
        <f t="shared" si="3"/>
        <v xml:space="preserve"> : number = 0 ;</v>
      </c>
      <c r="H17" s="38" t="str">
        <f t="shared" si="4"/>
        <v xml:space="preserve">			{headerName: this.l('Dev Leadtime'),headerTooltip: this.l('Dev Leadtime'),field: 'devLeadtime',flex: 1},</v>
      </c>
      <c r="I17" s="38" t="str">
        <f t="shared" si="5"/>
        <v/>
      </c>
      <c r="J17" s="31"/>
      <c r="K17" s="38" t="str">
        <f t="shared" si="6"/>
        <v xml:space="preserve">					&lt;div class='col-md-12 form-group row'&gt;
						&lt;label class='col-md-2 form-control title'&gt;Dev Leadtime&lt;/label&gt;
						&lt;input type='number' class='col-md-10 form-control input-text' name='DevLeadtime' [(ngModel)]='rowdata.devLeadtime'&gt;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8" si="9">REPT(CHAR(9),1)&amp;D17&amp;G17</f>
        <v xml:space="preserve">	devLeadtime : number = 0 ;</v>
      </c>
      <c r="T17" s="31" t="str">
        <f t="shared" ref="T17:T18" si="10">REPT(CHAR(9),3)&amp;"this."&amp;D17&amp;","</f>
        <v xml:space="preserve">			this.devLeadtime,</v>
      </c>
      <c r="U17" s="31" t="str">
        <f t="shared" ref="U17:U18" si="11">IF(E17="int",REPT(CHAR(9),2)&amp;"this."&amp;D17&amp;" = 0,",REPT(CHAR(9),2)&amp;"this."&amp;D17&amp;" = '',")</f>
        <v xml:space="preserve">		this.devLeadtime = 0,</v>
      </c>
      <c r="V17" s="31" t="str">
        <f t="shared" si="8"/>
        <v/>
      </c>
    </row>
    <row r="18" spans="1:22" ht="18" customHeight="1" x14ac:dyDescent="0.25">
      <c r="A18" s="44" t="s">
        <v>301</v>
      </c>
      <c r="B18" s="31" t="str">
        <f>SUBSTITUTE(PROPER(A18),"_","")</f>
        <v>IsActive</v>
      </c>
      <c r="C18" s="31" t="str">
        <f>SUBSTITUTE(PROPER(A18),"_"," ")</f>
        <v>Is Active</v>
      </c>
      <c r="D18" s="31" t="str">
        <f>LOWER(LEFT(B18,1))&amp;RIGHT(B18,LEN(B18) - 1)</f>
        <v>isActive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this.l('Is Active'),headerTooltip: this.l('Is Active'),field: 'isActive',flex: 1},</v>
      </c>
      <c r="I18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isActive : string = '' ; </v>
      </c>
      <c r="T18" s="31" t="str">
        <f t="shared" si="10"/>
        <v xml:space="preserve">			this.isActive,</v>
      </c>
      <c r="U18" s="31" t="str">
        <f t="shared" si="11"/>
        <v xml:space="preserve">		this.isActive = '',</v>
      </c>
      <c r="V18" s="31" t="str">
        <f t="shared" si="8"/>
        <v/>
      </c>
    </row>
    <row r="2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2022-07-16T08:50:27Z</dcterms:modified>
</cp:coreProperties>
</file>
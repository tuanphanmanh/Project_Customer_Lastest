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C24" i="5"/>
  <c r="L23" i="5"/>
  <c r="C23" i="5"/>
  <c r="B23" i="5"/>
  <c r="D23" i="5" s="1"/>
  <c r="G22" i="5"/>
  <c r="L22" i="5"/>
  <c r="C22" i="5"/>
  <c r="B22" i="5"/>
  <c r="D22" i="5" s="1"/>
  <c r="B21" i="5"/>
  <c r="D21" i="5" s="1"/>
  <c r="C20" i="5"/>
  <c r="G18" i="1"/>
  <c r="E18" i="1"/>
  <c r="H18" i="1" s="1"/>
  <c r="D18" i="1"/>
  <c r="T18" i="1" s="1"/>
  <c r="L17" i="1"/>
  <c r="G17" i="1"/>
  <c r="E17" i="1"/>
  <c r="H17" i="1" s="1"/>
  <c r="D17" i="1"/>
  <c r="V17" i="1" s="1"/>
  <c r="L16" i="1"/>
  <c r="G16" i="1"/>
  <c r="E16" i="1"/>
  <c r="H16" i="1" s="1"/>
  <c r="D16" i="1"/>
  <c r="V16" i="1" s="1"/>
  <c r="G15" i="1"/>
  <c r="E15" i="1"/>
  <c r="H15" i="1" s="1"/>
  <c r="D15" i="1"/>
  <c r="P15" i="1" s="1"/>
  <c r="L14" i="1"/>
  <c r="G14" i="1"/>
  <c r="E14" i="1"/>
  <c r="H14" i="1" s="1"/>
  <c r="D14" i="1"/>
  <c r="V14" i="1" s="1"/>
  <c r="V23" i="5" l="1"/>
  <c r="G23" i="5"/>
  <c r="V20" i="5"/>
  <c r="V22" i="5"/>
  <c r="U23" i="5"/>
  <c r="T22" i="5"/>
  <c r="K22" i="5"/>
  <c r="S22" i="5"/>
  <c r="U22" i="5"/>
  <c r="T23" i="5"/>
  <c r="S23" i="5"/>
  <c r="T21" i="5"/>
  <c r="I22" i="5"/>
  <c r="H23" i="5"/>
  <c r="C21" i="5"/>
  <c r="I21" i="5" s="1"/>
  <c r="V21" i="5"/>
  <c r="H22" i="5"/>
  <c r="I23" i="5"/>
  <c r="B24" i="5"/>
  <c r="D24" i="5" s="1"/>
  <c r="I24" i="5" s="1"/>
  <c r="U21" i="5"/>
  <c r="B20" i="5"/>
  <c r="D20" i="5" s="1"/>
  <c r="I20" i="5" s="1"/>
  <c r="G21" i="5"/>
  <c r="S21" i="5" s="1"/>
  <c r="L21" i="5"/>
  <c r="G20" i="5"/>
  <c r="L20" i="5"/>
  <c r="K23" i="5"/>
  <c r="G24" i="5"/>
  <c r="L24" i="5"/>
  <c r="T16" i="1"/>
  <c r="W15" i="1"/>
  <c r="M18" i="1"/>
  <c r="I18" i="1"/>
  <c r="T14" i="1"/>
  <c r="P17" i="1"/>
  <c r="T15" i="1"/>
  <c r="P16" i="1"/>
  <c r="W17" i="1"/>
  <c r="O17" i="1"/>
  <c r="J17" i="1"/>
  <c r="N17" i="1"/>
  <c r="I17" i="1"/>
  <c r="M17" i="1"/>
  <c r="N18" i="1"/>
  <c r="V18" i="1"/>
  <c r="P14" i="1"/>
  <c r="T17" i="1"/>
  <c r="J18" i="1"/>
  <c r="O18" i="1"/>
  <c r="W18" i="1"/>
  <c r="P18" i="1"/>
  <c r="W14" i="1"/>
  <c r="O14" i="1"/>
  <c r="J14" i="1"/>
  <c r="N14" i="1"/>
  <c r="I14" i="1"/>
  <c r="M14" i="1"/>
  <c r="N16" i="1"/>
  <c r="I16" i="1"/>
  <c r="M16" i="1"/>
  <c r="W16" i="1"/>
  <c r="O16" i="1"/>
  <c r="J16" i="1"/>
  <c r="M15" i="1"/>
  <c r="I15" i="1"/>
  <c r="N15" i="1"/>
  <c r="V15" i="1"/>
  <c r="J15" i="1"/>
  <c r="O15" i="1"/>
  <c r="K21" i="5" l="1"/>
  <c r="K20" i="5"/>
  <c r="U20" i="5"/>
  <c r="H21" i="5"/>
  <c r="T20" i="5"/>
  <c r="S20" i="5"/>
  <c r="U24" i="5"/>
  <c r="H24" i="5"/>
  <c r="V24" i="5"/>
  <c r="K24" i="5"/>
  <c r="H20" i="5"/>
  <c r="S24" i="5"/>
  <c r="T24" i="5"/>
  <c r="W3" i="1"/>
  <c r="V3" i="1"/>
  <c r="B2" i="5" l="1"/>
  <c r="B3" i="5" s="1"/>
  <c r="C19" i="5"/>
  <c r="B18" i="5"/>
  <c r="D18" i="5" s="1"/>
  <c r="L13" i="1"/>
  <c r="G13" i="1"/>
  <c r="E13" i="1"/>
  <c r="H13" i="1" s="1"/>
  <c r="D13" i="1"/>
  <c r="G12" i="1"/>
  <c r="E12" i="1"/>
  <c r="H12" i="1" s="1"/>
  <c r="D12" i="1"/>
  <c r="V12" i="1" l="1"/>
  <c r="T12" i="1"/>
  <c r="N13" i="1"/>
  <c r="O13" i="1"/>
  <c r="M13" i="1"/>
  <c r="N12" i="1"/>
  <c r="M12" i="1"/>
  <c r="O12" i="1"/>
  <c r="T13" i="1"/>
  <c r="V13" i="1"/>
  <c r="W12" i="1"/>
  <c r="W13" i="1"/>
  <c r="T18" i="5"/>
  <c r="P13" i="1"/>
  <c r="C18" i="5"/>
  <c r="B19" i="5"/>
  <c r="D19" i="5" s="1"/>
  <c r="J12" i="1"/>
  <c r="I12" i="1"/>
  <c r="I13" i="1"/>
  <c r="P12" i="1"/>
  <c r="J13" i="1"/>
  <c r="B6" i="5"/>
  <c r="L19" i="5" l="1"/>
  <c r="I19" i="5"/>
  <c r="K19" i="5"/>
  <c r="H19" i="5"/>
  <c r="L18" i="5"/>
  <c r="K18" i="5"/>
  <c r="I18" i="5"/>
  <c r="H18" i="5"/>
  <c r="G19" i="5"/>
  <c r="U19" i="5"/>
  <c r="V19" i="5"/>
  <c r="G18" i="5"/>
  <c r="S18" i="5" s="1"/>
  <c r="U18" i="5"/>
  <c r="V18" i="5"/>
  <c r="T19" i="5"/>
  <c r="S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20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L11" i="1" l="1"/>
  <c r="G9" i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20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20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I13" i="5"/>
  <c r="H13" i="5"/>
  <c r="U13" i="5"/>
  <c r="K13" i="5"/>
  <c r="L13" i="5"/>
  <c r="V13" i="5"/>
  <c r="S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2" i="1" l="1"/>
  <c r="L18" i="1"/>
  <c r="L15" i="1"/>
  <c r="L9" i="1"/>
  <c r="L10" i="1"/>
  <c r="J11" i="1"/>
  <c r="J9" i="1"/>
  <c r="J10" i="1"/>
  <c r="C7" i="1"/>
  <c r="I20" i="1"/>
  <c r="P20" i="1"/>
  <c r="N20" i="1"/>
  <c r="O20" i="1"/>
  <c r="J20" i="1"/>
  <c r="Q7" i="1" l="1"/>
  <c r="M47" i="3" s="1"/>
  <c r="L7" i="1"/>
  <c r="G47" i="3" s="1"/>
  <c r="K47" i="3"/>
  <c r="J47" i="3"/>
  <c r="M20" i="1"/>
  <c r="K20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<sst xmlns="http://schemas.openxmlformats.org/spreadsheetml/2006/main" count="408" uniqueCount="318">
  <si>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</si>
  <si>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</si>
  <si>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</si>
  <si>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</si>
  <si>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</si>
  <si>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</si>
  <si>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</si>
  <si>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</si>
  <si>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</si>
  <si>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</si>
  <si>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</si>
  <si>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</si>
  <si>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</si>
  <si>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</si>
  <si>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</si>
  <si>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</si>
  <si>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</si>
  <si>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</si>
  <si>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</si>
  <si>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</si>
  <si>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</si>
  <si>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</si>
  <si>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</si>
  <si>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</si>
  <si>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</si>
  <si>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</si>
  <si>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</si>
  <si>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</si>
  <si>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</si>
  <si>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</si>
  <si>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</si>
  <si>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</si>
  <si>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</si>
  <si>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</si>
  <si>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</si>
  <si>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</si>
  <si>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</si>
  <si>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</si>
  <si>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</si>
  <si>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</si>
  <si>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</si>
  <si>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</si>
  <si>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</si>
  <si>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</si>
  <si>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</si>
  <si>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</si>
  <si>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</si>
  <si>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</si>
  <si>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</si>
  <si>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</si>
  <si>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</si>
  <si>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</si>
  <si>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</si>
  <si>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</si>
  <si>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</si>
  <si>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</si>
  <si>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</si>
  <si>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</si>
  <si>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</si>
  <si>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</si>
  <si>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</si>
  <si>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</si>
  <si>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</si>
  <si>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</si>
  <si>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</si>
  <si>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</si>
  <si>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</si>
  <si>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</si>
  <si>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</si>
  <si>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</si>
  <si>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</si>
  <si>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</si>
  <si>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</si>
  <si>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</si>
  <si>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</si>
  <si>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</si>
  <si>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</si>
  <si>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</si>
  <si>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</si>
  <si>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</si>
  <si>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</si>
  <si>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</si>
  <si>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</si>
  <si>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</si>
  <si>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</si>
  <si>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</si>
  <si>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</si>
  <si>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</si>
  <si>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</si>
  <si>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</si>
  <si>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</si>
  <si>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</si>
  <si>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</si>
  <si>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</si>
  <si>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</si>
  <si>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</si>
  <si>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</si>
  <si>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</si>
  <si>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</si>
  <si>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</si>
  <si>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</si>
  <si>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</si>
  <si>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</si>
  <si>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</si>
  <si>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</si>
  <si>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</si>
  <si>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</si>
  <si>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</si>
  <si>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</si>
  <si>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</si>
  <si>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</si>
  <si>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</si>
  <si>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</si>
  <si>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</si>
  <si>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</si>
  <si>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</si>
  <si>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</si>
  <si>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</si>
  <si>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</si>
  <si>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</si>
  <si>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</si>
  <si>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</si>
  <si>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</si>
  <si>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</si>
  <si>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</si>
  <si>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</si>
  <si>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</si>
  <si>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</si>
  <si>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</si>
  <si>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</si>
  <si>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</si>
  <si>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</si>
  <si>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</si>
  <si>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</si>
  <si>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</si>
  <si>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</si>
  <si>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</si>
  <si>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</si>
  <si>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</si>
  <si>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</si>
  <si>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</si>
  <si>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</si>
  <si>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</si>
  <si>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</si>
  <si>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</si>
  <si>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</si>
  <si>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</si>
  <si>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</si>
  <si>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</si>
  <si>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</si>
  <si>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</si>
  <si>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</si>
  <si>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</si>
  <si>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</si>
  <si>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</si>
  <si>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</si>
  <si>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</si>
  <si>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</si>
  <si>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</si>
  <si>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</si>
  <si>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</si>
  <si>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</si>
  <si>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</si>
  <si>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</si>
  <si>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</si>
  <si>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</si>
  <si>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</si>
  <si>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</si>
  <si>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</si>
  <si>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</si>
  <si>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</si>
  <si>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</si>
  <si>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</si>
  <si>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</si>
  <si>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</si>
  <si>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</si>
  <si>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</si>
  <si>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</si>
  <si>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</si>
  <si>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</si>
  <si>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</si>
  <si>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</si>
  <si>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</si>
  <si>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</si>
  <si>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</si>
  <si>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</si>
  <si>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</si>
  <si>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</si>
  <si>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</si>
  <si>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</si>
  <si>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</si>
  <si>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</si>
  <si>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</si>
  <si>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</si>
  <si>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</si>
  <si>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</si>
  <si>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</si>
  <si>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</si>
  <si>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</si>
  <si>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</si>
  <si>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</si>
  <si>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</si>
  <si>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</si>
  <si>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</si>
  <si>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</si>
  <si>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</si>
  <si>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</si>
  <si>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</si>
  <si>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</si>
  <si>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</si>
  <si>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</si>
  <si>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</si>
  <si>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</si>
  <si>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</si>
  <si>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</si>
  <si>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</si>
  <si>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</si>
  <si>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</si>
  <si>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</si>
  <si>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</si>
  <si>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</si>
  <si>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</si>
  <si>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</si>
  <si>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</si>
  <si>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</si>
  <si>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</si>
  <si>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</si>
  <si>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</si>
  <si>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</si>
  <si>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</si>
  <si>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</si>
  <si>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</si>
  <si>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</si>
  <si>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</si>
  <si>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</si>
  <si>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</si>
  <si>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</si>
  <si>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</si>
  <si>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</si>
  <si>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</si>
  <si>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</si>
  <si>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</si>
  <si>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</si>
  <si>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</si>
  <si>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</si>
  <si>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</si>
  <si>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</si>
  <si>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</si>
  <si>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</si>
  <si>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</si>
  <si>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</si>
  <si>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</si>
  <si>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</si>
  <si>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</si>
  <si>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</si>
  <si>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</si>
  <si>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</si>
  <si>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</si>
  <si>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</si>
  <si>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</si>
  <si>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</si>
  <si>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</si>
  <si>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</si>
  <si>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</si>
  <si>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</si>
  <si>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</si>
  <si>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</si>
  <si>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</si>
  <si>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</si>
  <si>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</si>
  <si>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</si>
  <si>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</si>
  <si>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</si>
  <si>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</si>
  <si>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</si>
  <si>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</si>
  <si>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</si>
  <si>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</si>
  <si>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</si>
  <si>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</si>
  <si>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</si>
  <si>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</si>
  <si>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</si>
  <si>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</si>
  <si>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</si>
  <si>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</si>
  <si>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</si>
  <si>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</si>
  <si>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</si>
  <si>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</si>
  <si>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</si>
  <si>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</si>
  <si>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</si>
  <si>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</si>
  <si>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</si>
  <si>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</si>
  <si>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</si>
  <si>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</si>
  <si>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</si>
  <si>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</si>
  <si>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</si>
  <si>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MODULE_NO</t>
  </si>
  <si>
    <t>varchar(10)</t>
  </si>
  <si>
    <t>PART_NO</t>
  </si>
  <si>
    <t>varchar(20)</t>
  </si>
  <si>
    <t>SUPPLIER_NO</t>
  </si>
  <si>
    <t>MODULE_NO_ECI</t>
  </si>
  <si>
    <t>PART_NO_ECI</t>
  </si>
  <si>
    <t>SUPPLIER_NO_ECI</t>
  </si>
  <si>
    <t>START_ECI_SEQ</t>
  </si>
  <si>
    <t>START_ECI_RENBAN</t>
  </si>
  <si>
    <t>START_ECI_MODULE</t>
  </si>
  <si>
    <t>IS_ACTIVE</t>
  </si>
  <si>
    <t>varchar(1)</t>
  </si>
  <si>
    <t>Master.LogW</t>
  </si>
  <si>
    <t>MstLgwEciPart</t>
  </si>
  <si>
    <t>EciPart</t>
  </si>
  <si>
    <t>Master LogW Eci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</si>
</sst>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56" sqref="C56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[Table("MstLgwEciPart")]
	[Index(nameof(ModuleNo), Name="IX_MstLgwEciPart_ModuleNo")]
	[Index(nameof(PartNo), Name="IX_MstLgwEciPart_PartNo")]
	[Index(nameof(SupplierNo), Name="IX_MstLgwEciPart_SupplierNo")]
	[Index(nameof(IsActive), Name="IX_MstLgwEciPart_IsActive")]	public class MstLgwEciPart: FullAuditedEntity&lt;long&gt;, IEntity&lt;long&gt;	
	{
		public const int MaxModuleNoLength = 10;
		public const int MaxPartNoLength = 20;
		public const int MaxSupplierNoLength = 10;
		public const int MaxModuleNoEciLength = 10;
		public const int MaxPartNoEciLength = 20;
		public const int MaxSupplierNoEciLength = 10;
		public const int MaxStartEciSeqLength = 20;
		public const int MaxStartEciRenbanLength = 20;
		public const int MaxStartEciModuleLength = 20;
		public const int MaxIsActiveLength = 1;
		[StringLength(MaxModuleNoLength)]
		public virtual string ModuleNo { get; set; }
		[StringLength(MaxPartNoLength)]
		public virtual string PartNo { get; set; }
		[StringLength(MaxSupplierNoLength)]
		public virtual string SupplierNo { get; set; }
		[StringLength(MaxModuleNoEciLength)]
		public virtual string ModuleNoEci { get; set; }
		[StringLength(MaxPartNoEciLength)]
		public virtual string PartNoEci { get; set; }
		[StringLength(MaxSupplierNoEciLength)]
		public virtual string SupplierNoEci { get; set; }
		[StringLength(MaxStartEciSeqLength)]
		public virtual string StartEciSeq { get; set; }
		[StringLength(MaxStartEciRenbanLength)]
		public virtual string StartEciRenban { get; set; }
		[StringLength(MaxStartEciModuleLength)]
		public virtual string StartEciModule { get; set; }
		[StringLength(MaxIsActiveLength)]
		public virtual string IsActive { get; set; }
	}
}
</v>
      </c>
      <c r="D47" s="51" t="str">
        <f>A.Backend!O7</f>
        <v xml:space="preserve">		public const string Pages_Master_LogW_EciPart = "Pages.Master.LogW.EciPart";
		public const string Pages_Master_LogW_EciPart_CreateEdit = "Pages.Master.LogW.EciPart.CreateEdit";
		public const string Pages_Master_LogW_EciPart_Delete = "Pages.Master.LogW.EciPart.Delete";
</v>
      </c>
      <c r="E47" s="51" t="str">
        <f>A.Backend!N7</f>
        <v xml:space="preserve">		var perMstLgwEciPart = PARENTS.CreateChildPermission(AppPermissions.Pages_Master_LogW_EciPart, L( "MasterLogWEciPart"));
		perMstLgwEciPart.CreateChildPermission(AppPermissions.Pages_Master_LogW_EciPart_CreateEdit, L( "MasterLogWEciPartCreateEdit"));
		perMstLgwEciPart.CreateChildPermission(AppPermissions.Pages_Master_LogW_EciPart_Delete, L( "MasterLogWEciPartDelete"));</v>
      </c>
      <c r="F47" s="51" t="str">
        <f>A.Backend!K7</f>
        <v>public virtual DbSet&lt;MstLgwEciPart&gt; MstLgwEciParts { get; set; }</v>
      </c>
      <c r="G47" s="51" t="str">
        <f ca="1">A.Backend!L7</f>
        <v xml:space="preserve">namespace vovina.Master.LogW
{
	public class MstLgwEciPartConsts	
	{
		public const int MaxModuleNoLength = 10;
		public const int MaxPartNoLength = 20;
		public const int MaxSupplierNoLength = 10;
		public const int MaxModuleNoEciLength = 10;
		public const int MaxPartNoEciLength = 20;
		public const int MaxSupplierNoEciLength = 10;
		public const int MaxStartEciSeqLength = 20;
		public const int MaxStartEciRenbanLength = 20;
		public const int MaxStartEciModuleLength = 20;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MstLgwEciPartDto : EntityDto&lt;long?&gt;	
	{
		public virtual string ModuleNo { get; set; }
		public virtual string PartNo { get; set; }
		public virtual string SupplierNo { get; set; }
		public virtual string ModuleNoEci { get; set; }
		public virtual string PartNoEci { get; set; }
		public virtual string SupplierNoEci { get; set; }
		public virtual string StartEciSeq { get; set; }
		public virtual string StartEciRenban { get; set; }
		public virtual string StartEciModule { get; set; }
		public virtual string IsActive { get; set; }
	}
	public class CreateOrEditMstLgwEciPartDto : EntityDto&lt;long?&gt;	
	{
		[StringLength(MstLgwEciPartConsts.MaxModuleNoLength)]
		public virtual string ModuleNo { get; set; }
		[StringLength(MstLgwEciPartConsts.MaxPartNoLength)]
		public virtual string PartNo { get; set; }
		[StringLength(MstLgwEciPartConsts.MaxSupplierNoLength)]
		public virtual string SupplierNo { get; set; }
		[StringLength(MstLgwEciPartConsts.MaxModuleNoEciLength)]
		public virtual string ModuleNoEci { get; set; }
		[StringLength(MstLgwEciPartConsts.MaxPartNoEciLength)]
		public virtual string PartNoEci { get; set; }
		[StringLength(MstLgwEciPartConsts.MaxSupplierNoEciLength)]
		public virtual string SupplierNoEci { get; set; }
		[StringLength(MstLgwEciPartConsts.MaxStartEciSeqLength)]
		public virtual string StartEciSeq { get; set; }
		[StringLength(MstLgwEciPartConsts.MaxStartEciRenbanLength)]
		public virtual string StartEciRenban { get; set; }
		[StringLength(MstLgwEciPartConsts.MaxStartEciModuleLength)]
		public virtual string StartEciModule { get; set; }
		[StringLength(MstLgwEciPartConsts.MaxIsActiveLength)]
		public virtual string IsActive { get; set; }
	}
	public class GetMstLgwEciPartInput : PagedAndSortedResultRequestDto	
	{
		public virtual string ModuleNo { get; set; }
		public virtual string PartNo { get; set; }
		public virtual string SupplierNo { get; set; }
		public virtual string ModuleNoEci { get; set; }
		public virtual string PartNoEci { get; set; }
		public virtual string SupplierNoEci { get; set; }
		public virtual string StartEciSeq { get; set; }
		public virtual string StartEciRenban { get; set; }
		public virtual string StartEciModule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MstLgwEciPartExportInput{
		public virtual string ModuleNo { get; set; }
		public virtual string PartNo { get; set; }
		public virtual string SupplierNo { get; set; }
		public virtual string ModuleNoEci { get; set; }
		public virtual string PartNoEci { get; set; }
		public virtual string SupplierNoEci { get; set; }
		public virtual string StartEciSeq { get; set; }
		public virtual string StartEciRenban { get; set; }
		public virtual string StartEciModule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IMstLgwEciPartAppService : IApplicationService
	{
		Task&lt;PagedResultDto&lt;MstLgwEciPartDto&gt;&gt; GetAll(GetMstLgwEciPartInput input);
		Task CreateOrEdit(CreateOrEditMstLgwEciPartDto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IMstLgwEciPartExcelExporter : IApplicationService
	{
		FileDto ExportToFile(List&lt;MstLgwEciPartDto&gt; mstlgwecipart);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MstLgwEciPartExcelExporter : NpoiExcelExporterBase, IMstLgwEciPartExcelExporter
    {
        public MstLgwEciPartExcelExporter(ITempFileCacheManager tempFileCacheManager) : base(tempFileCacheManager) { }
        public FileDto ExportToFile(List&lt;MstLgwEciPartDto&gt; ecipart)
        {
            return CreateExcelPackage(
				"MasterLogWEciPart.xlsx",
				excelPackage =&gt;
				 {
					var sheet = excelPackage.CreateSheet("EciPart");
					AddHeader(
								sheet,
								("ModuleNo"),
								("PartNo"),
								("SupplierNo"),
								("ModuleNoEci"),
								("PartNoEci"),
								("SupplierNoEci"),
								("StartEciSeq"),
								("StartEciRenban"),
								("StartEciModule"),
								("IsActive"),
							   );
					AddObjects(
						 sheet, 1, ecipart,                                       
								_ =&gt; _.ModuleNo,
								_ =&gt; _.PartNo,
								_ =&gt; _.SupplierNo,
								_ =&gt; _.ModuleNoEci,
								_ =&gt; _.PartNoEci,
								_ =&gt; _.SupplierNoEci,
								_ =&gt; _.StartEciSeq,
								_ =&gt; _.StartEciRenban,
								_ =&gt; _.StartEciModule,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[AbpAuthorize(AppPermissions.Pages_Master_LogW_EciPart)]
    public class MstLgwEciPartAppService : vovinaAppServiceBase, IMstLgwEciPartAppService
    {
        private readonly IDapperRepository&lt;MstLgwEciPart, long&gt; _dapperRepo;
        private readonly IRepository&lt;MstLgwEciPart, long&gt; _repo;
        private readonly IMstLgwEciPartExcelExporter _calendarListExcelExporter;
        public MstLgwEciPartAppService(IRepository&lt;MstLgwEciPart,long&gt; repo, 
                                         IDapperRepository&lt;MstLgwEciPart,long&gt; dapperRepo,
                                        IMstLgwEciPartExcelExporter calendarListExcelExporter
            )
        {
            _repo = repo;
            _dapperRepo = dapperRepo;
            _calendarListExcelExporter = calendarListExcelExporter;
        }
        [AbpAuthorize(AppPermissions.Pages_Master_LogW_EciPart_CreateEdit)]
        public async Task CreateOrEdit(CreateOrEditMstLgwEciPartDto input)
        {
            if (input.Id == null) await Create(input);
            else await Update(input);
        }
        //CREATE
        private async Task Create(CreateOrEditMstLgwEciPartDto input)
        {          
            var mainObj = ObjectMapper.Map&lt;MstLgwEciPart&gt;(input);
            await CurrentUnitOfWork.GetDbContext&lt;vovinaDbContext&gt;().AddAsync(mainObj);
        }
        // EDIT
        private async Task Update(CreateOrEditMstLgwEciPartDto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[AbpAuthorize(AppPermissions.Pages_Master_LogW_EciPart_Delete)]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Task&lt;PagedResultDto&lt;MstLgwEciPartDto&gt;&gt; GetAll(GetMstLgwEciPartInput input)
        {
            var filtered = _repo.GetAll()
				.WhereIf(!string.IsNullOrWhiteSpace(input.ModuleNo), e =&gt; e.ModuleNo.Contains(input.ModuleNo))
				.WhereIf(!string.IsNullOrWhiteSpace(input.PartNo), e =&gt; e.PartNo.Contains(input.PartNo))
				.WhereIf(!string.IsNullOrWhiteSpace(input.SupplierNo), e =&gt; e.SupplierNo.Contains(input.SupplierNo))
				.WhereIf(!string.IsNullOrWhiteSpace(input.ModuleNoEci), e =&gt; e.ModuleNoEci.Contains(input.ModuleNoEci))
				.WhereIf(!string.IsNullOrWhiteSpace(input.PartNoEci), e =&gt; e.PartNoEci.Contains(input.PartNoEci))
				.WhereIf(!string.IsNullOrWhiteSpace(input.SupplierNoEci), e =&gt; e.SupplierNoEci.Contains(input.SupplierNoEci))
				.WhereIf(!string.IsNullOrWhiteSpace(input.StartEciSeq), e =&gt; e.StartEciSeq.Contains(input.StartEciSeq))
				.WhereIf(!string.IsNullOrWhiteSpace(input.StartEciRenban), e =&gt; e.StartEciRenban.Contains(input.StartEciRenban))
				.WhereIf(!string.IsNullOrWhiteSpace(input.StartEciModule), e =&gt; e.StartEciModule.Contains(input.StartEciModule))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MstLgwEciPartDto
                        {
							Id = o.Id,
							ModuleNo = o.ModuleNo,
							PartNo = o.PartNo,
							SupplierNo = o.SupplierNo,
							ModuleNoEci = o.ModuleNoEci,
							PartNoEci = o.PartNoEci,
							SupplierNoEci = o.SupplierNoEci,
							StartEciSeq = o.StartEciSeq,
							StartEciRenban = o.StartEciRenban,
							StartEciModule = o.StartEciModule,
							IsActive = o.IsActive,
                        };
            var totalCount = await filtered.CountAsync();
			var paged = system.PageBy(input);
            return new PagedResultDto&lt;MstLgwEciPartDto&gt;(
                totalCount,
                 await paged.ToListAsync()
            );
        }
        public async Task&lt;FileDto&gt; GetEciPartToExcel(MstLgwEciPartExportInput input)
        {
            var query = from o in _repo.GetAll()
                        select new MstLgwEciPartDto
                        {
							Id = o.Id,
							ModuleNo = o.ModuleNo,
							PartNo = o.PartNo,
							SupplierNo = o.SupplierNo,
							ModuleNoEci = o.ModuleNoEci,
							PartNoEci = o.PartNoEci,
							SupplierNoEci = o.SupplierNoEci,
							StartEciSeq = o.StartEciSeq,
							StartEciRenban = o.StartEciRenban,
							StartEciModule = o.StartEciModule,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_dapperRepo.ExecuteAsync(MstLgwEciPartConsts.SP_MST_WPT_CALENDAR_GENERATE);
       // }
    }
}</v>
      </c>
      <c r="N47" s="62" t="str">
        <f>A.Backend!U7</f>
        <v xml:space="preserve">  configuration.CreateMap&lt;MstLgwEciPartDto, MstLgwEciPart&gt;();
  configuration.CreateMap&lt;MstLgwEciPart, MstLgwEciPartDto&gt;();
  configuration.CreateMap&lt;CreateOrEditMstLgwEciPartDto, MstLgwEciPart&gt;();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ecipart</v>
      </c>
      <c r="C52" s="72" t="str">
        <f>"create folder " &amp;B52</f>
        <v>create folder ecipart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ecipart.component.ts</v>
      </c>
      <c r="D53" s="31" t="str">
        <f>B.Frontend!I14</f>
        <v>ecipart.component.html</v>
      </c>
      <c r="E53" s="31" t="str">
        <f>B.Frontend!J14</f>
        <v>ecipart.component.less</v>
      </c>
      <c r="F53" s="31" t="str">
        <f>B.Frontend!K14</f>
        <v>create-or-edit-ecipart-modal.component.html</v>
      </c>
      <c r="G53" s="31" t="str">
        <f>B.Frontend!L14</f>
        <v>create-or-edit-ecipart-modal.component.ts</v>
      </c>
      <c r="H53" s="31" t="str">
        <f>B.Frontend!M14</f>
        <v>create-or-edit-ecipart-modal.component.less</v>
      </c>
      <c r="I53" s="31" t="str">
        <f>B.Frontend!N14</f>
        <v>ecipart.module.ts</v>
      </c>
      <c r="J53" s="31" t="str">
        <f>B.Frontend!O14</f>
        <v>ecipart-routing.module.ts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MstLgwEciPartDto, MstLgwEciPartServiceProxy } from '@shared/service-proxies/service-proxies';
import { finalize } from 'rxjs/internal/operators/finalize';
import { CreateOrEditEciPartModalComponent } from './create-or-edit-ecipart-modal.component';
import { DatePipe } from '@angular/common';
import { FileDownloadService } from '@shared/utils/file-download.service';
import ceil from 'lodash-es/ceil';
import { Paginator } from 'primeng/paginator';
@Component({
    templateUrl: './ecipart.component.html',
    styleUrls: ['./ecipart.component.less'],
})
export class EciPartComponent extends AppComponentBase implements OnInit {
    @ViewChild('createOrEditModalEciPart', { static: true }) createOrEditModalEciPart:| CreateOrEditEciPartModalComponent|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MstLgwEciPartDto = new MstLgwEciPartDto();
    saveSelectedRow: MstLgwEciPartDto = new MstLgwEciPartDto();
    datas: MstLgwEciPartDto = new MstLgwEciPartDto();
    isLoading: boolean = false;
    dataParams: GridParams | undefined;
    rowData: any[] = [];
    gridApi!: GridApi;
    rowSelection = 'multiple';
    filter: string = '';
	pipe = new DatePipe('en-US');
	frameworkComponents: FrameworkComponent;
    moduleNo : string = '' ; 
	partNo : string = '' ; 
	supplierNo : string = '' ; 
	moduleNoEci : string = '' ; 
	partNoEci : string = '' ; 
supplierNoEci : string = '' ; 
	startEciSeq : string = '' ; 
	startEciRenban : string = '' ; 
	startEciModule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MstLgwEciPartServiceProxy,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this.l('Module No'),headerTooltip: this.l('Module No'),field: 'moduleNo',flex: 1},
			{headerName: this.l('Part No'),headerTooltip: this.l('Part No'),field: 'partNo',flex: 1},
			{headerName: this.l('Supplier No'),headerTooltip: this.l('Supplier No'),field: 'supplierNo',flex: 1},
			{headerName: this.l('Module No Eci'),headerTooltip: this.l('Module No Eci'),field: 'moduleNoEci',flex: 1},
			{headerName: this.l('Part No Eci'),headerTooltip: this.l('Part No Eci'),field: 'partNoEci',flex: 1},
			{headerName: this.l('Supplier No Eci'),headerTooltip: this.l('Supplier No Eci'),field: 'supplierNoEci',flex: 1},
			{headerName: this.l('Start Eci Seq'),headerTooltip: this.l('Start Eci Seq'),field: 'startEciSeq',flex: 1},
			{headerName: this.l('Start Eci Renban'),headerTooltip: this.l('Start Eci Renban'),field: 'startEciRenban',flex: 1},
			{headerName: this.l('Start Eci Module'),headerTooltip: this.l('Start Eci Module'),field: 'startEciModule',flex: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this.moduleNo,
			this.partNo,
			this.supplierNo,
			this.moduleNoEci,
			this.partNoEci,
			this.supplierNoEci,
			this.startEciSeq,
			this.startEciRenban,
			this.startEciModule,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this.moduleNo = '',
		this.partNo = '',
		this.supplierNo = '',
		this.moduleNoEci = '',
		this.partNoEci = '',
this.supplierNoEci = '',
		this.startEciSeq = '',
		this.startEciRenban = '',
		this.startEciModule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this.moduleNo,
			this.partNo,
			this.supplierNo,
			this.moduleNoEci,
			this.partNoEci,
			this.supplierNoEci,
			this.startEciSeq,
			this.startEciRenban,
			this.startEciModule,
			this.isActive,
			'',
            this.paginationParams.skipCount,
            this.paginationParams.pageSize
        );
    }
    onChangeRowSelection(params: { api: { getSelectedRows: () =&gt; MstLgwEciPartDto[] } }) {
        this.saveSelectedRow = params.api.getSelectedRows()[0] ?? new MstLgwEciPartDto();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MstLgwEciPartDto):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this._service.getEciPartToExcel(
			this.moduleNo,
			this.partNo,
			this.supplierNo,
			this.moduleNoEci,
			this.partNoEci,
			this.supplierNoEci,
			this.startEciSeq,
			this.startEciRenban,
			this.startEciModule,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Eci Part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[(ngModel)]='moduleNoEci' name='moduleNoEci'
									class='form-control' [placeholder]="l('Module No Eci')"
									type='text' (keyup.enter)='searchDatas()'&gt;
								&lt;/div&gt;
								&lt;div class='input-search'&gt;
									&lt;input [(ngModel)]='partNoEci' name='partNoEci'
									class='form-control' [placeholder]="l('Part No Eci')"
									type='text' (keyup.enter)='searchDatas()'&gt;
								&lt;/div&gt;
								&lt;div class='input-search'&gt;
									&lt;input [(ngModel)]='supplierNoEci' name='supplierNoEci'
									class='form-control' [placeholder]="l('Supplier No Eci')"
									type='text' (keyup.enter)='searchDatas()'&gt;
								&lt;/div&gt;
								&lt;div class='input-search'&gt;
									&lt;input [(ngModel)]='startEciSeq' name='startEciSeq'
									class='form-control' [placeholder]="l('Start Eci Seq')"
									type='text' (keyup.enter)='searchDatas()'&gt;
								&lt;/div&gt;
								&lt;div class='input-search'&gt;
									&lt;input [(ngModel)]='startEciRenban' name='startEciRenban'
									class='form-control' [placeholder]="l('Start Eci Renban')"
									type='text' (keyup.enter)='searchDatas()'&gt;
								&lt;/div&gt;
								&lt;div class='input-search'&gt;
									&lt;input [(ngModel)]='startEciModule' name='startEciModule'
									class='form-control' [placeholder]="l('Start Eci Module')"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(click)="createOrEditModalEciPart.show()"&gt;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(click)="createOrEditModalEciPart.show(selectedRow)"&gt;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&lt;create-or-edit-ecipart-modal
    #createOrEditModalEciPart
    (modalSave)="callBackDataGrid(dataParams)"
    (modalClose)="onChangeRowSelection(dataParams)"
&gt;
&lt;/create-or-edit-ecipart-modal&gt;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#createOrEditModalEciPart="bs-modal"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EciPart')}}&lt;/h3&gt;
                    &lt;h3 *ngIf="!rowdata.id"&gt;{{('Create New EciPart')}}&lt;/h3&gt;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title'&gt;Module No Eci&lt;/label&gt;
						&lt;input type='text' class='col-md-10 form-control input-text' name='ModuleNoEci' [(ngModel)]='rowdata.moduleNoEci'&gt;
					&lt;/div&gt;
					&lt;div class='col-md-12 form-group row'&gt;
						&lt;label class='col-md-2 form-control title'&gt;Part No Eci&lt;/label&gt;
						&lt;input type='text' class='col-md-10 form-control input-text' name='PartNoEci' [(ngModel)]='rowdata.partNoEci'&gt;
					&lt;/div&gt;
					&lt;div class='col-md-12 form-group row'&gt;
						&lt;label class='col-md-2 form-control title'&gt;Supplier No Eci&lt;/label&gt;
						&lt;input type='text' class='col-md-10 form-control input-text' name='SupplierNoEci' [(ngModel)]='rowdata.supplierNoEci'&gt;
					&lt;/div&gt;
					&lt;div class='col-md-12 form-group row'&gt;
						&lt;label class='col-md-2 form-control title'&gt;Start Eci Seq&lt;/label&gt;
						&lt;input type='text' class='col-md-10 form-control input-text' name='StartEciSeq' [(ngModel)]='rowdata.startEciSeq'&gt;
					&lt;/div&gt;
					&lt;div class='col-md-12 form-group row'&gt;
						&lt;label class='col-md-2 form-control title'&gt;Start Eci Renban&lt;/label&gt;
						&lt;input type='text' class='col-md-10 form-control input-text' name='StartEciRenban' [(ngModel)]='rowdata.startEciRenban'&gt;
					&lt;/div&gt;
					&lt;div class='col-md-12 form-group row'&gt;
						&lt;label class='col-md-2 form-control title'&gt;Start Eci Module&lt;/label&gt;
						&lt;input type='text' class='col-md-10 form-control input-text' name='StartEciModule' [(ngModel)]='rowdata.startEciModule'&gt;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CreateOrEditMstLgwEciPartDto, MstLgwEciPartServiceProxy } from '@shared/service-proxies/service-proxies';
import { BsDatepickerDirective } from 'ngx-bootstrap/datepicker';
@Component({
    selector: 'create-or-edit-ecipart-modal',
    templateUrl: './create-or-edit-ecipart-modal.component.html',
    styleUrls: ['./create-or-edit-ecipart-modal.component.less']
    })
export class CreateOrEditEciPartModalComponent extends AppComponentBase {
    @ViewChild('createOrEditModalEciPart',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CreateOrEditMstLgwEciPartDto = new CreateOrEditMstLgwEciPartDto();
    active: boolean = false;
    saving: boolean = false;
    _isActive: boolean;
    constructor(
        injector: Injector,
        private _mstwptEciPartService: MstLgwEciPartServiceProxy,
    ) 
    {
        super(injector);
    }
    show(rowdata?: CreateOrEditMstLgwEciPartDto): void {
        if (!rowdata) this.rowdata = new CreateOrEditMstLgwEciPartDto();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this._mstwptEciPartService.createOrEdit(this.rowdata)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EciPartRoutingModule } from './ecipart-routing.module';
import { EciPartComponent } from './ecipart.component';
import { CreateOrEditEciPartModalComponent } from './create-or-edit-ecipart-modal.component';
@NgModule({
    declarations: [
       EciPartComponent, 
        CreateOrEditEciPartModalComponent
    ],
    imports: [
        AppSharedModule, EciPartRoutingModule]
})
export class EciPartModule {}</v>
      </c>
      <c r="J54" s="49" t="str">
        <f>B.Frontend!O10</f>
        <v>import {NgModule} from '@angular/core';
import {RouterModule, Routes} from '@angular/router';
import { EciPartComponent } from './ecipart.component';
const routes: Routes = [{
    path: '',
    component: EciPartComponent,
    pathMatch: 'full'
}];
@NgModule({
    imports: [RouterModule.forChild(routes)],
    exports: [RouterModule],
})
export class EciPartRoutingModule {}</v>
      </c>
      <c r="K54" s="49" t="str">
        <f>B.Frontend!P10</f>
        <v xml:space="preserve"> new AppMenuItem("EciPart", "Pages.Master.LogW.EciPart", "flaticon-book",   "/app/main/master/logw/ecipart"),</v>
      </c>
      <c r="L54" s="50" t="str">
        <f>B.Frontend!Q10</f>
        <v>{
    path: 'master/logw/ecipart',
    loadChildren: () =&gt; import('./master/logw/ecipart/ecipart.module').then(m =&gt; m.EciPartModule),
    data: { permission: 'Pages.Master.LogW.EciPart' }
},</v>
      </c>
      <c r="M54" s="48" t="str">
        <f>B.Frontend!R10</f>
        <v>ApiServiceProxies.MstLgwEciPartServiceProxy,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0"/>
  <sheetViews>
    <sheetView tabSelected="1" workbookViewId="0">
      <pane xSplit="1" topLeftCell="B1" activePane="topRight" state="frozen"/>
      <selection pane="topRight" activeCell="C15" sqref="C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314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315</v>
      </c>
      <c r="C3" s="10" t="s">
        <v>43</v>
      </c>
      <c r="D3" s="10" t="s">
        <v>44</v>
      </c>
      <c r="E3" s="10" t="s">
        <v>39</v>
      </c>
      <c r="F3" s="11" t="str">
        <f>"J"&amp;COUNTA($A:$A)</f>
        <v>J18</v>
      </c>
      <c r="G3" s="4" t="s">
        <v>57</v>
      </c>
      <c r="H3" s="10" t="str">
        <f>"I"&amp;COUNTA($A:$A)</f>
        <v>I18</v>
      </c>
      <c r="I3" s="10" t="str">
        <f>REPT(CHAR(9),2)&amp;"[Required]"&amp;"
"</f>
        <v xml:space="preserve">		[Required]
</v>
      </c>
      <c r="J3" s="11" t="str">
        <f>"L"&amp;COUNTA($A:$A)</f>
        <v>L18</v>
      </c>
      <c r="K3" s="5" t="s">
        <v>56</v>
      </c>
      <c r="L3" s="11" t="str">
        <f>"M"&amp;COUNTA($A:$A)</f>
        <v>M18</v>
      </c>
      <c r="M3" s="11" t="str">
        <f>"N"&amp;COUNTA($A:$A)</f>
        <v>N18</v>
      </c>
      <c r="N3" s="11" t="str">
        <f>"O"&amp;COUNTA($A:$A)</f>
        <v>O18</v>
      </c>
      <c r="O3" s="11" t="str">
        <f>"P"&amp;COUNTA($A:$A)</f>
        <v>P18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MstLgwEciPartExportInput{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T18</v>
      </c>
      <c r="V3" s="11" t="str">
        <f>"V"&amp;COUNTA($A:$A)</f>
        <v>V18</v>
      </c>
      <c r="W3" s="10" t="str">
        <f>"W"&amp;COUNTA($A:$A)</f>
        <v>W18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MstLgwEciPart: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MstLgwEciPartConsts	
	{
</v>
      </c>
      <c r="F6" s="11" t="str">
        <f>REPT(CHAR(9),1)&amp;"public class "&amp;B3&amp;"Dto"&amp;K3&amp;REPT(CHAR(9),1)&amp;"
"&amp;REPT(CHAR(9),1)&amp;C3</f>
        <v xml:space="preserve">	public class MstLgwEciPartDto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CreateOrEditMstLgwEciPartDto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GetMstLgwEciPartInput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MstLgwEciPart</v>
      </c>
      <c r="C7" s="11" t="str">
        <f>REPT(CHAR(9),1)&amp;"[Table("""&amp;B7&amp;""")]"&amp;"
"</f>
        <v xml:space="preserve">	[Table("MstLgwEciPart")]
</v>
      </c>
      <c r="D7" s="11"/>
      <c r="E7" s="11"/>
      <c r="F7" s="11"/>
      <c r="G7" s="11"/>
      <c r="H7" s="11"/>
      <c r="I7" s="11"/>
      <c r="J7" s="6" t="str">
        <f ca="1">SUBSTITUTE(SUBSTITUTE((B1&amp;C6&amp;C7&amp;K20&amp;D6&amp;I20&amp;E3&amp;J20&amp;""&amp;REPT(CHAR(9),1)&amp;D3&amp;D3),"WorkingPattern",$Q$3),"Master",$B$4)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[Table("MstLgwEciPart")]
	[Index(nameof(ModuleNo), Name="IX_MstLgwEciPart_ModuleNo")]
	[Index(nameof(PartNo), Name="IX_MstLgwEciPart_PartNo")]
	[Index(nameof(SupplierNo), Name="IX_MstLgwEciPart_SupplierNo")]
	[Index(nameof(IsActive), Name="IX_MstLgwEciPart_IsActive")]	public class MstLgwEciPart: FullAuditedEntity&lt;long&gt;, IEntity&lt;long&gt;	
	{
		public const int MaxModuleNoLength = 10;
		public const int MaxPartNoLength = 20;
		public const int MaxSupplierNoLength = 10;
		public const int MaxModuleNoEciLength = 10;
		public const int MaxPartNoEciLength = 20;
		public const int MaxSupplierNoEciLength = 10;
		public const int MaxStartEciSeqLength = 20;
		public const int MaxStartEciRenbanLength = 20;
		public const int MaxStartEciModuleLength = 20;
		public const int MaxIsActiveLength = 1;
		[StringLength(MaxModuleNoLength)]
		public virtual string ModuleNo { get; set; }
		[StringLength(MaxPartNoLength)]
		public virtual string PartNo { get; set; }
		[StringLength(MaxSupplierNoLength)]
		public virtual string SupplierNo { get; set; }
		[StringLength(MaxModuleNoEciLength)]
		public virtual string ModuleNoEci { get; set; }
		[StringLength(MaxPartNoEciLength)]
		public virtual string PartNoEci { get; set; }
		[StringLength(MaxSupplierNoEciLength)]
		public virtual string SupplierNoEci { get; set; }
		[StringLength(MaxStartEciSeqLength)]
		public virtual string StartEciSeq { get; set; }
		[StringLength(MaxStartEciRenbanLength)]
		public virtual string StartEciRenban { get; set; }
		[StringLength(MaxStartEciModuleLength)]
		public virtual string StartEciModule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DbSet&lt;MstLgwEciPart&gt; MstLgwEciParts { get; set; }</v>
      </c>
      <c r="L7" t="str">
        <f ca="1">SUBSTITUTE(SUBSTITUTE((C6&amp;E6&amp;I20&amp;"
"&amp;REPT(CHAR(9),2)&amp;"// Define Store Name: Format SP_ + &lt;Store Name&gt; = &lt;Store Name&gt;
"&amp;E3&amp;REPT(CHAR(9),1)&amp;D3&amp;D3),"WorkingPattern",$Q$3),"Master",$B$4)</f>
        <v xml:space="preserve">namespace vovina.Master.LogW
{
	public class MstLgwEciPartConsts	
	{
		public const int MaxModuleNoLength = 10;
		public const int MaxPartNoLength = 20;
		public const int MaxSupplierNoLength = 10;
		public const int MaxModuleNoEciLength = 10;
		public const int MaxPartNoEciLength = 20;
		public const int MaxSupplierNoEciLength = 10;
		public const int MaxStartEciSeqLength = 20;
		public const int MaxStartEciRenbanLength = 20;
		public const int MaxStartEciModuleLength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"&amp;B6&amp;".Dto"&amp;E3&amp;C3&amp;F6&amp;M20&amp;E3&amp;REPT(CHAR(9),1)&amp;D3&amp;G6&amp;N20&amp;REPT(CHAR(9),1)&amp;D3&amp;H6&amp;O20&amp;"
"&amp;REPT(CHAR(9),1)&amp;D3&amp;D3),"WorkingPattern",$Q$3),"Master",$B$4)</f>
        <v xml:space="preserve">using Abp.Application.Services.Dto;
using System;
using System.ComponentModel.DataAnnotations;
namespace vovina.Master.LogW.Dto
{
	public class MstLgwEciPartDto : EntityDto&lt;long?&gt;	
	{
		public virtual string ModuleNo { get; set; }
		public virtual string PartNo { get; set; }
		public virtual string SupplierNo { get; set; }
		public virtual string ModuleNoEci { get; set; }
		public virtual string PartNoEci { get; set; }
		public virtual string SupplierNoEci { get; set; }
		public virtual string StartEciSeq { get; set; }
		public virtual string StartEciRenban { get; set; }
		public virtual string StartEciModule { get; set; }
		public virtual string IsActive { get; set; }
	}
	public class CreateOrEditMstLgwEciPartDto : EntityDto&lt;long?&gt;	
	{
		[StringLength(MstLgwEciPartConsts.MaxModuleNoLength)]
		public virtual string ModuleNo { get; set; }
		[StringLength(MstLgwEciPartConsts.MaxPartNoLength)]
		public virtual string PartNo { get; set; }
		[StringLength(MstLgwEciPartConsts.MaxSupplierNoLength)]
		public virtual string SupplierNo { get; set; }
		[StringLength(MstLgwEciPartConsts.MaxModuleNoEciLength)]
		public virtual string ModuleNoEci { get; set; }
		[StringLength(MstLgwEciPartConsts.MaxPartNoEciLength)]
		public virtual string PartNoEci { get; set; }
		[StringLength(MstLgwEciPartConsts.MaxSupplierNoEciLength)]
		public virtual string SupplierNoEci { get; set; }
		[StringLength(MstLgwEciPartConsts.MaxStartEciSeqLength)]
		public virtual string StartEciSeq { get; set; }
		[StringLength(MstLgwEciPartConsts.MaxStartEciRenbanLength)]
		public virtual string StartEciRenban { get; set; }
		[StringLength(MstLgwEciPartConsts.MaxStartEciModuleLength)]
		public virtual string StartEciModule { get; set; }
		[StringLength(MstLgwEciPartConsts.MaxIsActiveLength)]
		public virtual string IsActive { get; set; }
	}
	public class GetMstLgwEciPartInput : PagedAndSortedResultRequestDto	
	{
		public virtual string ModuleNo { get; set; }
		public virtual string PartNo { get; set; }
		public virtual string SupplierNo { get; set; }
		public virtual string ModuleNoEci { get; set; }
		public virtual string PartNoEci { get; set; }
		public virtual string SupplierNoEci { get; set; }
		public virtual string StartEciSeq { get; set; }
		public virtual string StartEciRenban { get; set; }
		public virtual string StartEciModule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perMstLgwEciPart = PARENTS.CreateChildPermission(AppPermissions.Pages_Master_LogW_EciPart, L( "MasterLogWEciPart"));
		perMstLgwEciPart.CreateChildPermission(AppPermissions.Pages_Master_LogW_EciPart_CreateEdit, L( "MasterLogWEciPartCreateEdit"));
		perMstLgwEciPart.CreateChildPermission(AppPermissions.Pages_Master_LogW_EciPart_Delete, L( "MasterLogWEciPartDelete"));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Pages_Master_LogW_EciPart = "Pages.Master.LogW.EciPart";
		public const string Pages_Master_LogW_EciPart_CreateEdit = "Pages.Master.LogW.EciPart.CreateEdit";
		public const string Pages_Master_LogW_EciPart_Delete = "Pages.Master.LogW.EciPart.Delete";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IMstLgwEciPartAppService : IApplicationService
	{
		Task&lt;PagedResultDto&lt;MstLgwEciPartDto&gt;&gt; GetAll(GetMstLgwEciPartInput input);
		Task CreateOrEdit(CreateOrEditMstLgwEciPartDto input);
		Task Delete(EntityDto input);
	}
}
</v>
      </c>
      <c r="Q7" t="str">
        <f ca="1">SUBSTITUTE(SUBSTITUTE(SUBSTITUTE(SUBSTITUTE(SUBSTITUTE(SUBSTITUTE(E1,"MstWptCalendar",$B$3),"&lt;PROPERTIES&gt;",P20),"Calendar",$B$5),"WorkingPattern",$Q$3),"Master",$B$4),"&lt;PARAMS_SEARCH&gt;",$W$20)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[AbpAuthorize(AppPermissions.Pages_Master_LogW_EciPart)]
    public class MstLgwEciPartAppService : vovinaAppServiceBase, IMstLgwEciPartAppService
    {
        private readonly IDapperRepository&lt;MstLgwEciPart, long&gt; _dapperRepo;
        private readonly IRepository&lt;MstLgwEciPart, long&gt; _repo;
        private readonly IMstLgwEciPartExcelExporter _calendarListExcelExporter;
        public MstLgwEciPartAppService(IRepository&lt;MstLgwEciPart,long&gt; repo, 
                                         IDapperRepository&lt;MstLgwEciPart,long&gt; dapperRepo,
                                        IMstLgwEciPartExcelExporter calendarListExcelExporter
            )
        {
            _repo = repo;
            _dapperRepo = dapperRepo;
            _calendarListExcelExporter = calendarListExcelExporter;
        }
        [AbpAuthorize(AppPermissions.Pages_Master_LogW_EciPart_CreateEdit)]
        public async Task CreateOrEdit(CreateOrEditMstLgwEciPartDto input)
        {
            if (input.Id == null) await Create(input);
            else await Update(input);
        }
        //CREATE
        private async Task Create(CreateOrEditMstLgwEciPartDto input)
        {          
            var mainObj = ObjectMapper.Map&lt;MstLgwEciPart&gt;(input);
            await CurrentUnitOfWork.GetDbContext&lt;vovinaDbContext&gt;().AddAsync(mainObj);
        }
        // EDIT
        private async Task Update(CreateOrEditMstLgwEciPartDto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[AbpAuthorize(AppPermissions.Pages_Master_LogW_EciPart_Delete)]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Task&lt;PagedResultDto&lt;MstLgwEciPartDto&gt;&gt; GetAll(GetMstLgwEciPartInput input)
        {
            var filtered = _repo.GetAll()
				.WhereIf(!string.IsNullOrWhiteSpace(input.ModuleNo), e =&gt; e.ModuleNo.Contains(input.ModuleNo))
				.WhereIf(!string.IsNullOrWhiteSpace(input.PartNo), e =&gt; e.PartNo.Contains(input.PartNo))
				.WhereIf(!string.IsNullOrWhiteSpace(input.SupplierNo), e =&gt; e.SupplierNo.Contains(input.SupplierNo))
				.WhereIf(!string.IsNullOrWhiteSpace(input.ModuleNoEci), e =&gt; e.ModuleNoEci.Contains(input.ModuleNoEci))
				.WhereIf(!string.IsNullOrWhiteSpace(input.PartNoEci), e =&gt; e.PartNoEci.Contains(input.PartNoEci))
				.WhereIf(!string.IsNullOrWhiteSpace(input.SupplierNoEci), e =&gt; e.SupplierNoEci.Contains(input.SupplierNoEci))
				.WhereIf(!string.IsNullOrWhiteSpace(input.StartEciSeq), e =&gt; e.StartEciSeq.Contains(input.StartEciSeq))
				.WhereIf(!string.IsNullOrWhiteSpace(input.StartEciRenban), e =&gt; e.StartEciRenban.Contains(input.StartEciRenban))
				.WhereIf(!string.IsNullOrWhiteSpace(input.StartEciModule), e =&gt; e.StartEciModule.Contains(input.StartEciModule))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MstLgwEciPartDto
                        {
							Id = o.Id,
							ModuleNo = o.ModuleNo,
							PartNo = o.PartNo,
							SupplierNo = o.SupplierNo,
							ModuleNoEci = o.ModuleNoEci,
							PartNoEci = o.PartNoEci,
							SupplierNoEci = o.SupplierNoEci,
							StartEciSeq = o.StartEciSeq,
							StartEciRenban = o.StartEciRenban,
							StartEciModule = o.StartEciModule,
							IsActive = o.IsActive,
                        };
            var totalCount = await filtered.CountAsync();
			var paged = system.PageBy(input);
            return new PagedResultDto&lt;MstLgwEciPartDto&gt;(
                totalCount,
                 await paged.ToListAsync()
            );
        }
        public async Task&lt;FileDto&gt; GetEciPartToExcel(MstLgwEciPartExportInput input)
        {
            var query = from o in _repo.GetAll()
                        select new MstLgwEciPartDto
                        {
							Id = o.Id,
							ModuleNo = o.ModuleNo,
							PartNo = o.PartNo,
							SupplierNo = o.SupplierNo,
							ModuleNoEci = o.ModuleNoEci,
							PartNoEci = o.PartNoEci,
							SupplierNoEci = o.SupplierNoEci,
							StartEciSeq = o.StartEciSeq,
							StartEciRenban = o.StartEciRenban,
							StartEciModule = o.StartEciModule,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_dapperRepo.ExecuteAsync(MstLgwEciPartConsts.SP_MST_WPT_CALENDAR_GENERATE);
       // }
    }
}</v>
      </c>
      <c r="R7" t="str">
        <f ca="1">SUBSTITUTE(SUBSTITUTE((C1&amp;"namespace "&amp;B6&amp;".Dto"&amp;E3&amp;C3&amp;R3&amp;M20&amp;E3&amp;REPT(CHAR(9),1)&amp;D3&amp;D3),"WorkingPattern",$Q$3),"Master",$B$4)</f>
        <v xml:space="preserve">using Abp.Application.Services.Dto;
using System;
using System.ComponentModel.DataAnnotations;
namespace vovina.Master.LogW.Dto
{
	public class MstLgwEciPartExportInput{
		public virtual string ModuleNo { get; set; }
		public virtual string PartNo { get; set; }
		public virtual string SupplierNo { get; set; }
		public virtual string ModuleNoEci { get; set; }
		public virtual string PartNoEci { get; set; }
		public virtual string SupplierNoEci { get; set; }
		public virtual string StartEciSeq { get; set; }
		public virtual string StartEciRenban { get; set; }
		public virtual string StartEciModule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IMstLgwEciPartExcelExporter : IApplicationService
	{
		FileDto ExportToFile(List&lt;MstLgwEciPartDto&gt; mstlgwecipart);
	}
}
</v>
      </c>
      <c r="T7" s="28" t="str">
        <f ca="1">SUBSTITUTE(SUBSTITUTE(SUBSTITUTE(SUBSTITUTE(SUBSTITUTE(SUBSTITUTE(SUBSTITUTE(T1,"MstWptCalendar",$B$3),"&lt;PROPERTIES1&gt;",V20),"&lt;PROPERTIES&gt;",T20),"Calendar",$B$5),"calendar",LOWER(B5)),"WorkingPattern",$Q$3),"Master",$B$4)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MstLgwEciPartExcelExporter : NpoiExcelExporterBase, IMstLgwEciPartExcelExporter
    {
        public MstLgwEciPartExcelExporter(ITempFileCacheManager tempFileCacheManager) : base(tempFileCacheManager) { }
        public FileDto ExportToFile(List&lt;MstLgwEciPartDto&gt; ecipart)
        {
            return CreateExcelPackage(
				"MasterLogWEciPart.xlsx",
				excelPackage =&gt;
				 {
					var sheet = excelPackage.CreateSheet("EciPart");
					AddHeader(
								sheet,
								("ModuleNo"),
								("PartNo"),
								("SupplierNo"),
								("ModuleNoEci"),
								("PartNoEci"),
								("SupplierNoEci"),
								("StartEciSeq"),
								("StartEciRenban"),
								("StartEciModule"),
								("IsActive"),
							   );
					AddObjects(
						 sheet, 1, ecipart,                                       
								_ =&gt; _.ModuleNo,
								_ =&gt; _.PartNo,
								_ =&gt; _.SupplierNo,
								_ =&gt; _.ModuleNoEci,
								_ =&gt; _.PartNoEci,
								_ =&gt; _.SupplierNoEci,
								_ =&gt; _.StartEciSeq,
								_ =&gt; _.StartEciRenban,
								_ =&gt; _.StartEciModule,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configuration.CreateMap&lt;MstLgwEciPartDto, MstLgwEciPart&gt;();
  configuration.CreateMap&lt;MstLgwEciPart, MstLgwEciPartDto&gt;();
  configuration.CreateMap&lt;CreateOrEditMstLgwEciPartDto, MstLgwEciPart&gt;();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301</v>
      </c>
      <c r="B9" t="s">
        <v>302</v>
      </c>
      <c r="C9" t="s">
        <v>1</v>
      </c>
      <c r="D9" t="str">
        <f>SUBSTITUTE(PROPER(A9),"_","")</f>
        <v>ModuleNo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10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MaxModuleNoLength = 10;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[StringLength(MaxModuleNoLength)]
		public virtual string ModuleNo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[Index(nameof(ModuleNo), Name="IX_MstLgwEciPart_ModuleNo")]</v>
      </c>
      <c r="M9" t="str">
        <f>REPT(CHAR(9),2)&amp;"public virtual "&amp;IF(OR(H9="DateTime",H9="TimeSpan"),H9&amp;"?",H9)&amp;IF(C9="?","? "," ")&amp;D9&amp;" { get; set; }" &amp; "
"</f>
        <v xml:space="preserve">		public virtual string ModuleNo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[StringLength(MstLgwEciPartConsts.MaxModuleNoLength)]
		public virtual string ModuleNo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ModuleNo { get; set; }
</v>
      </c>
      <c r="P9" t="str">
        <f t="shared" ref="P9:P11" si="4">REPT(CHAR(9),7)&amp;D9&amp;" = o." &amp;D9 &amp;","</f>
        <v xml:space="preserve">							ModuleNo = o.ModuleNo,</v>
      </c>
      <c r="T9" s="69" t="str">
        <f>REPT(CHAR(9),8)&amp;"("""&amp;D9&amp;"""),"</f>
        <v xml:space="preserve">								("ModuleNo"),</v>
      </c>
      <c r="V9" s="70" t="str">
        <f>REPT(CHAR(9),8)&amp;"_ =&gt; _."&amp;D9&amp;","</f>
        <v xml:space="preserve">								_ =&gt; _.ModuleNo,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.WhereIf(!string.IsNullOrWhiteSpace(input.ModuleNo), e =&gt; e.ModuleNo.Contains(input.ModuleNo))</v>
      </c>
    </row>
    <row r="10" spans="1:23" customFormat="1" ht="21" customHeight="1" x14ac:dyDescent="0.25">
      <c r="A10" t="s">
        <v>303</v>
      </c>
      <c r="B10" t="s">
        <v>304</v>
      </c>
      <c r="C10" t="s">
        <v>1</v>
      </c>
      <c r="D10" t="str">
        <f t="shared" ref="D10:D11" si="5">SUBSTITUTE(PROPER(A10),"_","")</f>
        <v>PartNo</v>
      </c>
      <c r="E10" t="str">
        <f t="shared" si="0"/>
        <v>varchar</v>
      </c>
      <c r="F10" s="7"/>
      <c r="G10" t="str">
        <f t="shared" si="1"/>
        <v>20</v>
      </c>
      <c r="H10" t="str">
        <f>+VLOOKUP(E10,'Data Type Mapping'!A:B,2,)</f>
        <v>string</v>
      </c>
      <c r="I10" t="str">
        <f t="shared" si="2"/>
        <v xml:space="preserve">		public const int MaxPartNoLength = 20;
</v>
      </c>
      <c r="J10" t="str">
        <f t="shared" si="3"/>
        <v xml:space="preserve">		[StringLength(MaxPartNoLength)]
		public virtual string PartNo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[Index(nameof(PartNo), Name="IX_MstLgwEciPart_PartNo")]</v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string PartNo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[StringLength(MstLgwEciPartConsts.MaxPartNoLength)]
		public virtual string PartNo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string PartNo { get; set; }
</v>
      </c>
      <c r="P10" t="str">
        <f t="shared" si="4"/>
        <v xml:space="preserve">							PartNo = o.PartNo,</v>
      </c>
      <c r="T10" s="69" t="str">
        <f t="shared" ref="T10:T13" si="10">REPT(CHAR(9),8)&amp;"("""&amp;D10&amp;"""),"</f>
        <v xml:space="preserve">								("PartNo"),</v>
      </c>
      <c r="V10" s="70" t="str">
        <f t="shared" ref="V10:V13" si="11">REPT(CHAR(9),8)&amp;"_ =&gt; _."&amp;D10&amp;","</f>
        <v xml:space="preserve">								_ =&gt; _.PartNo,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.WhereIf(!string.IsNullOrWhiteSpace(input.PartNo), e =&gt; e.PartNo.Contains(input.PartNo))</v>
      </c>
    </row>
    <row r="11" spans="1:23" customFormat="1" ht="18.75" customHeight="1" x14ac:dyDescent="0.25">
      <c r="A11" t="s">
        <v>305</v>
      </c>
      <c r="B11" t="s">
        <v>302</v>
      </c>
      <c r="C11" t="s">
        <v>1</v>
      </c>
      <c r="D11" t="str">
        <f t="shared" si="5"/>
        <v>SupplierNo</v>
      </c>
      <c r="E11" t="str">
        <f t="shared" si="0"/>
        <v>varchar</v>
      </c>
      <c r="F11" s="7"/>
      <c r="G11" t="str">
        <f t="shared" si="1"/>
        <v>10</v>
      </c>
      <c r="H11" t="str">
        <f>+VLOOKUP(E11,'Data Type Mapping'!A:B,2,)</f>
        <v>string</v>
      </c>
      <c r="I11" t="str">
        <f t="shared" si="2"/>
        <v xml:space="preserve">		public const int MaxSupplierNoLength = 10;
</v>
      </c>
      <c r="J11" t="str">
        <f t="shared" si="3"/>
        <v xml:space="preserve">		[StringLength(MaxSupplierNoLength)]
		public virtual string SupplierNo { get; set; }
</v>
      </c>
      <c r="K11" s="7" t="s">
        <v>206</v>
      </c>
      <c r="L11" t="str">
        <f t="shared" si="6"/>
        <v xml:space="preserve">	[Index(nameof(SupplierNo), Name="IX_MstLgwEciPart_SupplierNo")]</v>
      </c>
      <c r="M11" t="str">
        <f t="shared" si="7"/>
        <v xml:space="preserve">		public virtual string SupplierNo { get; set; }
</v>
      </c>
      <c r="N11" t="str">
        <f t="shared" si="8"/>
        <v xml:space="preserve">		[StringLength(MstLgwEciPartConsts.MaxSupplierNoLength)]
		public virtual string SupplierNo { get; set; }
</v>
      </c>
      <c r="O11" t="str">
        <f t="shared" si="9"/>
        <v xml:space="preserve">		public virtual string SupplierNo { get; set; }
</v>
      </c>
      <c r="P11" t="str">
        <f t="shared" si="4"/>
        <v xml:space="preserve">							SupplierNo = o.SupplierNo,</v>
      </c>
      <c r="T11" s="69" t="str">
        <f t="shared" si="10"/>
        <v xml:space="preserve">								("SupplierNo"),</v>
      </c>
      <c r="V11" s="70" t="str">
        <f t="shared" si="11"/>
        <v xml:space="preserve">								_ =&gt; _.SupplierNo,</v>
      </c>
      <c r="W11" s="69" t="str">
        <f t="shared" si="12"/>
        <v xml:space="preserve">				.WhereIf(!string.IsNullOrWhiteSpace(input.SupplierNo), e =&gt; e.SupplierNo.Contains(input.SupplierNo))</v>
      </c>
    </row>
    <row r="12" spans="1:23" customFormat="1" ht="22.5" customHeight="1" x14ac:dyDescent="0.25">
      <c r="A12" t="s">
        <v>306</v>
      </c>
      <c r="B12" t="s">
        <v>302</v>
      </c>
      <c r="C12" t="s">
        <v>1</v>
      </c>
      <c r="D12" t="str">
        <f>SUBSTITUTE(PROPER(A12),"_","")</f>
        <v>ModuleNoEci</v>
      </c>
      <c r="E12" t="str">
        <f t="shared" ref="E12:E14" si="13">IFERROR(LEFT(B12, FIND("(",B12)-1),B12)</f>
        <v>varchar</v>
      </c>
      <c r="F12" s="7"/>
      <c r="G12" t="str">
        <f t="shared" ref="G12:G14" si="14">IFERROR(MID(B12,FIND("(",B12) +1, FIND(")",B12) - FIND("(",B12) - 1),"")</f>
        <v>10</v>
      </c>
      <c r="H12" t="str">
        <f>+VLOOKUP(E12,'Data Type Mapping'!A:B,2,)</f>
        <v>string</v>
      </c>
      <c r="I12" t="str">
        <f t="shared" ref="I12:I14" si="15">IF(H12="string",REPT(CHAR(9),2)&amp;"public const int Max"&amp;D12&amp;"Length = "&amp;G12&amp;";"&amp;$E$3,"" )</f>
        <v xml:space="preserve">		public const int MaxModuleNoEciLength = 10;
</v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[StringLength(MaxModuleNoEciLength)]
		public virtual string ModuleNoEci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ModuleNoEci { get; set; }
</v>
      </c>
      <c r="N12" t="str">
        <f t="shared" si="8"/>
        <v xml:space="preserve">		[StringLength(MstLgwEciPartConsts.MaxModuleNoEciLength)]
		public virtual string ModuleNoEci { get; set; }
</v>
      </c>
      <c r="O12" t="str">
        <f t="shared" si="9"/>
        <v xml:space="preserve">		public virtual string ModuleNoEci { get; set; }
</v>
      </c>
      <c r="P12" t="str">
        <f t="shared" ref="P12:P14" si="17">REPT(CHAR(9),7)&amp;D12&amp;" = o." &amp;D12 &amp;","</f>
        <v xml:space="preserve">							ModuleNoEci = o.ModuleNoEci,</v>
      </c>
      <c r="T12" s="69" t="str">
        <f t="shared" si="10"/>
        <v xml:space="preserve">								("ModuleNoEci"),</v>
      </c>
      <c r="V12" s="70" t="str">
        <f t="shared" si="11"/>
        <v xml:space="preserve">								_ =&gt; _.ModuleNoEci,</v>
      </c>
      <c r="W12" s="69" t="str">
        <f t="shared" si="12"/>
        <v xml:space="preserve">				.WhereIf(!string.IsNullOrWhiteSpace(input.ModuleNoEci), e =&gt; e.ModuleNoEci.Contains(input.ModuleNoEci))</v>
      </c>
    </row>
    <row r="13" spans="1:23" customFormat="1" ht="21" customHeight="1" x14ac:dyDescent="0.25">
      <c r="A13" t="s">
        <v>307</v>
      </c>
      <c r="B13" t="s">
        <v>304</v>
      </c>
      <c r="C13" t="s">
        <v>1</v>
      </c>
      <c r="D13" t="str">
        <f t="shared" ref="D13:D14" si="18">SUBSTITUTE(PROPER(A13),"_","")</f>
        <v>PartNoEci</v>
      </c>
      <c r="E13" t="str">
        <f t="shared" si="13"/>
        <v>varchar</v>
      </c>
      <c r="F13" s="7"/>
      <c r="G13" t="str">
        <f t="shared" si="14"/>
        <v>20</v>
      </c>
      <c r="H13" t="str">
        <f>+VLOOKUP(E13,'Data Type Mapping'!A:B,2,)</f>
        <v>string</v>
      </c>
      <c r="I13" t="str">
        <f t="shared" si="15"/>
        <v xml:space="preserve">		public const int MaxPartNoEciLength = 20;
</v>
      </c>
      <c r="J13" t="str">
        <f t="shared" si="16"/>
        <v xml:space="preserve">		[StringLength(MaxPartNoEciLength)]
		public virtual string PartNoEci { get; set; }
</v>
      </c>
      <c r="K13" s="7"/>
      <c r="L13" t="str">
        <f t="shared" ref="L13:L14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PartNoEci { get; set; }
</v>
      </c>
      <c r="N13" t="str">
        <f t="shared" si="8"/>
        <v xml:space="preserve">		[StringLength(MstLgwEciPartConsts.MaxPartNoEciLength)]
		public virtual string PartNoEci { get; set; }
</v>
      </c>
      <c r="O13" t="str">
        <f t="shared" si="9"/>
        <v xml:space="preserve">		public virtual string PartNoEci { get; set; }
</v>
      </c>
      <c r="P13" t="str">
        <f t="shared" si="17"/>
        <v xml:space="preserve">							PartNoEci = o.PartNoEci,</v>
      </c>
      <c r="T13" s="69" t="str">
        <f t="shared" si="10"/>
        <v xml:space="preserve">								("PartNoEci"),</v>
      </c>
      <c r="V13" s="70" t="str">
        <f t="shared" si="11"/>
        <v xml:space="preserve">								_ =&gt; _.PartNoEci,</v>
      </c>
      <c r="W13" s="69" t="str">
        <f t="shared" si="12"/>
        <v xml:space="preserve">				.WhereIf(!string.IsNullOrWhiteSpace(input.PartNoEci), e =&gt; e.PartNoEci.Contains(input.PartNoEci))</v>
      </c>
    </row>
    <row r="14" spans="1:23" customFormat="1" ht="18.75" customHeight="1" x14ac:dyDescent="0.25">
      <c r="A14" t="s">
        <v>308</v>
      </c>
      <c r="B14" t="s">
        <v>302</v>
      </c>
      <c r="C14" t="s">
        <v>1</v>
      </c>
      <c r="D14" t="str">
        <f t="shared" si="18"/>
        <v>SupplierNoEci</v>
      </c>
      <c r="E14" t="str">
        <f t="shared" si="13"/>
        <v>varchar</v>
      </c>
      <c r="F14" s="7"/>
      <c r="G14" t="str">
        <f t="shared" si="14"/>
        <v>10</v>
      </c>
      <c r="H14" t="str">
        <f>+VLOOKUP(E14,'Data Type Mapping'!A:B,2,)</f>
        <v>string</v>
      </c>
      <c r="I14" t="str">
        <f t="shared" si="15"/>
        <v xml:space="preserve">		public const int MaxSupplierNoEciLength = 10;
</v>
      </c>
      <c r="J14" t="str">
        <f t="shared" si="16"/>
        <v xml:space="preserve">		[StringLength(MaxSupplierNoEciLength)]
		public virtual string SupplierNoEci { get; set; }
</v>
      </c>
      <c r="K14" s="7"/>
      <c r="L14" t="str">
        <f t="shared" si="19"/>
        <v/>
      </c>
      <c r="M14" t="str">
        <f t="shared" ref="M14:M16" si="20">REPT(CHAR(9),2)&amp;"public virtual "&amp;IF(OR(H14="DateTime",H14="TimeSpan"),H14&amp;"?",H14)&amp;IF(C14="?","? "," ")&amp;D14&amp;" { get; set; }" &amp; "
"</f>
        <v xml:space="preserve">		public virtual string SupplierNoEci { get; set; }
</v>
      </c>
      <c r="N14" t="str">
        <f t="shared" ref="N14:N16" si="2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[StringLength(MstLgwEciPartConsts.MaxSupplierNoEciLength)]
		public virtual string SupplierNoEci { get; set; }
</v>
      </c>
      <c r="O14" t="str">
        <f t="shared" ref="O14:O16" si="22">IF(OR(H14="string",H14="DateTime",H14="int"),REPT(CHAR(9),2)&amp;"public virtual "&amp;IF(OR(H14="DateTime",H14="TimeSpan"),H14&amp;"?",H14)&amp;IF(C14="?","? "," ")&amp;D14&amp;" { get; set; }"&amp;$E$3,"")</f>
        <v xml:space="preserve">		public virtual string SupplierNoEci { get; set; }
</v>
      </c>
      <c r="P14" t="str">
        <f t="shared" si="17"/>
        <v xml:space="preserve">							SupplierNoEci = o.SupplierNoEci,</v>
      </c>
      <c r="T14" s="69" t="str">
        <f t="shared" ref="T14:T16" si="23">REPT(CHAR(9),8)&amp;"("""&amp;D14&amp;"""),"</f>
        <v xml:space="preserve">								("SupplierNoEci"),</v>
      </c>
      <c r="V14" s="70" t="str">
        <f t="shared" ref="V14:V16" si="24">REPT(CHAR(9),8)&amp;"_ =&gt; _."&amp;D14&amp;","</f>
        <v xml:space="preserve">								_ =&gt; _.SupplierNoEci,</v>
      </c>
      <c r="W14" s="69" t="str">
        <f t="shared" ref="W14:W16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.WhereIf(!string.IsNullOrWhiteSpace(input.SupplierNoEci), e =&gt; e.SupplierNoEci.Contains(input.SupplierNoEci))</v>
      </c>
    </row>
    <row r="15" spans="1:23" customFormat="1" ht="22.5" customHeight="1" x14ac:dyDescent="0.25">
      <c r="A15" t="s">
        <v>309</v>
      </c>
      <c r="B15" t="s">
        <v>304</v>
      </c>
      <c r="C15" t="s">
        <v>1</v>
      </c>
      <c r="D15" t="str">
        <f>SUBSTITUTE(PROPER(A15),"_","")</f>
        <v>StartEciSeq</v>
      </c>
      <c r="E15" t="str">
        <f t="shared" ref="E15:E17" si="26">IFERROR(LEFT(B15, FIND("(",B15)-1),B15)</f>
        <v>varchar</v>
      </c>
      <c r="F15" s="7"/>
      <c r="G15" t="str">
        <f t="shared" ref="G15:G17" si="27">IFERROR(MID(B15,FIND("(",B15) +1, FIND(")",B15) - FIND("(",B15) - 1),"")</f>
        <v>20</v>
      </c>
      <c r="H15" t="str">
        <f>+VLOOKUP(E15,'Data Type Mapping'!A:B,2,)</f>
        <v>string</v>
      </c>
      <c r="I15" t="str">
        <f t="shared" ref="I15:I17" si="28">IF(H15="string",REPT(CHAR(9),2)&amp;"public const int Max"&amp;D15&amp;"Length = "&amp;G15&amp;";"&amp;$E$3,"" )</f>
        <v xml:space="preserve">		public const int MaxStartEciSeqLength = 20;
</v>
      </c>
      <c r="J15" t="str">
        <f t="shared" ref="J15:J17" si="29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[StringLength(MaxStartEciSeqLength)]
		public virtual string StartEciSeq { get; set; }
</v>
      </c>
      <c r="K15" s="7"/>
      <c r="L15" t="str">
        <f>IF(K15="","",REPT(CHAR(9),1)&amp;"[Index(nameof("&amp;IF(D15="","",""&amp;D15)&amp;")"&amp;", Name="&amp;"""IX_"&amp;$B$7&amp;"_"&amp;D15&amp;""")]")</f>
        <v/>
      </c>
      <c r="M15" t="str">
        <f t="shared" si="20"/>
        <v xml:space="preserve">		public virtual string StartEciSeq { get; set; }
</v>
      </c>
      <c r="N15" t="str">
        <f t="shared" si="21"/>
        <v xml:space="preserve">		[StringLength(MstLgwEciPartConsts.MaxStartEciSeqLength)]
		public virtual string StartEciSeq { get; set; }
</v>
      </c>
      <c r="O15" t="str">
        <f t="shared" si="22"/>
        <v xml:space="preserve">		public virtual string StartEciSeq { get; set; }
</v>
      </c>
      <c r="P15" t="str">
        <f t="shared" ref="P15:P17" si="30">REPT(CHAR(9),7)&amp;D15&amp;" = o." &amp;D15 &amp;","</f>
        <v xml:space="preserve">							StartEciSeq = o.StartEciSeq,</v>
      </c>
      <c r="T15" s="69" t="str">
        <f t="shared" si="23"/>
        <v xml:space="preserve">								("StartEciSeq"),</v>
      </c>
      <c r="V15" s="70" t="str">
        <f t="shared" si="24"/>
        <v xml:space="preserve">								_ =&gt; _.StartEciSeq,</v>
      </c>
      <c r="W15" s="69" t="str">
        <f t="shared" si="25"/>
        <v xml:space="preserve">				.WhereIf(!string.IsNullOrWhiteSpace(input.StartEciSeq), e =&gt; e.StartEciSeq.Contains(input.StartEciSeq))</v>
      </c>
    </row>
    <row r="16" spans="1:23" customFormat="1" ht="21" customHeight="1" x14ac:dyDescent="0.25">
      <c r="A16" t="s">
        <v>310</v>
      </c>
      <c r="B16" t="s">
        <v>304</v>
      </c>
      <c r="C16" t="s">
        <v>1</v>
      </c>
      <c r="D16" t="str">
        <f t="shared" ref="D16:D17" si="31">SUBSTITUTE(PROPER(A16),"_","")</f>
        <v>StartEciRenban</v>
      </c>
      <c r="E16" t="str">
        <f t="shared" si="26"/>
        <v>varchar</v>
      </c>
      <c r="F16" s="7"/>
      <c r="G16" t="str">
        <f t="shared" si="27"/>
        <v>20</v>
      </c>
      <c r="H16" t="str">
        <f>+VLOOKUP(E16,'Data Type Mapping'!A:B,2,)</f>
        <v>string</v>
      </c>
      <c r="I16" t="str">
        <f t="shared" si="28"/>
        <v xml:space="preserve">		public const int MaxStartEciRenbanLength = 20;
</v>
      </c>
      <c r="J16" t="str">
        <f t="shared" si="29"/>
        <v xml:space="preserve">		[StringLength(MaxStartEciRenbanLength)]
		public virtual string StartEciRenban { get; set; }
</v>
      </c>
      <c r="K16" s="7"/>
      <c r="L16" t="str">
        <f t="shared" ref="L16:L17" si="32">IF(K16="","",REPT(CHAR(9),1)&amp;"[Index(nameof("&amp;IF(D16="","",""&amp;D16)&amp;")"&amp;", Name="&amp;"""IX_"&amp;$B$7&amp;"_"&amp;D16&amp;""")]")</f>
        <v/>
      </c>
      <c r="M16" t="str">
        <f t="shared" si="20"/>
        <v xml:space="preserve">		public virtual string StartEciRenban { get; set; }
</v>
      </c>
      <c r="N16" t="str">
        <f t="shared" si="21"/>
        <v xml:space="preserve">		[StringLength(MstLgwEciPartConsts.MaxStartEciRenbanLength)]
		public virtual string StartEciRenban { get; set; }
</v>
      </c>
      <c r="O16" t="str">
        <f t="shared" si="22"/>
        <v xml:space="preserve">		public virtual string StartEciRenban { get; set; }
</v>
      </c>
      <c r="P16" t="str">
        <f t="shared" si="30"/>
        <v xml:space="preserve">							StartEciRenban = o.StartEciRenban,</v>
      </c>
      <c r="T16" s="69" t="str">
        <f t="shared" si="23"/>
        <v xml:space="preserve">								("StartEciRenban"),</v>
      </c>
      <c r="V16" s="70" t="str">
        <f t="shared" si="24"/>
        <v xml:space="preserve">								_ =&gt; _.StartEciRenban,</v>
      </c>
      <c r="W16" s="69" t="str">
        <f t="shared" si="25"/>
        <v xml:space="preserve">				.WhereIf(!string.IsNullOrWhiteSpace(input.StartEciRenban), e =&gt; e.StartEciRenban.Contains(input.StartEciRenban))</v>
      </c>
    </row>
    <row r="17" spans="1:23" customFormat="1" ht="18.75" customHeight="1" x14ac:dyDescent="0.25">
      <c r="A17" t="s">
        <v>311</v>
      </c>
      <c r="B17" t="s">
        <v>304</v>
      </c>
      <c r="C17" t="s">
        <v>1</v>
      </c>
      <c r="D17" t="str">
        <f t="shared" si="31"/>
        <v>StartEciModule</v>
      </c>
      <c r="E17" t="str">
        <f t="shared" si="26"/>
        <v>varchar</v>
      </c>
      <c r="F17" s="7"/>
      <c r="G17" t="str">
        <f t="shared" si="27"/>
        <v>20</v>
      </c>
      <c r="H17" t="str">
        <f>+VLOOKUP(E17,'Data Type Mapping'!A:B,2,)</f>
        <v>string</v>
      </c>
      <c r="I17" t="str">
        <f t="shared" si="28"/>
        <v xml:space="preserve">		public const int MaxStartEciModuleLength = 20;
</v>
      </c>
      <c r="J17" t="str">
        <f t="shared" si="29"/>
        <v xml:space="preserve">		[StringLength(MaxStartEciModuleLength)]
		public virtual string StartEciModule { get; set; }
</v>
      </c>
      <c r="K17" s="7"/>
      <c r="L17" t="str">
        <f t="shared" si="32"/>
        <v/>
      </c>
      <c r="M17" t="str">
        <f t="shared" ref="M17:M18" si="33">REPT(CHAR(9),2)&amp;"public virtual "&amp;IF(OR(H17="DateTime",H17="TimeSpan"),H17&amp;"?",H17)&amp;IF(C17="?","? "," ")&amp;D17&amp;" { get; set; }" &amp; "
"</f>
        <v xml:space="preserve">		public virtual string StartEciModule { get; set; }
</v>
      </c>
      <c r="N17" t="str">
        <f t="shared" ref="N17:N18" si="34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[StringLength(MstLgwEciPartConsts.MaxStartEciModuleLength)]
		public virtual string StartEciModule { get; set; }
</v>
      </c>
      <c r="O17" t="str">
        <f t="shared" ref="O17:O18" si="35">IF(OR(H17="string",H17="DateTime",H17="int"),REPT(CHAR(9),2)&amp;"public virtual "&amp;IF(OR(H17="DateTime",H17="TimeSpan"),H17&amp;"?",H17)&amp;IF(C17="?","? "," ")&amp;D17&amp;" { get; set; }"&amp;$E$3,"")</f>
        <v xml:space="preserve">		public virtual string StartEciModule { get; set; }
</v>
      </c>
      <c r="P17" t="str">
        <f t="shared" si="30"/>
        <v xml:space="preserve">							StartEciModule = o.StartEciModule,</v>
      </c>
      <c r="T17" s="69" t="str">
        <f t="shared" ref="T17:T18" si="36">REPT(CHAR(9),8)&amp;"("""&amp;D17&amp;"""),"</f>
        <v xml:space="preserve">								("StartEciModule"),</v>
      </c>
      <c r="V17" s="70" t="str">
        <f t="shared" ref="V17:V18" si="37">REPT(CHAR(9),8)&amp;"_ =&gt; _."&amp;D17&amp;","</f>
        <v xml:space="preserve">								_ =&gt; _.StartEciModule,</v>
      </c>
      <c r="W17" s="69" t="str">
        <f t="shared" ref="W17:W18" si="3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.WhereIf(!string.IsNullOrWhiteSpace(input.StartEciModule), e =&gt; e.StartEciModule.Contains(input.StartEciModule))</v>
      </c>
    </row>
    <row r="18" spans="1:23" customFormat="1" ht="22.5" customHeight="1" x14ac:dyDescent="0.25">
      <c r="A18" t="s">
        <v>312</v>
      </c>
      <c r="B18" t="s">
        <v>313</v>
      </c>
      <c r="C18" t="s">
        <v>1</v>
      </c>
      <c r="D18" t="str">
        <f>SUBSTITUTE(PROPER(A18),"_","")</f>
        <v>IsActive</v>
      </c>
      <c r="E18" t="str">
        <f t="shared" ref="E18" si="39">IFERROR(LEFT(B18, FIND("(",B18)-1),B18)</f>
        <v>varchar</v>
      </c>
      <c r="F18" s="7"/>
      <c r="G18" t="str">
        <f t="shared" ref="G18" si="40">IFERROR(MID(B18,FIND("(",B18) +1, FIND(")",B18) - FIND("(",B18) - 1),"")</f>
        <v>1</v>
      </c>
      <c r="H18" t="str">
        <f>+VLOOKUP(E18,'Data Type Mapping'!A:B,2,)</f>
        <v>string</v>
      </c>
      <c r="I18" t="str">
        <f t="shared" ref="I18" si="41">IF(H18="string",REPT(CHAR(9),2)&amp;"public const int Max"&amp;D18&amp;"Length = "&amp;G18&amp;";"&amp;$E$3,"" )</f>
        <v xml:space="preserve">		public const int MaxIsActiveLength = 1;
</v>
      </c>
      <c r="J18" t="str">
        <f t="shared" ref="J18" si="42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[StringLength(MaxIsActiveLength)]
		public virtual string IsActive { get; set; }
</v>
      </c>
      <c r="K18" s="7" t="s">
        <v>206</v>
      </c>
      <c r="L18" t="str">
        <f>IF(K18="","",REPT(CHAR(9),1)&amp;"[Index(nameof("&amp;IF(D18="","",""&amp;D18)&amp;")"&amp;", Name="&amp;"""IX_"&amp;$B$7&amp;"_"&amp;D18&amp;""")]")</f>
        <v xml:space="preserve">	[Index(nameof(IsActive), Name="IX_MstLgwEciPart_IsActive")]</v>
      </c>
      <c r="M18" t="str">
        <f t="shared" si="33"/>
        <v xml:space="preserve">		public virtual string IsActive { get; set; }
</v>
      </c>
      <c r="N18" t="str">
        <f t="shared" si="34"/>
        <v xml:space="preserve">		[StringLength(MstLgwEciPartConsts.MaxIsActiveLength)]
		public virtual string IsActive { get; set; }
</v>
      </c>
      <c r="O18" t="str">
        <f t="shared" si="35"/>
        <v xml:space="preserve">		public virtual string IsActive { get; set; }
</v>
      </c>
      <c r="P18" t="str">
        <f t="shared" ref="P18" si="43">REPT(CHAR(9),7)&amp;D18&amp;" = o." &amp;D18 &amp;","</f>
        <v xml:space="preserve">							IsActive = o.IsActive,</v>
      </c>
      <c r="T18" s="69" t="str">
        <f t="shared" si="36"/>
        <v xml:space="preserve">								("IsActive"),</v>
      </c>
      <c r="V18" s="70" t="str">
        <f t="shared" si="37"/>
        <v xml:space="preserve">								_ =&gt; _.IsActive,</v>
      </c>
      <c r="W18" s="69" t="str">
        <f t="shared" si="38"/>
        <v xml:space="preserve">				.WhereIf(!string.IsNullOrWhiteSpace(input.IsActive), e =&gt; e.IsActive.Contains(input.IsActive))</v>
      </c>
    </row>
    <row r="20" spans="1:23" ht="45.75" customHeight="1" x14ac:dyDescent="0.25">
      <c r="H20" s="12"/>
      <c r="I20" s="34" t="str">
        <f ca="1">TEXTJOIN2("
", TRUE,INDIRECT( $H$1):INDIRECT( $H$3))</f>
        <v xml:space="preserve">		public const int MaxModuleNoLength = 10;
		public const int MaxPartNoLength = 20;
		public const int MaxSupplierNoLength = 10;
		public const int MaxModuleNoEciLength = 10;
		public const int MaxPartNoEciLength = 20;
		public const int MaxSupplierNoEciLength = 10;
		public const int MaxStartEciSeqLength = 20;
		public const int MaxStartEciRenbanLength = 20;
		public const int MaxStartEciModuleLength = 20;
		public const int MaxIsActiveLength = 1;
</v>
      </c>
      <c r="J20" s="33" t="str">
        <f ca="1">TEXTJOIN2("
", TRUE,INDIRECT( $F$1):INDIRECT( $F$3))</f>
        <v xml:space="preserve">		[StringLength(MaxModuleNoLength)]
		public virtual string ModuleNo { get; set; }
		[StringLength(MaxPartNoLength)]
		public virtual string PartNo { get; set; }
		[StringLength(MaxSupplierNoLength)]
		public virtual string SupplierNo { get; set; }
		[StringLength(MaxModuleNoEciLength)]
		public virtual string ModuleNoEci { get; set; }
		[StringLength(MaxPartNoEciLength)]
		public virtual string PartNoEci { get; set; }
		[StringLength(MaxSupplierNoEciLength)]
		public virtual string SupplierNoEci { get; set; }
		[StringLength(MaxStartEciSeqLength)]
		public virtual string StartEciSeq { get; set; }
		[StringLength(MaxStartEciRenbanLength)]
		public virtual string StartEciRenban { get; set; }
		[StringLength(MaxStartEciModuleLength)]
		public virtual string StartEciModule { get; set; }
		[StringLength(MaxIsActiveLength)]
		public virtual string IsActive { get; set; }
</v>
      </c>
      <c r="K20" s="35" t="str">
        <f ca="1">TEXTJOIN2("
", TRUE,INDIRECT( $J$1):INDIRECT( $J$3))</f>
        <v xml:space="preserve">	[Index(nameof(ModuleNo), Name="IX_MstLgwEciPart_ModuleNo")]
	[Index(nameof(PartNo), Name="IX_MstLgwEciPart_PartNo")]
	[Index(nameof(SupplierNo), Name="IX_MstLgwEciPart_SupplierNo")]
	[Index(nameof(IsActive), Name="IX_MstLgwEciPart_IsActive")]</v>
      </c>
      <c r="L20" s="13" t="s">
        <v>60</v>
      </c>
      <c r="M20" s="36" t="str">
        <f ca="1">TEXTJOIN2("
",TRUE,INDIRECT( $L$1):INDIRECT($L$3))</f>
        <v xml:space="preserve">		public virtual string ModuleNo { get; set; }
		public virtual string PartNo { get; set; }
		public virtual string SupplierNo { get; set; }
		public virtual string ModuleNoEci { get; set; }
		public virtual string PartNoEci { get; set; }
		public virtual string SupplierNoEci { get; set; }
		public virtual string StartEciSeq { get; set; }
		public virtual string StartEciRenban { get; set; }
		public virtual string StartEciModule { get; set; }
		public virtual string IsActive { get; set; }
</v>
      </c>
      <c r="N20" s="33" t="str">
        <f ca="1">TEXTJOIN2("
",TRUE,INDIRECT( $M$1):INDIRECT($M$3))</f>
        <v xml:space="preserve">		[StringLength(MstLgwEciPartConsts.MaxModuleNoLength)]
		public virtual string ModuleNo { get; set; }
		[StringLength(MstLgwEciPartConsts.MaxPartNoLength)]
		public virtual string PartNo { get; set; }
		[StringLength(MstLgwEciPartConsts.MaxSupplierNoLength)]
		public virtual string SupplierNo { get; set; }
		[StringLength(MstLgwEciPartConsts.MaxModuleNoEciLength)]
		public virtual string ModuleNoEci { get; set; }
		[StringLength(MstLgwEciPartConsts.MaxPartNoEciLength)]
		public virtual string PartNoEci { get; set; }
		[StringLength(MstLgwEciPartConsts.MaxSupplierNoEciLength)]
		public virtual string SupplierNoEci { get; set; }
		[StringLength(MstLgwEciPartConsts.MaxStartEciSeqLength)]
		public virtual string StartEciSeq { get; set; }
		[StringLength(MstLgwEciPartConsts.MaxStartEciRenbanLength)]
		public virtual string StartEciRenban { get; set; }
		[StringLength(MstLgwEciPartConsts.MaxStartEciModuleLength)]
		public virtual string StartEciModule { get; set; }
		[StringLength(MstLgwEciPartConsts.MaxIsActiveLength)]
		public virtual string IsActive { get; set; }
</v>
      </c>
      <c r="O20" s="33" t="str">
        <f ca="1">TEXTJOIN2("
",TRUE,INDIRECT( $N$1):INDIRECT($N$3))</f>
        <v xml:space="preserve">		public virtual string ModuleNo { get; set; }
		public virtual string PartNo { get; set; }
		public virtual string SupplierNo { get; set; }
		public virtual string ModuleNoEci { get; set; }
		public virtual string PartNoEci { get; set; }
		public virtual string SupplierNoEci { get; set; }
		public virtual string StartEciSeq { get; set; }
		public virtual string StartEciRenban { get; set; }
		public virtual string StartEciModule { get; set; }
		public virtual string IsActive { get; set; }
</v>
      </c>
      <c r="P20" s="9" t="str">
        <f ca="1">TEXTJOIN2("
",TRUE,INDIRECT( $O$1):INDIRECT($O$3))</f>
        <v xml:space="preserve">							ModuleNo = o.ModuleNo,
							PartNo = o.PartNo,
							SupplierNo = o.SupplierNo,
							ModuleNoEci = o.ModuleNoEci,
							PartNoEci = o.PartNoEci,
							SupplierNoEci = o.SupplierNoEci,
							StartEciSeq = o.StartEciSeq,
							StartEciRenban = o.StartEciRenban,
							StartEciModule = o.StartEciModule,
							IsActive = o.IsActive,</v>
      </c>
      <c r="T20" s="9" t="str">
        <f ca="1">TEXTJOIN2("
",TRUE,INDIRECT( $T$2):INDIRECT($T$3))</f>
        <v xml:space="preserve">								("ModuleNo"),
								("PartNo"),
								("SupplierNo"),
								("ModuleNoEci"),
								("PartNoEci"),
								("SupplierNoEci"),
								("StartEciSeq"),
								("StartEciRenban"),
								("StartEciModule"),
								("IsActive"),</v>
      </c>
      <c r="V20" s="9" t="str">
        <f ca="1">TEXTJOIN2("
",TRUE,INDIRECT( $V$2):INDIRECT($V$3))</f>
        <v xml:space="preserve">								_ =&gt; _.ModuleNo,
								_ =&gt; _.PartNo,
								_ =&gt; _.SupplierNo,
								_ =&gt; _.ModuleNoEci,
								_ =&gt; _.PartNoEci,
								_ =&gt; _.SupplierNoEci,
								_ =&gt; _.StartEciSeq,
								_ =&gt; _.StartEciRenban,
								_ =&gt; _.StartEciModule,
								_ =&gt; _.IsActive,</v>
      </c>
      <c r="W20" s="9" t="str">
        <f ca="1">TEXTJOIN2("
",TRUE,INDIRECT( $W$2):INDIRECT($W$3))</f>
        <v xml:space="preserve">				.WhereIf(!string.IsNullOrWhiteSpace(input.ModuleNo), e =&gt; e.ModuleNo.Contains(input.ModuleNo))
				.WhereIf(!string.IsNullOrWhiteSpace(input.PartNo), e =&gt; e.PartNo.Contains(input.PartNo))
				.WhereIf(!string.IsNullOrWhiteSpace(input.SupplierNo), e =&gt; e.SupplierNo.Contains(input.SupplierNo))
				.WhereIf(!string.IsNullOrWhiteSpace(input.ModuleNoEci), e =&gt; e.ModuleNoEci.Contains(input.ModuleNoEci))
				.WhereIf(!string.IsNullOrWhiteSpace(input.PartNoEci), e =&gt; e.PartNoEci.Contains(input.PartNoEci))
				.WhereIf(!string.IsNullOrWhiteSpace(input.SupplierNoEci), e =&gt; e.SupplierNoEci.Contains(input.SupplierNoEci))
				.WhereIf(!string.IsNullOrWhiteSpace(input.StartEciSeq), e =&gt; e.StartEciSeq.Contains(input.StartEciSeq))
				.WhereIf(!string.IsNullOrWhiteSpace(input.StartEciRenban), e =&gt; e.StartEciRenban.Contains(input.StartEciRenban))
				.WhereIf(!string.IsNullOrWhiteSpace(input.StartEciModule), e =&gt; e.StartEciModule.Contains(input.StartEciModule))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"/>
  <sheetViews>
    <sheetView workbookViewId="0">
      <selection activeCell="A23" sqref="A23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317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MstLgwEciPart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EciPart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ecipart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MstLgwEciPartDto, MstLgwEciPartServiceProxy } from '@shared/service-proxies/service-proxies';
import { finalize } from 'rxjs/internal/operators/finalize';
import { CreateOrEditEciPartModalComponent } from './create-or-edit-ecipart-modal.component';
import { DatePipe } from '@angular/common';
import { FileDownloadService } from '@shared/utils/file-download.service';
import ceil from 'lodash-es/ceil';
import { Paginator } from 'primeng/paginator';
@Component({
    templateUrl: './ecipart.component.html',
    styleUrls: ['./ecipart.component.less'],
})
export class EciPartComponent extends AppComponentBase implements OnInit {
    @ViewChild('createOrEditModalEciPart', { static: true }) createOrEditModalEciPart:| CreateOrEditEciPartModalComponent|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MstLgwEciPartDto = new MstLgwEciPartDto();
    saveSelectedRow: MstLgwEciPartDto = new MstLgwEciPartDto();
    datas: MstLgwEciPartDto = new MstLgwEciPartDto();
    isLoading: boolean = false;
    dataParams: GridParams | undefined;
    rowData: any[] = [];
    gridApi!: GridApi;
    rowSelection = 'multiple';
    filter: string = '';
	pipe = new DatePipe('en-US');
	frameworkComponents: FrameworkComponent;
    moduleNo : string = '' ; 
	partNo : string = '' ; 
	supplierNo : string = '' ; 
	moduleNoEci : string = '' ; 
	partNoEci : string = '' ; 
supplierNoEci : string = '' ; 
	startEciSeq : string = '' ; 
	startEciRenban : string = '' ; 
	startEciModule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MstLgwEciPartServiceProxy,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this.l('Module No'),headerTooltip: this.l('Module No'),field: 'moduleNo',flex: 1},
			{headerName: this.l('Part No'),headerTooltip: this.l('Part No'),field: 'partNo',flex: 1},
			{headerName: this.l('Supplier No'),headerTooltip: this.l('Supplier No'),field: 'supplierNo',flex: 1},
			{headerName: this.l('Module No Eci'),headerTooltip: this.l('Module No Eci'),field: 'moduleNoEci',flex: 1},
			{headerName: this.l('Part No Eci'),headerTooltip: this.l('Part No Eci'),field: 'partNoEci',flex: 1},
			{headerName: this.l('Supplier No Eci'),headerTooltip: this.l('Supplier No Eci'),field: 'supplierNoEci',flex: 1},
			{headerName: this.l('Start Eci Seq'),headerTooltip: this.l('Start Eci Seq'),field: 'startEciSeq',flex: 1},
			{headerName: this.l('Start Eci Renban'),headerTooltip: this.l('Start Eci Renban'),field: 'startEciRenban',flex: 1},
			{headerName: this.l('Start Eci Module'),headerTooltip: this.l('Start Eci Module'),field: 'startEciModule',flex: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this.moduleNo,
			this.partNo,
			this.supplierNo,
			this.moduleNoEci,
			this.partNoEci,
			this.supplierNoEci,
			this.startEciSeq,
			this.startEciRenban,
			this.startEciModule,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this.moduleNo = '',
		this.partNo = '',
		this.supplierNo = '',
		this.moduleNoEci = '',
		this.partNoEci = '',
this.supplierNoEci = '',
		this.startEciSeq = '',
		this.startEciRenban = '',
		this.startEciModule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this.moduleNo,
			this.partNo,
			this.supplierNo,
			this.moduleNoEci,
			this.partNoEci,
			this.supplierNoEci,
			this.startEciSeq,
			this.startEciRenban,
			this.startEciModule,
			this.isActive,
			'',
            this.paginationParams.skipCount,
            this.paginationParams.pageSize
        );
    }
    onChangeRowSelection(params: { api: { getSelectedRows: () =&gt; MstLgwEciPartDto[] } }) {
        this.saveSelectedRow = params.api.getSelectedRows()[0] ?? new MstLgwEciPartDto();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MstLgwEciPartDto):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this._service.getEciPartToExcel(
			this.moduleNo,
			this.partNo,
			this.supplierNo,
			this.moduleNoEci,
			this.partNoEci,
			this.supplierNoEci,
			this.startEciSeq,
			this.startEciRenban,
			this.startEciModule,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Eci Part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[(ngModel)]='moduleNoEci' name='moduleNoEci'
									class='form-control' [placeholder]="l('Module No Eci')"
									type='text' (keyup.enter)='searchDatas()'&gt;
								&lt;/div&gt;
								&lt;div class='input-search'&gt;
									&lt;input [(ngModel)]='partNoEci' name='partNoEci'
									class='form-control' [placeholder]="l('Part No Eci')"
									type='text' (keyup.enter)='searchDatas()'&gt;
								&lt;/div&gt;
								&lt;div class='input-search'&gt;
									&lt;input [(ngModel)]='supplierNoEci' name='supplierNoEci'
									class='form-control' [placeholder]="l('Supplier No Eci')"
									type='text' (keyup.enter)='searchDatas()'&gt;
								&lt;/div&gt;
								&lt;div class='input-search'&gt;
									&lt;input [(ngModel)]='startEciSeq' name='startEciSeq'
									class='form-control' [placeholder]="l('Start Eci Seq')"
									type='text' (keyup.enter)='searchDatas()'&gt;
								&lt;/div&gt;
								&lt;div class='input-search'&gt;
									&lt;input [(ngModel)]='startEciRenban' name='startEciRenban'
									class='form-control' [placeholder]="l('Start Eci Renban')"
									type='text' (keyup.enter)='searchDatas()'&gt;
								&lt;/div&gt;
								&lt;div class='input-search'&gt;
									&lt;input [(ngModel)]='startEciModule' name='startEciModule'
									class='form-control' [placeholder]="l('Start Eci Module')"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(click)="createOrEditModalEciPart.show()"&gt;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(click)="createOrEditModalEciPart.show(selectedRow)"&gt;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&lt;create-or-edit-ecipart-modal
    #createOrEditModalEciPart
    (modalSave)="callBackDataGrid(dataParams)"
    (modalClose)="onChangeRowSelection(dataParams)"
&gt;
&lt;/create-or-edit-ecipart-modal&gt;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#createOrEditModalEciPart="bs-modal"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EciPart')}}&lt;/h3&gt;
                    &lt;h3 *ngIf="!rowdata.id"&gt;{{('Create New EciPart')}}&lt;/h3&gt;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title'&gt;Module No Eci&lt;/label&gt;
						&lt;input type='text' class='col-md-10 form-control input-text' name='ModuleNoEci' [(ngModel)]='rowdata.moduleNoEci'&gt;
					&lt;/div&gt;
					&lt;div class='col-md-12 form-group row'&gt;
						&lt;label class='col-md-2 form-control title'&gt;Part No Eci&lt;/label&gt;
						&lt;input type='text' class='col-md-10 form-control input-text' name='PartNoEci' [(ngModel)]='rowdata.partNoEci'&gt;
					&lt;/div&gt;
					&lt;div class='col-md-12 form-group row'&gt;
						&lt;label class='col-md-2 form-control title'&gt;Supplier No Eci&lt;/label&gt;
						&lt;input type='text' class='col-md-10 form-control input-text' name='SupplierNoEci' [(ngModel)]='rowdata.supplierNoEci'&gt;
					&lt;/div&gt;
					&lt;div class='col-md-12 form-group row'&gt;
						&lt;label class='col-md-2 form-control title'&gt;Start Eci Seq&lt;/label&gt;
						&lt;input type='text' class='col-md-10 form-control input-text' name='StartEciSeq' [(ngModel)]='rowdata.startEciSeq'&gt;
					&lt;/div&gt;
					&lt;div class='col-md-12 form-group row'&gt;
						&lt;label class='col-md-2 form-control title'&gt;Start Eci Renban&lt;/label&gt;
						&lt;input type='text' class='col-md-10 form-control input-text' name='StartEciRenban' [(ngModel)]='rowdata.startEciRenban'&gt;
					&lt;/div&gt;
					&lt;div class='col-md-12 form-group row'&gt;
						&lt;label class='col-md-2 form-control title'&gt;Start Eci Module&lt;/label&gt;
						&lt;input type='text' class='col-md-10 form-control input-text' name='StartEciModule' [(ngModel)]='rowdata.startEciModule'&gt;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CreateOrEditMstLgwEciPartDto, MstLgwEciPartServiceProxy } from '@shared/service-proxies/service-proxies';
import { BsDatepickerDirective } from 'ngx-bootstrap/datepicker';
@Component({
    selector: 'create-or-edit-ecipart-modal',
    templateUrl: './create-or-edit-ecipart-modal.component.html',
    styleUrls: ['./create-or-edit-ecipart-modal.component.less']
    })
export class CreateOrEditEciPartModalComponent extends AppComponentBase {
    @ViewChild('createOrEditModalEciPart',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CreateOrEditMstLgwEciPartDto = new CreateOrEditMstLgwEciPartDto();
    active: boolean = false;
    saving: boolean = false;
    _isActive: boolean;
    constructor(
        injector: Injector,
        private _mstwptEciPartService: MstLgwEciPartServiceProxy,
    ) 
    {
        super(injector);
    }
    show(rowdata?: CreateOrEditMstLgwEciPartDto): void {
        if (!rowdata) this.rowdata = new CreateOrEditMstLgwEciPartDto();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this._mstwptEciPartService.createOrEdit(this.rowdata)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EciPartRoutingModule } from './ecipart-routing.module';
import { EciPartComponent } from './ecipart.component';
import { CreateOrEditEciPartModalComponent } from './create-or-edit-ecipart-modal.component';
@NgModule({
    declarations: [
       EciPartComponent, 
        CreateOrEditEciPartModalComponent
    ],
    imports: [
        AppSharedModule, EciPartRoutingModule]
})
export class EciPartModule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EciPartComponent } from './ecipart.component';
const routes: Routes = [{
    path: '',
    component: EciPartComponent,
    pathMatch: 'full'
}];
@NgModule({
    imports: [RouterModule.forChild(routes)],
    exports: [RouterModule],
})
export class EciPartRoutingModule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AppMenuItem("EciPart", "Pages.Master.LogW.EciPart", "flaticon-book",   "/app/main/master/logw/ecipart"),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'master/logw/ecipart',
    loadChildren: () =&gt; import('./master/logw/ecipart/ecipart.module').then(m =&gt; m.EciPartModule),
    data: { permission: 'Pages.Master.LogW.EciPart' }
},</v>
      </c>
      <c r="R10" s="50" t="str">
        <f>SUBSTITUTE(R9,"MstWptCalendar",$B$6)</f>
        <v>ApiServiceProxies.MstLgwEciPartServiceProxy,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H24</v>
      </c>
      <c r="I12" s="31" t="str">
        <f>"I"&amp;COUNTA($A:$A)</f>
        <v>I24</v>
      </c>
      <c r="J12" s="31"/>
      <c r="K12" s="31" t="str">
        <f>"K"&amp;COUNTA($A:$A)</f>
        <v>K24</v>
      </c>
      <c r="L12" s="31" t="str">
        <f>"L"&amp;COUNTA($A:$A)</f>
        <v>L24</v>
      </c>
      <c r="M12" s="31"/>
      <c r="N12" s="31"/>
      <c r="O12" s="31"/>
      <c r="P12" s="31"/>
      <c r="Q12" s="31"/>
      <c r="R12" s="31"/>
      <c r="S12" s="31" t="str">
        <f>"S"&amp;COUNTA($A:$A)</f>
        <v>S24</v>
      </c>
      <c r="T12" s="31" t="str">
        <f>"T"&amp;COUNTA($A:$A)</f>
        <v>T24</v>
      </c>
      <c r="U12" s="31" t="str">
        <f>"U"&amp;COUNTA($A:$A)</f>
        <v>U24</v>
      </c>
      <c r="V12" s="31" t="str">
        <f>"V"&amp;COUNTA($A:$A)</f>
        <v>V24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this.l('Module No'),headerTooltip: this.l('Module No'),field: 'moduleNo',flex: 1},
			{headerName: this.l('Part No'),headerTooltip: this.l('Part No'),field: 'partNo',flex: 1},
			{headerName: this.l('Supplier No'),headerTooltip: this.l('Supplier No'),field: 'supplierNo',flex: 1},
			{headerName: this.l('Module No Eci'),headerTooltip: this.l('Module No Eci'),field: 'moduleNoEci',flex: 1},
			{headerName: this.l('Part No Eci'),headerTooltip: this.l('Part No Eci'),field: 'partNoEci',flex: 1},
			{headerName: this.l('Supplier No Eci'),headerTooltip: this.l('Supplier No Eci'),field: 'supplierNoEci',flex: 1},
			{headerName: this.l('Start Eci Seq'),headerTooltip: this.l('Start Eci Seq'),field: 'startEciSeq',flex: 1},
			{headerName: this.l('Start Eci Renban'),headerTooltip: this.l('Start Eci Renban'),field: 'startEciRenban',flex: 1},
			{headerName: this.l('Start Eci Module'),headerTooltip: this.l('Start Eci Module'),field: 'startEciModule',flex: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[(ngModel)]='moduleNoEci' name='moduleNoEci'
									class='form-control' [placeholder]="l('Module No Eci')"
									type='text' (keyup.enter)='searchDatas()'&gt;
								&lt;/div&gt;
								&lt;div class='input-search'&gt;
									&lt;input [(ngModel)]='partNoEci' name='partNoEci'
									class='form-control' [placeholder]="l('Part No Eci')"
									type='text' (keyup.enter)='searchDatas()'&gt;
								&lt;/div&gt;
								&lt;div class='input-search'&gt;
									&lt;input [(ngModel)]='supplierNoEci' name='supplierNoEci'
									class='form-control' [placeholder]="l('Supplier No Eci')"
									type='text' (keyup.enter)='searchDatas()'&gt;
								&lt;/div&gt;
								&lt;div class='input-search'&gt;
									&lt;input [(ngModel)]='startEciSeq' name='startEciSeq'
									class='form-control' [placeholder]="l('Start Eci Seq')"
									type='text' (keyup.enter)='searchDatas()'&gt;
								&lt;/div&gt;
								&lt;div class='input-search'&gt;
									&lt;input [(ngModel)]='startEciRenban' name='startEciRenban'
									class='form-control' [placeholder]="l('Start Eci Renban')"
									type='text' (keyup.enter)='searchDatas()'&gt;
								&lt;/div&gt;
								&lt;div class='input-search'&gt;
									&lt;input [(ngModel)]='startEciModule' name='startEciModule'
									class='form-control' [placeholder]="l('Start Eci Module')"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title'&gt;Module No Eci&lt;/label&gt;
						&lt;input type='text' class='col-md-10 form-control input-text' name='ModuleNoEci' [(ngModel)]='rowdata.moduleNoEci'&gt;
					&lt;/div&gt;
					&lt;div class='col-md-12 form-group row'&gt;
						&lt;label class='col-md-2 form-control title'&gt;Part No Eci&lt;/label&gt;
						&lt;input type='text' class='col-md-10 form-control input-text' name='PartNoEci' [(ngModel)]='rowdata.partNoEci'&gt;
					&lt;/div&gt;
					&lt;div class='col-md-12 form-group row'&gt;
						&lt;label class='col-md-2 form-control title'&gt;Supplier No Eci&lt;/label&gt;
						&lt;input type='text' class='col-md-10 form-control input-text' name='SupplierNoEci' [(ngModel)]='rowdata.supplierNoEci'&gt;
					&lt;/div&gt;
					&lt;div class='col-md-12 form-group row'&gt;
						&lt;label class='col-md-2 form-control title'&gt;Start Eci Seq&lt;/label&gt;
						&lt;input type='text' class='col-md-10 form-control input-text' name='StartEciSeq' [(ngModel)]='rowdata.startEciSeq'&gt;
					&lt;/div&gt;
					&lt;div class='col-md-12 form-group row'&gt;
						&lt;label class='col-md-2 form-control title'&gt;Start Eci Renban&lt;/label&gt;
						&lt;input type='text' class='col-md-10 form-control input-text' name='StartEciRenban' [(ngModel)]='rowdata.startEciRenban'&gt;
					&lt;/div&gt;
					&lt;div class='col-md-12 form-group row'&gt;
						&lt;label class='col-md-2 form-control title'&gt;Start Eci Module&lt;/label&gt;
						&lt;input type='text' class='col-md-10 form-control input-text' name='StartEciModule' [(ngModel)]='rowdata.startEciModule'&gt;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moduleNo : string = '' ; 
	partNo : string = '' ; 
	supplierNo : string = '' ; 
	moduleNoEci : string = '' ; 
	partNoEci : string = '' ; 
supplierNoEci : string = '' ; 
	startEciSeq : string = '' ; 
	startEciRenban : string = '' ; 
	startEciModule : string = '' ; 
	isActive : string = '' ; </v>
      </c>
      <c r="T13" s="68" t="str">
        <f ca="1">TEXTJOIN2("
",TRUE,INDIRECT(T11):INDIRECT(T12))</f>
        <v xml:space="preserve">			this.moduleNo,
			this.partNo,
			this.supplierNo,
			this.moduleNoEci,
			this.partNoEci,
			this.supplierNoEci,
			this.startEciSeq,
			this.startEciRenban,
			this.startEciModule,
			this.isActive,</v>
      </c>
      <c r="U13" s="68" t="str">
        <f ca="1">TEXTJOIN2("
",TRUE,INDIRECT(U11):INDIRECT(U12))</f>
        <v>this.moduleNo = '',
		this.partNo = '',
		this.supplierNo = '',
		this.moduleNoEci = '',
		this.partNoEci = '',
this.supplierNoEci = '',
		this.startEciSeq = '',
		this.startEciRenban = '',
		this.startEciModule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ecipart.component.ts</v>
      </c>
      <c r="I14" s="40" t="str">
        <f>B8&amp;".component.html"</f>
        <v>ecipart.component.html</v>
      </c>
      <c r="J14" s="39" t="str">
        <f>B8&amp;".component.less"</f>
        <v>ecipart.component.less</v>
      </c>
      <c r="K14" s="40" t="str">
        <f>"create-or-edit-"&amp;B8&amp;"-modal.component.html"</f>
        <v>create-or-edit-ecipart-modal.component.html</v>
      </c>
      <c r="L14" s="40" t="str">
        <f>"create-or-edit-"&amp;B8&amp;"-modal.component.ts"</f>
        <v>create-or-edit-ecipart-modal.component.ts</v>
      </c>
      <c r="M14" s="40" t="str">
        <f>"create-or-edit-"&amp;B8&amp;"-modal.component.less"</f>
        <v>create-or-edit-ecipart-modal.component.less</v>
      </c>
      <c r="N14" s="40" t="str">
        <f>B8&amp;".module.ts"</f>
        <v>ecipart.module.ts</v>
      </c>
      <c r="O14" s="40" t="str">
        <f>B8&amp;"-routing.module.ts"</f>
        <v>ecipart-routing.module.ts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301</v>
      </c>
      <c r="B15" s="31" t="str">
        <f>SUBSTITUTE(PROPER(A15),"_","")</f>
        <v>ModuleNo</v>
      </c>
      <c r="C15" s="31" t="str">
        <f>SUBSTITUTE(PROPER(A15),"_"," ")</f>
        <v>Module No</v>
      </c>
      <c r="D15" s="31" t="str">
        <f>LOWER(LEFT(B15,1))&amp;RIGHT(B15,LEN(B15) - 1)</f>
        <v>moduleNo</v>
      </c>
      <c r="E15" s="31" t="str">
        <f>A.Backend!H9</f>
        <v>string</v>
      </c>
      <c r="F15" s="31" t="str">
        <f>A.Backend!G9</f>
        <v>10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this.l('Module No'),headerTooltip: this.l('Module No'),field: 'moduleNo',flex: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[(ngModel)]='moduleNo' name='moduleNo'
									class='form-control' [placeholder]="l('Module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moduleNo : string = '' ; </v>
      </c>
      <c r="T15" s="31" t="str">
        <f>REPT(CHAR(9),3)&amp;"this."&amp;D15&amp;","</f>
        <v xml:space="preserve">			this.moduleNo,</v>
      </c>
      <c r="U15" s="31" t="str">
        <f>IF(E15="int","this."&amp;D15&amp;" = 0,","this."&amp;D15&amp;" = '',")</f>
        <v>this.moduleNo = '',</v>
      </c>
      <c r="V15" s="31" t="str">
        <f>IF(AND(E15="string",F15="1"),D15,"")</f>
        <v/>
      </c>
    </row>
    <row r="16" spans="1:22" ht="15" customHeight="1" x14ac:dyDescent="0.25">
      <c r="A16" s="44" t="s">
        <v>303</v>
      </c>
      <c r="B16" s="31" t="str">
        <f t="shared" ref="B16:B17" si="0">SUBSTITUTE(PROPER(A16),"_","")</f>
        <v>PartNo</v>
      </c>
      <c r="C16" s="31" t="str">
        <f t="shared" ref="C16:C17" si="1">SUBSTITUTE(PROPER(A16),"_"," ")</f>
        <v>Part No</v>
      </c>
      <c r="D16" s="31" t="str">
        <f t="shared" ref="D16:D17" si="2">LOWER(LEFT(B16,1))&amp;RIGHT(B16,LEN(B16) - 1)</f>
        <v>partNo</v>
      </c>
      <c r="E16" s="31" t="str">
        <f>A.Backend!H10</f>
        <v>string</v>
      </c>
      <c r="F16" s="31" t="str">
        <f>A.Backend!G10</f>
        <v>20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No'),headerTooltip: this.l('Part No'),field: 'partNo',flex: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partNo : string = '' ; </v>
      </c>
      <c r="T16" s="31" t="str">
        <f>REPT(CHAR(9),3)&amp;"this."&amp;D16&amp;","</f>
        <v xml:space="preserve">			this.partNo,</v>
      </c>
      <c r="U16" s="31" t="str">
        <f>IF(E16="int",REPT(CHAR(9),2)&amp;"this."&amp;D16&amp;" = 0,",REPT(CHAR(9),2)&amp;"this."&amp;D16&amp;" = '',")</f>
        <v xml:space="preserve">		this.partNo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305</v>
      </c>
      <c r="B17" s="31" t="str">
        <f t="shared" si="0"/>
        <v>SupplierNo</v>
      </c>
      <c r="C17" s="31" t="str">
        <f t="shared" si="1"/>
        <v>Supplier No</v>
      </c>
      <c r="D17" s="31" t="str">
        <f t="shared" si="2"/>
        <v>supplierNo</v>
      </c>
      <c r="E17" s="31" t="str">
        <f>A.Backend!H11</f>
        <v>string</v>
      </c>
      <c r="F17" s="31" t="str">
        <f>A.Backend!G11</f>
        <v>10</v>
      </c>
      <c r="G17" s="31" t="str">
        <f t="shared" si="3"/>
        <v xml:space="preserve"> : string = '' ; </v>
      </c>
      <c r="H17" s="38" t="str">
        <f t="shared" si="4"/>
        <v xml:space="preserve">			{headerName: this.l('Supplier No'),headerTooltip: this.l('Supplier No'),field: 'supplierNo',flex: 1},</v>
      </c>
      <c r="I17" s="38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supplierNo : string = '' ; </v>
      </c>
      <c r="T17" s="31" t="str">
        <f t="shared" ref="T17:T19" si="10">REPT(CHAR(9),3)&amp;"this."&amp;D17&amp;","</f>
        <v xml:space="preserve">			this.supplierNo,</v>
      </c>
      <c r="U17" s="31" t="str">
        <f t="shared" ref="U17:U19" si="11">IF(E17="int",REPT(CHAR(9),2)&amp;"this."&amp;D17&amp;" = 0,",REPT(CHAR(9),2)&amp;"this."&amp;D17&amp;" = '',")</f>
        <v xml:space="preserve">		this.supplierNo = '',</v>
      </c>
      <c r="V17" s="31" t="str">
        <f t="shared" si="8"/>
        <v/>
      </c>
    </row>
    <row r="18" spans="1:22" ht="18" customHeight="1" x14ac:dyDescent="0.25">
      <c r="A18" s="44" t="s">
        <v>306</v>
      </c>
      <c r="B18" s="31" t="str">
        <f>SUBSTITUTE(PROPER(A18),"_","")</f>
        <v>ModuleNoEci</v>
      </c>
      <c r="C18" s="31" t="str">
        <f>SUBSTITUTE(PROPER(A18),"_"," ")</f>
        <v>Module No Eci</v>
      </c>
      <c r="D18" s="31" t="str">
        <f>LOWER(LEFT(B18,1))&amp;RIGHT(B18,LEN(B18) - 1)</f>
        <v>moduleNoEci</v>
      </c>
      <c r="E18" s="31" t="str">
        <f>A.Backend!H12</f>
        <v>string</v>
      </c>
      <c r="F18" s="31" t="str">
        <f>A.Backend!G12</f>
        <v>10</v>
      </c>
      <c r="G18" s="31" t="str">
        <f t="shared" si="3"/>
        <v xml:space="preserve"> : string = '' ; </v>
      </c>
      <c r="H18" s="38" t="str">
        <f t="shared" si="4"/>
        <v xml:space="preserve">			{headerName: this.l('Module No Eci'),headerTooltip: this.l('Module No Eci'),field: 'moduleNoEci',flex: 1},</v>
      </c>
      <c r="I18" s="38" t="str">
        <f t="shared" si="5"/>
        <v xml:space="preserve">								&lt;div class='input-search'&gt;
									&lt;input [(ngModel)]='moduleNoEci' name='moduleNoEci'
									class='form-control' [placeholder]="l('Module No Eci')"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title'&gt;Module No Eci&lt;/label&gt;
						&lt;input type='text' class='col-md-10 form-control input-text' name='ModuleNoEci' [(ngModel)]='rowdata.moduleNoEci'&gt;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moduleNoEci : string = '' ; </v>
      </c>
      <c r="T18" s="31" t="str">
        <f t="shared" si="10"/>
        <v xml:space="preserve">			this.moduleNoEci,</v>
      </c>
      <c r="U18" s="31" t="str">
        <f t="shared" si="11"/>
        <v xml:space="preserve">		this.moduleNoEci = '',</v>
      </c>
      <c r="V18" s="31" t="str">
        <f t="shared" si="8"/>
        <v/>
      </c>
    </row>
    <row r="19" spans="1:22" ht="15" customHeight="1" x14ac:dyDescent="0.25">
      <c r="A19" s="44" t="s">
        <v>307</v>
      </c>
      <c r="B19" s="31" t="str">
        <f t="shared" ref="B19" si="12">SUBSTITUTE(PROPER(A19),"_","")</f>
        <v>PartNoEci</v>
      </c>
      <c r="C19" s="31" t="str">
        <f t="shared" ref="C19" si="13">SUBSTITUTE(PROPER(A19),"_"," ")</f>
        <v>Part No Eci</v>
      </c>
      <c r="D19" s="31" t="str">
        <f t="shared" ref="D19" si="14">LOWER(LEFT(B19,1))&amp;RIGHT(B19,LEN(B19) - 1)</f>
        <v>partNoEci</v>
      </c>
      <c r="E19" s="31" t="str">
        <f>A.Backend!H13</f>
        <v>string</v>
      </c>
      <c r="F19" s="31" t="str">
        <f>A.Backend!G13</f>
        <v>20</v>
      </c>
      <c r="G19" s="31" t="str">
        <f t="shared" si="3"/>
        <v xml:space="preserve"> : string = '' ; </v>
      </c>
      <c r="H19" s="38" t="str">
        <f t="shared" si="4"/>
        <v xml:space="preserve">			{headerName: this.l('Part No Eci'),headerTooltip: this.l('Part No Eci'),field: 'partNoEci',flex: 1},</v>
      </c>
      <c r="I19" s="38" t="str">
        <f t="shared" si="5"/>
        <v xml:space="preserve">								&lt;div class='input-search'&gt;
									&lt;input [(ngModel)]='partNoEci' name='partNoEci'
									class='form-control' [placeholder]="l('Part No Eci')"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title'&gt;Part No Eci&lt;/label&gt;
						&lt;input type='text' class='col-md-10 form-control input-text' name='PartNoEci' [(ngModel)]='rowdata.partNoEci'&gt;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partNoEci : string = '' ; </v>
      </c>
      <c r="T19" s="31" t="str">
        <f t="shared" si="10"/>
        <v xml:space="preserve">			this.partNoEci,</v>
      </c>
      <c r="U19" s="31" t="str">
        <f t="shared" si="11"/>
        <v xml:space="preserve">		this.partNoEci = '',</v>
      </c>
      <c r="V19" s="31" t="str">
        <f t="shared" si="8"/>
        <v/>
      </c>
    </row>
    <row r="20" spans="1:22" ht="18" customHeight="1" x14ac:dyDescent="0.25">
      <c r="A20" s="44" t="s">
        <v>308</v>
      </c>
      <c r="B20" s="31" t="str">
        <f>SUBSTITUTE(PROPER(A20),"_","")</f>
        <v>SupplierNoEci</v>
      </c>
      <c r="C20" s="31" t="str">
        <f>SUBSTITUTE(PROPER(A20),"_"," ")</f>
        <v>Supplier No Eci</v>
      </c>
      <c r="D20" s="31" t="str">
        <f>LOWER(LEFT(B20,1))&amp;RIGHT(B20,LEN(B20) - 1)</f>
        <v>supplierNoEci</v>
      </c>
      <c r="E20" s="31" t="str">
        <f>A.Backend!H14</f>
        <v>string</v>
      </c>
      <c r="F20" s="31" t="str">
        <f>A.Backend!G14</f>
        <v>10</v>
      </c>
      <c r="G20" s="31" t="str">
        <f>IF(E20="string"," : string = '' ; ",IF(OR(E20="DateTime",E20="TimeSpan")," : any ;",IF(E20="int"," : number = 0 ;","")))</f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this.l('Supplier No Eci'),headerTooltip: this.l('Supplier No Eci'),field: 'supplierNoEci',flex: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[(ngModel)]='supplierNoEci' name='supplierNoEci'
									class='form-control' [placeholder]="l('Supplier No Eci')"
									type='text' (keyup.enter)='searchDatas()'&gt;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title'&gt;Supplier No Eci&lt;/label&gt;
						&lt;input type='text' class='col-md-10 form-control input-text' name='SupplierNoEci' [(ngModel)]='rowdata.supplierNoEci'&gt;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 xml:space="preserve">supplierNoEci : string = '' ; </v>
      </c>
      <c r="T20" s="31" t="str">
        <f>REPT(CHAR(9),3)&amp;"this."&amp;D20&amp;","</f>
        <v xml:space="preserve">			this.supplierNoEci,</v>
      </c>
      <c r="U20" s="31" t="str">
        <f>IF(E20="int","this."&amp;D20&amp;" = 0,","this."&amp;D20&amp;" = '',")</f>
        <v>this.supplierNoEci = '',</v>
      </c>
      <c r="V20" s="31" t="str">
        <f>IF(AND(E20="string",F20="1"),D20,"")</f>
        <v/>
      </c>
    </row>
    <row r="21" spans="1:22" ht="15" customHeight="1" x14ac:dyDescent="0.25">
      <c r="A21" s="44" t="s">
        <v>309</v>
      </c>
      <c r="B21" s="31" t="str">
        <f t="shared" ref="B21:B22" si="15">SUBSTITUTE(PROPER(A21),"_","")</f>
        <v>StartEciSeq</v>
      </c>
      <c r="C21" s="31" t="str">
        <f t="shared" ref="C21:C22" si="16">SUBSTITUTE(PROPER(A21),"_"," ")</f>
        <v>Start Eci Seq</v>
      </c>
      <c r="D21" s="31" t="str">
        <f t="shared" ref="D21:D22" si="17">LOWER(LEFT(B21,1))&amp;RIGHT(B21,LEN(B21) - 1)</f>
        <v>startEciSeq</v>
      </c>
      <c r="E21" s="31" t="str">
        <f>A.Backend!H15</f>
        <v>string</v>
      </c>
      <c r="F21" s="31" t="str">
        <f>A.Backend!G15</f>
        <v>20</v>
      </c>
      <c r="G21" s="31" t="str">
        <f t="shared" ref="G21:G24" si="18">IF(E21="string"," : string = '' ; ",IF(OR(E21="DateTime",E21="TimeSpan")," : any ;",IF(E21="int"," : number = 0 ;","")))</f>
        <v xml:space="preserve"> : string = '' ; </v>
      </c>
      <c r="H21" s="38" t="str">
        <f t="shared" ref="H21:H24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this.l('Start Eci Seq'),headerTooltip: this.l('Start Eci Seq'),field: 'startEciSeq',flex: 1},</v>
      </c>
      <c r="I21" s="38" t="str">
        <f t="shared" ref="I21:I24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[(ngModel)]='startEciSeq' name='startEciSeq'
									class='form-control' [placeholder]="l('Start Eci Seq')"
									type='text' (keyup.enter)='searchDatas()'&gt;
								&lt;/div&gt;</v>
      </c>
      <c r="J21" s="31"/>
      <c r="K21" s="38" t="str">
        <f t="shared" ref="K21:K24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title'&gt;Start Eci Seq&lt;/label&gt;
						&lt;input type='text' class='col-md-10 form-control input-text' name='StartEciSeq' [(ngModel)]='rowdata.startEciSeq'&gt;
					&lt;/div&gt;</v>
      </c>
      <c r="L21" s="60" t="str">
        <f t="shared" ref="L21:L24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startEciSeq : string = '' ; </v>
      </c>
      <c r="T21" s="31" t="str">
        <f>REPT(CHAR(9),3)&amp;"this."&amp;D21&amp;","</f>
        <v xml:space="preserve">			this.startEciSeq,</v>
      </c>
      <c r="U21" s="31" t="str">
        <f>IF(E21="int",REPT(CHAR(9),2)&amp;"this."&amp;D21&amp;" = 0,",REPT(CHAR(9),2)&amp;"this."&amp;D21&amp;" = '',")</f>
        <v xml:space="preserve">		this.startEciSeq = '',</v>
      </c>
      <c r="V21" s="31" t="str">
        <f t="shared" ref="V21:V24" si="23">IF(AND(E21="string",F21="1"),D21,"")</f>
        <v/>
      </c>
    </row>
    <row r="22" spans="1:22" ht="18" customHeight="1" x14ac:dyDescent="0.25">
      <c r="A22" s="44" t="s">
        <v>310</v>
      </c>
      <c r="B22" s="31" t="str">
        <f t="shared" si="15"/>
        <v>StartEciRenban</v>
      </c>
      <c r="C22" s="31" t="str">
        <f t="shared" si="16"/>
        <v>Start Eci Renban</v>
      </c>
      <c r="D22" s="31" t="str">
        <f t="shared" si="17"/>
        <v>startEciRenban</v>
      </c>
      <c r="E22" s="31" t="str">
        <f>A.Backend!H16</f>
        <v>string</v>
      </c>
      <c r="F22" s="31" t="str">
        <f>A.Backend!G16</f>
        <v>20</v>
      </c>
      <c r="G22" s="31" t="str">
        <f t="shared" si="18"/>
        <v xml:space="preserve"> : string = '' ; </v>
      </c>
      <c r="H22" s="38" t="str">
        <f t="shared" si="19"/>
        <v xml:space="preserve">			{headerName: this.l('Start Eci Renban'),headerTooltip: this.l('Start Eci Renban'),field: 'startEciRenban',flex: 1},</v>
      </c>
      <c r="I22" s="38" t="str">
        <f t="shared" si="20"/>
        <v xml:space="preserve">								&lt;div class='input-search'&gt;
									&lt;input [(ngModel)]='startEciRenban' name='startEciRenban'
									class='form-control' [placeholder]="l('Start Eci Renban')"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title'&gt;Start Eci Renban&lt;/label&gt;
						&lt;input type='text' class='col-md-10 form-control input-text' name='StartEciRenban' [(ngModel)]='rowdata.startEciRenban'&gt;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ref="S22:S24" si="24">REPT(CHAR(9),1)&amp;D22&amp;G22</f>
        <v xml:space="preserve">	startEciRenban : string = '' ; </v>
      </c>
      <c r="T22" s="31" t="str">
        <f t="shared" ref="T22:T24" si="25">REPT(CHAR(9),3)&amp;"this."&amp;D22&amp;","</f>
        <v xml:space="preserve">			this.startEciRenban,</v>
      </c>
      <c r="U22" s="31" t="str">
        <f t="shared" ref="U22:U24" si="26">IF(E22="int",REPT(CHAR(9),2)&amp;"this."&amp;D22&amp;" = 0,",REPT(CHAR(9),2)&amp;"this."&amp;D22&amp;" = '',")</f>
        <v xml:space="preserve">		this.startEciRenban = '',</v>
      </c>
      <c r="V22" s="31" t="str">
        <f t="shared" si="23"/>
        <v/>
      </c>
    </row>
    <row r="23" spans="1:22" ht="18" customHeight="1" x14ac:dyDescent="0.25">
      <c r="A23" s="44" t="s">
        <v>311</v>
      </c>
      <c r="B23" s="31" t="str">
        <f>SUBSTITUTE(PROPER(A23),"_","")</f>
        <v>StartEciModule</v>
      </c>
      <c r="C23" s="31" t="str">
        <f>SUBSTITUTE(PROPER(A23),"_"," ")</f>
        <v>Start Eci Module</v>
      </c>
      <c r="D23" s="31" t="str">
        <f>LOWER(LEFT(B23,1))&amp;RIGHT(B23,LEN(B23) - 1)</f>
        <v>startEciModule</v>
      </c>
      <c r="E23" s="31" t="str">
        <f>A.Backend!H17</f>
        <v>string</v>
      </c>
      <c r="F23" s="31" t="str">
        <f>A.Backend!G17</f>
        <v>20</v>
      </c>
      <c r="G23" s="31" t="str">
        <f t="shared" si="18"/>
        <v xml:space="preserve"> : string = '' ; </v>
      </c>
      <c r="H23" s="38" t="str">
        <f t="shared" si="19"/>
        <v xml:space="preserve">			{headerName: this.l('Start Eci Module'),headerTooltip: this.l('Start Eci Module'),field: 'startEciModule',flex: 1},</v>
      </c>
      <c r="I23" s="38" t="str">
        <f t="shared" si="20"/>
        <v xml:space="preserve">								&lt;div class='input-search'&gt;
									&lt;input [(ngModel)]='startEciModule' name='startEciModule'
									class='form-control' [placeholder]="l('Start Eci Module')"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title'&gt;Start Eci Module&lt;/label&gt;
						&lt;input type='text' class='col-md-10 form-control input-text' name='StartEciModule' [(ngModel)]='rowdata.startEciModule'&gt;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startEciModule : string = '' ; </v>
      </c>
      <c r="T23" s="31" t="str">
        <f t="shared" si="25"/>
        <v xml:space="preserve">			this.startEciModule,</v>
      </c>
      <c r="U23" s="31" t="str">
        <f t="shared" si="26"/>
        <v xml:space="preserve">		this.startEciModule = '',</v>
      </c>
      <c r="V23" s="31" t="str">
        <f t="shared" si="23"/>
        <v/>
      </c>
    </row>
    <row r="24" spans="1:22" ht="15" customHeight="1" x14ac:dyDescent="0.25">
      <c r="A24" s="44" t="s">
        <v>312</v>
      </c>
      <c r="B24" s="31" t="str">
        <f t="shared" ref="B24" si="27">SUBSTITUTE(PROPER(A24),"_","")</f>
        <v>IsActive</v>
      </c>
      <c r="C24" s="31" t="str">
        <f t="shared" ref="C24" si="28">SUBSTITUTE(PROPER(A24),"_"," ")</f>
        <v>Is Active</v>
      </c>
      <c r="D24" s="31" t="str">
        <f t="shared" ref="D24" si="29">LOWER(LEFT(B24,1))&amp;RIGHT(B24,LEN(B24) - 1)</f>
        <v>isActive</v>
      </c>
      <c r="E24" s="31" t="str">
        <f>A.Backend!H18</f>
        <v>string</v>
      </c>
      <c r="F24" s="31" t="str">
        <f>A.Backend!G18</f>
        <v>1</v>
      </c>
      <c r="G24" s="31" t="str">
        <f t="shared" si="18"/>
        <v xml:space="preserve"> : string = '' ; </v>
      </c>
      <c r="H24" s="38" t="str">
        <f t="shared" si="19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4" s="38" t="str">
        <f t="shared" si="20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4" s="31"/>
      <c r="K24" s="38" t="str">
        <f t="shared" si="21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4" s="60" t="str">
        <f t="shared" si="22"/>
        <v/>
      </c>
      <c r="M24" s="31"/>
      <c r="N24" s="31"/>
      <c r="O24" s="31"/>
      <c r="P24" s="31"/>
      <c r="Q24" s="31"/>
      <c r="R24" s="31"/>
      <c r="S24" s="31" t="str">
        <f t="shared" si="24"/>
        <v xml:space="preserve">	isActive : string = '' ; </v>
      </c>
      <c r="T24" s="31" t="str">
        <f t="shared" si="25"/>
        <v xml:space="preserve">			this.isActive,</v>
      </c>
      <c r="U24" s="31" t="str">
        <f t="shared" si="26"/>
        <v xml:space="preserve">		this.isActive = '',</v>
      </c>
      <c r="V24" s="31" t="str">
        <f t="shared" si="23"/>
        <v>isActive</v>
      </c>
    </row>
    <row r="2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2022-07-13T10:12:00Z</dcterms:modified>
</cp:coreProperties>
</file>
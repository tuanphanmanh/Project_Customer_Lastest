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L17" i="1" l="1"/>
  <c r="G17" i="1"/>
  <c r="E17" i="1"/>
  <c r="H17" i="1" s="1"/>
  <c r="D17" i="1"/>
  <c r="V17" i="1" s="1"/>
  <c r="L15" i="1"/>
  <c r="G15" i="1"/>
  <c r="E15" i="1"/>
  <c r="H15" i="1" s="1"/>
  <c r="D15" i="1"/>
  <c r="V15" i="1" s="1"/>
  <c r="W17" i="1" l="1"/>
  <c r="N17" i="1"/>
  <c r="I17" i="1"/>
  <c r="J17" i="1"/>
  <c r="M17" i="1"/>
  <c r="O17" i="1"/>
  <c r="P17" i="1"/>
  <c r="T17" i="1"/>
  <c r="W15" i="1"/>
  <c r="O15" i="1"/>
  <c r="J15" i="1"/>
  <c r="N15" i="1"/>
  <c r="I15" i="1"/>
  <c r="M15" i="1"/>
  <c r="P15" i="1"/>
  <c r="T15" i="1"/>
  <c r="C23" i="5"/>
  <c r="B23" i="5"/>
  <c r="D23" i="5" s="1"/>
  <c r="T23" i="5" s="1"/>
  <c r="C22" i="5"/>
  <c r="B22" i="5"/>
  <c r="D22" i="5" s="1"/>
  <c r="C21" i="5"/>
  <c r="B21" i="5"/>
  <c r="D21" i="5" s="1"/>
  <c r="T21" i="5" s="1"/>
  <c r="T22" i="5" l="1"/>
  <c r="G16" i="1" l="1"/>
  <c r="E16" i="1"/>
  <c r="H16" i="1" s="1"/>
  <c r="D16" i="1"/>
  <c r="V16" i="1" s="1"/>
  <c r="G14" i="1"/>
  <c r="E14" i="1"/>
  <c r="H14" i="1" s="1"/>
  <c r="D14" i="1"/>
  <c r="V14" i="1" s="1"/>
  <c r="H21" i="5" l="1"/>
  <c r="I22" i="5"/>
  <c r="K22" i="5"/>
  <c r="L22" i="5"/>
  <c r="H22" i="5"/>
  <c r="V22" i="5"/>
  <c r="U22" i="5"/>
  <c r="G22" i="5"/>
  <c r="S22" i="5" s="1"/>
  <c r="G23" i="5"/>
  <c r="S23" i="5" s="1"/>
  <c r="U23" i="5"/>
  <c r="V23" i="5"/>
  <c r="L23" i="5"/>
  <c r="H23" i="5"/>
  <c r="I23" i="5"/>
  <c r="K23" i="5"/>
  <c r="L21" i="5"/>
  <c r="G21" i="5"/>
  <c r="S21" i="5" s="1"/>
  <c r="U21" i="5"/>
  <c r="K21" i="5"/>
  <c r="V21" i="5"/>
  <c r="I21" i="5"/>
  <c r="M16" i="1"/>
  <c r="N16" i="1"/>
  <c r="P14" i="1"/>
  <c r="W14" i="1"/>
  <c r="O14" i="1"/>
  <c r="J14" i="1"/>
  <c r="N14" i="1"/>
  <c r="I14" i="1"/>
  <c r="M14" i="1"/>
  <c r="T16" i="1"/>
  <c r="P16" i="1"/>
  <c r="I16" i="1"/>
  <c r="T14" i="1"/>
  <c r="J16" i="1"/>
  <c r="O16" i="1"/>
  <c r="W16" i="1"/>
  <c r="C20" i="5" l="1"/>
  <c r="G13" i="1"/>
  <c r="E13" i="1"/>
  <c r="H13" i="1" s="1"/>
  <c r="D13" i="1"/>
  <c r="P13" i="1" s="1"/>
  <c r="V20" i="5" l="1"/>
  <c r="B20" i="5"/>
  <c r="D20" i="5" s="1"/>
  <c r="I20" i="5" s="1"/>
  <c r="G20" i="5"/>
  <c r="L20" i="5"/>
  <c r="W13" i="1"/>
  <c r="T13" i="1"/>
  <c r="M13" i="1"/>
  <c r="I13" i="1"/>
  <c r="N13" i="1"/>
  <c r="V13" i="1"/>
  <c r="J13" i="1"/>
  <c r="O13" i="1"/>
  <c r="K20" i="5" l="1"/>
  <c r="U20" i="5"/>
  <c r="T20" i="5"/>
  <c r="S20" i="5"/>
  <c r="H20" i="5"/>
  <c r="W3" i="1"/>
  <c r="V3" i="1"/>
  <c r="B2" i="5" l="1"/>
  <c r="B3" i="5" s="1"/>
  <c r="C19" i="5"/>
  <c r="B18" i="5"/>
  <c r="D18" i="5" s="1"/>
  <c r="G12" i="1"/>
  <c r="E12" i="1"/>
  <c r="H12" i="1" s="1"/>
  <c r="D12" i="1"/>
  <c r="N12" i="1" l="1"/>
  <c r="O12" i="1"/>
  <c r="M12" i="1"/>
  <c r="T12" i="1"/>
  <c r="V12" i="1"/>
  <c r="W12" i="1"/>
  <c r="T18" i="5"/>
  <c r="P12" i="1"/>
  <c r="C18" i="5"/>
  <c r="B19" i="5"/>
  <c r="D19" i="5" s="1"/>
  <c r="I12" i="1"/>
  <c r="J12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9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9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9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K13" i="5"/>
  <c r="I13" i="5"/>
  <c r="V13" i="5"/>
  <c r="H13" i="5"/>
  <c r="S13" i="5"/>
  <c r="U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16" i="1"/>
  <c r="L11" i="1"/>
  <c r="L12" i="1"/>
  <c r="L13" i="1"/>
  <c r="L9" i="1"/>
  <c r="L10" i="1"/>
  <c r="J11" i="1"/>
  <c r="J9" i="1"/>
  <c r="J10" i="1"/>
  <c r="C7" i="1"/>
  <c r="J19" i="1"/>
  <c r="I19" i="1"/>
  <c r="P19" i="1"/>
  <c r="N19" i="1"/>
  <c r="O19" i="1"/>
  <c r="Q7" i="1" l="1"/>
  <c r="M47" i="3" s="1"/>
  <c r="L7" i="1"/>
  <c r="G47" i="3" s="1"/>
  <c r="K47" i="3"/>
  <c r="J47" i="3"/>
  <c r="M19" i="1"/>
  <c r="K19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<sst xmlns="http://schemas.openxmlformats.org/spreadsheetml/2006/main" count="405" uniqueCount="316">
  <si>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</si>
  <si>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</si>
  <si>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</si>
  <si>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</si>
  <si>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</si>
  <si>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</si>
  <si>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</si>
  <si>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</si>
  <si>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</si>
  <si>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</si>
  <si>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</si>
  <si>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</si>
  <si>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</si>
  <si>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</si>
  <si>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</si>
  <si>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</si>
  <si>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</si>
  <si>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</si>
  <si>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</si>
  <si>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</si>
  <si>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</si>
  <si>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</si>
  <si>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</si>
  <si>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</si>
  <si>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</si>
  <si>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</si>
  <si>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</si>
  <si>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</si>
  <si>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</si>
  <si>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</si>
  <si>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</si>
  <si>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</si>
  <si>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</si>
  <si>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</si>
  <si>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</si>
  <si>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</si>
  <si>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</si>
  <si>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</si>
  <si>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</si>
  <si>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</si>
  <si>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</si>
  <si>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</si>
  <si>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</si>
  <si>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</si>
  <si>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</si>
  <si>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</si>
  <si>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</si>
  <si>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</si>
  <si>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</si>
  <si>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</si>
  <si>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</si>
  <si>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</si>
  <si>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</si>
  <si>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</si>
  <si>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</si>
  <si>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</si>
  <si>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</si>
  <si>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</si>
  <si>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</si>
  <si>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</si>
  <si>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</si>
  <si>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</si>
  <si>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</si>
  <si>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</si>
  <si>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</si>
  <si>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</si>
  <si>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</si>
  <si>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</si>
  <si>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</si>
  <si>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</si>
  <si>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</si>
  <si>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</si>
  <si>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</si>
  <si>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</si>
  <si>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</si>
  <si>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</si>
  <si>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</si>
  <si>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</si>
  <si>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</si>
  <si>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</si>
  <si>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</si>
  <si>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</si>
  <si>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</si>
  <si>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</si>
  <si>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</si>
  <si>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</si>
  <si>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</si>
  <si>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</si>
  <si>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</si>
  <si>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</si>
  <si>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</si>
  <si>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</si>
  <si>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</si>
  <si>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</si>
  <si>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</si>
  <si>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</si>
  <si>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</si>
  <si>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</si>
  <si>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</si>
  <si>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</si>
  <si>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</si>
  <si>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</si>
  <si>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</si>
  <si>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</si>
  <si>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</si>
  <si>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</si>
  <si>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</si>
  <si>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</si>
  <si>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</si>
  <si>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</si>
  <si>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</si>
  <si>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</si>
  <si>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</si>
  <si>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</si>
  <si>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</si>
  <si>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</si>
  <si>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</si>
  <si>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</si>
  <si>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</si>
  <si>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</si>
  <si>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</si>
  <si>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</si>
  <si>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</si>
  <si>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</si>
  <si>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</si>
  <si>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</si>
  <si>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</si>
  <si>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</si>
  <si>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</si>
  <si>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</si>
  <si>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</si>
  <si>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</si>
  <si>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</si>
  <si>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</si>
  <si>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</si>
  <si>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</si>
  <si>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</si>
  <si>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</si>
  <si>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</si>
  <si>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</si>
  <si>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</si>
  <si>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</si>
  <si>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</si>
  <si>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</si>
  <si>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</si>
  <si>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</si>
  <si>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</si>
  <si>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</si>
  <si>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</si>
  <si>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</si>
  <si>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</si>
  <si>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</si>
  <si>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</si>
  <si>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</si>
  <si>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</si>
  <si>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</si>
  <si>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</si>
  <si>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</si>
  <si>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</si>
  <si>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</si>
  <si>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</si>
  <si>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</si>
  <si>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</si>
  <si>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</si>
  <si>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</si>
  <si>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</si>
  <si>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</si>
  <si>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</si>
  <si>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</si>
  <si>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</si>
  <si>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</si>
  <si>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</si>
  <si>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</si>
  <si>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</si>
  <si>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</si>
  <si>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</si>
  <si>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</si>
  <si>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</si>
  <si>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</si>
  <si>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</si>
  <si>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</si>
  <si>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</si>
  <si>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</si>
  <si>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</si>
  <si>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</si>
  <si>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</si>
  <si>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</si>
  <si>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</si>
  <si>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</si>
  <si>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</si>
  <si>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</si>
  <si>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</si>
  <si>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</si>
  <si>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</si>
  <si>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</si>
  <si>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</si>
  <si>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</si>
  <si>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</si>
  <si>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</si>
  <si>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</si>
  <si>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</si>
  <si>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</si>
  <si>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</si>
  <si>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</si>
  <si>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</si>
  <si>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</si>
  <si>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</si>
  <si>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</si>
  <si>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</si>
  <si>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</si>
  <si>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</si>
  <si>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</si>
  <si>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</si>
  <si>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</si>
  <si>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</si>
  <si>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</si>
  <si>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</si>
  <si>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</si>
  <si>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</si>
  <si>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</si>
  <si>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</si>
  <si>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</si>
  <si>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</si>
  <si>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</si>
  <si>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</si>
  <si>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</si>
  <si>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</si>
  <si>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</si>
  <si>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</si>
  <si>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</si>
  <si>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</si>
  <si>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</si>
  <si>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</si>
  <si>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</si>
  <si>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</si>
  <si>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</si>
  <si>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</si>
  <si>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</si>
  <si>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</si>
  <si>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</si>
  <si>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</si>
  <si>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</si>
  <si>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</si>
  <si>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</si>
  <si>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</si>
  <si>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</si>
  <si>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</si>
  <si>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</si>
  <si>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</si>
  <si>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</si>
  <si>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</si>
  <si>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</si>
  <si>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</si>
  <si>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</si>
  <si>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</si>
  <si>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</si>
  <si>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</si>
  <si>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</si>
  <si>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</si>
  <si>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</si>
  <si>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</si>
  <si>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</si>
  <si>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</si>
  <si>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</si>
  <si>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</si>
  <si>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</si>
  <si>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</si>
  <si>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</si>
  <si>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</si>
  <si>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</si>
  <si>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</si>
  <si>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</si>
  <si>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</si>
  <si>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</si>
  <si>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</si>
  <si>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</si>
  <si>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</si>
  <si>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</si>
  <si>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</si>
  <si>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</si>
  <si>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</si>
  <si>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</si>
  <si>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</si>
  <si>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</si>
  <si>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</si>
  <si>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</si>
  <si>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</si>
  <si>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</si>
  <si>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</si>
  <si>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</si>
  <si>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</si>
  <si>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</si>
  <si>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</si>
  <si>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</si>
  <si>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</si>
  <si>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</si>
  <si>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</si>
  <si>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</si>
  <si>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</si>
  <si>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</si>
  <si>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</si>
  <si>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</si>
  <si>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</si>
  <si>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Master.LogW</t>
  </si>
  <si>
    <t>MstLgwLayoutSetup</t>
  </si>
  <si>
    <t>LayoutSetup</t>
  </si>
  <si>
    <t>ZONE</t>
  </si>
  <si>
    <t>nvarchar(50)</t>
  </si>
  <si>
    <t>SUB_SCREEN_NO</t>
  </si>
  <si>
    <t>SCREEN_AREA</t>
  </si>
  <si>
    <t>CELL_NAME</t>
  </si>
  <si>
    <t>CELL_TYPE</t>
  </si>
  <si>
    <t>NUM_ROW</t>
  </si>
  <si>
    <t>COLUMN_NAME</t>
  </si>
  <si>
    <t>IS_DISABLED</t>
  </si>
  <si>
    <t>Master LogW Layout Setup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</si>
</sst>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workbookViewId="0">
      <selection activeCell="C8" sqref="C8:G2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[Table("MstLgwLayoutSetup")]
	[Index(nameof(Zone), Name="IX_MstLgwLayoutSetup_Zone")]
	[Index(nameof(SubScreenNo), Name="IX_MstLgwLayoutSetup_SubScreenNo")]
	[Index(nameof(ScreenArea), Name="IX_MstLgwLayoutSetup_ScreenArea")]
	[Index(nameof(IsDisabled), Name="IX_MstLgwLayoutSetup_IsDisabled")]
	[Index(nameof(IsActive), Name="IX_MstLgwLayoutSetup_IsActive")]	public class MstLgwLayoutSetup: FullAuditedEntity&lt;long&gt;, IEntity&lt;long&gt;	
	{
		public const int MaxZoneLength = 50;
		public const int MaxScreenAreaLength = 50;
		public const int MaxCellNameLength = 50;
		public const int MaxCellTypeLength = 50;
		public const int MaxColumnNameLength = 50;
		public const int MaxIsDisabledLength = 1;
		public const int MaxIsActiveLength = 1;
		[StringLength(MaxZoneLength)]
		public virtual string Zone { get; set; }
		public virtual int SubScreenNo { get; set; }
		[StringLength(MaxScreenAreaLength)]
		public virtual string ScreenArea { get; set; }
		[StringLength(MaxCellNameLength)]
		public virtual string CellName { get; set; }
		[StringLength(MaxCellTypeLength)]
		public virtual string CellType { get; set; }
		public virtual int NumRow { get; set; }
		[StringLength(MaxColumnNameLength)]
		public virtual string ColumnName { get; set; }
		[StringLength(MaxIsDisabledLength)]
		public virtual string IsDisabled { get; set; }
		[StringLength(MaxIsActiveLength)]
		public virtual string IsActive { get; set; }
	}
}
</v>
      </c>
      <c r="D47" s="51" t="str">
        <f>A.Backend!O7</f>
        <v xml:space="preserve">		public const string Pages_Master_LogW_LayoutSetup = "Pages.Master.LogW.LayoutSetup";
		public const string Pages_Master_LogW_LayoutSetup_CreateEdit = "Pages.Master.LogW.LayoutSetup.CreateEdit";
		public const string Pages_Master_LogW_LayoutSetup_Delete = "Pages.Master.LogW.LayoutSetup.Delete";
</v>
      </c>
      <c r="E47" s="51" t="str">
        <f>A.Backend!N7</f>
        <v xml:space="preserve">		var perMstLgwLayoutSetup = PARENTS.CreateChildPermission(AppPermissions.Pages_Master_LogW_LayoutSetup, L( "MasterLogWLayoutSetup"));
		perMstLgwLayoutSetup.CreateChildPermission(AppPermissions.Pages_Master_LogW_LayoutSetup_CreateEdit, L( "MasterLogWLayoutSetupCreateEdit"));
		perMstLgwLayoutSetup.CreateChildPermission(AppPermissions.Pages_Master_LogW_LayoutSetup_Delete, L( "MasterLogWLayoutSetupDelete"));</v>
      </c>
      <c r="F47" s="51" t="str">
        <f>A.Backend!K7</f>
        <v>public virtual DbSet&lt;MstLgwLayoutSetup&gt; MstLgwLayoutSetups { get; set; }</v>
      </c>
      <c r="G47" s="51" t="str">
        <f ca="1">A.Backend!L7</f>
        <v xml:space="preserve">namespace vovina.Master.LogW
{
	public class MstLgwLayoutSetupConsts	
	{
		public const int MaxZoneLength = 50;
		public const int MaxScreenAreaLength = 50;
		public const int MaxCellNameLength = 50;
		public const int MaxCellTypeLength = 50;
		public const int MaxColumnNameLength = 50;
		public const int MaxIsDisabledLength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MstLgwLayoutSetupDto : EntityDto&lt;long?&gt;	
	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	public class CreateOrEditMstLgwLayoutSetupDto : EntityDto&lt;long?&gt;	
	{
		[StringLength(MstLgwLayoutSetupConsts.MaxZoneLength)]
		public virtual string Zone { get; set; }
		public virtual int SubScreenNo { get; set; }
		[StringLength(MstLgwLayoutSetupConsts.MaxScreenAreaLength)]
		public virtual string ScreenArea { get; set; }
		[StringLength(MstLgwLayoutSetupConsts.MaxCellNameLength)]
		public virtual string CellName { get; set; }
		[StringLength(MstLgwLayoutSetupConsts.MaxCellTypeLength)]
		public virtual string CellType { get; set; }
		public virtual int NumRow { get; set; }
		[StringLength(MstLgwLayoutSetupConsts.MaxColumnNameLength)]
		public virtual string ColumnName { get; set; }
		[StringLength(MstLgwLayoutSetupConsts.MaxIsDisabledLength)]
		public virtual string IsDisabled { get; set; }
		[StringLength(MstLgwLayoutSetupConsts.MaxIsActiveLength)]
		public virtual string IsActive { get; set; }
	}
	public class GetMstLgwLayoutSetupInput : PagedAndSortedResultRequestDto	
	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MstLgwLayoutSetupExportInput{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IMstLgwLayoutSetupAppService : IApplicationService
	{
		Task&lt;PagedResultDto&lt;MstLgwLayoutSetupDto&gt;&gt; GetAll(GetMstLgwLayoutSetupInput input);
		Task CreateOrEdit(CreateOrEditMstLgwLayoutSetupDto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IMstLgwLayoutSetupExcelExporter : IApplicationService
	{
		FileDto ExportToFile(List&lt;MstLgwLayoutSetupDto&gt; mstlgwlayoutsetup);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MstLgwLayoutSetupExcelExporter : NpoiExcelExporterBase, IMstLgwLayoutSetupExcelExporter
    {
        public MstLgwLayoutSetupExcelExporter(ITempFileCacheManager tempFileCacheManager) : base(tempFileCacheManager) { }
        public FileDto ExportToFile(List&lt;MstLgwLayoutSetupDto&gt; layoutsetup)
        {
            return CreateExcelPackage(
				"MasterLogWLayoutSetup.xlsx",
				excelPackage =&gt;
				 {
					var sheet = excelPackage.CreateSheet("LayoutSetup");
					AddHeader(
								sheet,
								("Zone"),
								("SubScreenNo"),
								("ScreenArea"),
								("CellName"),
								("CellType"),
								("NumRow"),
								("ColumnName"),
								("IsDisabled"),
								("IsActive"),
							   );
					AddObjects(
						 sheet, 1, layoutsetup,                                       
								_ =&gt; _.Zone,
								_ =&gt; _.SubScreenNo,
								_ =&gt; _.ScreenArea,
								_ =&gt; _.CellName,
								_ =&gt; _.CellType,
								_ =&gt; _.NumRow,
								_ =&gt; _.ColumnName,
								_ =&gt; _.IsDisabled,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[AbpAuthorize(AppPermissions.Pages_Master_LogW_LayoutSetup)]
    public class MstLgwLayoutSetupAppService : vovinaAppServiceBase, IMstLgwLayoutSetupAppService
    {
        private readonly IDapperRepository&lt;MstLgwLayoutSetup, long&gt; _dapperRepo;
        private readonly IRepository&lt;MstLgwLayoutSetup, long&gt; _repo;
        private readonly IMstLgwLayoutSetupExcelExporter _calendarListExcelExporter;
        public MstLgwLayoutSetupAppService(IRepository&lt;MstLgwLayoutSetup,long&gt; repo, 
                                         IDapperRepository&lt;MstLgwLayoutSetup,long&gt; dapperRepo,
                                        IMstLgwLayoutSetupExcelExporter calendarListExcelExporter
            )
        {
            _repo = repo;
            _dapperRepo = dapperRepo;
            _calendarListExcelExporter = calendarListExcelExporter;
        }
        [AbpAuthorize(AppPermissions.Pages_Master_LogW_LayoutSetup_CreateEdit)]
        public async Task CreateOrEdit(CreateOrEditMstLgwLayoutSetupDto input)
        {
            if (input.Id == null) await Create(input);
            else await Update(input);
        }
        //CREATE
        private async Task Create(CreateOrEditMstLgwLayoutSetupDto input)
        {          
            var mainObj = ObjectMapper.Map&lt;MstLgwLayoutSetup&gt;(input);
            await CurrentUnitOfWork.GetDbContext&lt;vovinaDbContext&gt;().AddAsync(mainObj);
        }
        // EDIT
        private async Task Update(CreateOrEditMstLgwLayoutSetupDto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[AbpAuthorize(AppPermissions.Pages_Master_LogW_LayoutSetup_Delete)]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Task&lt;PagedResultDto&lt;MstLgwLayoutSetupDto&gt;&gt; GetAll(GetMstLgwLayoutSetupInput input)
        {
            var filtered = _repo.GetAll()
				.WhereIf(!string.IsNullOrWhiteSpace(input.Zone), e =&gt; e.Zone.Contains(input.Zone))
				.WhereIf(!string.IsNullOrWhiteSpace(input.ScreenArea), e =&gt; e.ScreenArea.Contains(input.ScreenArea))
				.WhereIf(!string.IsNullOrWhiteSpace(input.CellName), e =&gt; e.CellName.Contains(input.CellName))
				.WhereIf(!string.IsNullOrWhiteSpace(input.CellType), e =&gt; e.CellType.Contains(input.CellType))
				.WhereIf(!string.IsNullOrWhiteSpace(input.ColumnName), e =&gt; e.ColumnName.Contains(input.ColumnName))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MstLgwLayoutSetupDto
                        {
							Id = o.Id,
							Zone = o.Zone,
							SubScreenNo = o.SubScreenNo,
							ScreenArea = o.ScreenArea,
							CellName = o.CellName,
							CellType = o.CellType,
							NumRow = o.NumRow,
							ColumnName = o.ColumnName,
							IsDisabled = o.IsDisabled,
							IsActive = o.IsActive,
                        };
            var totalCount = await filtered.CountAsync();
			var paged = system.PageBy(input);
            return new PagedResultDto&lt;MstLgwLayoutSetupDto&gt;(
                totalCount,
                 await paged.ToListAsync()
            );
        }
        public async Task&lt;FileDto&gt; GetLayoutSetupToExcel(MstLgwLayoutSetupExportInput input)
        {
            var query = from o in _repo.GetAll()
                        select new MstLgwLayoutSetupDto
                        {
							Id = o.Id,
							Zone = o.Zone,
							SubScreenNo = o.SubScreenNo,
							ScreenArea = o.ScreenArea,
							CellName = o.CellName,
							CellType = o.CellType,
							NumRow = o.NumRow,
							ColumnName = o.ColumnName,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_dapperRepo.ExecuteAsync(MstLgwLayoutSetupConsts.SP_MST_WPT_CALENDAR_GENERATE);
       // }
    }
}</v>
      </c>
      <c r="N47" s="62" t="str">
        <f>A.Backend!U7</f>
        <v xml:space="preserve">  configuration.CreateMap&lt;MstLgwLayoutSetupDto, MstLgwLayoutSetup&gt;();
  configuration.CreateMap&lt;MstLgwLayoutSetup, MstLgwLayoutSetupDto&gt;();
  configuration.CreateMap&lt;CreateOrEditMstLgwLayoutSetupDto, MstLgwLayoutSetup&gt;();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layoutsetup</v>
      </c>
      <c r="C52" s="72" t="str">
        <f>"create folder " &amp;B52</f>
        <v>create folder layoutsetup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layoutsetup.component.ts</v>
      </c>
      <c r="D53" s="31" t="str">
        <f>B.Frontend!I14</f>
        <v>layoutsetup.component.html</v>
      </c>
      <c r="E53" s="31" t="str">
        <f>B.Frontend!J14</f>
        <v>layoutsetup.component.less</v>
      </c>
      <c r="F53" s="31" t="str">
        <f>B.Frontend!K14</f>
        <v>create-or-edit-layoutsetup-modal.component.html</v>
      </c>
      <c r="G53" s="31" t="str">
        <f>B.Frontend!L14</f>
        <v>create-or-edit-layoutsetup-modal.component.ts</v>
      </c>
      <c r="H53" s="31" t="str">
        <f>B.Frontend!M14</f>
        <v>create-or-edit-layoutsetup-modal.component.less</v>
      </c>
      <c r="I53" s="31" t="str">
        <f>B.Frontend!N14</f>
        <v>layoutsetup.module.ts</v>
      </c>
      <c r="J53" s="31" t="str">
        <f>B.Frontend!O14</f>
        <v>layoutsetup-routing.module.ts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MstLgwLayoutSetupDto, MstLgwLayoutSetupServiceProxy } from '@shared/service-proxies/service-proxies';
import { finalize } from 'rxjs/internal/operators/finalize';
import { CreateOrEditLayoutSetupModalComponent } from './create-or-edit-layoutsetup-modal.component';
import { DatePipe } from '@angular/common';
import { FileDownloadService } from '@shared/utils/file-download.service';
import ceil from 'lodash-es/ceil';
import { Paginator } from 'primeng/paginator';
@Component({
    templateUrl: './layoutsetup.component.html',
    styleUrls: ['./layoutsetup.component.less'],
})
export class LayoutSetupComponent extends AppComponentBase implements OnInit {
    @ViewChild('createOrEditModalLayoutSetup', { static: true }) createOrEditModalLayoutSetup:| CreateOrEditLayoutSetupModalComponent|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MstLgwLayoutSetupDto = new MstLgwLayoutSetupDto();
    saveSelectedRow: MstLgwLayoutSetupDto = new MstLgwLayoutSetupDto();
    datas: MstLgwLayoutSetupDto = new MstLgwLayoutSetupDto();
    isLoading: boolean = false;
    dataParams: GridParams | undefined;
    rowData: any[] = [];
    gridApi!: GridApi;
    rowSelection = 'multiple';
    filter: string = '';
	pipe = new DatePipe('en-US');
	frameworkComponents: FrameworkComponent;
    zone : string = '' ; 
	subScreenNo : number = 0 ;
	screenArea : string = '' ; 
	cellName : string = '' ; 
	cellType : string = '' ; 
numRow : number = 0 ;
	columnName : string = '' ; 
	isDisabled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MstLgwLayoutSetupServiceProxy,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this.l('Zone'),headerTooltip: this.l('Zone'),field: 'zone',flex: 1},
			{headerName: this.l('Sub Screen No'),headerTooltip: this.l('Sub Screen No'),field: 'subScreenNo',flex: 1},
			{headerName: this.l('Screen Area'),headerTooltip: this.l('Screen Area'),field: 'screenArea',flex: 1},
			{headerName: this.l('Cell Name'),headerTooltip: this.l('Cell Name'),field: 'cellName',flex: 1},
			{headerName: this.l('Cell Type'),headerTooltip: this.l('Cell Type'),field: 'cellType',flex: 1},
			{headerName: this.l('Num Row'),headerTooltip: this.l('Num Row'),field: 'numRow',flex: 1},
			{headerName: this.l('Column Name'),headerTooltip: this.l('Column Name'),field: 'columnName',flex: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this.zone,
			this.subScreenNo,
			this.screenArea,
			this.cellName,
			this.cellType,
			this.numRow,
			this.columnName,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this.zone = '',
		this.subScreenNo = 0,
		this.screenArea = '',
		this.cellName = '',
		this.cellType = '',
this.numRow = 0,
		this.columnName = '',
		this.isDisabled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this.zone,
			this.subScreenNo,
			this.screenArea,
			this.cellName,
			this.cellType,
			this.numRow,
			this.columnName,
			this.isDisabled,
			this.isActive,
			'',
            this.paginationParams.skipCount,
            this.paginationParams.pageSize
        );
    }
    onChangeRowSelection(params: { api: { getSelectedRows: () =&gt; MstLgwLayoutSetupDto[] } }) {
        this.saveSelectedRow = params.api.getSelectedRows()[0] ?? new MstLgwLayoutSetupDto();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MstLgwLayoutSetupDto):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this._service.getLayoutSetupToExcel(
			this.zone,
			this.subScreenNo,
			this.screenArea,
			this.cellName,
			this.cellType,
			this.numRow,
			this.columnName,
			this.isDisabled,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Layout Setup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[(ngModel)]='zone' name='zone'
									class='form-control' [placeholder]="l('Zone')"
									type='text' (keyup.enter)='searchDatas()'&gt;
								&lt;/div&gt;
								&lt;div class='input-search'&gt;
									&lt;input [(ngModel)]='screenArea' name='screenArea'
									class='form-control' [placeholder]="l('Screen Area')"
									type='text' (keyup.enter)='searchDatas()'&gt;
								&lt;/div&gt;
								&lt;div class='input-search'&gt;
									&lt;input [(ngModel)]='cellName' name='cellName'
									class='form-control' [placeholder]="l('Cell Name')"
									type='text' (keyup.enter)='searchDatas()'&gt;
								&lt;/div&gt;
								&lt;div class='input-search'&gt;
									&lt;input [(ngModel)]='cellType' name='cellType'
									class='form-control' [placeholder]="l('Cell Type')"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(click)="createOrEditModalLayoutSetup.show()"&gt;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(click)="createOrEditModalLayoutSetup.show(selectedRow)"&gt;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&lt;create-or-edit-layoutsetup-modal
    #createOrEditModalLayoutSetup
    (modalSave)="callBackDataGrid(dataParams)"
    (modalClose)="onChangeRowSelection(dataParams)"
&gt;
&lt;/create-or-edit-layoutsetup-modal&gt;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#createOrEditModalLayoutSetup="bs-modal"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LayoutSetup')}}&lt;/h3&gt;
                    &lt;h3 *ngIf="!rowdata.id"&gt;{{('Create New LayoutSetup')}}&lt;/h3&gt;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title'&gt;Zone&lt;/label&gt;
						&lt;input type='text' class='col-md-10 form-control input-text' name='Zone' [(ngModel)]='rowdata.zone'&gt;
					&lt;/div&gt;
					&lt;div class='col-md-12 form-group row'&gt;
						&lt;label class='col-md-2 form-control title'&gt;Sub Screen No&lt;/label&gt;
						&lt;input type='number' class='col-md-10 form-control input-text' name='SubScreenNo' [(ngModel)]='rowdata.subScreenNo'&gt;
					&lt;/div&gt;
					&lt;div class='col-md-12 form-group row'&gt;
						&lt;label class='col-md-2 form-control title'&gt;Screen Area&lt;/label&gt;
						&lt;input type='text' class='col-md-10 form-control input-text' name='ScreenArea' [(ngModel)]='rowdata.screenArea'&gt;
					&lt;/div&gt;
					&lt;div class='col-md-12 form-group row'&gt;
						&lt;label class='col-md-2 form-control title'&gt;Cell Name&lt;/label&gt;
						&lt;input type='text' class='col-md-10 form-control input-text' name='CellName' [(ngModel)]='rowdata.cellName'&gt;
					&lt;/div&gt;
					&lt;div class='col-md-12 form-group row'&gt;
						&lt;label class='col-md-2 form-control title'&gt;Cell Type&lt;/label&gt;
						&lt;input type='text' class='col-md-10 form-control input-text' name='CellType' [(ngModel)]='rowdata.cellType'&gt;
					&lt;/div&gt;
					&lt;div class='col-md-12 form-group row'&gt;
						&lt;label class='col-md-2 form-control title'&gt;Num Row&lt;/label&gt;
						&lt;input type='number' class='col-md-10 form-control input-text' name='NumRow' [(ngModel)]='rowdata.numRow'&gt;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CreateOrEditMstLgwLayoutSetupDto, MstLgwLayoutSetupServiceProxy } from '@shared/service-proxies/service-proxies';
import { BsDatepickerDirective } from 'ngx-bootstrap/datepicker';
@Component({
    selector: 'create-or-edit-layoutsetup-modal',
    templateUrl: './create-or-edit-layoutsetup-modal.component.html',
    styleUrls: ['./create-or-edit-layoutsetup-modal.component.less']
    })
export class CreateOrEditLayoutSetupModalComponent extends AppComponentBase {
    @ViewChild('createOrEditModalLayoutSetup',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CreateOrEditMstLgwLayoutSetupDto = new CreateOrEditMstLgwLayoutSetupDto();
    active: boolean = false;
    saving: boolean = false;
    _isDisabled
isActive: boolean;
    constructor(
        injector: Injector,
        private _mstwptLayoutSetupService: MstLgwLayoutSetupServiceProxy,
    ) 
    {
        super(injector);
    }
    show(rowdata?: CreateOrEditMstLgwLayoutSetupDto): void {
        if (!rowdata) this.rowdata = new CreateOrEditMstLgwLayoutSetupDto();
        else this.rowdata = rowdata;
        this._isDisabled
isActive = (this.rowdata.isDisabled
isActive == "N")? false: true;
        this.active = true;
        this.modal.show();
    } 
    changeActive(event){
        this._isDisabled
isActive = event.target.checked;
    }
    save(): void {
    this.saving = true; 
    this.rowdata.isDisabled
isActive = (this._isDisabled
isActive == true) ? 'Y' : 'N'
    this._mstwptLayoutSetupService.createOrEdit(this.rowdata)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LayoutSetupRoutingModule } from './layoutsetup-routing.module';
import { LayoutSetupComponent } from './layoutsetup.component';
import { CreateOrEditLayoutSetupModalComponent } from './create-or-edit-layoutsetup-modal.component';
@NgModule({
    declarations: [
       LayoutSetupComponent, 
        CreateOrEditLayoutSetupModalComponent
    ],
    imports: [
        AppSharedModule, LayoutSetupRoutingModule]
})
export class LayoutSetupModule {}</v>
      </c>
      <c r="J54" s="49" t="str">
        <f>B.Frontend!O10</f>
        <v>import {NgModule} from '@angular/core';
import {RouterModule, Routes} from '@angular/router';
import { LayoutSetupComponent } from './layoutsetup.component';
const routes: Routes = [{
    path: '',
    component: LayoutSetupComponent,
    pathMatch: 'full'
}];
@NgModule({
    imports: [RouterModule.forChild(routes)],
    exports: [RouterModule],
})
export class LayoutSetupRoutingModule {}</v>
      </c>
      <c r="K54" s="49" t="str">
        <f>B.Frontend!P10</f>
        <v xml:space="preserve"> new AppMenuItem("LayoutSetup", "Pages.Master.LogW.LayoutSetup", "flaticon-book",   "/app/main/master/logw/layoutsetup"),</v>
      </c>
      <c r="L54" s="50" t="str">
        <f>B.Frontend!Q10</f>
        <v>{
    path: 'master/logw/layoutsetup',
    loadChildren: () =&gt; import('./master/logw/layoutsetup/layoutsetup.module').then(m =&gt; m.LayoutSetupModule),
    data: { permission: 'Pages.Master.LogW.LayoutSetup' }
},</v>
      </c>
      <c r="M54" s="48" t="str">
        <f>B.Frontend!R10</f>
        <v>ApiServiceProxies.MstLgwLayoutSetupServiceProxy,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K14" sqref="K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304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MstLgwLayoutSetupExportInput{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MstLgwLayoutSetup: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MstLgwLayoutSetupConsts	
	{
</v>
      </c>
      <c r="F6" s="11" t="str">
        <f>REPT(CHAR(9),1)&amp;"public class "&amp;B3&amp;"Dto"&amp;K3&amp;REPT(CHAR(9),1)&amp;"
"&amp;REPT(CHAR(9),1)&amp;C3</f>
        <v xml:space="preserve">	public class MstLgwLayoutSetupDto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CreateOrEditMstLgwLayoutSetupDto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GetMstLgwLayoutSetupInput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MstLgwLayoutSetup</v>
      </c>
      <c r="C7" s="11" t="str">
        <f>REPT(CHAR(9),1)&amp;"[Table("""&amp;B7&amp;""")]"&amp;"
"</f>
        <v xml:space="preserve">	[Table("MstLgwLayoutSetup")]
</v>
      </c>
      <c r="D7" s="11"/>
      <c r="E7" s="11"/>
      <c r="F7" s="11"/>
      <c r="G7" s="11"/>
      <c r="H7" s="11"/>
      <c r="I7" s="11"/>
      <c r="J7" s="6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[Table("MstLgwLayoutSetup")]
	[Index(nameof(Zone), Name="IX_MstLgwLayoutSetup_Zone")]
	[Index(nameof(SubScreenNo), Name="IX_MstLgwLayoutSetup_SubScreenNo")]
	[Index(nameof(ScreenArea), Name="IX_MstLgwLayoutSetup_ScreenArea")]
	[Index(nameof(IsDisabled), Name="IX_MstLgwLayoutSetup_IsDisabled")]
	[Index(nameof(IsActive), Name="IX_MstLgwLayoutSetup_IsActive")]	public class MstLgwLayoutSetup: FullAuditedEntity&lt;long&gt;, IEntity&lt;long&gt;	
	{
		public const int MaxZoneLength = 50;
		public const int MaxScreenAreaLength = 50;
		public const int MaxCellNameLength = 50;
		public const int MaxCellTypeLength = 50;
		public const int MaxColumnNameLength = 50;
		public const int MaxIsDisabledLength = 1;
		public const int MaxIsActiveLength = 1;
		[StringLength(MaxZoneLength)]
		public virtual string Zone { get; set; }
		public virtual int SubScreenNo { get; set; }
		[StringLength(MaxScreenAreaLength)]
		public virtual string ScreenArea { get; set; }
		[StringLength(MaxCellNameLength)]
		public virtual string CellName { get; set; }
		[StringLength(MaxCellTypeLength)]
		public virtual string CellType { get; set; }
		public virtual int NumRow { get; set; }
		[StringLength(MaxColumnNameLength)]
		public virtual string ColumnName { get; set; }
		[StringLength(MaxIsDisabledLength)]
		public virtual string IsDisabled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DbSet&lt;MstLgwLayoutSetup&gt; MstLgwLayoutSetups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vovina.Master.LogW
{
	public class MstLgwLayoutSetupConsts	
	{
		public const int MaxZoneLength = 50;
		public const int MaxScreenAreaLength = 50;
		public const int MaxCellNameLength = 50;
		public const int MaxCellTypeLength = 50;
		public const int MaxColumnNameLength = 50;
		public const int MaxIsDisabledLength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vovina.Master.LogW.Dto
{
	public class MstLgwLayoutSetupDto : EntityDto&lt;long?&gt;	
	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	public class CreateOrEditMstLgwLayoutSetupDto : EntityDto&lt;long?&gt;	
	{
		[StringLength(MstLgwLayoutSetupConsts.MaxZoneLength)]
		public virtual string Zone { get; set; }
		public virtual int SubScreenNo { get; set; }
		[StringLength(MstLgwLayoutSetupConsts.MaxScreenAreaLength)]
		public virtual string ScreenArea { get; set; }
		[StringLength(MstLgwLayoutSetupConsts.MaxCellNameLength)]
		public virtual string CellName { get; set; }
		[StringLength(MstLgwLayoutSetupConsts.MaxCellTypeLength)]
		public virtual string CellType { get; set; }
		public virtual int NumRow { get; set; }
		[StringLength(MstLgwLayoutSetupConsts.MaxColumnNameLength)]
		public virtual string ColumnName { get; set; }
		[StringLength(MstLgwLayoutSetupConsts.MaxIsDisabledLength)]
		public virtual string IsDisabled { get; set; }
		[StringLength(MstLgwLayoutSetupConsts.MaxIsActiveLength)]
		public virtual string IsActive { get; set; }
	}
	public class GetMstLgwLayoutSetupInput : PagedAndSortedResultRequestDto	
	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perMstLgwLayoutSetup = PARENTS.CreateChildPermission(AppPermissions.Pages_Master_LogW_LayoutSetup, L( "MasterLogWLayoutSetup"));
		perMstLgwLayoutSetup.CreateChildPermission(AppPermissions.Pages_Master_LogW_LayoutSetup_CreateEdit, L( "MasterLogWLayoutSetupCreateEdit"));
		perMstLgwLayoutSetup.CreateChildPermission(AppPermissions.Pages_Master_LogW_LayoutSetup_Delete, L( "MasterLogWLayoutSetupDelete"));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Pages_Master_LogW_LayoutSetup = "Pages.Master.LogW.LayoutSetup";
		public const string Pages_Master_LogW_LayoutSetup_CreateEdit = "Pages.Master.LogW.LayoutSetup.CreateEdit";
		public const string Pages_Master_LogW_LayoutSetup_Delete = "Pages.Master.LogW.LayoutSetup.Delete";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IMstLgwLayoutSetupAppService : IApplicationService
	{
		Task&lt;PagedResultDto&lt;MstLgwLayoutSetupDto&gt;&gt; GetAll(GetMstLgwLayoutSetupInput input);
		Task CreateOrEdit(CreateOrEditMstLgwLayoutSetupDto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[AbpAuthorize(AppPermissions.Pages_Master_LogW_LayoutSetup)]
    public class MstLgwLayoutSetupAppService : vovinaAppServiceBase, IMstLgwLayoutSetupAppService
    {
        private readonly IDapperRepository&lt;MstLgwLayoutSetup, long&gt; _dapperRepo;
        private readonly IRepository&lt;MstLgwLayoutSetup, long&gt; _repo;
        private readonly IMstLgwLayoutSetupExcelExporter _calendarListExcelExporter;
        public MstLgwLayoutSetupAppService(IRepository&lt;MstLgwLayoutSetup,long&gt; repo, 
                                         IDapperRepository&lt;MstLgwLayoutSetup,long&gt; dapperRepo,
                                        IMstLgwLayoutSetupExcelExporter calendarListExcelExporter
            )
        {
            _repo = repo;
            _dapperRepo = dapperRepo;
            _calendarListExcelExporter = calendarListExcelExporter;
        }
        [AbpAuthorize(AppPermissions.Pages_Master_LogW_LayoutSetup_CreateEdit)]
        public async Task CreateOrEdit(CreateOrEditMstLgwLayoutSetupDto input)
        {
            if (input.Id == null) await Create(input);
            else await Update(input);
        }
        //CREATE
        private async Task Create(CreateOrEditMstLgwLayoutSetupDto input)
        {          
            var mainObj = ObjectMapper.Map&lt;MstLgwLayoutSetup&gt;(input);
            await CurrentUnitOfWork.GetDbContext&lt;vovinaDbContext&gt;().AddAsync(mainObj);
        }
        // EDIT
        private async Task Update(CreateOrEditMstLgwLayoutSetupDto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[AbpAuthorize(AppPermissions.Pages_Master_LogW_LayoutSetup_Delete)]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Task&lt;PagedResultDto&lt;MstLgwLayoutSetupDto&gt;&gt; GetAll(GetMstLgwLayoutSetupInput input)
        {
            var filtered = _repo.GetAll()
				.WhereIf(!string.IsNullOrWhiteSpace(input.Zone), e =&gt; e.Zone.Contains(input.Zone))
				.WhereIf(!string.IsNullOrWhiteSpace(input.ScreenArea), e =&gt; e.ScreenArea.Contains(input.ScreenArea))
				.WhereIf(!string.IsNullOrWhiteSpace(input.CellName), e =&gt; e.CellName.Contains(input.CellName))
				.WhereIf(!string.IsNullOrWhiteSpace(input.CellType), e =&gt; e.CellType.Contains(input.CellType))
				.WhereIf(!string.IsNullOrWhiteSpace(input.ColumnName), e =&gt; e.ColumnName.Contains(input.ColumnName))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MstLgwLayoutSetupDto
                        {
							Id = o.Id,
							Zone = o.Zone,
							SubScreenNo = o.SubScreenNo,
							ScreenArea = o.ScreenArea,
							CellName = o.CellName,
							CellType = o.CellType,
							NumRow = o.NumRow,
							ColumnName = o.ColumnName,
							IsDisabled = o.IsDisabled,
							IsActive = o.IsActive,
                        };
            var totalCount = await filtered.CountAsync();
			var paged = system.PageBy(input);
            return new PagedResultDto&lt;MstLgwLayoutSetupDto&gt;(
                totalCount,
                 await paged.ToListAsync()
            );
        }
        public async Task&lt;FileDto&gt; GetLayoutSetupToExcel(MstLgwLayoutSetupExportInput input)
        {
            var query = from o in _repo.GetAll()
                        select new MstLgwLayoutSetupDto
                        {
							Id = o.Id,
							Zone = o.Zone,
							SubScreenNo = o.SubScreenNo,
							ScreenArea = o.ScreenArea,
							CellName = o.CellName,
							CellType = o.CellType,
							NumRow = o.NumRow,
							ColumnName = o.ColumnName,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_dapperRepo.ExecuteAsync(MstLgwLayoutSetupConsts.SP_MST_WPT_CALENDAR_GENERATE);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vovina.Master.LogW.Dto
{
	public class MstLgwLayoutSetupExportInput{
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IMstLgwLayoutSetupExcelExporter : IApplicationService
	{
		FileDto ExportToFile(List&lt;MstLgwLayoutSetupDto&gt; mstlgwlayoutsetup);
	}
}
</v>
      </c>
      <c r="T7" s="28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MstLgwLayoutSetupExcelExporter : NpoiExcelExporterBase, IMstLgwLayoutSetupExcelExporter
    {
        public MstLgwLayoutSetupExcelExporter(ITempFileCacheManager tempFileCacheManager) : base(tempFileCacheManager) { }
        public FileDto ExportToFile(List&lt;MstLgwLayoutSetupDto&gt; layoutsetup)
        {
            return CreateExcelPackage(
				"MasterLogWLayoutSetup.xlsx",
				excelPackage =&gt;
				 {
					var sheet = excelPackage.CreateSheet("LayoutSetup");
					AddHeader(
								sheet,
								("Zone"),
								("SubScreenNo"),
								("ScreenArea"),
								("CellName"),
								("CellType"),
								("NumRow"),
								("ColumnName"),
								("IsDisabled"),
								("IsActive"),
							   );
					AddObjects(
						 sheet, 1, layoutsetup,                                       
								_ =&gt; _.Zone,
								_ =&gt; _.SubScreenNo,
								_ =&gt; _.ScreenArea,
								_ =&gt; _.CellName,
								_ =&gt; _.CellType,
								_ =&gt; _.NumRow,
								_ =&gt; _.ColumnName,
								_ =&gt; _.IsDisabled,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configuration.CreateMap&lt;MstLgwLayoutSetupDto, MstLgwLayoutSetup&gt;();
  configuration.CreateMap&lt;MstLgwLayoutSetup, MstLgwLayoutSetupDto&gt;();
  configuration.CreateMap&lt;CreateOrEditMstLgwLayoutSetupDto, MstLgwLayoutSetup&gt;();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306</v>
      </c>
      <c r="B9" t="s">
        <v>307</v>
      </c>
      <c r="C9" t="s">
        <v>1</v>
      </c>
      <c r="D9" t="str">
        <f>SUBSTITUTE(PROPER(A9),"_","")</f>
        <v>Zone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MaxZoneLength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[StringLength(MaxZoneLength)]
		public virtual string Zone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[Index(nameof(Zone), Name="IX_MstLgwLayoutSetup_Zone")]</v>
      </c>
      <c r="M9" t="str">
        <f>REPT(CHAR(9),2)&amp;"public virtual "&amp;IF(OR(H9="DateTime",H9="TimeSpan"),H9&amp;"?",H9)&amp;IF(C9="?","? "," ")&amp;D9&amp;" { get; set; }" &amp; "
"</f>
        <v xml:space="preserve">		public virtual string Zone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[StringLength(MstLgwLayoutSetupConsts.MaxZoneLength)]
		public virtual string Zone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Zone { get; set; }
</v>
      </c>
      <c r="P9" t="str">
        <f t="shared" ref="P9:P11" si="4">REPT(CHAR(9),7)&amp;D9&amp;" = o." &amp;D9 &amp;","</f>
        <v xml:space="preserve">							Zone = o.Zone,</v>
      </c>
      <c r="T9" s="69" t="str">
        <f>REPT(CHAR(9),8)&amp;"("""&amp;D9&amp;"""),"</f>
        <v xml:space="preserve">								("Zone"),</v>
      </c>
      <c r="V9" s="70" t="str">
        <f>REPT(CHAR(9),8)&amp;"_ =&gt; _."&amp;D9&amp;","</f>
        <v xml:space="preserve">								_ =&gt; _.Zone,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.WhereIf(!string.IsNullOrWhiteSpace(input.Zone), e =&gt; e.Zone.Contains(input.Zone))</v>
      </c>
    </row>
    <row r="10" spans="1:23" customFormat="1" ht="21" customHeight="1" x14ac:dyDescent="0.25">
      <c r="A10" t="s">
        <v>308</v>
      </c>
      <c r="B10" t="s">
        <v>4</v>
      </c>
      <c r="C10" t="s">
        <v>1</v>
      </c>
      <c r="D10" t="str">
        <f t="shared" ref="D10:D11" si="5">SUBSTITUTE(PROPER(A10),"_","")</f>
        <v>SubScreenNo</v>
      </c>
      <c r="E10" t="str">
        <f t="shared" si="0"/>
        <v>int</v>
      </c>
      <c r="F10" s="7"/>
      <c r="G10" t="str">
        <f t="shared" si="1"/>
        <v/>
      </c>
      <c r="H10" t="str">
        <f>+VLOOKUP(E10,'Data Type Mapping'!A:B,2,)</f>
        <v>int</v>
      </c>
      <c r="I10" t="str">
        <f t="shared" si="2"/>
        <v/>
      </c>
      <c r="J10" t="str">
        <f t="shared" si="3"/>
        <v xml:space="preserve">		public virtual int SubScreenNo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[Index(nameof(SubScreenNo), Name="IX_MstLgwLayoutSetup_SubScreenNo")]</v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int SubScreenNo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SubScreenNo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int SubScreenNo { get; set; }
</v>
      </c>
      <c r="P10" t="str">
        <f t="shared" si="4"/>
        <v xml:space="preserve">							SubScreenNo = o.SubScreenNo,</v>
      </c>
      <c r="T10" s="69" t="str">
        <f t="shared" ref="T10:T12" si="10">REPT(CHAR(9),8)&amp;"("""&amp;D10&amp;"""),"</f>
        <v xml:space="preserve">								("SubScreenNo"),</v>
      </c>
      <c r="V10" s="70" t="str">
        <f t="shared" ref="V10:V12" si="11">REPT(CHAR(9),8)&amp;"_ =&gt; _."&amp;D10&amp;","</f>
        <v xml:space="preserve">								_ =&gt; _.SubScreenNo,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309</v>
      </c>
      <c r="B11" t="s">
        <v>307</v>
      </c>
      <c r="C11" t="s">
        <v>1</v>
      </c>
      <c r="D11" t="str">
        <f t="shared" si="5"/>
        <v>ScreenArea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MaxScreenAreaLength = 50;
</v>
      </c>
      <c r="J11" t="str">
        <f t="shared" si="3"/>
        <v xml:space="preserve">		[StringLength(MaxScreenAreaLength)]
		public virtual string ScreenArea { get; set; }
</v>
      </c>
      <c r="K11" s="7" t="s">
        <v>206</v>
      </c>
      <c r="L11" t="str">
        <f t="shared" si="6"/>
        <v xml:space="preserve">	[Index(nameof(ScreenArea), Name="IX_MstLgwLayoutSetup_ScreenArea")]</v>
      </c>
      <c r="M11" t="str">
        <f t="shared" si="7"/>
        <v xml:space="preserve">		public virtual string ScreenArea { get; set; }
</v>
      </c>
      <c r="N11" t="str">
        <f t="shared" si="8"/>
        <v xml:space="preserve">		[StringLength(MstLgwLayoutSetupConsts.MaxScreenAreaLength)]
		public virtual string ScreenArea { get; set; }
</v>
      </c>
      <c r="O11" t="str">
        <f t="shared" si="9"/>
        <v xml:space="preserve">		public virtual string ScreenArea { get; set; }
</v>
      </c>
      <c r="P11" t="str">
        <f t="shared" si="4"/>
        <v xml:space="preserve">							ScreenArea = o.ScreenArea,</v>
      </c>
      <c r="T11" s="69" t="str">
        <f t="shared" si="10"/>
        <v xml:space="preserve">								("ScreenArea"),</v>
      </c>
      <c r="V11" s="70" t="str">
        <f t="shared" si="11"/>
        <v xml:space="preserve">								_ =&gt; _.ScreenArea,</v>
      </c>
      <c r="W11" s="69" t="str">
        <f t="shared" si="12"/>
        <v xml:space="preserve">				.WhereIf(!string.IsNullOrWhiteSpace(input.ScreenArea), e =&gt; e.ScreenArea.Contains(input.ScreenArea))</v>
      </c>
    </row>
    <row r="12" spans="1:23" customFormat="1" ht="21" customHeight="1" x14ac:dyDescent="0.25">
      <c r="A12" t="s">
        <v>310</v>
      </c>
      <c r="B12" t="s">
        <v>307</v>
      </c>
      <c r="C12" t="s">
        <v>1</v>
      </c>
      <c r="D12" t="str">
        <f t="shared" ref="D12" si="13">SUBSTITUTE(PROPER(A12),"_","")</f>
        <v>CellName</v>
      </c>
      <c r="E12" t="str">
        <f t="shared" ref="E12" si="14">IFERROR(LEFT(B12, FIND("(",B12)-1),B12)</f>
        <v>nvarchar</v>
      </c>
      <c r="F12" s="7"/>
      <c r="G12" t="str">
        <f t="shared" ref="G12" si="15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6">IF(H12="string",REPT(CHAR(9),2)&amp;"public const int Max"&amp;D12&amp;"Length = "&amp;G12&amp;";"&amp;$E$3,"" )</f>
        <v xml:space="preserve">		public const int MaxCellNameLength = 50;
</v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[StringLength(MaxCellNameLength)]
		public virtual string CellName { get; set; }
</v>
      </c>
      <c r="K12" s="7"/>
      <c r="L12" t="str">
        <f t="shared" ref="L12" si="18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CellName { get; set; }
</v>
      </c>
      <c r="N12" t="str">
        <f t="shared" si="8"/>
        <v xml:space="preserve">		[StringLength(MstLgwLayoutSetupConsts.MaxCellNameLength)]
		public virtual string CellName { get; set; }
</v>
      </c>
      <c r="O12" t="str">
        <f t="shared" si="9"/>
        <v xml:space="preserve">		public virtual string CellName { get; set; }
</v>
      </c>
      <c r="P12" t="str">
        <f t="shared" ref="P12" si="19">REPT(CHAR(9),7)&amp;D12&amp;" = o." &amp;D12 &amp;","</f>
        <v xml:space="preserve">							CellName = o.CellName,</v>
      </c>
      <c r="T12" s="69" t="str">
        <f t="shared" si="10"/>
        <v xml:space="preserve">								("CellName"),</v>
      </c>
      <c r="V12" s="70" t="str">
        <f t="shared" si="11"/>
        <v xml:space="preserve">								_ =&gt; _.CellName,</v>
      </c>
      <c r="W12" s="69" t="str">
        <f t="shared" si="12"/>
        <v xml:space="preserve">				.WhereIf(!string.IsNullOrWhiteSpace(input.CellName), e =&gt; e.CellName.Contains(input.CellName))</v>
      </c>
    </row>
    <row r="13" spans="1:23" customFormat="1" ht="22.5" customHeight="1" x14ac:dyDescent="0.25">
      <c r="A13" t="s">
        <v>311</v>
      </c>
      <c r="B13" t="s">
        <v>307</v>
      </c>
      <c r="C13" t="s">
        <v>1</v>
      </c>
      <c r="D13" t="str">
        <f>SUBSTITUTE(PROPER(A13),"_","")</f>
        <v>CellType</v>
      </c>
      <c r="E13" t="str">
        <f t="shared" ref="E13:E16" si="20">IFERROR(LEFT(B13, FIND("(",B13)-1),B13)</f>
        <v>nvarchar</v>
      </c>
      <c r="F13" s="7"/>
      <c r="G13" t="str">
        <f t="shared" ref="G13:G16" si="21">IFERROR(MID(B13,FIND("(",B13) +1, FIND(")",B13) - FIND("(",B13) - 1),"")</f>
        <v>50</v>
      </c>
      <c r="H13" t="str">
        <f>+VLOOKUP(E13,'Data Type Mapping'!A:B,2,)</f>
        <v>string</v>
      </c>
      <c r="I13" t="str">
        <f t="shared" ref="I13:I16" si="22">IF(H13="string",REPT(CHAR(9),2)&amp;"public const int Max"&amp;D13&amp;"Length = "&amp;G13&amp;";"&amp;$E$3,"" )</f>
        <v xml:space="preserve">		public const int MaxCellTypeLength = 50;
</v>
      </c>
      <c r="J13" t="str">
        <f t="shared" ref="J13:J16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[StringLength(MaxCellTypeLength)]
		public virtual string CellType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:M16" si="24">REPT(CHAR(9),2)&amp;"public virtual "&amp;IF(OR(H13="DateTime",H13="TimeSpan"),H13&amp;"?",H13)&amp;IF(C13="?","? "," ")&amp;D13&amp;" { get; set; }" &amp; "
"</f>
        <v xml:space="preserve">		public virtual string CellType { get; set; }
</v>
      </c>
      <c r="N13" t="str">
        <f t="shared" ref="N13:N16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[StringLength(MstLgwLayoutSetupConsts.MaxCellTypeLength)]
		public virtual string CellType { get; set; }
</v>
      </c>
      <c r="O13" t="str">
        <f t="shared" ref="O13:O16" si="26">IF(OR(H13="string",H13="DateTime",H13="int"),REPT(CHAR(9),2)&amp;"public virtual "&amp;IF(OR(H13="DateTime",H13="TimeSpan"),H13&amp;"?",H13)&amp;IF(C13="?","? "," ")&amp;D13&amp;" { get; set; }"&amp;$E$3,"")</f>
        <v xml:space="preserve">		public virtual string CellType { get; set; }
</v>
      </c>
      <c r="P13" t="str">
        <f t="shared" ref="P13:P16" si="27">REPT(CHAR(9),7)&amp;D13&amp;" = o." &amp;D13 &amp;","</f>
        <v xml:space="preserve">							CellType = o.CellType,</v>
      </c>
      <c r="T13" s="69" t="str">
        <f t="shared" ref="T13:T16" si="28">REPT(CHAR(9),8)&amp;"("""&amp;D13&amp;"""),"</f>
        <v xml:space="preserve">								("CellType"),</v>
      </c>
      <c r="V13" s="70" t="str">
        <f t="shared" ref="V13:V16" si="29">REPT(CHAR(9),8)&amp;"_ =&gt; _."&amp;D13&amp;","</f>
        <v xml:space="preserve">								_ =&gt; _.CellType,</v>
      </c>
      <c r="W13" s="69" t="str">
        <f t="shared" ref="W13:W16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.WhereIf(!string.IsNullOrWhiteSpace(input.CellType), e =&gt; e.CellType.Contains(input.CellType))</v>
      </c>
    </row>
    <row r="14" spans="1:23" customFormat="1" ht="21" customHeight="1" x14ac:dyDescent="0.25">
      <c r="A14" t="s">
        <v>312</v>
      </c>
      <c r="B14" t="s">
        <v>4</v>
      </c>
      <c r="C14" t="s">
        <v>1</v>
      </c>
      <c r="D14" t="str">
        <f t="shared" ref="D14:D16" si="31">SUBSTITUTE(PROPER(A14),"_","")</f>
        <v>NumRow</v>
      </c>
      <c r="E14" t="str">
        <f t="shared" si="20"/>
        <v>int</v>
      </c>
      <c r="F14" s="7"/>
      <c r="G14" t="str">
        <f t="shared" si="21"/>
        <v/>
      </c>
      <c r="H14" t="str">
        <f>+VLOOKUP(E14,'Data Type Mapping'!A:B,2,)</f>
        <v>int</v>
      </c>
      <c r="I14" t="str">
        <f t="shared" si="22"/>
        <v/>
      </c>
      <c r="J14" t="str">
        <f t="shared" si="23"/>
        <v xml:space="preserve">		public virtual int NumRow { get; set; }
</v>
      </c>
      <c r="K14" s="7"/>
      <c r="L14" t="str">
        <f t="shared" ref="L14:L16" si="32">IF(K14="","",REPT(CHAR(9),1)&amp;"[Index(nameof("&amp;IF(D14="","",""&amp;D14)&amp;")"&amp;", Name="&amp;"""IX_"&amp;$B$7&amp;"_"&amp;D14&amp;""")]")</f>
        <v/>
      </c>
      <c r="M14" t="str">
        <f t="shared" si="24"/>
        <v xml:space="preserve">		public virtual int NumRow { get; set; }
</v>
      </c>
      <c r="N14" t="str">
        <f t="shared" si="25"/>
        <v xml:space="preserve">		public virtual int NumRow { get; set; }
</v>
      </c>
      <c r="O14" t="str">
        <f t="shared" si="26"/>
        <v xml:space="preserve">		public virtual int NumRow { get; set; }
</v>
      </c>
      <c r="P14" t="str">
        <f t="shared" si="27"/>
        <v xml:space="preserve">							NumRow = o.NumRow,</v>
      </c>
      <c r="T14" s="69" t="str">
        <f t="shared" si="28"/>
        <v xml:space="preserve">								("NumRow"),</v>
      </c>
      <c r="V14" s="70" t="str">
        <f t="shared" si="29"/>
        <v xml:space="preserve">								_ =&gt; _.NumRow,</v>
      </c>
      <c r="W14" s="69" t="str">
        <f t="shared" si="30"/>
        <v/>
      </c>
    </row>
    <row r="15" spans="1:23" customFormat="1" ht="18.75" customHeight="1" x14ac:dyDescent="0.25">
      <c r="A15" t="s">
        <v>313</v>
      </c>
      <c r="B15" t="s">
        <v>307</v>
      </c>
      <c r="C15" t="s">
        <v>1</v>
      </c>
      <c r="D15" t="str">
        <f t="shared" ref="D15" si="33">SUBSTITUTE(PROPER(A15),"_","")</f>
        <v>ColumnName</v>
      </c>
      <c r="E15" t="str">
        <f t="shared" ref="E15" si="34">IFERROR(LEFT(B15, FIND("(",B15)-1),B15)</f>
        <v>nvarchar</v>
      </c>
      <c r="F15" s="7"/>
      <c r="G15" t="str">
        <f t="shared" ref="G15" si="35">IFERROR(MID(B15,FIND("(",B15) +1, FIND(")",B15) - FIND("(",B15) - 1),"")</f>
        <v>50</v>
      </c>
      <c r="H15" t="str">
        <f>+VLOOKUP(E15,'Data Type Mapping'!A:B,2,)</f>
        <v>string</v>
      </c>
      <c r="I15" t="str">
        <f t="shared" ref="I15" si="36">IF(H15="string",REPT(CHAR(9),2)&amp;"public const int Max"&amp;D15&amp;"Length = "&amp;G15&amp;";"&amp;$E$3,"" )</f>
        <v xml:space="preserve">		public const int MaxColumnNameLength = 50;
</v>
      </c>
      <c r="J15" t="str">
        <f t="shared" ref="J15" si="3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[StringLength(MaxColumnNameLength)]
		public virtual string ColumnName { get; set; }
</v>
      </c>
      <c r="K15" s="7"/>
      <c r="L15" t="str">
        <f t="shared" ref="L15" si="38">IF(K15="","",REPT(CHAR(9),1)&amp;"[Index(nameof("&amp;IF(D15="","",""&amp;D15)&amp;")"&amp;", Name="&amp;"""IX_"&amp;$B$7&amp;"_"&amp;D15&amp;""")]")</f>
        <v/>
      </c>
      <c r="M15" t="str">
        <f t="shared" ref="M15" si="39">REPT(CHAR(9),2)&amp;"public virtual "&amp;IF(OR(H15="DateTime",H15="TimeSpan"),H15&amp;"?",H15)&amp;IF(C15="?","? "," ")&amp;D15&amp;" { get; set; }" &amp; "
"</f>
        <v xml:space="preserve">		public virtual string ColumnName { get; set; }
</v>
      </c>
      <c r="N15" t="str">
        <f t="shared" ref="N15" si="4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[StringLength(MstLgwLayoutSetupConsts.MaxColumnNameLength)]
		public virtual string ColumnName { get; set; }
</v>
      </c>
      <c r="O15" t="str">
        <f t="shared" ref="O15" si="41">IF(OR(H15="string",H15="DateTime",H15="int"),REPT(CHAR(9),2)&amp;"public virtual "&amp;IF(OR(H15="DateTime",H15="TimeSpan"),H15&amp;"?",H15)&amp;IF(C15="?","? "," ")&amp;D15&amp;" { get; set; }"&amp;$E$3,"")</f>
        <v xml:space="preserve">		public virtual string ColumnName { get; set; }
</v>
      </c>
      <c r="P15" t="str">
        <f t="shared" ref="P15" si="42">REPT(CHAR(9),7)&amp;D15&amp;" = o." &amp;D15 &amp;","</f>
        <v xml:space="preserve">							ColumnName = o.ColumnName,</v>
      </c>
      <c r="T15" s="69" t="str">
        <f t="shared" ref="T15" si="43">REPT(CHAR(9),8)&amp;"("""&amp;D15&amp;"""),"</f>
        <v xml:space="preserve">								("ColumnName"),</v>
      </c>
      <c r="V15" s="70" t="str">
        <f t="shared" ref="V15" si="44">REPT(CHAR(9),8)&amp;"_ =&gt; _."&amp;D15&amp;","</f>
        <v xml:space="preserve">								_ =&gt; _.ColumnName,</v>
      </c>
      <c r="W15" s="69" t="str">
        <f t="shared" ref="W15" si="4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.WhereIf(!string.IsNullOrWhiteSpace(input.ColumnName), e =&gt; e.ColumnName.Contains(input.ColumnName))</v>
      </c>
    </row>
    <row r="16" spans="1:23" customFormat="1" ht="18.75" customHeight="1" x14ac:dyDescent="0.25">
      <c r="A16" t="s">
        <v>314</v>
      </c>
      <c r="B16" t="s">
        <v>302</v>
      </c>
      <c r="C16" t="s">
        <v>1</v>
      </c>
      <c r="D16" t="str">
        <f t="shared" si="31"/>
        <v>IsDisabled</v>
      </c>
      <c r="E16" t="str">
        <f t="shared" si="20"/>
        <v>varchar</v>
      </c>
      <c r="F16" s="7"/>
      <c r="G16" t="str">
        <f t="shared" si="21"/>
        <v>1</v>
      </c>
      <c r="H16" t="str">
        <f>+VLOOKUP(E16,'Data Type Mapping'!A:B,2,)</f>
        <v>string</v>
      </c>
      <c r="I16" t="str">
        <f t="shared" si="22"/>
        <v xml:space="preserve">		public const int MaxIsDisabledLength = 1;
</v>
      </c>
      <c r="J16" t="str">
        <f t="shared" si="23"/>
        <v xml:space="preserve">		[StringLength(MaxIsDisabledLength)]
		public virtual string IsDisabled { get; set; }
</v>
      </c>
      <c r="K16" s="7" t="s">
        <v>206</v>
      </c>
      <c r="L16" t="str">
        <f t="shared" si="32"/>
        <v xml:space="preserve">	[Index(nameof(IsDisabled), Name="IX_MstLgwLayoutSetup_IsDisabled")]</v>
      </c>
      <c r="M16" t="str">
        <f t="shared" si="24"/>
        <v xml:space="preserve">		public virtual string IsDisabled { get; set; }
</v>
      </c>
      <c r="N16" t="str">
        <f t="shared" si="25"/>
        <v xml:space="preserve">		[StringLength(MstLgwLayoutSetupConsts.MaxIsDisabledLength)]
		public virtual string IsDisabled { get; set; }
</v>
      </c>
      <c r="O16" t="str">
        <f t="shared" si="26"/>
        <v xml:space="preserve">		public virtual string IsDisabled { get; set; }
</v>
      </c>
      <c r="P16" t="str">
        <f t="shared" si="27"/>
        <v xml:space="preserve">							IsDisabled = o.IsDisabled,</v>
      </c>
      <c r="T16" s="69" t="str">
        <f t="shared" si="28"/>
        <v xml:space="preserve">								("IsDisabled"),</v>
      </c>
      <c r="V16" s="70" t="str">
        <f t="shared" si="29"/>
        <v xml:space="preserve">								_ =&gt; _.IsDisabled,</v>
      </c>
      <c r="W16" s="69" t="str">
        <f t="shared" si="30"/>
        <v xml:space="preserve">				.WhereIf(!string.IsNullOrWhiteSpace(input.IsDisabled), e =&gt; e.IsDisabled.Contains(input.IsDisabled))</v>
      </c>
    </row>
    <row r="17" spans="1:23" customFormat="1" ht="22.5" customHeight="1" x14ac:dyDescent="0.25">
      <c r="A17" t="s">
        <v>301</v>
      </c>
      <c r="B17" t="s">
        <v>302</v>
      </c>
      <c r="C17" t="s">
        <v>1</v>
      </c>
      <c r="D17" t="str">
        <f>SUBSTITUTE(PROPER(A17),"_","")</f>
        <v>IsActive</v>
      </c>
      <c r="E17" t="str">
        <f>IFERROR(LEFT(B17, FIND("(",B17)-1),B17)</f>
        <v>varchar</v>
      </c>
      <c r="F17" s="7"/>
      <c r="G17" t="str">
        <f>IFERROR(MID(B17,FIND("(",B17) +1, FIND(")",B17) - FIND("(",B17) - 1),"")</f>
        <v>1</v>
      </c>
      <c r="H17" t="str">
        <f>+VLOOKUP(E17,'Data Type Mapping'!A:B,2,)</f>
        <v>string</v>
      </c>
      <c r="I17" t="str">
        <f>IF(H17="string",REPT(CHAR(9),2)&amp;"public const int Max"&amp;D17&amp;"Length = "&amp;G17&amp;";"&amp;$E$3,"" )</f>
        <v xml:space="preserve">		public const int MaxIsActiveLength = 1;
</v>
      </c>
      <c r="J17" t="str">
        <f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[Index(nameof(IsActive), Name="IX_MstLgwLayoutSetup_IsActive")]</v>
      </c>
      <c r="M17" t="str">
        <f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[StringLength(MstLgwLayoutSetupConsts.MaxIsActiveLength)]
		public virtual string IsActive { get; set; }
</v>
      </c>
      <c r="O17" t="str">
        <f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>REPT(CHAR(9),7)&amp;D17&amp;" = o." &amp;D17 &amp;","</f>
        <v xml:space="preserve">							IsActive = o.IsActive,</v>
      </c>
      <c r="T17" s="69" t="str">
        <f>REPT(CHAR(9),8)&amp;"("""&amp;D17&amp;"""),"</f>
        <v xml:space="preserve">								("IsActive"),</v>
      </c>
      <c r="V17" s="70" t="str">
        <f>REPT(CHAR(9),8)&amp;"_ =&gt; _."&amp;D17&amp;","</f>
        <v xml:space="preserve">								_ =&gt; _.IsActive,</v>
      </c>
      <c r="W17" s="69" t="str">
        <f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9" spans="1:23" ht="45.75" customHeight="1" x14ac:dyDescent="0.25">
      <c r="H19" s="12"/>
      <c r="I19" s="34" t="str">
        <f ca="1">TEXTJOIN2("
", TRUE,INDIRECT( $H$1):INDIRECT( $H$3))</f>
        <v xml:space="preserve">		public const int MaxZoneLength = 50;
		public const int MaxScreenAreaLength = 50;
		public const int MaxCellNameLength = 50;
		public const int MaxCellTypeLength = 50;
		public const int MaxColumnNameLength = 50;
		public const int MaxIsDisabledLength = 1;
		public const int MaxIsActiveLength = 1;
</v>
      </c>
      <c r="J19" s="33" t="str">
        <f ca="1">TEXTJOIN2("
", TRUE,INDIRECT( $F$1):INDIRECT( $F$3))</f>
        <v xml:space="preserve">		[StringLength(MaxZoneLength)]
		public virtual string Zone { get; set; }
		public virtual int SubScreenNo { get; set; }
		[StringLength(MaxScreenAreaLength)]
		public virtual string ScreenArea { get; set; }
		[StringLength(MaxCellNameLength)]
		public virtual string CellName { get; set; }
		[StringLength(MaxCellTypeLength)]
		public virtual string CellType { get; set; }
		public virtual int NumRow { get; set; }
		[StringLength(MaxColumnNameLength)]
		public virtual string ColumnName { get; set; }
		[StringLength(MaxIsDisabledLength)]
		public virtual string IsDisabled { get; set; }
		[StringLength(MaxIsActiveLength)]
		public virtual string IsActive { get; set; }
</v>
      </c>
      <c r="K19" s="35" t="str">
        <f ca="1">TEXTJOIN2("
", TRUE,INDIRECT( $J$1):INDIRECT( $J$3))</f>
        <v xml:space="preserve">	[Index(nameof(Zone), Name="IX_MstLgwLayoutSetup_Zone")]
	[Index(nameof(SubScreenNo), Name="IX_MstLgwLayoutSetup_SubScreenNo")]
	[Index(nameof(ScreenArea), Name="IX_MstLgwLayoutSetup_ScreenArea")]
	[Index(nameof(IsDisabled), Name="IX_MstLgwLayoutSetup_IsDisabled")]
	[Index(nameof(IsActive), Name="IX_MstLgwLayoutSetup_IsActive")]</v>
      </c>
      <c r="L19" s="13" t="s">
        <v>60</v>
      </c>
      <c r="M19" s="36" t="str">
        <f ca="1">TEXTJOIN2("
",TRUE,INDIRECT( $L$1):INDIRECT($L$3))</f>
        <v xml:space="preserve">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</v>
      </c>
      <c r="N19" s="33" t="str">
        <f ca="1">TEXTJOIN2("
",TRUE,INDIRECT( $M$1):INDIRECT($M$3))</f>
        <v xml:space="preserve">		[StringLength(MstLgwLayoutSetupConsts.MaxZoneLength)]
		public virtual string Zone { get; set; }
		public virtual int SubScreenNo { get; set; }
		[StringLength(MstLgwLayoutSetupConsts.MaxScreenAreaLength)]
		public virtual string ScreenArea { get; set; }
		[StringLength(MstLgwLayoutSetupConsts.MaxCellNameLength)]
		public virtual string CellName { get; set; }
		[StringLength(MstLgwLayoutSetupConsts.MaxCellTypeLength)]
		public virtual string CellType { get; set; }
		public virtual int NumRow { get; set; }
		[StringLength(MstLgwLayoutSetupConsts.MaxColumnNameLength)]
		public virtual string ColumnName { get; set; }
		[StringLength(MstLgwLayoutSetupConsts.MaxIsDisabledLength)]
		public virtual string IsDisabled { get; set; }
		[StringLength(MstLgwLayoutSetupConsts.MaxIsActiveLength)]
		public virtual string IsActive { get; set; }
</v>
      </c>
      <c r="O19" s="33" t="str">
        <f ca="1">TEXTJOIN2("
",TRUE,INDIRECT( $N$1):INDIRECT($N$3))</f>
        <v xml:space="preserve">		public virtual string Zone { get; set; }
		public virtual int SubScreenNo { get; set; }
		public virtual string ScreenArea { get; set; }
		public virtual string CellName { get; set; }
		public virtual string CellType { get; set; }
		public virtual int NumRow { get; set; }
		public virtual string ColumnName { get; set; }
		public virtual string IsDisabled { get; set; }
		public virtual string IsActive { get; set; }
</v>
      </c>
      <c r="P19" s="9" t="str">
        <f ca="1">TEXTJOIN2("
",TRUE,INDIRECT( $O$1):INDIRECT($O$3))</f>
        <v xml:space="preserve">							Zone = o.Zone,
							SubScreenNo = o.SubScreenNo,
							ScreenArea = o.ScreenArea,
							CellName = o.CellName,
							CellType = o.CellType,
							NumRow = o.NumRow,
							ColumnName = o.ColumnName,
							IsDisabled = o.IsDisabled,
							IsActive = o.IsActive,</v>
      </c>
      <c r="T19" s="9" t="str">
        <f ca="1">TEXTJOIN2("
",TRUE,INDIRECT( $T$2):INDIRECT($T$3))</f>
        <v xml:space="preserve">								("Zone"),
								("SubScreenNo"),
								("ScreenArea"),
								("CellName"),
								("CellType"),
								("NumRow"),
								("ColumnName"),
								("IsDisabled"),
								("IsActive"),</v>
      </c>
      <c r="V19" s="9" t="str">
        <f ca="1">TEXTJOIN2("
",TRUE,INDIRECT( $V$2):INDIRECT($V$3))</f>
        <v xml:space="preserve">								_ =&gt; _.Zone,
								_ =&gt; _.SubScreenNo,
								_ =&gt; _.ScreenArea,
								_ =&gt; _.CellName,
								_ =&gt; _.CellType,
								_ =&gt; _.NumRow,
								_ =&gt; _.ColumnName,
								_ =&gt; _.IsDisabled,
								_ =&gt; _.IsActive,</v>
      </c>
      <c r="W19" s="9" t="str">
        <f ca="1">TEXTJOIN2("
",TRUE,INDIRECT( $W$2):INDIRECT($W$3))</f>
        <v xml:space="preserve">				.WhereIf(!string.IsNullOrWhiteSpace(input.Zone), e =&gt; e.Zone.Contains(input.Zone))
				.WhereIf(!string.IsNullOrWhiteSpace(input.ScreenArea), e =&gt; e.ScreenArea.Contains(input.ScreenArea))
				.WhereIf(!string.IsNullOrWhiteSpace(input.CellName), e =&gt; e.CellName.Contains(input.CellName))
				.WhereIf(!string.IsNullOrWhiteSpace(input.CellType), e =&gt; e.CellType.Contains(input.CellType))
				.WhereIf(!string.IsNullOrWhiteSpace(input.ColumnName), e =&gt; e.ColumnName.Contains(input.ColumnName))
				.WhereIf(!string.IsNullOrWhiteSpace(input.IsDisabled), e =&gt; e.IsDisabled.Contains(input.IsDisabled))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6"/>
  <sheetViews>
    <sheetView workbookViewId="0">
      <selection activeCell="C20" sqref="C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MstLgwLayoutSetup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LayoutSetup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layoutsetup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MstLgwLayoutSetupDto, MstLgwLayoutSetupServiceProxy } from '@shared/service-proxies/service-proxies';
import { finalize } from 'rxjs/internal/operators/finalize';
import { CreateOrEditLayoutSetupModalComponent } from './create-or-edit-layoutsetup-modal.component';
import { DatePipe } from '@angular/common';
import { FileDownloadService } from '@shared/utils/file-download.service';
import ceil from 'lodash-es/ceil';
import { Paginator } from 'primeng/paginator';
@Component({
    templateUrl: './layoutsetup.component.html',
    styleUrls: ['./layoutsetup.component.less'],
})
export class LayoutSetupComponent extends AppComponentBase implements OnInit {
    @ViewChild('createOrEditModalLayoutSetup', { static: true }) createOrEditModalLayoutSetup:| CreateOrEditLayoutSetupModalComponent|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MstLgwLayoutSetupDto = new MstLgwLayoutSetupDto();
    saveSelectedRow: MstLgwLayoutSetupDto = new MstLgwLayoutSetupDto();
    datas: MstLgwLayoutSetupDto = new MstLgwLayoutSetupDto();
    isLoading: boolean = false;
    dataParams: GridParams | undefined;
    rowData: any[] = [];
    gridApi!: GridApi;
    rowSelection = 'multiple';
    filter: string = '';
	pipe = new DatePipe('en-US');
	frameworkComponents: FrameworkComponent;
    zone : string = '' ; 
	subScreenNo : number = 0 ;
	screenArea : string = '' ; 
	cellName : string = '' ; 
	cellType : string = '' ; 
numRow : number = 0 ;
	columnName : string = '' ; 
	isDisabled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MstLgwLayoutSetupServiceProxy,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this.l('Zone'),headerTooltip: this.l('Zone'),field: 'zone',flex: 1},
			{headerName: this.l('Sub Screen No'),headerTooltip: this.l('Sub Screen No'),field: 'subScreenNo',flex: 1},
			{headerName: this.l('Screen Area'),headerTooltip: this.l('Screen Area'),field: 'screenArea',flex: 1},
			{headerName: this.l('Cell Name'),headerTooltip: this.l('Cell Name'),field: 'cellName',flex: 1},
			{headerName: this.l('Cell Type'),headerTooltip: this.l('Cell Type'),field: 'cellType',flex: 1},
			{headerName: this.l('Num Row'),headerTooltip: this.l('Num Row'),field: 'numRow',flex: 1},
			{headerName: this.l('Column Name'),headerTooltip: this.l('Column Name'),field: 'columnName',flex: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this.zone,
			this.subScreenNo,
			this.screenArea,
			this.cellName,
			this.cellType,
			this.numRow,
			this.columnName,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this.zone = '',
		this.subScreenNo = 0,
		this.screenArea = '',
		this.cellName = '',
		this.cellType = '',
this.numRow = 0,
		this.columnName = '',
		this.isDisabled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this.zone,
			this.subScreenNo,
			this.screenArea,
			this.cellName,
			this.cellType,
			this.numRow,
			this.columnName,
			this.isDisabled,
			this.isActive,
			'',
            this.paginationParams.skipCount,
            this.paginationParams.pageSize
        );
    }
    onChangeRowSelection(params: { api: { getSelectedRows: () =&gt; MstLgwLayoutSetupDto[] } }) {
        this.saveSelectedRow = params.api.getSelectedRows()[0] ?? new MstLgwLayoutSetupDto();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MstLgwLayoutSetupDto):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this._service.getLayoutSetupToExcel(
			this.zone,
			this.subScreenNo,
			this.screenArea,
			this.cellName,
			this.cellType,
			this.numRow,
			this.columnName,
			this.isDisabled,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Layout Setup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[(ngModel)]='zone' name='zone'
									class='form-control' [placeholder]="l('Zone')"
									type='text' (keyup.enter)='searchDatas()'&gt;
								&lt;/div&gt;
								&lt;div class='input-search'&gt;
									&lt;input [(ngModel)]='screenArea' name='screenArea'
									class='form-control' [placeholder]="l('Screen Area')"
									type='text' (keyup.enter)='searchDatas()'&gt;
								&lt;/div&gt;
								&lt;div class='input-search'&gt;
									&lt;input [(ngModel)]='cellName' name='cellName'
									class='form-control' [placeholder]="l('Cell Name')"
									type='text' (keyup.enter)='searchDatas()'&gt;
								&lt;/div&gt;
								&lt;div class='input-search'&gt;
									&lt;input [(ngModel)]='cellType' name='cellType'
									class='form-control' [placeholder]="l('Cell Type')"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(click)="createOrEditModalLayoutSetup.show()"&gt;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(click)="createOrEditModalLayoutSetup.show(selectedRow)"&gt;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&lt;create-or-edit-layoutsetup-modal
    #createOrEditModalLayoutSetup
    (modalSave)="callBackDataGrid(dataParams)"
    (modalClose)="onChangeRowSelection(dataParams)"
&gt;
&lt;/create-or-edit-layoutsetup-modal&gt;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#createOrEditModalLayoutSetup="bs-modal"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LayoutSetup')}}&lt;/h3&gt;
                    &lt;h3 *ngIf="!rowdata.id"&gt;{{('Create New LayoutSetup')}}&lt;/h3&gt;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title'&gt;Zone&lt;/label&gt;
						&lt;input type='text' class='col-md-10 form-control input-text' name='Zone' [(ngModel)]='rowdata.zone'&gt;
					&lt;/div&gt;
					&lt;div class='col-md-12 form-group row'&gt;
						&lt;label class='col-md-2 form-control title'&gt;Sub Screen No&lt;/label&gt;
						&lt;input type='number' class='col-md-10 form-control input-text' name='SubScreenNo' [(ngModel)]='rowdata.subScreenNo'&gt;
					&lt;/div&gt;
					&lt;div class='col-md-12 form-group row'&gt;
						&lt;label class='col-md-2 form-control title'&gt;Screen Area&lt;/label&gt;
						&lt;input type='text' class='col-md-10 form-control input-text' name='ScreenArea' [(ngModel)]='rowdata.screenArea'&gt;
					&lt;/div&gt;
					&lt;div class='col-md-12 form-group row'&gt;
						&lt;label class='col-md-2 form-control title'&gt;Cell Name&lt;/label&gt;
						&lt;input type='text' class='col-md-10 form-control input-text' name='CellName' [(ngModel)]='rowdata.cellName'&gt;
					&lt;/div&gt;
					&lt;div class='col-md-12 form-group row'&gt;
						&lt;label class='col-md-2 form-control title'&gt;Cell Type&lt;/label&gt;
						&lt;input type='text' class='col-md-10 form-control input-text' name='CellType' [(ngModel)]='rowdata.cellType'&gt;
					&lt;/div&gt;
					&lt;div class='col-md-12 form-group row'&gt;
						&lt;label class='col-md-2 form-control title'&gt;Num Row&lt;/label&gt;
						&lt;input type='number' class='col-md-10 form-control input-text' name='NumRow' [(ngModel)]='rowdata.numRow'&gt;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CreateOrEditMstLgwLayoutSetupDto, MstLgwLayoutSetupServiceProxy } from '@shared/service-proxies/service-proxies';
import { BsDatepickerDirective } from 'ngx-bootstrap/datepicker';
@Component({
    selector: 'create-or-edit-layoutsetup-modal',
    templateUrl: './create-or-edit-layoutsetup-modal.component.html',
    styleUrls: ['./create-or-edit-layoutsetup-modal.component.less']
    })
export class CreateOrEditLayoutSetupModalComponent extends AppComponentBase {
    @ViewChild('createOrEditModalLayoutSetup',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CreateOrEditMstLgwLayoutSetupDto = new CreateOrEditMstLgwLayoutSetupDto();
    active: boolean = false;
    saving: boolean = false;
    _isDisabled
isActive: boolean;
    constructor(
        injector: Injector,
        private _mstwptLayoutSetupService: MstLgwLayoutSetupServiceProxy,
    ) 
    {
        super(injector);
    }
    show(rowdata?: CreateOrEditMstLgwLayoutSetupDto): void {
        if (!rowdata) this.rowdata = new CreateOrEditMstLgwLayoutSetupDto();
        else this.rowdata = rowdata;
        this._isDisabled
isActive = (this.rowdata.isDisabled
isActive == "N")? false: true;
        this.active = true;
        this.modal.show();
    } 
    changeActive(event){
        this._isDisabled
isActive = event.target.checked;
    }
    save(): void {
    this.saving = true; 
    this.rowdata.isDisabled
isActive = (this._isDisabled
isActive == true) ? 'Y' : 'N'
    this._mstwptLayoutSetupService.createOrEdit(this.rowdata)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LayoutSetupRoutingModule } from './layoutsetup-routing.module';
import { LayoutSetupComponent } from './layoutsetup.component';
import { CreateOrEditLayoutSetupModalComponent } from './create-or-edit-layoutsetup-modal.component';
@NgModule({
    declarations: [
       LayoutSetupComponent, 
        CreateOrEditLayoutSetupModalComponent
    ],
    imports: [
        AppSharedModule, LayoutSetupRoutingModule]
})
export class LayoutSetupModule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LayoutSetupComponent } from './layoutsetup.component';
const routes: Routes = [{
    path: '',
    component: LayoutSetupComponent,
    pathMatch: 'full'
}];
@NgModule({
    imports: [RouterModule.forChild(routes)],
    exports: [RouterModule],
})
export class LayoutSetupRoutingModule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AppMenuItem("LayoutSetup", "Pages.Master.LogW.LayoutSetup", "flaticon-book",   "/app/main/master/logw/layoutsetup"),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'master/logw/layoutsetup',
    loadChildren: () =&gt; import('./master/logw/layoutsetup/layoutsetup.module').then(m =&gt; m.LayoutSetupModule),
    data: { permission: 'Pages.Master.LogW.LayoutSetup' }
},</v>
      </c>
      <c r="R10" s="50" t="str">
        <f>SUBSTITUTE(R9,"MstWptCalendar",$B$6)</f>
        <v>ApiServiceProxies.MstLgwLayoutSetupServiceProxy,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this.l('Zone'),headerTooltip: this.l('Zone'),field: 'zone',flex: 1},
			{headerName: this.l('Sub Screen No'),headerTooltip: this.l('Sub Screen No'),field: 'subScreenNo',flex: 1},
			{headerName: this.l('Screen Area'),headerTooltip: this.l('Screen Area'),field: 'screenArea',flex: 1},
			{headerName: this.l('Cell Name'),headerTooltip: this.l('Cell Name'),field: 'cellName',flex: 1},
			{headerName: this.l('Cell Type'),headerTooltip: this.l('Cell Type'),field: 'cellType',flex: 1},
			{headerName: this.l('Num Row'),headerTooltip: this.l('Num Row'),field: 'numRow',flex: 1},
			{headerName: this.l('Column Name'),headerTooltip: this.l('Column Name'),field: 'columnName',flex: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[(ngModel)]='zone' name='zone'
									class='form-control' [placeholder]="l('Zone')"
									type='text' (keyup.enter)='searchDatas()'&gt;
								&lt;/div&gt;
								&lt;div class='input-search'&gt;
									&lt;input [(ngModel)]='screenArea' name='screenArea'
									class='form-control' [placeholder]="l('Screen Area')"
									type='text' (keyup.enter)='searchDatas()'&gt;
								&lt;/div&gt;
								&lt;div class='input-search'&gt;
									&lt;input [(ngModel)]='cellName' name='cellName'
									class='form-control' [placeholder]="l('Cell Name')"
									type='text' (keyup.enter)='searchDatas()'&gt;
								&lt;/div&gt;
								&lt;div class='input-search'&gt;
									&lt;input [(ngModel)]='cellType' name='cellType'
									class='form-control' [placeholder]="l('Cell Type')"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title'&gt;Zone&lt;/label&gt;
						&lt;input type='text' class='col-md-10 form-control input-text' name='Zone' [(ngModel)]='rowdata.zone'&gt;
					&lt;/div&gt;
					&lt;div class='col-md-12 form-group row'&gt;
						&lt;label class='col-md-2 form-control title'&gt;Sub Screen No&lt;/label&gt;
						&lt;input type='number' class='col-md-10 form-control input-text' name='SubScreenNo' [(ngModel)]='rowdata.subScreenNo'&gt;
					&lt;/div&gt;
					&lt;div class='col-md-12 form-group row'&gt;
						&lt;label class='col-md-2 form-control title'&gt;Screen Area&lt;/label&gt;
						&lt;input type='text' class='col-md-10 form-control input-text' name='ScreenArea' [(ngModel)]='rowdata.screenArea'&gt;
					&lt;/div&gt;
					&lt;div class='col-md-12 form-group row'&gt;
						&lt;label class='col-md-2 form-control title'&gt;Cell Name&lt;/label&gt;
						&lt;input type='text' class='col-md-10 form-control input-text' name='CellName' [(ngModel)]='rowdata.cellName'&gt;
					&lt;/div&gt;
					&lt;div class='col-md-12 form-group row'&gt;
						&lt;label class='col-md-2 form-control title'&gt;Cell Type&lt;/label&gt;
						&lt;input type='text' class='col-md-10 form-control input-text' name='CellType' [(ngModel)]='rowdata.cellType'&gt;
					&lt;/div&gt;
					&lt;div class='col-md-12 form-group row'&gt;
						&lt;label class='col-md-2 form-control title'&gt;Num Row&lt;/label&gt;
						&lt;input type='number' class='col-md-10 form-control input-text' name='NumRow' [(ngModel)]='rowdata.numRow'&gt;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zone : string = '' ; 
	subScreenNo : number = 0 ;
	screenArea : string = '' ; 
	cellName : string = '' ; 
	cellType : string = '' ; 
numRow : number = 0 ;
	columnName : string = '' ; 
	isDisabled : string = '' ; 
	isActive : string = '' ; </v>
      </c>
      <c r="T13" s="68" t="str">
        <f ca="1">TEXTJOIN2("
",TRUE,INDIRECT(T11):INDIRECT(T12))</f>
        <v xml:space="preserve">			this.zone,
			this.subScreenNo,
			this.screenArea,
			this.cellName,
			this.cellType,
			this.numRow,
			this.columnName,
			this.isDisabled,
			this.isActive,</v>
      </c>
      <c r="U13" s="68" t="str">
        <f ca="1">TEXTJOIN2("
",TRUE,INDIRECT(U11):INDIRECT(U12))</f>
        <v>this.zone = '',
		this.subScreenNo = 0,
		this.screenArea = '',
		this.cellName = '',
		this.cellType = '',
this.numRow = 0,
		this.columnName = '',
		this.isDisabled = '',
		this.isActive = '',</v>
      </c>
      <c r="V13" s="31" t="str">
        <f ca="1">TEXTJOIN2("
",TRUE,INDIRECT(V11):INDIRECT(V12))</f>
        <v>isDisabled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layoutsetup.component.ts</v>
      </c>
      <c r="I14" s="40" t="str">
        <f>B8&amp;".component.html"</f>
        <v>layoutsetup.component.html</v>
      </c>
      <c r="J14" s="39" t="str">
        <f>B8&amp;".component.less"</f>
        <v>layoutsetup.component.less</v>
      </c>
      <c r="K14" s="40" t="str">
        <f>"create-or-edit-"&amp;B8&amp;"-modal.component.html"</f>
        <v>create-or-edit-layoutsetup-modal.component.html</v>
      </c>
      <c r="L14" s="40" t="str">
        <f>"create-or-edit-"&amp;B8&amp;"-modal.component.ts"</f>
        <v>create-or-edit-layoutsetup-modal.component.ts</v>
      </c>
      <c r="M14" s="40" t="str">
        <f>"create-or-edit-"&amp;B8&amp;"-modal.component.less"</f>
        <v>create-or-edit-layoutsetup-modal.component.less</v>
      </c>
      <c r="N14" s="40" t="str">
        <f>B8&amp;".module.ts"</f>
        <v>layoutsetup.module.ts</v>
      </c>
      <c r="O14" s="40" t="str">
        <f>B8&amp;"-routing.module.ts"</f>
        <v>layoutsetup-routing.module.ts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306</v>
      </c>
      <c r="B15" s="31" t="str">
        <f>SUBSTITUTE(PROPER(A15),"_","")</f>
        <v>Zone</v>
      </c>
      <c r="C15" s="31" t="str">
        <f>SUBSTITUTE(PROPER(A15),"_"," ")</f>
        <v>Zone</v>
      </c>
      <c r="D15" s="31" t="str">
        <f>LOWER(LEFT(B15,1))&amp;RIGHT(B15,LEN(B15) - 1)</f>
        <v>zone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this.l('Zone'),headerTooltip: this.l('Zone'),field: 'zone',flex: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[(ngModel)]='zone' name='zone'
									class='form-control' [placeholder]="l('Zone')"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title'&gt;Zone&lt;/label&gt;
						&lt;input type='text' class='col-md-10 form-control input-text' name='Zone' [(ngModel)]='rowdata.zone'&gt;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zone : string = '' ; </v>
      </c>
      <c r="T15" s="31" t="str">
        <f>REPT(CHAR(9),3)&amp;"this."&amp;D15&amp;","</f>
        <v xml:space="preserve">			this.zone,</v>
      </c>
      <c r="U15" s="31" t="str">
        <f>IF(E15="int","this."&amp;D15&amp;" = 0,","this."&amp;D15&amp;" = '',")</f>
        <v>this.zone = '',</v>
      </c>
      <c r="V15" s="31" t="str">
        <f>IF(AND(E15="string",F15="1"),D15,"")</f>
        <v/>
      </c>
    </row>
    <row r="16" spans="1:22" ht="15" customHeight="1" x14ac:dyDescent="0.25">
      <c r="A16" s="44" t="s">
        <v>308</v>
      </c>
      <c r="B16" s="31" t="str">
        <f t="shared" ref="B16:B17" si="0">SUBSTITUTE(PROPER(A16),"_","")</f>
        <v>SubScreenNo</v>
      </c>
      <c r="C16" s="31" t="str">
        <f t="shared" ref="C16:C17" si="1">SUBSTITUTE(PROPER(A16),"_"," ")</f>
        <v>Sub Screen No</v>
      </c>
      <c r="D16" s="31" t="str">
        <f t="shared" ref="D16:D17" si="2">LOWER(LEFT(B16,1))&amp;RIGHT(B16,LEN(B16) - 1)</f>
        <v>subScreenNo</v>
      </c>
      <c r="E16" s="31" t="str">
        <f>A.Backend!H10</f>
        <v>int</v>
      </c>
      <c r="F16" s="31" t="str">
        <f>A.Backend!G10</f>
        <v/>
      </c>
      <c r="G16" s="31" t="str">
        <f t="shared" ref="G16:G19" si="3">IF(E16="string"," : string = '' ; ",IF(OR(E16="DateTime",E16="TimeSpan")," : any ;",IF(E16="int"," : number = 0 ;","")))</f>
        <v xml:space="preserve"> : number = 0 ;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this.l('Sub Screen No'),headerTooltip: this.l('Sub Screen No'),field: 'subScreenNo',flex: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title'&gt;Sub Screen No&lt;/label&gt;
						&lt;input type='number' class='col-md-10 form-control input-text' name='SubScreenNo' [(ngModel)]='rowdata.subScreenNo'&gt;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subScreenNo : number = 0 ;</v>
      </c>
      <c r="T16" s="31" t="str">
        <f>REPT(CHAR(9),3)&amp;"this."&amp;D16&amp;","</f>
        <v xml:space="preserve">			this.subScreenNo,</v>
      </c>
      <c r="U16" s="31" t="str">
        <f>IF(E16="int",REPT(CHAR(9),2)&amp;"this."&amp;D16&amp;" = 0,",REPT(CHAR(9),2)&amp;"this."&amp;D16&amp;" = '',")</f>
        <v xml:space="preserve">		this.subScreenNo = 0,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309</v>
      </c>
      <c r="B17" s="31" t="str">
        <f t="shared" si="0"/>
        <v>ScreenArea</v>
      </c>
      <c r="C17" s="31" t="str">
        <f t="shared" si="1"/>
        <v>Screen Area</v>
      </c>
      <c r="D17" s="31" t="str">
        <f t="shared" si="2"/>
        <v>screenArea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this.l('Screen Area'),headerTooltip: this.l('Screen Area'),field: 'screenArea',flex: 1},</v>
      </c>
      <c r="I17" s="38" t="str">
        <f t="shared" si="5"/>
        <v xml:space="preserve">								&lt;div class='input-search'&gt;
									&lt;input [(ngModel)]='screenArea' name='screenArea'
									class='form-control' [placeholder]="l('Screen Area')"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title'&gt;Screen Area&lt;/label&gt;
						&lt;input type='text' class='col-md-10 form-control input-text' name='ScreenArea' [(ngModel)]='rowdata.screenArea'&gt;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screenArea : string = '' ; </v>
      </c>
      <c r="T17" s="31" t="str">
        <f t="shared" ref="T17:T19" si="10">REPT(CHAR(9),3)&amp;"this."&amp;D17&amp;","</f>
        <v xml:space="preserve">			this.screenArea,</v>
      </c>
      <c r="U17" s="31" t="str">
        <f t="shared" ref="U17:U19" si="11">IF(E17="int",REPT(CHAR(9),2)&amp;"this."&amp;D17&amp;" = 0,",REPT(CHAR(9),2)&amp;"this."&amp;D17&amp;" = '',")</f>
        <v xml:space="preserve">		this.screenArea = '',</v>
      </c>
      <c r="V17" s="31" t="str">
        <f t="shared" si="8"/>
        <v/>
      </c>
    </row>
    <row r="18" spans="1:22" ht="18" customHeight="1" x14ac:dyDescent="0.25">
      <c r="A18" s="44" t="s">
        <v>310</v>
      </c>
      <c r="B18" s="31" t="str">
        <f>SUBSTITUTE(PROPER(A18),"_","")</f>
        <v>CellName</v>
      </c>
      <c r="C18" s="31" t="str">
        <f>SUBSTITUTE(PROPER(A18),"_"," ")</f>
        <v>Cell Name</v>
      </c>
      <c r="D18" s="31" t="str">
        <f>LOWER(LEFT(B18,1))&amp;RIGHT(B18,LEN(B18) - 1)</f>
        <v>cellName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this.l('Cell Name'),headerTooltip: this.l('Cell Name'),field: 'cellName',flex: 1},</v>
      </c>
      <c r="I18" s="38" t="str">
        <f t="shared" si="5"/>
        <v xml:space="preserve">								&lt;div class='input-search'&gt;
									&lt;input [(ngModel)]='cellName' name='cellName'
									class='form-control' [placeholder]="l('Cell Name')"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title'&gt;Cell Name&lt;/label&gt;
						&lt;input type='text' class='col-md-10 form-control input-text' name='CellName' [(ngModel)]='rowdata.cellName'&gt;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cellName : string = '' ; </v>
      </c>
      <c r="T18" s="31" t="str">
        <f t="shared" si="10"/>
        <v xml:space="preserve">			this.cellName,</v>
      </c>
      <c r="U18" s="31" t="str">
        <f t="shared" si="11"/>
        <v xml:space="preserve">		this.cellName = '',</v>
      </c>
      <c r="V18" s="31" t="str">
        <f t="shared" si="8"/>
        <v/>
      </c>
    </row>
    <row r="19" spans="1:22" ht="15" customHeight="1" x14ac:dyDescent="0.25">
      <c r="A19" s="44" t="s">
        <v>311</v>
      </c>
      <c r="B19" s="31" t="str">
        <f t="shared" ref="B19" si="12">SUBSTITUTE(PROPER(A19),"_","")</f>
        <v>CellType</v>
      </c>
      <c r="C19" s="31" t="str">
        <f t="shared" ref="C19" si="13">SUBSTITUTE(PROPER(A19),"_"," ")</f>
        <v>Cell Type</v>
      </c>
      <c r="D19" s="31" t="str">
        <f t="shared" ref="D19" si="14">LOWER(LEFT(B19,1))&amp;RIGHT(B19,LEN(B19) - 1)</f>
        <v>cellType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this.l('Cell Type'),headerTooltip: this.l('Cell Type'),field: 'cellType',flex: 1},</v>
      </c>
      <c r="I19" s="38" t="str">
        <f t="shared" si="5"/>
        <v xml:space="preserve">								&lt;div class='input-search'&gt;
									&lt;input [(ngModel)]='cellType' name='cellType'
									class='form-control' [placeholder]="l('Cell Type')"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title'&gt;Cell Type&lt;/label&gt;
						&lt;input type='text' class='col-md-10 form-control input-text' name='CellType' [(ngModel)]='rowdata.cellType'&gt;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cellType : string = '' ; </v>
      </c>
      <c r="T19" s="31" t="str">
        <f t="shared" si="10"/>
        <v xml:space="preserve">			this.cellType,</v>
      </c>
      <c r="U19" s="31" t="str">
        <f t="shared" si="11"/>
        <v xml:space="preserve">		this.cellType = '',</v>
      </c>
      <c r="V19" s="31" t="str">
        <f t="shared" si="8"/>
        <v/>
      </c>
    </row>
    <row r="20" spans="1:22" ht="18" customHeight="1" x14ac:dyDescent="0.25">
      <c r="A20" s="44" t="s">
        <v>312</v>
      </c>
      <c r="B20" s="31" t="str">
        <f>SUBSTITUTE(PROPER(A20),"_","")</f>
        <v>NumRow</v>
      </c>
      <c r="C20" s="31" t="str">
        <f>SUBSTITUTE(PROPER(A20),"_"," ")</f>
        <v>Num Row</v>
      </c>
      <c r="D20" s="31" t="str">
        <f>LOWER(LEFT(B20,1))&amp;RIGHT(B20,LEN(B20) - 1)</f>
        <v>numRow</v>
      </c>
      <c r="E20" s="31" t="str">
        <f>A.Backend!H14</f>
        <v>int</v>
      </c>
      <c r="F20" s="31" t="str">
        <f>A.Backend!G14</f>
        <v/>
      </c>
      <c r="G20" s="31" t="str">
        <f>IF(E20="string"," : string = '' ; ",IF(OR(E20="DateTime",E20="TimeSpan")," : any ;",IF(E20="int"," : number = 0 ;","")))</f>
        <v xml:space="preserve"> : number = 0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this.l('Num Row'),headerTooltip: this.l('Num Row'),field: 'numRow',flex: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title'&gt;Num Row&lt;/label&gt;
						&lt;input type='number' class='col-md-10 form-control input-text' name='NumRow' [(ngModel)]='rowdata.numRow'&gt;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>numRow : number = 0 ;</v>
      </c>
      <c r="T20" s="31" t="str">
        <f>REPT(CHAR(9),3)&amp;"this."&amp;D20&amp;","</f>
        <v xml:space="preserve">			this.numRow,</v>
      </c>
      <c r="U20" s="31" t="str">
        <f>IF(E20="int","this."&amp;D20&amp;" = 0,","this."&amp;D20&amp;" = '',")</f>
        <v>this.numRow = 0,</v>
      </c>
      <c r="V20" s="31" t="str">
        <f>IF(AND(E20="string",F20="1"),D20,"")</f>
        <v/>
      </c>
    </row>
    <row r="21" spans="1:22" ht="15" customHeight="1" x14ac:dyDescent="0.25">
      <c r="A21" s="44" t="s">
        <v>313</v>
      </c>
      <c r="B21" s="31" t="str">
        <f t="shared" ref="B21:B22" si="15">SUBSTITUTE(PROPER(A21),"_","")</f>
        <v>ColumnName</v>
      </c>
      <c r="C21" s="31" t="str">
        <f t="shared" ref="C21:C22" si="16">SUBSTITUTE(PROPER(A21),"_"," ")</f>
        <v>Column Name</v>
      </c>
      <c r="D21" s="31" t="str">
        <f t="shared" ref="D21:D22" si="17">LOWER(LEFT(B21,1))&amp;RIGHT(B21,LEN(B21) - 1)</f>
        <v>columnName</v>
      </c>
      <c r="E21" s="31" t="str">
        <f>A.Backend!H15</f>
        <v>string</v>
      </c>
      <c r="F21" s="31" t="str">
        <f>A.Backend!G15</f>
        <v>50</v>
      </c>
      <c r="G21" s="31" t="str">
        <f t="shared" ref="G21:G23" si="18">IF(E21="string"," : string = '' ; ",IF(OR(E21="DateTime",E21="TimeSpan")," : any ;",IF(E21="int"," : number = 0 ;","")))</f>
        <v xml:space="preserve"> : string = '' ; </v>
      </c>
      <c r="H21" s="38" t="str">
        <f t="shared" ref="H21:H23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this.l('Column Name'),headerTooltip: this.l('Column Name'),field: 'columnName',flex: 1},</v>
      </c>
      <c r="I21" s="38" t="str">
        <f t="shared" ref="I21:I23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[(ngModel)]='columnName' name='columnName'
									class='form-control' [placeholder]="l('Column Name')"
									type='text' (keyup.enter)='searchDatas()'&gt;
								&lt;/div&gt;</v>
      </c>
      <c r="J21" s="31"/>
      <c r="K21" s="38" t="str">
        <f t="shared" ref="K21:K23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title'&gt;Column Name&lt;/label&gt;
						&lt;input type='text' class='col-md-10 form-control input-text' name='ColumnName' [(ngModel)]='rowdata.columnName'&gt;
					&lt;/div&gt;</v>
      </c>
      <c r="L21" s="60" t="str">
        <f t="shared" ref="L21:L23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columnName : string = '' ; </v>
      </c>
      <c r="T21" s="31" t="str">
        <f>REPT(CHAR(9),3)&amp;"this."&amp;D21&amp;","</f>
        <v xml:space="preserve">			this.columnName,</v>
      </c>
      <c r="U21" s="31" t="str">
        <f>IF(E21="int",REPT(CHAR(9),2)&amp;"this."&amp;D21&amp;" = 0,",REPT(CHAR(9),2)&amp;"this."&amp;D21&amp;" = '',")</f>
        <v xml:space="preserve">		this.columnName = '',</v>
      </c>
      <c r="V21" s="31" t="str">
        <f t="shared" ref="V21:V23" si="23">IF(AND(E21="string",F21="1"),D21,"")</f>
        <v/>
      </c>
    </row>
    <row r="22" spans="1:22" ht="18" customHeight="1" x14ac:dyDescent="0.25">
      <c r="A22" s="44" t="s">
        <v>314</v>
      </c>
      <c r="B22" s="31" t="str">
        <f t="shared" si="15"/>
        <v>IsDisabled</v>
      </c>
      <c r="C22" s="31" t="str">
        <f t="shared" si="16"/>
        <v>Is Disabled</v>
      </c>
      <c r="D22" s="31" t="str">
        <f t="shared" si="17"/>
        <v>isDisabled</v>
      </c>
      <c r="E22" s="31" t="str">
        <f>A.Backend!H16</f>
        <v>string</v>
      </c>
      <c r="F22" s="31" t="str">
        <f>A.Backend!G16</f>
        <v>1</v>
      </c>
      <c r="G22" s="31" t="str">
        <f t="shared" si="18"/>
        <v xml:space="preserve"> : string = '' ; </v>
      </c>
      <c r="H22" s="38" t="str">
        <f t="shared" si="19"/>
        <v xml:space="preserve">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</v>
      </c>
      <c r="I22" s="38" t="str">
        <f t="shared" si="20"/>
        <v xml:space="preserve">								&lt;div class='input-search'&gt;
									&lt;input [(ngModel)]='isDisabled' name='isDisabled'
									class='form-control' [placeholder]="l('Is Disabled')"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title'&gt;Is Disabled&lt;/label&gt;
						&lt;new-checkbox [(ngModel)]='_isDisabled' name='isDisabled' className='col-md-10' &gt; &lt;/new-checkbox&gt;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3" si="24">REPT(CHAR(9),1)&amp;D22&amp;G22</f>
        <v xml:space="preserve">	isDisabled : string = '' ; </v>
      </c>
      <c r="T22" s="31" t="str">
        <f t="shared" ref="T22:T23" si="25">REPT(CHAR(9),3)&amp;"this."&amp;D22&amp;","</f>
        <v xml:space="preserve">			this.isDisabled,</v>
      </c>
      <c r="U22" s="31" t="str">
        <f t="shared" ref="U22:U23" si="26">IF(E22="int",REPT(CHAR(9),2)&amp;"this."&amp;D22&amp;" = 0,",REPT(CHAR(9),2)&amp;"this."&amp;D22&amp;" = '',")</f>
        <v xml:space="preserve">		this.isDisabled = '',</v>
      </c>
      <c r="V22" s="31" t="str">
        <f t="shared" si="23"/>
        <v>isDisabled</v>
      </c>
    </row>
    <row r="23" spans="1:22" ht="18" customHeight="1" x14ac:dyDescent="0.25">
      <c r="A23" s="44" t="s">
        <v>301</v>
      </c>
      <c r="B23" s="31" t="str">
        <f>SUBSTITUTE(PROPER(A23),"_","")</f>
        <v>IsActive</v>
      </c>
      <c r="C23" s="31" t="str">
        <f>SUBSTITUTE(PROPER(A23),"_"," ")</f>
        <v>Is Active</v>
      </c>
      <c r="D23" s="31" t="str">
        <f>LOWER(LEFT(B23,1))&amp;RIGHT(B23,LEN(B23) - 1)</f>
        <v>isActive</v>
      </c>
      <c r="E23" s="31" t="str">
        <f>A.Backend!H17</f>
        <v>string</v>
      </c>
      <c r="F23" s="31" t="str">
        <f>A.Backend!G17</f>
        <v>1</v>
      </c>
      <c r="G23" s="31" t="str">
        <f t="shared" si="18"/>
        <v xml:space="preserve"> : string = '' ; </v>
      </c>
      <c r="H23" s="38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isActive : string = '' ; </v>
      </c>
      <c r="T23" s="31" t="str">
        <f t="shared" si="25"/>
        <v xml:space="preserve">			this.isActive,</v>
      </c>
      <c r="U23" s="31" t="str">
        <f t="shared" si="26"/>
        <v xml:space="preserve">		this.isActive = '',</v>
      </c>
      <c r="V23" s="31" t="str">
        <f t="shared" si="23"/>
        <v>isActive</v>
      </c>
    </row>
    <row r="2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2022-07-25T06:25:09Z</dcterms:modified>
</cp:coreProperties>
</file>
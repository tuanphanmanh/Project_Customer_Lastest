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orking\Production\prod\docs\design\master\logw\"/>
    </mc:Choice>
  </mc:AlternateContent>
  <bookViews>
    <workbookView xWindow="0" yWindow="0" windowWidth="28800" windowHeight="11805" activeTab="1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6" i="5" l="1"/>
  <c r="F16" i="5"/>
  <c r="E17" i="5"/>
  <c r="F17" i="5"/>
  <c r="E18" i="5"/>
  <c r="F18" i="5"/>
  <c r="E19" i="5"/>
  <c r="F19" i="5"/>
  <c r="E20" i="5"/>
  <c r="F20" i="5"/>
  <c r="E21" i="5"/>
  <c r="F21" i="5"/>
  <c r="E22" i="5"/>
  <c r="F22" i="5"/>
  <c r="E23" i="5"/>
  <c r="F23" i="5"/>
  <c r="E24" i="5"/>
  <c r="F24" i="5"/>
  <c r="E25" i="5"/>
  <c r="F25" i="5"/>
  <c r="H25" i="5" s="1"/>
  <c r="E26" i="5"/>
  <c r="F26" i="5"/>
  <c r="E27" i="5"/>
  <c r="V27" i="5" s="1"/>
  <c r="F27" i="5"/>
  <c r="E28" i="5"/>
  <c r="F28" i="5"/>
  <c r="E29" i="5"/>
  <c r="F29" i="5"/>
  <c r="E30" i="5"/>
  <c r="F30" i="5"/>
  <c r="E31" i="5"/>
  <c r="F31" i="5"/>
  <c r="E32" i="5"/>
  <c r="F32" i="5"/>
  <c r="E33" i="5"/>
  <c r="F33" i="5"/>
  <c r="E34" i="5"/>
  <c r="F34" i="5"/>
  <c r="E35" i="5"/>
  <c r="F35" i="5"/>
  <c r="E36" i="5"/>
  <c r="F36" i="5"/>
  <c r="E37" i="5"/>
  <c r="F37" i="5"/>
  <c r="E38" i="5"/>
  <c r="F38" i="5"/>
  <c r="E39" i="5"/>
  <c r="F39" i="5"/>
  <c r="D27" i="5"/>
  <c r="T27" i="5" s="1"/>
  <c r="C27" i="5"/>
  <c r="B27" i="5"/>
  <c r="K26" i="5"/>
  <c r="I26" i="5"/>
  <c r="C26" i="5"/>
  <c r="B26" i="5"/>
  <c r="D26" i="5" s="1"/>
  <c r="G25" i="5"/>
  <c r="D25" i="5"/>
  <c r="S25" i="5" s="1"/>
  <c r="C25" i="5"/>
  <c r="B25" i="5"/>
  <c r="K24" i="5"/>
  <c r="I24" i="5"/>
  <c r="C24" i="5"/>
  <c r="B24" i="5"/>
  <c r="D24" i="5" s="1"/>
  <c r="L31" i="1"/>
  <c r="G31" i="1"/>
  <c r="E31" i="1"/>
  <c r="H31" i="1" s="1"/>
  <c r="D31" i="1"/>
  <c r="V31" i="1" s="1"/>
  <c r="L24" i="1"/>
  <c r="H24" i="1"/>
  <c r="W24" i="1" s="1"/>
  <c r="G24" i="1"/>
  <c r="E24" i="1"/>
  <c r="D24" i="1"/>
  <c r="P24" i="1" s="1"/>
  <c r="L23" i="1"/>
  <c r="G23" i="1"/>
  <c r="E23" i="1"/>
  <c r="H23" i="1" s="1"/>
  <c r="D23" i="1"/>
  <c r="V23" i="1" s="1"/>
  <c r="T22" i="1"/>
  <c r="P22" i="1"/>
  <c r="L22" i="1"/>
  <c r="H22" i="1"/>
  <c r="M22" i="1" s="1"/>
  <c r="G22" i="1"/>
  <c r="E22" i="1"/>
  <c r="D22" i="1"/>
  <c r="V22" i="1" s="1"/>
  <c r="V25" i="5" l="1"/>
  <c r="T24" i="5"/>
  <c r="U24" i="5"/>
  <c r="T26" i="5"/>
  <c r="U26" i="5"/>
  <c r="H27" i="5"/>
  <c r="G24" i="5"/>
  <c r="S24" i="5" s="1"/>
  <c r="L24" i="5"/>
  <c r="V24" i="5"/>
  <c r="I25" i="5"/>
  <c r="T25" i="5"/>
  <c r="G26" i="5"/>
  <c r="S26" i="5" s="1"/>
  <c r="L26" i="5"/>
  <c r="V26" i="5"/>
  <c r="I27" i="5"/>
  <c r="H24" i="5"/>
  <c r="K25" i="5"/>
  <c r="U25" i="5"/>
  <c r="H26" i="5"/>
  <c r="K27" i="5"/>
  <c r="U27" i="5"/>
  <c r="L25" i="5"/>
  <c r="G27" i="5"/>
  <c r="S27" i="5" s="1"/>
  <c r="L27" i="5"/>
  <c r="N23" i="1"/>
  <c r="I23" i="1"/>
  <c r="M23" i="1"/>
  <c r="W23" i="1"/>
  <c r="O23" i="1"/>
  <c r="J23" i="1"/>
  <c r="W31" i="1"/>
  <c r="O31" i="1"/>
  <c r="J31" i="1"/>
  <c r="N31" i="1"/>
  <c r="I31" i="1"/>
  <c r="M31" i="1"/>
  <c r="I24" i="1"/>
  <c r="N24" i="1"/>
  <c r="V24" i="1"/>
  <c r="P31" i="1"/>
  <c r="M24" i="1"/>
  <c r="T24" i="1"/>
  <c r="I22" i="1"/>
  <c r="N22" i="1"/>
  <c r="P23" i="1"/>
  <c r="J22" i="1"/>
  <c r="O22" i="1"/>
  <c r="W22" i="1"/>
  <c r="T23" i="1"/>
  <c r="J24" i="1"/>
  <c r="O24" i="1"/>
  <c r="T31" i="1"/>
  <c r="L20" i="1"/>
  <c r="G20" i="1"/>
  <c r="E20" i="1"/>
  <c r="H20" i="1" s="1"/>
  <c r="D20" i="1"/>
  <c r="V20" i="1" s="1"/>
  <c r="L17" i="1"/>
  <c r="G17" i="1"/>
  <c r="E17" i="1"/>
  <c r="H17" i="1" s="1"/>
  <c r="D17" i="1"/>
  <c r="V17" i="1" s="1"/>
  <c r="L15" i="1"/>
  <c r="G15" i="1"/>
  <c r="E15" i="1"/>
  <c r="H15" i="1" s="1"/>
  <c r="D15" i="1"/>
  <c r="V15" i="1" s="1"/>
  <c r="L27" i="1"/>
  <c r="G27" i="1"/>
  <c r="E27" i="1"/>
  <c r="H27" i="1" s="1"/>
  <c r="D27" i="1"/>
  <c r="V27" i="1" s="1"/>
  <c r="W20" i="1" l="1"/>
  <c r="T20" i="1"/>
  <c r="P20" i="1"/>
  <c r="M20" i="1"/>
  <c r="I20" i="1"/>
  <c r="N20" i="1"/>
  <c r="J20" i="1"/>
  <c r="O20" i="1"/>
  <c r="W17" i="1"/>
  <c r="N17" i="1"/>
  <c r="I17" i="1"/>
  <c r="J17" i="1"/>
  <c r="M17" i="1"/>
  <c r="O17" i="1"/>
  <c r="P17" i="1"/>
  <c r="T17" i="1"/>
  <c r="W15" i="1"/>
  <c r="O15" i="1"/>
  <c r="J15" i="1"/>
  <c r="N15" i="1"/>
  <c r="I15" i="1"/>
  <c r="M15" i="1"/>
  <c r="P15" i="1"/>
  <c r="T15" i="1"/>
  <c r="N27" i="1"/>
  <c r="I27" i="1"/>
  <c r="M27" i="1"/>
  <c r="W27" i="1"/>
  <c r="O27" i="1"/>
  <c r="J27" i="1"/>
  <c r="P27" i="1"/>
  <c r="T27" i="1"/>
  <c r="C38" i="5"/>
  <c r="B38" i="5"/>
  <c r="D38" i="5" s="1"/>
  <c r="C37" i="5"/>
  <c r="B37" i="5"/>
  <c r="D37" i="5" s="1"/>
  <c r="T37" i="5" s="1"/>
  <c r="C36" i="5"/>
  <c r="B36" i="5"/>
  <c r="D36" i="5" s="1"/>
  <c r="C35" i="5"/>
  <c r="B35" i="5"/>
  <c r="D35" i="5" s="1"/>
  <c r="C34" i="5"/>
  <c r="B34" i="5"/>
  <c r="D34" i="5" s="1"/>
  <c r="C33" i="5"/>
  <c r="B33" i="5"/>
  <c r="D33" i="5" s="1"/>
  <c r="C32" i="5"/>
  <c r="B32" i="5"/>
  <c r="D32" i="5" s="1"/>
  <c r="C31" i="5"/>
  <c r="B31" i="5"/>
  <c r="D31" i="5" s="1"/>
  <c r="C30" i="5"/>
  <c r="B30" i="5"/>
  <c r="D30" i="5" s="1"/>
  <c r="C29" i="5"/>
  <c r="B29" i="5"/>
  <c r="D29" i="5" s="1"/>
  <c r="C28" i="5"/>
  <c r="B28" i="5"/>
  <c r="D28" i="5" s="1"/>
  <c r="C23" i="5"/>
  <c r="B23" i="5"/>
  <c r="D23" i="5" s="1"/>
  <c r="T23" i="5" s="1"/>
  <c r="C22" i="5"/>
  <c r="B22" i="5"/>
  <c r="D22" i="5" s="1"/>
  <c r="C21" i="5"/>
  <c r="B21" i="5"/>
  <c r="D21" i="5" s="1"/>
  <c r="T21" i="5" s="1"/>
  <c r="T36" i="5" l="1"/>
  <c r="T34" i="5"/>
  <c r="T38" i="5"/>
  <c r="T22" i="5"/>
  <c r="T28" i="5"/>
  <c r="T30" i="5"/>
  <c r="T32" i="5"/>
  <c r="T29" i="5"/>
  <c r="T31" i="5"/>
  <c r="T33" i="5"/>
  <c r="T35" i="5"/>
  <c r="G32" i="1" l="1"/>
  <c r="E32" i="1"/>
  <c r="H32" i="1" s="1"/>
  <c r="D32" i="1"/>
  <c r="V32" i="1" s="1"/>
  <c r="L28" i="1"/>
  <c r="G28" i="1"/>
  <c r="E28" i="1"/>
  <c r="H28" i="1" s="1"/>
  <c r="D28" i="1"/>
  <c r="V28" i="1" s="1"/>
  <c r="L26" i="1"/>
  <c r="G26" i="1"/>
  <c r="E26" i="1"/>
  <c r="H26" i="1" s="1"/>
  <c r="D26" i="1"/>
  <c r="V26" i="1" s="1"/>
  <c r="G30" i="1"/>
  <c r="E30" i="1"/>
  <c r="H30" i="1" s="1"/>
  <c r="D30" i="1"/>
  <c r="V30" i="1" s="1"/>
  <c r="G25" i="1"/>
  <c r="E25" i="1"/>
  <c r="H25" i="1" s="1"/>
  <c r="D25" i="1"/>
  <c r="V25" i="1" s="1"/>
  <c r="G21" i="1"/>
  <c r="E21" i="1"/>
  <c r="H21" i="1" s="1"/>
  <c r="D21" i="1"/>
  <c r="V21" i="1" s="1"/>
  <c r="L19" i="1"/>
  <c r="G19" i="1"/>
  <c r="E19" i="1"/>
  <c r="H19" i="1" s="1"/>
  <c r="D19" i="1"/>
  <c r="V19" i="1" s="1"/>
  <c r="L18" i="1"/>
  <c r="G18" i="1"/>
  <c r="E18" i="1"/>
  <c r="H18" i="1" s="1"/>
  <c r="D18" i="1"/>
  <c r="V18" i="1" s="1"/>
  <c r="G29" i="1"/>
  <c r="E29" i="1"/>
  <c r="H29" i="1" s="1"/>
  <c r="D29" i="1"/>
  <c r="V29" i="1" s="1"/>
  <c r="G16" i="1"/>
  <c r="E16" i="1"/>
  <c r="H16" i="1" s="1"/>
  <c r="D16" i="1"/>
  <c r="V16" i="1" s="1"/>
  <c r="G14" i="1"/>
  <c r="E14" i="1"/>
  <c r="H14" i="1" s="1"/>
  <c r="D14" i="1"/>
  <c r="V14" i="1" s="1"/>
  <c r="L36" i="5" l="1"/>
  <c r="V36" i="5"/>
  <c r="I36" i="5"/>
  <c r="K36" i="5"/>
  <c r="H36" i="5"/>
  <c r="U36" i="5"/>
  <c r="G36" i="5"/>
  <c r="S36" i="5" s="1"/>
  <c r="K28" i="5"/>
  <c r="I28" i="5"/>
  <c r="G28" i="5"/>
  <c r="S28" i="5" s="1"/>
  <c r="H28" i="5"/>
  <c r="L28" i="5"/>
  <c r="V28" i="5"/>
  <c r="U28" i="5"/>
  <c r="H21" i="5"/>
  <c r="M19" i="1"/>
  <c r="I32" i="5"/>
  <c r="K32" i="5"/>
  <c r="U32" i="5"/>
  <c r="L32" i="5"/>
  <c r="H32" i="5"/>
  <c r="G32" i="5"/>
  <c r="S32" i="5" s="1"/>
  <c r="V32" i="5"/>
  <c r="U35" i="5"/>
  <c r="G35" i="5"/>
  <c r="S35" i="5" s="1"/>
  <c r="H35" i="5"/>
  <c r="I35" i="5"/>
  <c r="K35" i="5"/>
  <c r="L35" i="5"/>
  <c r="I22" i="5"/>
  <c r="K22" i="5"/>
  <c r="L22" i="5"/>
  <c r="H22" i="5"/>
  <c r="V22" i="5"/>
  <c r="U22" i="5"/>
  <c r="G22" i="5"/>
  <c r="S22" i="5" s="1"/>
  <c r="G33" i="5"/>
  <c r="S33" i="5" s="1"/>
  <c r="V33" i="5"/>
  <c r="L33" i="5"/>
  <c r="I33" i="5"/>
  <c r="U33" i="5"/>
  <c r="H33" i="5"/>
  <c r="K33" i="5"/>
  <c r="V35" i="5"/>
  <c r="H37" i="5"/>
  <c r="V29" i="5"/>
  <c r="L29" i="5"/>
  <c r="U29" i="5"/>
  <c r="G29" i="5"/>
  <c r="S29" i="5" s="1"/>
  <c r="H29" i="5"/>
  <c r="K29" i="5"/>
  <c r="I29" i="5"/>
  <c r="N26" i="1"/>
  <c r="V37" i="5"/>
  <c r="G37" i="5"/>
  <c r="S37" i="5" s="1"/>
  <c r="L37" i="5"/>
  <c r="U37" i="5"/>
  <c r="I37" i="5"/>
  <c r="K37" i="5"/>
  <c r="G23" i="5"/>
  <c r="S23" i="5" s="1"/>
  <c r="U23" i="5"/>
  <c r="V23" i="5"/>
  <c r="L23" i="5"/>
  <c r="H23" i="5"/>
  <c r="I23" i="5"/>
  <c r="K23" i="5"/>
  <c r="L21" i="5"/>
  <c r="G21" i="5"/>
  <c r="S21" i="5" s="1"/>
  <c r="U21" i="5"/>
  <c r="K21" i="5"/>
  <c r="V21" i="5"/>
  <c r="I21" i="5"/>
  <c r="U31" i="5"/>
  <c r="L31" i="5"/>
  <c r="G31" i="5"/>
  <c r="S31" i="5" s="1"/>
  <c r="V31" i="5"/>
  <c r="H31" i="5"/>
  <c r="K31" i="5"/>
  <c r="I31" i="5"/>
  <c r="M16" i="1"/>
  <c r="N16" i="1"/>
  <c r="P18" i="1"/>
  <c r="P29" i="1"/>
  <c r="P28" i="1"/>
  <c r="P14" i="1"/>
  <c r="N19" i="1"/>
  <c r="P30" i="1"/>
  <c r="P21" i="1"/>
  <c r="P32" i="1"/>
  <c r="W14" i="1"/>
  <c r="O14" i="1"/>
  <c r="J14" i="1"/>
  <c r="N14" i="1"/>
  <c r="I14" i="1"/>
  <c r="M14" i="1"/>
  <c r="T16" i="1"/>
  <c r="P16" i="1"/>
  <c r="I16" i="1"/>
  <c r="W29" i="1"/>
  <c r="O29" i="1"/>
  <c r="J29" i="1"/>
  <c r="N29" i="1"/>
  <c r="I29" i="1"/>
  <c r="M29" i="1"/>
  <c r="W18" i="1"/>
  <c r="O18" i="1"/>
  <c r="J18" i="1"/>
  <c r="N18" i="1"/>
  <c r="I18" i="1"/>
  <c r="M18" i="1"/>
  <c r="T19" i="1"/>
  <c r="P19" i="1"/>
  <c r="I19" i="1"/>
  <c r="M25" i="1"/>
  <c r="M26" i="1"/>
  <c r="W21" i="1"/>
  <c r="O21" i="1"/>
  <c r="J21" i="1"/>
  <c r="N21" i="1"/>
  <c r="I21" i="1"/>
  <c r="M21" i="1"/>
  <c r="T25" i="1"/>
  <c r="P25" i="1"/>
  <c r="I25" i="1"/>
  <c r="W30" i="1"/>
  <c r="O30" i="1"/>
  <c r="J30" i="1"/>
  <c r="N30" i="1"/>
  <c r="I30" i="1"/>
  <c r="M30" i="1"/>
  <c r="T26" i="1"/>
  <c r="P26" i="1"/>
  <c r="I26" i="1"/>
  <c r="N25" i="1"/>
  <c r="W28" i="1"/>
  <c r="O28" i="1"/>
  <c r="J28" i="1"/>
  <c r="N28" i="1"/>
  <c r="I28" i="1"/>
  <c r="M28" i="1"/>
  <c r="W32" i="1"/>
  <c r="O32" i="1"/>
  <c r="J32" i="1"/>
  <c r="N32" i="1"/>
  <c r="I32" i="1"/>
  <c r="M32" i="1"/>
  <c r="T14" i="1"/>
  <c r="J16" i="1"/>
  <c r="O16" i="1"/>
  <c r="W16" i="1"/>
  <c r="T29" i="1"/>
  <c r="T18" i="1"/>
  <c r="J19" i="1"/>
  <c r="O19" i="1"/>
  <c r="W19" i="1"/>
  <c r="T21" i="1"/>
  <c r="J25" i="1"/>
  <c r="O25" i="1"/>
  <c r="W25" i="1"/>
  <c r="T30" i="1"/>
  <c r="J26" i="1"/>
  <c r="O26" i="1"/>
  <c r="W26" i="1"/>
  <c r="T28" i="1"/>
  <c r="T32" i="1"/>
  <c r="K38" i="5" l="1"/>
  <c r="I38" i="5"/>
  <c r="U38" i="5"/>
  <c r="L38" i="5"/>
  <c r="H38" i="5"/>
  <c r="V38" i="5"/>
  <c r="G38" i="5"/>
  <c r="S38" i="5" s="1"/>
  <c r="K30" i="5"/>
  <c r="I30" i="5"/>
  <c r="G30" i="5"/>
  <c r="S30" i="5" s="1"/>
  <c r="H30" i="5"/>
  <c r="U30" i="5"/>
  <c r="V30" i="5"/>
  <c r="L30" i="5"/>
  <c r="I34" i="5"/>
  <c r="V34" i="5"/>
  <c r="H34" i="5"/>
  <c r="U34" i="5"/>
  <c r="K34" i="5"/>
  <c r="G34" i="5"/>
  <c r="S34" i="5" s="1"/>
  <c r="L34" i="5"/>
  <c r="B39" i="5"/>
  <c r="D39" i="5" s="1"/>
  <c r="C20" i="5"/>
  <c r="G33" i="1"/>
  <c r="E33" i="1"/>
  <c r="H33" i="1" s="1"/>
  <c r="D33" i="1"/>
  <c r="V33" i="1" s="1"/>
  <c r="G13" i="1"/>
  <c r="E13" i="1"/>
  <c r="H13" i="1" s="1"/>
  <c r="D13" i="1"/>
  <c r="P13" i="1" s="1"/>
  <c r="V20" i="5" l="1"/>
  <c r="T39" i="5"/>
  <c r="C39" i="5"/>
  <c r="I39" i="5" s="1"/>
  <c r="V39" i="5"/>
  <c r="U39" i="5"/>
  <c r="B20" i="5"/>
  <c r="D20" i="5" s="1"/>
  <c r="I20" i="5" s="1"/>
  <c r="G39" i="5"/>
  <c r="S39" i="5" s="1"/>
  <c r="L39" i="5"/>
  <c r="G20" i="5"/>
  <c r="L20" i="5"/>
  <c r="T33" i="1"/>
  <c r="W13" i="1"/>
  <c r="T13" i="1"/>
  <c r="P33" i="1"/>
  <c r="N33" i="1"/>
  <c r="I33" i="1"/>
  <c r="M33" i="1"/>
  <c r="W33" i="1"/>
  <c r="O33" i="1"/>
  <c r="J33" i="1"/>
  <c r="M13" i="1"/>
  <c r="I13" i="1"/>
  <c r="N13" i="1"/>
  <c r="V13" i="1"/>
  <c r="J13" i="1"/>
  <c r="O13" i="1"/>
  <c r="K39" i="5" l="1"/>
  <c r="K20" i="5"/>
  <c r="U20" i="5"/>
  <c r="H39" i="5"/>
  <c r="T20" i="5"/>
  <c r="S20" i="5"/>
  <c r="H20" i="5"/>
  <c r="W3" i="1"/>
  <c r="V3" i="1"/>
  <c r="B2" i="5" l="1"/>
  <c r="B3" i="5" s="1"/>
  <c r="C19" i="5"/>
  <c r="B18" i="5"/>
  <c r="D18" i="5" s="1"/>
  <c r="G12" i="1"/>
  <c r="E12" i="1"/>
  <c r="H12" i="1" s="1"/>
  <c r="D12" i="1"/>
  <c r="N12" i="1" l="1"/>
  <c r="O12" i="1"/>
  <c r="M12" i="1"/>
  <c r="T12" i="1"/>
  <c r="V12" i="1"/>
  <c r="W12" i="1"/>
  <c r="T18" i="5"/>
  <c r="P12" i="1"/>
  <c r="C18" i="5"/>
  <c r="B19" i="5"/>
  <c r="D19" i="5" s="1"/>
  <c r="I12" i="1"/>
  <c r="J12" i="1"/>
  <c r="B6" i="5"/>
  <c r="L19" i="5" l="1"/>
  <c r="I19" i="5"/>
  <c r="K19" i="5"/>
  <c r="H19" i="5"/>
  <c r="L18" i="5"/>
  <c r="K18" i="5"/>
  <c r="I18" i="5"/>
  <c r="H18" i="5"/>
  <c r="G19" i="5"/>
  <c r="S19" i="5" s="1"/>
  <c r="U19" i="5"/>
  <c r="V19" i="5"/>
  <c r="G18" i="5"/>
  <c r="S18" i="5" s="1"/>
  <c r="U18" i="5"/>
  <c r="V18" i="5"/>
  <c r="T19" i="5"/>
  <c r="U7" i="1" l="1"/>
  <c r="B7" i="5" l="1"/>
  <c r="Q3" i="1" l="1"/>
  <c r="O7" i="1" s="1"/>
  <c r="T3" i="1"/>
  <c r="F3" i="1"/>
  <c r="B4" i="5" l="1"/>
  <c r="N7" i="1"/>
  <c r="E47" i="3" s="1"/>
  <c r="K7" i="1"/>
  <c r="H6" i="1"/>
  <c r="R10" i="5" l="1"/>
  <c r="M54" i="3" s="1"/>
  <c r="N47" i="3" l="1"/>
  <c r="B8" i="5"/>
  <c r="B5" i="5"/>
  <c r="D9" i="1"/>
  <c r="V9" i="1" l="1"/>
  <c r="T9" i="1"/>
  <c r="P10" i="5"/>
  <c r="K54" i="3" s="1"/>
  <c r="Q10" i="5"/>
  <c r="L54" i="3" s="1"/>
  <c r="B52" i="3"/>
  <c r="C52" i="3" s="1"/>
  <c r="M14" i="5"/>
  <c r="H53" i="3" s="1"/>
  <c r="L14" i="5"/>
  <c r="G53" i="3" s="1"/>
  <c r="K14" i="5"/>
  <c r="F53" i="3" s="1"/>
  <c r="L53" i="3"/>
  <c r="K53" i="3"/>
  <c r="O14" i="5"/>
  <c r="J53" i="3" s="1"/>
  <c r="N14" i="5"/>
  <c r="I53" i="3" s="1"/>
  <c r="J14" i="5"/>
  <c r="E53" i="3" s="1"/>
  <c r="I14" i="5"/>
  <c r="D53" i="3" s="1"/>
  <c r="H14" i="5"/>
  <c r="C53" i="3" s="1"/>
  <c r="O10" i="5"/>
  <c r="J54" i="3" s="1"/>
  <c r="N10" i="5"/>
  <c r="I54" i="3" s="1"/>
  <c r="M10" i="5"/>
  <c r="H54" i="3" s="1"/>
  <c r="J10" i="5"/>
  <c r="E54" i="3" s="1"/>
  <c r="N3" i="1" l="1"/>
  <c r="M3" i="1"/>
  <c r="O3" i="1"/>
  <c r="D10" i="1"/>
  <c r="D11" i="1"/>
  <c r="V10" i="1" l="1"/>
  <c r="T10" i="1"/>
  <c r="V11" i="1"/>
  <c r="T11" i="1"/>
  <c r="C15" i="5"/>
  <c r="B15" i="5"/>
  <c r="D15" i="5" s="1"/>
  <c r="V35" i="1"/>
  <c r="V12" i="5" l="1"/>
  <c r="L12" i="5"/>
  <c r="U12" i="5"/>
  <c r="S12" i="5"/>
  <c r="H12" i="5"/>
  <c r="K12" i="5"/>
  <c r="T12" i="5"/>
  <c r="I12" i="5"/>
  <c r="T15" i="5"/>
  <c r="C17" i="5"/>
  <c r="B17" i="5"/>
  <c r="D17" i="5" s="1"/>
  <c r="C16" i="5"/>
  <c r="B16" i="5"/>
  <c r="D16" i="5" s="1"/>
  <c r="T16" i="5" s="1"/>
  <c r="T17" i="5" l="1"/>
  <c r="R3" i="1"/>
  <c r="D1" i="1"/>
  <c r="F6" i="1"/>
  <c r="T13" i="5"/>
  <c r="G9" i="1" l="1"/>
  <c r="F15" i="5" s="1"/>
  <c r="G10" i="1"/>
  <c r="G11" i="1"/>
  <c r="E9" i="1"/>
  <c r="H9" i="1" s="1"/>
  <c r="E10" i="1"/>
  <c r="H10" i="1" s="1"/>
  <c r="E11" i="1"/>
  <c r="H11" i="1" s="1"/>
  <c r="P9" i="1"/>
  <c r="P10" i="1"/>
  <c r="P11" i="1"/>
  <c r="T35" i="1"/>
  <c r="O11" i="1" l="1"/>
  <c r="M11" i="1"/>
  <c r="N11" i="1"/>
  <c r="O10" i="1"/>
  <c r="M10" i="1"/>
  <c r="N10" i="1"/>
  <c r="O9" i="1"/>
  <c r="M9" i="1"/>
  <c r="N9" i="1"/>
  <c r="W11" i="1"/>
  <c r="E15" i="5"/>
  <c r="W9" i="1"/>
  <c r="W10" i="1"/>
  <c r="T7" i="1"/>
  <c r="I11" i="1"/>
  <c r="I10" i="1"/>
  <c r="I9" i="1"/>
  <c r="W35" i="1"/>
  <c r="L16" i="5" l="1"/>
  <c r="H16" i="5"/>
  <c r="I16" i="5"/>
  <c r="K16" i="5"/>
  <c r="L17" i="5"/>
  <c r="H17" i="5"/>
  <c r="I17" i="5"/>
  <c r="K17" i="5"/>
  <c r="L15" i="5"/>
  <c r="K15" i="5"/>
  <c r="I15" i="5"/>
  <c r="H15" i="5"/>
  <c r="G16" i="5"/>
  <c r="S16" i="5" s="1"/>
  <c r="U16" i="5"/>
  <c r="V16" i="5"/>
  <c r="G15" i="5"/>
  <c r="S15" i="5" s="1"/>
  <c r="V15" i="5"/>
  <c r="U15" i="5"/>
  <c r="G17" i="5"/>
  <c r="S17" i="5" s="1"/>
  <c r="U17" i="5"/>
  <c r="V17" i="5"/>
  <c r="G6" i="1"/>
  <c r="S13" i="5"/>
  <c r="V13" i="5"/>
  <c r="K13" i="5"/>
  <c r="H13" i="5"/>
  <c r="U13" i="5"/>
  <c r="L13" i="5"/>
  <c r="I13" i="5"/>
  <c r="K10" i="5" l="1"/>
  <c r="F54" i="3" s="1"/>
  <c r="I10" i="5"/>
  <c r="D54" i="3" s="1"/>
  <c r="H10" i="5"/>
  <c r="C54" i="3" s="1"/>
  <c r="L10" i="5"/>
  <c r="G54" i="3" s="1"/>
  <c r="L47" i="3"/>
  <c r="D47" i="3"/>
  <c r="D6" i="1"/>
  <c r="B6" i="1" l="1"/>
  <c r="L3" i="1"/>
  <c r="J3" i="1"/>
  <c r="H3" i="1"/>
  <c r="C6" i="1" l="1"/>
  <c r="P7" i="1" s="1"/>
  <c r="S3" i="1"/>
  <c r="S7" i="1" s="1"/>
  <c r="E6" i="1"/>
  <c r="F47" i="3"/>
  <c r="I3" i="1" l="1"/>
  <c r="B7" i="1"/>
  <c r="L14" i="1" l="1"/>
  <c r="L33" i="1"/>
  <c r="L29" i="1"/>
  <c r="L30" i="1"/>
  <c r="L32" i="1"/>
  <c r="L21" i="1"/>
  <c r="L25" i="1"/>
  <c r="L16" i="1"/>
  <c r="L11" i="1"/>
  <c r="L12" i="1"/>
  <c r="L13" i="1"/>
  <c r="L9" i="1"/>
  <c r="L10" i="1"/>
  <c r="J11" i="1"/>
  <c r="J9" i="1"/>
  <c r="J10" i="1"/>
  <c r="C7" i="1"/>
  <c r="O35" i="1"/>
  <c r="I35" i="1"/>
  <c r="N35" i="1"/>
  <c r="P35" i="1"/>
  <c r="J35" i="1"/>
  <c r="Q7" i="1" l="1"/>
  <c r="M47" i="3" s="1"/>
  <c r="L7" i="1"/>
  <c r="G47" i="3" s="1"/>
  <c r="K47" i="3"/>
  <c r="J47" i="3"/>
  <c r="M35" i="1"/>
  <c r="K35" i="1"/>
  <c r="R7" i="1" l="1"/>
  <c r="I47" i="3" s="1"/>
  <c r="M7" i="1"/>
  <c r="H47" i="3" s="1"/>
  <c r="J7" i="1"/>
  <c r="C47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</t>
        </r>
      </text>
    </comment>
    <comment ref="D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 Authorization</t>
        </r>
      </text>
    </comment>
    <comment ref="E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 Authorization</t>
        </r>
      </text>
    </comment>
    <comment ref="F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EF Core</t>
        </r>
      </text>
    </comment>
    <comment ref="G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 Share</t>
        </r>
      </text>
    </comment>
    <comment ref="H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 Share</t>
        </r>
      </text>
    </comment>
    <comment ref="I46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 Share</t>
        </r>
      </text>
    </comment>
    <comment ref="J46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Application Share</t>
        </r>
      </text>
    </comment>
    <comment ref="K46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
</t>
        </r>
      </text>
    </comment>
    <comment ref="L46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
</t>
        </r>
      </text>
    </comment>
    <comment ref="M46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
</t>
        </r>
      </text>
    </comment>
    <comment ref="N46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<sst xmlns="http://schemas.openxmlformats.org/spreadsheetml/2006/main" count="469" uniqueCount="333">
  <si>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</si>
  <si>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</si>
  <si>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</si>
  <si>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</si>
  <si>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</si>
  <si>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</si>
  <si>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</si>
  <si>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</si>
  <si>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</si>
  <si>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</si>
  <si>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</si>
  <si>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</si>
  <si>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</si>
  <si>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</si>
  <si>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</si>
  <si>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</si>
  <si>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</si>
  <si>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</si>
  <si>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</si>
  <si>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</si>
  <si>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</si>
  <si>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</si>
  <si>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</si>
  <si>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</si>
  <si>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</si>
  <si>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</si>
  <si>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</si>
  <si>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</si>
  <si>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</si>
  <si>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</si>
  <si>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</si>
  <si>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</si>
  <si>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DateTime</t>
  </si>
  <si>
    <t>string</t>
  </si>
  <si>
    <t>byte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</si>
  <si>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</si>
  <si>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</si>
  <si>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</si>
  <si>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</si>
  <si>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</si>
  <si>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</si>
  <si>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</si>
  <si>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</si>
  <si>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</si>
  <si>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</si>
  <si>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</si>
  <si>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</si>
  <si>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</si>
  <si>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long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</si>
  <si>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</si>
  <si>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</si>
  <si>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</si>
  <si>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</si>
  <si>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</si>
  <si>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</si>
  <si>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</si>
  <si>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</si>
  <si>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</si>
  <si>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</si>
  <si>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</si>
  <si>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</si>
  <si>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</si>
  <si>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</si>
  <si>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</si>
  <si>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</si>
  <si>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</si>
  <si>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</si>
  <si>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</si>
  <si>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</si>
  <si>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</si>
  <si>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</si>
  <si>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</si>
  <si>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</si>
  <si>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</si>
  <si>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</si>
  <si>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</si>
  <si>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</si>
  <si>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</si>
  <si>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</si>
  <si>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</si>
  <si>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</si>
  <si>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</si>
  <si>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</si>
  <si>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</si>
  <si>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</si>
  <si>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</si>
  <si>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</si>
  <si>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</si>
  <si>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</si>
  <si>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</si>
  <si>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</si>
  <si>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</si>
  <si>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</si>
  <si>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</si>
  <si>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</si>
  <si>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</si>
  <si>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</si>
  <si>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</si>
  <si>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</si>
  <si>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</si>
  <si>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</si>
  <si>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</si>
  <si>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</si>
  <si>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</si>
  <si>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</si>
  <si>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</si>
  <si>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</si>
  <si>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</si>
  <si>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</si>
  <si>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</si>
  <si>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</si>
  <si>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</si>
  <si>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</si>
  <si>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</si>
  <si>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</si>
  <si>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</si>
  <si>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</si>
  <si>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</si>
  <si>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</si>
  <si>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</si>
  <si>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</si>
  <si>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</si>
  <si>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</si>
  <si>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</si>
  <si>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</si>
  <si>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</si>
  <si>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</si>
  <si>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</si>
  <si>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</si>
  <si>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</si>
  <si>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</si>
  <si>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</si>
  <si>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</si>
  <si>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</si>
  <si>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</si>
  <si>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</si>
  <si>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</si>
  <si>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</si>
  <si>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</si>
  <si>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</si>
  <si>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</si>
  <si>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</si>
  <si>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</si>
  <si>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</si>
  <si>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</si>
  <si>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</si>
  <si>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</si>
  <si>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</si>
  <si>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</si>
  <si>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</si>
  <si>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</si>
  <si>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</si>
  <si>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</si>
  <si>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</si>
  <si>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</si>
  <si>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</si>
  <si>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</si>
  <si>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</si>
  <si>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</si>
  <si>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</si>
  <si>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</si>
  <si>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</si>
  <si>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</si>
  <si>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</si>
  <si>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</si>
  <si>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</si>
  <si>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</si>
  <si>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</si>
  <si>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</si>
  <si>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</si>
  <si>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</si>
  <si>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</si>
  <si>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</si>
  <si>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</si>
  <si>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</si>
  <si>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</si>
  <si>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</si>
  <si>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</si>
  <si>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</si>
  <si>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</si>
  <si>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</si>
  <si>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</si>
  <si>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</si>
  <si>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</si>
  <si>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</si>
  <si>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</si>
  <si>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</si>
  <si>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</si>
  <si>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</si>
  <si>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</si>
  <si>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</si>
  <si>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</si>
  <si>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</si>
  <si>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</si>
  <si>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</si>
  <si>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</si>
  <si>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</si>
  <si>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</si>
  <si>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</si>
  <si>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</si>
  <si>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</si>
  <si>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</si>
  <si>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</si>
  <si>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</si>
  <si>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</si>
  <si>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</si>
  <si>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Y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</si>
  <si>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</si>
  <si>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</si>
  <si>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</si>
  <si>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</si>
  <si>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</si>
  <si>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</si>
  <si>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</si>
  <si>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</si>
  <si>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</si>
  <si>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</si>
  <si>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</si>
  <si>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</si>
  <si>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</si>
  <si>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</si>
  <si>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</si>
  <si>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</si>
  <si>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</si>
  <si>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</si>
  <si>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</si>
  <si>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</si>
  <si>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</si>
  <si>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</si>
  <si>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</si>
  <si>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</si>
  <si>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</si>
  <si>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</si>
  <si>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</si>
  <si>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</si>
  <si>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</si>
  <si>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</si>
  <si>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</si>
  <si>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</si>
  <si>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</si>
  <si>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</si>
  <si>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</si>
  <si>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</si>
  <si>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</si>
  <si>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</si>
  <si>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</si>
  <si>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</si>
  <si>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</si>
  <si>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</si>
  <si>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</si>
  <si>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</si>
  <si>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</si>
  <si>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</si>
  <si>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</si>
  <si>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</si>
  <si>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</si>
  <si>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</si>
  <si>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</si>
  <si>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</si>
  <si>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</si>
  <si>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</si>
  <si>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</si>
  <si>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</si>
  <si>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</si>
  <si>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</si>
  <si>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</si>
  <si>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</si>
  <si>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</si>
  <si>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TimeSpan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</si>
  <si>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</si>
  <si>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</si>
  <si>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</si>
  <si>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</si>
  <si>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</si>
  <si>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</si>
  <si>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</si>
  <si>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</si>
  <si>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</si>
  <si>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</si>
  <si>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</si>
  <si>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</si>
  <si>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</si>
  <si>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</si>
  <si>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</si>
  <si>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</si>
  <si>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</si>
  <si>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</si>
  <si>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</si>
  <si>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</si>
  <si>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</si>
  <si>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</si>
  <si>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</si>
  <si>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</si>
  <si>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</si>
  <si>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</si>
  <si>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</si>
  <si>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</si>
  <si>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</si>
  <si>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</si>
  <si>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</si>
  <si>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</si>
  <si>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IS_ACTIVE</t>
  </si>
  <si>
    <t>varchar(1)</t>
  </si>
  <si>
    <t>varchar(50)</t>
  </si>
  <si>
    <t>Master.LogW</t>
  </si>
  <si>
    <t>UNPACK_DONE_COLOR</t>
  </si>
  <si>
    <t>NEED_TO_UNPACK_COLOR</t>
  </si>
  <si>
    <t>NEED_TO_UNPACK_FLASH</t>
  </si>
  <si>
    <t>CONFIRM_FLAG_COLOR</t>
  </si>
  <si>
    <t>CONFIRM_FLAG_SOUND</t>
  </si>
  <si>
    <t>nvarchar(200)</t>
  </si>
  <si>
    <t>CONFIRM_FLAG_PLAYTIME</t>
  </si>
  <si>
    <t>CONFIRM_FLAG_FLASH</t>
  </si>
  <si>
    <t>DELAY_UNPACK_COLOR</t>
  </si>
  <si>
    <t>DELAY_UNPACK_SOUND</t>
  </si>
  <si>
    <t>DELAY_UNPACK_PLAYTIME</t>
  </si>
  <si>
    <t>DELAY_UNPACK_FLASH</t>
  </si>
  <si>
    <t>CALL_LEADER_COLOR</t>
  </si>
  <si>
    <t>CALL_LEADER_SOUND</t>
  </si>
  <si>
    <t>CALL_LEADER_PLAYTIME</t>
  </si>
  <si>
    <t>CALL_LEADER_FLASH</t>
  </si>
  <si>
    <t>TOTAL_COLUMN_OLD_SHIFT</t>
  </si>
  <si>
    <t>TOTAL_COLUMN_SEQ_A1</t>
  </si>
  <si>
    <t>TOTAL_COLUMN_SEQ_A2</t>
  </si>
  <si>
    <t>BEFORE_TACKTIME_COLOR</t>
  </si>
  <si>
    <t>BEFORE_TACKTIME_SOUND</t>
  </si>
  <si>
    <t>BEFORE_TACKTIME_PLAYTIME</t>
  </si>
  <si>
    <t>BEFORE_TACKTIME_FLASH</t>
  </si>
  <si>
    <t>TACK_CASE_A1</t>
  </si>
  <si>
    <t>TACK_CASE_A2</t>
  </si>
  <si>
    <t>MstLgwScreenConfig</t>
  </si>
  <si>
    <t>ScreenConfig</t>
  </si>
  <si>
    <t>Master LogW Screen Config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</si>
</sst>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0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applyFont="1"/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0" borderId="0" xfId="0" applyBorder="1" applyAlignment="1">
      <alignment vertical="center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 applyAlignment="1"/>
    <xf numFmtId="0" fontId="0" fillId="10" borderId="3" xfId="0" applyFill="1" applyBorder="1" applyAlignment="1">
      <alignment wrapText="1"/>
    </xf>
    <xf numFmtId="0" fontId="0" fillId="10" borderId="1" xfId="0" applyFill="1" applyBorder="1" applyAlignment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ont="1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10" borderId="3" xfId="0" applyFill="1" applyBorder="1"/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0" fillId="8" borderId="0" xfId="0" applyFill="1" applyBorder="1" applyAlignment="1">
      <alignment wrapText="1"/>
    </xf>
    <xf numFmtId="0" fontId="16" fillId="3" borderId="0" xfId="0" applyFont="1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3" xfId="0" applyFill="1" applyBorder="1"/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56"/>
  <sheetViews>
    <sheetView topLeftCell="A41" workbookViewId="0">
      <selection activeCell="C47" sqref="C47"/>
    </sheetView>
  </sheetViews>
  <sheetFormatPr defaultRowHeight="15" x14ac:dyDescent="0.25"/>
  <cols>
    <col min="1" max="1" width="3.5703125" customWidth="1"/>
    <col min="2" max="2" width="18.5703125" customWidth="1"/>
    <col min="3" max="5" width="26.140625" customWidth="1"/>
    <col min="6" max="6" width="29.42578125" customWidth="1"/>
    <col min="7" max="10" width="26.140625" customWidth="1"/>
    <col min="11" max="11" width="26.42578125" customWidth="1"/>
    <col min="12" max="12" width="27.7109375" customWidth="1"/>
    <col min="13" max="13" width="25.5703125" customWidth="1"/>
    <col min="14" max="18" width="18.5703125" customWidth="1"/>
  </cols>
  <sheetData>
    <row r="1" spans="1:7" ht="23.25" x14ac:dyDescent="0.35">
      <c r="A1" s="15" t="s">
        <v>74</v>
      </c>
    </row>
    <row r="2" spans="1:7" ht="15.75" x14ac:dyDescent="0.25">
      <c r="A2" s="1"/>
      <c r="B2" s="27" t="s">
        <v>196</v>
      </c>
    </row>
    <row r="3" spans="1:7" x14ac:dyDescent="0.25">
      <c r="A3" s="1"/>
      <c r="B3" s="1" t="s">
        <v>77</v>
      </c>
    </row>
    <row r="4" spans="1:7" x14ac:dyDescent="0.25">
      <c r="A4" s="1"/>
      <c r="B4" s="17" t="s">
        <v>76</v>
      </c>
    </row>
    <row r="5" spans="1:7" x14ac:dyDescent="0.25">
      <c r="A5" s="1"/>
      <c r="B5" s="17" t="s">
        <v>79</v>
      </c>
    </row>
    <row r="6" spans="1:7" x14ac:dyDescent="0.25">
      <c r="A6" s="1"/>
      <c r="B6" s="17" t="s">
        <v>87</v>
      </c>
    </row>
    <row r="7" spans="1:7" x14ac:dyDescent="0.25">
      <c r="A7" s="1"/>
      <c r="B7" s="17"/>
      <c r="C7" s="2" t="s">
        <v>97</v>
      </c>
      <c r="D7" s="2"/>
      <c r="E7" s="2"/>
      <c r="F7" s="2" t="s">
        <v>105</v>
      </c>
      <c r="G7" s="2" t="s">
        <v>285</v>
      </c>
    </row>
    <row r="8" spans="1:7" x14ac:dyDescent="0.25">
      <c r="A8" s="1"/>
      <c r="B8" s="17"/>
      <c r="C8" t="s">
        <v>89</v>
      </c>
      <c r="F8" s="1" t="s">
        <v>234</v>
      </c>
      <c r="G8" s="17" t="s">
        <v>234</v>
      </c>
    </row>
    <row r="9" spans="1:7" x14ac:dyDescent="0.25">
      <c r="A9" s="1"/>
      <c r="B9" s="17"/>
      <c r="C9" t="s">
        <v>88</v>
      </c>
      <c r="F9" s="1" t="s">
        <v>98</v>
      </c>
      <c r="G9" s="17" t="s">
        <v>98</v>
      </c>
    </row>
    <row r="10" spans="1:7" x14ac:dyDescent="0.25">
      <c r="A10" s="1"/>
      <c r="B10" s="17"/>
      <c r="D10" t="s">
        <v>89</v>
      </c>
      <c r="F10" s="1" t="s">
        <v>234</v>
      </c>
      <c r="G10" s="17" t="s">
        <v>286</v>
      </c>
    </row>
    <row r="11" spans="1:7" x14ac:dyDescent="0.25">
      <c r="A11" s="1"/>
      <c r="B11" s="17"/>
      <c r="D11" t="s">
        <v>90</v>
      </c>
      <c r="F11" s="1" t="s">
        <v>99</v>
      </c>
      <c r="G11" s="17" t="s">
        <v>287</v>
      </c>
    </row>
    <row r="12" spans="1:7" x14ac:dyDescent="0.25">
      <c r="A12" s="1"/>
      <c r="B12" s="17"/>
      <c r="D12" t="s">
        <v>91</v>
      </c>
      <c r="F12" s="1" t="s">
        <v>100</v>
      </c>
      <c r="G12" s="17" t="s">
        <v>288</v>
      </c>
    </row>
    <row r="13" spans="1:7" x14ac:dyDescent="0.25">
      <c r="A13" s="1"/>
      <c r="B13" s="17"/>
      <c r="D13" t="s">
        <v>92</v>
      </c>
      <c r="F13" s="1" t="s">
        <v>101</v>
      </c>
      <c r="G13" s="17" t="s">
        <v>289</v>
      </c>
    </row>
    <row r="14" spans="1:7" x14ac:dyDescent="0.25">
      <c r="A14" s="1"/>
      <c r="B14" s="17"/>
      <c r="D14" t="s">
        <v>93</v>
      </c>
      <c r="F14" s="1" t="s">
        <v>102</v>
      </c>
      <c r="G14" s="17" t="s">
        <v>290</v>
      </c>
    </row>
    <row r="15" spans="1:7" x14ac:dyDescent="0.25">
      <c r="A15" s="1"/>
      <c r="B15" s="17"/>
      <c r="D15" t="s">
        <v>94</v>
      </c>
      <c r="F15" s="1" t="s">
        <v>103</v>
      </c>
      <c r="G15" s="17" t="s">
        <v>291</v>
      </c>
    </row>
    <row r="16" spans="1:7" ht="12" customHeight="1" x14ac:dyDescent="0.25">
      <c r="A16" s="1"/>
      <c r="B16" s="17"/>
      <c r="D16" t="s">
        <v>271</v>
      </c>
      <c r="F16" s="1" t="s">
        <v>272</v>
      </c>
      <c r="G16" s="17" t="s">
        <v>292</v>
      </c>
    </row>
    <row r="17" spans="1:7" x14ac:dyDescent="0.25">
      <c r="A17" s="1"/>
      <c r="B17" s="17"/>
      <c r="C17" t="s">
        <v>91</v>
      </c>
      <c r="F17" s="1" t="s">
        <v>100</v>
      </c>
      <c r="G17" s="17" t="s">
        <v>100</v>
      </c>
    </row>
    <row r="18" spans="1:7" x14ac:dyDescent="0.25">
      <c r="A18" s="1"/>
      <c r="B18" s="17"/>
      <c r="D18" t="s">
        <v>95</v>
      </c>
      <c r="F18" s="1" t="s">
        <v>114</v>
      </c>
      <c r="G18" s="17" t="s">
        <v>293</v>
      </c>
    </row>
    <row r="19" spans="1:7" x14ac:dyDescent="0.25">
      <c r="A19" s="1"/>
      <c r="B19" s="17"/>
      <c r="D19" t="s">
        <v>96</v>
      </c>
      <c r="F19" s="1" t="s">
        <v>104</v>
      </c>
      <c r="G19" s="17" t="s">
        <v>294</v>
      </c>
    </row>
    <row r="20" spans="1:7" x14ac:dyDescent="0.25">
      <c r="A20" s="1"/>
      <c r="B20" s="17"/>
      <c r="C20" t="s">
        <v>92</v>
      </c>
      <c r="F20" s="1" t="s">
        <v>101</v>
      </c>
      <c r="G20" s="17" t="s">
        <v>101</v>
      </c>
    </row>
    <row r="21" spans="1:7" x14ac:dyDescent="0.25">
      <c r="A21" s="1"/>
      <c r="B21" s="17"/>
      <c r="C21" t="s">
        <v>93</v>
      </c>
      <c r="F21" s="1" t="s">
        <v>102</v>
      </c>
      <c r="G21" s="17" t="s">
        <v>102</v>
      </c>
    </row>
    <row r="22" spans="1:7" x14ac:dyDescent="0.25">
      <c r="A22" s="1"/>
      <c r="B22" s="17"/>
      <c r="C22" t="s">
        <v>271</v>
      </c>
      <c r="F22" s="1" t="s">
        <v>272</v>
      </c>
      <c r="G22" s="17" t="s">
        <v>272</v>
      </c>
    </row>
    <row r="23" spans="1:7" x14ac:dyDescent="0.25">
      <c r="A23" s="1"/>
      <c r="B23" s="17"/>
      <c r="D23" t="s">
        <v>273</v>
      </c>
      <c r="F23" s="1" t="s">
        <v>275</v>
      </c>
      <c r="G23" s="17" t="s">
        <v>295</v>
      </c>
    </row>
    <row r="24" spans="1:7" x14ac:dyDescent="0.25">
      <c r="A24" s="1"/>
      <c r="B24" s="17"/>
      <c r="D24" t="s">
        <v>276</v>
      </c>
      <c r="F24" s="1" t="s">
        <v>274</v>
      </c>
      <c r="G24" s="17" t="s">
        <v>296</v>
      </c>
    </row>
    <row r="25" spans="1:7" x14ac:dyDescent="0.25">
      <c r="A25" s="1"/>
      <c r="B25" s="17"/>
      <c r="D25" t="s">
        <v>277</v>
      </c>
      <c r="F25" s="1" t="s">
        <v>280</v>
      </c>
      <c r="G25" s="17" t="s">
        <v>297</v>
      </c>
    </row>
    <row r="26" spans="1:7" x14ac:dyDescent="0.25">
      <c r="A26" s="1"/>
      <c r="B26" s="17"/>
      <c r="D26" t="s">
        <v>278</v>
      </c>
      <c r="F26" s="1" t="s">
        <v>281</v>
      </c>
      <c r="G26" s="17" t="s">
        <v>298</v>
      </c>
    </row>
    <row r="27" spans="1:7" x14ac:dyDescent="0.25">
      <c r="A27" s="1"/>
      <c r="B27" s="17"/>
      <c r="D27" t="s">
        <v>279</v>
      </c>
      <c r="F27" s="1" t="s">
        <v>282</v>
      </c>
      <c r="G27" s="17" t="s">
        <v>299</v>
      </c>
    </row>
    <row r="28" spans="1:7" x14ac:dyDescent="0.25">
      <c r="A28" s="1"/>
      <c r="B28" s="17"/>
      <c r="D28" t="s">
        <v>284</v>
      </c>
      <c r="F28" s="1" t="s">
        <v>283</v>
      </c>
      <c r="G28" s="17" t="s">
        <v>300</v>
      </c>
    </row>
    <row r="29" spans="1:7" x14ac:dyDescent="0.25">
      <c r="A29" s="1"/>
      <c r="B29" s="17"/>
      <c r="F29" s="1"/>
    </row>
    <row r="30" spans="1:7" x14ac:dyDescent="0.25">
      <c r="A30" s="1"/>
      <c r="B30" s="17"/>
    </row>
    <row r="31" spans="1:7" x14ac:dyDescent="0.25">
      <c r="A31" s="1"/>
      <c r="B31" s="17" t="s">
        <v>86</v>
      </c>
    </row>
    <row r="32" spans="1:7" x14ac:dyDescent="0.25">
      <c r="A32" s="1"/>
      <c r="B32" s="17" t="s">
        <v>83</v>
      </c>
    </row>
    <row r="33" spans="1:14" x14ac:dyDescent="0.25">
      <c r="A33" s="1"/>
      <c r="B33" s="17"/>
      <c r="C33" s="19" t="s">
        <v>80</v>
      </c>
    </row>
    <row r="34" spans="1:14" x14ac:dyDescent="0.25">
      <c r="A34" s="1"/>
      <c r="B34" s="17"/>
      <c r="C34" s="18" t="s">
        <v>81</v>
      </c>
    </row>
    <row r="35" spans="1:14" x14ac:dyDescent="0.25">
      <c r="A35" s="1"/>
      <c r="B35" s="17"/>
      <c r="C35" s="18" t="s">
        <v>82</v>
      </c>
    </row>
    <row r="36" spans="1:14" x14ac:dyDescent="0.25">
      <c r="A36" s="1"/>
      <c r="B36" s="17" t="s">
        <v>106</v>
      </c>
      <c r="C36" s="18"/>
    </row>
    <row r="37" spans="1:14" x14ac:dyDescent="0.25">
      <c r="A37" s="1"/>
      <c r="B37" s="17"/>
      <c r="C37" s="18" t="s">
        <v>107</v>
      </c>
    </row>
    <row r="38" spans="1:14" x14ac:dyDescent="0.25">
      <c r="A38" s="1"/>
      <c r="B38" s="17"/>
      <c r="C38" s="18" t="s">
        <v>108</v>
      </c>
    </row>
    <row r="39" spans="1:14" x14ac:dyDescent="0.25">
      <c r="A39" s="1"/>
      <c r="B39" s="17"/>
      <c r="C39" s="18" t="s">
        <v>109</v>
      </c>
    </row>
    <row r="40" spans="1:14" x14ac:dyDescent="0.25">
      <c r="A40" s="1"/>
      <c r="B40" s="17"/>
      <c r="C40" s="18" t="s">
        <v>111</v>
      </c>
    </row>
    <row r="41" spans="1:14" x14ac:dyDescent="0.25">
      <c r="A41" s="1"/>
      <c r="B41" s="17"/>
      <c r="C41" s="18" t="s">
        <v>113</v>
      </c>
    </row>
    <row r="42" spans="1:14" x14ac:dyDescent="0.25">
      <c r="A42" s="1"/>
      <c r="B42" s="17"/>
      <c r="C42" s="18" t="s">
        <v>112</v>
      </c>
    </row>
    <row r="43" spans="1:14" x14ac:dyDescent="0.25">
      <c r="A43" s="1"/>
      <c r="B43" s="17"/>
      <c r="C43" s="18" t="s">
        <v>110</v>
      </c>
    </row>
    <row r="44" spans="1:14" ht="21" customHeight="1" x14ac:dyDescent="0.25">
      <c r="B44" s="21" t="s">
        <v>78</v>
      </c>
    </row>
    <row r="45" spans="1:14" ht="21" customHeight="1" x14ac:dyDescent="0.25">
      <c r="B45" s="63" t="s">
        <v>231</v>
      </c>
    </row>
    <row r="46" spans="1:14" ht="15.75" thickBot="1" x14ac:dyDescent="0.3">
      <c r="C46" s="1" t="s">
        <v>72</v>
      </c>
      <c r="D46" s="1" t="s">
        <v>207</v>
      </c>
      <c r="E46" s="1" t="s">
        <v>208</v>
      </c>
      <c r="F46" s="1" t="s">
        <v>198</v>
      </c>
      <c r="G46" s="1" t="s">
        <v>199</v>
      </c>
      <c r="H46" s="1" t="s">
        <v>200</v>
      </c>
      <c r="I46" s="1" t="s">
        <v>201</v>
      </c>
      <c r="J46" s="1" t="s">
        <v>205</v>
      </c>
      <c r="K46" s="1" t="s">
        <v>209</v>
      </c>
      <c r="L46" s="1" t="s">
        <v>210</v>
      </c>
      <c r="M46" s="1" t="s">
        <v>211</v>
      </c>
      <c r="N46" s="1" t="s">
        <v>227</v>
      </c>
    </row>
    <row r="47" spans="1:14" s="16" customFormat="1" ht="21.75" customHeight="1" thickBot="1" x14ac:dyDescent="0.3">
      <c r="B47" s="52" t="s">
        <v>226</v>
      </c>
      <c r="C47" s="51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vovina.Master.LogW
{
	[Table("MstLgwScreenConfig")]
	[Index(nameof(IsActive), Name="IX_MstLgwScreenConfig_IsActive")]	public class MstLgwScreenConfig: FullAuditedEntity&lt;long&gt;, IEntity&lt;long&gt;	
	{
		public const int MaxUnpackDoneColorLength = 50;
		public const int MaxNeedToUnpackColorLength = 50;
		public const int MaxConfirmFlagColorLength = 50;
		public const int MaxConfirmFlagSoundLength = 200;
		public const int MaxDelayUnpackColorLength = 50;
		public const int MaxDelayUnpackSoundLength = 200;
		public const int MaxCallLeaderColorLength = 50;
		public const int MaxCallLeaderSoundLength = 200;
		public const int MaxBeforeTacktimeColorLength = 50;
		public const int MaxBeforeTacktimeSoundLength = 200;
		public const int MaxIsActiveLength = 1;
		[StringLength(MaxUnpackDoneColorLength)]
		public virtual string UnpackDoneColor { get; set; }
		[StringLength(MaxNeedToUnpackColorLength)]
		public virtual string NeedToUnpackColor { get; set; }
		public virtual bool NeedToUnpackFlash { get; set; }
		[StringLength(MaxConfirmFlagColorLength)]
		public virtual string ConfirmFlagColor { get; set; }
		[StringLength(MaxConfirmFlagSoundLength)]
		public virtual string ConfirmFlagSound { get; set; }
		public virtual int ConfirmFlagPlaytime { get; set; }
		[Column(TypeName="bit")]
		public virtual bool ConfirmFlagFlash { get; set; }
		[StringLength(MaxDelayUnpackColorLength)]
		public virtual string DelayUnpackColor { get; set; }
		[StringLength(MaxDelayUnpackSoundLength)]
		public virtual string DelayUnpackSound { get; set; }
		public virtual int DelayUnpackPlaytime { get; set; }
		[Column(TypeName="bit")]
		public virtual bool DelayUnpackFlash { get; set; }
		[StringLength(MaxCallLeaderColorLength)]
		public virtual string CallLeaderColor { get; set; }
		[StringLength(MaxCallLeaderSoundLength)]
		public virtual string CallLeaderSound { get; set; }
		public virtual int CallLeaderPlaytime { get; set; }
		[Column(TypeName="bit")]
		public virtual bool CallLeaderFlash { get; set; }
		public virtual int TotalColumnOldShift { get; set; }
		public virtual int TotalColumnSeqA1 { get; set; }
		public virtual int TotalColumnSeqA2 { get; set; }
		[StringLength(MaxBeforeTacktimeColorLength)]
		public virtual string BeforeTacktimeColor { get; set; }
		[StringLength(MaxBeforeTacktimeSoundLength)]
		public virtual string BeforeTacktimeSound { get; set; }
		public virtual int BeforeTacktimePlaytime { get; set; }
		[Column(TypeName="bit")]
		public virtual bool BeforeTacktimeFlash { get; set; }
		public virtual int TackCaseA1 { get; set; }
		public virtual int TackCaseA2 { get; set; }
		[StringLength(MaxIsActiveLength)]
		public virtual string IsActive { get; set; }
	}
}
</v>
      </c>
      <c r="D47" s="51" t="str">
        <f>A.Backend!O7</f>
        <v xml:space="preserve">		public const string Pages_Master_LogW_ScreenConfig = "Pages.Master.LogW.ScreenConfig";
		public const string Pages_Master_LogW_ScreenConfig_CreateEdit = "Pages.Master.LogW.ScreenConfig.CreateEdit";
		public const string Pages_Master_LogW_ScreenConfig_Delete = "Pages.Master.LogW.ScreenConfig.Delete";
</v>
      </c>
      <c r="E47" s="51" t="str">
        <f>A.Backend!N7</f>
        <v xml:space="preserve">		var perMstLgwScreenConfig = PARENTS.CreateChildPermission(AppPermissions.Pages_Master_LogW_ScreenConfig, L( "MasterLogWScreenConfig"));
		perMstLgwScreenConfig.CreateChildPermission(AppPermissions.Pages_Master_LogW_ScreenConfig_CreateEdit, L( "MasterLogWScreenConfigCreateEdit"));
		perMstLgwScreenConfig.CreateChildPermission(AppPermissions.Pages_Master_LogW_ScreenConfig_Delete, L( "MasterLogWScreenConfigDelete"));</v>
      </c>
      <c r="F47" s="51" t="str">
        <f>A.Backend!K7</f>
        <v>public virtual DbSet&lt;MstLgwScreenConfig&gt; MstLgwScreenConfigs { get; set; }</v>
      </c>
      <c r="G47" s="51" t="str">
        <f ca="1">A.Backend!L7</f>
        <v xml:space="preserve">namespace vovina.Master.LogW
{
	public class MstLgwScreenConfigConsts	
	{
		public const int MaxUnpackDoneColorLength = 50;
		public const int MaxNeedToUnpackColorLength = 50;
		public const int MaxConfirmFlagColorLength = 50;
		public const int MaxConfirmFlagSoundLength = 200;
		public const int MaxDelayUnpackColorLength = 50;
		public const int MaxDelayUnpackSoundLength = 200;
		public const int MaxCallLeaderColorLength = 50;
		public const int MaxCallLeaderSoundLength = 200;
		public const int MaxBeforeTacktimeColorLength = 50;
		public const int MaxBeforeTacktimeSoundLength = 200;
		public const int MaxIsActiveLength = 1;
		// Define Store Name: Format SP_ + &lt;Store Name&gt; = &lt;Store Name&gt;
	}
}
</v>
      </c>
      <c r="H47" s="51" t="str">
        <f ca="1">A.Backend!M7</f>
        <v xml:space="preserve">using Abp.Application.Services.Dto;
using System;
using System.ComponentModel.DataAnnotations;
namespace vovina.Master.LogW.Dto
{
	public class MstLgwScreenConfigDto : EntityDto&lt;long?&gt;	
	{
		public virtual string UnpackDoneColor { get; set; }
		public virtual string NeedToUnpackColor { get; set; }
		public virtual bool NeedToUnpackFlash { get; set; }
		public virtual string ConfirmFlagColor { get; set; }
		public virtual string ConfirmFlagSound { get; set; }
		public virtual int ConfirmFlagPlaytime { get; set; }
		public virtual bool ConfirmFlagFlash { get; set; }
		public virtual string DelayUnpackColor { get; set; }
		public virtual string DelayUnpackSound { get; set; }
		public virtual int DelayUnpackPlaytime { get; set; }
		public virtual bool DelayUnpackFlash { get; set; }
		public virtual string CallLeaderColor { get; set; }
		public virtual string CallLeaderSound { get; set; }
		public virtual int CallLeaderPlaytime { get; set; }
		public virtual bool CallLeaderFlash { get; set; }
		public virtual int TotalColumnOldShift { get; set; }
		public virtual int TotalColumnSeqA1 { get; set; }
		public virtual int TotalColumnSeqA2 { get; set; }
		public virtual string BeforeTacktimeColor { get; set; }
		public virtual string BeforeTacktimeSound { get; set; }
		public virtual int BeforeTacktimePlaytime { get; set; }
		public virtual bool BeforeTacktimeFlash { get; set; }
		public virtual int TackCaseA1 { get; set; }
		public virtual int TackCaseA2 { get; set; }
		public virtual string IsActive { get; set; }
	}
	public class CreateOrEditMstLgwScreenConfigDto : EntityDto&lt;long?&gt;	
	{
		[StringLength(MstLgwScreenConfigConsts.MaxUnpackDoneColorLength)]
		public virtual string UnpackDoneColor { get; set; }
		[StringLength(MstLgwScreenConfigConsts.MaxNeedToUnpackColorLength)]
		public virtual string NeedToUnpackColor { get; set; }
		public virtual bool NeedToUnpackFlash { get; set; }
		[StringLength(MstLgwScreenConfigConsts.MaxConfirmFlagColorLength)]
		public virtual string ConfirmFlagColor { get; set; }
		[StringLength(MstLgwScreenConfigConsts.MaxConfirmFlagSoundLength)]
		public virtual string ConfirmFlagSound { get; set; }
		public virtual int ConfirmFlagPlaytime { get; set; }
		public virtual bool ConfirmFlagFlash { get; set; }
		[StringLength(MstLgwScreenConfigConsts.MaxDelayUnpackColorLength)]
		public virtual string DelayUnpackColor { get; set; }
		[StringLength(MstLgwScreenConfigConsts.MaxDelayUnpackSoundLength)]
		public virtual string DelayUnpackSound { get; set; }
		public virtual int DelayUnpackPlaytime { get; set; }
		public virtual bool DelayUnpackFlash { get; set; }
		[StringLength(MstLgwScreenConfigConsts.MaxCallLeaderColorLength)]
		public virtual string CallLeaderColor { get; set; }
		[StringLength(MstLgwScreenConfigConsts.MaxCallLeaderSoundLength)]
		public virtual string CallLeaderSound { get; set; }
		public virtual int CallLeaderPlaytime { get; set; }
		public virtual bool CallLeaderFlash { get; set; }
		public virtual int TotalColumnOldShift { get; set; }
		public virtual int TotalColumnSeqA1 { get; set; }
		public virtual int TotalColumnSeqA2 { get; set; }
		[StringLength(MstLgwScreenConfigConsts.MaxBeforeTacktimeColorLength)]
		public virtual string BeforeTacktimeColor { get; set; }
		[StringLength(MstLgwScreenConfigConsts.MaxBeforeTacktimeSoundLength)]
		public virtual string BeforeTacktimeSound { get; set; }
		public virtual int BeforeTacktimePlaytime { get; set; }
		public virtual bool BeforeTacktimeFlash { get; set; }
		public virtual int TackCaseA1 { get; set; }
		public virtual int TackCaseA2 { get; set; }
		[StringLength(MstLgwScreenConfigConsts.MaxIsActiveLength)]
		public virtual string IsActive { get; set; }
	}
	public class GetMstLgwScreenConfigInput : PagedAndSortedResultRequestDto	
	{
		public virtual string UnpackDoneColor { get; set; }
		public virtual string NeedToUnpackColor { get; set; }
		public virtual string ConfirmFlagColor { get; set; }
		public virtual string ConfirmFlagSound { get; set; }
		public virtual int ConfirmFlagPlaytime { get; set; }
		public virtual string DelayUnpackColor { get; set; }
		public virtual string DelayUnpackSound { get; set; }
		public virtual int DelayUnpackPlaytime { get; set; }
		public virtual string CallLeaderColor { get; set; }
		public virtual string CallLeaderSound { get; set; }
		public virtual int CallLeaderPlaytime { get; set; }
		public virtual int TotalColumnOldShift { get; set; }
		public virtual int TotalColumnSeqA1 { get; set; }
		public virtual int TotalColumnSeqA2 { get; set; }
		public virtual string BeforeTacktimeColor { get; set; }
		public virtual string BeforeTacktimeSound { get; set; }
		public virtual int BeforeTacktimePlaytime { get; set; }
		public virtual int TackCaseA1 { get; set; }
		public virtual int TackCaseA2 { get; set; }
		public virtual string IsActive { get; set; }
	}
}
</v>
      </c>
      <c r="I47" s="51" t="str">
        <f ca="1">A.Backend!R7</f>
        <v xml:space="preserve">using Abp.Application.Services.Dto;
using System;
using System.ComponentModel.DataAnnotations;
namespace vovina.Master.LogW.Dto
{
	public class MstLgwScreenConfigExportInput{
		public virtual string UnpackDoneColor { get; set; }
		public virtual string NeedToUnpackColor { get; set; }
		public virtual bool NeedToUnpackFlash { get; set; }
		public virtual string ConfirmFlagColor { get; set; }
		public virtual string ConfirmFlagSound { get; set; }
		public virtual int ConfirmFlagPlaytime { get; set; }
		public virtual bool ConfirmFlagFlash { get; set; }
		public virtual string DelayUnpackColor { get; set; }
		public virtual string DelayUnpackSound { get; set; }
		public virtual int DelayUnpackPlaytime { get; set; }
		public virtual bool DelayUnpackFlash { get; set; }
		public virtual string CallLeaderColor { get; set; }
		public virtual string CallLeaderSound { get; set; }
		public virtual int CallLeaderPlaytime { get; set; }
		public virtual bool CallLeaderFlash { get; set; }
		public virtual int TotalColumnOldShift { get; set; }
		public virtual int TotalColumnSeqA1 { get; set; }
		public virtual int TotalColumnSeqA2 { get; set; }
		public virtual string BeforeTacktimeColor { get; set; }
		public virtual string BeforeTacktimeSound { get; set; }
		public virtual int BeforeTacktimePlaytime { get; set; }
		public virtual bool BeforeTacktimeFlash { get; set; }
		public virtual int TackCaseA1 { get; set; }
		public virtual int TackCaseA2 { get; set; }
		public virtual string IsActive { get; set; }
	}
}
</v>
      </c>
      <c r="J47" s="51" t="str">
        <f>A.Backend!P7</f>
        <v xml:space="preserve">using Abp.Application.Services;
using Abp.Application.Services.Dto;
using System.Collections.Generic;using vovina.Dto;
using System.Threading.Tasks;
using vovina.Master.LogW.Dto;
namespace vovina.Master.LogW
{
	public interface IMstLgwScreenConfigAppService : IApplicationService
	{
		Task&lt;PagedResultDto&lt;MstLgwScreenConfigDto&gt;&gt; GetAll(GetMstLgwScreenConfigInput input);
		Task CreateOrEdit(CreateOrEditMstLgwScreenConfigDto input);
		Task Delete(EntityDto input);
	}
}
</v>
      </c>
      <c r="K47" s="51" t="str">
        <f>A.Backend!S7</f>
        <v xml:space="preserve">using Abp.Application.Services;
using Abp.Application.Services.Dto;
using System.Collections.Generic;using vovina.Dto;
using System.Threading.Tasks;
using vovina.Master.LogW.Dto;
namespace vovina.Master.LogW.Exporting
{
	public interface IMstLgwScreenConfigExcelExporter : IApplicationService
	{
		FileDto ExportToFile(List&lt;MstLgwScreenConfigDto&gt; mstlgwscreenconfig);
	}
}
</v>
      </c>
      <c r="L47" s="51" t="str">
        <f ca="1">A.Backend!T7</f>
        <v>using System.Collections.Generic;
using vovina.DataExporting.Excel.NPOI;
using vovina.Dto;
using vovina.Master.LogW.Exporting;
using vovina.Master.LogW.Dto;
using vovina.Storage;
using vovina.Master.LogW.Dto;
namespace vovina.Master.LogW.Exporting
{
    public class MstLgwScreenConfigExcelExporter : NpoiExcelExporterBase, IMstLgwScreenConfigExcelExporter
    {
        public MstLgwScreenConfigExcelExporter(ITempFileCacheManager tempFileCacheManager) : base(tempFileCacheManager) { }
        public FileDto ExportToFile(List&lt;MstLgwScreenConfigDto&gt; screenconfig)
        {
            return CreateExcelPackage(
				"MasterLogWScreenConfig.xlsx",
				excelPackage =&gt;
				 {
					var sheet = excelPackage.CreateSheet("ScreenConfig");
					AddHeader(
								sheet,
								("UnpackDoneColor"),
								("NeedToUnpackColor"),
								("NeedToUnpackFlash"),
								("ConfirmFlagColor"),
								("ConfirmFlagSound"),
								("ConfirmFlagPlaytime"),
								("ConfirmFlagFlash"),
								("DelayUnpackColor"),
								("DelayUnpackSound"),
								("DelayUnpackPlaytime"),
								("DelayUnpackFlash"),
								("CallLeaderColor"),
								("CallLeaderSound"),
								("CallLeaderPlaytime"),
								("CallLeaderFlash"),
								("TotalColumnOldShift"),
								("TotalColumnSeqA1"),
								("TotalColumnSeqA2"),
								("BeforeTacktimeColor"),
								("BeforeTacktimeSound"),
								("BeforeTacktimePlaytime"),
								("BeforeTacktimeFlash"),
								("TackCaseA1"),
								("TackCaseA2"),
								("IsActive"),
							   );
					AddObjects(
						 sheet, 1, screenconfig,                                       
								_ =&gt; _.UnpackDoneColor,
								_ =&gt; _.NeedToUnpackColor,
								_ =&gt; _.NeedToUnpackFlash,
								_ =&gt; _.ConfirmFlagColor,
								_ =&gt; _.ConfirmFlagSound,
								_ =&gt; _.ConfirmFlagPlaytime,
								_ =&gt; _.ConfirmFlagFlash,
								_ =&gt; _.DelayUnpackColor,
								_ =&gt; _.DelayUnpackSound,
								_ =&gt; _.DelayUnpackPlaytime,
								_ =&gt; _.DelayUnpackFlash,
								_ =&gt; _.CallLeaderColor,
								_ =&gt; _.CallLeaderSound,
								_ =&gt; _.CallLeaderPlaytime,
								_ =&gt; _.CallLeaderFlash,
								_ =&gt; _.TotalColumnOldShift,
								_ =&gt; _.TotalColumnSeqA1,
								_ =&gt; _.TotalColumnSeqA2,
								_ =&gt; _.BeforeTacktimeColor,
								_ =&gt; _.BeforeTacktimeSound,
								_ =&gt; _.BeforeTacktimePlaytime,
								_ =&gt; _.BeforeTacktimeFlash,
								_ =&gt; _.TackCaseA1,
								_ =&gt; _.TackCaseA2,
								_ =&gt; _.IsActive,
								);
			for (var i = 0; i &lt; 8; i++)
				{
					sheet.AutoSizeColumn(i);
				}
			});
        }
    }
}</v>
      </c>
      <c r="M47" s="59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vovina.Master.LogW.Dto;
using vovina.Master.LogW.Exporting;
namespace vovina.Master.LogW
{
    [AbpAuthorize(AppPermissions.Pages_Master_LogW_ScreenConfig)]
    public class MstLgwScreenConfigAppService : vovinaAppServiceBase, IMstLgwScreenConfigAppService
    {
        private readonly IDapperRepository&lt;MstLgwScreenConfig, long&gt; _dapperRepo;
        private readonly IRepository&lt;MstLgwScreenConfig, long&gt; _repo;
        private readonly IMstLgwScreenConfigExcelExporter _calendarListExcelExporter;
        public MstLgwScreenConfigAppService(IRepository&lt;MstLgwScreenConfig,long&gt; repo, 
                                         IDapperRepository&lt;MstLgwScreenConfig,long&gt; dapperRepo,
                                        IMstLgwScreenConfigExcelExporter calendarListExcelExporter
            )
        {
            _repo = repo;
            _dapperRepo = dapperRepo;
            _calendarListExcelExporter = calendarListExcelExporter;
        }
        [AbpAuthorize(AppPermissions.Pages_Master_LogW_ScreenConfig_CreateEdit)]
        public async Task CreateOrEdit(CreateOrEditMstLgwScreenConfigDto input)
        {
            if (input.Id == null) await Create(input);
            else await Update(input);
        }
        //CREATE
        private async Task Create(CreateOrEditMstLgwScreenConfigDto input)
        {          
            var mainObj = ObjectMapper.Map&lt;MstLgwScreenConfig&gt;(input);
            await CurrentUnitOfWork.GetDbContext&lt;vovinaDbContext&gt;().AddAsync(mainObj);
        }
        // EDIT
        private async Task Update(CreateOrEditMstLgwScreenConfigDto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[AbpAuthorize(AppPermissions.Pages_Master_LogW_ScreenConfig_Delete)]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Task&lt;PagedResultDto&lt;MstLgwScreenConfigDto&gt;&gt; GetAll(GetMstLgwScreenConfigInput input)
        {
            var filtered = _repo.GetAll()
				.WhereIf(!string.IsNullOrWhiteSpace(input.UnpackDoneColor), e =&gt; e.UnpackDoneColor.Contains(input.UnpackDoneColor))
				.WhereIf(!string.IsNullOrWhiteSpace(input.NeedToUnpackColor), e =&gt; e.NeedToUnpackColor.Contains(input.NeedToUnpackColor))
				.WhereIf(!string.IsNullOrWhiteSpace(input.ConfirmFlagColor), e =&gt; e.ConfirmFlagColor.Contains(input.ConfirmFlagColor))
				.WhereIf(!string.IsNullOrWhiteSpace(input.ConfirmFlagSound), e =&gt; e.ConfirmFlagSound.Contains(input.ConfirmFlagSound))
				.WhereIf(!string.IsNullOrWhiteSpace(input.DelayUnpackColor), e =&gt; e.DelayUnpackColor.Contains(input.DelayUnpackColor))
				.WhereIf(!string.IsNullOrWhiteSpace(input.DelayUnpackSound), e =&gt; e.DelayUnpackSound.Contains(input.DelayUnpackSound))
				.WhereIf(!string.IsNullOrWhiteSpace(input.CallLeaderColor), e =&gt; e.CallLeaderColor.Contains(input.CallLeaderColor))
				.WhereIf(!string.IsNullOrWhiteSpace(input.CallLeaderSound), e =&gt; e.CallLeaderSound.Contains(input.CallLeaderSound))
				.WhereIf(!string.IsNullOrWhiteSpace(input.BeforeTacktimeColor), e =&gt; e.BeforeTacktimeColor.Contains(input.BeforeTacktimeColor))
				.WhereIf(!string.IsNullOrWhiteSpace(input.BeforeTacktimeSound), e =&gt; e.BeforeTacktimeSound.Contains(input.BeforeTacktimeSound))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MstLgwScreenConfigDto
                        {
							Id = o.Id,
							UnpackDoneColor = o.UnpackDoneColor,
							NeedToUnpackColor = o.NeedToUnpackColor,
							NeedToUnpackFlash = o.NeedToUnpackFlash,
							ConfirmFlagColor = o.ConfirmFlagColor,
							ConfirmFlagSound = o.ConfirmFlagSound,
							ConfirmFlagPlaytime = o.ConfirmFlagPlaytime,
							ConfirmFlagFlash = o.ConfirmFlagFlash,
							DelayUnpackColor = o.DelayUnpackColor,
							DelayUnpackSound = o.DelayUnpackSound,
							DelayUnpackPlaytime = o.DelayUnpackPlaytime,
							DelayUnpackFlash = o.DelayUnpackFlash,
							CallLeaderColor = o.CallLeaderColor,
							CallLeaderSound = o.CallLeaderSound,
							CallLeaderPlaytime = o.CallLeaderPlaytime,
							CallLeaderFlash = o.CallLeaderFlash,
							TotalColumnOldShift = o.TotalColumnOldShift,
							TotalColumnSeqA1 = o.TotalColumnSeqA1,
							TotalColumnSeqA2 = o.TotalColumnSeqA2,
							BeforeTacktimeColor = o.BeforeTacktimeColor,
							BeforeTacktimeSound = o.BeforeTacktimeSound,
							BeforeTacktimePlaytime = o.BeforeTacktimePlaytime,
							BeforeTacktimeFlash = o.BeforeTacktimeFlash,
							TackCaseA1 = o.TackCaseA1,
							TackCaseA2 = o.TackCaseA2,
							IsActive = o.IsActive,
                        };
            var totalCount = await filtered.CountAsync();
			var paged = system.PageBy(input);
            return new PagedResultDto&lt;MstLgwScreenConfigDto&gt;(
                totalCount,
                 await paged.ToListAsync()
            );
        }
        public async Task&lt;FileDto&gt; GetScreenConfigToExcel(MstLgwScreenConfigExportInput input)
        {
            var query = from o in _repo.GetAll()
                        select new MstLgwScreenConfigDto
                        {
							Id = o.Id,
							UnpackDoneColor = o.UnpackDoneColor,
							NeedToUnpackColor = o.NeedToUnpackColor,
							NeedToUnpackFlash = o.NeedToUnpackFlash,
							ConfirmFlagColor = o.ConfirmFlagColor,
							ConfirmFlagSound = o.ConfirmFlagSound,
							ConfirmFlagPlaytime = o.ConfirmFlagPlaytime,
							ConfirmFlagFlash = o.ConfirmFlagFlash,
							DelayUnpackColor = o.DelayUnpackColor,
							DelayUnpackSound = o.DelayUnpackSound,
							DelayUnpackPlaytime = o.DelayUnpackPlaytime,
							DelayUnpackFlash = o.DelayUnpackFlash,
							CallLeaderColor = o.CallLeaderColor,
							CallLeaderSound = o.CallLeaderSound,
							CallLeaderPlaytime = o.CallLeaderPlaytime,
							CallLeaderFlash = o.CallLeaderFlash,
							TotalColumnOldShift = o.TotalColumnOldShift,
							TotalColumnSeqA1 = o.TotalColumnSeqA1,
							TotalColumnSeqA2 = o.TotalColumnSeqA2,
							BeforeTacktimeColor = o.BeforeTacktimeColor,
							BeforeTacktimeSound = o.BeforeTacktimeSound,
							BeforeTacktimePlaytime = o.BeforeTacktimePlaytime,
							BeforeTacktimeFlash = o.BeforeTacktimeFlash,
							TackCaseA1 = o.TackCaseA1,
							TackCaseA2 = o.TackCaseA2,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_dapperRepo.ExecuteAsync(MstLgwScreenConfigConsts.SP_MST_WPT_CALENDAR_GENERATE);
       // }
    }
}</v>
      </c>
      <c r="N47" s="62" t="str">
        <f>A.Backend!U7</f>
        <v xml:space="preserve">  configuration.CreateMap&lt;MstLgwScreenConfigDto, MstLgwScreenConfig&gt;();
  configuration.CreateMap&lt;MstLgwScreenConfig, MstLgwScreenConfigDto&gt;();
  configuration.CreateMap&lt;CreateOrEditMstLgwScreenConfigDto, MstLgwScreenConfig&gt;();</v>
      </c>
    </row>
    <row r="48" spans="1:14" s="16" customFormat="1" ht="21.75" customHeight="1" x14ac:dyDescent="0.25">
      <c r="C48" s="65"/>
      <c r="D48" s="29"/>
      <c r="E48" s="29"/>
      <c r="F48" s="29"/>
      <c r="G48" s="29"/>
      <c r="H48" s="66"/>
      <c r="I48" s="67"/>
      <c r="J48" s="29"/>
      <c r="K48" s="29"/>
      <c r="M48" s="66"/>
    </row>
    <row r="49" spans="2:13" s="16" customFormat="1" ht="21.75" customHeight="1" x14ac:dyDescent="0.25">
      <c r="C49" s="29"/>
      <c r="D49" s="29"/>
      <c r="E49" s="29"/>
      <c r="F49" s="29"/>
      <c r="G49" s="29"/>
      <c r="H49" s="29"/>
      <c r="J49" s="29"/>
      <c r="K49" s="29"/>
      <c r="M49" s="29"/>
    </row>
    <row r="50" spans="2:13" s="16" customFormat="1" ht="21.75" customHeight="1" x14ac:dyDescent="0.25">
      <c r="C50" s="29"/>
      <c r="D50" s="29"/>
      <c r="E50" s="29"/>
      <c r="G50" s="29"/>
      <c r="H50" s="29"/>
    </row>
    <row r="51" spans="2:13" x14ac:dyDescent="0.25">
      <c r="B51" s="1" t="s">
        <v>73</v>
      </c>
    </row>
    <row r="52" spans="2:13" ht="21" x14ac:dyDescent="0.35">
      <c r="B52" t="str">
        <f>B.Frontend!B8</f>
        <v>screenconfig</v>
      </c>
      <c r="C52" s="72" t="str">
        <f>"create folder " &amp;B52</f>
        <v>create folder screenconfig</v>
      </c>
      <c r="D52" s="72"/>
      <c r="E52" s="72"/>
      <c r="F52" s="72"/>
      <c r="G52" s="72"/>
      <c r="H52" s="72"/>
      <c r="I52" s="72"/>
      <c r="J52" s="72"/>
      <c r="K52" s="73" t="s">
        <v>228</v>
      </c>
      <c r="L52" s="73"/>
      <c r="M52" s="31"/>
    </row>
    <row r="53" spans="2:13" s="28" customFormat="1" ht="18" customHeight="1" x14ac:dyDescent="0.25">
      <c r="B53" s="60" t="s">
        <v>229</v>
      </c>
      <c r="C53" s="31" t="str">
        <f>B.Frontend!H14</f>
        <v>screenconfig.component.ts</v>
      </c>
      <c r="D53" s="31" t="str">
        <f>B.Frontend!I14</f>
        <v>screenconfig.component.html</v>
      </c>
      <c r="E53" s="31" t="str">
        <f>B.Frontend!J14</f>
        <v>screenconfig.component.less</v>
      </c>
      <c r="F53" s="31" t="str">
        <f>B.Frontend!K14</f>
        <v>create-or-edit-screenconfig-modal.component.html</v>
      </c>
      <c r="G53" s="31" t="str">
        <f>B.Frontend!L14</f>
        <v>create-or-edit-screenconfig-modal.component.ts</v>
      </c>
      <c r="H53" s="31" t="str">
        <f>B.Frontend!M14</f>
        <v>create-or-edit-screenconfig-modal.component.less</v>
      </c>
      <c r="I53" s="31" t="str">
        <f>B.Frontend!N14</f>
        <v>screenconfig.module.ts</v>
      </c>
      <c r="J53" s="31" t="str">
        <f>B.Frontend!O14</f>
        <v>screenconfig-routing.module.ts</v>
      </c>
      <c r="K53" s="31" t="str">
        <f>B.Frontend!P14</f>
        <v>app.navigation.service.ts</v>
      </c>
      <c r="L53" s="31" t="str">
        <f>B.Frontend!Q14</f>
        <v>main.routing.module.ts</v>
      </c>
      <c r="M53" s="60" t="s">
        <v>232</v>
      </c>
    </row>
    <row r="54" spans="2:13" ht="21.75" customHeight="1" x14ac:dyDescent="0.25">
      <c r="B54" s="61" t="s">
        <v>226</v>
      </c>
      <c r="C54" s="49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MstLgwScreenConfigDto, MstLgwScreenConfigServiceProxy } from '@shared/service-proxies/service-proxies';
import { finalize } from 'rxjs/internal/operators/finalize';
import { CreateOrEditScreenConfigModalComponent } from './create-or-edit-screenconfig-modal.component';
import { DatePipe } from '@angular/common';
import { FileDownloadService } from '@shared/utils/file-download.service';
import ceil from 'lodash-es/ceil';
import { Paginator } from 'primeng/paginator';
@Component({
    templateUrl: './screenconfig.component.html',
    styleUrls: ['./screenconfig.component.less'],
})
export class ScreenConfigComponent extends AppComponentBase implements OnInit {
    @ViewChild('createOrEditModalScreenConfig', { static: true }) createOrEditModalScreenConfig:| CreateOrEditScreenConfigModalComponent|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MstLgwScreenConfigDto = new MstLgwScreenConfigDto();
    saveSelectedRow: MstLgwScreenConfigDto = new MstLgwScreenConfigDto();
    datas: MstLgwScreenConfigDto = new MstLgwScreenConfigDto();
    isLoading: boolean = false;
    dataParams: GridParams | undefined;
    rowData: any[] = [];
    gridApi!: GridApi;
    rowSelection = 'multiple';
    filter: string = '';
	pipe = new DatePipe('en-US');
	frameworkComponents: FrameworkComponent;
    unpackDoneColor : string = '' ; 
	needToUnpackColor : string = '' ; 
	needToUnpackFlash
	confirmFlagColor : string = '' ; 
	confirmFlagSound : string = '' ; 
confirmFlagPlaytime : number = 0 ;
	confirmFlagFlash
	delayUnpackColor : string = '' ; 
	delayUnpackSound : string = '' ; 
delayUnpackPlaytime : number = 0 ;
	delayUnpackFlash
	callLeaderColor : string = '' ; 
	callLeaderSound : string = '' ; 
	callLeaderPlaytime : number = 0 ;
callLeaderFlash
	totalColumnOldShift : number = 0 ;
	totalColumnSeqA1 : number = 0 ;
	totalColumnSeqA2 : number = 0 ;
	beforeTacktimeColor : string = '' ; 
beforeTacktimeSound : string = '' ; 
	beforeTacktimePlaytime : number = 0 ;
	beforeTacktimeFlash
	tackCaseA1 : number = 0 ;
	tackCaseA2 : number = 0 ;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MstLgwScreenConfigServiceProxy,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this.l('Unpack Done Color'),headerTooltip: this.l('Unpack Done Color'),field: 'unpackDoneColor',flex: 1},
			{headerName: this.l('Need To Unpack Color'),headerTooltip: this.l('Need To Unpack Color'),field: 'needToUnpackColor',flex: 1},
			{headerName: this.l('Need To Unpack Flash'),headerTooltip: this.l('Need To Unpack Flash'),field: 'needToUnpackFlash',flex: 1},
			{headerName: this.l('Confirm Flag Color'),headerTooltip: this.l('Confirm Flag Color'),field: 'confirmFlagColor',flex: 1},
			{headerName: this.l('Confirm Flag Sound'),headerTooltip: this.l('Confirm Flag Sound'),field: 'confirmFlagSound',flex: 1},
			{headerName: this.l('Confirm Flag Playtime'),headerTooltip: this.l('Confirm Flag Playtime'),field: 'confirmFlagPlaytime',flex: 1},
			{headerName: this.l('Confirm Flag Flash'),headerTooltip: this.l('Confirm Flag Flash'),field: 'confirmFlagFlash',flex: 1},
			{headerName: this.l('Delay Unpack Color'),headerTooltip: this.l('Delay Unpack Color'),field: 'delayUnpackColor',flex: 1},
			{headerName: this.l('Delay Unpack Sound'),headerTooltip: this.l('Delay Unpack Sound'),field: 'delayUnpackSound',flex: 1},
			{headerName: this.l('Delay Unpack Playtime'),headerTooltip: this.l('Delay Unpack Playtime'),field: 'delayUnpackPlaytime',flex: 1},
			{headerName: this.l('Delay Unpack Flash'),headerTooltip: this.l('Delay Unpack Flash'),field: 'delayUnpackFlash',flex: 1},
			{headerName: this.l('Call Leader Color'),headerTooltip: this.l('Call Leader Color'),field: 'callLeaderColor',flex: 1},
			{headerName: this.l('Call Leader Sound'),headerTooltip: this.l('Call Leader Sound'),field: 'callLeaderSound',flex: 1},
			{headerName: this.l('Call Leader Playtime'),headerTooltip: this.l('Call Leader Playtime'),field: 'callLeaderPlaytime',flex: 1},
			{headerName: this.l('Call Leader Flash'),headerTooltip: this.l('Call Leader Flash'),field: 'callLeaderFlash',flex: 1},
			{headerName: this.l('Total Column Old Shift'),headerTooltip: this.l('Total Column Old Shift'),field: 'totalColumnOldShift',flex: 1},
			{headerName: this.l('Total Column Seq A1'),headerTooltip: this.l('Total Column Seq A1'),field: 'totalColumnSeqA1',flex: 1},
			{headerName: this.l('Total Column Seq A2'),headerTooltip: this.l('Total Column Seq A2'),field: 'totalColumnSeqA2',flex: 1},
			{headerName: this.l('Before Tacktime Color'),headerTooltip: this.l('Before Tacktime Color'),field: 'beforeTacktimeColor',flex: 1},
			{headerName: this.l('Before Tacktime Sound'),headerTooltip: this.l('Before Tacktime Sound'),field: 'beforeTacktimeSound',flex: 1},
			{headerName: this.l('Before Tacktime Playtime'),headerTooltip: this.l('Before Tacktime Playtime'),field: 'beforeTacktimePlaytime',flex: 1},
			{headerName: this.l('Before Tacktime Flash'),headerTooltip: this.l('Before Tacktime Flash'),field: 'beforeTacktimeFlash',flex: 1},
			{headerName: this.l('Tack Case A1'),headerTooltip: this.l('Tack Case A1'),field: 'tackCaseA1',flex: 1},
			{headerName: this.l('Tack Case A2'),headerTooltip: this.l('Tack Case A2'),field: 'tackCaseA2',flex: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this.unpackDoneColor,
			this.needToUnpackColor,
			this.needToUnpackFlash,
			this.confirmFlagColor,
			this.confirmFlagSound,
			this.confirmFlagPlaytime,
			this.confirmFlagFlash,
			this.delayUnpackColor,
			this.delayUnpackSound,
			this.delayUnpackPlaytime,
			this.delayUnpackFlash,
			this.callLeaderColor,
			this.callLeaderSound,
			this.callLeaderPlaytime,
			this.callLeaderFlash,
			this.totalColumnOldShift,
			this.totalColumnSeqA1,
			this.totalColumnSeqA2,
			this.beforeTacktimeColor,
			this.beforeTacktimeSound,
			this.beforeTacktimePlaytime,
			this.beforeTacktimeFlash,
			this.tackCaseA1,
			this.tackCaseA2,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this.unpackDoneColor = '',
		this.needToUnpackColor = '',
		this.needToUnpackFlash = '',
		this.confirmFlagColor = '',
		this.confirmFlagSound = '',
this.confirmFlagPlaytime = 0,
		this.confirmFlagFlash = '',
		this.delayUnpackColor = '',
		this.delayUnpackSound = '',
this.delayUnpackPlaytime = 0,
		this.delayUnpackFlash = '',
		this.callLeaderColor = '',
		this.callLeaderSound = '',
		this.callLeaderPlaytime = 0,
this.callLeaderFlash = '',
		this.totalColumnOldShift = 0,
		this.totalColumnSeqA1 = 0,
		this.totalColumnSeqA2 = 0,
		this.beforeTacktimeColor = '',
this.beforeTacktimeSound = '',
		this.beforeTacktimePlaytime = 0,
		this.beforeTacktimeFlash = '',
		this.tackCaseA1 = 0,
		this.tackCaseA2 = 0,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this.unpackDoneColor,
			this.needToUnpackColor,
			this.needToUnpackFlash,
			this.confirmFlagColor,
			this.confirmFlagSound,
			this.confirmFlagPlaytime,
			this.confirmFlagFlash,
			this.delayUnpackColor,
			this.delayUnpackSound,
			this.delayUnpackPlaytime,
			this.delayUnpackFlash,
			this.callLeaderColor,
			this.callLeaderSound,
			this.callLeaderPlaytime,
			this.callLeaderFlash,
			this.totalColumnOldShift,
			this.totalColumnSeqA1,
			this.totalColumnSeqA2,
			this.beforeTacktimeColor,
			this.beforeTacktimeSound,
			this.beforeTacktimePlaytime,
			this.beforeTacktimeFlash,
			this.tackCaseA1,
			this.tackCaseA2,
			this.isActive,
			'',
            this.paginationParams.skipCount,
            this.paginationParams.pageSize
        );
    }
    onChangeRowSelection(params: { api: { getSelectedRows: () =&gt; MstLgwScreenConfigDto[] } }) {
        this.saveSelectedRow = params.api.getSelectedRows()[0] ?? new MstLgwScreenConfigDto();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MstLgwScreenConfigDto):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this._service.getScreenConfigToExcel(
			this.unpackDoneColor,
			this.needToUnpackColor,
			this.needToUnpackFlash,
			this.confirmFlagColor,
			this.confirmFlagSound,
			this.confirmFlagPlaytime,
			this.confirmFlagFlash,
			this.delayUnpackColor,
			this.delayUnpackSound,
			this.delayUnpackPlaytime,
			this.delayUnpackFlash,
			this.callLeaderColor,
			this.callLeaderSound,
			this.callLeaderPlaytime,
			this.callLeaderFlash,
			this.totalColumnOldShift,
			this.totalColumnSeqA1,
			this.totalColumnSeqA2,
			this.beforeTacktimeColor,
			this.beforeTacktimeSound,
			this.beforeTacktimePlaytime,
			this.beforeTacktimeFlash,
			this.tackCaseA1,
			this.tackCaseA2,
			this.isActive,
            )
            .subscribe((result) =&gt; {
                this._fileDownloadService.downloadTempFile(result);
        });
    }
}</v>
      </c>
      <c r="D54" s="49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Master LogW Screen Config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[(ngModel)]='unpackDoneColor' name='unpackDoneColor'
									class='form-control' [placeholder]="l('Unpack Done Color')"
									type='text' (keyup.enter)='searchDatas()'&gt;
								&lt;/div&gt;
								&lt;div class='input-search'&gt;
									&lt;input [(ngModel)]='needToUnpackColor' name='needToUnpackColor'
									class='form-control' [placeholder]="l('Need To Unpack Color')"
									type='text' (keyup.enter)='searchDatas()'&gt;
								&lt;/div&gt;
								&lt;div class='input-search'&gt;
									&lt;input [(ngModel)]='confirmFlagColor' name='confirmFlagColor'
									class='form-control' [placeholder]="l('Confirm Flag Color')"
									type='text' (keyup.enter)='searchDatas()'&gt;
								&lt;/div&gt;
								&lt;div class='input-search'&gt;
									&lt;input [(ngModel)]='confirmFlagSound' name='confirmFlagSound'
									class='form-control' [placeholder]="l('Confirm Flag Sound')"
									type='text' (keyup.enter)='searchDatas()'&gt;
								&lt;/div&gt;
								&lt;div class='input-search'&gt;
									&lt;input [(ngModel)]='delayUnpackColor' name='delayUnpackColor'
									class='form-control' [placeholder]="l('Delay Unpack Color')"
									type='text' (keyup.enter)='searchDatas()'&gt;
								&lt;/div&gt;
								&lt;div class='input-search'&gt;
									&lt;input [(ngModel)]='delayUnpackSound' name='delayUnpackSound'
									class='form-control' [placeholder]="l('Delay Unpack Sound')"
									type='text' (keyup.enter)='searchDatas()'&gt;
								&lt;/div&gt;
								&lt;div class='input-search'&gt;
									&lt;input [(ngModel)]='callLeaderColor' name='callLeaderColor'
									class='form-control' [placeholder]="l('Call Leader Color')"
									type='text' (keyup.enter)='searchDatas()'&gt;
								&lt;/div&gt;
								&lt;div class='input-search'&gt;
									&lt;input [(ngModel)]='callLeaderSound' name='callLeaderSound'
									class='form-control' [placeholder]="l('Call Leader Sound')"
									type='text' (keyup.enter)='searchDatas()'&gt;
								&lt;/div&gt;
								&lt;div class='input-search'&gt;
									&lt;input [(ngModel)]='beforeTacktimeColor' name='beforeTacktimeColor'
									class='form-control' [placeholder]="l('Before Tacktime Color')"
									type='text' (keyup.enter)='searchDatas()'&gt;
								&lt;/div&gt;
								&lt;div class='input-search'&gt;
									&lt;input [(ngModel)]='beforeTacktimeSound' name='beforeTacktimeSound'
									class='form-control' [placeholder]="l('Before Tacktime Sound')"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(click)="createOrEditModalScreenConfig.show()"&gt;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(click)="createOrEditModalScreenConfig.show(selectedRow)"&gt;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&lt;create-or-edit-screenconfig-modal
    #createOrEditModalScreenConfig
    (modalSave)="callBackDataGrid(dataParams)"
    (modalClose)="onChangeRowSelection(dataParams)"
&gt;
&lt;/create-or-edit-screenconfig-modal&gt;</v>
      </c>
      <c r="E54" s="49" t="str">
        <f>B.Frontend!J10</f>
        <v>.input-search{
    width: 250px;
    border-radius: 10px;
    margin-left: 10px;
}
.btn-search{
    width: 50px;
    margin-left: 10px;
}</v>
      </c>
      <c r="F54" s="49" t="str">
        <f ca="1">B.Frontend!K10</f>
        <v>&lt;div bsModal #createOrEditModalScreenConfig="bs-modal"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ScreenConfig')}}&lt;/h3&gt;
                    &lt;h3 *ngIf="!rowdata.id"&gt;{{('Create New ScreenConfig')}}&lt;/h3&gt;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title'&gt;Unpack Done Color&lt;/label&gt;
						&lt;input type='text' class='col-md-10 form-control input-text' name='UnpackDoneColor' [(ngModel)]='rowdata.unpackDoneColor'&gt;
					&lt;/div&gt;
					&lt;div class='col-md-12 form-group row'&gt;
						&lt;label class='col-md-2 form-control title'&gt;Need To Unpack Color&lt;/label&gt;
						&lt;input type='text' class='col-md-10 form-control input-text' name='NeedToUnpackColor' [(ngModel)]='rowdata.needToUnpackColor'&gt;
					&lt;/div&gt;
					&lt;div class='col-md-12 form-group row'&gt;
						&lt;label class='col-md-2 form-control title'&gt;Confirm Flag Color&lt;/label&gt;
						&lt;input type='text' class='col-md-10 form-control input-text' name='ConfirmFlagColor' [(ngModel)]='rowdata.confirmFlagColor'&gt;
					&lt;/div&gt;
					&lt;div class='col-md-12 form-group row'&gt;
						&lt;label class='col-md-2 form-control title'&gt;Confirm Flag Sound&lt;/label&gt;
						&lt;input type='text' class='col-md-10 form-control input-text' name='ConfirmFlagSound' [(ngModel)]='rowdata.confirmFlagSound'&gt;
					&lt;/div&gt;
					&lt;div class='col-md-12 form-group row'&gt;
						&lt;label class='col-md-2 form-control title'&gt;Confirm Flag Playtime&lt;/label&gt;
						&lt;input type='number' class='col-md-10 form-control input-text' name='ConfirmFlagPlaytime' [(ngModel)]='rowdata.confirmFlagPlaytime'&gt;
					&lt;/div&gt;
					&lt;div class='col-md-12 form-group row'&gt;
						&lt;label class='col-md-2 form-control title'&gt;Delay Unpack Color&lt;/label&gt;
						&lt;input type='text' class='col-md-10 form-control input-text' name='DelayUnpackColor' [(ngModel)]='rowdata.delayUnpackColor'&gt;
					&lt;/div&gt;
					&lt;div class='col-md-12 form-group row'&gt;
						&lt;label class='col-md-2 form-control title'&gt;Delay Unpack Sound&lt;/label&gt;
						&lt;input type='text' class='col-md-10 form-control input-text' name='DelayUnpackSound' [(ngModel)]='rowdata.delayUnpackSound'&gt;
					&lt;/div&gt;
					&lt;div class='col-md-12 form-group row'&gt;
						&lt;label class='col-md-2 form-control title'&gt;Delay Unpack Playtime&lt;/label&gt;
						&lt;input type='number' class='col-md-10 form-control input-text' name='DelayUnpackPlaytime' [(ngModel)]='rowdata.delayUnpackPlaytime'&gt;
					&lt;/div&gt;
					&lt;div class='col-md-12 form-group row'&gt;
						&lt;label class='col-md-2 form-control title'&gt;Call Leader Color&lt;/label&gt;
						&lt;input type='text' class='col-md-10 form-control input-text' name='CallLeaderColor' [(ngModel)]='rowdata.callLeaderColor'&gt;
					&lt;/div&gt;
					&lt;div class='col-md-12 form-group row'&gt;
						&lt;label class='col-md-2 form-control title'&gt;Call Leader Sound&lt;/label&gt;
						&lt;input type='text' class='col-md-10 form-control input-text' name='CallLeaderSound' [(ngModel)]='rowdata.callLeaderSound'&gt;
					&lt;/div&gt;
					&lt;div class='col-md-12 form-group row'&gt;
						&lt;label class='col-md-2 form-control title'&gt;Call Leader Playtime&lt;/label&gt;
						&lt;input type='number' class='col-md-10 form-control input-text' name='CallLeaderPlaytime' [(ngModel)]='rowdata.callLeaderPlaytime'&gt;
					&lt;/div&gt;
					&lt;div class='col-md-12 form-group row'&gt;
						&lt;label class='col-md-2 form-control title'&gt;Total Column Old Shift&lt;/label&gt;
						&lt;input type='number' class='col-md-10 form-control input-text' name='TotalColumnOldShift' [(ngModel)]='rowdata.totalColumnOldShift'&gt;
					&lt;/div&gt;
					&lt;div class='col-md-12 form-group row'&gt;
						&lt;label class='col-md-2 form-control title'&gt;Total Column Seq A1&lt;/label&gt;
						&lt;input type='number' class='col-md-10 form-control input-text' name='TotalColumnSeqA1' [(ngModel)]='rowdata.totalColumnSeqA1'&gt;
					&lt;/div&gt;
					&lt;div class='col-md-12 form-group row'&gt;
						&lt;label class='col-md-2 form-control title'&gt;Total Column Seq A2&lt;/label&gt;
						&lt;input type='number' class='col-md-10 form-control input-text' name='TotalColumnSeqA2' [(ngModel)]='rowdata.totalColumnSeqA2'&gt;
					&lt;/div&gt;
					&lt;div class='col-md-12 form-group row'&gt;
						&lt;label class='col-md-2 form-control title'&gt;Before Tacktime Color&lt;/label&gt;
						&lt;input type='text' class='col-md-10 form-control input-text' name='BeforeTacktimeColor' [(ngModel)]='rowdata.beforeTacktimeColor'&gt;
					&lt;/div&gt;
					&lt;div class='col-md-12 form-group row'&gt;
						&lt;label class='col-md-2 form-control title'&gt;Before Tacktime Sound&lt;/label&gt;
						&lt;input type='text' class='col-md-10 form-control input-text' name='BeforeTacktimeSound' [(ngModel)]='rowdata.beforeTacktimeSound'&gt;
					&lt;/div&gt;
					&lt;div class='col-md-12 form-group row'&gt;
						&lt;label class='col-md-2 form-control title'&gt;Before Tacktime Playtime&lt;/label&gt;
						&lt;input type='number' class='col-md-10 form-control input-text' name='BeforeTacktimePlaytime' [(ngModel)]='rowdata.beforeTacktimePlaytime'&gt;
					&lt;/div&gt;
					&lt;div class='col-md-12 form-group row'&gt;
						&lt;label class='col-md-2 form-control title'&gt;Tack Case A1&lt;/label&gt;
						&lt;input type='number' class='col-md-10 form-control input-text' name='TackCaseA1' [(ngModel)]='rowdata.tackCaseA1'&gt;
					&lt;/div&gt;
					&lt;div class='col-md-12 form-group row'&gt;
						&lt;label class='col-md-2 form-control title'&gt;Tack Case A2&lt;/label&gt;
						&lt;input type='number' class='col-md-10 form-control input-text' name='TackCaseA2' [(ngModel)]='rowdata.tackCaseA2'&gt;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54" s="49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CreateOrEditMstLgwScreenConfigDto, MstLgwScreenConfigServiceProxy } from '@shared/service-proxies/service-proxies';
import { BsDatepickerDirective } from 'ngx-bootstrap/datepicker';
@Component({
    selector: 'create-or-edit-screenconfig-modal',
    templateUrl: './create-or-edit-screenconfig-modal.component.html',
    styleUrls: ['./create-or-edit-screenconfig-modal.component.less']
    })
export class CreateOrEditScreenConfigModalComponent extends AppComponentBase {
    @ViewChild('createOrEditModalScreenConfig',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CreateOrEditMstLgwScreenConfigDto = new CreateOrEditMstLgwScreenConfigDto();
    active: boolean = false;
    saving: boolean = false;
    _isActive: boolean;
    constructor(
        injector: Injector,
        private _mstwptScreenConfigService: MstLgwScreenConfigServiceProxy,
    ) 
    {
        super(injector);
    }
    show(rowdata?: CreateOrEditMstLgwScreenConfigDto): void {
        if (!rowdata) this.rowdata = new CreateOrEditMstLgwScreenConfigDto();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this._mstwptScreenConfigService.createOrEdit(this.rowdata)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54" s="49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54" s="49" t="str">
        <f>B.Frontend!N10</f>
        <v>import {NgModule} from '@angular/core';
import {AppSharedModule} from '@app/shared/app-shared.module';
import { ScreenConfigRoutingModule } from './screenconfig-routing.module';
import { ScreenConfigComponent } from './screenconfig.component';
import { CreateOrEditScreenConfigModalComponent } from './create-or-edit-screenconfig-modal.component';
@NgModule({
    declarations: [
       ScreenConfigComponent, 
        CreateOrEditScreenConfigModalComponent
    ],
    imports: [
        AppSharedModule, ScreenConfigRoutingModule]
})
export class ScreenConfigModule {}</v>
      </c>
      <c r="J54" s="49" t="str">
        <f>B.Frontend!O10</f>
        <v>import {NgModule} from '@angular/core';
import {RouterModule, Routes} from '@angular/router';
import { ScreenConfigComponent } from './screenconfig.component';
const routes: Routes = [{
    path: '',
    component: ScreenConfigComponent,
    pathMatch: 'full'
}];
@NgModule({
    imports: [RouterModule.forChild(routes)],
    exports: [RouterModule],
})
export class ScreenConfigRoutingModule {}</v>
      </c>
      <c r="K54" s="49" t="str">
        <f>B.Frontend!P10</f>
        <v xml:space="preserve"> new AppMenuItem("ScreenConfig", "Pages.Master.LogW.ScreenConfig", "flaticon-book",   "/app/main/master/logw/screenconfig"),</v>
      </c>
      <c r="L54" s="50" t="str">
        <f>B.Frontend!Q10</f>
        <v>{
    path: 'master/logw/screenconfig',
    loadChildren: () =&gt; import('./master/logw/screenconfig/screenconfig.module').then(m =&gt; m.ScreenConfigModule),
    data: { permission: 'Pages.Master.LogW.ScreenConfig' }
},</v>
      </c>
      <c r="M54" s="48" t="str">
        <f>B.Frontend!R10</f>
        <v>ApiServiceProxies.MstLgwScreenConfigServiceProxy,</v>
      </c>
    </row>
    <row r="56" spans="2:13" x14ac:dyDescent="0.25">
      <c r="B56" s="1" t="s">
        <v>75</v>
      </c>
    </row>
  </sheetData>
  <mergeCells count="2">
    <mergeCell ref="C52:J52"/>
    <mergeCell ref="K52:L52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35"/>
  <sheetViews>
    <sheetView tabSelected="1" workbookViewId="0">
      <pane xSplit="1" topLeftCell="B1" activePane="topRight" state="frozen"/>
      <selection pane="topRight" activeCell="F14" sqref="F14"/>
    </sheetView>
  </sheetViews>
  <sheetFormatPr defaultColWidth="9.140625" defaultRowHeight="15" x14ac:dyDescent="0.25"/>
  <cols>
    <col min="1" max="1" width="20.85546875" style="8" customWidth="1"/>
    <col min="2" max="2" width="20.42578125" style="9" customWidth="1"/>
    <col min="3" max="3" width="19.42578125" style="8" customWidth="1"/>
    <col min="4" max="4" width="23.42578125" style="8" customWidth="1"/>
    <col min="5" max="5" width="14.42578125" style="8" customWidth="1"/>
    <col min="6" max="6" width="14.85546875" style="8" customWidth="1"/>
    <col min="7" max="7" width="17.28515625" style="8" bestFit="1" customWidth="1"/>
    <col min="8" max="8" width="15" style="8" customWidth="1"/>
    <col min="9" max="9" width="16" style="8" customWidth="1"/>
    <col min="10" max="10" width="15.85546875" style="8" customWidth="1"/>
    <col min="11" max="11" width="16" style="8" customWidth="1"/>
    <col min="12" max="12" width="16.7109375" style="8" customWidth="1"/>
    <col min="13" max="13" width="17.42578125" style="8" customWidth="1"/>
    <col min="14" max="14" width="16.140625" style="8" customWidth="1"/>
    <col min="15" max="15" width="14.7109375" style="8" customWidth="1"/>
    <col min="16" max="16" width="16" style="8" customWidth="1"/>
    <col min="17" max="17" width="15.7109375" style="8" customWidth="1"/>
    <col min="18" max="18" width="19.5703125" style="8" customWidth="1"/>
    <col min="19" max="19" width="20.5703125" style="8" customWidth="1"/>
    <col min="20" max="20" width="17" style="8" customWidth="1"/>
    <col min="21" max="21" width="14" style="8" customWidth="1"/>
    <col min="22" max="22" width="15.140625" style="8" customWidth="1"/>
    <col min="23" max="23" width="27.85546875" style="9" customWidth="1"/>
    <col min="24" max="16384" width="9.140625" style="8"/>
  </cols>
  <sheetData>
    <row r="1" spans="1:23" s="11" customFormat="1" ht="14.25" customHeight="1" x14ac:dyDescent="0.25">
      <c r="A1" s="1" t="s">
        <v>11</v>
      </c>
      <c r="B1" s="10" t="s">
        <v>71</v>
      </c>
      <c r="C1" s="10" t="s">
        <v>54</v>
      </c>
      <c r="D1" s="10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vovina.Master.LogW.Dto;</v>
      </c>
      <c r="E1" s="10" t="s">
        <v>266</v>
      </c>
      <c r="F1" s="11" t="s">
        <v>239</v>
      </c>
      <c r="H1" s="11" t="s">
        <v>240</v>
      </c>
      <c r="J1" s="11" t="s">
        <v>241</v>
      </c>
      <c r="L1" s="11" t="s">
        <v>242</v>
      </c>
      <c r="M1" s="11" t="s">
        <v>243</v>
      </c>
      <c r="N1" s="11" t="s">
        <v>244</v>
      </c>
      <c r="O1" s="11" t="s">
        <v>245</v>
      </c>
      <c r="T1" s="10" t="s">
        <v>258</v>
      </c>
      <c r="U1" s="10" t="s">
        <v>230</v>
      </c>
      <c r="W1" s="10"/>
    </row>
    <row r="2" spans="1:23" s="11" customFormat="1" x14ac:dyDescent="0.25">
      <c r="A2" s="1" t="s">
        <v>12</v>
      </c>
      <c r="B2" s="30" t="s">
        <v>304</v>
      </c>
      <c r="C2" s="14" t="s">
        <v>40</v>
      </c>
      <c r="D2" s="14" t="s">
        <v>41</v>
      </c>
      <c r="E2" s="14" t="s">
        <v>42</v>
      </c>
      <c r="F2" s="14" t="s">
        <v>51</v>
      </c>
      <c r="G2" s="14" t="s">
        <v>49</v>
      </c>
      <c r="H2" s="14" t="s">
        <v>52</v>
      </c>
      <c r="I2" s="14" t="s">
        <v>45</v>
      </c>
      <c r="J2" s="14" t="s">
        <v>53</v>
      </c>
      <c r="K2" s="14" t="s">
        <v>55</v>
      </c>
      <c r="L2" s="14" t="s">
        <v>62</v>
      </c>
      <c r="M2" s="14" t="s">
        <v>61</v>
      </c>
      <c r="N2" s="14" t="s">
        <v>65</v>
      </c>
      <c r="O2" s="14" t="s">
        <v>85</v>
      </c>
      <c r="T2" s="11" t="s">
        <v>246</v>
      </c>
      <c r="V2" s="11" t="s">
        <v>247</v>
      </c>
      <c r="W2" s="10" t="s">
        <v>257</v>
      </c>
    </row>
    <row r="3" spans="1:23" s="11" customFormat="1" ht="33" customHeight="1" x14ac:dyDescent="0.25">
      <c r="A3" s="1" t="s">
        <v>5</v>
      </c>
      <c r="B3" s="30" t="s">
        <v>330</v>
      </c>
      <c r="C3" s="10" t="s">
        <v>43</v>
      </c>
      <c r="D3" s="10" t="s">
        <v>44</v>
      </c>
      <c r="E3" s="10" t="s">
        <v>39</v>
      </c>
      <c r="F3" s="11" t="str">
        <f>"J"&amp;COUNTA($A:$A)</f>
        <v>J33</v>
      </c>
      <c r="G3" s="4" t="s">
        <v>57</v>
      </c>
      <c r="H3" s="10" t="str">
        <f>"I"&amp;COUNTA($A:$A)</f>
        <v>I33</v>
      </c>
      <c r="I3" s="10" t="str">
        <f>REPT(CHAR(9),2)&amp;"[Required]"&amp;"
"</f>
        <v xml:space="preserve">		[Required]
</v>
      </c>
      <c r="J3" s="11" t="str">
        <f>"L"&amp;COUNTA($A:$A)</f>
        <v>L33</v>
      </c>
      <c r="K3" s="5" t="s">
        <v>56</v>
      </c>
      <c r="L3" s="11" t="str">
        <f>"M"&amp;COUNTA($A:$A)</f>
        <v>M33</v>
      </c>
      <c r="M3" s="11" t="str">
        <f>"N"&amp;COUNTA($A:$A)</f>
        <v>N33</v>
      </c>
      <c r="N3" s="11" t="str">
        <f>"O"&amp;COUNTA($A:$A)</f>
        <v>O33</v>
      </c>
      <c r="O3" s="11" t="str">
        <f>"P"&amp;COUNTA($A:$A)</f>
        <v>P33</v>
      </c>
      <c r="Q3" s="11" t="str">
        <f>RIGHT(B2,(LEN(B2)-FIND(".",B2,1)))</f>
        <v>LogW</v>
      </c>
      <c r="R3" s="32" t="str">
        <f>REPT(CHAR(9),1)&amp;"public class "&amp;B3&amp;"ExportInput"&amp;C3</f>
        <v xml:space="preserve">	public class MstLgwScreenConfigExportInput{
</v>
      </c>
      <c r="S3" s="11" t="str">
        <f>"namespace "&amp;$B$6&amp;".Exporting
"&amp;$C$3</f>
        <v xml:space="preserve">namespace vovina.Master.LogW.Exporting
{
</v>
      </c>
      <c r="T3" s="11" t="str">
        <f>"T"&amp;COUNTA($A:$A)</f>
        <v>T33</v>
      </c>
      <c r="V3" s="11" t="str">
        <f>"V"&amp;COUNTA($A:$A)</f>
        <v>V33</v>
      </c>
      <c r="W3" s="10" t="str">
        <f>"W"&amp;COUNTA($A:$A)</f>
        <v>W33</v>
      </c>
    </row>
    <row r="4" spans="1:23" s="11" customFormat="1" ht="33" customHeight="1" x14ac:dyDescent="0.25">
      <c r="A4" s="1" t="s">
        <v>237</v>
      </c>
      <c r="B4" s="64" t="s">
        <v>88</v>
      </c>
      <c r="C4" s="10"/>
      <c r="D4" s="10"/>
      <c r="E4" s="10"/>
      <c r="G4" s="4"/>
      <c r="H4" s="10"/>
      <c r="I4" s="10"/>
      <c r="K4" s="5"/>
      <c r="R4" s="32"/>
      <c r="W4" s="10"/>
    </row>
    <row r="5" spans="1:23" s="11" customFormat="1" ht="33" customHeight="1" x14ac:dyDescent="0.25">
      <c r="A5" s="1" t="s">
        <v>238</v>
      </c>
      <c r="B5" s="64" t="s">
        <v>331</v>
      </c>
      <c r="C5" s="10"/>
      <c r="D5" s="10"/>
      <c r="E5" s="10"/>
      <c r="G5" s="4"/>
      <c r="H5" s="10"/>
      <c r="I5" s="10"/>
      <c r="K5" s="5"/>
      <c r="R5" s="32"/>
      <c r="W5" s="10"/>
    </row>
    <row r="6" spans="1:23" customFormat="1" ht="16.5" customHeight="1" x14ac:dyDescent="0.25">
      <c r="A6" s="1" t="s">
        <v>6</v>
      </c>
      <c r="B6" s="10" t="str">
        <f>"vovina."&amp;B2</f>
        <v>vovina.Master.LogW</v>
      </c>
      <c r="C6" s="11" t="str">
        <f>"namespace "&amp;$B$6&amp;"
"&amp;$C$3</f>
        <v xml:space="preserve">namespace vovina.Master.LogW
{
</v>
      </c>
      <c r="D6" s="11" t="str">
        <f>REPT(CHAR(9),1)&amp;"public class "&amp;B3&amp;G3&amp;REPT(CHAR(9),1)&amp;"
"&amp;REPT(CHAR(9),1)&amp;C3</f>
        <v xml:space="preserve">	public class MstLgwScreenConfig: FullAuditedEntity&lt;long&gt;, IEntity&lt;long&gt;	
	{
</v>
      </c>
      <c r="E6" s="11" t="str">
        <f>REPT(CHAR(9),1)&amp;"public class "&amp;B3&amp;"Consts"&amp;REPT(CHAR(9),1)&amp;"
"&amp;REPT(CHAR(9),1)&amp;C3</f>
        <v xml:space="preserve">	public class MstLgwScreenConfigConsts	
	{
</v>
      </c>
      <c r="F6" s="11" t="str">
        <f>REPT(CHAR(9),1)&amp;"public class "&amp;B3&amp;"Dto"&amp;K3&amp;REPT(CHAR(9),1)&amp;"
"&amp;REPT(CHAR(9),1)&amp;C3</f>
        <v xml:space="preserve">	public class MstLgwScreenConfigDto : EntityDto&lt;long?&gt;	
	{
</v>
      </c>
      <c r="G6" s="11" t="str">
        <f>REPT(CHAR(9),1)&amp;"public class CreateOrEdit"&amp;B3&amp;"Dto"&amp;K3&amp;REPT(CHAR(9),1)&amp;"
"&amp;REPT(CHAR(9),1)&amp;C3</f>
        <v xml:space="preserve">	public class CreateOrEditMstLgwScreenConfigDto : EntityDto&lt;long?&gt;	
	{
</v>
      </c>
      <c r="H6" s="11" t="str">
        <f>REPT(CHAR(9),1)&amp;"public class Get"&amp;B3&amp;"Input : PagedAndSortedResultRequestDto"&amp;REPT(CHAR(9),1)&amp;"
"&amp;REPT(CHAR(9),1)&amp;C3</f>
        <v xml:space="preserve">	public class GetMstLgwScreenConfigInput : PagedAndSortedResultRequestDto	
	{
</v>
      </c>
      <c r="I6" s="11"/>
      <c r="J6" s="1" t="s">
        <v>72</v>
      </c>
      <c r="K6" s="1" t="s">
        <v>66</v>
      </c>
      <c r="L6" s="1" t="s">
        <v>67</v>
      </c>
      <c r="M6" s="1" t="s">
        <v>68</v>
      </c>
      <c r="N6" s="1" t="s">
        <v>236</v>
      </c>
      <c r="O6" s="1" t="s">
        <v>235</v>
      </c>
      <c r="P6" s="1" t="s">
        <v>69</v>
      </c>
      <c r="Q6" s="1" t="s">
        <v>70</v>
      </c>
      <c r="R6" s="1" t="s">
        <v>202</v>
      </c>
      <c r="S6" s="1" t="s">
        <v>204</v>
      </c>
      <c r="T6" s="1" t="s">
        <v>203</v>
      </c>
      <c r="U6" s="1" t="s">
        <v>227</v>
      </c>
      <c r="W6" s="28"/>
    </row>
    <row r="7" spans="1:23" customFormat="1" ht="15.75" customHeight="1" x14ac:dyDescent="0.25">
      <c r="A7" s="1" t="s">
        <v>13</v>
      </c>
      <c r="B7" s="10" t="str">
        <f>B3</f>
        <v>MstLgwScreenConfig</v>
      </c>
      <c r="C7" s="11" t="str">
        <f>REPT(CHAR(9),1)&amp;"[Table("""&amp;B7&amp;""")]"&amp;"
"</f>
        <v xml:space="preserve">	[Table("MstLgwScreenConfig")]
</v>
      </c>
      <c r="D7" s="11"/>
      <c r="E7" s="11"/>
      <c r="F7" s="11"/>
      <c r="G7" s="11"/>
      <c r="H7" s="11"/>
      <c r="I7" s="11"/>
      <c r="J7" s="6" t="str">
        <f ca="1">SUBSTITUTE(SUBSTITUTE((B1&amp;C6&amp;C7&amp;K35&amp;D6&amp;I35&amp;E3&amp;J35&amp;""&amp;REPT(CHAR(9),1)&amp;D3&amp;D3),"WorkingPattern",$Q$3),"Master",$B$4)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vovina.Master.LogW
{
	[Table("MstLgwScreenConfig")]
	[Index(nameof(IsActive), Name="IX_MstLgwScreenConfig_IsActive")]	public class MstLgwScreenConfig: FullAuditedEntity&lt;long&gt;, IEntity&lt;long&gt;	
	{
		public const int MaxUnpackDoneColorLength = 50;
		public const int MaxNeedToUnpackColorLength = 50;
		public const int MaxConfirmFlagColorLength = 50;
		public const int MaxConfirmFlagSoundLength = 200;
		public const int MaxDelayUnpackColorLength = 50;
		public const int MaxDelayUnpackSoundLength = 200;
		public const int MaxCallLeaderColorLength = 50;
		public const int MaxCallLeaderSoundLength = 200;
		public const int MaxBeforeTacktimeColorLength = 50;
		public const int MaxBeforeTacktimeSoundLength = 200;
		public const int MaxIsActiveLength = 1;
		[StringLength(MaxUnpackDoneColorLength)]
		public virtual string UnpackDoneColor { get; set; }
		[StringLength(MaxNeedToUnpackColorLength)]
		public virtual string NeedToUnpackColor { get; set; }
		public virtual bool NeedToUnpackFlash { get; set; }
		[StringLength(MaxConfirmFlagColorLength)]
		public virtual string ConfirmFlagColor { get; set; }
		[StringLength(MaxConfirmFlagSoundLength)]
		public virtual string ConfirmFlagSound { get; set; }
		public virtual int ConfirmFlagPlaytime { get; set; }
		[Column(TypeName="bit")]
		public virtual bool ConfirmFlagFlash { get; set; }
		[StringLength(MaxDelayUnpackColorLength)]
		public virtual string DelayUnpackColor { get; set; }
		[StringLength(MaxDelayUnpackSoundLength)]
		public virtual string DelayUnpackSound { get; set; }
		public virtual int DelayUnpackPlaytime { get; set; }
		[Column(TypeName="bit")]
		public virtual bool DelayUnpackFlash { get; set; }
		[StringLength(MaxCallLeaderColorLength)]
		public virtual string CallLeaderColor { get; set; }
		[StringLength(MaxCallLeaderSoundLength)]
		public virtual string CallLeaderSound { get; set; }
		public virtual int CallLeaderPlaytime { get; set; }
		[Column(TypeName="bit")]
		public virtual bool CallLeaderFlash { get; set; }
		public virtual int TotalColumnOldShift { get; set; }
		public virtual int TotalColumnSeqA1 { get; set; }
		public virtual int TotalColumnSeqA2 { get; set; }
		[StringLength(MaxBeforeTacktimeColorLength)]
		public virtual string BeforeTacktimeColor { get; set; }
		[StringLength(MaxBeforeTacktimeSoundLength)]
		public virtual string BeforeTacktimeSound { get; set; }
		public virtual int BeforeTacktimePlaytime { get; set; }
		[Column(TypeName="bit")]
		public virtual bool BeforeTacktimeFlash { get; set; }
		public virtual int TackCaseA1 { get; set; }
		public virtual int TackCaseA2 { get; set; }
		[StringLength(MaxIsActiveLength)]
		public virtual string IsActive { get; set; }
	}
}
</v>
      </c>
      <c r="K7" t="str">
        <f>SUBSTITUTE(SUBSTITUTE(("public virtual DbSet&lt;"&amp;B3&amp;"&gt; "&amp;B3&amp;"s { get; set; }"),"WorkingPattern",$Q$3),"Master",$B$4)</f>
        <v>public virtual DbSet&lt;MstLgwScreenConfig&gt; MstLgwScreenConfigs { get; set; }</v>
      </c>
      <c r="L7" t="str">
        <f ca="1">SUBSTITUTE(SUBSTITUTE((C6&amp;E6&amp;I35&amp;"
"&amp;REPT(CHAR(9),2)&amp;"// Define Store Name: Format SP_ + &lt;Store Name&gt; = &lt;Store Name&gt;
"&amp;E3&amp;REPT(CHAR(9),1)&amp;D3&amp;D3),"WorkingPattern",$Q$3),"Master",$B$4)</f>
        <v xml:space="preserve">namespace vovina.Master.LogW
{
	public class MstLgwScreenConfigConsts	
	{
		public const int MaxUnpackDoneColorLength = 50;
		public const int MaxNeedToUnpackColorLength = 50;
		public const int MaxConfirmFlagColorLength = 50;
		public const int MaxConfirmFlagSoundLength = 200;
		public const int MaxDelayUnpackColorLength = 50;
		public const int MaxDelayUnpackSoundLength = 200;
		public const int MaxCallLeaderColorLength = 50;
		public const int MaxCallLeaderSoundLength = 200;
		public const int MaxBeforeTacktimeColorLength = 50;
		public const int MaxBeforeTacktimeSoundLength = 200;
		public const int MaxIsActiveLength = 1;
		// Define Store Name: Format SP_ + &lt;Store Name&gt; = &lt;Store Name&gt;
	}
}
</v>
      </c>
      <c r="M7" t="str">
        <f ca="1">SUBSTITUTE(SUBSTITUTE((C1&amp;"namespace "&amp;B6&amp;".Dto"&amp;E3&amp;C3&amp;F6&amp;M35&amp;E3&amp;REPT(CHAR(9),1)&amp;D3&amp;G6&amp;N35&amp;REPT(CHAR(9),1)&amp;D3&amp;H6&amp;O35&amp;"
"&amp;REPT(CHAR(9),1)&amp;D3&amp;D3),"WorkingPattern",$Q$3),"Master",$B$4)</f>
        <v xml:space="preserve">using Abp.Application.Services.Dto;
using System;
using System.ComponentModel.DataAnnotations;
namespace vovina.Master.LogW.Dto
{
	public class MstLgwScreenConfigDto : EntityDto&lt;long?&gt;	
	{
		public virtual string UnpackDoneColor { get; set; }
		public virtual string NeedToUnpackColor { get; set; }
		public virtual bool NeedToUnpackFlash { get; set; }
		public virtual string ConfirmFlagColor { get; set; }
		public virtual string ConfirmFlagSound { get; set; }
		public virtual int ConfirmFlagPlaytime { get; set; }
		public virtual bool ConfirmFlagFlash { get; set; }
		public virtual string DelayUnpackColor { get; set; }
		public virtual string DelayUnpackSound { get; set; }
		public virtual int DelayUnpackPlaytime { get; set; }
		public virtual bool DelayUnpackFlash { get; set; }
		public virtual string CallLeaderColor { get; set; }
		public virtual string CallLeaderSound { get; set; }
		public virtual int CallLeaderPlaytime { get; set; }
		public virtual bool CallLeaderFlash { get; set; }
		public virtual int TotalColumnOldShift { get; set; }
		public virtual int TotalColumnSeqA1 { get; set; }
		public virtual int TotalColumnSeqA2 { get; set; }
		public virtual string BeforeTacktimeColor { get; set; }
		public virtual string BeforeTacktimeSound { get; set; }
		public virtual int BeforeTacktimePlaytime { get; set; }
		public virtual bool BeforeTacktimeFlash { get; set; }
		public virtual int TackCaseA1 { get; set; }
		public virtual int TackCaseA2 { get; set; }
		public virtual string IsActive { get; set; }
	}
	public class CreateOrEditMstLgwScreenConfigDto : EntityDto&lt;long?&gt;	
	{
		[StringLength(MstLgwScreenConfigConsts.MaxUnpackDoneColorLength)]
		public virtual string UnpackDoneColor { get; set; }
		[StringLength(MstLgwScreenConfigConsts.MaxNeedToUnpackColorLength)]
		public virtual string NeedToUnpackColor { get; set; }
		public virtual bool NeedToUnpackFlash { get; set; }
		[StringLength(MstLgwScreenConfigConsts.MaxConfirmFlagColorLength)]
		public virtual string ConfirmFlagColor { get; set; }
		[StringLength(MstLgwScreenConfigConsts.MaxConfirmFlagSoundLength)]
		public virtual string ConfirmFlagSound { get; set; }
		public virtual int ConfirmFlagPlaytime { get; set; }
		public virtual bool ConfirmFlagFlash { get; set; }
		[StringLength(MstLgwScreenConfigConsts.MaxDelayUnpackColorLength)]
		public virtual string DelayUnpackColor { get; set; }
		[StringLength(MstLgwScreenConfigConsts.MaxDelayUnpackSoundLength)]
		public virtual string DelayUnpackSound { get; set; }
		public virtual int DelayUnpackPlaytime { get; set; }
		public virtual bool DelayUnpackFlash { get; set; }
		[StringLength(MstLgwScreenConfigConsts.MaxCallLeaderColorLength)]
		public virtual string CallLeaderColor { get; set; }
		[StringLength(MstLgwScreenConfigConsts.MaxCallLeaderSoundLength)]
		public virtual string CallLeaderSound { get; set; }
		public virtual int CallLeaderPlaytime { get; set; }
		public virtual bool CallLeaderFlash { get; set; }
		public virtual int TotalColumnOldShift { get; set; }
		public virtual int TotalColumnSeqA1 { get; set; }
		public virtual int TotalColumnSeqA2 { get; set; }
		[StringLength(MstLgwScreenConfigConsts.MaxBeforeTacktimeColorLength)]
		public virtual string BeforeTacktimeColor { get; set; }
		[StringLength(MstLgwScreenConfigConsts.MaxBeforeTacktimeSoundLength)]
		public virtual string BeforeTacktimeSound { get; set; }
		public virtual int BeforeTacktimePlaytime { get; set; }
		public virtual bool BeforeTacktimeFlash { get; set; }
		public virtual int TackCaseA1 { get; set; }
		public virtual int TackCaseA2 { get; set; }
		[StringLength(MstLgwScreenConfigConsts.MaxIsActiveLength)]
		public virtual string IsActive { get; set; }
	}
	public class GetMstLgwScreenConfigInput : PagedAndSortedResultRequestDto	
	{
		public virtual string UnpackDoneColor { get; set; }
		public virtual string NeedToUnpackColor { get; set; }
		public virtual string ConfirmFlagColor { get; set; }
		public virtual string ConfirmFlagSound { get; set; }
		public virtual int ConfirmFlagPlaytime { get; set; }
		public virtual string DelayUnpackColor { get; set; }
		public virtual string DelayUnpackSound { get; set; }
		public virtual int DelayUnpackPlaytime { get; set; }
		public virtual string CallLeaderColor { get; set; }
		public virtual string CallLeaderSound { get; set; }
		public virtual int CallLeaderPlaytime { get; set; }
		public virtual int TotalColumnOldShift { get; set; }
		public virtual int TotalColumnSeqA1 { get; set; }
		public virtual int TotalColumnSeqA2 { get; set; }
		public virtual string BeforeTacktimeColor { get; set; }
		public virtual string BeforeTacktimeSound { get; set; }
		public virtual int BeforeTacktimePlaytime { get; set; }
		public virtual int TackCaseA1 { get; set; }
		public virtual int TackCaseA2 { get; set; }
		public virtual string IsActive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"""&amp;SUBSTITUTE(B2,".","")&amp;B5&amp;"""));"
&amp;E3&amp;REPT(CHAR(9),2)&amp;"per"&amp;B3&amp;".CreateChildPermission(AppPermissions.Pages_"&amp;SUBSTITUTE(B2,".","_")&amp;"_"&amp;B5&amp;"_CreateEdit, L( """&amp;SUBSTITUTE(B2,".","")&amp;B5&amp;"CreateEdit"&amp;"""));"
&amp;E3&amp;REPT(CHAR(9),2)&amp;"per"&amp;B3&amp;".CreateChildPermission(AppPermissions.Pages_"&amp;SUBSTITUTE(B2,".","_")&amp;"_"&amp;B5&amp;"_Delete, L( """&amp;SUBSTITUTE(B2,".","")&amp;B5&amp;"Delete"&amp;"""));"),"WorkingPattern",$Q$3),"Master",$B$4)</f>
        <v xml:space="preserve">		var perMstLgwScreenConfig = PARENTS.CreateChildPermission(AppPermissions.Pages_Master_LogW_ScreenConfig, L( "MasterLogWScreenConfig"));
		perMstLgwScreenConfig.CreateChildPermission(AppPermissions.Pages_Master_LogW_ScreenConfig_CreateEdit, L( "MasterLogWScreenConfigCreateEdit"));
		perMstLgwScreenConfig.CreateChildPermission(AppPermissions.Pages_Master_LogW_ScreenConfig_Delete, L( "MasterLogWScreenConfigDelete"));</v>
      </c>
      <c r="O7" s="28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Pages_Master_LogW_ScreenConfig = "Pages.Master.LogW.ScreenConfig";
		public const string Pages_Master_LogW_ScreenConfig_CreateEdit = "Pages.Master.LogW.ScreenConfig.CreateEdit";
		public const string Pages_Master_LogW_ScreenConfig_Delete = "Pages.Master.LogW.ScreenConfig.Delete";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vovina.Master.LogW.Dto;
namespace vovina.Master.LogW
{
	public interface IMstLgwScreenConfigAppService : IApplicationService
	{
		Task&lt;PagedResultDto&lt;MstLgwScreenConfigDto&gt;&gt; GetAll(GetMstLgwScreenConfigInput input);
		Task CreateOrEdit(CreateOrEditMstLgwScreenConfigDto input);
		Task Delete(EntityDto input);
	}
}
</v>
      </c>
      <c r="Q7" t="str">
        <f ca="1">SUBSTITUTE(SUBSTITUTE(SUBSTITUTE(SUBSTITUTE(SUBSTITUTE(SUBSTITUTE(E1,"MstWptCalendar",$B$3),"&lt;PROPERTIES&gt;",P35),"Calendar",$B$5),"WorkingPattern",$Q$3),"Master",$B$4),"&lt;PARAMS_SEARCH&gt;",$W$35)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vovina.Master.LogW.Dto;
using vovina.Master.LogW.Exporting;
namespace vovina.Master.LogW
{
    [AbpAuthorize(AppPermissions.Pages_Master_LogW_ScreenConfig)]
    public class MstLgwScreenConfigAppService : vovinaAppServiceBase, IMstLgwScreenConfigAppService
    {
        private readonly IDapperRepository&lt;MstLgwScreenConfig, long&gt; _dapperRepo;
        private readonly IRepository&lt;MstLgwScreenConfig, long&gt; _repo;
        private readonly IMstLgwScreenConfigExcelExporter _calendarListExcelExporter;
        public MstLgwScreenConfigAppService(IRepository&lt;MstLgwScreenConfig,long&gt; repo, 
                                         IDapperRepository&lt;MstLgwScreenConfig,long&gt; dapperRepo,
                                        IMstLgwScreenConfigExcelExporter calendarListExcelExporter
            )
        {
            _repo = repo;
            _dapperRepo = dapperRepo;
            _calendarListExcelExporter = calendarListExcelExporter;
        }
        [AbpAuthorize(AppPermissions.Pages_Master_LogW_ScreenConfig_CreateEdit)]
        public async Task CreateOrEdit(CreateOrEditMstLgwScreenConfigDto input)
        {
            if (input.Id == null) await Create(input);
            else await Update(input);
        }
        //CREATE
        private async Task Create(CreateOrEditMstLgwScreenConfigDto input)
        {          
            var mainObj = ObjectMapper.Map&lt;MstLgwScreenConfig&gt;(input);
            await CurrentUnitOfWork.GetDbContext&lt;vovinaDbContext&gt;().AddAsync(mainObj);
        }
        // EDIT
        private async Task Update(CreateOrEditMstLgwScreenConfigDto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[AbpAuthorize(AppPermissions.Pages_Master_LogW_ScreenConfig_Delete)]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Task&lt;PagedResultDto&lt;MstLgwScreenConfigDto&gt;&gt; GetAll(GetMstLgwScreenConfigInput input)
        {
            var filtered = _repo.GetAll()
				.WhereIf(!string.IsNullOrWhiteSpace(input.UnpackDoneColor), e =&gt; e.UnpackDoneColor.Contains(input.UnpackDoneColor))
				.WhereIf(!string.IsNullOrWhiteSpace(input.NeedToUnpackColor), e =&gt; e.NeedToUnpackColor.Contains(input.NeedToUnpackColor))
				.WhereIf(!string.IsNullOrWhiteSpace(input.ConfirmFlagColor), e =&gt; e.ConfirmFlagColor.Contains(input.ConfirmFlagColor))
				.WhereIf(!string.IsNullOrWhiteSpace(input.ConfirmFlagSound), e =&gt; e.ConfirmFlagSound.Contains(input.ConfirmFlagSound))
				.WhereIf(!string.IsNullOrWhiteSpace(input.DelayUnpackColor), e =&gt; e.DelayUnpackColor.Contains(input.DelayUnpackColor))
				.WhereIf(!string.IsNullOrWhiteSpace(input.DelayUnpackSound), e =&gt; e.DelayUnpackSound.Contains(input.DelayUnpackSound))
				.WhereIf(!string.IsNullOrWhiteSpace(input.CallLeaderColor), e =&gt; e.CallLeaderColor.Contains(input.CallLeaderColor))
				.WhereIf(!string.IsNullOrWhiteSpace(input.CallLeaderSound), e =&gt; e.CallLeaderSound.Contains(input.CallLeaderSound))
				.WhereIf(!string.IsNullOrWhiteSpace(input.BeforeTacktimeColor), e =&gt; e.BeforeTacktimeColor.Contains(input.BeforeTacktimeColor))
				.WhereIf(!string.IsNullOrWhiteSpace(input.BeforeTacktimeSound), e =&gt; e.BeforeTacktimeSound.Contains(input.BeforeTacktimeSound))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MstLgwScreenConfigDto
                        {
							Id = o.Id,
							UnpackDoneColor = o.UnpackDoneColor,
							NeedToUnpackColor = o.NeedToUnpackColor,
							NeedToUnpackFlash = o.NeedToUnpackFlash,
							ConfirmFlagColor = o.ConfirmFlagColor,
							ConfirmFlagSound = o.ConfirmFlagSound,
							ConfirmFlagPlaytime = o.ConfirmFlagPlaytime,
							ConfirmFlagFlash = o.ConfirmFlagFlash,
							DelayUnpackColor = o.DelayUnpackColor,
							DelayUnpackSound = o.DelayUnpackSound,
							DelayUnpackPlaytime = o.DelayUnpackPlaytime,
							DelayUnpackFlash = o.DelayUnpackFlash,
							CallLeaderColor = o.CallLeaderColor,
							CallLeaderSound = o.CallLeaderSound,
							CallLeaderPlaytime = o.CallLeaderPlaytime,
							CallLeaderFlash = o.CallLeaderFlash,
							TotalColumnOldShift = o.TotalColumnOldShift,
							TotalColumnSeqA1 = o.TotalColumnSeqA1,
							TotalColumnSeqA2 = o.TotalColumnSeqA2,
							BeforeTacktimeColor = o.BeforeTacktimeColor,
							BeforeTacktimeSound = o.BeforeTacktimeSound,
							BeforeTacktimePlaytime = o.BeforeTacktimePlaytime,
							BeforeTacktimeFlash = o.BeforeTacktimeFlash,
							TackCaseA1 = o.TackCaseA1,
							TackCaseA2 = o.TackCaseA2,
							IsActive = o.IsActive,
                        };
            var totalCount = await filtered.CountAsync();
			var paged = system.PageBy(input);
            return new PagedResultDto&lt;MstLgwScreenConfigDto&gt;(
                totalCount,
                 await paged.ToListAsync()
            );
        }
        public async Task&lt;FileDto&gt; GetScreenConfigToExcel(MstLgwScreenConfigExportInput input)
        {
            var query = from o in _repo.GetAll()
                        select new MstLgwScreenConfigDto
                        {
							Id = o.Id,
							UnpackDoneColor = o.UnpackDoneColor,
							NeedToUnpackColor = o.NeedToUnpackColor,
							NeedToUnpackFlash = o.NeedToUnpackFlash,
							ConfirmFlagColor = o.ConfirmFlagColor,
							ConfirmFlagSound = o.ConfirmFlagSound,
							ConfirmFlagPlaytime = o.ConfirmFlagPlaytime,
							ConfirmFlagFlash = o.ConfirmFlagFlash,
							DelayUnpackColor = o.DelayUnpackColor,
							DelayUnpackSound = o.DelayUnpackSound,
							DelayUnpackPlaytime = o.DelayUnpackPlaytime,
							DelayUnpackFlash = o.DelayUnpackFlash,
							CallLeaderColor = o.CallLeaderColor,
							CallLeaderSound = o.CallLeaderSound,
							CallLeaderPlaytime = o.CallLeaderPlaytime,
							CallLeaderFlash = o.CallLeaderFlash,
							TotalColumnOldShift = o.TotalColumnOldShift,
							TotalColumnSeqA1 = o.TotalColumnSeqA1,
							TotalColumnSeqA2 = o.TotalColumnSeqA2,
							BeforeTacktimeColor = o.BeforeTacktimeColor,
							BeforeTacktimeSound = o.BeforeTacktimeSound,
							BeforeTacktimePlaytime = o.BeforeTacktimePlaytime,
							BeforeTacktimeFlash = o.BeforeTacktimeFlash,
							TackCaseA1 = o.TackCaseA1,
							TackCaseA2 = o.TackCaseA2,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_dapperRepo.ExecuteAsync(MstLgwScreenConfigConsts.SP_MST_WPT_CALENDAR_GENERATE);
       // }
    }
}</v>
      </c>
      <c r="R7" t="str">
        <f ca="1">SUBSTITUTE(SUBSTITUTE((C1&amp;"namespace "&amp;B6&amp;".Dto"&amp;E3&amp;C3&amp;R3&amp;M35&amp;E3&amp;REPT(CHAR(9),1)&amp;D3&amp;D3),"WorkingPattern",$Q$3),"Master",$B$4)</f>
        <v xml:space="preserve">using Abp.Application.Services.Dto;
using System;
using System.ComponentModel.DataAnnotations;
namespace vovina.Master.LogW.Dto
{
	public class MstLgwScreenConfigExportInput{
		public virtual string UnpackDoneColor { get; set; }
		public virtual string NeedToUnpackColor { get; set; }
		public virtual bool NeedToUnpackFlash { get; set; }
		public virtual string ConfirmFlagColor { get; set; }
		public virtual string ConfirmFlagSound { get; set; }
		public virtual int ConfirmFlagPlaytime { get; set; }
		public virtual bool ConfirmFlagFlash { get; set; }
		public virtual string DelayUnpackColor { get; set; }
		public virtual string DelayUnpackSound { get; set; }
		public virtual int DelayUnpackPlaytime { get; set; }
		public virtual bool DelayUnpackFlash { get; set; }
		public virtual string CallLeaderColor { get; set; }
		public virtual string CallLeaderSound { get; set; }
		public virtual int CallLeaderPlaytime { get; set; }
		public virtual bool CallLeaderFlash { get; set; }
		public virtual int TotalColumnOldShift { get; set; }
		public virtual int TotalColumnSeqA1 { get; set; }
		public virtual int TotalColumnSeqA2 { get; set; }
		public virtual string BeforeTacktimeColor { get; set; }
		public virtual string BeforeTacktimeSound { get; set; }
		public virtual int BeforeTacktimePlaytime { get; set; }
		public virtual bool BeforeTacktimeFlash { get; set; }
		public virtual int TackCaseA1 { get; set; }
		public virtual int TackCaseA2 { get; set; }
		public virtual string IsActive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vovina.Master.LogW.Dto;
namespace vovina.Master.LogW.Exporting
{
	public interface IMstLgwScreenConfigExcelExporter : IApplicationService
	{
		FileDto ExportToFile(List&lt;MstLgwScreenConfigDto&gt; mstlgwscreenconfig);
	}
}
</v>
      </c>
      <c r="T7" s="28" t="str">
        <f ca="1">SUBSTITUTE(SUBSTITUTE(SUBSTITUTE(SUBSTITUTE(SUBSTITUTE(SUBSTITUTE(SUBSTITUTE(T1,"MstWptCalendar",$B$3),"&lt;PROPERTIES1&gt;",V35),"&lt;PROPERTIES&gt;",T35),"Calendar",$B$5),"calendar",LOWER(B5)),"WorkingPattern",$Q$3),"Master",$B$4)</f>
        <v>using System.Collections.Generic;
using vovina.DataExporting.Excel.NPOI;
using vovina.Dto;
using vovina.Master.LogW.Exporting;
using vovina.Master.LogW.Dto;
using vovina.Storage;
using vovina.Master.LogW.Dto;
namespace vovina.Master.LogW.Exporting
{
    public class MstLgwScreenConfigExcelExporter : NpoiExcelExporterBase, IMstLgwScreenConfigExcelExporter
    {
        public MstLgwScreenConfigExcelExporter(ITempFileCacheManager tempFileCacheManager) : base(tempFileCacheManager) { }
        public FileDto ExportToFile(List&lt;MstLgwScreenConfigDto&gt; screenconfig)
        {
            return CreateExcelPackage(
				"MasterLogWScreenConfig.xlsx",
				excelPackage =&gt;
				 {
					var sheet = excelPackage.CreateSheet("ScreenConfig");
					AddHeader(
								sheet,
								("UnpackDoneColor"),
								("NeedToUnpackColor"),
								("NeedToUnpackFlash"),
								("ConfirmFlagColor"),
								("ConfirmFlagSound"),
								("ConfirmFlagPlaytime"),
								("ConfirmFlagFlash"),
								("DelayUnpackColor"),
								("DelayUnpackSound"),
								("DelayUnpackPlaytime"),
								("DelayUnpackFlash"),
								("CallLeaderColor"),
								("CallLeaderSound"),
								("CallLeaderPlaytime"),
								("CallLeaderFlash"),
								("TotalColumnOldShift"),
								("TotalColumnSeqA1"),
								("TotalColumnSeqA2"),
								("BeforeTacktimeColor"),
								("BeforeTacktimeSound"),
								("BeforeTacktimePlaytime"),
								("BeforeTacktimeFlash"),
								("TackCaseA1"),
								("TackCaseA2"),
								("IsActive"),
							   );
					AddObjects(
						 sheet, 1, screenconfig,                                       
								_ =&gt; _.UnpackDoneColor,
								_ =&gt; _.NeedToUnpackColor,
								_ =&gt; _.NeedToUnpackFlash,
								_ =&gt; _.ConfirmFlagColor,
								_ =&gt; _.ConfirmFlagSound,
								_ =&gt; _.ConfirmFlagPlaytime,
								_ =&gt; _.ConfirmFlagFlash,
								_ =&gt; _.DelayUnpackColor,
								_ =&gt; _.DelayUnpackSound,
								_ =&gt; _.DelayUnpackPlaytime,
								_ =&gt; _.DelayUnpackFlash,
								_ =&gt; _.CallLeaderColor,
								_ =&gt; _.CallLeaderSound,
								_ =&gt; _.CallLeaderPlaytime,
								_ =&gt; _.CallLeaderFlash,
								_ =&gt; _.TotalColumnOldShift,
								_ =&gt; _.TotalColumnSeqA1,
								_ =&gt; _.TotalColumnSeqA2,
								_ =&gt; _.BeforeTacktimeColor,
								_ =&gt; _.BeforeTacktimeSound,
								_ =&gt; _.BeforeTacktimePlaytime,
								_ =&gt; _.BeforeTacktimeFlash,
								_ =&gt; _.TackCaseA1,
								_ =&gt; _.TackCaseA2,
								_ =&gt; _.IsActive,
								);
			for (var i = 0; i &lt; 8; i++)
				{
					sheet.AutoSizeColumn(i);
				}
			});
        }
    }
}</v>
      </c>
      <c r="U7" s="28" t="str">
        <f>SUBSTITUTE(SUBSTITUTE(U1,"MstWptCalendar",$B$3),"Master",$B$4)</f>
        <v xml:space="preserve">  configuration.CreateMap&lt;MstLgwScreenConfigDto, MstLgwScreenConfig&gt;();
  configuration.CreateMap&lt;MstLgwScreenConfig, MstLgwScreenConfigDto&gt;();
  configuration.CreateMap&lt;CreateOrEditMstLgwScreenConfigDto, MstLgwScreenConfig&gt;();</v>
      </c>
      <c r="V7" s="28"/>
      <c r="W7" s="28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37</v>
      </c>
      <c r="F8" s="2" t="s">
        <v>59</v>
      </c>
      <c r="G8" s="2" t="s">
        <v>9</v>
      </c>
      <c r="H8" s="2" t="s">
        <v>15</v>
      </c>
      <c r="I8" s="2" t="s">
        <v>50</v>
      </c>
      <c r="J8" s="2" t="s">
        <v>38</v>
      </c>
      <c r="K8" s="2" t="s">
        <v>46</v>
      </c>
      <c r="L8" s="2" t="s">
        <v>47</v>
      </c>
      <c r="M8" s="2" t="s">
        <v>63</v>
      </c>
      <c r="N8" s="2" t="s">
        <v>58</v>
      </c>
      <c r="O8" s="2" t="s">
        <v>64</v>
      </c>
      <c r="P8" s="20" t="s">
        <v>84</v>
      </c>
      <c r="W8" s="3"/>
    </row>
    <row r="9" spans="1:23" customFormat="1" ht="22.5" customHeight="1" x14ac:dyDescent="0.25">
      <c r="A9" t="s">
        <v>305</v>
      </c>
      <c r="B9" t="s">
        <v>303</v>
      </c>
      <c r="C9" t="s">
        <v>1</v>
      </c>
      <c r="D9" t="str">
        <f>SUBSTITUTE(PROPER(A9),"_","")</f>
        <v>UnpackDoneColor</v>
      </c>
      <c r="E9" t="str">
        <f t="shared" ref="E9:E11" si="0">IFERROR(LEFT(B9, FIND("(",B9)-1),B9)</f>
        <v>varchar</v>
      </c>
      <c r="F9" s="7"/>
      <c r="G9" t="str">
        <f t="shared" ref="G9:G11" si="1">IFERROR(MID(B9,FIND("(",B9) +1, FIND(")",B9) - FIND("(",B9) - 1),"")</f>
        <v>50</v>
      </c>
      <c r="H9" t="str">
        <f>+VLOOKUP(E9,'Data Type Mapping'!A:B,2,)</f>
        <v>string</v>
      </c>
      <c r="I9" t="str">
        <f t="shared" ref="I9:I11" si="2">IF(H9="string",REPT(CHAR(9),2)&amp;"public const int Max"&amp;D9&amp;"Length = "&amp;G9&amp;";"&amp;$E$3,"" )</f>
        <v xml:space="preserve">		public const int MaxUnpackDoneColorLength = 50;
</v>
      </c>
      <c r="J9" t="str">
        <f t="shared" ref="J9:J11" si="3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[StringLength(MaxUnpackDoneColorLength)]
		public virtual string UnpackDoneColor { get; set; }
</v>
      </c>
      <c r="K9" s="7"/>
      <c r="L9" t="str">
        <f>IF(K9="","",REPT(CHAR(9),1)&amp;"[Index(nameof("&amp;IF(D9="","",""&amp;D9)&amp;")"&amp;", Name="&amp;"""IX_"&amp;$B$7&amp;"_"&amp;D9&amp;""")]")</f>
        <v/>
      </c>
      <c r="M9" t="str">
        <f>REPT(CHAR(9),2)&amp;"public virtual "&amp;IF(OR(H9="DateTime",H9="TimeSpan"),H9&amp;"?",H9)&amp;IF(C9="?","? "," ")&amp;D9&amp;" { get; set; }" &amp; "
"</f>
        <v xml:space="preserve">		public virtual string UnpackDoneColor { get; set; }
</v>
      </c>
      <c r="N9" t="str">
        <f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[StringLength(MstLgwScreenConfigConsts.MaxUnpackDoneColorLength)]
		public virtual string UnpackDoneColor { get; set; }
</v>
      </c>
      <c r="O9" t="str">
        <f>IF(OR(H9="string",H9="DateTime",H9="int"),REPT(CHAR(9),2)&amp;"public virtual "&amp;IF(OR(H9="DateTime",H9="TimeSpan"),H9&amp;"?",H9)&amp;IF(C9="?","? "," ")&amp;D9&amp;" { get; set; }"&amp;$E$3,"")</f>
        <v xml:space="preserve">		public virtual string UnpackDoneColor { get; set; }
</v>
      </c>
      <c r="P9" t="str">
        <f t="shared" ref="P9:P11" si="4">REPT(CHAR(9),7)&amp;D9&amp;" = o." &amp;D9 &amp;","</f>
        <v xml:space="preserve">							UnpackDoneColor = o.UnpackDoneColor,</v>
      </c>
      <c r="T9" s="69" t="str">
        <f>REPT(CHAR(9),8)&amp;"("""&amp;D9&amp;"""),"</f>
        <v xml:space="preserve">								("UnpackDoneColor"),</v>
      </c>
      <c r="V9" s="70" t="str">
        <f>REPT(CHAR(9),8)&amp;"_ =&gt; _."&amp;D9&amp;","</f>
        <v xml:space="preserve">								_ =&gt; _.UnpackDoneColor,</v>
      </c>
      <c r="W9" s="69" t="str">
        <f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.WhereIf(!string.IsNullOrWhiteSpace(input.UnpackDoneColor), e =&gt; e.UnpackDoneColor.Contains(input.UnpackDoneColor))</v>
      </c>
    </row>
    <row r="10" spans="1:23" customFormat="1" ht="21" customHeight="1" x14ac:dyDescent="0.25">
      <c r="A10" t="s">
        <v>306</v>
      </c>
      <c r="B10" t="s">
        <v>303</v>
      </c>
      <c r="C10" t="s">
        <v>1</v>
      </c>
      <c r="D10" t="str">
        <f t="shared" ref="D10:D11" si="5">SUBSTITUTE(PROPER(A10),"_","")</f>
        <v>NeedToUnpackColor</v>
      </c>
      <c r="E10" t="str">
        <f t="shared" si="0"/>
        <v>varchar</v>
      </c>
      <c r="F10" s="7"/>
      <c r="G10" t="str">
        <f t="shared" si="1"/>
        <v>50</v>
      </c>
      <c r="H10" t="str">
        <f>+VLOOKUP(E10,'Data Type Mapping'!A:B,2,)</f>
        <v>string</v>
      </c>
      <c r="I10" t="str">
        <f t="shared" si="2"/>
        <v xml:space="preserve">		public const int MaxNeedToUnpackColorLength = 50;
</v>
      </c>
      <c r="J10" t="str">
        <f t="shared" si="3"/>
        <v xml:space="preserve">		[StringLength(MaxNeedToUnpackColorLength)]
		public virtual string NeedToUnpackColor { get; set; }
</v>
      </c>
      <c r="K10" s="7"/>
      <c r="L10" t="str">
        <f t="shared" ref="L10:L11" si="6">IF(K10="","",REPT(CHAR(9),1)&amp;"[Index(nameof("&amp;IF(D10="","",""&amp;D10)&amp;")"&amp;", Name="&amp;"""IX_"&amp;$B$7&amp;"_"&amp;D10&amp;""")]")</f>
        <v/>
      </c>
      <c r="M10" t="str">
        <f t="shared" ref="M10:M12" si="7">REPT(CHAR(9),2)&amp;"public virtual "&amp;IF(OR(H10="DateTime",H10="TimeSpan"),H10&amp;"?",H10)&amp;IF(C10="?","? "," ")&amp;D10&amp;" { get; set; }" &amp; "
"</f>
        <v xml:space="preserve">		public virtual string NeedToUnpackColor { get; set; }
</v>
      </c>
      <c r="N10" t="str">
        <f t="shared" ref="N10:N12" si="8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[StringLength(MstLgwScreenConfigConsts.MaxNeedToUnpackColorLength)]
		public virtual string NeedToUnpackColor { get; set; }
</v>
      </c>
      <c r="O10" t="str">
        <f t="shared" ref="O10:O12" si="9">IF(OR(H10="string",H10="DateTime",H10="int"),REPT(CHAR(9),2)&amp;"public virtual "&amp;IF(OR(H10="DateTime",H10="TimeSpan"),H10&amp;"?",H10)&amp;IF(C10="?","? "," ")&amp;D10&amp;" { get; set; }"&amp;$E$3,"")</f>
        <v xml:space="preserve">		public virtual string NeedToUnpackColor { get; set; }
</v>
      </c>
      <c r="P10" t="str">
        <f t="shared" si="4"/>
        <v xml:space="preserve">							NeedToUnpackColor = o.NeedToUnpackColor,</v>
      </c>
      <c r="T10" s="69" t="str">
        <f t="shared" ref="T10:T12" si="10">REPT(CHAR(9),8)&amp;"("""&amp;D10&amp;"""),"</f>
        <v xml:space="preserve">								("NeedToUnpackColor"),</v>
      </c>
      <c r="V10" s="70" t="str">
        <f t="shared" ref="V10:V12" si="11">REPT(CHAR(9),8)&amp;"_ =&gt; _."&amp;D10&amp;","</f>
        <v xml:space="preserve">								_ =&gt; _.NeedToUnpackColor,</v>
      </c>
      <c r="W10" s="69" t="str">
        <f t="shared" ref="W10:W12" si="12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.WhereIf(!string.IsNullOrWhiteSpace(input.NeedToUnpackColor), e =&gt; e.NeedToUnpackColor.Contains(input.NeedToUnpackColor))</v>
      </c>
    </row>
    <row r="11" spans="1:23" customFormat="1" ht="18.75" customHeight="1" x14ac:dyDescent="0.25">
      <c r="A11" t="s">
        <v>307</v>
      </c>
      <c r="B11" t="s">
        <v>22</v>
      </c>
      <c r="C11" t="s">
        <v>1</v>
      </c>
      <c r="D11" t="str">
        <f t="shared" si="5"/>
        <v>NeedToUnpackFlash</v>
      </c>
      <c r="E11" t="str">
        <f t="shared" si="0"/>
        <v>bit</v>
      </c>
      <c r="F11" s="7"/>
      <c r="G11" t="str">
        <f t="shared" si="1"/>
        <v/>
      </c>
      <c r="H11" t="str">
        <f>+VLOOKUP(E11,'Data Type Mapping'!A:B,2,)</f>
        <v>bool</v>
      </c>
      <c r="I11" t="str">
        <f t="shared" si="2"/>
        <v/>
      </c>
      <c r="J11" t="str">
        <f t="shared" si="3"/>
        <v xml:space="preserve">		public virtual bool NeedToUnpackFlash { get; set; }
</v>
      </c>
      <c r="K11" s="7"/>
      <c r="L11" t="str">
        <f t="shared" si="6"/>
        <v/>
      </c>
      <c r="M11" t="str">
        <f t="shared" si="7"/>
        <v xml:space="preserve">		public virtual bool NeedToUnpackFlash { get; set; }
</v>
      </c>
      <c r="N11" t="str">
        <f t="shared" si="8"/>
        <v xml:space="preserve">		public virtual bool NeedToUnpackFlash { get; set; }
</v>
      </c>
      <c r="O11" t="str">
        <f t="shared" si="9"/>
        <v/>
      </c>
      <c r="P11" t="str">
        <f t="shared" si="4"/>
        <v xml:space="preserve">							NeedToUnpackFlash = o.NeedToUnpackFlash,</v>
      </c>
      <c r="T11" s="69" t="str">
        <f t="shared" si="10"/>
        <v xml:space="preserve">								("NeedToUnpackFlash"),</v>
      </c>
      <c r="V11" s="70" t="str">
        <f t="shared" si="11"/>
        <v xml:space="preserve">								_ =&gt; _.NeedToUnpackFlash,</v>
      </c>
      <c r="W11" s="69" t="str">
        <f t="shared" si="12"/>
        <v/>
      </c>
    </row>
    <row r="12" spans="1:23" customFormat="1" ht="21" customHeight="1" x14ac:dyDescent="0.25">
      <c r="A12" t="s">
        <v>308</v>
      </c>
      <c r="B12" t="s">
        <v>303</v>
      </c>
      <c r="C12" t="s">
        <v>1</v>
      </c>
      <c r="D12" t="str">
        <f t="shared" ref="D12" si="13">SUBSTITUTE(PROPER(A12),"_","")</f>
        <v>ConfirmFlagColor</v>
      </c>
      <c r="E12" t="str">
        <f t="shared" ref="E12" si="14">IFERROR(LEFT(B12, FIND("(",B12)-1),B12)</f>
        <v>varchar</v>
      </c>
      <c r="F12" s="7"/>
      <c r="G12" t="str">
        <f t="shared" ref="G12" si="15">IFERROR(MID(B12,FIND("(",B12) +1, FIND(")",B12) - FIND("(",B12) - 1),"")</f>
        <v>50</v>
      </c>
      <c r="H12" t="str">
        <f>+VLOOKUP(E12,'Data Type Mapping'!A:B,2,)</f>
        <v>string</v>
      </c>
      <c r="I12" t="str">
        <f t="shared" ref="I12" si="16">IF(H12="string",REPT(CHAR(9),2)&amp;"public const int Max"&amp;D12&amp;"Length = "&amp;G12&amp;";"&amp;$E$3,"" )</f>
        <v xml:space="preserve">		public const int MaxConfirmFlagColorLength = 50;
</v>
      </c>
      <c r="J12" t="str">
        <f t="shared" ref="J12" si="17">IF(F12="","",REPT(CHAR(9),2)&amp;"[Column(TypeName="""&amp;F12&amp;""")]"&amp;$E$3)&amp;IF(C12="Checked","",$I$3)&amp;IF(H12="string",REPT(CHAR(9),2)&amp;"[StringLength(Max"&amp;D12&amp;"Length"&amp;")]"&amp;$E$3,"")&amp;REPT(CHAR(9),2)&amp;"public virtual "&amp;H12&amp;IF(C12="?","? "," ")&amp;D12&amp;" { get; set; }" &amp; "
"</f>
        <v xml:space="preserve">		[StringLength(MaxConfirmFlagColorLength)]
		public virtual string ConfirmFlagColor { get; set; }
</v>
      </c>
      <c r="K12" s="7"/>
      <c r="L12" t="str">
        <f t="shared" ref="L12" si="18">IF(K12="","",REPT(CHAR(9),1)&amp;"[Index(nameof("&amp;IF(D12="","",""&amp;D12)&amp;")"&amp;", Name="&amp;"""IX_"&amp;$B$7&amp;"_"&amp;D12&amp;""")]")</f>
        <v/>
      </c>
      <c r="M12" t="str">
        <f t="shared" si="7"/>
        <v xml:space="preserve">		public virtual string ConfirmFlagColor { get; set; }
</v>
      </c>
      <c r="N12" t="str">
        <f t="shared" si="8"/>
        <v xml:space="preserve">		[StringLength(MstLgwScreenConfigConsts.MaxConfirmFlagColorLength)]
		public virtual string ConfirmFlagColor { get; set; }
</v>
      </c>
      <c r="O12" t="str">
        <f t="shared" si="9"/>
        <v xml:space="preserve">		public virtual string ConfirmFlagColor { get; set; }
</v>
      </c>
      <c r="P12" t="str">
        <f t="shared" ref="P12" si="19">REPT(CHAR(9),7)&amp;D12&amp;" = o." &amp;D12 &amp;","</f>
        <v xml:space="preserve">							ConfirmFlagColor = o.ConfirmFlagColor,</v>
      </c>
      <c r="T12" s="69" t="str">
        <f t="shared" si="10"/>
        <v xml:space="preserve">								("ConfirmFlagColor"),</v>
      </c>
      <c r="V12" s="70" t="str">
        <f t="shared" si="11"/>
        <v xml:space="preserve">								_ =&gt; _.ConfirmFlagColor,</v>
      </c>
      <c r="W12" s="69" t="str">
        <f t="shared" si="12"/>
        <v xml:space="preserve">				.WhereIf(!string.IsNullOrWhiteSpace(input.ConfirmFlagColor), e =&gt; e.ConfirmFlagColor.Contains(input.ConfirmFlagColor))</v>
      </c>
    </row>
    <row r="13" spans="1:23" customFormat="1" ht="22.5" customHeight="1" x14ac:dyDescent="0.25">
      <c r="A13" t="s">
        <v>309</v>
      </c>
      <c r="B13" t="s">
        <v>310</v>
      </c>
      <c r="C13" t="s">
        <v>1</v>
      </c>
      <c r="D13" t="str">
        <f>SUBSTITUTE(PROPER(A13),"_","")</f>
        <v>ConfirmFlagSound</v>
      </c>
      <c r="E13" t="str">
        <f t="shared" ref="E13:E33" si="20">IFERROR(LEFT(B13, FIND("(",B13)-1),B13)</f>
        <v>nvarchar</v>
      </c>
      <c r="F13" s="7"/>
      <c r="G13" t="str">
        <f t="shared" ref="G13:G33" si="21">IFERROR(MID(B13,FIND("(",B13) +1, FIND(")",B13) - FIND("(",B13) - 1),"")</f>
        <v>200</v>
      </c>
      <c r="H13" t="str">
        <f>+VLOOKUP(E13,'Data Type Mapping'!A:B,2,)</f>
        <v>string</v>
      </c>
      <c r="I13" t="str">
        <f t="shared" ref="I13:I33" si="22">IF(H13="string",REPT(CHAR(9),2)&amp;"public const int Max"&amp;D13&amp;"Length = "&amp;G13&amp;";"&amp;$E$3,"" )</f>
        <v xml:space="preserve">		public const int MaxConfirmFlagSoundLength = 200;
</v>
      </c>
      <c r="J13" t="str">
        <f t="shared" ref="J13:J33" si="23">IF(F13="","",REPT(CHAR(9),2)&amp;"[Column(TypeName="""&amp;F13&amp;""")]"&amp;$E$3)&amp;IF(C13="Checked","",$I$3)&amp;IF(H13="string",REPT(CHAR(9),2)&amp;"[StringLength(Max"&amp;D13&amp;"Length"&amp;")]"&amp;$E$3,"")&amp;REPT(CHAR(9),2)&amp;"public virtual "&amp;H13&amp;IF(C13="?","? "," ")&amp;D13&amp;" { get; set; }" &amp; "
"</f>
        <v xml:space="preserve">		[StringLength(MaxConfirmFlagSoundLength)]
		public virtual string ConfirmFlagSound { get; set; }
</v>
      </c>
      <c r="K13" s="7"/>
      <c r="L13" t="str">
        <f>IF(K13="","",REPT(CHAR(9),1)&amp;"[Index(nameof("&amp;IF(D13="","",""&amp;D13)&amp;")"&amp;", Name="&amp;"""IX_"&amp;$B$7&amp;"_"&amp;D13&amp;""")]")</f>
        <v/>
      </c>
      <c r="M13" t="str">
        <f t="shared" ref="M13:M33" si="24">REPT(CHAR(9),2)&amp;"public virtual "&amp;IF(OR(H13="DateTime",H13="TimeSpan"),H13&amp;"?",H13)&amp;IF(C13="?","? "," ")&amp;D13&amp;" { get; set; }" &amp; "
"</f>
        <v xml:space="preserve">		public virtual string ConfirmFlagSound { get; set; }
</v>
      </c>
      <c r="N13" t="str">
        <f t="shared" ref="N13:N33" si="25">IF(C13="Checked","",$I$3)&amp;IF(H13="string",REPT(CHAR(9),2)&amp;"[StringLength("&amp;$B$3&amp;"Consts.Max"&amp;D13&amp;"Length"&amp;")]"&amp;$E$3,"")&amp;REPT(CHAR(9),2)&amp;"public virtual "&amp;IF(OR(H13="DateTime",H13="TimeSpan"),H13&amp;"?",H13)&amp;IF(C13="?","? "," ")&amp;D13&amp;" { get; set; }" &amp; "
"</f>
        <v xml:space="preserve">		[StringLength(MstLgwScreenConfigConsts.MaxConfirmFlagSoundLength)]
		public virtual string ConfirmFlagSound { get; set; }
</v>
      </c>
      <c r="O13" t="str">
        <f t="shared" ref="O13:O33" si="26">IF(OR(H13="string",H13="DateTime",H13="int"),REPT(CHAR(9),2)&amp;"public virtual "&amp;IF(OR(H13="DateTime",H13="TimeSpan"),H13&amp;"?",H13)&amp;IF(C13="?","? "," ")&amp;D13&amp;" { get; set; }"&amp;$E$3,"")</f>
        <v xml:space="preserve">		public virtual string ConfirmFlagSound { get; set; }
</v>
      </c>
      <c r="P13" t="str">
        <f t="shared" ref="P13:P33" si="27">REPT(CHAR(9),7)&amp;D13&amp;" = o." &amp;D13 &amp;","</f>
        <v xml:space="preserve">							ConfirmFlagSound = o.ConfirmFlagSound,</v>
      </c>
      <c r="T13" s="69" t="str">
        <f t="shared" ref="T13:T33" si="28">REPT(CHAR(9),8)&amp;"("""&amp;D13&amp;"""),"</f>
        <v xml:space="preserve">								("ConfirmFlagSound"),</v>
      </c>
      <c r="V13" s="70" t="str">
        <f t="shared" ref="V13:V33" si="29">REPT(CHAR(9),8)&amp;"_ =&gt; _."&amp;D13&amp;","</f>
        <v xml:space="preserve">								_ =&gt; _.ConfirmFlagSound,</v>
      </c>
      <c r="W13" s="69" t="str">
        <f t="shared" ref="W13:W33" si="30">IF(H13="string",REPT(CHAR(9),4)&amp;".WhereIf(!string.IsNullOrWhiteSpace(input."&amp;D13&amp;"), e =&gt; e."&amp;D13&amp;".Contains(input."&amp;D13&amp;"))",IF(H13="DateTime",REPT(CHAR(9),4)&amp;".WhereIf(input."&amp;D13&amp;".HasValue, t =&gt; t."&amp;D13&amp;" == input."&amp;D13&amp;".Value)",""))</f>
        <v xml:space="preserve">				.WhereIf(!string.IsNullOrWhiteSpace(input.ConfirmFlagSound), e =&gt; e.ConfirmFlagSound.Contains(input.ConfirmFlagSound))</v>
      </c>
    </row>
    <row r="14" spans="1:23" customFormat="1" ht="21" customHeight="1" x14ac:dyDescent="0.25">
      <c r="A14" t="s">
        <v>311</v>
      </c>
      <c r="B14" t="s">
        <v>4</v>
      </c>
      <c r="C14" t="s">
        <v>1</v>
      </c>
      <c r="D14" t="str">
        <f t="shared" ref="D14:D16" si="31">SUBSTITUTE(PROPER(A14),"_","")</f>
        <v>ConfirmFlagPlaytime</v>
      </c>
      <c r="E14" t="str">
        <f t="shared" si="20"/>
        <v>int</v>
      </c>
      <c r="F14" s="7"/>
      <c r="G14" t="str">
        <f t="shared" si="21"/>
        <v/>
      </c>
      <c r="H14" t="str">
        <f>+VLOOKUP(E14,'Data Type Mapping'!A:B,2,)</f>
        <v>int</v>
      </c>
      <c r="I14" t="str">
        <f t="shared" si="22"/>
        <v/>
      </c>
      <c r="J14" t="str">
        <f t="shared" si="23"/>
        <v xml:space="preserve">		public virtual int ConfirmFlagPlaytime { get; set; }
</v>
      </c>
      <c r="K14" s="7"/>
      <c r="L14" t="str">
        <f t="shared" ref="L14:L16" si="32">IF(K14="","",REPT(CHAR(9),1)&amp;"[Index(nameof("&amp;IF(D14="","",""&amp;D14)&amp;")"&amp;", Name="&amp;"""IX_"&amp;$B$7&amp;"_"&amp;D14&amp;""")]")</f>
        <v/>
      </c>
      <c r="M14" t="str">
        <f t="shared" si="24"/>
        <v xml:space="preserve">		public virtual int ConfirmFlagPlaytime { get; set; }
</v>
      </c>
      <c r="N14" t="str">
        <f t="shared" si="25"/>
        <v xml:space="preserve">		public virtual int ConfirmFlagPlaytime { get; set; }
</v>
      </c>
      <c r="O14" t="str">
        <f t="shared" si="26"/>
        <v xml:space="preserve">		public virtual int ConfirmFlagPlaytime { get; set; }
</v>
      </c>
      <c r="P14" t="str">
        <f t="shared" si="27"/>
        <v xml:space="preserve">							ConfirmFlagPlaytime = o.ConfirmFlagPlaytime,</v>
      </c>
      <c r="T14" s="69" t="str">
        <f t="shared" si="28"/>
        <v xml:space="preserve">								("ConfirmFlagPlaytime"),</v>
      </c>
      <c r="V14" s="70" t="str">
        <f t="shared" si="29"/>
        <v xml:space="preserve">								_ =&gt; _.ConfirmFlagPlaytime,</v>
      </c>
      <c r="W14" s="69" t="str">
        <f t="shared" si="30"/>
        <v/>
      </c>
    </row>
    <row r="15" spans="1:23" customFormat="1" ht="18.75" customHeight="1" x14ac:dyDescent="0.25">
      <c r="A15" t="s">
        <v>312</v>
      </c>
      <c r="B15" t="s">
        <v>22</v>
      </c>
      <c r="C15" t="s">
        <v>1</v>
      </c>
      <c r="D15" t="str">
        <f t="shared" ref="D15" si="33">SUBSTITUTE(PROPER(A15),"_","")</f>
        <v>ConfirmFlagFlash</v>
      </c>
      <c r="E15" t="str">
        <f t="shared" ref="E15" si="34">IFERROR(LEFT(B15, FIND("(",B15)-1),B15)</f>
        <v>bit</v>
      </c>
      <c r="F15" s="7" t="s">
        <v>22</v>
      </c>
      <c r="G15" t="str">
        <f t="shared" ref="G15" si="35">IFERROR(MID(B15,FIND("(",B15) +1, FIND(")",B15) - FIND("(",B15) - 1),"")</f>
        <v/>
      </c>
      <c r="H15" t="str">
        <f>+VLOOKUP(E15,'Data Type Mapping'!A:B,2,)</f>
        <v>bool</v>
      </c>
      <c r="I15" t="str">
        <f t="shared" ref="I15" si="36">IF(H15="string",REPT(CHAR(9),2)&amp;"public const int Max"&amp;D15&amp;"Length = "&amp;G15&amp;";"&amp;$E$3,"" )</f>
        <v/>
      </c>
      <c r="J15" t="str">
        <f t="shared" ref="J15" si="37">IF(F15="","",REPT(CHAR(9),2)&amp;"[Column(TypeName="""&amp;F15&amp;""")]"&amp;$E$3)&amp;IF(C15="Checked","",$I$3)&amp;IF(H15="string",REPT(CHAR(9),2)&amp;"[StringLength(Max"&amp;D15&amp;"Length"&amp;")]"&amp;$E$3,"")&amp;REPT(CHAR(9),2)&amp;"public virtual "&amp;H15&amp;IF(C15="?","? "," ")&amp;D15&amp;" { get; set; }" &amp; "
"</f>
        <v xml:space="preserve">		[Column(TypeName="bit")]
		public virtual bool ConfirmFlagFlash { get; set; }
</v>
      </c>
      <c r="K15" s="7"/>
      <c r="L15" t="str">
        <f t="shared" ref="L15" si="38">IF(K15="","",REPT(CHAR(9),1)&amp;"[Index(nameof("&amp;IF(D15="","",""&amp;D15)&amp;")"&amp;", Name="&amp;"""IX_"&amp;$B$7&amp;"_"&amp;D15&amp;""")]")</f>
        <v/>
      </c>
      <c r="M15" t="str">
        <f t="shared" ref="M15" si="39">REPT(CHAR(9),2)&amp;"public virtual "&amp;IF(OR(H15="DateTime",H15="TimeSpan"),H15&amp;"?",H15)&amp;IF(C15="?","? "," ")&amp;D15&amp;" { get; set; }" &amp; "
"</f>
        <v xml:space="preserve">		public virtual bool ConfirmFlagFlash { get; set; }
</v>
      </c>
      <c r="N15" t="str">
        <f t="shared" ref="N15" si="40">IF(C15="Checked","",$I$3)&amp;IF(H15="string",REPT(CHAR(9),2)&amp;"[StringLength("&amp;$B$3&amp;"Consts.Max"&amp;D15&amp;"Length"&amp;")]"&amp;$E$3,"")&amp;REPT(CHAR(9),2)&amp;"public virtual "&amp;IF(OR(H15="DateTime",H15="TimeSpan"),H15&amp;"?",H15)&amp;IF(C15="?","? "," ")&amp;D15&amp;" { get; set; }" &amp; "
"</f>
        <v xml:space="preserve">		public virtual bool ConfirmFlagFlash { get; set; }
</v>
      </c>
      <c r="O15" t="str">
        <f t="shared" ref="O15" si="41">IF(OR(H15="string",H15="DateTime",H15="int"),REPT(CHAR(9),2)&amp;"public virtual "&amp;IF(OR(H15="DateTime",H15="TimeSpan"),H15&amp;"?",H15)&amp;IF(C15="?","? "," ")&amp;D15&amp;" { get; set; }"&amp;$E$3,"")</f>
        <v/>
      </c>
      <c r="P15" t="str">
        <f t="shared" ref="P15" si="42">REPT(CHAR(9),7)&amp;D15&amp;" = o." &amp;D15 &amp;","</f>
        <v xml:space="preserve">							ConfirmFlagFlash = o.ConfirmFlagFlash,</v>
      </c>
      <c r="T15" s="69" t="str">
        <f t="shared" ref="T15" si="43">REPT(CHAR(9),8)&amp;"("""&amp;D15&amp;"""),"</f>
        <v xml:space="preserve">								("ConfirmFlagFlash"),</v>
      </c>
      <c r="V15" s="70" t="str">
        <f t="shared" ref="V15" si="44">REPT(CHAR(9),8)&amp;"_ =&gt; _."&amp;D15&amp;","</f>
        <v xml:space="preserve">								_ =&gt; _.ConfirmFlagFlash,</v>
      </c>
      <c r="W15" s="69" t="str">
        <f t="shared" ref="W15" si="45">IF(H15="string",REPT(CHAR(9),4)&amp;".WhereIf(!string.IsNullOrWhiteSpace(input."&amp;D15&amp;"), e =&gt; e."&amp;D15&amp;".Contains(input."&amp;D15&amp;"))",IF(H15="DateTime",REPT(CHAR(9),4)&amp;".WhereIf(input."&amp;D15&amp;".HasValue, t =&gt; t."&amp;D15&amp;" == input."&amp;D15&amp;".Value)",""))</f>
        <v/>
      </c>
    </row>
    <row r="16" spans="1:23" customFormat="1" ht="18.75" customHeight="1" x14ac:dyDescent="0.25">
      <c r="A16" t="s">
        <v>313</v>
      </c>
      <c r="B16" t="s">
        <v>303</v>
      </c>
      <c r="C16" t="s">
        <v>1</v>
      </c>
      <c r="D16" t="str">
        <f t="shared" si="31"/>
        <v>DelayUnpackColor</v>
      </c>
      <c r="E16" t="str">
        <f t="shared" si="20"/>
        <v>varchar</v>
      </c>
      <c r="F16" s="7"/>
      <c r="G16" t="str">
        <f t="shared" si="21"/>
        <v>50</v>
      </c>
      <c r="H16" t="str">
        <f>+VLOOKUP(E16,'Data Type Mapping'!A:B,2,)</f>
        <v>string</v>
      </c>
      <c r="I16" t="str">
        <f t="shared" si="22"/>
        <v xml:space="preserve">		public const int MaxDelayUnpackColorLength = 50;
</v>
      </c>
      <c r="J16" t="str">
        <f t="shared" si="23"/>
        <v xml:space="preserve">		[StringLength(MaxDelayUnpackColorLength)]
		public virtual string DelayUnpackColor { get; set; }
</v>
      </c>
      <c r="K16" s="7"/>
      <c r="L16" t="str">
        <f t="shared" si="32"/>
        <v/>
      </c>
      <c r="M16" t="str">
        <f t="shared" si="24"/>
        <v xml:space="preserve">		public virtual string DelayUnpackColor { get; set; }
</v>
      </c>
      <c r="N16" t="str">
        <f t="shared" si="25"/>
        <v xml:space="preserve">		[StringLength(MstLgwScreenConfigConsts.MaxDelayUnpackColorLength)]
		public virtual string DelayUnpackColor { get; set; }
</v>
      </c>
      <c r="O16" t="str">
        <f t="shared" si="26"/>
        <v xml:space="preserve">		public virtual string DelayUnpackColor { get; set; }
</v>
      </c>
      <c r="P16" t="str">
        <f t="shared" si="27"/>
        <v xml:space="preserve">							DelayUnpackColor = o.DelayUnpackColor,</v>
      </c>
      <c r="T16" s="69" t="str">
        <f t="shared" si="28"/>
        <v xml:space="preserve">								("DelayUnpackColor"),</v>
      </c>
      <c r="V16" s="70" t="str">
        <f t="shared" si="29"/>
        <v xml:space="preserve">								_ =&gt; _.DelayUnpackColor,</v>
      </c>
      <c r="W16" s="69" t="str">
        <f t="shared" si="30"/>
        <v xml:space="preserve">				.WhereIf(!string.IsNullOrWhiteSpace(input.DelayUnpackColor), e =&gt; e.DelayUnpackColor.Contains(input.DelayUnpackColor))</v>
      </c>
    </row>
    <row r="17" spans="1:23" customFormat="1" ht="22.5" customHeight="1" x14ac:dyDescent="0.25">
      <c r="A17" t="s">
        <v>314</v>
      </c>
      <c r="B17" t="s">
        <v>310</v>
      </c>
      <c r="C17" t="s">
        <v>1</v>
      </c>
      <c r="D17" t="str">
        <f>SUBSTITUTE(PROPER(A17),"_","")</f>
        <v>DelayUnpackSound</v>
      </c>
      <c r="E17" t="str">
        <f>IFERROR(LEFT(B17, FIND("(",B17)-1),B17)</f>
        <v>nvarchar</v>
      </c>
      <c r="F17" s="7"/>
      <c r="G17" t="str">
        <f>IFERROR(MID(B17,FIND("(",B17) +1, FIND(")",B17) - FIND("(",B17) - 1),"")</f>
        <v>200</v>
      </c>
      <c r="H17" t="str">
        <f>+VLOOKUP(E17,'Data Type Mapping'!A:B,2,)</f>
        <v>string</v>
      </c>
      <c r="I17" t="str">
        <f>IF(H17="string",REPT(CHAR(9),2)&amp;"public const int Max"&amp;D17&amp;"Length = "&amp;G17&amp;";"&amp;$E$3,"" )</f>
        <v xml:space="preserve">		public const int MaxDelayUnpackSoundLength = 200;
</v>
      </c>
      <c r="J17" t="str">
        <f>IF(F17="","",REPT(CHAR(9),2)&amp;"[Column(TypeName="""&amp;F17&amp;""")]"&amp;$E$3)&amp;IF(C17="Checked","",$I$3)&amp;IF(H17="string",REPT(CHAR(9),2)&amp;"[StringLength(Max"&amp;D17&amp;"Length"&amp;")]"&amp;$E$3,"")&amp;REPT(CHAR(9),2)&amp;"public virtual "&amp;H17&amp;IF(C17="?","? "," ")&amp;D17&amp;" { get; set; }" &amp; "
"</f>
        <v xml:space="preserve">		[StringLength(MaxDelayUnpackSoundLength)]
		public virtual string DelayUnpackSound { get; set; }
</v>
      </c>
      <c r="K17" s="7"/>
      <c r="L17" t="str">
        <f>IF(K17="","",REPT(CHAR(9),1)&amp;"[Index(nameof("&amp;IF(D17="","",""&amp;D17)&amp;")"&amp;", Name="&amp;"""IX_"&amp;$B$7&amp;"_"&amp;D17&amp;""")]")</f>
        <v/>
      </c>
      <c r="M17" t="str">
        <f>REPT(CHAR(9),2)&amp;"public virtual "&amp;IF(OR(H17="DateTime",H17="TimeSpan"),H17&amp;"?",H17)&amp;IF(C17="?","? "," ")&amp;D17&amp;" { get; set; }" &amp; "
"</f>
        <v xml:space="preserve">		public virtual string DelayUnpackSound { get; set; }
</v>
      </c>
      <c r="N17" t="str">
        <f>IF(C17="Checked","",$I$3)&amp;IF(H17="string",REPT(CHAR(9),2)&amp;"[StringLength("&amp;$B$3&amp;"Consts.Max"&amp;D17&amp;"Length"&amp;")]"&amp;$E$3,"")&amp;REPT(CHAR(9),2)&amp;"public virtual "&amp;IF(OR(H17="DateTime",H17="TimeSpan"),H17&amp;"?",H17)&amp;IF(C17="?","? "," ")&amp;D17&amp;" { get; set; }" &amp; "
"</f>
        <v xml:space="preserve">		[StringLength(MstLgwScreenConfigConsts.MaxDelayUnpackSoundLength)]
		public virtual string DelayUnpackSound { get; set; }
</v>
      </c>
      <c r="O17" t="str">
        <f>IF(OR(H17="string",H17="DateTime",H17="int"),REPT(CHAR(9),2)&amp;"public virtual "&amp;IF(OR(H17="DateTime",H17="TimeSpan"),H17&amp;"?",H17)&amp;IF(C17="?","? "," ")&amp;D17&amp;" { get; set; }"&amp;$E$3,"")</f>
        <v xml:space="preserve">		public virtual string DelayUnpackSound { get; set; }
</v>
      </c>
      <c r="P17" t="str">
        <f>REPT(CHAR(9),7)&amp;D17&amp;" = o." &amp;D17 &amp;","</f>
        <v xml:space="preserve">							DelayUnpackSound = o.DelayUnpackSound,</v>
      </c>
      <c r="T17" s="69" t="str">
        <f>REPT(CHAR(9),8)&amp;"("""&amp;D17&amp;"""),"</f>
        <v xml:space="preserve">								("DelayUnpackSound"),</v>
      </c>
      <c r="V17" s="70" t="str">
        <f>REPT(CHAR(9),8)&amp;"_ =&gt; _."&amp;D17&amp;","</f>
        <v xml:space="preserve">								_ =&gt; _.DelayUnpackSound,</v>
      </c>
      <c r="W17" s="69" t="str">
        <f>IF(H17="string",REPT(CHAR(9),4)&amp;".WhereIf(!string.IsNullOrWhiteSpace(input."&amp;D17&amp;"), e =&gt; e."&amp;D17&amp;".Contains(input."&amp;D17&amp;"))",IF(H17="DateTime",REPT(CHAR(9),4)&amp;".WhereIf(input."&amp;D17&amp;".HasValue, t =&gt; t."&amp;D17&amp;" == input."&amp;D17&amp;".Value)",""))</f>
        <v xml:space="preserve">				.WhereIf(!string.IsNullOrWhiteSpace(input.DelayUnpackSound), e =&gt; e.DelayUnpackSound.Contains(input.DelayUnpackSound))</v>
      </c>
    </row>
    <row r="18" spans="1:23" customFormat="1" ht="22.5" customHeight="1" x14ac:dyDescent="0.25">
      <c r="A18" t="s">
        <v>315</v>
      </c>
      <c r="B18" t="s">
        <v>4</v>
      </c>
      <c r="C18" t="s">
        <v>1</v>
      </c>
      <c r="D18" t="str">
        <f>SUBSTITUTE(PROPER(A18),"_","")</f>
        <v>DelayUnpackPlaytime</v>
      </c>
      <c r="E18" t="str">
        <f t="shared" ref="E18:E32" si="46">IFERROR(LEFT(B18, FIND("(",B18)-1),B18)</f>
        <v>int</v>
      </c>
      <c r="F18" s="7"/>
      <c r="G18" t="str">
        <f t="shared" ref="G18:G32" si="47">IFERROR(MID(B18,FIND("(",B18) +1, FIND(")",B18) - FIND("(",B18) - 1),"")</f>
        <v/>
      </c>
      <c r="H18" t="str">
        <f>+VLOOKUP(E18,'Data Type Mapping'!A:B,2,)</f>
        <v>int</v>
      </c>
      <c r="I18" t="str">
        <f t="shared" ref="I18:I32" si="48">IF(H18="string",REPT(CHAR(9),2)&amp;"public const int Max"&amp;D18&amp;"Length = "&amp;G18&amp;";"&amp;$E$3,"" )</f>
        <v/>
      </c>
      <c r="J18" t="str">
        <f t="shared" ref="J18:J32" si="49">IF(F18="","",REPT(CHAR(9),2)&amp;"[Column(TypeName="""&amp;F18&amp;""")]"&amp;$E$3)&amp;IF(C18="Checked","",$I$3)&amp;IF(H18="string",REPT(CHAR(9),2)&amp;"[StringLength(Max"&amp;D18&amp;"Length"&amp;")]"&amp;$E$3,"")&amp;REPT(CHAR(9),2)&amp;"public virtual "&amp;H18&amp;IF(C18="?","? "," ")&amp;D18&amp;" { get; set; }" &amp; "
"</f>
        <v xml:space="preserve">		public virtual int DelayUnpackPlaytime { get; set; }
</v>
      </c>
      <c r="K18" s="7"/>
      <c r="L18" t="str">
        <f>IF(K18="","",REPT(CHAR(9),1)&amp;"[Index(nameof("&amp;IF(D18="","",""&amp;D18)&amp;")"&amp;", Name="&amp;"""IX_"&amp;$B$7&amp;"_"&amp;D18&amp;""")]")</f>
        <v/>
      </c>
      <c r="M18" t="str">
        <f t="shared" ref="M18:M32" si="50">REPT(CHAR(9),2)&amp;"public virtual "&amp;IF(OR(H18="DateTime",H18="TimeSpan"),H18&amp;"?",H18)&amp;IF(C18="?","? "," ")&amp;D18&amp;" { get; set; }" &amp; "
"</f>
        <v xml:space="preserve">		public virtual int DelayUnpackPlaytime { get; set; }
</v>
      </c>
      <c r="N18" t="str">
        <f t="shared" ref="N18:N32" si="51">IF(C18="Checked","",$I$3)&amp;IF(H18="string",REPT(CHAR(9),2)&amp;"[StringLength("&amp;$B$3&amp;"Consts.Max"&amp;D18&amp;"Length"&amp;")]"&amp;$E$3,"")&amp;REPT(CHAR(9),2)&amp;"public virtual "&amp;IF(OR(H18="DateTime",H18="TimeSpan"),H18&amp;"?",H18)&amp;IF(C18="?","? "," ")&amp;D18&amp;" { get; set; }" &amp; "
"</f>
        <v xml:space="preserve">		public virtual int DelayUnpackPlaytime { get; set; }
</v>
      </c>
      <c r="O18" t="str">
        <f t="shared" ref="O18:O32" si="52">IF(OR(H18="string",H18="DateTime",H18="int"),REPT(CHAR(9),2)&amp;"public virtual "&amp;IF(OR(H18="DateTime",H18="TimeSpan"),H18&amp;"?",H18)&amp;IF(C18="?","? "," ")&amp;D18&amp;" { get; set; }"&amp;$E$3,"")</f>
        <v xml:space="preserve">		public virtual int DelayUnpackPlaytime { get; set; }
</v>
      </c>
      <c r="P18" t="str">
        <f t="shared" ref="P18:P32" si="53">REPT(CHAR(9),7)&amp;D18&amp;" = o." &amp;D18 &amp;","</f>
        <v xml:space="preserve">							DelayUnpackPlaytime = o.DelayUnpackPlaytime,</v>
      </c>
      <c r="T18" s="69" t="str">
        <f t="shared" ref="T18:T32" si="54">REPT(CHAR(9),8)&amp;"("""&amp;D18&amp;"""),"</f>
        <v xml:space="preserve">								("DelayUnpackPlaytime"),</v>
      </c>
      <c r="V18" s="70" t="str">
        <f t="shared" ref="V18:V32" si="55">REPT(CHAR(9),8)&amp;"_ =&gt; _."&amp;D18&amp;","</f>
        <v xml:space="preserve">								_ =&gt; _.DelayUnpackPlaytime,</v>
      </c>
      <c r="W18" s="69" t="str">
        <f t="shared" ref="W18:W32" si="56">IF(H18="string",REPT(CHAR(9),4)&amp;".WhereIf(!string.IsNullOrWhiteSpace(input."&amp;D18&amp;"), e =&gt; e."&amp;D18&amp;".Contains(input."&amp;D18&amp;"))",IF(H18="DateTime",REPT(CHAR(9),4)&amp;".WhereIf(input."&amp;D18&amp;".HasValue, t =&gt; t."&amp;D18&amp;" == input."&amp;D18&amp;".Value)",""))</f>
        <v/>
      </c>
    </row>
    <row r="19" spans="1:23" customFormat="1" ht="21" customHeight="1" x14ac:dyDescent="0.25">
      <c r="A19" t="s">
        <v>316</v>
      </c>
      <c r="B19" t="s">
        <v>22</v>
      </c>
      <c r="C19" t="s">
        <v>1</v>
      </c>
      <c r="D19" t="str">
        <f t="shared" ref="D19:D21" si="57">SUBSTITUTE(PROPER(A19),"_","")</f>
        <v>DelayUnpackFlash</v>
      </c>
      <c r="E19" t="str">
        <f t="shared" si="46"/>
        <v>bit</v>
      </c>
      <c r="F19" s="7" t="s">
        <v>22</v>
      </c>
      <c r="G19" t="str">
        <f t="shared" si="47"/>
        <v/>
      </c>
      <c r="H19" t="str">
        <f>+VLOOKUP(E19,'Data Type Mapping'!A:B,2,)</f>
        <v>bool</v>
      </c>
      <c r="I19" t="str">
        <f t="shared" si="48"/>
        <v/>
      </c>
      <c r="J19" t="str">
        <f t="shared" si="49"/>
        <v xml:space="preserve">		[Column(TypeName="bit")]
		public virtual bool DelayUnpackFlash { get; set; }
</v>
      </c>
      <c r="K19" s="7"/>
      <c r="L19" t="str">
        <f t="shared" ref="L19:L21" si="58">IF(K19="","",REPT(CHAR(9),1)&amp;"[Index(nameof("&amp;IF(D19="","",""&amp;D19)&amp;")"&amp;", Name="&amp;"""IX_"&amp;$B$7&amp;"_"&amp;D19&amp;""")]")</f>
        <v/>
      </c>
      <c r="M19" t="str">
        <f t="shared" si="50"/>
        <v xml:space="preserve">		public virtual bool DelayUnpackFlash { get; set; }
</v>
      </c>
      <c r="N19" t="str">
        <f t="shared" si="51"/>
        <v xml:space="preserve">		public virtual bool DelayUnpackFlash { get; set; }
</v>
      </c>
      <c r="O19" t="str">
        <f t="shared" si="52"/>
        <v/>
      </c>
      <c r="P19" t="str">
        <f t="shared" si="53"/>
        <v xml:space="preserve">							DelayUnpackFlash = o.DelayUnpackFlash,</v>
      </c>
      <c r="T19" s="69" t="str">
        <f t="shared" si="54"/>
        <v xml:space="preserve">								("DelayUnpackFlash"),</v>
      </c>
      <c r="V19" s="70" t="str">
        <f t="shared" si="55"/>
        <v xml:space="preserve">								_ =&gt; _.DelayUnpackFlash,</v>
      </c>
      <c r="W19" s="69" t="str">
        <f t="shared" si="56"/>
        <v/>
      </c>
    </row>
    <row r="20" spans="1:23" customFormat="1" ht="18.75" customHeight="1" x14ac:dyDescent="0.25">
      <c r="A20" t="s">
        <v>317</v>
      </c>
      <c r="B20" t="s">
        <v>303</v>
      </c>
      <c r="C20" t="s">
        <v>1</v>
      </c>
      <c r="D20" t="str">
        <f t="shared" ref="D20" si="59">SUBSTITUTE(PROPER(A20),"_","")</f>
        <v>CallLeaderColor</v>
      </c>
      <c r="E20" t="str">
        <f t="shared" ref="E20" si="60">IFERROR(LEFT(B20, FIND("(",B20)-1),B20)</f>
        <v>varchar</v>
      </c>
      <c r="F20" s="7"/>
      <c r="G20" t="str">
        <f t="shared" ref="G20" si="61">IFERROR(MID(B20,FIND("(",B20) +1, FIND(")",B20) - FIND("(",B20) - 1),"")</f>
        <v>50</v>
      </c>
      <c r="H20" t="str">
        <f>+VLOOKUP(E20,'Data Type Mapping'!A:B,2,)</f>
        <v>string</v>
      </c>
      <c r="I20" t="str">
        <f t="shared" ref="I20" si="62">IF(H20="string",REPT(CHAR(9),2)&amp;"public const int Max"&amp;D20&amp;"Length = "&amp;G20&amp;";"&amp;$E$3,"" )</f>
        <v xml:space="preserve">		public const int MaxCallLeaderColorLength = 50;
</v>
      </c>
      <c r="J20" t="str">
        <f t="shared" ref="J20" si="63">IF(F20="","",REPT(CHAR(9),2)&amp;"[Column(TypeName="""&amp;F20&amp;""")]"&amp;$E$3)&amp;IF(C20="Checked","",$I$3)&amp;IF(H20="string",REPT(CHAR(9),2)&amp;"[StringLength(Max"&amp;D20&amp;"Length"&amp;")]"&amp;$E$3,"")&amp;REPT(CHAR(9),2)&amp;"public virtual "&amp;H20&amp;IF(C20="?","? "," ")&amp;D20&amp;" { get; set; }" &amp; "
"</f>
        <v xml:space="preserve">		[StringLength(MaxCallLeaderColorLength)]
		public virtual string CallLeaderColor { get; set; }
</v>
      </c>
      <c r="K20" s="7"/>
      <c r="L20" t="str">
        <f t="shared" ref="L20" si="64">IF(K20="","",REPT(CHAR(9),1)&amp;"[Index(nameof("&amp;IF(D20="","",""&amp;D20)&amp;")"&amp;", Name="&amp;"""IX_"&amp;$B$7&amp;"_"&amp;D20&amp;""")]")</f>
        <v/>
      </c>
      <c r="M20" t="str">
        <f t="shared" ref="M20" si="65">REPT(CHAR(9),2)&amp;"public virtual "&amp;IF(OR(H20="DateTime",H20="TimeSpan"),H20&amp;"?",H20)&amp;IF(C20="?","? "," ")&amp;D20&amp;" { get; set; }" &amp; "
"</f>
        <v xml:space="preserve">		public virtual string CallLeaderColor { get; set; }
</v>
      </c>
      <c r="N20" t="str">
        <f t="shared" ref="N20" si="66">IF(C20="Checked","",$I$3)&amp;IF(H20="string",REPT(CHAR(9),2)&amp;"[StringLength("&amp;$B$3&amp;"Consts.Max"&amp;D20&amp;"Length"&amp;")]"&amp;$E$3,"")&amp;REPT(CHAR(9),2)&amp;"public virtual "&amp;IF(OR(H20="DateTime",H20="TimeSpan"),H20&amp;"?",H20)&amp;IF(C20="?","? "," ")&amp;D20&amp;" { get; set; }" &amp; "
"</f>
        <v xml:space="preserve">		[StringLength(MstLgwScreenConfigConsts.MaxCallLeaderColorLength)]
		public virtual string CallLeaderColor { get; set; }
</v>
      </c>
      <c r="O20" t="str">
        <f t="shared" ref="O20" si="67">IF(OR(H20="string",H20="DateTime",H20="int"),REPT(CHAR(9),2)&amp;"public virtual "&amp;IF(OR(H20="DateTime",H20="TimeSpan"),H20&amp;"?",H20)&amp;IF(C20="?","? "," ")&amp;D20&amp;" { get; set; }"&amp;$E$3,"")</f>
        <v xml:space="preserve">		public virtual string CallLeaderColor { get; set; }
</v>
      </c>
      <c r="P20" t="str">
        <f t="shared" ref="P20" si="68">REPT(CHAR(9),7)&amp;D20&amp;" = o." &amp;D20 &amp;","</f>
        <v xml:space="preserve">							CallLeaderColor = o.CallLeaderColor,</v>
      </c>
      <c r="T20" s="69" t="str">
        <f t="shared" ref="T20" si="69">REPT(CHAR(9),8)&amp;"("""&amp;D20&amp;"""),"</f>
        <v xml:space="preserve">								("CallLeaderColor"),</v>
      </c>
      <c r="V20" s="70" t="str">
        <f t="shared" ref="V20" si="70">REPT(CHAR(9),8)&amp;"_ =&gt; _."&amp;D20&amp;","</f>
        <v xml:space="preserve">								_ =&gt; _.CallLeaderColor,</v>
      </c>
      <c r="W20" s="69" t="str">
        <f t="shared" ref="W20" si="71">IF(H20="string",REPT(CHAR(9),4)&amp;".WhereIf(!string.IsNullOrWhiteSpace(input."&amp;D20&amp;"), e =&gt; e."&amp;D20&amp;".Contains(input."&amp;D20&amp;"))",IF(H20="DateTime",REPT(CHAR(9),4)&amp;".WhereIf(input."&amp;D20&amp;".HasValue, t =&gt; t."&amp;D20&amp;" == input."&amp;D20&amp;".Value)",""))</f>
        <v xml:space="preserve">				.WhereIf(!string.IsNullOrWhiteSpace(input.CallLeaderColor), e =&gt; e.CallLeaderColor.Contains(input.CallLeaderColor))</v>
      </c>
    </row>
    <row r="21" spans="1:23" customFormat="1" ht="18.75" customHeight="1" x14ac:dyDescent="0.25">
      <c r="A21" t="s">
        <v>318</v>
      </c>
      <c r="B21" t="s">
        <v>310</v>
      </c>
      <c r="C21" t="s">
        <v>1</v>
      </c>
      <c r="D21" t="str">
        <f t="shared" si="57"/>
        <v>CallLeaderSound</v>
      </c>
      <c r="E21" t="str">
        <f t="shared" si="46"/>
        <v>nvarchar</v>
      </c>
      <c r="F21" s="7"/>
      <c r="G21" t="str">
        <f t="shared" si="47"/>
        <v>200</v>
      </c>
      <c r="H21" t="str">
        <f>+VLOOKUP(E21,'Data Type Mapping'!A:B,2,)</f>
        <v>string</v>
      </c>
      <c r="I21" t="str">
        <f t="shared" si="48"/>
        <v xml:space="preserve">		public const int MaxCallLeaderSoundLength = 200;
</v>
      </c>
      <c r="J21" t="str">
        <f t="shared" si="49"/>
        <v xml:space="preserve">		[StringLength(MaxCallLeaderSoundLength)]
		public virtual string CallLeaderSound { get; set; }
</v>
      </c>
      <c r="K21" s="7"/>
      <c r="L21" t="str">
        <f t="shared" si="58"/>
        <v/>
      </c>
      <c r="M21" t="str">
        <f t="shared" si="50"/>
        <v xml:space="preserve">		public virtual string CallLeaderSound { get; set; }
</v>
      </c>
      <c r="N21" t="str">
        <f t="shared" si="51"/>
        <v xml:space="preserve">		[StringLength(MstLgwScreenConfigConsts.MaxCallLeaderSoundLength)]
		public virtual string CallLeaderSound { get; set; }
</v>
      </c>
      <c r="O21" t="str">
        <f t="shared" si="52"/>
        <v xml:space="preserve">		public virtual string CallLeaderSound { get; set; }
</v>
      </c>
      <c r="P21" t="str">
        <f t="shared" si="53"/>
        <v xml:space="preserve">							CallLeaderSound = o.CallLeaderSound,</v>
      </c>
      <c r="T21" s="69" t="str">
        <f t="shared" si="54"/>
        <v xml:space="preserve">								("CallLeaderSound"),</v>
      </c>
      <c r="V21" s="70" t="str">
        <f t="shared" si="55"/>
        <v xml:space="preserve">								_ =&gt; _.CallLeaderSound,</v>
      </c>
      <c r="W21" s="69" t="str">
        <f t="shared" si="56"/>
        <v xml:space="preserve">				.WhereIf(!string.IsNullOrWhiteSpace(input.CallLeaderSound), e =&gt; e.CallLeaderSound.Contains(input.CallLeaderSound))</v>
      </c>
    </row>
    <row r="22" spans="1:23" customFormat="1" ht="22.5" customHeight="1" x14ac:dyDescent="0.25">
      <c r="A22" t="s">
        <v>319</v>
      </c>
      <c r="B22" t="s">
        <v>4</v>
      </c>
      <c r="C22" t="s">
        <v>1</v>
      </c>
      <c r="D22" t="str">
        <f>SUBSTITUTE(PROPER(A22),"_","")</f>
        <v>CallLeaderPlaytime</v>
      </c>
      <c r="E22" t="str">
        <f t="shared" ref="E22:E24" si="72">IFERROR(LEFT(B22, FIND("(",B22)-1),B22)</f>
        <v>int</v>
      </c>
      <c r="F22" s="7"/>
      <c r="G22" t="str">
        <f t="shared" ref="G22:G24" si="73">IFERROR(MID(B22,FIND("(",B22) +1, FIND(")",B22) - FIND("(",B22) - 1),"")</f>
        <v/>
      </c>
      <c r="H22" t="str">
        <f>+VLOOKUP(E22,'Data Type Mapping'!A:B,2,)</f>
        <v>int</v>
      </c>
      <c r="I22" t="str">
        <f t="shared" ref="I22:I24" si="74">IF(H22="string",REPT(CHAR(9),2)&amp;"public const int Max"&amp;D22&amp;"Length = "&amp;G22&amp;";"&amp;$E$3,"" )</f>
        <v/>
      </c>
      <c r="J22" t="str">
        <f t="shared" ref="J22:J24" si="75">IF(F22="","",REPT(CHAR(9),2)&amp;"[Column(TypeName="""&amp;F22&amp;""")]"&amp;$E$3)&amp;IF(C22="Checked","",$I$3)&amp;IF(H22="string",REPT(CHAR(9),2)&amp;"[StringLength(Max"&amp;D22&amp;"Length"&amp;")]"&amp;$E$3,"")&amp;REPT(CHAR(9),2)&amp;"public virtual "&amp;H22&amp;IF(C22="?","? "," ")&amp;D22&amp;" { get; set; }" &amp; "
"</f>
        <v xml:space="preserve">		public virtual int CallLeaderPlaytime { get; set; }
</v>
      </c>
      <c r="K22" s="7"/>
      <c r="L22" t="str">
        <f>IF(K22="","",REPT(CHAR(9),1)&amp;"[Index(nameof("&amp;IF(D22="","",""&amp;D22)&amp;")"&amp;", Name="&amp;"""IX_"&amp;$B$7&amp;"_"&amp;D22&amp;""")]")</f>
        <v/>
      </c>
      <c r="M22" t="str">
        <f t="shared" ref="M22:M24" si="76">REPT(CHAR(9),2)&amp;"public virtual "&amp;IF(OR(H22="DateTime",H22="TimeSpan"),H22&amp;"?",H22)&amp;IF(C22="?","? "," ")&amp;D22&amp;" { get; set; }" &amp; "
"</f>
        <v xml:space="preserve">		public virtual int CallLeaderPlaytime { get; set; }
</v>
      </c>
      <c r="N22" t="str">
        <f t="shared" ref="N22:N24" si="77">IF(C22="Checked","",$I$3)&amp;IF(H22="string",REPT(CHAR(9),2)&amp;"[StringLength("&amp;$B$3&amp;"Consts.Max"&amp;D22&amp;"Length"&amp;")]"&amp;$E$3,"")&amp;REPT(CHAR(9),2)&amp;"public virtual "&amp;IF(OR(H22="DateTime",H22="TimeSpan"),H22&amp;"?",H22)&amp;IF(C22="?","? "," ")&amp;D22&amp;" { get; set; }" &amp; "
"</f>
        <v xml:space="preserve">		public virtual int CallLeaderPlaytime { get; set; }
</v>
      </c>
      <c r="O22" t="str">
        <f t="shared" ref="O22:O24" si="78">IF(OR(H22="string",H22="DateTime",H22="int"),REPT(CHAR(9),2)&amp;"public virtual "&amp;IF(OR(H22="DateTime",H22="TimeSpan"),H22&amp;"?",H22)&amp;IF(C22="?","? "," ")&amp;D22&amp;" { get; set; }"&amp;$E$3,"")</f>
        <v xml:space="preserve">		public virtual int CallLeaderPlaytime { get; set; }
</v>
      </c>
      <c r="P22" t="str">
        <f t="shared" ref="P22:P24" si="79">REPT(CHAR(9),7)&amp;D22&amp;" = o." &amp;D22 &amp;","</f>
        <v xml:space="preserve">							CallLeaderPlaytime = o.CallLeaderPlaytime,</v>
      </c>
      <c r="T22" s="69" t="str">
        <f t="shared" ref="T22:T24" si="80">REPT(CHAR(9),8)&amp;"("""&amp;D22&amp;"""),"</f>
        <v xml:space="preserve">								("CallLeaderPlaytime"),</v>
      </c>
      <c r="V22" s="70" t="str">
        <f t="shared" ref="V22:V24" si="81">REPT(CHAR(9),8)&amp;"_ =&gt; _."&amp;D22&amp;","</f>
        <v xml:space="preserve">								_ =&gt; _.CallLeaderPlaytime,</v>
      </c>
      <c r="W22" s="69" t="str">
        <f t="shared" ref="W22:W24" si="82">IF(H22="string",REPT(CHAR(9),4)&amp;".WhereIf(!string.IsNullOrWhiteSpace(input."&amp;D22&amp;"), e =&gt; e."&amp;D22&amp;".Contains(input."&amp;D22&amp;"))",IF(H22="DateTime",REPT(CHAR(9),4)&amp;".WhereIf(input."&amp;D22&amp;".HasValue, t =&gt; t."&amp;D22&amp;" == input."&amp;D22&amp;".Value)",""))</f>
        <v/>
      </c>
    </row>
    <row r="23" spans="1:23" customFormat="1" ht="22.5" customHeight="1" x14ac:dyDescent="0.25">
      <c r="A23" t="s">
        <v>320</v>
      </c>
      <c r="B23" t="s">
        <v>22</v>
      </c>
      <c r="C23" t="s">
        <v>1</v>
      </c>
      <c r="D23" t="str">
        <f>SUBSTITUTE(PROPER(A23),"_","")</f>
        <v>CallLeaderFlash</v>
      </c>
      <c r="E23" t="str">
        <f t="shared" si="72"/>
        <v>bit</v>
      </c>
      <c r="F23" s="7" t="s">
        <v>22</v>
      </c>
      <c r="G23" t="str">
        <f t="shared" si="73"/>
        <v/>
      </c>
      <c r="H23" t="str">
        <f>+VLOOKUP(E23,'Data Type Mapping'!A:B,2,)</f>
        <v>bool</v>
      </c>
      <c r="I23" t="str">
        <f t="shared" si="74"/>
        <v/>
      </c>
      <c r="J23" t="str">
        <f t="shared" si="75"/>
        <v xml:space="preserve">		[Column(TypeName="bit")]
		public virtual bool CallLeaderFlash { get; set; }
</v>
      </c>
      <c r="K23" s="7"/>
      <c r="L23" t="str">
        <f>IF(K23="","",REPT(CHAR(9),1)&amp;"[Index(nameof("&amp;IF(D23="","",""&amp;D23)&amp;")"&amp;", Name="&amp;"""IX_"&amp;$B$7&amp;"_"&amp;D23&amp;""")]")</f>
        <v/>
      </c>
      <c r="M23" t="str">
        <f t="shared" si="76"/>
        <v xml:space="preserve">		public virtual bool CallLeaderFlash { get; set; }
</v>
      </c>
      <c r="N23" t="str">
        <f t="shared" si="77"/>
        <v xml:space="preserve">		public virtual bool CallLeaderFlash { get; set; }
</v>
      </c>
      <c r="O23" t="str">
        <f t="shared" si="78"/>
        <v/>
      </c>
      <c r="P23" t="str">
        <f t="shared" si="79"/>
        <v xml:space="preserve">							CallLeaderFlash = o.CallLeaderFlash,</v>
      </c>
      <c r="T23" s="69" t="str">
        <f t="shared" si="80"/>
        <v xml:space="preserve">								("CallLeaderFlash"),</v>
      </c>
      <c r="V23" s="70" t="str">
        <f t="shared" si="81"/>
        <v xml:space="preserve">								_ =&gt; _.CallLeaderFlash,</v>
      </c>
      <c r="W23" s="69" t="str">
        <f t="shared" si="82"/>
        <v/>
      </c>
    </row>
    <row r="24" spans="1:23" customFormat="1" ht="22.5" customHeight="1" x14ac:dyDescent="0.25">
      <c r="A24" t="s">
        <v>321</v>
      </c>
      <c r="B24" t="s">
        <v>4</v>
      </c>
      <c r="C24" t="s">
        <v>1</v>
      </c>
      <c r="D24" t="str">
        <f>SUBSTITUTE(PROPER(A24),"_","")</f>
        <v>TotalColumnOldShift</v>
      </c>
      <c r="E24" t="str">
        <f>IFERROR(LEFT(B24, FIND("(",B24)-1),B24)</f>
        <v>int</v>
      </c>
      <c r="F24" s="7"/>
      <c r="G24" t="str">
        <f>IFERROR(MID(B24,FIND("(",B24) +1, FIND(")",B24) - FIND("(",B24) - 1),"")</f>
        <v/>
      </c>
      <c r="H24" t="str">
        <f>+VLOOKUP(E24,'Data Type Mapping'!A:B,2,)</f>
        <v>int</v>
      </c>
      <c r="I24" t="str">
        <f>IF(H24="string",REPT(CHAR(9),2)&amp;"public const int Max"&amp;D24&amp;"Length = "&amp;G24&amp;";"&amp;$E$3,"" )</f>
        <v/>
      </c>
      <c r="J24" t="str">
        <f>IF(F24="","",REPT(CHAR(9),2)&amp;"[Column(TypeName="""&amp;F24&amp;""")]"&amp;$E$3)&amp;IF(C24="Checked","",$I$3)&amp;IF(H24="string",REPT(CHAR(9),2)&amp;"[StringLength(Max"&amp;D24&amp;"Length"&amp;")]"&amp;$E$3,"")&amp;REPT(CHAR(9),2)&amp;"public virtual "&amp;H24&amp;IF(C24="?","? "," ")&amp;D24&amp;" { get; set; }" &amp; "
"</f>
        <v xml:space="preserve">		public virtual int TotalColumnOldShift { get; set; }
</v>
      </c>
      <c r="K24" s="7"/>
      <c r="L24" t="str">
        <f>IF(K24="","",REPT(CHAR(9),1)&amp;"[Index(nameof("&amp;IF(D24="","",""&amp;D24)&amp;")"&amp;", Name="&amp;"""IX_"&amp;$B$7&amp;"_"&amp;D24&amp;""")]")</f>
        <v/>
      </c>
      <c r="M24" t="str">
        <f>REPT(CHAR(9),2)&amp;"public virtual "&amp;IF(OR(H24="DateTime",H24="TimeSpan"),H24&amp;"?",H24)&amp;IF(C24="?","? "," ")&amp;D24&amp;" { get; set; }" &amp; "
"</f>
        <v xml:space="preserve">		public virtual int TotalColumnOldShift { get; set; }
</v>
      </c>
      <c r="N24" t="str">
        <f>IF(C24="Checked","",$I$3)&amp;IF(H24="string",REPT(CHAR(9),2)&amp;"[StringLength("&amp;$B$3&amp;"Consts.Max"&amp;D24&amp;"Length"&amp;")]"&amp;$E$3,"")&amp;REPT(CHAR(9),2)&amp;"public virtual "&amp;IF(OR(H24="DateTime",H24="TimeSpan"),H24&amp;"?",H24)&amp;IF(C24="?","? "," ")&amp;D24&amp;" { get; set; }" &amp; "
"</f>
        <v xml:space="preserve">		public virtual int TotalColumnOldShift { get; set; }
</v>
      </c>
      <c r="O24" t="str">
        <f>IF(OR(H24="string",H24="DateTime",H24="int"),REPT(CHAR(9),2)&amp;"public virtual "&amp;IF(OR(H24="DateTime",H24="TimeSpan"),H24&amp;"?",H24)&amp;IF(C24="?","? "," ")&amp;D24&amp;" { get; set; }"&amp;$E$3,"")</f>
        <v xml:space="preserve">		public virtual int TotalColumnOldShift { get; set; }
</v>
      </c>
      <c r="P24" t="str">
        <f>REPT(CHAR(9),7)&amp;D24&amp;" = o." &amp;D24 &amp;","</f>
        <v xml:space="preserve">							TotalColumnOldShift = o.TotalColumnOldShift,</v>
      </c>
      <c r="T24" s="69" t="str">
        <f>REPT(CHAR(9),8)&amp;"("""&amp;D24&amp;"""),"</f>
        <v xml:space="preserve">								("TotalColumnOldShift"),</v>
      </c>
      <c r="V24" s="70" t="str">
        <f>REPT(CHAR(9),8)&amp;"_ =&gt; _."&amp;D24&amp;","</f>
        <v xml:space="preserve">								_ =&gt; _.TotalColumnOldShift,</v>
      </c>
      <c r="W24" s="69" t="str">
        <f>IF(H24="string",REPT(CHAR(9),4)&amp;".WhereIf(!string.IsNullOrWhiteSpace(input."&amp;D24&amp;"), e =&gt; e."&amp;D24&amp;".Contains(input."&amp;D24&amp;"))",IF(H24="DateTime",REPT(CHAR(9),4)&amp;".WhereIf(input."&amp;D24&amp;".HasValue, t =&gt; t."&amp;D24&amp;" == input."&amp;D24&amp;".Value)",""))</f>
        <v/>
      </c>
    </row>
    <row r="25" spans="1:23" customFormat="1" ht="22.5" customHeight="1" x14ac:dyDescent="0.25">
      <c r="A25" t="s">
        <v>322</v>
      </c>
      <c r="B25" t="s">
        <v>4</v>
      </c>
      <c r="C25" t="s">
        <v>1</v>
      </c>
      <c r="D25" t="str">
        <f>SUBSTITUTE(PROPER(A25),"_","")</f>
        <v>TotalColumnSeqA1</v>
      </c>
      <c r="E25" t="str">
        <f t="shared" si="46"/>
        <v>int</v>
      </c>
      <c r="F25" s="7"/>
      <c r="G25" t="str">
        <f t="shared" si="47"/>
        <v/>
      </c>
      <c r="H25" t="str">
        <f>+VLOOKUP(E25,'Data Type Mapping'!A:B,2,)</f>
        <v>int</v>
      </c>
      <c r="I25" t="str">
        <f t="shared" si="48"/>
        <v/>
      </c>
      <c r="J25" t="str">
        <f t="shared" si="49"/>
        <v xml:space="preserve">		public virtual int TotalColumnSeqA1 { get; set; }
</v>
      </c>
      <c r="K25" s="7"/>
      <c r="L25" t="str">
        <f>IF(K25="","",REPT(CHAR(9),1)&amp;"[Index(nameof("&amp;IF(D25="","",""&amp;D25)&amp;")"&amp;", Name="&amp;"""IX_"&amp;$B$7&amp;"_"&amp;D25&amp;""")]")</f>
        <v/>
      </c>
      <c r="M25" t="str">
        <f t="shared" si="50"/>
        <v xml:space="preserve">		public virtual int TotalColumnSeqA1 { get; set; }
</v>
      </c>
      <c r="N25" t="str">
        <f t="shared" si="51"/>
        <v xml:space="preserve">		public virtual int TotalColumnSeqA1 { get; set; }
</v>
      </c>
      <c r="O25" t="str">
        <f t="shared" si="52"/>
        <v xml:space="preserve">		public virtual int TotalColumnSeqA1 { get; set; }
</v>
      </c>
      <c r="P25" t="str">
        <f t="shared" si="53"/>
        <v xml:space="preserve">							TotalColumnSeqA1 = o.TotalColumnSeqA1,</v>
      </c>
      <c r="T25" s="69" t="str">
        <f t="shared" si="54"/>
        <v xml:space="preserve">								("TotalColumnSeqA1"),</v>
      </c>
      <c r="V25" s="70" t="str">
        <f t="shared" si="55"/>
        <v xml:space="preserve">								_ =&gt; _.TotalColumnSeqA1,</v>
      </c>
      <c r="W25" s="69" t="str">
        <f t="shared" si="56"/>
        <v/>
      </c>
    </row>
    <row r="26" spans="1:23" customFormat="1" ht="22.5" customHeight="1" x14ac:dyDescent="0.25">
      <c r="A26" t="s">
        <v>323</v>
      </c>
      <c r="B26" t="s">
        <v>4</v>
      </c>
      <c r="C26" t="s">
        <v>1</v>
      </c>
      <c r="D26" t="str">
        <f>SUBSTITUTE(PROPER(A26),"_","")</f>
        <v>TotalColumnSeqA2</v>
      </c>
      <c r="E26" t="str">
        <f t="shared" si="46"/>
        <v>int</v>
      </c>
      <c r="F26" s="7"/>
      <c r="G26" t="str">
        <f t="shared" si="47"/>
        <v/>
      </c>
      <c r="H26" t="str">
        <f>+VLOOKUP(E26,'Data Type Mapping'!A:B,2,)</f>
        <v>int</v>
      </c>
      <c r="I26" t="str">
        <f t="shared" si="48"/>
        <v/>
      </c>
      <c r="J26" t="str">
        <f t="shared" si="49"/>
        <v xml:space="preserve">		public virtual int TotalColumnSeqA2 { get; set; }
</v>
      </c>
      <c r="K26" s="7"/>
      <c r="L26" t="str">
        <f>IF(K26="","",REPT(CHAR(9),1)&amp;"[Index(nameof("&amp;IF(D26="","",""&amp;D26)&amp;")"&amp;", Name="&amp;"""IX_"&amp;$B$7&amp;"_"&amp;D26&amp;""")]")</f>
        <v/>
      </c>
      <c r="M26" t="str">
        <f t="shared" si="50"/>
        <v xml:space="preserve">		public virtual int TotalColumnSeqA2 { get; set; }
</v>
      </c>
      <c r="N26" t="str">
        <f t="shared" si="51"/>
        <v xml:space="preserve">		public virtual int TotalColumnSeqA2 { get; set; }
</v>
      </c>
      <c r="O26" t="str">
        <f t="shared" si="52"/>
        <v xml:space="preserve">		public virtual int TotalColumnSeqA2 { get; set; }
</v>
      </c>
      <c r="P26" t="str">
        <f t="shared" si="53"/>
        <v xml:space="preserve">							TotalColumnSeqA2 = o.TotalColumnSeqA2,</v>
      </c>
      <c r="T26" s="69" t="str">
        <f t="shared" si="54"/>
        <v xml:space="preserve">								("TotalColumnSeqA2"),</v>
      </c>
      <c r="V26" s="70" t="str">
        <f t="shared" si="55"/>
        <v xml:space="preserve">								_ =&gt; _.TotalColumnSeqA2,</v>
      </c>
      <c r="W26" s="69" t="str">
        <f t="shared" si="56"/>
        <v/>
      </c>
    </row>
    <row r="27" spans="1:23" customFormat="1" ht="22.5" customHeight="1" x14ac:dyDescent="0.25">
      <c r="A27" t="s">
        <v>324</v>
      </c>
      <c r="B27" t="s">
        <v>303</v>
      </c>
      <c r="C27" t="s">
        <v>1</v>
      </c>
      <c r="D27" t="str">
        <f>SUBSTITUTE(PROPER(A27),"_","")</f>
        <v>BeforeTacktimeColor</v>
      </c>
      <c r="E27" t="str">
        <f>IFERROR(LEFT(B27, FIND("(",B27)-1),B27)</f>
        <v>varchar</v>
      </c>
      <c r="F27" s="7"/>
      <c r="G27" t="str">
        <f>IFERROR(MID(B27,FIND("(",B27) +1, FIND(")",B27) - FIND("(",B27) - 1),"")</f>
        <v>50</v>
      </c>
      <c r="H27" t="str">
        <f>+VLOOKUP(E27,'Data Type Mapping'!A:B,2,)</f>
        <v>string</v>
      </c>
      <c r="I27" t="str">
        <f>IF(H27="string",REPT(CHAR(9),2)&amp;"public const int Max"&amp;D27&amp;"Length = "&amp;G27&amp;";"&amp;$E$3,"" )</f>
        <v xml:space="preserve">		public const int MaxBeforeTacktimeColorLength = 50;
</v>
      </c>
      <c r="J27" t="str">
        <f>IF(F27="","",REPT(CHAR(9),2)&amp;"[Column(TypeName="""&amp;F27&amp;""")]"&amp;$E$3)&amp;IF(C27="Checked","",$I$3)&amp;IF(H27="string",REPT(CHAR(9),2)&amp;"[StringLength(Max"&amp;D27&amp;"Length"&amp;")]"&amp;$E$3,"")&amp;REPT(CHAR(9),2)&amp;"public virtual "&amp;H27&amp;IF(C27="?","? "," ")&amp;D27&amp;" { get; set; }" &amp; "
"</f>
        <v xml:space="preserve">		[StringLength(MaxBeforeTacktimeColorLength)]
		public virtual string BeforeTacktimeColor { get; set; }
</v>
      </c>
      <c r="K27" s="7"/>
      <c r="L27" t="str">
        <f>IF(K27="","",REPT(CHAR(9),1)&amp;"[Index(nameof("&amp;IF(D27="","",""&amp;D27)&amp;")"&amp;", Name="&amp;"""IX_"&amp;$B$7&amp;"_"&amp;D27&amp;""")]")</f>
        <v/>
      </c>
      <c r="M27" t="str">
        <f>REPT(CHAR(9),2)&amp;"public virtual "&amp;IF(OR(H27="DateTime",H27="TimeSpan"),H27&amp;"?",H27)&amp;IF(C27="?","? "," ")&amp;D27&amp;" { get; set; }" &amp; "
"</f>
        <v xml:space="preserve">		public virtual string BeforeTacktimeColor { get; set; }
</v>
      </c>
      <c r="N27" t="str">
        <f>IF(C27="Checked","",$I$3)&amp;IF(H27="string",REPT(CHAR(9),2)&amp;"[StringLength("&amp;$B$3&amp;"Consts.Max"&amp;D27&amp;"Length"&amp;")]"&amp;$E$3,"")&amp;REPT(CHAR(9),2)&amp;"public virtual "&amp;IF(OR(H27="DateTime",H27="TimeSpan"),H27&amp;"?",H27)&amp;IF(C27="?","? "," ")&amp;D27&amp;" { get; set; }" &amp; "
"</f>
        <v xml:space="preserve">		[StringLength(MstLgwScreenConfigConsts.MaxBeforeTacktimeColorLength)]
		public virtual string BeforeTacktimeColor { get; set; }
</v>
      </c>
      <c r="O27" t="str">
        <f>IF(OR(H27="string",H27="DateTime",H27="int"),REPT(CHAR(9),2)&amp;"public virtual "&amp;IF(OR(H27="DateTime",H27="TimeSpan"),H27&amp;"?",H27)&amp;IF(C27="?","? "," ")&amp;D27&amp;" { get; set; }"&amp;$E$3,"")</f>
        <v xml:space="preserve">		public virtual string BeforeTacktimeColor { get; set; }
</v>
      </c>
      <c r="P27" t="str">
        <f>REPT(CHAR(9),7)&amp;D27&amp;" = o." &amp;D27 &amp;","</f>
        <v xml:space="preserve">							BeforeTacktimeColor = o.BeforeTacktimeColor,</v>
      </c>
      <c r="T27" s="69" t="str">
        <f>REPT(CHAR(9),8)&amp;"("""&amp;D27&amp;"""),"</f>
        <v xml:space="preserve">								("BeforeTacktimeColor"),</v>
      </c>
      <c r="V27" s="70" t="str">
        <f>REPT(CHAR(9),8)&amp;"_ =&gt; _."&amp;D27&amp;","</f>
        <v xml:space="preserve">								_ =&gt; _.BeforeTacktimeColor,</v>
      </c>
      <c r="W27" s="69" t="str">
        <f>IF(H27="string",REPT(CHAR(9),4)&amp;".WhereIf(!string.IsNullOrWhiteSpace(input."&amp;D27&amp;"), e =&gt; e."&amp;D27&amp;".Contains(input."&amp;D27&amp;"))",IF(H27="DateTime",REPT(CHAR(9),4)&amp;".WhereIf(input."&amp;D27&amp;".HasValue, t =&gt; t."&amp;D27&amp;" == input."&amp;D27&amp;".Value)",""))</f>
        <v xml:space="preserve">				.WhereIf(!string.IsNullOrWhiteSpace(input.BeforeTacktimeColor), e =&gt; e.BeforeTacktimeColor.Contains(input.BeforeTacktimeColor))</v>
      </c>
    </row>
    <row r="28" spans="1:23" customFormat="1" ht="21" customHeight="1" x14ac:dyDescent="0.25">
      <c r="A28" t="s">
        <v>325</v>
      </c>
      <c r="B28" t="s">
        <v>310</v>
      </c>
      <c r="C28" t="s">
        <v>1</v>
      </c>
      <c r="D28" t="str">
        <f t="shared" ref="D28" si="83">SUBSTITUTE(PROPER(A28),"_","")</f>
        <v>BeforeTacktimeSound</v>
      </c>
      <c r="E28" t="str">
        <f t="shared" si="46"/>
        <v>nvarchar</v>
      </c>
      <c r="F28" s="7"/>
      <c r="G28" t="str">
        <f t="shared" si="47"/>
        <v>200</v>
      </c>
      <c r="H28" t="str">
        <f>+VLOOKUP(E28,'Data Type Mapping'!A:B,2,)</f>
        <v>string</v>
      </c>
      <c r="I28" t="str">
        <f t="shared" si="48"/>
        <v xml:space="preserve">		public const int MaxBeforeTacktimeSoundLength = 200;
</v>
      </c>
      <c r="J28" t="str">
        <f t="shared" si="49"/>
        <v xml:space="preserve">		[StringLength(MaxBeforeTacktimeSoundLength)]
		public virtual string BeforeTacktimeSound { get; set; }
</v>
      </c>
      <c r="K28" s="7"/>
      <c r="L28" t="str">
        <f t="shared" ref="L28" si="84">IF(K28="","",REPT(CHAR(9),1)&amp;"[Index(nameof("&amp;IF(D28="","",""&amp;D28)&amp;")"&amp;", Name="&amp;"""IX_"&amp;$B$7&amp;"_"&amp;D28&amp;""")]")</f>
        <v/>
      </c>
      <c r="M28" t="str">
        <f t="shared" si="50"/>
        <v xml:space="preserve">		public virtual string BeforeTacktimeSound { get; set; }
</v>
      </c>
      <c r="N28" t="str">
        <f t="shared" si="51"/>
        <v xml:space="preserve">		[StringLength(MstLgwScreenConfigConsts.MaxBeforeTacktimeSoundLength)]
		public virtual string BeforeTacktimeSound { get; set; }
</v>
      </c>
      <c r="O28" t="str">
        <f t="shared" si="52"/>
        <v xml:space="preserve">		public virtual string BeforeTacktimeSound { get; set; }
</v>
      </c>
      <c r="P28" t="str">
        <f t="shared" si="53"/>
        <v xml:space="preserve">							BeforeTacktimeSound = o.BeforeTacktimeSound,</v>
      </c>
      <c r="T28" s="69" t="str">
        <f t="shared" si="54"/>
        <v xml:space="preserve">								("BeforeTacktimeSound"),</v>
      </c>
      <c r="V28" s="70" t="str">
        <f t="shared" si="55"/>
        <v xml:space="preserve">								_ =&gt; _.BeforeTacktimeSound,</v>
      </c>
      <c r="W28" s="69" t="str">
        <f t="shared" si="56"/>
        <v xml:space="preserve">				.WhereIf(!string.IsNullOrWhiteSpace(input.BeforeTacktimeSound), e =&gt; e.BeforeTacktimeSound.Contains(input.BeforeTacktimeSound))</v>
      </c>
    </row>
    <row r="29" spans="1:23" customFormat="1" ht="22.5" customHeight="1" x14ac:dyDescent="0.25">
      <c r="A29" t="s">
        <v>326</v>
      </c>
      <c r="B29" t="s">
        <v>4</v>
      </c>
      <c r="C29" t="s">
        <v>1</v>
      </c>
      <c r="D29" t="str">
        <f>SUBSTITUTE(PROPER(A29),"_","")</f>
        <v>BeforeTacktimePlaytime</v>
      </c>
      <c r="E29" t="str">
        <f>IFERROR(LEFT(B29, FIND("(",B29)-1),B29)</f>
        <v>int</v>
      </c>
      <c r="F29" s="7"/>
      <c r="G29" t="str">
        <f>IFERROR(MID(B29,FIND("(",B29) +1, FIND(")",B29) - FIND("(",B29) - 1),"")</f>
        <v/>
      </c>
      <c r="H29" t="str">
        <f>+VLOOKUP(E29,'Data Type Mapping'!A:B,2,)</f>
        <v>int</v>
      </c>
      <c r="I29" t="str">
        <f>IF(H29="string",REPT(CHAR(9),2)&amp;"public const int Max"&amp;D29&amp;"Length = "&amp;G29&amp;";"&amp;$E$3,"" )</f>
        <v/>
      </c>
      <c r="J29" t="str">
        <f>IF(F29="","",REPT(CHAR(9),2)&amp;"[Column(TypeName="""&amp;F29&amp;""")]"&amp;$E$3)&amp;IF(C29="Checked","",$I$3)&amp;IF(H29="string",REPT(CHAR(9),2)&amp;"[StringLength(Max"&amp;D29&amp;"Length"&amp;")]"&amp;$E$3,"")&amp;REPT(CHAR(9),2)&amp;"public virtual "&amp;H29&amp;IF(C29="?","? "," ")&amp;D29&amp;" { get; set; }" &amp; "
"</f>
        <v xml:space="preserve">		public virtual int BeforeTacktimePlaytime { get; set; }
</v>
      </c>
      <c r="K29" s="7"/>
      <c r="L29" t="str">
        <f>IF(K29="","",REPT(CHAR(9),1)&amp;"[Index(nameof("&amp;IF(D29="","",""&amp;D29)&amp;")"&amp;", Name="&amp;"""IX_"&amp;$B$7&amp;"_"&amp;D29&amp;""")]")</f>
        <v/>
      </c>
      <c r="M29" t="str">
        <f>REPT(CHAR(9),2)&amp;"public virtual "&amp;IF(OR(H29="DateTime",H29="TimeSpan"),H29&amp;"?",H29)&amp;IF(C29="?","? "," ")&amp;D29&amp;" { get; set; }" &amp; "
"</f>
        <v xml:space="preserve">		public virtual int BeforeTacktimePlaytime { get; set; }
</v>
      </c>
      <c r="N29" t="str">
        <f>IF(C29="Checked","",$I$3)&amp;IF(H29="string",REPT(CHAR(9),2)&amp;"[StringLength("&amp;$B$3&amp;"Consts.Max"&amp;D29&amp;"Length"&amp;")]"&amp;$E$3,"")&amp;REPT(CHAR(9),2)&amp;"public virtual "&amp;IF(OR(H29="DateTime",H29="TimeSpan"),H29&amp;"?",H29)&amp;IF(C29="?","? "," ")&amp;D29&amp;" { get; set; }" &amp; "
"</f>
        <v xml:space="preserve">		public virtual int BeforeTacktimePlaytime { get; set; }
</v>
      </c>
      <c r="O29" t="str">
        <f>IF(OR(H29="string",H29="DateTime",H29="int"),REPT(CHAR(9),2)&amp;"public virtual "&amp;IF(OR(H29="DateTime",H29="TimeSpan"),H29&amp;"?",H29)&amp;IF(C29="?","? "," ")&amp;D29&amp;" { get; set; }"&amp;$E$3,"")</f>
        <v xml:space="preserve">		public virtual int BeforeTacktimePlaytime { get; set; }
</v>
      </c>
      <c r="P29" t="str">
        <f>REPT(CHAR(9),7)&amp;D29&amp;" = o." &amp;D29 &amp;","</f>
        <v xml:space="preserve">							BeforeTacktimePlaytime = o.BeforeTacktimePlaytime,</v>
      </c>
      <c r="T29" s="69" t="str">
        <f>REPT(CHAR(9),8)&amp;"("""&amp;D29&amp;"""),"</f>
        <v xml:space="preserve">								("BeforeTacktimePlaytime"),</v>
      </c>
      <c r="V29" s="70" t="str">
        <f>REPT(CHAR(9),8)&amp;"_ =&gt; _."&amp;D29&amp;","</f>
        <v xml:space="preserve">								_ =&gt; _.BeforeTacktimePlaytime,</v>
      </c>
      <c r="W29" s="69" t="str">
        <f>IF(H29="string",REPT(CHAR(9),4)&amp;".WhereIf(!string.IsNullOrWhiteSpace(input."&amp;D29&amp;"), e =&gt; e."&amp;D29&amp;".Contains(input."&amp;D29&amp;"))",IF(H29="DateTime",REPT(CHAR(9),4)&amp;".WhereIf(input."&amp;D29&amp;".HasValue, t =&gt; t."&amp;D29&amp;" == input."&amp;D29&amp;".Value)",""))</f>
        <v/>
      </c>
    </row>
    <row r="30" spans="1:23" customFormat="1" ht="21" customHeight="1" x14ac:dyDescent="0.25">
      <c r="A30" t="s">
        <v>327</v>
      </c>
      <c r="B30" t="s">
        <v>22</v>
      </c>
      <c r="C30" t="s">
        <v>1</v>
      </c>
      <c r="D30" t="str">
        <f t="shared" ref="D30" si="85">SUBSTITUTE(PROPER(A30),"_","")</f>
        <v>BeforeTacktimeFlash</v>
      </c>
      <c r="E30" t="str">
        <f>IFERROR(LEFT(B30, FIND("(",B30)-1),B30)</f>
        <v>bit</v>
      </c>
      <c r="F30" s="7" t="s">
        <v>22</v>
      </c>
      <c r="G30" t="str">
        <f>IFERROR(MID(B30,FIND("(",B30) +1, FIND(")",B30) - FIND("(",B30) - 1),"")</f>
        <v/>
      </c>
      <c r="H30" t="str">
        <f>+VLOOKUP(E30,'Data Type Mapping'!A:B,2,)</f>
        <v>bool</v>
      </c>
      <c r="I30" t="str">
        <f>IF(H30="string",REPT(CHAR(9),2)&amp;"public const int Max"&amp;D30&amp;"Length = "&amp;G30&amp;";"&amp;$E$3,"" )</f>
        <v/>
      </c>
      <c r="J30" t="str">
        <f>IF(F30="","",REPT(CHAR(9),2)&amp;"[Column(TypeName="""&amp;F30&amp;""")]"&amp;$E$3)&amp;IF(C30="Checked","",$I$3)&amp;IF(H30="string",REPT(CHAR(9),2)&amp;"[StringLength(Max"&amp;D30&amp;"Length"&amp;")]"&amp;$E$3,"")&amp;REPT(CHAR(9),2)&amp;"public virtual "&amp;H30&amp;IF(C30="?","? "," ")&amp;D30&amp;" { get; set; }" &amp; "
"</f>
        <v xml:space="preserve">		[Column(TypeName="bit")]
		public virtual bool BeforeTacktimeFlash { get; set; }
</v>
      </c>
      <c r="K30" s="7"/>
      <c r="L30" t="str">
        <f t="shared" ref="L30" si="86">IF(K30="","",REPT(CHAR(9),1)&amp;"[Index(nameof("&amp;IF(D30="","",""&amp;D30)&amp;")"&amp;", Name="&amp;"""IX_"&amp;$B$7&amp;"_"&amp;D30&amp;""")]")</f>
        <v/>
      </c>
      <c r="M30" t="str">
        <f>REPT(CHAR(9),2)&amp;"public virtual "&amp;IF(OR(H30="DateTime",H30="TimeSpan"),H30&amp;"?",H30)&amp;IF(C30="?","? "," ")&amp;D30&amp;" { get; set; }" &amp; "
"</f>
        <v xml:space="preserve">		public virtual bool BeforeTacktimeFlash { get; set; }
</v>
      </c>
      <c r="N30" t="str">
        <f>IF(C30="Checked","",$I$3)&amp;IF(H30="string",REPT(CHAR(9),2)&amp;"[StringLength("&amp;$B$3&amp;"Consts.Max"&amp;D30&amp;"Length"&amp;")]"&amp;$E$3,"")&amp;REPT(CHAR(9),2)&amp;"public virtual "&amp;IF(OR(H30="DateTime",H30="TimeSpan"),H30&amp;"?",H30)&amp;IF(C30="?","? "," ")&amp;D30&amp;" { get; set; }" &amp; "
"</f>
        <v xml:space="preserve">		public virtual bool BeforeTacktimeFlash { get; set; }
</v>
      </c>
      <c r="O30" t="str">
        <f>IF(OR(H30="string",H30="DateTime",H30="int"),REPT(CHAR(9),2)&amp;"public virtual "&amp;IF(OR(H30="DateTime",H30="TimeSpan"),H30&amp;"?",H30)&amp;IF(C30="?","? "," ")&amp;D30&amp;" { get; set; }"&amp;$E$3,"")</f>
        <v/>
      </c>
      <c r="P30" t="str">
        <f>REPT(CHAR(9),7)&amp;D30&amp;" = o." &amp;D30 &amp;","</f>
        <v xml:space="preserve">							BeforeTacktimeFlash = o.BeforeTacktimeFlash,</v>
      </c>
      <c r="T30" s="69" t="str">
        <f>REPT(CHAR(9),8)&amp;"("""&amp;D30&amp;"""),"</f>
        <v xml:space="preserve">								("BeforeTacktimeFlash"),</v>
      </c>
      <c r="V30" s="70" t="str">
        <f>REPT(CHAR(9),8)&amp;"_ =&gt; _."&amp;D30&amp;","</f>
        <v xml:space="preserve">								_ =&gt; _.BeforeTacktimeFlash,</v>
      </c>
      <c r="W30" s="69" t="str">
        <f>IF(H30="string",REPT(CHAR(9),4)&amp;".WhereIf(!string.IsNullOrWhiteSpace(input."&amp;D30&amp;"), e =&gt; e."&amp;D30&amp;".Contains(input."&amp;D30&amp;"))",IF(H30="DateTime",REPT(CHAR(9),4)&amp;".WhereIf(input."&amp;D30&amp;".HasValue, t =&gt; t."&amp;D30&amp;" == input."&amp;D30&amp;".Value)",""))</f>
        <v/>
      </c>
    </row>
    <row r="31" spans="1:23" customFormat="1" ht="22.5" customHeight="1" x14ac:dyDescent="0.25">
      <c r="A31" t="s">
        <v>328</v>
      </c>
      <c r="B31" t="s">
        <v>4</v>
      </c>
      <c r="C31" t="s">
        <v>1</v>
      </c>
      <c r="D31" t="str">
        <f>SUBSTITUTE(PROPER(A31),"_","")</f>
        <v>TackCaseA1</v>
      </c>
      <c r="E31" t="str">
        <f t="shared" ref="E31" si="87">IFERROR(LEFT(B31, FIND("(",B31)-1),B31)</f>
        <v>int</v>
      </c>
      <c r="F31" s="7"/>
      <c r="G31" t="str">
        <f t="shared" ref="G31" si="88">IFERROR(MID(B31,FIND("(",B31) +1, FIND(")",B31) - FIND("(",B31) - 1),"")</f>
        <v/>
      </c>
      <c r="H31" t="str">
        <f>+VLOOKUP(E31,'Data Type Mapping'!A:B,2,)</f>
        <v>int</v>
      </c>
      <c r="I31" t="str">
        <f t="shared" ref="I31" si="89">IF(H31="string",REPT(CHAR(9),2)&amp;"public const int Max"&amp;D31&amp;"Length = "&amp;G31&amp;";"&amp;$E$3,"" )</f>
        <v/>
      </c>
      <c r="J31" t="str">
        <f t="shared" ref="J31" si="90">IF(F31="","",REPT(CHAR(9),2)&amp;"[Column(TypeName="""&amp;F31&amp;""")]"&amp;$E$3)&amp;IF(C31="Checked","",$I$3)&amp;IF(H31="string",REPT(CHAR(9),2)&amp;"[StringLength(Max"&amp;D31&amp;"Length"&amp;")]"&amp;$E$3,"")&amp;REPT(CHAR(9),2)&amp;"public virtual "&amp;H31&amp;IF(C31="?","? "," ")&amp;D31&amp;" { get; set; }" &amp; "
"</f>
        <v xml:space="preserve">		public virtual int TackCaseA1 { get; set; }
</v>
      </c>
      <c r="K31" s="7"/>
      <c r="L31" t="str">
        <f>IF(K31="","",REPT(CHAR(9),1)&amp;"[Index(nameof("&amp;IF(D31="","",""&amp;D31)&amp;")"&amp;", Name="&amp;"""IX_"&amp;$B$7&amp;"_"&amp;D31&amp;""")]")</f>
        <v/>
      </c>
      <c r="M31" t="str">
        <f t="shared" ref="M31" si="91">REPT(CHAR(9),2)&amp;"public virtual "&amp;IF(OR(H31="DateTime",H31="TimeSpan"),H31&amp;"?",H31)&amp;IF(C31="?","? "," ")&amp;D31&amp;" { get; set; }" &amp; "
"</f>
        <v xml:space="preserve">		public virtual int TackCaseA1 { get; set; }
</v>
      </c>
      <c r="N31" t="str">
        <f t="shared" ref="N31" si="92">IF(C31="Checked","",$I$3)&amp;IF(H31="string",REPT(CHAR(9),2)&amp;"[StringLength("&amp;$B$3&amp;"Consts.Max"&amp;D31&amp;"Length"&amp;")]"&amp;$E$3,"")&amp;REPT(CHAR(9),2)&amp;"public virtual "&amp;IF(OR(H31="DateTime",H31="TimeSpan"),H31&amp;"?",H31)&amp;IF(C31="?","? "," ")&amp;D31&amp;" { get; set; }" &amp; "
"</f>
        <v xml:space="preserve">		public virtual int TackCaseA1 { get; set; }
</v>
      </c>
      <c r="O31" t="str">
        <f t="shared" ref="O31" si="93">IF(OR(H31="string",H31="DateTime",H31="int"),REPT(CHAR(9),2)&amp;"public virtual "&amp;IF(OR(H31="DateTime",H31="TimeSpan"),H31&amp;"?",H31)&amp;IF(C31="?","? "," ")&amp;D31&amp;" { get; set; }"&amp;$E$3,"")</f>
        <v xml:space="preserve">		public virtual int TackCaseA1 { get; set; }
</v>
      </c>
      <c r="P31" t="str">
        <f t="shared" ref="P31" si="94">REPT(CHAR(9),7)&amp;D31&amp;" = o." &amp;D31 &amp;","</f>
        <v xml:space="preserve">							TackCaseA1 = o.TackCaseA1,</v>
      </c>
      <c r="T31" s="69" t="str">
        <f t="shared" ref="T31" si="95">REPT(CHAR(9),8)&amp;"("""&amp;D31&amp;"""),"</f>
        <v xml:space="preserve">								("TackCaseA1"),</v>
      </c>
      <c r="V31" s="70" t="str">
        <f t="shared" ref="V31" si="96">REPT(CHAR(9),8)&amp;"_ =&gt; _."&amp;D31&amp;","</f>
        <v xml:space="preserve">								_ =&gt; _.TackCaseA1,</v>
      </c>
      <c r="W31" s="69" t="str">
        <f t="shared" ref="W31" si="97">IF(H31="string",REPT(CHAR(9),4)&amp;".WhereIf(!string.IsNullOrWhiteSpace(input."&amp;D31&amp;"), e =&gt; e."&amp;D31&amp;".Contains(input."&amp;D31&amp;"))",IF(H31="DateTime",REPT(CHAR(9),4)&amp;".WhereIf(input."&amp;D31&amp;".HasValue, t =&gt; t."&amp;D31&amp;" == input."&amp;D31&amp;".Value)",""))</f>
        <v/>
      </c>
    </row>
    <row r="32" spans="1:23" customFormat="1" ht="22.5" customHeight="1" x14ac:dyDescent="0.25">
      <c r="A32" t="s">
        <v>329</v>
      </c>
      <c r="B32" t="s">
        <v>4</v>
      </c>
      <c r="C32" t="s">
        <v>1</v>
      </c>
      <c r="D32" t="str">
        <f>SUBSTITUTE(PROPER(A32),"_","")</f>
        <v>TackCaseA2</v>
      </c>
      <c r="E32" t="str">
        <f t="shared" si="46"/>
        <v>int</v>
      </c>
      <c r="F32" s="7"/>
      <c r="G32" t="str">
        <f t="shared" si="47"/>
        <v/>
      </c>
      <c r="H32" t="str">
        <f>+VLOOKUP(E32,'Data Type Mapping'!A:B,2,)</f>
        <v>int</v>
      </c>
      <c r="I32" t="str">
        <f t="shared" si="48"/>
        <v/>
      </c>
      <c r="J32" t="str">
        <f t="shared" si="49"/>
        <v xml:space="preserve">		public virtual int TackCaseA2 { get; set; }
</v>
      </c>
      <c r="K32" s="7"/>
      <c r="L32" t="str">
        <f>IF(K32="","",REPT(CHAR(9),1)&amp;"[Index(nameof("&amp;IF(D32="","",""&amp;D32)&amp;")"&amp;", Name="&amp;"""IX_"&amp;$B$7&amp;"_"&amp;D32&amp;""")]")</f>
        <v/>
      </c>
      <c r="M32" t="str">
        <f t="shared" si="50"/>
        <v xml:space="preserve">		public virtual int TackCaseA2 { get; set; }
</v>
      </c>
      <c r="N32" t="str">
        <f t="shared" si="51"/>
        <v xml:space="preserve">		public virtual int TackCaseA2 { get; set; }
</v>
      </c>
      <c r="O32" t="str">
        <f t="shared" si="52"/>
        <v xml:space="preserve">		public virtual int TackCaseA2 { get; set; }
</v>
      </c>
      <c r="P32" t="str">
        <f t="shared" si="53"/>
        <v xml:space="preserve">							TackCaseA2 = o.TackCaseA2,</v>
      </c>
      <c r="T32" s="69" t="str">
        <f t="shared" si="54"/>
        <v xml:space="preserve">								("TackCaseA2"),</v>
      </c>
      <c r="V32" s="70" t="str">
        <f t="shared" si="55"/>
        <v xml:space="preserve">								_ =&gt; _.TackCaseA2,</v>
      </c>
      <c r="W32" s="69" t="str">
        <f t="shared" si="56"/>
        <v/>
      </c>
    </row>
    <row r="33" spans="1:23" customFormat="1" ht="21" customHeight="1" x14ac:dyDescent="0.25">
      <c r="A33" t="s">
        <v>301</v>
      </c>
      <c r="B33" t="s">
        <v>302</v>
      </c>
      <c r="C33" t="s">
        <v>1</v>
      </c>
      <c r="D33" t="str">
        <f t="shared" ref="D33" si="98">SUBSTITUTE(PROPER(A33),"_","")</f>
        <v>IsActive</v>
      </c>
      <c r="E33" t="str">
        <f t="shared" si="20"/>
        <v>varchar</v>
      </c>
      <c r="F33" s="7"/>
      <c r="G33" t="str">
        <f t="shared" si="21"/>
        <v>1</v>
      </c>
      <c r="H33" t="str">
        <f>+VLOOKUP(E33,'Data Type Mapping'!A:B,2,)</f>
        <v>string</v>
      </c>
      <c r="I33" t="str">
        <f t="shared" si="22"/>
        <v xml:space="preserve">		public const int MaxIsActiveLength = 1;
</v>
      </c>
      <c r="J33" t="str">
        <f t="shared" si="23"/>
        <v xml:space="preserve">		[StringLength(MaxIsActiveLength)]
		public virtual string IsActive { get; set; }
</v>
      </c>
      <c r="K33" s="7" t="s">
        <v>206</v>
      </c>
      <c r="L33" t="str">
        <f t="shared" ref="L33" si="99">IF(K33="","",REPT(CHAR(9),1)&amp;"[Index(nameof("&amp;IF(D33="","",""&amp;D33)&amp;")"&amp;", Name="&amp;"""IX_"&amp;$B$7&amp;"_"&amp;D33&amp;""")]")</f>
        <v xml:space="preserve">	[Index(nameof(IsActive), Name="IX_MstLgwScreenConfig_IsActive")]</v>
      </c>
      <c r="M33" t="str">
        <f t="shared" si="24"/>
        <v xml:space="preserve">		public virtual string IsActive { get; set; }
</v>
      </c>
      <c r="N33" t="str">
        <f t="shared" si="25"/>
        <v xml:space="preserve">		[StringLength(MstLgwScreenConfigConsts.MaxIsActiveLength)]
		public virtual string IsActive { get; set; }
</v>
      </c>
      <c r="O33" t="str">
        <f t="shared" si="26"/>
        <v xml:space="preserve">		public virtual string IsActive { get; set; }
</v>
      </c>
      <c r="P33" t="str">
        <f t="shared" si="27"/>
        <v xml:space="preserve">							IsActive = o.IsActive,</v>
      </c>
      <c r="T33" s="69" t="str">
        <f t="shared" si="28"/>
        <v xml:space="preserve">								("IsActive"),</v>
      </c>
      <c r="V33" s="70" t="str">
        <f t="shared" si="29"/>
        <v xml:space="preserve">								_ =&gt; _.IsActive,</v>
      </c>
      <c r="W33" s="69" t="str">
        <f t="shared" si="30"/>
        <v xml:space="preserve">				.WhereIf(!string.IsNullOrWhiteSpace(input.IsActive), e =&gt; e.IsActive.Contains(input.IsActive))</v>
      </c>
    </row>
    <row r="35" spans="1:23" ht="45.75" customHeight="1" x14ac:dyDescent="0.25">
      <c r="H35" s="12"/>
      <c r="I35" s="34" t="str">
        <f ca="1">TEXTJOIN2("
", TRUE,INDIRECT( $H$1):INDIRECT( $H$3))</f>
        <v xml:space="preserve">		public const int MaxUnpackDoneColorLength = 50;
		public const int MaxNeedToUnpackColorLength = 50;
		public const int MaxConfirmFlagColorLength = 50;
		public const int MaxConfirmFlagSoundLength = 200;
		public const int MaxDelayUnpackColorLength = 50;
		public const int MaxDelayUnpackSoundLength = 200;
		public const int MaxCallLeaderColorLength = 50;
		public const int MaxCallLeaderSoundLength = 200;
		public const int MaxBeforeTacktimeColorLength = 50;
		public const int MaxBeforeTacktimeSoundLength = 200;
		public const int MaxIsActiveLength = 1;
</v>
      </c>
      <c r="J35" s="33" t="str">
        <f ca="1">TEXTJOIN2("
", TRUE,INDIRECT( $F$1):INDIRECT( $F$3))</f>
        <v xml:space="preserve">		[StringLength(MaxUnpackDoneColorLength)]
		public virtual string UnpackDoneColor { get; set; }
		[StringLength(MaxNeedToUnpackColorLength)]
		public virtual string NeedToUnpackColor { get; set; }
		public virtual bool NeedToUnpackFlash { get; set; }
		[StringLength(MaxConfirmFlagColorLength)]
		public virtual string ConfirmFlagColor { get; set; }
		[StringLength(MaxConfirmFlagSoundLength)]
		public virtual string ConfirmFlagSound { get; set; }
		public virtual int ConfirmFlagPlaytime { get; set; }
		[Column(TypeName="bit")]
		public virtual bool ConfirmFlagFlash { get; set; }
		[StringLength(MaxDelayUnpackColorLength)]
		public virtual string DelayUnpackColor { get; set; }
		[StringLength(MaxDelayUnpackSoundLength)]
		public virtual string DelayUnpackSound { get; set; }
		public virtual int DelayUnpackPlaytime { get; set; }
		[Column(TypeName="bit")]
		public virtual bool DelayUnpackFlash { get; set; }
		[StringLength(MaxCallLeaderColorLength)]
		public virtual string CallLeaderColor { get; set; }
		[StringLength(MaxCallLeaderSoundLength)]
		public virtual string CallLeaderSound { get; set; }
		public virtual int CallLeaderPlaytime { get; set; }
		[Column(TypeName="bit")]
		public virtual bool CallLeaderFlash { get; set; }
		public virtual int TotalColumnOldShift { get; set; }
		public virtual int TotalColumnSeqA1 { get; set; }
		public virtual int TotalColumnSeqA2 { get; set; }
		[StringLength(MaxBeforeTacktimeColorLength)]
		public virtual string BeforeTacktimeColor { get; set; }
		[StringLength(MaxBeforeTacktimeSoundLength)]
		public virtual string BeforeTacktimeSound { get; set; }
		public virtual int BeforeTacktimePlaytime { get; set; }
		[Column(TypeName="bit")]
		public virtual bool BeforeTacktimeFlash { get; set; }
		public virtual int TackCaseA1 { get; set; }
		public virtual int TackCaseA2 { get; set; }
		[StringLength(MaxIsActiveLength)]
		public virtual string IsActive { get; set; }
</v>
      </c>
      <c r="K35" s="35" t="str">
        <f ca="1">TEXTJOIN2("
", TRUE,INDIRECT( $J$1):INDIRECT( $J$3))</f>
        <v xml:space="preserve">	[Index(nameof(IsActive), Name="IX_MstLgwScreenConfig_IsActive")]</v>
      </c>
      <c r="L35" s="13" t="s">
        <v>60</v>
      </c>
      <c r="M35" s="36" t="str">
        <f ca="1">TEXTJOIN2("
",TRUE,INDIRECT( $L$1):INDIRECT($L$3))</f>
        <v xml:space="preserve">		public virtual string UnpackDoneColor { get; set; }
		public virtual string NeedToUnpackColor { get; set; }
		public virtual bool NeedToUnpackFlash { get; set; }
		public virtual string ConfirmFlagColor { get; set; }
		public virtual string ConfirmFlagSound { get; set; }
		public virtual int ConfirmFlagPlaytime { get; set; }
		public virtual bool ConfirmFlagFlash { get; set; }
		public virtual string DelayUnpackColor { get; set; }
		public virtual string DelayUnpackSound { get; set; }
		public virtual int DelayUnpackPlaytime { get; set; }
		public virtual bool DelayUnpackFlash { get; set; }
		public virtual string CallLeaderColor { get; set; }
		public virtual string CallLeaderSound { get; set; }
		public virtual int CallLeaderPlaytime { get; set; }
		public virtual bool CallLeaderFlash { get; set; }
		public virtual int TotalColumnOldShift { get; set; }
		public virtual int TotalColumnSeqA1 { get; set; }
		public virtual int TotalColumnSeqA2 { get; set; }
		public virtual string BeforeTacktimeColor { get; set; }
		public virtual string BeforeTacktimeSound { get; set; }
		public virtual int BeforeTacktimePlaytime { get; set; }
		public virtual bool BeforeTacktimeFlash { get; set; }
		public virtual int TackCaseA1 { get; set; }
		public virtual int TackCaseA2 { get; set; }
		public virtual string IsActive { get; set; }
</v>
      </c>
      <c r="N35" s="33" t="str">
        <f ca="1">TEXTJOIN2("
",TRUE,INDIRECT( $M$1):INDIRECT($M$3))</f>
        <v xml:space="preserve">		[StringLength(MstLgwScreenConfigConsts.MaxUnpackDoneColorLength)]
		public virtual string UnpackDoneColor { get; set; }
		[StringLength(MstLgwScreenConfigConsts.MaxNeedToUnpackColorLength)]
		public virtual string NeedToUnpackColor { get; set; }
		public virtual bool NeedToUnpackFlash { get; set; }
		[StringLength(MstLgwScreenConfigConsts.MaxConfirmFlagColorLength)]
		public virtual string ConfirmFlagColor { get; set; }
		[StringLength(MstLgwScreenConfigConsts.MaxConfirmFlagSoundLength)]
		public virtual string ConfirmFlagSound { get; set; }
		public virtual int ConfirmFlagPlaytime { get; set; }
		public virtual bool ConfirmFlagFlash { get; set; }
		[StringLength(MstLgwScreenConfigConsts.MaxDelayUnpackColorLength)]
		public virtual string DelayUnpackColor { get; set; }
		[StringLength(MstLgwScreenConfigConsts.MaxDelayUnpackSoundLength)]
		public virtual string DelayUnpackSound { get; set; }
		public virtual int DelayUnpackPlaytime { get; set; }
		public virtual bool DelayUnpackFlash { get; set; }
		[StringLength(MstLgwScreenConfigConsts.MaxCallLeaderColorLength)]
		public virtual string CallLeaderColor { get; set; }
		[StringLength(MstLgwScreenConfigConsts.MaxCallLeaderSoundLength)]
		public virtual string CallLeaderSound { get; set; }
		public virtual int CallLeaderPlaytime { get; set; }
		public virtual bool CallLeaderFlash { get; set; }
		public virtual int TotalColumnOldShift { get; set; }
		public virtual int TotalColumnSeqA1 { get; set; }
		public virtual int TotalColumnSeqA2 { get; set; }
		[StringLength(MstLgwScreenConfigConsts.MaxBeforeTacktimeColorLength)]
		public virtual string BeforeTacktimeColor { get; set; }
		[StringLength(MstLgwScreenConfigConsts.MaxBeforeTacktimeSoundLength)]
		public virtual string BeforeTacktimeSound { get; set; }
		public virtual int BeforeTacktimePlaytime { get; set; }
		public virtual bool BeforeTacktimeFlash { get; set; }
		public virtual int TackCaseA1 { get; set; }
		public virtual int TackCaseA2 { get; set; }
		[StringLength(MstLgwScreenConfigConsts.MaxIsActiveLength)]
		public virtual string IsActive { get; set; }
</v>
      </c>
      <c r="O35" s="33" t="str">
        <f ca="1">TEXTJOIN2("
",TRUE,INDIRECT( $N$1):INDIRECT($N$3))</f>
        <v xml:space="preserve">		public virtual string UnpackDoneColor { get; set; }
		public virtual string NeedToUnpackColor { get; set; }
		public virtual string ConfirmFlagColor { get; set; }
		public virtual string ConfirmFlagSound { get; set; }
		public virtual int ConfirmFlagPlaytime { get; set; }
		public virtual string DelayUnpackColor { get; set; }
		public virtual string DelayUnpackSound { get; set; }
		public virtual int DelayUnpackPlaytime { get; set; }
		public virtual string CallLeaderColor { get; set; }
		public virtual string CallLeaderSound { get; set; }
		public virtual int CallLeaderPlaytime { get; set; }
		public virtual int TotalColumnOldShift { get; set; }
		public virtual int TotalColumnSeqA1 { get; set; }
		public virtual int TotalColumnSeqA2 { get; set; }
		public virtual string BeforeTacktimeColor { get; set; }
		public virtual string BeforeTacktimeSound { get; set; }
		public virtual int BeforeTacktimePlaytime { get; set; }
		public virtual int TackCaseA1 { get; set; }
		public virtual int TackCaseA2 { get; set; }
		public virtual string IsActive { get; set; }
</v>
      </c>
      <c r="P35" s="9" t="str">
        <f ca="1">TEXTJOIN2("
",TRUE,INDIRECT( $O$1):INDIRECT($O$3))</f>
        <v xml:space="preserve">							UnpackDoneColor = o.UnpackDoneColor,
							NeedToUnpackColor = o.NeedToUnpackColor,
							NeedToUnpackFlash = o.NeedToUnpackFlash,
							ConfirmFlagColor = o.ConfirmFlagColor,
							ConfirmFlagSound = o.ConfirmFlagSound,
							ConfirmFlagPlaytime = o.ConfirmFlagPlaytime,
							ConfirmFlagFlash = o.ConfirmFlagFlash,
							DelayUnpackColor = o.DelayUnpackColor,
							DelayUnpackSound = o.DelayUnpackSound,
							DelayUnpackPlaytime = o.DelayUnpackPlaytime,
							DelayUnpackFlash = o.DelayUnpackFlash,
							CallLeaderColor = o.CallLeaderColor,
							CallLeaderSound = o.CallLeaderSound,
							CallLeaderPlaytime = o.CallLeaderPlaytime,
							CallLeaderFlash = o.CallLeaderFlash,
							TotalColumnOldShift = o.TotalColumnOldShift,
							TotalColumnSeqA1 = o.TotalColumnSeqA1,
							TotalColumnSeqA2 = o.TotalColumnSeqA2,
							BeforeTacktimeColor = o.BeforeTacktimeColor,
							BeforeTacktimeSound = o.BeforeTacktimeSound,
							BeforeTacktimePlaytime = o.BeforeTacktimePlaytime,
							BeforeTacktimeFlash = o.BeforeTacktimeFlash,
							TackCaseA1 = o.TackCaseA1,
							TackCaseA2 = o.TackCaseA2,
							IsActive = o.IsActive,</v>
      </c>
      <c r="T35" s="9" t="str">
        <f ca="1">TEXTJOIN2("
",TRUE,INDIRECT( $T$2):INDIRECT($T$3))</f>
        <v xml:space="preserve">								("UnpackDoneColor"),
								("NeedToUnpackColor"),
								("NeedToUnpackFlash"),
								("ConfirmFlagColor"),
								("ConfirmFlagSound"),
								("ConfirmFlagPlaytime"),
								("ConfirmFlagFlash"),
								("DelayUnpackColor"),
								("DelayUnpackSound"),
								("DelayUnpackPlaytime"),
								("DelayUnpackFlash"),
								("CallLeaderColor"),
								("CallLeaderSound"),
								("CallLeaderPlaytime"),
								("CallLeaderFlash"),
								("TotalColumnOldShift"),
								("TotalColumnSeqA1"),
								("TotalColumnSeqA2"),
								("BeforeTacktimeColor"),
								("BeforeTacktimeSound"),
								("BeforeTacktimePlaytime"),
								("BeforeTacktimeFlash"),
								("TackCaseA1"),
								("TackCaseA2"),
								("IsActive"),</v>
      </c>
      <c r="V35" s="9" t="str">
        <f ca="1">TEXTJOIN2("
",TRUE,INDIRECT( $V$2):INDIRECT($V$3))</f>
        <v xml:space="preserve">								_ =&gt; _.UnpackDoneColor,
								_ =&gt; _.NeedToUnpackColor,
								_ =&gt; _.NeedToUnpackFlash,
								_ =&gt; _.ConfirmFlagColor,
								_ =&gt; _.ConfirmFlagSound,
								_ =&gt; _.ConfirmFlagPlaytime,
								_ =&gt; _.ConfirmFlagFlash,
								_ =&gt; _.DelayUnpackColor,
								_ =&gt; _.DelayUnpackSound,
								_ =&gt; _.DelayUnpackPlaytime,
								_ =&gt; _.DelayUnpackFlash,
								_ =&gt; _.CallLeaderColor,
								_ =&gt; _.CallLeaderSound,
								_ =&gt; _.CallLeaderPlaytime,
								_ =&gt; _.CallLeaderFlash,
								_ =&gt; _.TotalColumnOldShift,
								_ =&gt; _.TotalColumnSeqA1,
								_ =&gt; _.TotalColumnSeqA2,
								_ =&gt; _.BeforeTacktimeColor,
								_ =&gt; _.BeforeTacktimeSound,
								_ =&gt; _.BeforeTacktimePlaytime,
								_ =&gt; _.BeforeTacktimeFlash,
								_ =&gt; _.TackCaseA1,
								_ =&gt; _.TackCaseA2,
								_ =&gt; _.IsActive,</v>
      </c>
      <c r="W35" s="9" t="str">
        <f ca="1">TEXTJOIN2("
",TRUE,INDIRECT( $W$2):INDIRECT($W$3))</f>
        <v xml:space="preserve">				.WhereIf(!string.IsNullOrWhiteSpace(input.UnpackDoneColor), e =&gt; e.UnpackDoneColor.Contains(input.UnpackDoneColor))
				.WhereIf(!string.IsNullOrWhiteSpace(input.NeedToUnpackColor), e =&gt; e.NeedToUnpackColor.Contains(input.NeedToUnpackColor))
				.WhereIf(!string.IsNullOrWhiteSpace(input.ConfirmFlagColor), e =&gt; e.ConfirmFlagColor.Contains(input.ConfirmFlagColor))
				.WhereIf(!string.IsNullOrWhiteSpace(input.ConfirmFlagSound), e =&gt; e.ConfirmFlagSound.Contains(input.ConfirmFlagSound))
				.WhereIf(!string.IsNullOrWhiteSpace(input.DelayUnpackColor), e =&gt; e.DelayUnpackColor.Contains(input.DelayUnpackColor))
				.WhereIf(!string.IsNullOrWhiteSpace(input.DelayUnpackSound), e =&gt; e.DelayUnpackSound.Contains(input.DelayUnpackSound))
				.WhereIf(!string.IsNullOrWhiteSpace(input.CallLeaderColor), e =&gt; e.CallLeaderColor.Contains(input.CallLeaderColor))
				.WhereIf(!string.IsNullOrWhiteSpace(input.CallLeaderSound), e =&gt; e.CallLeaderSound.Contains(input.CallLeaderSound))
				.WhereIf(!string.IsNullOrWhiteSpace(input.BeforeTacktimeColor), e =&gt; e.BeforeTacktimeColor.Contains(input.BeforeTacktimeColor))
				.WhereIf(!string.IsNullOrWhiteSpace(input.BeforeTacktimeSound), e =&gt; e.BeforeTacktimeSound.Contains(input.BeforeTacktimeSound))
				.WhereIf(!string.IsNullOrWhiteSpace(input.IsActive), e =&gt; e.IsActive.Contains(input.IsActive))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42"/>
  <sheetViews>
    <sheetView workbookViewId="0">
      <selection activeCell="C16" sqref="C16"/>
    </sheetView>
  </sheetViews>
  <sheetFormatPr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24.42578125" customWidth="1"/>
    <col min="9" max="9" width="26.140625" customWidth="1"/>
    <col min="10" max="10" width="22.28515625" customWidth="1"/>
    <col min="11" max="11" width="25.85546875" customWidth="1"/>
    <col min="12" max="12" width="23.7109375" customWidth="1"/>
    <col min="13" max="13" width="23.42578125" customWidth="1"/>
    <col min="14" max="14" width="20.42578125" customWidth="1"/>
    <col min="15" max="15" width="20.5703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ht="30" x14ac:dyDescent="0.25">
      <c r="A1" s="41" t="s">
        <v>212</v>
      </c>
      <c r="B1" s="42" t="s">
        <v>332</v>
      </c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</row>
    <row r="2" spans="1:22" x14ac:dyDescent="0.25">
      <c r="A2" s="41" t="s">
        <v>237</v>
      </c>
      <c r="B2" s="42" t="str">
        <f>A.Backend!B4</f>
        <v>Master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</row>
    <row r="3" spans="1:22" x14ac:dyDescent="0.25">
      <c r="A3" s="41" t="s">
        <v>237</v>
      </c>
      <c r="B3" s="42" t="str">
        <f>LOWER(B2)</f>
        <v>master</v>
      </c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</row>
    <row r="4" spans="1:22" x14ac:dyDescent="0.25">
      <c r="A4" s="41" t="s">
        <v>214</v>
      </c>
      <c r="B4" s="43" t="str">
        <f>A.Backend!Q3</f>
        <v>LogW</v>
      </c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</row>
    <row r="5" spans="1:22" x14ac:dyDescent="0.25">
      <c r="A5" s="41" t="s">
        <v>214</v>
      </c>
      <c r="B5" s="43" t="str">
        <f>LOWER(B4)</f>
        <v>logw</v>
      </c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</row>
    <row r="6" spans="1:22" x14ac:dyDescent="0.25">
      <c r="A6" s="41" t="s">
        <v>224</v>
      </c>
      <c r="B6" s="44" t="str">
        <f>A.Backend!B3</f>
        <v>MstLgwScreenConfig</v>
      </c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</row>
    <row r="7" spans="1:22" x14ac:dyDescent="0.25">
      <c r="A7" s="41" t="s">
        <v>215</v>
      </c>
      <c r="B7" s="43" t="str">
        <f>A.Backend!B5</f>
        <v>ScreenConfig</v>
      </c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</row>
    <row r="8" spans="1:22" x14ac:dyDescent="0.25">
      <c r="A8" s="41" t="s">
        <v>213</v>
      </c>
      <c r="B8" s="43" t="str">
        <f>LOWER(B7)</f>
        <v>screenconfig</v>
      </c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</row>
    <row r="9" spans="1:22" ht="18.75" customHeight="1" x14ac:dyDescent="0.25">
      <c r="A9" s="53" t="s">
        <v>216</v>
      </c>
      <c r="B9" s="54"/>
      <c r="C9" s="53"/>
      <c r="D9" s="53"/>
      <c r="E9" s="53"/>
      <c r="F9" s="53"/>
      <c r="G9" s="53"/>
      <c r="H9" s="45" t="s">
        <v>269</v>
      </c>
      <c r="I9" s="46" t="s">
        <v>270</v>
      </c>
      <c r="J9" s="45" t="s">
        <v>219</v>
      </c>
      <c r="K9" s="47" t="s">
        <v>256</v>
      </c>
      <c r="L9" s="46" t="s">
        <v>260</v>
      </c>
      <c r="M9" s="45" t="s">
        <v>249</v>
      </c>
      <c r="N9" s="45" t="s">
        <v>220</v>
      </c>
      <c r="O9" s="45" t="s">
        <v>221</v>
      </c>
      <c r="P9" s="46" t="s">
        <v>223</v>
      </c>
      <c r="Q9" s="45" t="s">
        <v>250</v>
      </c>
      <c r="R9" s="45" t="s">
        <v>233</v>
      </c>
      <c r="S9" s="31"/>
      <c r="T9" s="31"/>
      <c r="U9" s="31"/>
      <c r="V9" s="31"/>
    </row>
    <row r="10" spans="1:22" ht="18.75" customHeight="1" x14ac:dyDescent="0.25">
      <c r="A10" s="55" t="s">
        <v>217</v>
      </c>
      <c r="B10" s="56"/>
      <c r="C10" s="57"/>
      <c r="D10" s="57"/>
      <c r="E10" s="57"/>
      <c r="F10" s="57"/>
      <c r="G10" s="57"/>
      <c r="H10" s="48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MstLgwScreenConfigDto, MstLgwScreenConfigServiceProxy } from '@shared/service-proxies/service-proxies';
import { finalize } from 'rxjs/internal/operators/finalize';
import { CreateOrEditScreenConfigModalComponent } from './create-or-edit-screenconfig-modal.component';
import { DatePipe } from '@angular/common';
import { FileDownloadService } from '@shared/utils/file-download.service';
import ceil from 'lodash-es/ceil';
import { Paginator } from 'primeng/paginator';
@Component({
    templateUrl: './screenconfig.component.html',
    styleUrls: ['./screenconfig.component.less'],
})
export class ScreenConfigComponent extends AppComponentBase implements OnInit {
    @ViewChild('createOrEditModalScreenConfig', { static: true }) createOrEditModalScreenConfig:| CreateOrEditScreenConfigModalComponent|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MstLgwScreenConfigDto = new MstLgwScreenConfigDto();
    saveSelectedRow: MstLgwScreenConfigDto = new MstLgwScreenConfigDto();
    datas: MstLgwScreenConfigDto = new MstLgwScreenConfigDto();
    isLoading: boolean = false;
    dataParams: GridParams | undefined;
    rowData: any[] = [];
    gridApi!: GridApi;
    rowSelection = 'multiple';
    filter: string = '';
	pipe = new DatePipe('en-US');
	frameworkComponents: FrameworkComponent;
    unpackDoneColor : string = '' ; 
	needToUnpackColor : string = '' ; 
	needToUnpackFlash
	confirmFlagColor : string = '' ; 
	confirmFlagSound : string = '' ; 
confirmFlagPlaytime : number = 0 ;
	confirmFlagFlash
	delayUnpackColor : string = '' ; 
	delayUnpackSound : string = '' ; 
delayUnpackPlaytime : number = 0 ;
	delayUnpackFlash
	callLeaderColor : string = '' ; 
	callLeaderSound : string = '' ; 
	callLeaderPlaytime : number = 0 ;
callLeaderFlash
	totalColumnOldShift : number = 0 ;
	totalColumnSeqA1 : number = 0 ;
	totalColumnSeqA2 : number = 0 ;
	beforeTacktimeColor : string = '' ; 
beforeTacktimeSound : string = '' ; 
	beforeTacktimePlaytime : number = 0 ;
	beforeTacktimeFlash
	tackCaseA1 : number = 0 ;
	tackCaseA2 : number = 0 ;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MstLgwScreenConfigServiceProxy,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this.l('Unpack Done Color'),headerTooltip: this.l('Unpack Done Color'),field: 'unpackDoneColor',flex: 1},
			{headerName: this.l('Need To Unpack Color'),headerTooltip: this.l('Need To Unpack Color'),field: 'needToUnpackColor',flex: 1},
			{headerName: this.l('Need To Unpack Flash'),headerTooltip: this.l('Need To Unpack Flash'),field: 'needToUnpackFlash',flex: 1},
			{headerName: this.l('Confirm Flag Color'),headerTooltip: this.l('Confirm Flag Color'),field: 'confirmFlagColor',flex: 1},
			{headerName: this.l('Confirm Flag Sound'),headerTooltip: this.l('Confirm Flag Sound'),field: 'confirmFlagSound',flex: 1},
			{headerName: this.l('Confirm Flag Playtime'),headerTooltip: this.l('Confirm Flag Playtime'),field: 'confirmFlagPlaytime',flex: 1},
			{headerName: this.l('Confirm Flag Flash'),headerTooltip: this.l('Confirm Flag Flash'),field: 'confirmFlagFlash',flex: 1},
			{headerName: this.l('Delay Unpack Color'),headerTooltip: this.l('Delay Unpack Color'),field: 'delayUnpackColor',flex: 1},
			{headerName: this.l('Delay Unpack Sound'),headerTooltip: this.l('Delay Unpack Sound'),field: 'delayUnpackSound',flex: 1},
			{headerName: this.l('Delay Unpack Playtime'),headerTooltip: this.l('Delay Unpack Playtime'),field: 'delayUnpackPlaytime',flex: 1},
			{headerName: this.l('Delay Unpack Flash'),headerTooltip: this.l('Delay Unpack Flash'),field: 'delayUnpackFlash',flex: 1},
			{headerName: this.l('Call Leader Color'),headerTooltip: this.l('Call Leader Color'),field: 'callLeaderColor',flex: 1},
			{headerName: this.l('Call Leader Sound'),headerTooltip: this.l('Call Leader Sound'),field: 'callLeaderSound',flex: 1},
			{headerName: this.l('Call Leader Playtime'),headerTooltip: this.l('Call Leader Playtime'),field: 'callLeaderPlaytime',flex: 1},
			{headerName: this.l('Call Leader Flash'),headerTooltip: this.l('Call Leader Flash'),field: 'callLeaderFlash',flex: 1},
			{headerName: this.l('Total Column Old Shift'),headerTooltip: this.l('Total Column Old Shift'),field: 'totalColumnOldShift',flex: 1},
			{headerName: this.l('Total Column Seq A1'),headerTooltip: this.l('Total Column Seq A1'),field: 'totalColumnSeqA1',flex: 1},
			{headerName: this.l('Total Column Seq A2'),headerTooltip: this.l('Total Column Seq A2'),field: 'totalColumnSeqA2',flex: 1},
			{headerName: this.l('Before Tacktime Color'),headerTooltip: this.l('Before Tacktime Color'),field: 'beforeTacktimeColor',flex: 1},
			{headerName: this.l('Before Tacktime Sound'),headerTooltip: this.l('Before Tacktime Sound'),field: 'beforeTacktimeSound',flex: 1},
			{headerName: this.l('Before Tacktime Playtime'),headerTooltip: this.l('Before Tacktime Playtime'),field: 'beforeTacktimePlaytime',flex: 1},
			{headerName: this.l('Before Tacktime Flash'),headerTooltip: this.l('Before Tacktime Flash'),field: 'beforeTacktimeFlash',flex: 1},
			{headerName: this.l('Tack Case A1'),headerTooltip: this.l('Tack Case A1'),field: 'tackCaseA1',flex: 1},
			{headerName: this.l('Tack Case A2'),headerTooltip: this.l('Tack Case A2'),field: 'tackCaseA2',flex: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this.unpackDoneColor,
			this.needToUnpackColor,
			this.needToUnpackFlash,
			this.confirmFlagColor,
			this.confirmFlagSound,
			this.confirmFlagPlaytime,
			this.confirmFlagFlash,
			this.delayUnpackColor,
			this.delayUnpackSound,
			this.delayUnpackPlaytime,
			this.delayUnpackFlash,
			this.callLeaderColor,
			this.callLeaderSound,
			this.callLeaderPlaytime,
			this.callLeaderFlash,
			this.totalColumnOldShift,
			this.totalColumnSeqA1,
			this.totalColumnSeqA2,
			this.beforeTacktimeColor,
			this.beforeTacktimeSound,
			this.beforeTacktimePlaytime,
			this.beforeTacktimeFlash,
			this.tackCaseA1,
			this.tackCaseA2,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this.unpackDoneColor = '',
		this.needToUnpackColor = '',
		this.needToUnpackFlash = '',
		this.confirmFlagColor = '',
		this.confirmFlagSound = '',
this.confirmFlagPlaytime = 0,
		this.confirmFlagFlash = '',
		this.delayUnpackColor = '',
		this.delayUnpackSound = '',
this.delayUnpackPlaytime = 0,
		this.delayUnpackFlash = '',
		this.callLeaderColor = '',
		this.callLeaderSound = '',
		this.callLeaderPlaytime = 0,
this.callLeaderFlash = '',
		this.totalColumnOldShift = 0,
		this.totalColumnSeqA1 = 0,
		this.totalColumnSeqA2 = 0,
		this.beforeTacktimeColor = '',
this.beforeTacktimeSound = '',
		this.beforeTacktimePlaytime = 0,
		this.beforeTacktimeFlash = '',
		this.tackCaseA1 = 0,
		this.tackCaseA2 = 0,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this.unpackDoneColor,
			this.needToUnpackColor,
			this.needToUnpackFlash,
			this.confirmFlagColor,
			this.confirmFlagSound,
			this.confirmFlagPlaytime,
			this.confirmFlagFlash,
			this.delayUnpackColor,
			this.delayUnpackSound,
			this.delayUnpackPlaytime,
			this.delayUnpackFlash,
			this.callLeaderColor,
			this.callLeaderSound,
			this.callLeaderPlaytime,
			this.callLeaderFlash,
			this.totalColumnOldShift,
			this.totalColumnSeqA1,
			this.totalColumnSeqA2,
			this.beforeTacktimeColor,
			this.beforeTacktimeSound,
			this.beforeTacktimePlaytime,
			this.beforeTacktimeFlash,
			this.tackCaseA1,
			this.tackCaseA2,
			this.isActive,
			'',
            this.paginationParams.skipCount,
            this.paginationParams.pageSize
        );
    }
    onChangeRowSelection(params: { api: { getSelectedRows: () =&gt; MstLgwScreenConfigDto[] } }) {
        this.saveSelectedRow = params.api.getSelectedRows()[0] ?? new MstLgwScreenConfigDto();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MstLgwScreenConfigDto):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this._service.getScreenConfigToExcel(
			this.unpackDoneColor,
			this.needToUnpackColor,
			this.needToUnpackFlash,
			this.confirmFlagColor,
			this.confirmFlagSound,
			this.confirmFlagPlaytime,
			this.confirmFlagFlash,
			this.delayUnpackColor,
			this.delayUnpackSound,
			this.delayUnpackPlaytime,
			this.delayUnpackFlash,
			this.callLeaderColor,
			this.callLeaderSound,
			this.callLeaderPlaytime,
			this.callLeaderFlash,
			this.totalColumnOldShift,
			this.totalColumnSeqA1,
			this.totalColumnSeqA2,
			this.beforeTacktimeColor,
			this.beforeTacktimeSound,
			this.beforeTacktimePlaytime,
			this.beforeTacktimeFlash,
			this.tackCaseA1,
			this.tackCaseA2,
			this.isActive,
            )
            .subscribe((result) =&gt; {
                this._fileDownloadService.downloadTempFile(result);
        });
    }
}</v>
      </c>
      <c r="I10" s="48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Master LogW Screen Config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[(ngModel)]='unpackDoneColor' name='unpackDoneColor'
									class='form-control' [placeholder]="l('Unpack Done Color')"
									type='text' (keyup.enter)='searchDatas()'&gt;
								&lt;/div&gt;
								&lt;div class='input-search'&gt;
									&lt;input [(ngModel)]='needToUnpackColor' name='needToUnpackColor'
									class='form-control' [placeholder]="l('Need To Unpack Color')"
									type='text' (keyup.enter)='searchDatas()'&gt;
								&lt;/div&gt;
								&lt;div class='input-search'&gt;
									&lt;input [(ngModel)]='confirmFlagColor' name='confirmFlagColor'
									class='form-control' [placeholder]="l('Confirm Flag Color')"
									type='text' (keyup.enter)='searchDatas()'&gt;
								&lt;/div&gt;
								&lt;div class='input-search'&gt;
									&lt;input [(ngModel)]='confirmFlagSound' name='confirmFlagSound'
									class='form-control' [placeholder]="l('Confirm Flag Sound')"
									type='text' (keyup.enter)='searchDatas()'&gt;
								&lt;/div&gt;
								&lt;div class='input-search'&gt;
									&lt;input [(ngModel)]='delayUnpackColor' name='delayUnpackColor'
									class='form-control' [placeholder]="l('Delay Unpack Color')"
									type='text' (keyup.enter)='searchDatas()'&gt;
								&lt;/div&gt;
								&lt;div class='input-search'&gt;
									&lt;input [(ngModel)]='delayUnpackSound' name='delayUnpackSound'
									class='form-control' [placeholder]="l('Delay Unpack Sound')"
									type='text' (keyup.enter)='searchDatas()'&gt;
								&lt;/div&gt;
								&lt;div class='input-search'&gt;
									&lt;input [(ngModel)]='callLeaderColor' name='callLeaderColor'
									class='form-control' [placeholder]="l('Call Leader Color')"
									type='text' (keyup.enter)='searchDatas()'&gt;
								&lt;/div&gt;
								&lt;div class='input-search'&gt;
									&lt;input [(ngModel)]='callLeaderSound' name='callLeaderSound'
									class='form-control' [placeholder]="l('Call Leader Sound')"
									type='text' (keyup.enter)='searchDatas()'&gt;
								&lt;/div&gt;
								&lt;div class='input-search'&gt;
									&lt;input [(ngModel)]='beforeTacktimeColor' name='beforeTacktimeColor'
									class='form-control' [placeholder]="l('Before Tacktime Color')"
									type='text' (keyup.enter)='searchDatas()'&gt;
								&lt;/div&gt;
								&lt;div class='input-search'&gt;
									&lt;input [(ngModel)]='beforeTacktimeSound' name='beforeTacktimeSound'
									class='form-control' [placeholder]="l('Before Tacktime Sound')"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(click)="createOrEditModalScreenConfig.show()"&gt;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(click)="createOrEditModalScreenConfig.show(selectedRow)"&gt;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&lt;create-or-edit-screenconfig-modal
    #createOrEditModalScreenConfig
    (modalSave)="callBackDataGrid(dataParams)"
    (modalClose)="onChangeRowSelection(dataParams)"
&gt;
&lt;/create-or-edit-screenconfig-modal&gt;</v>
      </c>
      <c r="J10" s="48" t="str">
        <f>J9</f>
        <v>.input-search{
    width: 250px;
    border-radius: 10px;
    margin-left: 10px;
}
.btn-search{
    width: 50px;
    margin-left: 10px;
}</v>
      </c>
      <c r="K10" s="48" t="str">
        <f ca="1">SUBSTITUTE(SUBSTITUTE(SUBSTITUTE(SUBSTITUTE(K9,"MstWptCalendar",$B$6),"Calendar",$B$7),"calendar",$B$8),"&lt;PROPERTIES&gt;",K13)</f>
        <v>&lt;div bsModal #createOrEditModalScreenConfig="bs-modal"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ScreenConfig')}}&lt;/h3&gt;
                    &lt;h3 *ngIf="!rowdata.id"&gt;{{('Create New ScreenConfig')}}&lt;/h3&gt;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title'&gt;Unpack Done Color&lt;/label&gt;
						&lt;input type='text' class='col-md-10 form-control input-text' name='UnpackDoneColor' [(ngModel)]='rowdata.unpackDoneColor'&gt;
					&lt;/div&gt;
					&lt;div class='col-md-12 form-group row'&gt;
						&lt;label class='col-md-2 form-control title'&gt;Need To Unpack Color&lt;/label&gt;
						&lt;input type='text' class='col-md-10 form-control input-text' name='NeedToUnpackColor' [(ngModel)]='rowdata.needToUnpackColor'&gt;
					&lt;/div&gt;
					&lt;div class='col-md-12 form-group row'&gt;
						&lt;label class='col-md-2 form-control title'&gt;Confirm Flag Color&lt;/label&gt;
						&lt;input type='text' class='col-md-10 form-control input-text' name='ConfirmFlagColor' [(ngModel)]='rowdata.confirmFlagColor'&gt;
					&lt;/div&gt;
					&lt;div class='col-md-12 form-group row'&gt;
						&lt;label class='col-md-2 form-control title'&gt;Confirm Flag Sound&lt;/label&gt;
						&lt;input type='text' class='col-md-10 form-control input-text' name='ConfirmFlagSound' [(ngModel)]='rowdata.confirmFlagSound'&gt;
					&lt;/div&gt;
					&lt;div class='col-md-12 form-group row'&gt;
						&lt;label class='col-md-2 form-control title'&gt;Confirm Flag Playtime&lt;/label&gt;
						&lt;input type='number' class='col-md-10 form-control input-text' name='ConfirmFlagPlaytime' [(ngModel)]='rowdata.confirmFlagPlaytime'&gt;
					&lt;/div&gt;
					&lt;div class='col-md-12 form-group row'&gt;
						&lt;label class='col-md-2 form-control title'&gt;Delay Unpack Color&lt;/label&gt;
						&lt;input type='text' class='col-md-10 form-control input-text' name='DelayUnpackColor' [(ngModel)]='rowdata.delayUnpackColor'&gt;
					&lt;/div&gt;
					&lt;div class='col-md-12 form-group row'&gt;
						&lt;label class='col-md-2 form-control title'&gt;Delay Unpack Sound&lt;/label&gt;
						&lt;input type='text' class='col-md-10 form-control input-text' name='DelayUnpackSound' [(ngModel)]='rowdata.delayUnpackSound'&gt;
					&lt;/div&gt;
					&lt;div class='col-md-12 form-group row'&gt;
						&lt;label class='col-md-2 form-control title'&gt;Delay Unpack Playtime&lt;/label&gt;
						&lt;input type='number' class='col-md-10 form-control input-text' name='DelayUnpackPlaytime' [(ngModel)]='rowdata.delayUnpackPlaytime'&gt;
					&lt;/div&gt;
					&lt;div class='col-md-12 form-group row'&gt;
						&lt;label class='col-md-2 form-control title'&gt;Call Leader Color&lt;/label&gt;
						&lt;input type='text' class='col-md-10 form-control input-text' name='CallLeaderColor' [(ngModel)]='rowdata.callLeaderColor'&gt;
					&lt;/div&gt;
					&lt;div class='col-md-12 form-group row'&gt;
						&lt;label class='col-md-2 form-control title'&gt;Call Leader Sound&lt;/label&gt;
						&lt;input type='text' class='col-md-10 form-control input-text' name='CallLeaderSound' [(ngModel)]='rowdata.callLeaderSound'&gt;
					&lt;/div&gt;
					&lt;div class='col-md-12 form-group row'&gt;
						&lt;label class='col-md-2 form-control title'&gt;Call Leader Playtime&lt;/label&gt;
						&lt;input type='number' class='col-md-10 form-control input-text' name='CallLeaderPlaytime' [(ngModel)]='rowdata.callLeaderPlaytime'&gt;
					&lt;/div&gt;
					&lt;div class='col-md-12 form-group row'&gt;
						&lt;label class='col-md-2 form-control title'&gt;Total Column Old Shift&lt;/label&gt;
						&lt;input type='number' class='col-md-10 form-control input-text' name='TotalColumnOldShift' [(ngModel)]='rowdata.totalColumnOldShift'&gt;
					&lt;/div&gt;
					&lt;div class='col-md-12 form-group row'&gt;
						&lt;label class='col-md-2 form-control title'&gt;Total Column Seq A1&lt;/label&gt;
						&lt;input type='number' class='col-md-10 form-control input-text' name='TotalColumnSeqA1' [(ngModel)]='rowdata.totalColumnSeqA1'&gt;
					&lt;/div&gt;
					&lt;div class='col-md-12 form-group row'&gt;
						&lt;label class='col-md-2 form-control title'&gt;Total Column Seq A2&lt;/label&gt;
						&lt;input type='number' class='col-md-10 form-control input-text' name='TotalColumnSeqA2' [(ngModel)]='rowdata.totalColumnSeqA2'&gt;
					&lt;/div&gt;
					&lt;div class='col-md-12 form-group row'&gt;
						&lt;label class='col-md-2 form-control title'&gt;Before Tacktime Color&lt;/label&gt;
						&lt;input type='text' class='col-md-10 form-control input-text' name='BeforeTacktimeColor' [(ngModel)]='rowdata.beforeTacktimeColor'&gt;
					&lt;/div&gt;
					&lt;div class='col-md-12 form-group row'&gt;
						&lt;label class='col-md-2 form-control title'&gt;Before Tacktime Sound&lt;/label&gt;
						&lt;input type='text' class='col-md-10 form-control input-text' name='BeforeTacktimeSound' [(ngModel)]='rowdata.beforeTacktimeSound'&gt;
					&lt;/div&gt;
					&lt;div class='col-md-12 form-group row'&gt;
						&lt;label class='col-md-2 form-control title'&gt;Before Tacktime Playtime&lt;/label&gt;
						&lt;input type='number' class='col-md-10 form-control input-text' name='BeforeTacktimePlaytime' [(ngModel)]='rowdata.beforeTacktimePlaytime'&gt;
					&lt;/div&gt;
					&lt;div class='col-md-12 form-group row'&gt;
						&lt;label class='col-md-2 form-control title'&gt;Tack Case A1&lt;/label&gt;
						&lt;input type='number' class='col-md-10 form-control input-text' name='TackCaseA1' [(ngModel)]='rowdata.tackCaseA1'&gt;
					&lt;/div&gt;
					&lt;div class='col-md-12 form-group row'&gt;
						&lt;label class='col-md-2 form-control title'&gt;Tack Case A2&lt;/label&gt;
						&lt;input type='number' class='col-md-10 form-control input-text' name='TackCaseA2' [(ngModel)]='rowdata.tackCaseA2'&gt;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8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CreateOrEditMstLgwScreenConfigDto, MstLgwScreenConfigServiceProxy } from '@shared/service-proxies/service-proxies';
import { BsDatepickerDirective } from 'ngx-bootstrap/datepicker';
@Component({
    selector: 'create-or-edit-screenconfig-modal',
    templateUrl: './create-or-edit-screenconfig-modal.component.html',
    styleUrls: ['./create-or-edit-screenconfig-modal.component.less']
    })
export class CreateOrEditScreenConfigModalComponent extends AppComponentBase {
    @ViewChild('createOrEditModalScreenConfig',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CreateOrEditMstLgwScreenConfigDto = new CreateOrEditMstLgwScreenConfigDto();
    active: boolean = false;
    saving: boolean = false;
    _isActive: boolean;
    constructor(
        injector: Injector,
        private _mstwptScreenConfigService: MstLgwScreenConfigServiceProxy,
    ) 
    {
        super(injector);
    }
    show(rowdata?: CreateOrEditMstLgwScreenConfigDto): void {
        if (!rowdata) this.rowdata = new CreateOrEditMstLgwScreenConfigDto();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this._mstwptScreenConfigService.createOrEdit(this.rowdata)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8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8" t="str">
        <f>SUBSTITUTE(SUBSTITUTE(SUBSTITUTE(N9,"MstWptCalendar",$B$6),"Calendar",$B$7),"calendar",$B$8)</f>
        <v>import {NgModule} from '@angular/core';
import {AppSharedModule} from '@app/shared/app-shared.module';
import { ScreenConfigRoutingModule } from './screenconfig-routing.module';
import { ScreenConfigComponent } from './screenconfig.component';
import { CreateOrEditScreenConfigModalComponent } from './create-or-edit-screenconfig-modal.component';
@NgModule({
    declarations: [
       ScreenConfigComponent, 
        CreateOrEditScreenConfigModalComponent
    ],
    imports: [
        AppSharedModule, ScreenConfigRoutingModule]
})
export class ScreenConfigModule {}</v>
      </c>
      <c r="O10" s="48" t="str">
        <f>SUBSTITUTE(SUBSTITUTE(SUBSTITUTE(O9,"MstWptCalendar",$B$6),"Calendar",$B$7),"calendar",$B$8)</f>
        <v>import {NgModule} from '@angular/core';
import {RouterModule, Routes} from '@angular/router';
import { ScreenConfigComponent } from './screenconfig.component';
const routes: Routes = [{
    path: '',
    component: ScreenConfigComponent,
    pathMatch: 'full'
}];
@NgModule({
    imports: [RouterModule.forChild(routes)],
    exports: [RouterModule],
})
export class ScreenConfigRoutingModule {}</v>
      </c>
      <c r="P10" s="48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AppMenuItem("ScreenConfig", "Pages.Master.LogW.ScreenConfig", "flaticon-book",   "/app/main/master/logw/screenconfig"),</v>
      </c>
      <c r="Q10" s="48" t="str">
        <f>SUBSTITUTE(SUBSTITUTE(SUBSTITUTE(SUBSTITUTE(SUBSTITUTE(SUBSTITUTE(SUBSTITUTE(Q9,"MstWptCalendar",$B$6),"Calendar",$B$7),"calendar",$B$8),"WorkingPattern",$B$4),"workingpattern",$B$5),"Master",$B$2),"master",$B$3)</f>
        <v>{
    path: 'master/logw/screenconfig',
    loadChildren: () =&gt; import('./master/logw/screenconfig/screenconfig.module').then(m =&gt; m.ScreenConfigModule),
    data: { permission: 'Pages.Master.LogW.ScreenConfig' }
},</v>
      </c>
      <c r="R10" s="50" t="str">
        <f>SUBSTITUTE(R9,"MstWptCalendar",$B$6)</f>
        <v>ApiServiceProxies.MstLgwScreenConfigServiceProxy,</v>
      </c>
      <c r="S10" s="31"/>
      <c r="T10" s="31"/>
      <c r="U10" s="31"/>
      <c r="V10" s="31"/>
    </row>
    <row r="11" spans="1:22" x14ac:dyDescent="0.25">
      <c r="A11" s="58">
        <v>1</v>
      </c>
      <c r="B11" s="37">
        <v>1</v>
      </c>
      <c r="C11" s="31"/>
      <c r="D11" s="31"/>
      <c r="E11" s="31"/>
      <c r="F11" s="31"/>
      <c r="G11" s="31"/>
      <c r="H11" s="31" t="s">
        <v>248</v>
      </c>
      <c r="I11" s="31" t="s">
        <v>261</v>
      </c>
      <c r="J11" s="31"/>
      <c r="K11" s="31" t="s">
        <v>259</v>
      </c>
      <c r="L11" s="31" t="s">
        <v>262</v>
      </c>
      <c r="M11" s="38"/>
      <c r="N11" s="31"/>
      <c r="O11" s="31"/>
      <c r="P11" s="31"/>
      <c r="Q11" s="31"/>
      <c r="R11" s="31"/>
      <c r="S11" s="31" t="s">
        <v>253</v>
      </c>
      <c r="T11" s="31" t="s">
        <v>254</v>
      </c>
      <c r="U11" s="31" t="s">
        <v>263</v>
      </c>
      <c r="V11" s="71" t="s">
        <v>265</v>
      </c>
    </row>
    <row r="12" spans="1:22" x14ac:dyDescent="0.25">
      <c r="A12" s="58">
        <v>2</v>
      </c>
      <c r="B12" s="37"/>
      <c r="C12" s="31"/>
      <c r="D12" s="31"/>
      <c r="E12" s="31"/>
      <c r="F12" s="31"/>
      <c r="G12" s="31"/>
      <c r="H12" s="31" t="str">
        <f>"H"&amp;COUNTA($A:$A)</f>
        <v>H39</v>
      </c>
      <c r="I12" s="31" t="str">
        <f>"I"&amp;COUNTA($A:$A)</f>
        <v>I39</v>
      </c>
      <c r="J12" s="31"/>
      <c r="K12" s="31" t="str">
        <f>"K"&amp;COUNTA($A:$A)</f>
        <v>K39</v>
      </c>
      <c r="L12" s="31" t="str">
        <f>"L"&amp;COUNTA($A:$A)</f>
        <v>L39</v>
      </c>
      <c r="M12" s="31"/>
      <c r="N12" s="31"/>
      <c r="O12" s="31"/>
      <c r="P12" s="31"/>
      <c r="Q12" s="31"/>
      <c r="R12" s="31"/>
      <c r="S12" s="31" t="str">
        <f>"S"&amp;COUNTA($A:$A)</f>
        <v>S39</v>
      </c>
      <c r="T12" s="31" t="str">
        <f>"T"&amp;COUNTA($A:$A)</f>
        <v>T39</v>
      </c>
      <c r="U12" s="31" t="str">
        <f>"U"&amp;COUNTA($A:$A)</f>
        <v>U39</v>
      </c>
      <c r="V12" s="31" t="str">
        <f>"V"&amp;COUNTA($A:$A)</f>
        <v>V39</v>
      </c>
    </row>
    <row r="13" spans="1:22" ht="17.25" customHeight="1" x14ac:dyDescent="0.25">
      <c r="A13" s="58">
        <v>3</v>
      </c>
      <c r="B13" s="31"/>
      <c r="C13" s="31"/>
      <c r="D13" s="31"/>
      <c r="E13" s="31"/>
      <c r="F13" s="31"/>
      <c r="G13" s="31"/>
      <c r="H13" s="38" t="str">
        <f ca="1">TEXTJOIN2("
",TRUE,INDIRECT(H11):INDIRECT(H12))</f>
        <v xml:space="preserve">			{headerName: this.l('Unpack Done Color'),headerTooltip: this.l('Unpack Done Color'),field: 'unpackDoneColor',flex: 1},
			{headerName: this.l('Need To Unpack Color'),headerTooltip: this.l('Need To Unpack Color'),field: 'needToUnpackColor',flex: 1},
			{headerName: this.l('Need To Unpack Flash'),headerTooltip: this.l('Need To Unpack Flash'),field: 'needToUnpackFlash',flex: 1},
			{headerName: this.l('Confirm Flag Color'),headerTooltip: this.l('Confirm Flag Color'),field: 'confirmFlagColor',flex: 1},
			{headerName: this.l('Confirm Flag Sound'),headerTooltip: this.l('Confirm Flag Sound'),field: 'confirmFlagSound',flex: 1},
			{headerName: this.l('Confirm Flag Playtime'),headerTooltip: this.l('Confirm Flag Playtime'),field: 'confirmFlagPlaytime',flex: 1},
			{headerName: this.l('Confirm Flag Flash'),headerTooltip: this.l('Confirm Flag Flash'),field: 'confirmFlagFlash',flex: 1},
			{headerName: this.l('Delay Unpack Color'),headerTooltip: this.l('Delay Unpack Color'),field: 'delayUnpackColor',flex: 1},
			{headerName: this.l('Delay Unpack Sound'),headerTooltip: this.l('Delay Unpack Sound'),field: 'delayUnpackSound',flex: 1},
			{headerName: this.l('Delay Unpack Playtime'),headerTooltip: this.l('Delay Unpack Playtime'),field: 'delayUnpackPlaytime',flex: 1},
			{headerName: this.l('Delay Unpack Flash'),headerTooltip: this.l('Delay Unpack Flash'),field: 'delayUnpackFlash',flex: 1},
			{headerName: this.l('Call Leader Color'),headerTooltip: this.l('Call Leader Color'),field: 'callLeaderColor',flex: 1},
			{headerName: this.l('Call Leader Sound'),headerTooltip: this.l('Call Leader Sound'),field: 'callLeaderSound',flex: 1},
			{headerName: this.l('Call Leader Playtime'),headerTooltip: this.l('Call Leader Playtime'),field: 'callLeaderPlaytime',flex: 1},
			{headerName: this.l('Call Leader Flash'),headerTooltip: this.l('Call Leader Flash'),field: 'callLeaderFlash',flex: 1},
			{headerName: this.l('Total Column Old Shift'),headerTooltip: this.l('Total Column Old Shift'),field: 'totalColumnOldShift',flex: 1},
			{headerName: this.l('Total Column Seq A1'),headerTooltip: this.l('Total Column Seq A1'),field: 'totalColumnSeqA1',flex: 1},
			{headerName: this.l('Total Column Seq A2'),headerTooltip: this.l('Total Column Seq A2'),field: 'totalColumnSeqA2',flex: 1},
			{headerName: this.l('Before Tacktime Color'),headerTooltip: this.l('Before Tacktime Color'),field: 'beforeTacktimeColor',flex: 1},
			{headerName: this.l('Before Tacktime Sound'),headerTooltip: this.l('Before Tacktime Sound'),field: 'beforeTacktimeSound',flex: 1},
			{headerName: this.l('Before Tacktime Playtime'),headerTooltip: this.l('Before Tacktime Playtime'),field: 'beforeTacktimePlaytime',flex: 1},
			{headerName: this.l('Before Tacktime Flash'),headerTooltip: this.l('Before Tacktime Flash'),field: 'beforeTacktimeFlash',flex: 1},
			{headerName: this.l('Tack Case A1'),headerTooltip: this.l('Tack Case A1'),field: 'tackCaseA1',flex: 1},
			{headerName: this.l('Tack Case A2'),headerTooltip: this.l('Tack Case A2'),field: 'tackCaseA2',flex: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13" s="38" t="str">
        <f ca="1">TEXTJOIN2("
",TRUE,INDIRECT(I11):INDIRECT(I12))</f>
        <v xml:space="preserve">								&lt;div class='input-search'&gt;
									&lt;input [(ngModel)]='unpackDoneColor' name='unpackDoneColor'
									class='form-control' [placeholder]="l('Unpack Done Color')"
									type='text' (keyup.enter)='searchDatas()'&gt;
								&lt;/div&gt;
								&lt;div class='input-search'&gt;
									&lt;input [(ngModel)]='needToUnpackColor' name='needToUnpackColor'
									class='form-control' [placeholder]="l('Need To Unpack Color')"
									type='text' (keyup.enter)='searchDatas()'&gt;
								&lt;/div&gt;
								&lt;div class='input-search'&gt;
									&lt;input [(ngModel)]='confirmFlagColor' name='confirmFlagColor'
									class='form-control' [placeholder]="l('Confirm Flag Color')"
									type='text' (keyup.enter)='searchDatas()'&gt;
								&lt;/div&gt;
								&lt;div class='input-search'&gt;
									&lt;input [(ngModel)]='confirmFlagSound' name='confirmFlagSound'
									class='form-control' [placeholder]="l('Confirm Flag Sound')"
									type='text' (keyup.enter)='searchDatas()'&gt;
								&lt;/div&gt;
								&lt;div class='input-search'&gt;
									&lt;input [(ngModel)]='delayUnpackColor' name='delayUnpackColor'
									class='form-control' [placeholder]="l('Delay Unpack Color')"
									type='text' (keyup.enter)='searchDatas()'&gt;
								&lt;/div&gt;
								&lt;div class='input-search'&gt;
									&lt;input [(ngModel)]='delayUnpackSound' name='delayUnpackSound'
									class='form-control' [placeholder]="l('Delay Unpack Sound')"
									type='text' (keyup.enter)='searchDatas()'&gt;
								&lt;/div&gt;
								&lt;div class='input-search'&gt;
									&lt;input [(ngModel)]='callLeaderColor' name='callLeaderColor'
									class='form-control' [placeholder]="l('Call Leader Color')"
									type='text' (keyup.enter)='searchDatas()'&gt;
								&lt;/div&gt;
								&lt;div class='input-search'&gt;
									&lt;input [(ngModel)]='callLeaderSound' name='callLeaderSound'
									class='form-control' [placeholder]="l('Call Leader Sound')"
									type='text' (keyup.enter)='searchDatas()'&gt;
								&lt;/div&gt;
								&lt;div class='input-search'&gt;
									&lt;input [(ngModel)]='beforeTacktimeColor' name='beforeTacktimeColor'
									class='form-control' [placeholder]="l('Before Tacktime Color')"
									type='text' (keyup.enter)='searchDatas()'&gt;
								&lt;/div&gt;
								&lt;div class='input-search'&gt;
									&lt;input [(ngModel)]='beforeTacktimeSound' name='beforeTacktimeSound'
									class='form-control' [placeholder]="l('Before Tacktime Sound')"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</v>
      </c>
      <c r="J13" s="31"/>
      <c r="K13" s="38" t="str">
        <f ca="1">TEXTJOIN2("
",TRUE,INDIRECT(K11):INDIRECT(K12))</f>
        <v xml:space="preserve">					&lt;div class='col-md-12 form-group row'&gt;
						&lt;label class='col-md-2 form-control title'&gt;Unpack Done Color&lt;/label&gt;
						&lt;input type='text' class='col-md-10 form-control input-text' name='UnpackDoneColor' [(ngModel)]='rowdata.unpackDoneColor'&gt;
					&lt;/div&gt;
					&lt;div class='col-md-12 form-group row'&gt;
						&lt;label class='col-md-2 form-control title'&gt;Need To Unpack Color&lt;/label&gt;
						&lt;input type='text' class='col-md-10 form-control input-text' name='NeedToUnpackColor' [(ngModel)]='rowdata.needToUnpackColor'&gt;
					&lt;/div&gt;
					&lt;div class='col-md-12 form-group row'&gt;
						&lt;label class='col-md-2 form-control title'&gt;Confirm Flag Color&lt;/label&gt;
						&lt;input type='text' class='col-md-10 form-control input-text' name='ConfirmFlagColor' [(ngModel)]='rowdata.confirmFlagColor'&gt;
					&lt;/div&gt;
					&lt;div class='col-md-12 form-group row'&gt;
						&lt;label class='col-md-2 form-control title'&gt;Confirm Flag Sound&lt;/label&gt;
						&lt;input type='text' class='col-md-10 form-control input-text' name='ConfirmFlagSound' [(ngModel)]='rowdata.confirmFlagSound'&gt;
					&lt;/div&gt;
					&lt;div class='col-md-12 form-group row'&gt;
						&lt;label class='col-md-2 form-control title'&gt;Confirm Flag Playtime&lt;/label&gt;
						&lt;input type='number' class='col-md-10 form-control input-text' name='ConfirmFlagPlaytime' [(ngModel)]='rowdata.confirmFlagPlaytime'&gt;
					&lt;/div&gt;
					&lt;div class='col-md-12 form-group row'&gt;
						&lt;label class='col-md-2 form-control title'&gt;Delay Unpack Color&lt;/label&gt;
						&lt;input type='text' class='col-md-10 form-control input-text' name='DelayUnpackColor' [(ngModel)]='rowdata.delayUnpackColor'&gt;
					&lt;/div&gt;
					&lt;div class='col-md-12 form-group row'&gt;
						&lt;label class='col-md-2 form-control title'&gt;Delay Unpack Sound&lt;/label&gt;
						&lt;input type='text' class='col-md-10 form-control input-text' name='DelayUnpackSound' [(ngModel)]='rowdata.delayUnpackSound'&gt;
					&lt;/div&gt;
					&lt;div class='col-md-12 form-group row'&gt;
						&lt;label class='col-md-2 form-control title'&gt;Delay Unpack Playtime&lt;/label&gt;
						&lt;input type='number' class='col-md-10 form-control input-text' name='DelayUnpackPlaytime' [(ngModel)]='rowdata.delayUnpackPlaytime'&gt;
					&lt;/div&gt;
					&lt;div class='col-md-12 form-group row'&gt;
						&lt;label class='col-md-2 form-control title'&gt;Call Leader Color&lt;/label&gt;
						&lt;input type='text' class='col-md-10 form-control input-text' name='CallLeaderColor' [(ngModel)]='rowdata.callLeaderColor'&gt;
					&lt;/div&gt;
					&lt;div class='col-md-12 form-group row'&gt;
						&lt;label class='col-md-2 form-control title'&gt;Call Leader Sound&lt;/label&gt;
						&lt;input type='text' class='col-md-10 form-control input-text' name='CallLeaderSound' [(ngModel)]='rowdata.callLeaderSound'&gt;
					&lt;/div&gt;
					&lt;div class='col-md-12 form-group row'&gt;
						&lt;label class='col-md-2 form-control title'&gt;Call Leader Playtime&lt;/label&gt;
						&lt;input type='number' class='col-md-10 form-control input-text' name='CallLeaderPlaytime' [(ngModel)]='rowdata.callLeaderPlaytime'&gt;
					&lt;/div&gt;
					&lt;div class='col-md-12 form-group row'&gt;
						&lt;label class='col-md-2 form-control title'&gt;Total Column Old Shift&lt;/label&gt;
						&lt;input type='number' class='col-md-10 form-control input-text' name='TotalColumnOldShift' [(ngModel)]='rowdata.totalColumnOldShift'&gt;
					&lt;/div&gt;
					&lt;div class='col-md-12 form-group row'&gt;
						&lt;label class='col-md-2 form-control title'&gt;Total Column Seq A1&lt;/label&gt;
						&lt;input type='number' class='col-md-10 form-control input-text' name='TotalColumnSeqA1' [(ngModel)]='rowdata.totalColumnSeqA1'&gt;
					&lt;/div&gt;
					&lt;div class='col-md-12 form-group row'&gt;
						&lt;label class='col-md-2 form-control title'&gt;Total Column Seq A2&lt;/label&gt;
						&lt;input type='number' class='col-md-10 form-control input-text' name='TotalColumnSeqA2' [(ngModel)]='rowdata.totalColumnSeqA2'&gt;
					&lt;/div&gt;
					&lt;div class='col-md-12 form-group row'&gt;
						&lt;label class='col-md-2 form-control title'&gt;Before Tacktime Color&lt;/label&gt;
						&lt;input type='text' class='col-md-10 form-control input-text' name='BeforeTacktimeColor' [(ngModel)]='rowdata.beforeTacktimeColor'&gt;
					&lt;/div&gt;
					&lt;div class='col-md-12 form-group row'&gt;
						&lt;label class='col-md-2 form-control title'&gt;Before Tacktime Sound&lt;/label&gt;
						&lt;input type='text' class='col-md-10 form-control input-text' name='BeforeTacktimeSound' [(ngModel)]='rowdata.beforeTacktimeSound'&gt;
					&lt;/div&gt;
					&lt;div class='col-md-12 form-group row'&gt;
						&lt;label class='col-md-2 form-control title'&gt;Before Tacktime Playtime&lt;/label&gt;
						&lt;input type='number' class='col-md-10 form-control input-text' name='BeforeTacktimePlaytime' [(ngModel)]='rowdata.beforeTacktimePlaytime'&gt;
					&lt;/div&gt;
					&lt;div class='col-md-12 form-group row'&gt;
						&lt;label class='col-md-2 form-control title'&gt;Tack Case A1&lt;/label&gt;
						&lt;input type='number' class='col-md-10 form-control input-text' name='TackCaseA1' [(ngModel)]='rowdata.tackCaseA1'&gt;
					&lt;/div&gt;
					&lt;div class='col-md-12 form-group row'&gt;
						&lt;label class='col-md-2 form-control title'&gt;Tack Case A2&lt;/label&gt;
						&lt;input type='number' class='col-md-10 form-control input-text' name='TackCaseA2' [(ngModel)]='rowdata.tackCaseA2'&gt;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13" s="60" t="str">
        <f ca="1">TEXTJOIN2("
",TRUE,INDIRECT(L11):INDIRECT(L12))</f>
        <v/>
      </c>
      <c r="M13" s="31"/>
      <c r="N13" s="31"/>
      <c r="O13" s="31"/>
      <c r="P13" s="31"/>
      <c r="Q13" s="31"/>
      <c r="R13" s="31"/>
      <c r="S13" s="68" t="str">
        <f ca="1">TEXTJOIN2("
",TRUE,INDIRECT(S11):INDIRECT(S12))</f>
        <v xml:space="preserve">unpackDoneColor : string = '' ; 
	needToUnpackColor : string = '' ; 
	needToUnpackFlash
	confirmFlagColor : string = '' ; 
	confirmFlagSound : string = '' ; 
confirmFlagPlaytime : number = 0 ;
	confirmFlagFlash
	delayUnpackColor : string = '' ; 
	delayUnpackSound : string = '' ; 
delayUnpackPlaytime : number = 0 ;
	delayUnpackFlash
	callLeaderColor : string = '' ; 
	callLeaderSound : string = '' ; 
	callLeaderPlaytime : number = 0 ;
callLeaderFlash
	totalColumnOldShift : number = 0 ;
	totalColumnSeqA1 : number = 0 ;
	totalColumnSeqA2 : number = 0 ;
	beforeTacktimeColor : string = '' ; 
beforeTacktimeSound : string = '' ; 
	beforeTacktimePlaytime : number = 0 ;
	beforeTacktimeFlash
	tackCaseA1 : number = 0 ;
	tackCaseA2 : number = 0 ;
	isActive : string = '' ; </v>
      </c>
      <c r="T13" s="68" t="str">
        <f ca="1">TEXTJOIN2("
",TRUE,INDIRECT(T11):INDIRECT(T12))</f>
        <v xml:space="preserve">			this.unpackDoneColor,
			this.needToUnpackColor,
			this.needToUnpackFlash,
			this.confirmFlagColor,
			this.confirmFlagSound,
			this.confirmFlagPlaytime,
			this.confirmFlagFlash,
			this.delayUnpackColor,
			this.delayUnpackSound,
			this.delayUnpackPlaytime,
			this.delayUnpackFlash,
			this.callLeaderColor,
			this.callLeaderSound,
			this.callLeaderPlaytime,
			this.callLeaderFlash,
			this.totalColumnOldShift,
			this.totalColumnSeqA1,
			this.totalColumnSeqA2,
			this.beforeTacktimeColor,
			this.beforeTacktimeSound,
			this.beforeTacktimePlaytime,
			this.beforeTacktimeFlash,
			this.tackCaseA1,
			this.tackCaseA2,
			this.isActive,</v>
      </c>
      <c r="U13" s="68" t="str">
        <f ca="1">TEXTJOIN2("
",TRUE,INDIRECT(U11):INDIRECT(U12))</f>
        <v>this.unpackDoneColor = '',
		this.needToUnpackColor = '',
		this.needToUnpackFlash = '',
		this.confirmFlagColor = '',
		this.confirmFlagSound = '',
this.confirmFlagPlaytime = 0,
		this.confirmFlagFlash = '',
		this.delayUnpackColor = '',
		this.delayUnpackSound = '',
this.delayUnpackPlaytime = 0,
		this.delayUnpackFlash = '',
		this.callLeaderColor = '',
		this.callLeaderSound = '',
		this.callLeaderPlaytime = 0,
this.callLeaderFlash = '',
		this.totalColumnOldShift = 0,
		this.totalColumnSeqA1 = 0,
		this.totalColumnSeqA2 = 0,
		this.beforeTacktimeColor = '',
this.beforeTacktimeSound = '',
		this.beforeTacktimePlaytime = 0,
		this.beforeTacktimeFlash = '',
		this.tackCaseA1 = 0,
		this.tackCaseA2 = 0,
		this.isActive = '',</v>
      </c>
      <c r="V13" s="31" t="str">
        <f ca="1">TEXTJOIN2("
",TRUE,INDIRECT(V11):INDIRECT(V12))</f>
        <v>isActive</v>
      </c>
    </row>
    <row r="14" spans="1:22" x14ac:dyDescent="0.25">
      <c r="A14" s="41" t="s">
        <v>218</v>
      </c>
      <c r="B14" s="31"/>
      <c r="C14" s="31"/>
      <c r="D14" s="31"/>
      <c r="E14" s="31"/>
      <c r="F14" s="31"/>
      <c r="G14" s="31"/>
      <c r="H14" s="39" t="str">
        <f>B8&amp;".component.ts"</f>
        <v>screenconfig.component.ts</v>
      </c>
      <c r="I14" s="40" t="str">
        <f>B8&amp;".component.html"</f>
        <v>screenconfig.component.html</v>
      </c>
      <c r="J14" s="39" t="str">
        <f>B8&amp;".component.less"</f>
        <v>screenconfig.component.less</v>
      </c>
      <c r="K14" s="40" t="str">
        <f>"create-or-edit-"&amp;B8&amp;"-modal.component.html"</f>
        <v>create-or-edit-screenconfig-modal.component.html</v>
      </c>
      <c r="L14" s="40" t="str">
        <f>"create-or-edit-"&amp;B8&amp;"-modal.component.ts"</f>
        <v>create-or-edit-screenconfig-modal.component.ts</v>
      </c>
      <c r="M14" s="40" t="str">
        <f>"create-or-edit-"&amp;B8&amp;"-modal.component.less"</f>
        <v>create-or-edit-screenconfig-modal.component.less</v>
      </c>
      <c r="N14" s="40" t="str">
        <f>B8&amp;".module.ts"</f>
        <v>screenconfig.module.ts</v>
      </c>
      <c r="O14" s="40" t="str">
        <f>B8&amp;"-routing.module.ts"</f>
        <v>screenconfig-routing.module.ts</v>
      </c>
      <c r="P14" s="40" t="s">
        <v>222</v>
      </c>
      <c r="Q14" s="40" t="s">
        <v>225</v>
      </c>
      <c r="R14" s="41" t="s">
        <v>232</v>
      </c>
      <c r="S14" s="40" t="s">
        <v>251</v>
      </c>
      <c r="T14" s="40" t="s">
        <v>252</v>
      </c>
      <c r="U14" s="40" t="s">
        <v>255</v>
      </c>
      <c r="V14" s="40" t="s">
        <v>264</v>
      </c>
    </row>
    <row r="15" spans="1:22" ht="18" customHeight="1" x14ac:dyDescent="0.25">
      <c r="A15" s="44" t="s">
        <v>305</v>
      </c>
      <c r="B15" s="31" t="str">
        <f>SUBSTITUTE(PROPER(A15),"_","")</f>
        <v>UnpackDoneColor</v>
      </c>
      <c r="C15" s="31" t="str">
        <f>SUBSTITUTE(PROPER(A15),"_"," ")</f>
        <v>Unpack Done Color</v>
      </c>
      <c r="D15" s="31" t="str">
        <f>LOWER(LEFT(B15,1))&amp;RIGHT(B15,LEN(B15) - 1)</f>
        <v>unpackDoneColor</v>
      </c>
      <c r="E15" s="31" t="str">
        <f>A.Backend!H9</f>
        <v>string</v>
      </c>
      <c r="F15" s="31" t="str">
        <f>A.Backend!G9</f>
        <v>50</v>
      </c>
      <c r="G15" s="31" t="str">
        <f>IF(E15="string"," : string = '' ; ",IF(OR(E15="DateTime",E15="TimeSpan")," : any ;",IF(E15="int"," : number = 0 ;","")))</f>
        <v xml:space="preserve"> : string = '' ; </v>
      </c>
      <c r="H15" s="38" t="str">
        <f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this.l('Unpack Done Color'),headerTooltip: this.l('Unpack Done Color'),field: 'unpackDoneColor',flex: 1},</v>
      </c>
      <c r="I15" s="38" t="str">
        <f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[(ngModel)]='unpackDoneColor' name='unpackDoneColor'
									class='form-control' [placeholder]="l('Unpack Done Color')"
									type='text' (keyup.enter)='searchDatas()'&gt;
								&lt;/div&gt;</v>
      </c>
      <c r="J15" s="31"/>
      <c r="K15" s="38" t="str">
        <f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title'&gt;Unpack Done Color&lt;/label&gt;
						&lt;input type='text' class='col-md-10 form-control input-text' name='UnpackDoneColor' [(ngModel)]='rowdata.unpackDoneColor'&gt;
					&lt;/div&gt;</v>
      </c>
      <c r="L15" s="60" t="str">
        <f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31"/>
      <c r="N15" s="31"/>
      <c r="O15" s="31"/>
      <c r="P15" s="31"/>
      <c r="Q15" s="31"/>
      <c r="R15" s="31"/>
      <c r="S15" s="31" t="str">
        <f>D15&amp;G15</f>
        <v xml:space="preserve">unpackDoneColor : string = '' ; </v>
      </c>
      <c r="T15" s="31" t="str">
        <f>REPT(CHAR(9),3)&amp;"this."&amp;D15&amp;","</f>
        <v xml:space="preserve">			this.unpackDoneColor,</v>
      </c>
      <c r="U15" s="31" t="str">
        <f>IF(E15="int","this."&amp;D15&amp;" = 0,","this."&amp;D15&amp;" = '',")</f>
        <v>this.unpackDoneColor = '',</v>
      </c>
      <c r="V15" s="31" t="str">
        <f>IF(AND(E15="string",F15="1"),D15,"")</f>
        <v/>
      </c>
    </row>
    <row r="16" spans="1:22" ht="15" customHeight="1" x14ac:dyDescent="0.25">
      <c r="A16" s="44" t="s">
        <v>306</v>
      </c>
      <c r="B16" s="31" t="str">
        <f t="shared" ref="B16:B17" si="0">SUBSTITUTE(PROPER(A16),"_","")</f>
        <v>NeedToUnpackColor</v>
      </c>
      <c r="C16" s="31" t="str">
        <f t="shared" ref="C16:C17" si="1">SUBSTITUTE(PROPER(A16),"_"," ")</f>
        <v>Need To Unpack Color</v>
      </c>
      <c r="D16" s="31" t="str">
        <f t="shared" ref="D16:D17" si="2">LOWER(LEFT(B16,1))&amp;RIGHT(B16,LEN(B16) - 1)</f>
        <v>needToUnpackColor</v>
      </c>
      <c r="E16" s="31" t="str">
        <f>A.Backend!H10</f>
        <v>string</v>
      </c>
      <c r="F16" s="31" t="str">
        <f>A.Backend!G10</f>
        <v>50</v>
      </c>
      <c r="G16" s="31" t="str">
        <f t="shared" ref="G16:G19" si="3">IF(E16="string"," : string = '' ; ",IF(OR(E16="DateTime",E16="TimeSpan")," : any ;",IF(E16="int"," : number = 0 ;","")))</f>
        <v xml:space="preserve"> : string = '' ; </v>
      </c>
      <c r="H16" s="38" t="str">
        <f t="shared" ref="H16:H19" si="4">IF(E16="DateTime",
REPT(CHAR(9),3)&amp;"{headerName: this.l('"&amp;C16&amp;"'),headerTooltip: this.l('"&amp;C16&amp;"'),field: '"&amp;D16&amp;"',valueGetter: (params) =&gt; this.pipe.transform(params.data?."&amp;D16&amp;", 'dd/MM/yyyy'),flex: 1},",
IF(AND(E16="string",F16="1"),
REPT(CHAR(9),3)&amp;"{headerName: this.l('"&amp;C16&amp;"'),headerTooltip: this.l('"&amp;C16&amp;"'),field:  '"&amp;D16&amp;"', cellClass: ['text-center'], width: 120, cellRenderer: 'agCellButtonComponent',
buttonDefTwo: { text: params =&gt; (params.data?.'"&amp;D16&amp;"' == 'Y') ? 'Active' : 'Inactive',iconName: 'fa fa-circle',className: params =&gt; (params.data?.'"&amp;D16&amp;"' == 'Y') ? 'btnActive' : 'btnInActive',},}",
REPT(CHAR(9),3)&amp;"{headerName: this.l('"&amp;C16&amp;"'),headerTooltip: this.l('"&amp;C16&amp;"'),field: '"&amp;D16&amp;"',flex: 1},"))</f>
        <v xml:space="preserve">			{headerName: this.l('Need To Unpack Color'),headerTooltip: this.l('Need To Unpack Color'),field: 'needToUnpackColor',flex: 1},</v>
      </c>
      <c r="I16" s="38" t="str">
        <f t="shared" ref="I16:I19" si="5"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IF(E16="string",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 xml:space="preserve">								&lt;div class='input-search'&gt;
									&lt;input [(ngModel)]='needToUnpackColor' name='needToUnpackColor'
									class='form-control' [placeholder]="l('Need To Unpack Color')"
									type='text' (keyup.enter)='searchDatas()'&gt;
								&lt;/div&gt;</v>
      </c>
      <c r="J16" s="31"/>
      <c r="K16" s="38" t="str">
        <f t="shared" ref="K16:K19" si="6">IF(OR(E16="DateTime",E16="TimeSpan"),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"&amp;REPT(CHAR(9),6)&amp;"&lt;new-checkbox [(ngModel)]='_"&amp;D16&amp;"' name='"&amp;D16&amp;"' className='col-md-10' &gt; &lt;/new-checkbox&gt;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IF(E16="int",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 xml:space="preserve">					&lt;div class='col-md-12 form-group row'&gt;
						&lt;label class='col-md-2 form-control title'&gt;Need To Unpack Color&lt;/label&gt;
						&lt;input type='text' class='col-md-10 form-control input-text' name='NeedToUnpackColor' [(ngModel)]='rowdata.needToUnpackColor'&gt;
					&lt;/div&gt;</v>
      </c>
      <c r="L16" s="60" t="str">
        <f t="shared" ref="L16:L19" si="7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31"/>
      <c r="N16" s="31"/>
      <c r="O16" s="31"/>
      <c r="P16" s="31"/>
      <c r="Q16" s="31"/>
      <c r="R16" s="31"/>
      <c r="S16" s="31" t="str">
        <f>REPT(CHAR(9),1)&amp;D16&amp;G16</f>
        <v xml:space="preserve">	needToUnpackColor : string = '' ; </v>
      </c>
      <c r="T16" s="31" t="str">
        <f>REPT(CHAR(9),3)&amp;"this."&amp;D16&amp;","</f>
        <v xml:space="preserve">			this.needToUnpackColor,</v>
      </c>
      <c r="U16" s="31" t="str">
        <f>IF(E16="int",REPT(CHAR(9),2)&amp;"this."&amp;D16&amp;" = 0,",REPT(CHAR(9),2)&amp;"this."&amp;D16&amp;" = '',")</f>
        <v xml:space="preserve">		this.needToUnpackColor = '',</v>
      </c>
      <c r="V16" s="31" t="str">
        <f t="shared" ref="V16:V19" si="8">IF(AND(E16="string",F16="1"),D16,"")</f>
        <v/>
      </c>
    </row>
    <row r="17" spans="1:22" ht="18" customHeight="1" x14ac:dyDescent="0.25">
      <c r="A17" s="44" t="s">
        <v>307</v>
      </c>
      <c r="B17" s="31" t="str">
        <f t="shared" si="0"/>
        <v>NeedToUnpackFlash</v>
      </c>
      <c r="C17" s="31" t="str">
        <f t="shared" si="1"/>
        <v>Need To Unpack Flash</v>
      </c>
      <c r="D17" s="31" t="str">
        <f t="shared" si="2"/>
        <v>needToUnpackFlash</v>
      </c>
      <c r="E17" s="31" t="str">
        <f>A.Backend!H11</f>
        <v>bool</v>
      </c>
      <c r="F17" s="31" t="str">
        <f>A.Backend!G11</f>
        <v/>
      </c>
      <c r="G17" s="31" t="str">
        <f t="shared" si="3"/>
        <v/>
      </c>
      <c r="H17" s="38" t="str">
        <f t="shared" si="4"/>
        <v xml:space="preserve">			{headerName: this.l('Need To Unpack Flash'),headerTooltip: this.l('Need To Unpack Flash'),field: 'needToUnpackFlash',flex: 1},</v>
      </c>
      <c r="I17" s="38" t="str">
        <f t="shared" si="5"/>
        <v/>
      </c>
      <c r="J17" s="31"/>
      <c r="K17" s="38" t="str">
        <f t="shared" si="6"/>
        <v/>
      </c>
      <c r="L17" s="60" t="str">
        <f t="shared" si="7"/>
        <v/>
      </c>
      <c r="M17" s="31"/>
      <c r="N17" s="31"/>
      <c r="O17" s="31"/>
      <c r="P17" s="31"/>
      <c r="Q17" s="31"/>
      <c r="R17" s="31"/>
      <c r="S17" s="31" t="str">
        <f t="shared" ref="S17:S19" si="9">REPT(CHAR(9),1)&amp;D17&amp;G17</f>
        <v xml:space="preserve">	needToUnpackFlash</v>
      </c>
      <c r="T17" s="31" t="str">
        <f t="shared" ref="T17:T19" si="10">REPT(CHAR(9),3)&amp;"this."&amp;D17&amp;","</f>
        <v xml:space="preserve">			this.needToUnpackFlash,</v>
      </c>
      <c r="U17" s="31" t="str">
        <f t="shared" ref="U17:U19" si="11">IF(E17="int",REPT(CHAR(9),2)&amp;"this."&amp;D17&amp;" = 0,",REPT(CHAR(9),2)&amp;"this."&amp;D17&amp;" = '',")</f>
        <v xml:space="preserve">		this.needToUnpackFlash = '',</v>
      </c>
      <c r="V17" s="31" t="str">
        <f t="shared" si="8"/>
        <v/>
      </c>
    </row>
    <row r="18" spans="1:22" ht="18" customHeight="1" x14ac:dyDescent="0.25">
      <c r="A18" s="44" t="s">
        <v>308</v>
      </c>
      <c r="B18" s="31" t="str">
        <f>SUBSTITUTE(PROPER(A18),"_","")</f>
        <v>ConfirmFlagColor</v>
      </c>
      <c r="C18" s="31" t="str">
        <f>SUBSTITUTE(PROPER(A18),"_"," ")</f>
        <v>Confirm Flag Color</v>
      </c>
      <c r="D18" s="31" t="str">
        <f>LOWER(LEFT(B18,1))&amp;RIGHT(B18,LEN(B18) - 1)</f>
        <v>confirmFlagColor</v>
      </c>
      <c r="E18" s="31" t="str">
        <f>A.Backend!H12</f>
        <v>string</v>
      </c>
      <c r="F18" s="31" t="str">
        <f>A.Backend!G12</f>
        <v>50</v>
      </c>
      <c r="G18" s="31" t="str">
        <f t="shared" si="3"/>
        <v xml:space="preserve"> : string = '' ; </v>
      </c>
      <c r="H18" s="38" t="str">
        <f t="shared" si="4"/>
        <v xml:space="preserve">			{headerName: this.l('Confirm Flag Color'),headerTooltip: this.l('Confirm Flag Color'),field: 'confirmFlagColor',flex: 1},</v>
      </c>
      <c r="I18" s="38" t="str">
        <f t="shared" si="5"/>
        <v xml:space="preserve">								&lt;div class='input-search'&gt;
									&lt;input [(ngModel)]='confirmFlagColor' name='confirmFlagColor'
									class='form-control' [placeholder]="l('Confirm Flag Color')"
									type='text' (keyup.enter)='searchDatas()'&gt;
								&lt;/div&gt;</v>
      </c>
      <c r="J18" s="31"/>
      <c r="K18" s="38" t="str">
        <f t="shared" si="6"/>
        <v xml:space="preserve">					&lt;div class='col-md-12 form-group row'&gt;
						&lt;label class='col-md-2 form-control title'&gt;Confirm Flag Color&lt;/label&gt;
						&lt;input type='text' class='col-md-10 form-control input-text' name='ConfirmFlagColor' [(ngModel)]='rowdata.confirmFlagColor'&gt;
					&lt;/div&gt;</v>
      </c>
      <c r="L18" s="60" t="str">
        <f t="shared" si="7"/>
        <v/>
      </c>
      <c r="M18" s="31"/>
      <c r="N18" s="31"/>
      <c r="O18" s="31"/>
      <c r="P18" s="31"/>
      <c r="Q18" s="31"/>
      <c r="R18" s="31"/>
      <c r="S18" s="31" t="str">
        <f t="shared" si="9"/>
        <v xml:space="preserve">	confirmFlagColor : string = '' ; </v>
      </c>
      <c r="T18" s="31" t="str">
        <f t="shared" si="10"/>
        <v xml:space="preserve">			this.confirmFlagColor,</v>
      </c>
      <c r="U18" s="31" t="str">
        <f t="shared" si="11"/>
        <v xml:space="preserve">		this.confirmFlagColor = '',</v>
      </c>
      <c r="V18" s="31" t="str">
        <f t="shared" si="8"/>
        <v/>
      </c>
    </row>
    <row r="19" spans="1:22" ht="15" customHeight="1" x14ac:dyDescent="0.25">
      <c r="A19" s="44" t="s">
        <v>309</v>
      </c>
      <c r="B19" s="31" t="str">
        <f t="shared" ref="B19" si="12">SUBSTITUTE(PROPER(A19),"_","")</f>
        <v>ConfirmFlagSound</v>
      </c>
      <c r="C19" s="31" t="str">
        <f t="shared" ref="C19" si="13">SUBSTITUTE(PROPER(A19),"_"," ")</f>
        <v>Confirm Flag Sound</v>
      </c>
      <c r="D19" s="31" t="str">
        <f t="shared" ref="D19" si="14">LOWER(LEFT(B19,1))&amp;RIGHT(B19,LEN(B19) - 1)</f>
        <v>confirmFlagSound</v>
      </c>
      <c r="E19" s="31" t="str">
        <f>A.Backend!H13</f>
        <v>string</v>
      </c>
      <c r="F19" s="31" t="str">
        <f>A.Backend!G13</f>
        <v>200</v>
      </c>
      <c r="G19" s="31" t="str">
        <f t="shared" si="3"/>
        <v xml:space="preserve"> : string = '' ; </v>
      </c>
      <c r="H19" s="38" t="str">
        <f t="shared" si="4"/>
        <v xml:space="preserve">			{headerName: this.l('Confirm Flag Sound'),headerTooltip: this.l('Confirm Flag Sound'),field: 'confirmFlagSound',flex: 1},</v>
      </c>
      <c r="I19" s="38" t="str">
        <f t="shared" si="5"/>
        <v xml:space="preserve">								&lt;div class='input-search'&gt;
									&lt;input [(ngModel)]='confirmFlagSound' name='confirmFlagSound'
									class='form-control' [placeholder]="l('Confirm Flag Sound')"
									type='text' (keyup.enter)='searchDatas()'&gt;
								&lt;/div&gt;</v>
      </c>
      <c r="J19" s="31"/>
      <c r="K19" s="38" t="str">
        <f t="shared" si="6"/>
        <v xml:space="preserve">					&lt;div class='col-md-12 form-group row'&gt;
						&lt;label class='col-md-2 form-control title'&gt;Confirm Flag Sound&lt;/label&gt;
						&lt;input type='text' class='col-md-10 form-control input-text' name='ConfirmFlagSound' [(ngModel)]='rowdata.confirmFlagSound'&gt;
					&lt;/div&gt;</v>
      </c>
      <c r="L19" s="60" t="str">
        <f t="shared" si="7"/>
        <v/>
      </c>
      <c r="M19" s="31"/>
      <c r="N19" s="31"/>
      <c r="O19" s="31"/>
      <c r="P19" s="31"/>
      <c r="Q19" s="31"/>
      <c r="R19" s="31"/>
      <c r="S19" s="31" t="str">
        <f t="shared" si="9"/>
        <v xml:space="preserve">	confirmFlagSound : string = '' ; </v>
      </c>
      <c r="T19" s="31" t="str">
        <f t="shared" si="10"/>
        <v xml:space="preserve">			this.confirmFlagSound,</v>
      </c>
      <c r="U19" s="31" t="str">
        <f t="shared" si="11"/>
        <v xml:space="preserve">		this.confirmFlagSound = '',</v>
      </c>
      <c r="V19" s="31" t="str">
        <f t="shared" si="8"/>
        <v/>
      </c>
    </row>
    <row r="20" spans="1:22" ht="18" customHeight="1" x14ac:dyDescent="0.25">
      <c r="A20" s="44" t="s">
        <v>311</v>
      </c>
      <c r="B20" s="31" t="str">
        <f>SUBSTITUTE(PROPER(A20),"_","")</f>
        <v>ConfirmFlagPlaytime</v>
      </c>
      <c r="C20" s="31" t="str">
        <f>SUBSTITUTE(PROPER(A20),"_"," ")</f>
        <v>Confirm Flag Playtime</v>
      </c>
      <c r="D20" s="31" t="str">
        <f>LOWER(LEFT(B20,1))&amp;RIGHT(B20,LEN(B20) - 1)</f>
        <v>confirmFlagPlaytime</v>
      </c>
      <c r="E20" s="31" t="str">
        <f>A.Backend!H14</f>
        <v>int</v>
      </c>
      <c r="F20" s="31" t="str">
        <f>A.Backend!G14</f>
        <v/>
      </c>
      <c r="G20" s="31" t="str">
        <f>IF(E20="string"," : string = '' ; ",IF(OR(E20="DateTime",E20="TimeSpan")," : any ;",IF(E20="int"," : number = 0 ;","")))</f>
        <v xml:space="preserve"> : number = 0 ;</v>
      </c>
      <c r="H20" s="38" t="str">
        <f>IF(E20="DateTime",
REPT(CHAR(9),3)&amp;"{headerName: this.l('"&amp;C20&amp;"'),headerTooltip: this.l('"&amp;C20&amp;"'),field: '"&amp;D20&amp;"',valueGetter: (params) =&gt; this.pipe.transform(params.data?."&amp;D20&amp;", 'dd/MM/yyyy'),flex: 1},",
IF(AND(E20="string",F20="1"),
REPT(CHAR(9),3)&amp;"{headerName: this.l('"&amp;C20&amp;"'),headerTooltip: this.l('"&amp;C20&amp;"'),field:  '"&amp;D20&amp;"', cellClass: ['text-center'], width: 120, cellRenderer: 'agCellButtonComponent',
buttonDefTwo: { text: params =&gt; (params.data?.'"&amp;D20&amp;"' == 'Y') ? 'Active' : 'Inactive',iconName: 'fa fa-circle',className: params =&gt; (params.data?.'"&amp;D20&amp;"' == 'Y') ? 'btnActive' : 'btnInActive',},}",
REPT(CHAR(9),3)&amp;"{headerName: this.l('"&amp;C20&amp;"'),headerTooltip: this.l('"&amp;C20&amp;"'),field: '"&amp;D20&amp;"',flex: 1},"))</f>
        <v xml:space="preserve">			{headerName: this.l('Confirm Flag Playtime'),headerTooltip: this.l('Confirm Flag Playtime'),field: 'confirmFlagPlaytime',flex: 1},</v>
      </c>
      <c r="I20" s="38" t="str">
        <f>IF(E20="DateTime",
REPT(CHAR(9),8)&amp;"&lt;div class='input-search'&gt;
"&amp;REPT(CHAR(9),9)&amp;"&lt;input type='text' [placeholder]=""l('"&amp;C20&amp;"')"" [(ngModel)]='"&amp;D20&amp;"' 
"&amp;REPT(CHAR(9),9)&amp;"name='"&amp;D20&amp;"'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IF(E20="string",
REPT(CHAR(9),8)&amp;"&lt;div class='input-search'&gt;
"&amp;REPT(CHAR(9),9)&amp;"&lt;input [(ngModel)]='"&amp;D20&amp;"' name='"&amp;D20&amp;"'
"&amp;REPT(CHAR(9),9)&amp;"class='form-control' [placeholder]=""l('"&amp;C20&amp;"')""
"&amp;REPT(CHAR(9),9)&amp;"type='text' (keyup.enter)='searchDatas()'&gt;
"&amp;REPT(CHAR(9),8)&amp;"&lt;/div&gt;",""))</f>
        <v/>
      </c>
      <c r="J20" s="31"/>
      <c r="K20" s="38" t="str">
        <f>IF(OR(E20="DateTime",E20="TimeSpan"),
REPT(CHAR(9),5)&amp;"&lt;div class='col-md-12 form-group row'&gt;
"&amp;REPT(CHAR(9),6)&amp;"&lt;label class='col-md-2 form-control title'&gt;"&amp;C20&amp;"&lt;/label&gt;
"&amp;REPT(CHAR(9),6)&amp;"&lt;input type='text' class='col-md-10 form-control input-text' name='"&amp;D20&amp;"' 
"&amp;REPT(CHAR(9),6)&amp;"#datepicker='bsDatepicker' [(ngModel)]='rowdata."&amp;D20&amp;"'  bsDatepicker &gt;
"&amp;REPT(CHAR(9),5)&amp;"&lt;/div&gt;",
IF(AND(E20="string",F20="1"),
REPT(CHAR(9),5)&amp;"&lt;div class='col-md-12 form-group row'&gt;
"&amp;REPT(CHAR(9),6)&amp;"&lt;label class='col-md-2 form-control title'&gt;"&amp;C20&amp;"&lt;/label&gt;
"&amp;REPT(CHAR(9),6)&amp;"&lt;new-checkbox [(ngModel)]='_"&amp;D20&amp;"' name='"&amp;D20&amp;"' className='col-md-10' &gt; &lt;/new-checkbox&gt;
"&amp;REPT(CHAR(9),5)&amp;"&lt;/div&gt;",
IF(E20="string",
REPT(CHAR(9),5)&amp;"&lt;div class='col-md-12 form-group row'&gt;
"&amp;REPT(CHAR(9),6)&amp;"&lt;label class='col-md-2 form-control title'&gt;"&amp;C20&amp;"&lt;/label&gt;
"&amp;REPT(CHAR(9),6)&amp;"&lt;input type='text' class='col-md-10 form-control input-text' name='"&amp;B20&amp;"' [(ngModel)]='rowdata."&amp;D20&amp;"'&gt;
"&amp;REPT(CHAR(9),5)&amp;"&lt;/div&gt;",
IF(E20="int",
REPT(CHAR(9),5)&amp;"&lt;div class='col-md-12 form-group row'&gt;
"&amp;REPT(CHAR(9),6)&amp;"&lt;label class='col-md-2 form-control title'&gt;"&amp;C20&amp;"&lt;/label&gt;
"&amp;REPT(CHAR(9),6)&amp;"&lt;input type='number' class='col-md-10 form-control input-text' name='"&amp;B20&amp;"' [(ngModel)]='rowdata."&amp;D20&amp;"'&gt;
"&amp;REPT(CHAR(9),5)&amp;"&lt;/div&gt;",""))))</f>
        <v xml:space="preserve">					&lt;div class='col-md-12 form-group row'&gt;
						&lt;label class='col-md-2 form-control title'&gt;Confirm Flag Playtime&lt;/label&gt;
						&lt;input type='number' class='col-md-10 form-control input-text' name='ConfirmFlagPlaytime' [(ngModel)]='rowdata.confirmFlagPlaytime'&gt;
					&lt;/div&gt;</v>
      </c>
      <c r="L20" s="60" t="str">
        <f>IF(E20="DateTime",
REPT(CHAR(9),2)&amp;"const dateValue =  this.rowdata."&amp;D20&amp;" ? new Date(this.rowdata."&amp;D20&amp;"?.toString()) : new Date();
"&amp;REPT(CHAR(9),2)&amp;"this.datepicker?.bsValueChange.emit(dateValue);","")</f>
        <v/>
      </c>
      <c r="M20" s="31"/>
      <c r="N20" s="31"/>
      <c r="O20" s="31"/>
      <c r="P20" s="31"/>
      <c r="Q20" s="31"/>
      <c r="R20" s="31"/>
      <c r="S20" s="31" t="str">
        <f>D20&amp;G20</f>
        <v>confirmFlagPlaytime : number = 0 ;</v>
      </c>
      <c r="T20" s="31" t="str">
        <f>REPT(CHAR(9),3)&amp;"this."&amp;D20&amp;","</f>
        <v xml:space="preserve">			this.confirmFlagPlaytime,</v>
      </c>
      <c r="U20" s="31" t="str">
        <f>IF(E20="int","this."&amp;D20&amp;" = 0,","this."&amp;D20&amp;" = '',")</f>
        <v>this.confirmFlagPlaytime = 0,</v>
      </c>
      <c r="V20" s="31" t="str">
        <f>IF(AND(E20="string",F20="1"),D20,"")</f>
        <v/>
      </c>
    </row>
    <row r="21" spans="1:22" ht="15" customHeight="1" x14ac:dyDescent="0.25">
      <c r="A21" s="44" t="s">
        <v>312</v>
      </c>
      <c r="B21" s="31" t="str">
        <f t="shared" ref="B21:B22" si="15">SUBSTITUTE(PROPER(A21),"_","")</f>
        <v>ConfirmFlagFlash</v>
      </c>
      <c r="C21" s="31" t="str">
        <f t="shared" ref="C21:C22" si="16">SUBSTITUTE(PROPER(A21),"_"," ")</f>
        <v>Confirm Flag Flash</v>
      </c>
      <c r="D21" s="31" t="str">
        <f t="shared" ref="D21:D22" si="17">LOWER(LEFT(B21,1))&amp;RIGHT(B21,LEN(B21) - 1)</f>
        <v>confirmFlagFlash</v>
      </c>
      <c r="E21" s="31" t="str">
        <f>A.Backend!H15</f>
        <v>bool</v>
      </c>
      <c r="F21" s="31" t="str">
        <f>A.Backend!G15</f>
        <v/>
      </c>
      <c r="G21" s="31" t="str">
        <f t="shared" ref="G21:G28" si="18">IF(E21="string"," : string = '' ; ",IF(OR(E21="DateTime",E21="TimeSpan")," : any ;",IF(E21="int"," : number = 0 ;","")))</f>
        <v/>
      </c>
      <c r="H21" s="38" t="str">
        <f t="shared" ref="H21:H28" si="19">IF(E21="DateTime",
REPT(CHAR(9),3)&amp;"{headerName: this.l('"&amp;C21&amp;"'),headerTooltip: this.l('"&amp;C21&amp;"'),field: '"&amp;D21&amp;"',valueGetter: (params) =&gt; this.pipe.transform(params.data?."&amp;D21&amp;", 'dd/MM/yyyy'),flex: 1},",
IF(AND(E21="string",F21="1"),
REPT(CHAR(9),3)&amp;"{headerName: this.l('"&amp;C21&amp;"'),headerTooltip: this.l('"&amp;C21&amp;"'),field:  '"&amp;D21&amp;"', cellClass: ['text-center'], width: 120, cellRenderer: 'agCellButtonComponent',
buttonDefTwo: { text: params =&gt; (params.data?.'"&amp;D21&amp;"' == 'Y') ? 'Active' : 'Inactive',iconName: 'fa fa-circle',className: params =&gt; (params.data?.'"&amp;D21&amp;"' == 'Y') ? 'btnActive' : 'btnInActive',},}",
REPT(CHAR(9),3)&amp;"{headerName: this.l('"&amp;C21&amp;"'),headerTooltip: this.l('"&amp;C21&amp;"'),field: '"&amp;D21&amp;"',flex: 1},"))</f>
        <v xml:space="preserve">			{headerName: this.l('Confirm Flag Flash'),headerTooltip: this.l('Confirm Flag Flash'),field: 'confirmFlagFlash',flex: 1},</v>
      </c>
      <c r="I21" s="38" t="str">
        <f t="shared" ref="I21:I28" si="20">IF(E21="DateTime",
REPT(CHAR(9),8)&amp;"&lt;div class='input-search'&gt;
"&amp;REPT(CHAR(9),9)&amp;"&lt;input type='text' [placeholder]=""l('"&amp;C21&amp;"')"" [(ngModel)]='"&amp;D21&amp;"' 
"&amp;REPT(CHAR(9),9)&amp;"name='"&amp;D21&amp;"'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IF(E21="string",
REPT(CHAR(9),8)&amp;"&lt;div class='input-search'&gt;
"&amp;REPT(CHAR(9),9)&amp;"&lt;input [(ngModel)]='"&amp;D21&amp;"' name='"&amp;D21&amp;"'
"&amp;REPT(CHAR(9),9)&amp;"class='form-control' [placeholder]=""l('"&amp;C21&amp;"')""
"&amp;REPT(CHAR(9),9)&amp;"type='text' (keyup.enter)='searchDatas()'&gt;
"&amp;REPT(CHAR(9),8)&amp;"&lt;/div&gt;",""))</f>
        <v/>
      </c>
      <c r="J21" s="31"/>
      <c r="K21" s="38" t="str">
        <f t="shared" ref="K21:K28" si="21">IF(OR(E21="DateTime",E21="TimeSpan"),
REPT(CHAR(9),5)&amp;"&lt;div class='col-md-12 form-group row'&gt;
"&amp;REPT(CHAR(9),6)&amp;"&lt;label class='col-md-2 form-control title'&gt;"&amp;C21&amp;"&lt;/label&gt;
"&amp;REPT(CHAR(9),6)&amp;"&lt;input type='text' class='col-md-10 form-control input-text' name='"&amp;D21&amp;"' 
"&amp;REPT(CHAR(9),6)&amp;"#datepicker='bsDatepicker' [(ngModel)]='rowdata."&amp;D21&amp;"'  bsDatepicker &gt;
"&amp;REPT(CHAR(9),5)&amp;"&lt;/div&gt;",
IF(AND(E21="string",F21="1"),
REPT(CHAR(9),5)&amp;"&lt;div class='col-md-12 form-group row'&gt;
"&amp;REPT(CHAR(9),6)&amp;"&lt;label class='col-md-2 form-control title'&gt;"&amp;C21&amp;"&lt;/label&gt;
"&amp;REPT(CHAR(9),6)&amp;"&lt;new-checkbox [(ngModel)]='_"&amp;D21&amp;"' name='"&amp;D21&amp;"' className='col-md-10' &gt; &lt;/new-checkbox&gt;
"&amp;REPT(CHAR(9),5)&amp;"&lt;/div&gt;",
IF(E21="string",
REPT(CHAR(9),5)&amp;"&lt;div class='col-md-12 form-group row'&gt;
"&amp;REPT(CHAR(9),6)&amp;"&lt;label class='col-md-2 form-control title'&gt;"&amp;C21&amp;"&lt;/label&gt;
"&amp;REPT(CHAR(9),6)&amp;"&lt;input type='text' class='col-md-10 form-control input-text' name='"&amp;B21&amp;"' [(ngModel)]='rowdata."&amp;D21&amp;"'&gt;
"&amp;REPT(CHAR(9),5)&amp;"&lt;/div&gt;",
IF(E21="int",
REPT(CHAR(9),5)&amp;"&lt;div class='col-md-12 form-group row'&gt;
"&amp;REPT(CHAR(9),6)&amp;"&lt;label class='col-md-2 form-control title'&gt;"&amp;C21&amp;"&lt;/label&gt;
"&amp;REPT(CHAR(9),6)&amp;"&lt;input type='number' class='col-md-10 form-control input-text' name='"&amp;B21&amp;"' [(ngModel)]='rowdata."&amp;D21&amp;"'&gt;
"&amp;REPT(CHAR(9),5)&amp;"&lt;/div&gt;",""))))</f>
        <v/>
      </c>
      <c r="L21" s="60" t="str">
        <f t="shared" ref="L21:L28" si="22">IF(E21="DateTime",
REPT(CHAR(9),2)&amp;"const dateValue =  this.rowdata."&amp;D21&amp;" ? new Date(this.rowdata."&amp;D21&amp;"?.toString()) : new Date();
"&amp;REPT(CHAR(9),2)&amp;"this.datepicker?.bsValueChange.emit(dateValue);","")</f>
        <v/>
      </c>
      <c r="M21" s="31"/>
      <c r="N21" s="31"/>
      <c r="O21" s="31"/>
      <c r="P21" s="31"/>
      <c r="Q21" s="31"/>
      <c r="R21" s="31"/>
      <c r="S21" s="31" t="str">
        <f>REPT(CHAR(9),1)&amp;D21&amp;G21</f>
        <v xml:space="preserve">	confirmFlagFlash</v>
      </c>
      <c r="T21" s="31" t="str">
        <f>REPT(CHAR(9),3)&amp;"this."&amp;D21&amp;","</f>
        <v xml:space="preserve">			this.confirmFlagFlash,</v>
      </c>
      <c r="U21" s="31" t="str">
        <f>IF(E21="int",REPT(CHAR(9),2)&amp;"this."&amp;D21&amp;" = 0,",REPT(CHAR(9),2)&amp;"this."&amp;D21&amp;" = '',")</f>
        <v xml:space="preserve">		this.confirmFlagFlash = '',</v>
      </c>
      <c r="V21" s="31" t="str">
        <f t="shared" ref="V21:V28" si="23">IF(AND(E21="string",F21="1"),D21,"")</f>
        <v/>
      </c>
    </row>
    <row r="22" spans="1:22" ht="18" customHeight="1" x14ac:dyDescent="0.25">
      <c r="A22" s="44" t="s">
        <v>313</v>
      </c>
      <c r="B22" s="31" t="str">
        <f t="shared" si="15"/>
        <v>DelayUnpackColor</v>
      </c>
      <c r="C22" s="31" t="str">
        <f t="shared" si="16"/>
        <v>Delay Unpack Color</v>
      </c>
      <c r="D22" s="31" t="str">
        <f t="shared" si="17"/>
        <v>delayUnpackColor</v>
      </c>
      <c r="E22" s="31" t="str">
        <f>A.Backend!H16</f>
        <v>string</v>
      </c>
      <c r="F22" s="31" t="str">
        <f>A.Backend!G16</f>
        <v>50</v>
      </c>
      <c r="G22" s="31" t="str">
        <f t="shared" si="18"/>
        <v xml:space="preserve"> : string = '' ; </v>
      </c>
      <c r="H22" s="38" t="str">
        <f t="shared" si="19"/>
        <v xml:space="preserve">			{headerName: this.l('Delay Unpack Color'),headerTooltip: this.l('Delay Unpack Color'),field: 'delayUnpackColor',flex: 1},</v>
      </c>
      <c r="I22" s="38" t="str">
        <f t="shared" si="20"/>
        <v xml:space="preserve">								&lt;div class='input-search'&gt;
									&lt;input [(ngModel)]='delayUnpackColor' name='delayUnpackColor'
									class='form-control' [placeholder]="l('Delay Unpack Color')"
									type='text' (keyup.enter)='searchDatas()'&gt;
								&lt;/div&gt;</v>
      </c>
      <c r="J22" s="31"/>
      <c r="K22" s="38" t="str">
        <f t="shared" si="21"/>
        <v xml:space="preserve">					&lt;div class='col-md-12 form-group row'&gt;
						&lt;label class='col-md-2 form-control title'&gt;Delay Unpack Color&lt;/label&gt;
						&lt;input type='text' class='col-md-10 form-control input-text' name='DelayUnpackColor' [(ngModel)]='rowdata.delayUnpackColor'&gt;
					&lt;/div&gt;</v>
      </c>
      <c r="L22" s="60" t="str">
        <f t="shared" si="22"/>
        <v/>
      </c>
      <c r="M22" s="31"/>
      <c r="N22" s="31"/>
      <c r="O22" s="31"/>
      <c r="P22" s="31"/>
      <c r="Q22" s="31"/>
      <c r="R22" s="31"/>
      <c r="S22" s="31" t="str">
        <f t="shared" ref="S22:S28" si="24">REPT(CHAR(9),1)&amp;D22&amp;G22</f>
        <v xml:space="preserve">	delayUnpackColor : string = '' ; </v>
      </c>
      <c r="T22" s="31" t="str">
        <f t="shared" ref="T22:T28" si="25">REPT(CHAR(9),3)&amp;"this."&amp;D22&amp;","</f>
        <v xml:space="preserve">			this.delayUnpackColor,</v>
      </c>
      <c r="U22" s="31" t="str">
        <f t="shared" ref="U22:U28" si="26">IF(E22="int",REPT(CHAR(9),2)&amp;"this."&amp;D22&amp;" = 0,",REPT(CHAR(9),2)&amp;"this."&amp;D22&amp;" = '',")</f>
        <v xml:space="preserve">		this.delayUnpackColor = '',</v>
      </c>
      <c r="V22" s="31" t="str">
        <f t="shared" si="23"/>
        <v/>
      </c>
    </row>
    <row r="23" spans="1:22" ht="18" customHeight="1" x14ac:dyDescent="0.25">
      <c r="A23" s="44" t="s">
        <v>314</v>
      </c>
      <c r="B23" s="31" t="str">
        <f>SUBSTITUTE(PROPER(A23),"_","")</f>
        <v>DelayUnpackSound</v>
      </c>
      <c r="C23" s="31" t="str">
        <f>SUBSTITUTE(PROPER(A23),"_"," ")</f>
        <v>Delay Unpack Sound</v>
      </c>
      <c r="D23" s="31" t="str">
        <f>LOWER(LEFT(B23,1))&amp;RIGHT(B23,LEN(B23) - 1)</f>
        <v>delayUnpackSound</v>
      </c>
      <c r="E23" s="31" t="str">
        <f>A.Backend!H17</f>
        <v>string</v>
      </c>
      <c r="F23" s="31" t="str">
        <f>A.Backend!G17</f>
        <v>200</v>
      </c>
      <c r="G23" s="31" t="str">
        <f t="shared" si="18"/>
        <v xml:space="preserve"> : string = '' ; </v>
      </c>
      <c r="H23" s="38" t="str">
        <f t="shared" si="19"/>
        <v xml:space="preserve">			{headerName: this.l('Delay Unpack Sound'),headerTooltip: this.l('Delay Unpack Sound'),field: 'delayUnpackSound',flex: 1},</v>
      </c>
      <c r="I23" s="38" t="str">
        <f t="shared" si="20"/>
        <v xml:space="preserve">								&lt;div class='input-search'&gt;
									&lt;input [(ngModel)]='delayUnpackSound' name='delayUnpackSound'
									class='form-control' [placeholder]="l('Delay Unpack Sound')"
									type='text' (keyup.enter)='searchDatas()'&gt;
								&lt;/div&gt;</v>
      </c>
      <c r="J23" s="31"/>
      <c r="K23" s="38" t="str">
        <f t="shared" si="21"/>
        <v xml:space="preserve">					&lt;div class='col-md-12 form-group row'&gt;
						&lt;label class='col-md-2 form-control title'&gt;Delay Unpack Sound&lt;/label&gt;
						&lt;input type='text' class='col-md-10 form-control input-text' name='DelayUnpackSound' [(ngModel)]='rowdata.delayUnpackSound'&gt;
					&lt;/div&gt;</v>
      </c>
      <c r="L23" s="60" t="str">
        <f t="shared" si="22"/>
        <v/>
      </c>
      <c r="M23" s="31"/>
      <c r="N23" s="31"/>
      <c r="O23" s="31"/>
      <c r="P23" s="31"/>
      <c r="Q23" s="31"/>
      <c r="R23" s="31"/>
      <c r="S23" s="31" t="str">
        <f t="shared" si="24"/>
        <v xml:space="preserve">	delayUnpackSound : string = '' ; </v>
      </c>
      <c r="T23" s="31" t="str">
        <f t="shared" si="25"/>
        <v xml:space="preserve">			this.delayUnpackSound,</v>
      </c>
      <c r="U23" s="31" t="str">
        <f t="shared" si="26"/>
        <v xml:space="preserve">		this.delayUnpackSound = '',</v>
      </c>
      <c r="V23" s="31" t="str">
        <f t="shared" si="23"/>
        <v/>
      </c>
    </row>
    <row r="24" spans="1:22" ht="18" customHeight="1" x14ac:dyDescent="0.25">
      <c r="A24" s="44" t="s">
        <v>315</v>
      </c>
      <c r="B24" s="31" t="str">
        <f>SUBSTITUTE(PROPER(A24),"_","")</f>
        <v>DelayUnpackPlaytime</v>
      </c>
      <c r="C24" s="31" t="str">
        <f>SUBSTITUTE(PROPER(A24),"_"," ")</f>
        <v>Delay Unpack Playtime</v>
      </c>
      <c r="D24" s="31" t="str">
        <f>LOWER(LEFT(B24,1))&amp;RIGHT(B24,LEN(B24) - 1)</f>
        <v>delayUnpackPlaytime</v>
      </c>
      <c r="E24" s="31" t="str">
        <f>A.Backend!H18</f>
        <v>int</v>
      </c>
      <c r="F24" s="31" t="str">
        <f>A.Backend!G18</f>
        <v/>
      </c>
      <c r="G24" s="31" t="str">
        <f>IF(E24="string"," : string = '' ; ",IF(OR(E24="DateTime",E24="TimeSpan")," : any ;",IF(E24="int"," : number = 0 ;","")))</f>
        <v xml:space="preserve"> : number = 0 ;</v>
      </c>
      <c r="H24" s="38" t="str">
        <f>IF(E24="DateTime",
REPT(CHAR(9),3)&amp;"{headerName: this.l('"&amp;C24&amp;"'),headerTooltip: this.l('"&amp;C24&amp;"'),field: '"&amp;D24&amp;"',valueGetter: (params) =&gt; this.pipe.transform(params.data?."&amp;D24&amp;", 'dd/MM/yyyy'),flex: 1},",
IF(AND(E24="string",F24="1"),
REPT(CHAR(9),3)&amp;"{headerName: this.l('"&amp;C24&amp;"'),headerTooltip: this.l('"&amp;C24&amp;"'),field:  '"&amp;D24&amp;"', cellClass: ['text-center'], width: 120, cellRenderer: 'agCellButtonComponent',
buttonDefTwo: { text: params =&gt; (params.data?.'"&amp;D24&amp;"' == 'Y') ? 'Active' : 'Inactive',iconName: 'fa fa-circle',className: params =&gt; (params.data?.'"&amp;D24&amp;"' == 'Y') ? 'btnActive' : 'btnInActive',},}",
REPT(CHAR(9),3)&amp;"{headerName: this.l('"&amp;C24&amp;"'),headerTooltip: this.l('"&amp;C24&amp;"'),field: '"&amp;D24&amp;"',flex: 1},"))</f>
        <v xml:space="preserve">			{headerName: this.l('Delay Unpack Playtime'),headerTooltip: this.l('Delay Unpack Playtime'),field: 'delayUnpackPlaytime',flex: 1},</v>
      </c>
      <c r="I24" s="38" t="str">
        <f>IF(E24="DateTime",
REPT(CHAR(9),8)&amp;"&lt;div class='input-search'&gt;
"&amp;REPT(CHAR(9),9)&amp;"&lt;input type='text' [placeholder]=""l('"&amp;C24&amp;"')"" [(ngModel)]='"&amp;D24&amp;"' 
"&amp;REPT(CHAR(9),9)&amp;"name='"&amp;D24&amp;"'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IF(E24="string",
REPT(CHAR(9),8)&amp;"&lt;div class='input-search'&gt;
"&amp;REPT(CHAR(9),9)&amp;"&lt;input [(ngModel)]='"&amp;D24&amp;"' name='"&amp;D24&amp;"'
"&amp;REPT(CHAR(9),9)&amp;"class='form-control' [placeholder]=""l('"&amp;C24&amp;"')""
"&amp;REPT(CHAR(9),9)&amp;"type='text' (keyup.enter)='searchDatas()'&gt;
"&amp;REPT(CHAR(9),8)&amp;"&lt;/div&gt;",""))</f>
        <v/>
      </c>
      <c r="J24" s="31"/>
      <c r="K24" s="38" t="str">
        <f>IF(OR(E24="DateTime",E24="TimeSpan"),
REPT(CHAR(9),5)&amp;"&lt;div class='col-md-12 form-group row'&gt;
"&amp;REPT(CHAR(9),6)&amp;"&lt;label class='col-md-2 form-control title'&gt;"&amp;C24&amp;"&lt;/label&gt;
"&amp;REPT(CHAR(9),6)&amp;"&lt;input type='text' class='col-md-10 form-control input-text' name='"&amp;D24&amp;"' 
"&amp;REPT(CHAR(9),6)&amp;"#datepicker='bsDatepicker' [(ngModel)]='rowdata."&amp;D24&amp;"'  bsDatepicker &gt;
"&amp;REPT(CHAR(9),5)&amp;"&lt;/div&gt;",
IF(AND(E24="string",F24="1"),
REPT(CHAR(9),5)&amp;"&lt;div class='col-md-12 form-group row'&gt;
"&amp;REPT(CHAR(9),6)&amp;"&lt;label class='col-md-2 form-control title'&gt;"&amp;C24&amp;"&lt;/label&gt;
"&amp;REPT(CHAR(9),6)&amp;"&lt;new-checkbox [(ngModel)]='_"&amp;D24&amp;"' name='"&amp;D24&amp;"' className='col-md-10' &gt; &lt;/new-checkbox&gt;
"&amp;REPT(CHAR(9),5)&amp;"&lt;/div&gt;",
IF(E24="string",
REPT(CHAR(9),5)&amp;"&lt;div class='col-md-12 form-group row'&gt;
"&amp;REPT(CHAR(9),6)&amp;"&lt;label class='col-md-2 form-control title'&gt;"&amp;C24&amp;"&lt;/label&gt;
"&amp;REPT(CHAR(9),6)&amp;"&lt;input type='text' class='col-md-10 form-control input-text' name='"&amp;B24&amp;"' [(ngModel)]='rowdata."&amp;D24&amp;"'&gt;
"&amp;REPT(CHAR(9),5)&amp;"&lt;/div&gt;",
IF(E24="int",
REPT(CHAR(9),5)&amp;"&lt;div class='col-md-12 form-group row'&gt;
"&amp;REPT(CHAR(9),6)&amp;"&lt;label class='col-md-2 form-control title'&gt;"&amp;C24&amp;"&lt;/label&gt;
"&amp;REPT(CHAR(9),6)&amp;"&lt;input type='number' class='col-md-10 form-control input-text' name='"&amp;B24&amp;"' [(ngModel)]='rowdata."&amp;D24&amp;"'&gt;
"&amp;REPT(CHAR(9),5)&amp;"&lt;/div&gt;",""))))</f>
        <v xml:space="preserve">					&lt;div class='col-md-12 form-group row'&gt;
						&lt;label class='col-md-2 form-control title'&gt;Delay Unpack Playtime&lt;/label&gt;
						&lt;input type='number' class='col-md-10 form-control input-text' name='DelayUnpackPlaytime' [(ngModel)]='rowdata.delayUnpackPlaytime'&gt;
					&lt;/div&gt;</v>
      </c>
      <c r="L24" s="60" t="str">
        <f>IF(E24="DateTime",
REPT(CHAR(9),2)&amp;"const dateValue =  this.rowdata."&amp;D24&amp;" ? new Date(this.rowdata."&amp;D24&amp;"?.toString()) : new Date();
"&amp;REPT(CHAR(9),2)&amp;"this.datepicker?.bsValueChange.emit(dateValue);","")</f>
        <v/>
      </c>
      <c r="M24" s="31"/>
      <c r="N24" s="31"/>
      <c r="O24" s="31"/>
      <c r="P24" s="31"/>
      <c r="Q24" s="31"/>
      <c r="R24" s="31"/>
      <c r="S24" s="31" t="str">
        <f>D24&amp;G24</f>
        <v>delayUnpackPlaytime : number = 0 ;</v>
      </c>
      <c r="T24" s="31" t="str">
        <f>REPT(CHAR(9),3)&amp;"this."&amp;D24&amp;","</f>
        <v xml:space="preserve">			this.delayUnpackPlaytime,</v>
      </c>
      <c r="U24" s="31" t="str">
        <f>IF(E24="int","this."&amp;D24&amp;" = 0,","this."&amp;D24&amp;" = '',")</f>
        <v>this.delayUnpackPlaytime = 0,</v>
      </c>
      <c r="V24" s="31" t="str">
        <f>IF(AND(E24="string",F24="1"),D24,"")</f>
        <v/>
      </c>
    </row>
    <row r="25" spans="1:22" ht="15" customHeight="1" x14ac:dyDescent="0.25">
      <c r="A25" s="44" t="s">
        <v>316</v>
      </c>
      <c r="B25" s="31" t="str">
        <f t="shared" ref="B25:B26" si="27">SUBSTITUTE(PROPER(A25),"_","")</f>
        <v>DelayUnpackFlash</v>
      </c>
      <c r="C25" s="31" t="str">
        <f t="shared" ref="C25:C26" si="28">SUBSTITUTE(PROPER(A25),"_"," ")</f>
        <v>Delay Unpack Flash</v>
      </c>
      <c r="D25" s="31" t="str">
        <f t="shared" ref="D25:D26" si="29">LOWER(LEFT(B25,1))&amp;RIGHT(B25,LEN(B25) - 1)</f>
        <v>delayUnpackFlash</v>
      </c>
      <c r="E25" s="31" t="str">
        <f>A.Backend!H19</f>
        <v>bool</v>
      </c>
      <c r="F25" s="31" t="str">
        <f>A.Backend!G19</f>
        <v/>
      </c>
      <c r="G25" s="31" t="str">
        <f t="shared" ref="G25:G27" si="30">IF(E25="string"," : string = '' ; ",IF(OR(E25="DateTime",E25="TimeSpan")," : any ;",IF(E25="int"," : number = 0 ;","")))</f>
        <v/>
      </c>
      <c r="H25" s="38" t="str">
        <f t="shared" ref="H25:H27" si="31">IF(E25="DateTime",
REPT(CHAR(9),3)&amp;"{headerName: this.l('"&amp;C25&amp;"'),headerTooltip: this.l('"&amp;C25&amp;"'),field: '"&amp;D25&amp;"',valueGetter: (params) =&gt; this.pipe.transform(params.data?."&amp;D25&amp;", 'dd/MM/yyyy'),flex: 1},",
IF(AND(E25="string",F25="1"),
REPT(CHAR(9),3)&amp;"{headerName: this.l('"&amp;C25&amp;"'),headerTooltip: this.l('"&amp;C25&amp;"'),field:  '"&amp;D25&amp;"', cellClass: ['text-center'], width: 120, cellRenderer: 'agCellButtonComponent',
buttonDefTwo: { text: params =&gt; (params.data?.'"&amp;D25&amp;"' == 'Y') ? 'Active' : 'Inactive',iconName: 'fa fa-circle',className: params =&gt; (params.data?.'"&amp;D25&amp;"' == 'Y') ? 'btnActive' : 'btnInActive',},}",
REPT(CHAR(9),3)&amp;"{headerName: this.l('"&amp;C25&amp;"'),headerTooltip: this.l('"&amp;C25&amp;"'),field: '"&amp;D25&amp;"',flex: 1},"))</f>
        <v xml:space="preserve">			{headerName: this.l('Delay Unpack Flash'),headerTooltip: this.l('Delay Unpack Flash'),field: 'delayUnpackFlash',flex: 1},</v>
      </c>
      <c r="I25" s="38" t="str">
        <f t="shared" ref="I25:I27" si="32">IF(E25="DateTime",
REPT(CHAR(9),8)&amp;"&lt;div class='input-search'&gt;
"&amp;REPT(CHAR(9),9)&amp;"&lt;input type='text' [placeholder]=""l('"&amp;C25&amp;"')"" [(ngModel)]='"&amp;D25&amp;"' 
"&amp;REPT(CHAR(9),9)&amp;"name='"&amp;D25&amp;"'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IF(E25="string",
REPT(CHAR(9),8)&amp;"&lt;div class='input-search'&gt;
"&amp;REPT(CHAR(9),9)&amp;"&lt;input [(ngModel)]='"&amp;D25&amp;"' name='"&amp;D25&amp;"'
"&amp;REPT(CHAR(9),9)&amp;"class='form-control' [placeholder]=""l('"&amp;C25&amp;"')""
"&amp;REPT(CHAR(9),9)&amp;"type='text' (keyup.enter)='searchDatas()'&gt;
"&amp;REPT(CHAR(9),8)&amp;"&lt;/div&gt;",""))</f>
        <v/>
      </c>
      <c r="J25" s="31"/>
      <c r="K25" s="38" t="str">
        <f t="shared" ref="K25:K27" si="33">IF(OR(E25="DateTime",E25="TimeSpan"),
REPT(CHAR(9),5)&amp;"&lt;div class='col-md-12 form-group row'&gt;
"&amp;REPT(CHAR(9),6)&amp;"&lt;label class='col-md-2 form-control title'&gt;"&amp;C25&amp;"&lt;/label&gt;
"&amp;REPT(CHAR(9),6)&amp;"&lt;input type='text' class='col-md-10 form-control input-text' name='"&amp;D25&amp;"' 
"&amp;REPT(CHAR(9),6)&amp;"#datepicker='bsDatepicker' [(ngModel)]='rowdata."&amp;D25&amp;"'  bsDatepicker &gt;
"&amp;REPT(CHAR(9),5)&amp;"&lt;/div&gt;",
IF(AND(E25="string",F25="1"),
REPT(CHAR(9),5)&amp;"&lt;div class='col-md-12 form-group row'&gt;
"&amp;REPT(CHAR(9),6)&amp;"&lt;label class='col-md-2 form-control title'&gt;"&amp;C25&amp;"&lt;/label&gt;
"&amp;REPT(CHAR(9),6)&amp;"&lt;new-checkbox [(ngModel)]='_"&amp;D25&amp;"' name='"&amp;D25&amp;"' className='col-md-10' &gt; &lt;/new-checkbox&gt;
"&amp;REPT(CHAR(9),5)&amp;"&lt;/div&gt;",
IF(E25="string",
REPT(CHAR(9),5)&amp;"&lt;div class='col-md-12 form-group row'&gt;
"&amp;REPT(CHAR(9),6)&amp;"&lt;label class='col-md-2 form-control title'&gt;"&amp;C25&amp;"&lt;/label&gt;
"&amp;REPT(CHAR(9),6)&amp;"&lt;input type='text' class='col-md-10 form-control input-text' name='"&amp;B25&amp;"' [(ngModel)]='rowdata."&amp;D25&amp;"'&gt;
"&amp;REPT(CHAR(9),5)&amp;"&lt;/div&gt;",
IF(E25="int",
REPT(CHAR(9),5)&amp;"&lt;div class='col-md-12 form-group row'&gt;
"&amp;REPT(CHAR(9),6)&amp;"&lt;label class='col-md-2 form-control title'&gt;"&amp;C25&amp;"&lt;/label&gt;
"&amp;REPT(CHAR(9),6)&amp;"&lt;input type='number' class='col-md-10 form-control input-text' name='"&amp;B25&amp;"' [(ngModel)]='rowdata."&amp;D25&amp;"'&gt;
"&amp;REPT(CHAR(9),5)&amp;"&lt;/div&gt;",""))))</f>
        <v/>
      </c>
      <c r="L25" s="60" t="str">
        <f t="shared" ref="L25:L27" si="34">IF(E25="DateTime",
REPT(CHAR(9),2)&amp;"const dateValue =  this.rowdata."&amp;D25&amp;" ? new Date(this.rowdata."&amp;D25&amp;"?.toString()) : new Date();
"&amp;REPT(CHAR(9),2)&amp;"this.datepicker?.bsValueChange.emit(dateValue);","")</f>
        <v/>
      </c>
      <c r="M25" s="31"/>
      <c r="N25" s="31"/>
      <c r="O25" s="31"/>
      <c r="P25" s="31"/>
      <c r="Q25" s="31"/>
      <c r="R25" s="31"/>
      <c r="S25" s="31" t="str">
        <f>REPT(CHAR(9),1)&amp;D25&amp;G25</f>
        <v xml:space="preserve">	delayUnpackFlash</v>
      </c>
      <c r="T25" s="31" t="str">
        <f>REPT(CHAR(9),3)&amp;"this."&amp;D25&amp;","</f>
        <v xml:space="preserve">			this.delayUnpackFlash,</v>
      </c>
      <c r="U25" s="31" t="str">
        <f>IF(E25="int",REPT(CHAR(9),2)&amp;"this."&amp;D25&amp;" = 0,",REPT(CHAR(9),2)&amp;"this."&amp;D25&amp;" = '',")</f>
        <v xml:space="preserve">		this.delayUnpackFlash = '',</v>
      </c>
      <c r="V25" s="31" t="str">
        <f t="shared" ref="V25:V27" si="35">IF(AND(E25="string",F25="1"),D25,"")</f>
        <v/>
      </c>
    </row>
    <row r="26" spans="1:22" ht="18" customHeight="1" x14ac:dyDescent="0.25">
      <c r="A26" s="44" t="s">
        <v>317</v>
      </c>
      <c r="B26" s="31" t="str">
        <f t="shared" si="27"/>
        <v>CallLeaderColor</v>
      </c>
      <c r="C26" s="31" t="str">
        <f t="shared" si="28"/>
        <v>Call Leader Color</v>
      </c>
      <c r="D26" s="31" t="str">
        <f t="shared" si="29"/>
        <v>callLeaderColor</v>
      </c>
      <c r="E26" s="31" t="str">
        <f>A.Backend!H20</f>
        <v>string</v>
      </c>
      <c r="F26" s="31" t="str">
        <f>A.Backend!G20</f>
        <v>50</v>
      </c>
      <c r="G26" s="31" t="str">
        <f t="shared" si="30"/>
        <v xml:space="preserve"> : string = '' ; </v>
      </c>
      <c r="H26" s="38" t="str">
        <f t="shared" si="31"/>
        <v xml:space="preserve">			{headerName: this.l('Call Leader Color'),headerTooltip: this.l('Call Leader Color'),field: 'callLeaderColor',flex: 1},</v>
      </c>
      <c r="I26" s="38" t="str">
        <f t="shared" si="32"/>
        <v xml:space="preserve">								&lt;div class='input-search'&gt;
									&lt;input [(ngModel)]='callLeaderColor' name='callLeaderColor'
									class='form-control' [placeholder]="l('Call Leader Color')"
									type='text' (keyup.enter)='searchDatas()'&gt;
								&lt;/div&gt;</v>
      </c>
      <c r="J26" s="31"/>
      <c r="K26" s="38" t="str">
        <f t="shared" si="33"/>
        <v xml:space="preserve">					&lt;div class='col-md-12 form-group row'&gt;
						&lt;label class='col-md-2 form-control title'&gt;Call Leader Color&lt;/label&gt;
						&lt;input type='text' class='col-md-10 form-control input-text' name='CallLeaderColor' [(ngModel)]='rowdata.callLeaderColor'&gt;
					&lt;/div&gt;</v>
      </c>
      <c r="L26" s="60" t="str">
        <f t="shared" si="34"/>
        <v/>
      </c>
      <c r="M26" s="31"/>
      <c r="N26" s="31"/>
      <c r="O26" s="31"/>
      <c r="P26" s="31"/>
      <c r="Q26" s="31"/>
      <c r="R26" s="31"/>
      <c r="S26" s="31" t="str">
        <f t="shared" ref="S26:S27" si="36">REPT(CHAR(9),1)&amp;D26&amp;G26</f>
        <v xml:space="preserve">	callLeaderColor : string = '' ; </v>
      </c>
      <c r="T26" s="31" t="str">
        <f t="shared" ref="T26:T27" si="37">REPT(CHAR(9),3)&amp;"this."&amp;D26&amp;","</f>
        <v xml:space="preserve">			this.callLeaderColor,</v>
      </c>
      <c r="U26" s="31" t="str">
        <f t="shared" ref="U26:U27" si="38">IF(E26="int",REPT(CHAR(9),2)&amp;"this."&amp;D26&amp;" = 0,",REPT(CHAR(9),2)&amp;"this."&amp;D26&amp;" = '',")</f>
        <v xml:space="preserve">		this.callLeaderColor = '',</v>
      </c>
      <c r="V26" s="31" t="str">
        <f t="shared" si="35"/>
        <v/>
      </c>
    </row>
    <row r="27" spans="1:22" ht="18" customHeight="1" x14ac:dyDescent="0.25">
      <c r="A27" s="44" t="s">
        <v>318</v>
      </c>
      <c r="B27" s="31" t="str">
        <f>SUBSTITUTE(PROPER(A27),"_","")</f>
        <v>CallLeaderSound</v>
      </c>
      <c r="C27" s="31" t="str">
        <f>SUBSTITUTE(PROPER(A27),"_"," ")</f>
        <v>Call Leader Sound</v>
      </c>
      <c r="D27" s="31" t="str">
        <f>LOWER(LEFT(B27,1))&amp;RIGHT(B27,LEN(B27) - 1)</f>
        <v>callLeaderSound</v>
      </c>
      <c r="E27" s="31" t="str">
        <f>A.Backend!H21</f>
        <v>string</v>
      </c>
      <c r="F27" s="31" t="str">
        <f>A.Backend!G21</f>
        <v>200</v>
      </c>
      <c r="G27" s="31" t="str">
        <f t="shared" si="30"/>
        <v xml:space="preserve"> : string = '' ; </v>
      </c>
      <c r="H27" s="38" t="str">
        <f t="shared" si="31"/>
        <v xml:space="preserve">			{headerName: this.l('Call Leader Sound'),headerTooltip: this.l('Call Leader Sound'),field: 'callLeaderSound',flex: 1},</v>
      </c>
      <c r="I27" s="38" t="str">
        <f t="shared" si="32"/>
        <v xml:space="preserve">								&lt;div class='input-search'&gt;
									&lt;input [(ngModel)]='callLeaderSound' name='callLeaderSound'
									class='form-control' [placeholder]="l('Call Leader Sound')"
									type='text' (keyup.enter)='searchDatas()'&gt;
								&lt;/div&gt;</v>
      </c>
      <c r="J27" s="31"/>
      <c r="K27" s="38" t="str">
        <f t="shared" si="33"/>
        <v xml:space="preserve">					&lt;div class='col-md-12 form-group row'&gt;
						&lt;label class='col-md-2 form-control title'&gt;Call Leader Sound&lt;/label&gt;
						&lt;input type='text' class='col-md-10 form-control input-text' name='CallLeaderSound' [(ngModel)]='rowdata.callLeaderSound'&gt;
					&lt;/div&gt;</v>
      </c>
      <c r="L27" s="60" t="str">
        <f t="shared" si="34"/>
        <v/>
      </c>
      <c r="M27" s="31"/>
      <c r="N27" s="31"/>
      <c r="O27" s="31"/>
      <c r="P27" s="31"/>
      <c r="Q27" s="31"/>
      <c r="R27" s="31"/>
      <c r="S27" s="31" t="str">
        <f t="shared" si="36"/>
        <v xml:space="preserve">	callLeaderSound : string = '' ; </v>
      </c>
      <c r="T27" s="31" t="str">
        <f t="shared" si="37"/>
        <v xml:space="preserve">			this.callLeaderSound,</v>
      </c>
      <c r="U27" s="31" t="str">
        <f t="shared" si="38"/>
        <v xml:space="preserve">		this.callLeaderSound = '',</v>
      </c>
      <c r="V27" s="31" t="str">
        <f t="shared" si="35"/>
        <v/>
      </c>
    </row>
    <row r="28" spans="1:22" ht="15" customHeight="1" x14ac:dyDescent="0.25">
      <c r="A28" s="44" t="s">
        <v>319</v>
      </c>
      <c r="B28" s="31" t="str">
        <f t="shared" ref="B28" si="39">SUBSTITUTE(PROPER(A28),"_","")</f>
        <v>CallLeaderPlaytime</v>
      </c>
      <c r="C28" s="31" t="str">
        <f t="shared" ref="C28" si="40">SUBSTITUTE(PROPER(A28),"_"," ")</f>
        <v>Call Leader Playtime</v>
      </c>
      <c r="D28" s="31" t="str">
        <f t="shared" ref="D28" si="41">LOWER(LEFT(B28,1))&amp;RIGHT(B28,LEN(B28) - 1)</f>
        <v>callLeaderPlaytime</v>
      </c>
      <c r="E28" s="31" t="str">
        <f>A.Backend!H22</f>
        <v>int</v>
      </c>
      <c r="F28" s="31" t="str">
        <f>A.Backend!G22</f>
        <v/>
      </c>
      <c r="G28" s="31" t="str">
        <f t="shared" si="18"/>
        <v xml:space="preserve"> : number = 0 ;</v>
      </c>
      <c r="H28" s="38" t="str">
        <f t="shared" si="19"/>
        <v xml:space="preserve">			{headerName: this.l('Call Leader Playtime'),headerTooltip: this.l('Call Leader Playtime'),field: 'callLeaderPlaytime',flex: 1},</v>
      </c>
      <c r="I28" s="38" t="str">
        <f t="shared" si="20"/>
        <v/>
      </c>
      <c r="J28" s="31"/>
      <c r="K28" s="38" t="str">
        <f t="shared" si="21"/>
        <v xml:space="preserve">					&lt;div class='col-md-12 form-group row'&gt;
						&lt;label class='col-md-2 form-control title'&gt;Call Leader Playtime&lt;/label&gt;
						&lt;input type='number' class='col-md-10 form-control input-text' name='CallLeaderPlaytime' [(ngModel)]='rowdata.callLeaderPlaytime'&gt;
					&lt;/div&gt;</v>
      </c>
      <c r="L28" s="60" t="str">
        <f t="shared" si="22"/>
        <v/>
      </c>
      <c r="M28" s="31"/>
      <c r="N28" s="31"/>
      <c r="O28" s="31"/>
      <c r="P28" s="31"/>
      <c r="Q28" s="31"/>
      <c r="R28" s="31"/>
      <c r="S28" s="31" t="str">
        <f t="shared" si="24"/>
        <v xml:space="preserve">	callLeaderPlaytime : number = 0 ;</v>
      </c>
      <c r="T28" s="31" t="str">
        <f t="shared" si="25"/>
        <v xml:space="preserve">			this.callLeaderPlaytime,</v>
      </c>
      <c r="U28" s="31" t="str">
        <f t="shared" si="26"/>
        <v xml:space="preserve">		this.callLeaderPlaytime = 0,</v>
      </c>
      <c r="V28" s="31" t="str">
        <f t="shared" si="23"/>
        <v/>
      </c>
    </row>
    <row r="29" spans="1:22" ht="18" customHeight="1" x14ac:dyDescent="0.25">
      <c r="A29" s="44" t="s">
        <v>320</v>
      </c>
      <c r="B29" s="31" t="str">
        <f>SUBSTITUTE(PROPER(A29),"_","")</f>
        <v>CallLeaderFlash</v>
      </c>
      <c r="C29" s="31" t="str">
        <f>SUBSTITUTE(PROPER(A29),"_"," ")</f>
        <v>Call Leader Flash</v>
      </c>
      <c r="D29" s="31" t="str">
        <f>LOWER(LEFT(B29,1))&amp;RIGHT(B29,LEN(B29) - 1)</f>
        <v>callLeaderFlash</v>
      </c>
      <c r="E29" s="31" t="str">
        <f>A.Backend!H23</f>
        <v>bool</v>
      </c>
      <c r="F29" s="31" t="str">
        <f>A.Backend!G23</f>
        <v/>
      </c>
      <c r="G29" s="31" t="str">
        <f>IF(E29="string"," : string = '' ; ",IF(OR(E29="DateTime",E29="TimeSpan")," : any ;",IF(E29="int"," : number = 0 ;","")))</f>
        <v/>
      </c>
      <c r="H29" s="38" t="str">
        <f>IF(E29="DateTime",
REPT(CHAR(9),3)&amp;"{headerName: this.l('"&amp;C29&amp;"'),headerTooltip: this.l('"&amp;C29&amp;"'),field: '"&amp;D29&amp;"',valueGetter: (params) =&gt; this.pipe.transform(params.data?."&amp;D29&amp;", 'dd/MM/yyyy'),flex: 1},",
IF(AND(E29="string",F29="1"),
REPT(CHAR(9),3)&amp;"{headerName: this.l('"&amp;C29&amp;"'),headerTooltip: this.l('"&amp;C29&amp;"'),field:  '"&amp;D29&amp;"', cellClass: ['text-center'], width: 120, cellRenderer: 'agCellButtonComponent',
buttonDefTwo: { text: params =&gt; (params.data?.'"&amp;D29&amp;"' == 'Y') ? 'Active' : 'Inactive',iconName: 'fa fa-circle',className: params =&gt; (params.data?.'"&amp;D29&amp;"' == 'Y') ? 'btnActive' : 'btnInActive',},}",
REPT(CHAR(9),3)&amp;"{headerName: this.l('"&amp;C29&amp;"'),headerTooltip: this.l('"&amp;C29&amp;"'),field: '"&amp;D29&amp;"',flex: 1},"))</f>
        <v xml:space="preserve">			{headerName: this.l('Call Leader Flash'),headerTooltip: this.l('Call Leader Flash'),field: 'callLeaderFlash',flex: 1},</v>
      </c>
      <c r="I29" s="38" t="str">
        <f>IF(E29="DateTime",
REPT(CHAR(9),8)&amp;"&lt;div class='input-search'&gt;
"&amp;REPT(CHAR(9),9)&amp;"&lt;input type='text' [placeholder]=""l('"&amp;C29&amp;"')"" [(ngModel)]='"&amp;D29&amp;"' 
"&amp;REPT(CHAR(9),9)&amp;"name='"&amp;D29&amp;"'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IF(E29="string",
REPT(CHAR(9),8)&amp;"&lt;div class='input-search'&gt;
"&amp;REPT(CHAR(9),9)&amp;"&lt;input [(ngModel)]='"&amp;D29&amp;"' name='"&amp;D29&amp;"'
"&amp;REPT(CHAR(9),9)&amp;"class='form-control' [placeholder]=""l('"&amp;C29&amp;"')""
"&amp;REPT(CHAR(9),9)&amp;"type='text' (keyup.enter)='searchDatas()'&gt;
"&amp;REPT(CHAR(9),8)&amp;"&lt;/div&gt;",""))</f>
        <v/>
      </c>
      <c r="J29" s="31"/>
      <c r="K29" s="38" t="str">
        <f>IF(OR(E29="DateTime",E29="TimeSpan"),
REPT(CHAR(9),5)&amp;"&lt;div class='col-md-12 form-group row'&gt;
"&amp;REPT(CHAR(9),6)&amp;"&lt;label class='col-md-2 form-control title'&gt;"&amp;C29&amp;"&lt;/label&gt;
"&amp;REPT(CHAR(9),6)&amp;"&lt;input type='text' class='col-md-10 form-control input-text' name='"&amp;D29&amp;"' 
"&amp;REPT(CHAR(9),6)&amp;"#datepicker='bsDatepicker' [(ngModel)]='rowdata."&amp;D29&amp;"'  bsDatepicker &gt;
"&amp;REPT(CHAR(9),5)&amp;"&lt;/div&gt;",
IF(AND(E29="string",F29="1"),
REPT(CHAR(9),5)&amp;"&lt;div class='col-md-12 form-group row'&gt;
"&amp;REPT(CHAR(9),6)&amp;"&lt;label class='col-md-2 form-control title'&gt;"&amp;C29&amp;"&lt;/label&gt;
"&amp;REPT(CHAR(9),6)&amp;"&lt;new-checkbox [(ngModel)]='_"&amp;D29&amp;"' name='"&amp;D29&amp;"' className='col-md-10' &gt; &lt;/new-checkbox&gt;
"&amp;REPT(CHAR(9),5)&amp;"&lt;/div&gt;",
IF(E29="string",
REPT(CHAR(9),5)&amp;"&lt;div class='col-md-12 form-group row'&gt;
"&amp;REPT(CHAR(9),6)&amp;"&lt;label class='col-md-2 form-control title'&gt;"&amp;C29&amp;"&lt;/label&gt;
"&amp;REPT(CHAR(9),6)&amp;"&lt;input type='text' class='col-md-10 form-control input-text' name='"&amp;B29&amp;"' [(ngModel)]='rowdata."&amp;D29&amp;"'&gt;
"&amp;REPT(CHAR(9),5)&amp;"&lt;/div&gt;",
IF(E29="int",
REPT(CHAR(9),5)&amp;"&lt;div class='col-md-12 form-group row'&gt;
"&amp;REPT(CHAR(9),6)&amp;"&lt;label class='col-md-2 form-control title'&gt;"&amp;C29&amp;"&lt;/label&gt;
"&amp;REPT(CHAR(9),6)&amp;"&lt;input type='number' class='col-md-10 form-control input-text' name='"&amp;B29&amp;"' [(ngModel)]='rowdata."&amp;D29&amp;"'&gt;
"&amp;REPT(CHAR(9),5)&amp;"&lt;/div&gt;",""))))</f>
        <v/>
      </c>
      <c r="L29" s="60" t="str">
        <f>IF(E29="DateTime",
REPT(CHAR(9),2)&amp;"const dateValue =  this.rowdata."&amp;D29&amp;" ? new Date(this.rowdata."&amp;D29&amp;"?.toString()) : new Date();
"&amp;REPT(CHAR(9),2)&amp;"this.datepicker?.bsValueChange.emit(dateValue);","")</f>
        <v/>
      </c>
      <c r="M29" s="31"/>
      <c r="N29" s="31"/>
      <c r="O29" s="31"/>
      <c r="P29" s="31"/>
      <c r="Q29" s="31"/>
      <c r="R29" s="31"/>
      <c r="S29" s="31" t="str">
        <f>D29&amp;G29</f>
        <v>callLeaderFlash</v>
      </c>
      <c r="T29" s="31" t="str">
        <f>REPT(CHAR(9),3)&amp;"this."&amp;D29&amp;","</f>
        <v xml:space="preserve">			this.callLeaderFlash,</v>
      </c>
      <c r="U29" s="31" t="str">
        <f>IF(E29="int","this."&amp;D29&amp;" = 0,","this."&amp;D29&amp;" = '',")</f>
        <v>this.callLeaderFlash = '',</v>
      </c>
      <c r="V29" s="31" t="str">
        <f>IF(AND(E29="string",F29="1"),D29,"")</f>
        <v/>
      </c>
    </row>
    <row r="30" spans="1:22" ht="15" customHeight="1" x14ac:dyDescent="0.25">
      <c r="A30" s="44" t="s">
        <v>321</v>
      </c>
      <c r="B30" s="31" t="str">
        <f t="shared" ref="B30:B31" si="42">SUBSTITUTE(PROPER(A30),"_","")</f>
        <v>TotalColumnOldShift</v>
      </c>
      <c r="C30" s="31" t="str">
        <f t="shared" ref="C30:C31" si="43">SUBSTITUTE(PROPER(A30),"_"," ")</f>
        <v>Total Column Old Shift</v>
      </c>
      <c r="D30" s="31" t="str">
        <f t="shared" ref="D30:D31" si="44">LOWER(LEFT(B30,1))&amp;RIGHT(B30,LEN(B30) - 1)</f>
        <v>totalColumnOldShift</v>
      </c>
      <c r="E30" s="31" t="str">
        <f>A.Backend!H24</f>
        <v>int</v>
      </c>
      <c r="F30" s="31" t="str">
        <f>A.Backend!G24</f>
        <v/>
      </c>
      <c r="G30" s="31" t="str">
        <f t="shared" ref="G30:G33" si="45">IF(E30="string"," : string = '' ; ",IF(OR(E30="DateTime",E30="TimeSpan")," : any ;",IF(E30="int"," : number = 0 ;","")))</f>
        <v xml:space="preserve"> : number = 0 ;</v>
      </c>
      <c r="H30" s="38" t="str">
        <f t="shared" ref="H30:H33" si="46">IF(E30="DateTime",
REPT(CHAR(9),3)&amp;"{headerName: this.l('"&amp;C30&amp;"'),headerTooltip: this.l('"&amp;C30&amp;"'),field: '"&amp;D30&amp;"',valueGetter: (params) =&gt; this.pipe.transform(params.data?."&amp;D30&amp;", 'dd/MM/yyyy'),flex: 1},",
IF(AND(E30="string",F30="1"),
REPT(CHAR(9),3)&amp;"{headerName: this.l('"&amp;C30&amp;"'),headerTooltip: this.l('"&amp;C30&amp;"'),field:  '"&amp;D30&amp;"', cellClass: ['text-center'], width: 120, cellRenderer: 'agCellButtonComponent',
buttonDefTwo: { text: params =&gt; (params.data?.'"&amp;D30&amp;"' == 'Y') ? 'Active' : 'Inactive',iconName: 'fa fa-circle',className: params =&gt; (params.data?.'"&amp;D30&amp;"' == 'Y') ? 'btnActive' : 'btnInActive',},}",
REPT(CHAR(9),3)&amp;"{headerName: this.l('"&amp;C30&amp;"'),headerTooltip: this.l('"&amp;C30&amp;"'),field: '"&amp;D30&amp;"',flex: 1},"))</f>
        <v xml:space="preserve">			{headerName: this.l('Total Column Old Shift'),headerTooltip: this.l('Total Column Old Shift'),field: 'totalColumnOldShift',flex: 1},</v>
      </c>
      <c r="I30" s="38" t="str">
        <f t="shared" ref="I30:I33" si="47">IF(E30="DateTime",
REPT(CHAR(9),8)&amp;"&lt;div class='input-search'&gt;
"&amp;REPT(CHAR(9),9)&amp;"&lt;input type='text' [placeholder]=""l('"&amp;C30&amp;"')"" [(ngModel)]='"&amp;D30&amp;"' 
"&amp;REPT(CHAR(9),9)&amp;"name='"&amp;D30&amp;"'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IF(E30="string",
REPT(CHAR(9),8)&amp;"&lt;div class='input-search'&gt;
"&amp;REPT(CHAR(9),9)&amp;"&lt;input [(ngModel)]='"&amp;D30&amp;"' name='"&amp;D30&amp;"'
"&amp;REPT(CHAR(9),9)&amp;"class='form-control' [placeholder]=""l('"&amp;C30&amp;"')""
"&amp;REPT(CHAR(9),9)&amp;"type='text' (keyup.enter)='searchDatas()'&gt;
"&amp;REPT(CHAR(9),8)&amp;"&lt;/div&gt;",""))</f>
        <v/>
      </c>
      <c r="J30" s="31"/>
      <c r="K30" s="38" t="str">
        <f t="shared" ref="K30:K33" si="48">IF(OR(E30="DateTime",E30="TimeSpan"),
REPT(CHAR(9),5)&amp;"&lt;div class='col-md-12 form-group row'&gt;
"&amp;REPT(CHAR(9),6)&amp;"&lt;label class='col-md-2 form-control title'&gt;"&amp;C30&amp;"&lt;/label&gt;
"&amp;REPT(CHAR(9),6)&amp;"&lt;input type='text' class='col-md-10 form-control input-text' name='"&amp;D30&amp;"' 
"&amp;REPT(CHAR(9),6)&amp;"#datepicker='bsDatepicker' [(ngModel)]='rowdata."&amp;D30&amp;"'  bsDatepicker &gt;
"&amp;REPT(CHAR(9),5)&amp;"&lt;/div&gt;",
IF(AND(E30="string",F30="1"),
REPT(CHAR(9),5)&amp;"&lt;div class='col-md-12 form-group row'&gt;
"&amp;REPT(CHAR(9),6)&amp;"&lt;label class='col-md-2 form-control title'&gt;"&amp;C30&amp;"&lt;/label&gt;
"&amp;REPT(CHAR(9),6)&amp;"&lt;new-checkbox [(ngModel)]='_"&amp;D30&amp;"' name='"&amp;D30&amp;"' className='col-md-10' &gt; &lt;/new-checkbox&gt;
"&amp;REPT(CHAR(9),5)&amp;"&lt;/div&gt;",
IF(E30="string",
REPT(CHAR(9),5)&amp;"&lt;div class='col-md-12 form-group row'&gt;
"&amp;REPT(CHAR(9),6)&amp;"&lt;label class='col-md-2 form-control title'&gt;"&amp;C30&amp;"&lt;/label&gt;
"&amp;REPT(CHAR(9),6)&amp;"&lt;input type='text' class='col-md-10 form-control input-text' name='"&amp;B30&amp;"' [(ngModel)]='rowdata."&amp;D30&amp;"'&gt;
"&amp;REPT(CHAR(9),5)&amp;"&lt;/div&gt;",
IF(E30="int",
REPT(CHAR(9),5)&amp;"&lt;div class='col-md-12 form-group row'&gt;
"&amp;REPT(CHAR(9),6)&amp;"&lt;label class='col-md-2 form-control title'&gt;"&amp;C30&amp;"&lt;/label&gt;
"&amp;REPT(CHAR(9),6)&amp;"&lt;input type='number' class='col-md-10 form-control input-text' name='"&amp;B30&amp;"' [(ngModel)]='rowdata."&amp;D30&amp;"'&gt;
"&amp;REPT(CHAR(9),5)&amp;"&lt;/div&gt;",""))))</f>
        <v xml:space="preserve">					&lt;div class='col-md-12 form-group row'&gt;
						&lt;label class='col-md-2 form-control title'&gt;Total Column Old Shift&lt;/label&gt;
						&lt;input type='number' class='col-md-10 form-control input-text' name='TotalColumnOldShift' [(ngModel)]='rowdata.totalColumnOldShift'&gt;
					&lt;/div&gt;</v>
      </c>
      <c r="L30" s="60" t="str">
        <f t="shared" ref="L30:L33" si="49">IF(E30="DateTime",
REPT(CHAR(9),2)&amp;"const dateValue =  this.rowdata."&amp;D30&amp;" ? new Date(this.rowdata."&amp;D30&amp;"?.toString()) : new Date();
"&amp;REPT(CHAR(9),2)&amp;"this.datepicker?.bsValueChange.emit(dateValue);","")</f>
        <v/>
      </c>
      <c r="M30" s="31"/>
      <c r="N30" s="31"/>
      <c r="O30" s="31"/>
      <c r="P30" s="31"/>
      <c r="Q30" s="31"/>
      <c r="R30" s="31"/>
      <c r="S30" s="31" t="str">
        <f>REPT(CHAR(9),1)&amp;D30&amp;G30</f>
        <v xml:space="preserve">	totalColumnOldShift : number = 0 ;</v>
      </c>
      <c r="T30" s="31" t="str">
        <f>REPT(CHAR(9),3)&amp;"this."&amp;D30&amp;","</f>
        <v xml:space="preserve">			this.totalColumnOldShift,</v>
      </c>
      <c r="U30" s="31" t="str">
        <f>IF(E30="int",REPT(CHAR(9),2)&amp;"this."&amp;D30&amp;" = 0,",REPT(CHAR(9),2)&amp;"this."&amp;D30&amp;" = '',")</f>
        <v xml:space="preserve">		this.totalColumnOldShift = 0,</v>
      </c>
      <c r="V30" s="31" t="str">
        <f t="shared" ref="V30:V33" si="50">IF(AND(E30="string",F30="1"),D30,"")</f>
        <v/>
      </c>
    </row>
    <row r="31" spans="1:22" ht="18" customHeight="1" x14ac:dyDescent="0.25">
      <c r="A31" s="44" t="s">
        <v>322</v>
      </c>
      <c r="B31" s="31" t="str">
        <f t="shared" si="42"/>
        <v>TotalColumnSeqA1</v>
      </c>
      <c r="C31" s="31" t="str">
        <f t="shared" si="43"/>
        <v>Total Column Seq A1</v>
      </c>
      <c r="D31" s="31" t="str">
        <f t="shared" si="44"/>
        <v>totalColumnSeqA1</v>
      </c>
      <c r="E31" s="31" t="str">
        <f>A.Backend!H25</f>
        <v>int</v>
      </c>
      <c r="F31" s="31" t="str">
        <f>A.Backend!G25</f>
        <v/>
      </c>
      <c r="G31" s="31" t="str">
        <f t="shared" si="45"/>
        <v xml:space="preserve"> : number = 0 ;</v>
      </c>
      <c r="H31" s="38" t="str">
        <f t="shared" si="46"/>
        <v xml:space="preserve">			{headerName: this.l('Total Column Seq A1'),headerTooltip: this.l('Total Column Seq A1'),field: 'totalColumnSeqA1',flex: 1},</v>
      </c>
      <c r="I31" s="38" t="str">
        <f t="shared" si="47"/>
        <v/>
      </c>
      <c r="J31" s="31"/>
      <c r="K31" s="38" t="str">
        <f t="shared" si="48"/>
        <v xml:space="preserve">					&lt;div class='col-md-12 form-group row'&gt;
						&lt;label class='col-md-2 form-control title'&gt;Total Column Seq A1&lt;/label&gt;
						&lt;input type='number' class='col-md-10 form-control input-text' name='TotalColumnSeqA1' [(ngModel)]='rowdata.totalColumnSeqA1'&gt;
					&lt;/div&gt;</v>
      </c>
      <c r="L31" s="60" t="str">
        <f t="shared" si="49"/>
        <v/>
      </c>
      <c r="M31" s="31"/>
      <c r="N31" s="31"/>
      <c r="O31" s="31"/>
      <c r="P31" s="31"/>
      <c r="Q31" s="31"/>
      <c r="R31" s="31"/>
      <c r="S31" s="31" t="str">
        <f t="shared" ref="S31:S33" si="51">REPT(CHAR(9),1)&amp;D31&amp;G31</f>
        <v xml:space="preserve">	totalColumnSeqA1 : number = 0 ;</v>
      </c>
      <c r="T31" s="31" t="str">
        <f t="shared" ref="T31:T33" si="52">REPT(CHAR(9),3)&amp;"this."&amp;D31&amp;","</f>
        <v xml:space="preserve">			this.totalColumnSeqA1,</v>
      </c>
      <c r="U31" s="31" t="str">
        <f t="shared" ref="U31:U33" si="53">IF(E31="int",REPT(CHAR(9),2)&amp;"this."&amp;D31&amp;" = 0,",REPT(CHAR(9),2)&amp;"this."&amp;D31&amp;" = '',")</f>
        <v xml:space="preserve">		this.totalColumnSeqA1 = 0,</v>
      </c>
      <c r="V31" s="31" t="str">
        <f t="shared" si="50"/>
        <v/>
      </c>
    </row>
    <row r="32" spans="1:22" ht="18" customHeight="1" x14ac:dyDescent="0.25">
      <c r="A32" s="44" t="s">
        <v>323</v>
      </c>
      <c r="B32" s="31" t="str">
        <f>SUBSTITUTE(PROPER(A32),"_","")</f>
        <v>TotalColumnSeqA2</v>
      </c>
      <c r="C32" s="31" t="str">
        <f>SUBSTITUTE(PROPER(A32),"_"," ")</f>
        <v>Total Column Seq A2</v>
      </c>
      <c r="D32" s="31" t="str">
        <f>LOWER(LEFT(B32,1))&amp;RIGHT(B32,LEN(B32) - 1)</f>
        <v>totalColumnSeqA2</v>
      </c>
      <c r="E32" s="31" t="str">
        <f>A.Backend!H26</f>
        <v>int</v>
      </c>
      <c r="F32" s="31" t="str">
        <f>A.Backend!G26</f>
        <v/>
      </c>
      <c r="G32" s="31" t="str">
        <f t="shared" si="45"/>
        <v xml:space="preserve"> : number = 0 ;</v>
      </c>
      <c r="H32" s="38" t="str">
        <f t="shared" si="46"/>
        <v xml:space="preserve">			{headerName: this.l('Total Column Seq A2'),headerTooltip: this.l('Total Column Seq A2'),field: 'totalColumnSeqA2',flex: 1},</v>
      </c>
      <c r="I32" s="38" t="str">
        <f t="shared" si="47"/>
        <v/>
      </c>
      <c r="J32" s="31"/>
      <c r="K32" s="38" t="str">
        <f t="shared" si="48"/>
        <v xml:space="preserve">					&lt;div class='col-md-12 form-group row'&gt;
						&lt;label class='col-md-2 form-control title'&gt;Total Column Seq A2&lt;/label&gt;
						&lt;input type='number' class='col-md-10 form-control input-text' name='TotalColumnSeqA2' [(ngModel)]='rowdata.totalColumnSeqA2'&gt;
					&lt;/div&gt;</v>
      </c>
      <c r="L32" s="60" t="str">
        <f t="shared" si="49"/>
        <v/>
      </c>
      <c r="M32" s="31"/>
      <c r="N32" s="31"/>
      <c r="O32" s="31"/>
      <c r="P32" s="31"/>
      <c r="Q32" s="31"/>
      <c r="R32" s="31"/>
      <c r="S32" s="31" t="str">
        <f t="shared" si="51"/>
        <v xml:space="preserve">	totalColumnSeqA2 : number = 0 ;</v>
      </c>
      <c r="T32" s="31" t="str">
        <f t="shared" si="52"/>
        <v xml:space="preserve">			this.totalColumnSeqA2,</v>
      </c>
      <c r="U32" s="31" t="str">
        <f t="shared" si="53"/>
        <v xml:space="preserve">		this.totalColumnSeqA2 = 0,</v>
      </c>
      <c r="V32" s="31" t="str">
        <f t="shared" si="50"/>
        <v/>
      </c>
    </row>
    <row r="33" spans="1:22" ht="15" customHeight="1" x14ac:dyDescent="0.25">
      <c r="A33" s="44" t="s">
        <v>324</v>
      </c>
      <c r="B33" s="31" t="str">
        <f t="shared" ref="B33" si="54">SUBSTITUTE(PROPER(A33),"_","")</f>
        <v>BeforeTacktimeColor</v>
      </c>
      <c r="C33" s="31" t="str">
        <f t="shared" ref="C33" si="55">SUBSTITUTE(PROPER(A33),"_"," ")</f>
        <v>Before Tacktime Color</v>
      </c>
      <c r="D33" s="31" t="str">
        <f t="shared" ref="D33" si="56">LOWER(LEFT(B33,1))&amp;RIGHT(B33,LEN(B33) - 1)</f>
        <v>beforeTacktimeColor</v>
      </c>
      <c r="E33" s="31" t="str">
        <f>A.Backend!H27</f>
        <v>string</v>
      </c>
      <c r="F33" s="31" t="str">
        <f>A.Backend!G27</f>
        <v>50</v>
      </c>
      <c r="G33" s="31" t="str">
        <f t="shared" si="45"/>
        <v xml:space="preserve"> : string = '' ; </v>
      </c>
      <c r="H33" s="38" t="str">
        <f t="shared" si="46"/>
        <v xml:space="preserve">			{headerName: this.l('Before Tacktime Color'),headerTooltip: this.l('Before Tacktime Color'),field: 'beforeTacktimeColor',flex: 1},</v>
      </c>
      <c r="I33" s="38" t="str">
        <f t="shared" si="47"/>
        <v xml:space="preserve">								&lt;div class='input-search'&gt;
									&lt;input [(ngModel)]='beforeTacktimeColor' name='beforeTacktimeColor'
									class='form-control' [placeholder]="l('Before Tacktime Color')"
									type='text' (keyup.enter)='searchDatas()'&gt;
								&lt;/div&gt;</v>
      </c>
      <c r="J33" s="31"/>
      <c r="K33" s="38" t="str">
        <f t="shared" si="48"/>
        <v xml:space="preserve">					&lt;div class='col-md-12 form-group row'&gt;
						&lt;label class='col-md-2 form-control title'&gt;Before Tacktime Color&lt;/label&gt;
						&lt;input type='text' class='col-md-10 form-control input-text' name='BeforeTacktimeColor' [(ngModel)]='rowdata.beforeTacktimeColor'&gt;
					&lt;/div&gt;</v>
      </c>
      <c r="L33" s="60" t="str">
        <f t="shared" si="49"/>
        <v/>
      </c>
      <c r="M33" s="31"/>
      <c r="N33" s="31"/>
      <c r="O33" s="31"/>
      <c r="P33" s="31"/>
      <c r="Q33" s="31"/>
      <c r="R33" s="31"/>
      <c r="S33" s="31" t="str">
        <f t="shared" si="51"/>
        <v xml:space="preserve">	beforeTacktimeColor : string = '' ; </v>
      </c>
      <c r="T33" s="31" t="str">
        <f t="shared" si="52"/>
        <v xml:space="preserve">			this.beforeTacktimeColor,</v>
      </c>
      <c r="U33" s="31" t="str">
        <f t="shared" si="53"/>
        <v xml:space="preserve">		this.beforeTacktimeColor = '',</v>
      </c>
      <c r="V33" s="31" t="str">
        <f t="shared" si="50"/>
        <v/>
      </c>
    </row>
    <row r="34" spans="1:22" ht="18" customHeight="1" x14ac:dyDescent="0.25">
      <c r="A34" s="44" t="s">
        <v>325</v>
      </c>
      <c r="B34" s="31" t="str">
        <f>SUBSTITUTE(PROPER(A34),"_","")</f>
        <v>BeforeTacktimeSound</v>
      </c>
      <c r="C34" s="31" t="str">
        <f>SUBSTITUTE(PROPER(A34),"_"," ")</f>
        <v>Before Tacktime Sound</v>
      </c>
      <c r="D34" s="31" t="str">
        <f>LOWER(LEFT(B34,1))&amp;RIGHT(B34,LEN(B34) - 1)</f>
        <v>beforeTacktimeSound</v>
      </c>
      <c r="E34" s="31" t="str">
        <f>A.Backend!H28</f>
        <v>string</v>
      </c>
      <c r="F34" s="31" t="str">
        <f>A.Backend!G28</f>
        <v>200</v>
      </c>
      <c r="G34" s="31" t="str">
        <f>IF(E34="string"," : string = '' ; ",IF(OR(E34="DateTime",E34="TimeSpan")," : any ;",IF(E34="int"," : number = 0 ;","")))</f>
        <v xml:space="preserve"> : string = '' ; </v>
      </c>
      <c r="H34" s="38" t="str">
        <f>IF(E34="DateTime",
REPT(CHAR(9),3)&amp;"{headerName: this.l('"&amp;C34&amp;"'),headerTooltip: this.l('"&amp;C34&amp;"'),field: '"&amp;D34&amp;"',valueGetter: (params) =&gt; this.pipe.transform(params.data?."&amp;D34&amp;", 'dd/MM/yyyy'),flex: 1},",
IF(AND(E34="string",F34="1"),
REPT(CHAR(9),3)&amp;"{headerName: this.l('"&amp;C34&amp;"'),headerTooltip: this.l('"&amp;C34&amp;"'),field:  '"&amp;D34&amp;"', cellClass: ['text-center'], width: 120, cellRenderer: 'agCellButtonComponent',
buttonDefTwo: { text: params =&gt; (params.data?.'"&amp;D34&amp;"' == 'Y') ? 'Active' : 'Inactive',iconName: 'fa fa-circle',className: params =&gt; (params.data?.'"&amp;D34&amp;"' == 'Y') ? 'btnActive' : 'btnInActive',},}",
REPT(CHAR(9),3)&amp;"{headerName: this.l('"&amp;C34&amp;"'),headerTooltip: this.l('"&amp;C34&amp;"'),field: '"&amp;D34&amp;"',flex: 1},"))</f>
        <v xml:space="preserve">			{headerName: this.l('Before Tacktime Sound'),headerTooltip: this.l('Before Tacktime Sound'),field: 'beforeTacktimeSound',flex: 1},</v>
      </c>
      <c r="I34" s="38" t="str">
        <f>IF(E34="DateTime",
REPT(CHAR(9),8)&amp;"&lt;div class='input-search'&gt;
"&amp;REPT(CHAR(9),9)&amp;"&lt;input type='text' [placeholder]=""l('"&amp;C34&amp;"')"" [(ngModel)]='"&amp;D34&amp;"' 
"&amp;REPT(CHAR(9),9)&amp;"name='"&amp;D34&amp;"'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IF(E34="string",
REPT(CHAR(9),8)&amp;"&lt;div class='input-search'&gt;
"&amp;REPT(CHAR(9),9)&amp;"&lt;input [(ngModel)]='"&amp;D34&amp;"' name='"&amp;D34&amp;"'
"&amp;REPT(CHAR(9),9)&amp;"class='form-control' [placeholder]=""l('"&amp;C34&amp;"')""
"&amp;REPT(CHAR(9),9)&amp;"type='text' (keyup.enter)='searchDatas()'&gt;
"&amp;REPT(CHAR(9),8)&amp;"&lt;/div&gt;",""))</f>
        <v xml:space="preserve">								&lt;div class='input-search'&gt;
									&lt;input [(ngModel)]='beforeTacktimeSound' name='beforeTacktimeSound'
									class='form-control' [placeholder]="l('Before Tacktime Sound')"
									type='text' (keyup.enter)='searchDatas()'&gt;
								&lt;/div&gt;</v>
      </c>
      <c r="J34" s="31"/>
      <c r="K34" s="38" t="str">
        <f>IF(OR(E34="DateTime",E34="TimeSpan"),
REPT(CHAR(9),5)&amp;"&lt;div class='col-md-12 form-group row'&gt;
"&amp;REPT(CHAR(9),6)&amp;"&lt;label class='col-md-2 form-control title'&gt;"&amp;C34&amp;"&lt;/label&gt;
"&amp;REPT(CHAR(9),6)&amp;"&lt;input type='text' class='col-md-10 form-control input-text' name='"&amp;D34&amp;"' 
"&amp;REPT(CHAR(9),6)&amp;"#datepicker='bsDatepicker' [(ngModel)]='rowdata."&amp;D34&amp;"'  bsDatepicker &gt;
"&amp;REPT(CHAR(9),5)&amp;"&lt;/div&gt;",
IF(AND(E34="string",F34="1"),
REPT(CHAR(9),5)&amp;"&lt;div class='col-md-12 form-group row'&gt;
"&amp;REPT(CHAR(9),6)&amp;"&lt;label class='col-md-2 form-control title'&gt;"&amp;C34&amp;"&lt;/label&gt;
"&amp;REPT(CHAR(9),6)&amp;"&lt;new-checkbox [(ngModel)]='_"&amp;D34&amp;"' name='"&amp;D34&amp;"' className='col-md-10' &gt; &lt;/new-checkbox&gt;
"&amp;REPT(CHAR(9),5)&amp;"&lt;/div&gt;",
IF(E34="string",
REPT(CHAR(9),5)&amp;"&lt;div class='col-md-12 form-group row'&gt;
"&amp;REPT(CHAR(9),6)&amp;"&lt;label class='col-md-2 form-control title'&gt;"&amp;C34&amp;"&lt;/label&gt;
"&amp;REPT(CHAR(9),6)&amp;"&lt;input type='text' class='col-md-10 form-control input-text' name='"&amp;B34&amp;"' [(ngModel)]='rowdata."&amp;D34&amp;"'&gt;
"&amp;REPT(CHAR(9),5)&amp;"&lt;/div&gt;",
IF(E34="int",
REPT(CHAR(9),5)&amp;"&lt;div class='col-md-12 form-group row'&gt;
"&amp;REPT(CHAR(9),6)&amp;"&lt;label class='col-md-2 form-control title'&gt;"&amp;C34&amp;"&lt;/label&gt;
"&amp;REPT(CHAR(9),6)&amp;"&lt;input type='number' class='col-md-10 form-control input-text' name='"&amp;B34&amp;"' [(ngModel)]='rowdata."&amp;D34&amp;"'&gt;
"&amp;REPT(CHAR(9),5)&amp;"&lt;/div&gt;",""))))</f>
        <v xml:space="preserve">					&lt;div class='col-md-12 form-group row'&gt;
						&lt;label class='col-md-2 form-control title'&gt;Before Tacktime Sound&lt;/label&gt;
						&lt;input type='text' class='col-md-10 form-control input-text' name='BeforeTacktimeSound' [(ngModel)]='rowdata.beforeTacktimeSound'&gt;
					&lt;/div&gt;</v>
      </c>
      <c r="L34" s="60" t="str">
        <f>IF(E34="DateTime",
REPT(CHAR(9),2)&amp;"const dateValue =  this.rowdata."&amp;D34&amp;" ? new Date(this.rowdata."&amp;D34&amp;"?.toString()) : new Date();
"&amp;REPT(CHAR(9),2)&amp;"this.datepicker?.bsValueChange.emit(dateValue);","")</f>
        <v/>
      </c>
      <c r="M34" s="31"/>
      <c r="N34" s="31"/>
      <c r="O34" s="31"/>
      <c r="P34" s="31"/>
      <c r="Q34" s="31"/>
      <c r="R34" s="31"/>
      <c r="S34" s="31" t="str">
        <f>D34&amp;G34</f>
        <v xml:space="preserve">beforeTacktimeSound : string = '' ; </v>
      </c>
      <c r="T34" s="31" t="str">
        <f>REPT(CHAR(9),3)&amp;"this."&amp;D34&amp;","</f>
        <v xml:space="preserve">			this.beforeTacktimeSound,</v>
      </c>
      <c r="U34" s="31" t="str">
        <f>IF(E34="int","this."&amp;D34&amp;" = 0,","this."&amp;D34&amp;" = '',")</f>
        <v>this.beforeTacktimeSound = '',</v>
      </c>
      <c r="V34" s="31" t="str">
        <f>IF(AND(E34="string",F34="1"),D34,"")</f>
        <v/>
      </c>
    </row>
    <row r="35" spans="1:22" ht="15" customHeight="1" x14ac:dyDescent="0.25">
      <c r="A35" s="44" t="s">
        <v>326</v>
      </c>
      <c r="B35" s="31" t="str">
        <f t="shared" ref="B35:B36" si="57">SUBSTITUTE(PROPER(A35),"_","")</f>
        <v>BeforeTacktimePlaytime</v>
      </c>
      <c r="C35" s="31" t="str">
        <f t="shared" ref="C35:C36" si="58">SUBSTITUTE(PROPER(A35),"_"," ")</f>
        <v>Before Tacktime Playtime</v>
      </c>
      <c r="D35" s="31" t="str">
        <f t="shared" ref="D35:D36" si="59">LOWER(LEFT(B35,1))&amp;RIGHT(B35,LEN(B35) - 1)</f>
        <v>beforeTacktimePlaytime</v>
      </c>
      <c r="E35" s="31" t="str">
        <f>A.Backend!H29</f>
        <v>int</v>
      </c>
      <c r="F35" s="31" t="str">
        <f>A.Backend!G29</f>
        <v/>
      </c>
      <c r="G35" s="31" t="str">
        <f t="shared" ref="G35:G38" si="60">IF(E35="string"," : string = '' ; ",IF(OR(E35="DateTime",E35="TimeSpan")," : any ;",IF(E35="int"," : number = 0 ;","")))</f>
        <v xml:space="preserve"> : number = 0 ;</v>
      </c>
      <c r="H35" s="38" t="str">
        <f t="shared" ref="H35:H38" si="61">IF(E35="DateTime",
REPT(CHAR(9),3)&amp;"{headerName: this.l('"&amp;C35&amp;"'),headerTooltip: this.l('"&amp;C35&amp;"'),field: '"&amp;D35&amp;"',valueGetter: (params) =&gt; this.pipe.transform(params.data?."&amp;D35&amp;", 'dd/MM/yyyy'),flex: 1},",
IF(AND(E35="string",F35="1"),
REPT(CHAR(9),3)&amp;"{headerName: this.l('"&amp;C35&amp;"'),headerTooltip: this.l('"&amp;C35&amp;"'),field:  '"&amp;D35&amp;"', cellClass: ['text-center'], width: 120, cellRenderer: 'agCellButtonComponent',
buttonDefTwo: { text: params =&gt; (params.data?.'"&amp;D35&amp;"' == 'Y') ? 'Active' : 'Inactive',iconName: 'fa fa-circle',className: params =&gt; (params.data?.'"&amp;D35&amp;"' == 'Y') ? 'btnActive' : 'btnInActive',},}",
REPT(CHAR(9),3)&amp;"{headerName: this.l('"&amp;C35&amp;"'),headerTooltip: this.l('"&amp;C35&amp;"'),field: '"&amp;D35&amp;"',flex: 1},"))</f>
        <v xml:space="preserve">			{headerName: this.l('Before Tacktime Playtime'),headerTooltip: this.l('Before Tacktime Playtime'),field: 'beforeTacktimePlaytime',flex: 1},</v>
      </c>
      <c r="I35" s="38" t="str">
        <f t="shared" ref="I35:I38" si="62">IF(E35="DateTime",
REPT(CHAR(9),8)&amp;"&lt;div class='input-search'&gt;
"&amp;REPT(CHAR(9),9)&amp;"&lt;input type='text' [placeholder]=""l('"&amp;C35&amp;"')"" [(ngModel)]='"&amp;D35&amp;"' 
"&amp;REPT(CHAR(9),9)&amp;"name='"&amp;D35&amp;"'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IF(E35="string",
REPT(CHAR(9),8)&amp;"&lt;div class='input-search'&gt;
"&amp;REPT(CHAR(9),9)&amp;"&lt;input [(ngModel)]='"&amp;D35&amp;"' name='"&amp;D35&amp;"'
"&amp;REPT(CHAR(9),9)&amp;"class='form-control' [placeholder]=""l('"&amp;C35&amp;"')""
"&amp;REPT(CHAR(9),9)&amp;"type='text' (keyup.enter)='searchDatas()'&gt;
"&amp;REPT(CHAR(9),8)&amp;"&lt;/div&gt;",""))</f>
        <v/>
      </c>
      <c r="J35" s="31"/>
      <c r="K35" s="38" t="str">
        <f t="shared" ref="K35:K38" si="63">IF(OR(E35="DateTime",E35="TimeSpan"),
REPT(CHAR(9),5)&amp;"&lt;div class='col-md-12 form-group row'&gt;
"&amp;REPT(CHAR(9),6)&amp;"&lt;label class='col-md-2 form-control title'&gt;"&amp;C35&amp;"&lt;/label&gt;
"&amp;REPT(CHAR(9),6)&amp;"&lt;input type='text' class='col-md-10 form-control input-text' name='"&amp;D35&amp;"' 
"&amp;REPT(CHAR(9),6)&amp;"#datepicker='bsDatepicker' [(ngModel)]='rowdata."&amp;D35&amp;"'  bsDatepicker &gt;
"&amp;REPT(CHAR(9),5)&amp;"&lt;/div&gt;",
IF(AND(E35="string",F35="1"),
REPT(CHAR(9),5)&amp;"&lt;div class='col-md-12 form-group row'&gt;
"&amp;REPT(CHAR(9),6)&amp;"&lt;label class='col-md-2 form-control title'&gt;"&amp;C35&amp;"&lt;/label&gt;
"&amp;REPT(CHAR(9),6)&amp;"&lt;new-checkbox [(ngModel)]='_"&amp;D35&amp;"' name='"&amp;D35&amp;"' className='col-md-10' &gt; &lt;/new-checkbox&gt;
"&amp;REPT(CHAR(9),5)&amp;"&lt;/div&gt;",
IF(E35="string",
REPT(CHAR(9),5)&amp;"&lt;div class='col-md-12 form-group row'&gt;
"&amp;REPT(CHAR(9),6)&amp;"&lt;label class='col-md-2 form-control title'&gt;"&amp;C35&amp;"&lt;/label&gt;
"&amp;REPT(CHAR(9),6)&amp;"&lt;input type='text' class='col-md-10 form-control input-text' name='"&amp;B35&amp;"' [(ngModel)]='rowdata."&amp;D35&amp;"'&gt;
"&amp;REPT(CHAR(9),5)&amp;"&lt;/div&gt;",
IF(E35="int",
REPT(CHAR(9),5)&amp;"&lt;div class='col-md-12 form-group row'&gt;
"&amp;REPT(CHAR(9),6)&amp;"&lt;label class='col-md-2 form-control title'&gt;"&amp;C35&amp;"&lt;/label&gt;
"&amp;REPT(CHAR(9),6)&amp;"&lt;input type='number' class='col-md-10 form-control input-text' name='"&amp;B35&amp;"' [(ngModel)]='rowdata."&amp;D35&amp;"'&gt;
"&amp;REPT(CHAR(9),5)&amp;"&lt;/div&gt;",""))))</f>
        <v xml:space="preserve">					&lt;div class='col-md-12 form-group row'&gt;
						&lt;label class='col-md-2 form-control title'&gt;Before Tacktime Playtime&lt;/label&gt;
						&lt;input type='number' class='col-md-10 form-control input-text' name='BeforeTacktimePlaytime' [(ngModel)]='rowdata.beforeTacktimePlaytime'&gt;
					&lt;/div&gt;</v>
      </c>
      <c r="L35" s="60" t="str">
        <f t="shared" ref="L35:L38" si="64">IF(E35="DateTime",
REPT(CHAR(9),2)&amp;"const dateValue =  this.rowdata."&amp;D35&amp;" ? new Date(this.rowdata."&amp;D35&amp;"?.toString()) : new Date();
"&amp;REPT(CHAR(9),2)&amp;"this.datepicker?.bsValueChange.emit(dateValue);","")</f>
        <v/>
      </c>
      <c r="M35" s="31"/>
      <c r="N35" s="31"/>
      <c r="O35" s="31"/>
      <c r="P35" s="31"/>
      <c r="Q35" s="31"/>
      <c r="R35" s="31"/>
      <c r="S35" s="31" t="str">
        <f>REPT(CHAR(9),1)&amp;D35&amp;G35</f>
        <v xml:space="preserve">	beforeTacktimePlaytime : number = 0 ;</v>
      </c>
      <c r="T35" s="31" t="str">
        <f>REPT(CHAR(9),3)&amp;"this."&amp;D35&amp;","</f>
        <v xml:space="preserve">			this.beforeTacktimePlaytime,</v>
      </c>
      <c r="U35" s="31" t="str">
        <f>IF(E35="int",REPT(CHAR(9),2)&amp;"this."&amp;D35&amp;" = 0,",REPT(CHAR(9),2)&amp;"this."&amp;D35&amp;" = '',")</f>
        <v xml:space="preserve">		this.beforeTacktimePlaytime = 0,</v>
      </c>
      <c r="V35" s="31" t="str">
        <f t="shared" ref="V35:V38" si="65">IF(AND(E35="string",F35="1"),D35,"")</f>
        <v/>
      </c>
    </row>
    <row r="36" spans="1:22" ht="18" customHeight="1" x14ac:dyDescent="0.25">
      <c r="A36" s="44" t="s">
        <v>327</v>
      </c>
      <c r="B36" s="31" t="str">
        <f t="shared" si="57"/>
        <v>BeforeTacktimeFlash</v>
      </c>
      <c r="C36" s="31" t="str">
        <f t="shared" si="58"/>
        <v>Before Tacktime Flash</v>
      </c>
      <c r="D36" s="31" t="str">
        <f t="shared" si="59"/>
        <v>beforeTacktimeFlash</v>
      </c>
      <c r="E36" s="31" t="str">
        <f>A.Backend!H30</f>
        <v>bool</v>
      </c>
      <c r="F36" s="31" t="str">
        <f>A.Backend!G30</f>
        <v/>
      </c>
      <c r="G36" s="31" t="str">
        <f t="shared" si="60"/>
        <v/>
      </c>
      <c r="H36" s="38" t="str">
        <f t="shared" si="61"/>
        <v xml:space="preserve">			{headerName: this.l('Before Tacktime Flash'),headerTooltip: this.l('Before Tacktime Flash'),field: 'beforeTacktimeFlash',flex: 1},</v>
      </c>
      <c r="I36" s="38" t="str">
        <f t="shared" si="62"/>
        <v/>
      </c>
      <c r="J36" s="31"/>
      <c r="K36" s="38" t="str">
        <f t="shared" si="63"/>
        <v/>
      </c>
      <c r="L36" s="60" t="str">
        <f t="shared" si="64"/>
        <v/>
      </c>
      <c r="M36" s="31"/>
      <c r="N36" s="31"/>
      <c r="O36" s="31"/>
      <c r="P36" s="31"/>
      <c r="Q36" s="31"/>
      <c r="R36" s="31"/>
      <c r="S36" s="31" t="str">
        <f t="shared" ref="S36:S38" si="66">REPT(CHAR(9),1)&amp;D36&amp;G36</f>
        <v xml:space="preserve">	beforeTacktimeFlash</v>
      </c>
      <c r="T36" s="31" t="str">
        <f t="shared" ref="T36:T38" si="67">REPT(CHAR(9),3)&amp;"this."&amp;D36&amp;","</f>
        <v xml:space="preserve">			this.beforeTacktimeFlash,</v>
      </c>
      <c r="U36" s="31" t="str">
        <f t="shared" ref="U36:U38" si="68">IF(E36="int",REPT(CHAR(9),2)&amp;"this."&amp;D36&amp;" = 0,",REPT(CHAR(9),2)&amp;"this."&amp;D36&amp;" = '',")</f>
        <v xml:space="preserve">		this.beforeTacktimeFlash = '',</v>
      </c>
      <c r="V36" s="31" t="str">
        <f t="shared" si="65"/>
        <v/>
      </c>
    </row>
    <row r="37" spans="1:22" ht="18" customHeight="1" x14ac:dyDescent="0.25">
      <c r="A37" s="44" t="s">
        <v>328</v>
      </c>
      <c r="B37" s="31" t="str">
        <f>SUBSTITUTE(PROPER(A37),"_","")</f>
        <v>TackCaseA1</v>
      </c>
      <c r="C37" s="31" t="str">
        <f>SUBSTITUTE(PROPER(A37),"_"," ")</f>
        <v>Tack Case A1</v>
      </c>
      <c r="D37" s="31" t="str">
        <f>LOWER(LEFT(B37,1))&amp;RIGHT(B37,LEN(B37) - 1)</f>
        <v>tackCaseA1</v>
      </c>
      <c r="E37" s="31" t="str">
        <f>A.Backend!H31</f>
        <v>int</v>
      </c>
      <c r="F37" s="31" t="str">
        <f>A.Backend!G31</f>
        <v/>
      </c>
      <c r="G37" s="31" t="str">
        <f t="shared" si="60"/>
        <v xml:space="preserve"> : number = 0 ;</v>
      </c>
      <c r="H37" s="38" t="str">
        <f t="shared" si="61"/>
        <v xml:space="preserve">			{headerName: this.l('Tack Case A1'),headerTooltip: this.l('Tack Case A1'),field: 'tackCaseA1',flex: 1},</v>
      </c>
      <c r="I37" s="38" t="str">
        <f t="shared" si="62"/>
        <v/>
      </c>
      <c r="J37" s="31"/>
      <c r="K37" s="38" t="str">
        <f t="shared" si="63"/>
        <v xml:space="preserve">					&lt;div class='col-md-12 form-group row'&gt;
						&lt;label class='col-md-2 form-control title'&gt;Tack Case A1&lt;/label&gt;
						&lt;input type='number' class='col-md-10 form-control input-text' name='TackCaseA1' [(ngModel)]='rowdata.tackCaseA1'&gt;
					&lt;/div&gt;</v>
      </c>
      <c r="L37" s="60" t="str">
        <f t="shared" si="64"/>
        <v/>
      </c>
      <c r="M37" s="31"/>
      <c r="N37" s="31"/>
      <c r="O37" s="31"/>
      <c r="P37" s="31"/>
      <c r="Q37" s="31"/>
      <c r="R37" s="31"/>
      <c r="S37" s="31" t="str">
        <f t="shared" si="66"/>
        <v xml:space="preserve">	tackCaseA1 : number = 0 ;</v>
      </c>
      <c r="T37" s="31" t="str">
        <f t="shared" si="67"/>
        <v xml:space="preserve">			this.tackCaseA1,</v>
      </c>
      <c r="U37" s="31" t="str">
        <f t="shared" si="68"/>
        <v xml:space="preserve">		this.tackCaseA1 = 0,</v>
      </c>
      <c r="V37" s="31" t="str">
        <f t="shared" si="65"/>
        <v/>
      </c>
    </row>
    <row r="38" spans="1:22" ht="15" customHeight="1" x14ac:dyDescent="0.25">
      <c r="A38" s="44" t="s">
        <v>329</v>
      </c>
      <c r="B38" s="31" t="str">
        <f t="shared" ref="B38" si="69">SUBSTITUTE(PROPER(A38),"_","")</f>
        <v>TackCaseA2</v>
      </c>
      <c r="C38" s="31" t="str">
        <f t="shared" ref="C38" si="70">SUBSTITUTE(PROPER(A38),"_"," ")</f>
        <v>Tack Case A2</v>
      </c>
      <c r="D38" s="31" t="str">
        <f t="shared" ref="D38" si="71">LOWER(LEFT(B38,1))&amp;RIGHT(B38,LEN(B38) - 1)</f>
        <v>tackCaseA2</v>
      </c>
      <c r="E38" s="31" t="str">
        <f>A.Backend!H32</f>
        <v>int</v>
      </c>
      <c r="F38" s="31" t="str">
        <f>A.Backend!G32</f>
        <v/>
      </c>
      <c r="G38" s="31" t="str">
        <f t="shared" si="60"/>
        <v xml:space="preserve"> : number = 0 ;</v>
      </c>
      <c r="H38" s="38" t="str">
        <f t="shared" si="61"/>
        <v xml:space="preserve">			{headerName: this.l('Tack Case A2'),headerTooltip: this.l('Tack Case A2'),field: 'tackCaseA2',flex: 1},</v>
      </c>
      <c r="I38" s="38" t="str">
        <f t="shared" si="62"/>
        <v/>
      </c>
      <c r="J38" s="31"/>
      <c r="K38" s="38" t="str">
        <f t="shared" si="63"/>
        <v xml:space="preserve">					&lt;div class='col-md-12 form-group row'&gt;
						&lt;label class='col-md-2 form-control title'&gt;Tack Case A2&lt;/label&gt;
						&lt;input type='number' class='col-md-10 form-control input-text' name='TackCaseA2' [(ngModel)]='rowdata.tackCaseA2'&gt;
					&lt;/div&gt;</v>
      </c>
      <c r="L38" s="60" t="str">
        <f t="shared" si="64"/>
        <v/>
      </c>
      <c r="M38" s="31"/>
      <c r="N38" s="31"/>
      <c r="O38" s="31"/>
      <c r="P38" s="31"/>
      <c r="Q38" s="31"/>
      <c r="R38" s="31"/>
      <c r="S38" s="31" t="str">
        <f t="shared" si="66"/>
        <v xml:space="preserve">	tackCaseA2 : number = 0 ;</v>
      </c>
      <c r="T38" s="31" t="str">
        <f t="shared" si="67"/>
        <v xml:space="preserve">			this.tackCaseA2,</v>
      </c>
      <c r="U38" s="31" t="str">
        <f t="shared" si="68"/>
        <v xml:space="preserve">		this.tackCaseA2 = 0,</v>
      </c>
      <c r="V38" s="31" t="str">
        <f t="shared" si="65"/>
        <v/>
      </c>
    </row>
    <row r="39" spans="1:22" ht="15" customHeight="1" x14ac:dyDescent="0.25">
      <c r="A39" s="44" t="s">
        <v>301</v>
      </c>
      <c r="B39" s="31" t="str">
        <f t="shared" ref="B39" si="72">SUBSTITUTE(PROPER(A39),"_","")</f>
        <v>IsActive</v>
      </c>
      <c r="C39" s="31" t="str">
        <f t="shared" ref="C39" si="73">SUBSTITUTE(PROPER(A39),"_"," ")</f>
        <v>Is Active</v>
      </c>
      <c r="D39" s="31" t="str">
        <f t="shared" ref="D39" si="74">LOWER(LEFT(B39,1))&amp;RIGHT(B39,LEN(B39) - 1)</f>
        <v>isActive</v>
      </c>
      <c r="E39" s="31" t="str">
        <f>A.Backend!H33</f>
        <v>string</v>
      </c>
      <c r="F39" s="31" t="str">
        <f>A.Backend!G33</f>
        <v>1</v>
      </c>
      <c r="G39" s="31" t="str">
        <f t="shared" ref="G39" si="75">IF(E39="string"," : string = '' ; ",IF(OR(E39="DateTime",E39="TimeSpan")," : any ;",IF(E39="int"," : number = 0 ;","")))</f>
        <v xml:space="preserve"> : string = '' ; </v>
      </c>
      <c r="H39" s="38" t="str">
        <f t="shared" ref="H39" si="76">IF(E39="DateTime",
REPT(CHAR(9),3)&amp;"{headerName: this.l('"&amp;C39&amp;"'),headerTooltip: this.l('"&amp;C39&amp;"'),field: '"&amp;D39&amp;"',valueGetter: (params) =&gt; this.pipe.transform(params.data?."&amp;D39&amp;", 'dd/MM/yyyy'),flex: 1},",
IF(AND(E39="string",F39="1"),
REPT(CHAR(9),3)&amp;"{headerName: this.l('"&amp;C39&amp;"'),headerTooltip: this.l('"&amp;C39&amp;"'),field:  '"&amp;D39&amp;"', cellClass: ['text-center'], width: 120, cellRenderer: 'agCellButtonComponent',
buttonDefTwo: { text: params =&gt; (params.data?.'"&amp;D39&amp;"' == 'Y') ? 'Active' : 'Inactive',iconName: 'fa fa-circle',className: params =&gt; (params.data?.'"&amp;D39&amp;"' == 'Y') ? 'btnActive' : 'btnInActive',},}",
REPT(CHAR(9),3)&amp;"{headerName: this.l('"&amp;C39&amp;"'),headerTooltip: this.l('"&amp;C39&amp;"'),field: '"&amp;D39&amp;"',flex: 1},"))</f>
        <v xml:space="preserve">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39" s="38" t="str">
        <f t="shared" ref="I39" si="77">IF(E39="DateTime",
REPT(CHAR(9),8)&amp;"&lt;div class='input-search'&gt;
"&amp;REPT(CHAR(9),9)&amp;"&lt;input type='text' [placeholder]=""l('"&amp;C39&amp;"')"" [(ngModel)]='"&amp;D39&amp;"' 
"&amp;REPT(CHAR(9),9)&amp;"name='"&amp;D39&amp;"'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IF(E39="string",
REPT(CHAR(9),8)&amp;"&lt;div class='input-search'&gt;
"&amp;REPT(CHAR(9),9)&amp;"&lt;input [(ngModel)]='"&amp;D39&amp;"' name='"&amp;D39&amp;"'
"&amp;REPT(CHAR(9),9)&amp;"class='form-control' [placeholder]=""l('"&amp;C39&amp;"')""
"&amp;REPT(CHAR(9),9)&amp;"type='text' (keyup.enter)='searchDatas()'&gt;
"&amp;REPT(CHAR(9),8)&amp;"&lt;/div&gt;",""))</f>
        <v xml:space="preserve">								&lt;div class='input-search'&gt;
									&lt;input [(ngModel)]='isActive' name='isActive'
									class='form-control' [placeholder]="l('Is Active')"
									type='text' (keyup.enter)='searchDatas()'&gt;
								&lt;/div&gt;</v>
      </c>
      <c r="J39" s="31"/>
      <c r="K39" s="38" t="str">
        <f t="shared" ref="K39" si="78">IF(OR(E39="DateTime",E39="TimeSpan"),
REPT(CHAR(9),5)&amp;"&lt;div class='col-md-12 form-group row'&gt;
"&amp;REPT(CHAR(9),6)&amp;"&lt;label class='col-md-2 form-control title'&gt;"&amp;C39&amp;"&lt;/label&gt;
"&amp;REPT(CHAR(9),6)&amp;"&lt;input type='text' class='col-md-10 form-control input-text' name='"&amp;D39&amp;"' 
"&amp;REPT(CHAR(9),6)&amp;"#datepicker='bsDatepicker' [(ngModel)]='rowdata."&amp;D39&amp;"'  bsDatepicker &gt;
"&amp;REPT(CHAR(9),5)&amp;"&lt;/div&gt;",
IF(AND(E39="string",F39="1"),
REPT(CHAR(9),5)&amp;"&lt;div class='col-md-12 form-group row'&gt;
"&amp;REPT(CHAR(9),6)&amp;"&lt;label class='col-md-2 form-control title'&gt;"&amp;C39&amp;"&lt;/label&gt;
"&amp;REPT(CHAR(9),6)&amp;"&lt;new-checkbox [(ngModel)]='_"&amp;D39&amp;"' name='"&amp;D39&amp;"' className='col-md-10' &gt; &lt;/new-checkbox&gt;
"&amp;REPT(CHAR(9),5)&amp;"&lt;/div&gt;",
IF(E39="string",
REPT(CHAR(9),5)&amp;"&lt;div class='col-md-12 form-group row'&gt;
"&amp;REPT(CHAR(9),6)&amp;"&lt;label class='col-md-2 form-control title'&gt;"&amp;C39&amp;"&lt;/label&gt;
"&amp;REPT(CHAR(9),6)&amp;"&lt;input type='text' class='col-md-10 form-control input-text' name='"&amp;B39&amp;"' [(ngModel)]='rowdata."&amp;D39&amp;"'&gt;
"&amp;REPT(CHAR(9),5)&amp;"&lt;/div&gt;",
IF(E39="int",
REPT(CHAR(9),5)&amp;"&lt;div class='col-md-12 form-group row'&gt;
"&amp;REPT(CHAR(9),6)&amp;"&lt;label class='col-md-2 form-control title'&gt;"&amp;C39&amp;"&lt;/label&gt;
"&amp;REPT(CHAR(9),6)&amp;"&lt;input type='number' class='col-md-10 form-control input-text' name='"&amp;B39&amp;"' [(ngModel)]='rowdata."&amp;D39&amp;"'&gt;
"&amp;REPT(CHAR(9),5)&amp;"&lt;/div&gt;",""))))</f>
        <v xml:space="preserve">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39" s="60" t="str">
        <f t="shared" ref="L39" si="79">IF(E39="DateTime",
REPT(CHAR(9),2)&amp;"const dateValue =  this.rowdata."&amp;D39&amp;" ? new Date(this.rowdata."&amp;D39&amp;"?.toString()) : new Date();
"&amp;REPT(CHAR(9),2)&amp;"this.datepicker?.bsValueChange.emit(dateValue);","")</f>
        <v/>
      </c>
      <c r="M39" s="31"/>
      <c r="N39" s="31"/>
      <c r="O39" s="31"/>
      <c r="P39" s="31"/>
      <c r="Q39" s="31"/>
      <c r="R39" s="31"/>
      <c r="S39" s="31" t="str">
        <f>REPT(CHAR(9),1)&amp;D39&amp;G39</f>
        <v xml:space="preserve">	isActive : string = '' ; </v>
      </c>
      <c r="T39" s="31" t="str">
        <f>REPT(CHAR(9),3)&amp;"this."&amp;D39&amp;","</f>
        <v xml:space="preserve">			this.isActive,</v>
      </c>
      <c r="U39" s="31" t="str">
        <f>IF(E39="int",REPT(CHAR(9),2)&amp;"this."&amp;D39&amp;" = 0,",REPT(CHAR(9),2)&amp;"this."&amp;D39&amp;" = '',")</f>
        <v xml:space="preserve">		this.isActive = '',</v>
      </c>
      <c r="V39" s="31" t="str">
        <f t="shared" ref="V39" si="80">IF(AND(E39="string",F39="1"),D39,"")</f>
        <v>isActive</v>
      </c>
    </row>
    <row r="42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topLeftCell="A4" workbookViewId="0">
      <selection activeCell="E18" sqref="E18"/>
    </sheetView>
  </sheetViews>
  <sheetFormatPr defaultRowHeight="15" x14ac:dyDescent="0.25"/>
  <cols>
    <col min="1" max="1" width="22.5703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33</v>
      </c>
    </row>
    <row r="3" spans="1:2" x14ac:dyDescent="0.25">
      <c r="A3" t="s">
        <v>18</v>
      </c>
      <c r="B3" t="s">
        <v>33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36</v>
      </c>
    </row>
    <row r="6" spans="1:2" x14ac:dyDescent="0.25">
      <c r="A6" t="s">
        <v>23</v>
      </c>
      <c r="B6" t="s">
        <v>34</v>
      </c>
    </row>
    <row r="7" spans="1:2" x14ac:dyDescent="0.25">
      <c r="A7" t="s">
        <v>24</v>
      </c>
      <c r="B7" t="s">
        <v>4</v>
      </c>
    </row>
    <row r="8" spans="1:2" x14ac:dyDescent="0.25">
      <c r="A8" t="s">
        <v>4</v>
      </c>
      <c r="B8" t="s">
        <v>4</v>
      </c>
    </row>
    <row r="9" spans="1:2" x14ac:dyDescent="0.25">
      <c r="A9" t="s">
        <v>0</v>
      </c>
      <c r="B9" t="s">
        <v>48</v>
      </c>
    </row>
    <row r="10" spans="1:2" x14ac:dyDescent="0.25">
      <c r="A10" t="s">
        <v>25</v>
      </c>
      <c r="B10" t="s">
        <v>28</v>
      </c>
    </row>
    <row r="11" spans="1:2" x14ac:dyDescent="0.25">
      <c r="A11" t="s">
        <v>26</v>
      </c>
      <c r="B11" t="s">
        <v>28</v>
      </c>
    </row>
    <row r="12" spans="1:2" x14ac:dyDescent="0.25">
      <c r="A12" t="s">
        <v>27</v>
      </c>
      <c r="B12" t="s">
        <v>28</v>
      </c>
    </row>
    <row r="13" spans="1:2" x14ac:dyDescent="0.25">
      <c r="A13" t="s">
        <v>28</v>
      </c>
      <c r="B13" t="s">
        <v>28</v>
      </c>
    </row>
    <row r="14" spans="1:2" x14ac:dyDescent="0.25">
      <c r="A14" t="s">
        <v>29</v>
      </c>
      <c r="B14" t="s">
        <v>28</v>
      </c>
    </row>
    <row r="15" spans="1:2" x14ac:dyDescent="0.25">
      <c r="A15" t="s">
        <v>30</v>
      </c>
      <c r="B15" t="s">
        <v>28</v>
      </c>
    </row>
    <row r="16" spans="1:2" x14ac:dyDescent="0.25">
      <c r="A16" t="s">
        <v>31</v>
      </c>
      <c r="B16" t="s">
        <v>32</v>
      </c>
    </row>
    <row r="17" spans="1:2" x14ac:dyDescent="0.25">
      <c r="A17" t="s">
        <v>3</v>
      </c>
      <c r="B17" t="s">
        <v>32</v>
      </c>
    </row>
    <row r="18" spans="1:2" x14ac:dyDescent="0.25">
      <c r="A18" t="s">
        <v>35</v>
      </c>
      <c r="B18" t="s">
        <v>32</v>
      </c>
    </row>
    <row r="19" spans="1:2" x14ac:dyDescent="0.25">
      <c r="A19" t="s">
        <v>2</v>
      </c>
      <c r="B19" t="s">
        <v>32</v>
      </c>
    </row>
    <row r="20" spans="1:2" x14ac:dyDescent="0.25">
      <c r="A20" t="s">
        <v>267</v>
      </c>
      <c r="B20" t="s">
        <v>268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topLeftCell="A76" workbookViewId="0">
      <selection activeCell="E95" sqref="E95"/>
    </sheetView>
  </sheetViews>
  <sheetFormatPr defaultRowHeight="15.75" x14ac:dyDescent="0.25"/>
  <cols>
    <col min="1" max="1" width="14.28515625" customWidth="1"/>
    <col min="2" max="2" width="71.7109375" style="22" customWidth="1"/>
  </cols>
  <sheetData>
    <row r="2" spans="1:2" x14ac:dyDescent="0.25">
      <c r="A2" s="24" t="s">
        <v>193</v>
      </c>
      <c r="B2" s="25" t="s">
        <v>190</v>
      </c>
    </row>
    <row r="3" spans="1:2" x14ac:dyDescent="0.25">
      <c r="B3" s="22" t="s">
        <v>115</v>
      </c>
    </row>
    <row r="4" spans="1:2" x14ac:dyDescent="0.25">
      <c r="B4" s="22" t="s">
        <v>116</v>
      </c>
    </row>
    <row r="5" spans="1:2" x14ac:dyDescent="0.25">
      <c r="B5" s="22" t="s">
        <v>117</v>
      </c>
    </row>
    <row r="6" spans="1:2" x14ac:dyDescent="0.25">
      <c r="B6" s="22" t="s">
        <v>118</v>
      </c>
    </row>
    <row r="7" spans="1:2" x14ac:dyDescent="0.25">
      <c r="B7" s="22" t="s">
        <v>119</v>
      </c>
    </row>
    <row r="8" spans="1:2" x14ac:dyDescent="0.25">
      <c r="B8" s="22" t="s">
        <v>120</v>
      </c>
    </row>
    <row r="9" spans="1:2" x14ac:dyDescent="0.25">
      <c r="B9" s="22" t="s">
        <v>121</v>
      </c>
    </row>
    <row r="10" spans="1:2" x14ac:dyDescent="0.25">
      <c r="B10" s="22" t="s">
        <v>122</v>
      </c>
    </row>
    <row r="11" spans="1:2" x14ac:dyDescent="0.25">
      <c r="B11" s="22" t="s">
        <v>123</v>
      </c>
    </row>
    <row r="12" spans="1:2" x14ac:dyDescent="0.25">
      <c r="B12" s="22" t="s">
        <v>124</v>
      </c>
    </row>
    <row r="13" spans="1:2" x14ac:dyDescent="0.25">
      <c r="B13" s="22" t="s">
        <v>125</v>
      </c>
    </row>
    <row r="14" spans="1:2" x14ac:dyDescent="0.25">
      <c r="B14" s="22" t="s">
        <v>126</v>
      </c>
    </row>
    <row r="15" spans="1:2" x14ac:dyDescent="0.25">
      <c r="B15" s="22" t="s">
        <v>127</v>
      </c>
    </row>
    <row r="16" spans="1:2" x14ac:dyDescent="0.25">
      <c r="B16" s="22" t="s">
        <v>128</v>
      </c>
    </row>
    <row r="17" spans="1:3" x14ac:dyDescent="0.25">
      <c r="B17" s="22" t="s">
        <v>129</v>
      </c>
    </row>
    <row r="18" spans="1:3" x14ac:dyDescent="0.25">
      <c r="B18" s="22" t="s">
        <v>130</v>
      </c>
      <c r="C18" t="s">
        <v>192</v>
      </c>
    </row>
    <row r="19" spans="1:3" x14ac:dyDescent="0.25">
      <c r="B19" s="22" t="s">
        <v>131</v>
      </c>
    </row>
    <row r="20" spans="1:3" x14ac:dyDescent="0.25">
      <c r="B20" s="22" t="s">
        <v>132</v>
      </c>
    </row>
    <row r="21" spans="1:3" x14ac:dyDescent="0.25">
      <c r="B21" s="22" t="s">
        <v>133</v>
      </c>
    </row>
    <row r="22" spans="1:3" x14ac:dyDescent="0.25">
      <c r="B22" s="22" t="s">
        <v>134</v>
      </c>
      <c r="C22" t="s">
        <v>197</v>
      </c>
    </row>
    <row r="23" spans="1:3" x14ac:dyDescent="0.25">
      <c r="B23" s="22" t="s">
        <v>135</v>
      </c>
    </row>
    <row r="24" spans="1:3" x14ac:dyDescent="0.25">
      <c r="B24" s="22" t="s">
        <v>136</v>
      </c>
    </row>
    <row r="25" spans="1:3" x14ac:dyDescent="0.25">
      <c r="B25" s="22" t="s">
        <v>137</v>
      </c>
    </row>
    <row r="26" spans="1:3" x14ac:dyDescent="0.25">
      <c r="A26" s="24" t="s">
        <v>194</v>
      </c>
      <c r="B26" s="25" t="s">
        <v>191</v>
      </c>
    </row>
    <row r="27" spans="1:3" x14ac:dyDescent="0.25">
      <c r="B27" s="22" t="s">
        <v>138</v>
      </c>
    </row>
    <row r="28" spans="1:3" x14ac:dyDescent="0.25">
      <c r="B28" s="23" t="s">
        <v>139</v>
      </c>
    </row>
    <row r="29" spans="1:3" x14ac:dyDescent="0.25">
      <c r="B29" s="22" t="s">
        <v>140</v>
      </c>
    </row>
    <row r="30" spans="1:3" x14ac:dyDescent="0.25">
      <c r="B30" s="22" t="s">
        <v>141</v>
      </c>
    </row>
    <row r="31" spans="1:3" x14ac:dyDescent="0.25">
      <c r="B31" s="22" t="s">
        <v>142</v>
      </c>
    </row>
    <row r="32" spans="1:3" x14ac:dyDescent="0.25">
      <c r="B32" s="22" t="s">
        <v>143</v>
      </c>
    </row>
    <row r="33" spans="2:2" x14ac:dyDescent="0.25">
      <c r="B33" s="22" t="s">
        <v>144</v>
      </c>
    </row>
    <row r="34" spans="2:2" x14ac:dyDescent="0.25">
      <c r="B34" s="22" t="s">
        <v>145</v>
      </c>
    </row>
    <row r="35" spans="2:2" x14ac:dyDescent="0.25">
      <c r="B35" s="22" t="s">
        <v>146</v>
      </c>
    </row>
    <row r="36" spans="2:2" x14ac:dyDescent="0.25">
      <c r="B36" s="22" t="s">
        <v>147</v>
      </c>
    </row>
    <row r="37" spans="2:2" x14ac:dyDescent="0.25">
      <c r="B37" s="22" t="s">
        <v>148</v>
      </c>
    </row>
    <row r="38" spans="2:2" x14ac:dyDescent="0.25">
      <c r="B38" s="22" t="s">
        <v>149</v>
      </c>
    </row>
    <row r="39" spans="2:2" x14ac:dyDescent="0.25">
      <c r="B39" s="22" t="s">
        <v>150</v>
      </c>
    </row>
    <row r="40" spans="2:2" x14ac:dyDescent="0.25">
      <c r="B40" s="22" t="s">
        <v>151</v>
      </c>
    </row>
    <row r="41" spans="2:2" x14ac:dyDescent="0.25">
      <c r="B41" s="22" t="s">
        <v>152</v>
      </c>
    </row>
    <row r="42" spans="2:2" x14ac:dyDescent="0.25">
      <c r="B42" s="22" t="s">
        <v>153</v>
      </c>
    </row>
    <row r="43" spans="2:2" x14ac:dyDescent="0.25">
      <c r="B43" s="23" t="s">
        <v>154</v>
      </c>
    </row>
    <row r="44" spans="2:2" x14ac:dyDescent="0.25">
      <c r="B44" s="22" t="s">
        <v>140</v>
      </c>
    </row>
    <row r="45" spans="2:2" x14ac:dyDescent="0.25">
      <c r="B45" s="22" t="s">
        <v>155</v>
      </c>
    </row>
    <row r="46" spans="2:2" x14ac:dyDescent="0.25">
      <c r="B46" s="22" t="s">
        <v>156</v>
      </c>
    </row>
    <row r="47" spans="2:2" x14ac:dyDescent="0.25">
      <c r="B47" s="22" t="s">
        <v>157</v>
      </c>
    </row>
    <row r="48" spans="2:2" x14ac:dyDescent="0.25">
      <c r="B48" s="22" t="s">
        <v>158</v>
      </c>
    </row>
    <row r="49" spans="2:2" x14ac:dyDescent="0.25">
      <c r="B49" s="22" t="s">
        <v>141</v>
      </c>
    </row>
    <row r="50" spans="2:2" x14ac:dyDescent="0.25">
      <c r="B50" s="22" t="s">
        <v>142</v>
      </c>
    </row>
    <row r="51" spans="2:2" x14ac:dyDescent="0.25">
      <c r="B51" s="22" t="s">
        <v>143</v>
      </c>
    </row>
    <row r="52" spans="2:2" x14ac:dyDescent="0.25">
      <c r="B52" s="22" t="s">
        <v>144</v>
      </c>
    </row>
    <row r="53" spans="2:2" x14ac:dyDescent="0.25">
      <c r="B53" s="22" t="s">
        <v>145</v>
      </c>
    </row>
    <row r="54" spans="2:2" x14ac:dyDescent="0.25">
      <c r="B54" s="22" t="s">
        <v>146</v>
      </c>
    </row>
    <row r="55" spans="2:2" x14ac:dyDescent="0.25">
      <c r="B55" s="22" t="s">
        <v>147</v>
      </c>
    </row>
    <row r="56" spans="2:2" x14ac:dyDescent="0.25">
      <c r="B56" s="22" t="s">
        <v>159</v>
      </c>
    </row>
    <row r="57" spans="2:2" x14ac:dyDescent="0.25">
      <c r="B57" s="22" t="s">
        <v>160</v>
      </c>
    </row>
    <row r="58" spans="2:2" x14ac:dyDescent="0.25">
      <c r="B58" s="22" t="s">
        <v>148</v>
      </c>
    </row>
    <row r="59" spans="2:2" x14ac:dyDescent="0.25">
      <c r="B59" s="22" t="s">
        <v>149</v>
      </c>
    </row>
    <row r="60" spans="2:2" x14ac:dyDescent="0.25">
      <c r="B60" s="22" t="s">
        <v>161</v>
      </c>
    </row>
    <row r="61" spans="2:2" x14ac:dyDescent="0.25">
      <c r="B61" s="22" t="s">
        <v>162</v>
      </c>
    </row>
    <row r="62" spans="2:2" x14ac:dyDescent="0.25">
      <c r="B62" s="22" t="s">
        <v>163</v>
      </c>
    </row>
    <row r="63" spans="2:2" x14ac:dyDescent="0.25">
      <c r="B63" s="22" t="s">
        <v>158</v>
      </c>
    </row>
    <row r="64" spans="2:2" x14ac:dyDescent="0.25">
      <c r="B64" s="22" t="s">
        <v>150</v>
      </c>
    </row>
    <row r="65" spans="2:2" x14ac:dyDescent="0.25">
      <c r="B65" s="22" t="s">
        <v>151</v>
      </c>
    </row>
    <row r="66" spans="2:2" x14ac:dyDescent="0.25">
      <c r="B66" s="22" t="s">
        <v>164</v>
      </c>
    </row>
    <row r="67" spans="2:2" x14ac:dyDescent="0.25">
      <c r="B67" s="22" t="s">
        <v>158</v>
      </c>
    </row>
    <row r="68" spans="2:2" x14ac:dyDescent="0.25">
      <c r="B68" s="22" t="s">
        <v>152</v>
      </c>
    </row>
    <row r="69" spans="2:2" x14ac:dyDescent="0.25">
      <c r="B69" s="22" t="s">
        <v>165</v>
      </c>
    </row>
    <row r="70" spans="2:2" x14ac:dyDescent="0.25">
      <c r="B70" s="23" t="s">
        <v>166</v>
      </c>
    </row>
    <row r="71" spans="2:2" x14ac:dyDescent="0.25">
      <c r="B71" s="22" t="s">
        <v>140</v>
      </c>
    </row>
    <row r="72" spans="2:2" x14ac:dyDescent="0.25">
      <c r="B72" s="22" t="s">
        <v>141</v>
      </c>
    </row>
    <row r="73" spans="2:2" x14ac:dyDescent="0.25">
      <c r="B73" s="22" t="s">
        <v>142</v>
      </c>
    </row>
    <row r="74" spans="2:2" x14ac:dyDescent="0.25">
      <c r="B74" s="22" t="s">
        <v>143</v>
      </c>
    </row>
    <row r="75" spans="2:2" x14ac:dyDescent="0.25">
      <c r="B75" s="22" t="s">
        <v>147</v>
      </c>
    </row>
    <row r="76" spans="2:2" x14ac:dyDescent="0.25">
      <c r="B76" s="22" t="s">
        <v>149</v>
      </c>
    </row>
    <row r="77" spans="2:2" x14ac:dyDescent="0.25">
      <c r="B77" s="22" t="s">
        <v>150</v>
      </c>
    </row>
    <row r="78" spans="2:2" x14ac:dyDescent="0.25">
      <c r="B78" s="22" t="s">
        <v>151</v>
      </c>
    </row>
    <row r="79" spans="2:2" x14ac:dyDescent="0.25">
      <c r="B79" s="22" t="s">
        <v>152</v>
      </c>
    </row>
    <row r="80" spans="2:2" x14ac:dyDescent="0.25">
      <c r="B80" s="22" t="s">
        <v>165</v>
      </c>
    </row>
    <row r="81" spans="1:2" x14ac:dyDescent="0.25">
      <c r="B81" s="23" t="s">
        <v>167</v>
      </c>
    </row>
    <row r="82" spans="1:2" x14ac:dyDescent="0.25">
      <c r="B82" s="23" t="s">
        <v>168</v>
      </c>
    </row>
    <row r="83" spans="1:2" x14ac:dyDescent="0.25">
      <c r="B83" s="23" t="s">
        <v>169</v>
      </c>
    </row>
    <row r="84" spans="1:2" x14ac:dyDescent="0.25">
      <c r="B84" s="23" t="s">
        <v>170</v>
      </c>
    </row>
    <row r="85" spans="1:2" x14ac:dyDescent="0.25">
      <c r="B85" s="23" t="s">
        <v>171</v>
      </c>
    </row>
    <row r="86" spans="1:2" x14ac:dyDescent="0.25">
      <c r="B86" s="23" t="s">
        <v>172</v>
      </c>
    </row>
    <row r="87" spans="1:2" x14ac:dyDescent="0.25">
      <c r="B87" s="23" t="s">
        <v>173</v>
      </c>
    </row>
    <row r="88" spans="1:2" x14ac:dyDescent="0.25">
      <c r="A88" s="24" t="s">
        <v>195</v>
      </c>
      <c r="B88" s="26" t="s">
        <v>174</v>
      </c>
    </row>
    <row r="89" spans="1:2" x14ac:dyDescent="0.25">
      <c r="B89" s="22" t="s">
        <v>175</v>
      </c>
    </row>
    <row r="90" spans="1:2" x14ac:dyDescent="0.25">
      <c r="B90" s="22" t="s">
        <v>176</v>
      </c>
    </row>
    <row r="91" spans="1:2" x14ac:dyDescent="0.25">
      <c r="B91" s="22" t="s">
        <v>177</v>
      </c>
    </row>
    <row r="92" spans="1:2" x14ac:dyDescent="0.25">
      <c r="B92" s="22" t="s">
        <v>178</v>
      </c>
    </row>
    <row r="93" spans="1:2" x14ac:dyDescent="0.25">
      <c r="B93" s="22" t="s">
        <v>179</v>
      </c>
    </row>
    <row r="94" spans="1:2" x14ac:dyDescent="0.25">
      <c r="B94" s="22" t="s">
        <v>180</v>
      </c>
    </row>
    <row r="95" spans="1:2" x14ac:dyDescent="0.25">
      <c r="B95" s="22" t="s">
        <v>181</v>
      </c>
    </row>
    <row r="96" spans="1:2" x14ac:dyDescent="0.25">
      <c r="B96" s="22" t="s">
        <v>182</v>
      </c>
    </row>
    <row r="97" spans="2:2" x14ac:dyDescent="0.25">
      <c r="B97" s="22" t="s">
        <v>183</v>
      </c>
    </row>
    <row r="98" spans="2:2" x14ac:dyDescent="0.25">
      <c r="B98" s="22" t="s">
        <v>184</v>
      </c>
    </row>
    <row r="99" spans="2:2" x14ac:dyDescent="0.25">
      <c r="B99" s="22" t="s">
        <v>185</v>
      </c>
    </row>
    <row r="100" spans="2:2" x14ac:dyDescent="0.25">
      <c r="B100" s="22" t="s">
        <v>186</v>
      </c>
    </row>
    <row r="101" spans="2:2" x14ac:dyDescent="0.25">
      <c r="B101" s="22" t="s">
        <v>187</v>
      </c>
    </row>
    <row r="102" spans="2:2" x14ac:dyDescent="0.25">
      <c r="B102" s="22" t="s">
        <v>188</v>
      </c>
    </row>
    <row r="103" spans="2:2" x14ac:dyDescent="0.25">
      <c r="B103" s="22" t="s">
        <v>189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S_member</cp:lastModifiedBy>
  <dcterms:created xsi:type="dcterms:W3CDTF">2022-04-01T07:31:40Z</dcterms:created>
  <dcterms:modified xsi:type="dcterms:W3CDTF">2022-07-29T11:47:03Z</dcterms:modified>
</cp:coreProperties>
</file>
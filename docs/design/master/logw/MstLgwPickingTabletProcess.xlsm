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w\"/>
    </mc:Choice>
  </mc:AlternateContent>
  <bookViews>
    <workbookView xWindow="0" yWindow="0" windowWidth="28800" windowHeight="11805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C20" i="5"/>
  <c r="B20" i="5"/>
  <c r="D20" i="5" s="1"/>
  <c r="L15" i="1"/>
  <c r="G15" i="1"/>
  <c r="E15" i="1"/>
  <c r="H15" i="1" s="1"/>
  <c r="D15" i="1"/>
  <c r="V15" i="1" s="1"/>
  <c r="H20" i="5" l="1"/>
  <c r="V20" i="5"/>
  <c r="I20" i="5"/>
  <c r="T20" i="5"/>
  <c r="K20" i="5"/>
  <c r="U20" i="5"/>
  <c r="G20" i="5"/>
  <c r="S20" i="5" s="1"/>
  <c r="L20" i="5"/>
  <c r="W15" i="1"/>
  <c r="O15" i="1"/>
  <c r="J15" i="1"/>
  <c r="N15" i="1"/>
  <c r="I15" i="1"/>
  <c r="M15" i="1"/>
  <c r="P15" i="1"/>
  <c r="T15" i="1"/>
  <c r="T13" i="1"/>
  <c r="P13" i="1"/>
  <c r="L13" i="1"/>
  <c r="G13" i="1"/>
  <c r="E13" i="1"/>
  <c r="H13" i="1" s="1"/>
  <c r="W13" i="1" s="1"/>
  <c r="D13" i="1"/>
  <c r="V13" i="1" s="1"/>
  <c r="M13" i="1" l="1"/>
  <c r="I13" i="1"/>
  <c r="N13" i="1"/>
  <c r="J13" i="1"/>
  <c r="O13" i="1"/>
  <c r="L9" i="1" l="1"/>
  <c r="G9" i="1"/>
  <c r="E9" i="1"/>
  <c r="H9" i="1" s="1"/>
  <c r="D9" i="1"/>
  <c r="V9" i="1" s="1"/>
  <c r="W9" i="1" l="1"/>
  <c r="O9" i="1"/>
  <c r="J9" i="1"/>
  <c r="N9" i="1"/>
  <c r="I9" i="1"/>
  <c r="M9" i="1"/>
  <c r="P9" i="1"/>
  <c r="T9" i="1"/>
  <c r="C22" i="5" l="1"/>
  <c r="B22" i="5"/>
  <c r="D22" i="5" s="1"/>
  <c r="T22" i="5" s="1"/>
  <c r="H22" i="5" l="1"/>
  <c r="L22" i="5"/>
  <c r="G22" i="5"/>
  <c r="S22" i="5" s="1"/>
  <c r="U22" i="5"/>
  <c r="K22" i="5"/>
  <c r="V22" i="5"/>
  <c r="I22" i="5"/>
  <c r="C21" i="5" l="1"/>
  <c r="G17" i="1"/>
  <c r="E17" i="1"/>
  <c r="H17" i="1" s="1"/>
  <c r="D17" i="1"/>
  <c r="V17" i="1" s="1"/>
  <c r="G16" i="1"/>
  <c r="E16" i="1"/>
  <c r="H16" i="1" s="1"/>
  <c r="D16" i="1"/>
  <c r="P16" i="1" s="1"/>
  <c r="B21" i="5" l="1"/>
  <c r="D21" i="5" s="1"/>
  <c r="I21" i="5" s="1"/>
  <c r="G21" i="5"/>
  <c r="L21" i="5"/>
  <c r="T17" i="1"/>
  <c r="W16" i="1"/>
  <c r="T16" i="1"/>
  <c r="P17" i="1"/>
  <c r="N17" i="1"/>
  <c r="I17" i="1"/>
  <c r="M17" i="1"/>
  <c r="W17" i="1"/>
  <c r="O17" i="1"/>
  <c r="J17" i="1"/>
  <c r="M16" i="1"/>
  <c r="I16" i="1"/>
  <c r="N16" i="1"/>
  <c r="V16" i="1"/>
  <c r="J16" i="1"/>
  <c r="O16" i="1"/>
  <c r="V21" i="5" l="1"/>
  <c r="K21" i="5"/>
  <c r="U21" i="5"/>
  <c r="T21" i="5"/>
  <c r="S21" i="5"/>
  <c r="H21" i="5"/>
  <c r="W3" i="1"/>
  <c r="V3" i="1"/>
  <c r="B2" i="5" l="1"/>
  <c r="B3" i="5" s="1"/>
  <c r="C19" i="5"/>
  <c r="B18" i="5"/>
  <c r="D18" i="5" s="1"/>
  <c r="G14" i="1"/>
  <c r="E14" i="1"/>
  <c r="H14" i="1" s="1"/>
  <c r="D14" i="1"/>
  <c r="N14" i="1" l="1"/>
  <c r="O14" i="1"/>
  <c r="M14" i="1"/>
  <c r="T14" i="1"/>
  <c r="V14" i="1"/>
  <c r="W14" i="1"/>
  <c r="T18" i="5"/>
  <c r="P14" i="1"/>
  <c r="C18" i="5"/>
  <c r="B19" i="5"/>
  <c r="D19" i="5" s="1"/>
  <c r="I14" i="1"/>
  <c r="J14" i="1"/>
  <c r="B6" i="5"/>
  <c r="L19" i="5" l="1"/>
  <c r="I19" i="5"/>
  <c r="K19" i="5"/>
  <c r="H19" i="5"/>
  <c r="L18" i="5"/>
  <c r="K18" i="5"/>
  <c r="I18" i="5"/>
  <c r="H18" i="5"/>
  <c r="G19" i="5"/>
  <c r="S19" i="5" s="1"/>
  <c r="U19" i="5"/>
  <c r="V19" i="5"/>
  <c r="G18" i="5"/>
  <c r="S18" i="5" s="1"/>
  <c r="U18" i="5"/>
  <c r="V18" i="5"/>
  <c r="T19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10" i="1"/>
  <c r="V10" i="1" l="1"/>
  <c r="T10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1" i="1"/>
  <c r="D12" i="1"/>
  <c r="V11" i="1" l="1"/>
  <c r="T11" i="1"/>
  <c r="V12" i="1"/>
  <c r="T12" i="1"/>
  <c r="C15" i="5"/>
  <c r="B15" i="5"/>
  <c r="D15" i="5" s="1"/>
  <c r="V19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10" i="1" l="1"/>
  <c r="F15" i="5" s="1"/>
  <c r="G11" i="1"/>
  <c r="G12" i="1"/>
  <c r="E10" i="1"/>
  <c r="H10" i="1" s="1"/>
  <c r="E11" i="1"/>
  <c r="H11" i="1" s="1"/>
  <c r="E12" i="1"/>
  <c r="H12" i="1" s="1"/>
  <c r="P10" i="1"/>
  <c r="P11" i="1"/>
  <c r="P12" i="1"/>
  <c r="T19" i="1"/>
  <c r="O12" i="1" l="1"/>
  <c r="M12" i="1"/>
  <c r="N12" i="1"/>
  <c r="O11" i="1"/>
  <c r="M11" i="1"/>
  <c r="N11" i="1"/>
  <c r="O10" i="1"/>
  <c r="M10" i="1"/>
  <c r="N10" i="1"/>
  <c r="W12" i="1"/>
  <c r="E15" i="5"/>
  <c r="W10" i="1"/>
  <c r="W11" i="1"/>
  <c r="T7" i="1"/>
  <c r="I12" i="1"/>
  <c r="I11" i="1"/>
  <c r="I10" i="1"/>
  <c r="W19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U13" i="5"/>
  <c r="I13" i="5"/>
  <c r="V13" i="5"/>
  <c r="L13" i="5"/>
  <c r="S13" i="5"/>
  <c r="K13" i="5"/>
  <c r="H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7" i="1" l="1"/>
  <c r="L12" i="1"/>
  <c r="L14" i="1"/>
  <c r="L16" i="1"/>
  <c r="L10" i="1"/>
  <c r="L11" i="1"/>
  <c r="J12" i="1"/>
  <c r="J10" i="1"/>
  <c r="J11" i="1"/>
  <c r="C7" i="1"/>
  <c r="J19" i="1"/>
  <c r="P19" i="1"/>
  <c r="O19" i="1"/>
  <c r="N19" i="1"/>
  <c r="I19" i="1"/>
  <c r="Q7" i="1" l="1"/>
  <c r="M47" i="3" s="1"/>
  <c r="L7" i="1"/>
  <c r="G47" i="3" s="1"/>
  <c r="K47" i="3"/>
  <c r="J47" i="3"/>
  <c r="K19" i="1"/>
  <c r="M19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<sst xmlns="http://schemas.openxmlformats.org/spreadsheetml/2006/main" count="403" uniqueCount="316">
  <si>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</si>
  <si>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</si>
  <si>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</si>
  <si>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</si>
  <si>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</si>
  <si>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</si>
  <si>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</si>
  <si>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</si>
  <si>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</si>
  <si>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</si>
  <si>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</si>
  <si>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</si>
  <si>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</si>
  <si>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</si>
  <si>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</si>
  <si>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</si>
  <si>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</si>
  <si>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</si>
  <si>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</si>
  <si>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</si>
  <si>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</si>
  <si>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</si>
  <si>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</si>
  <si>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</si>
  <si>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</si>
  <si>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</si>
  <si>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</si>
  <si>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</si>
  <si>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</si>
  <si>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</si>
  <si>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</si>
  <si>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</si>
  <si>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</si>
  <si>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</si>
  <si>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</si>
  <si>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</si>
  <si>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</si>
  <si>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</si>
  <si>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</si>
  <si>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</si>
  <si>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</si>
  <si>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</si>
  <si>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</si>
  <si>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</si>
  <si>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</si>
  <si>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</si>
  <si>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</si>
  <si>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</si>
  <si>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</si>
  <si>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</si>
  <si>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</si>
  <si>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</si>
  <si>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</si>
  <si>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</si>
  <si>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</si>
  <si>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</si>
  <si>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</si>
  <si>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</si>
  <si>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</si>
  <si>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</si>
  <si>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</si>
  <si>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</si>
  <si>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</si>
  <si>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</si>
  <si>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</si>
  <si>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</si>
  <si>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</si>
  <si>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</si>
  <si>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</si>
  <si>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</si>
  <si>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</si>
  <si>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</si>
  <si>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</si>
  <si>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</si>
  <si>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</si>
  <si>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</si>
  <si>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</si>
  <si>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</si>
  <si>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</si>
  <si>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</si>
  <si>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</si>
  <si>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</si>
  <si>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</si>
  <si>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</si>
  <si>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</si>
  <si>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</si>
  <si>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</si>
  <si>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</si>
  <si>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</si>
  <si>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</si>
  <si>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</si>
  <si>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</si>
  <si>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</si>
  <si>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</si>
  <si>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</si>
  <si>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</si>
  <si>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</si>
  <si>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</si>
  <si>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</si>
  <si>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</si>
  <si>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</si>
  <si>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</si>
  <si>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</si>
  <si>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</si>
  <si>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</si>
  <si>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</si>
  <si>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</si>
  <si>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</si>
  <si>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</si>
  <si>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</si>
  <si>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</si>
  <si>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</si>
  <si>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</si>
  <si>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</si>
  <si>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</si>
  <si>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</si>
  <si>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</si>
  <si>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</si>
  <si>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</si>
  <si>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</si>
  <si>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</si>
  <si>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</si>
  <si>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</si>
  <si>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</si>
  <si>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</si>
  <si>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</si>
  <si>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</si>
  <si>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</si>
  <si>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</si>
  <si>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</si>
  <si>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</si>
  <si>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</si>
  <si>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</si>
  <si>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</si>
  <si>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</si>
  <si>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</si>
  <si>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</si>
  <si>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</si>
  <si>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</si>
  <si>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</si>
  <si>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</si>
  <si>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</si>
  <si>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</si>
  <si>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</si>
  <si>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</si>
  <si>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</si>
  <si>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</si>
  <si>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</si>
  <si>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</si>
  <si>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</si>
  <si>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</si>
  <si>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</si>
  <si>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</si>
  <si>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</si>
  <si>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</si>
  <si>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</si>
  <si>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</si>
  <si>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</si>
  <si>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</si>
  <si>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</si>
  <si>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</si>
  <si>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</si>
  <si>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</si>
  <si>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</si>
  <si>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</si>
  <si>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</si>
  <si>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</si>
  <si>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</si>
  <si>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</si>
  <si>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</si>
  <si>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</si>
  <si>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</si>
  <si>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</si>
  <si>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</si>
  <si>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</si>
  <si>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</si>
  <si>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</si>
  <si>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</si>
  <si>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</si>
  <si>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</si>
  <si>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</si>
  <si>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</si>
  <si>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</si>
  <si>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</si>
  <si>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</si>
  <si>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</si>
  <si>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</si>
  <si>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</si>
  <si>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</si>
  <si>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</si>
  <si>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</si>
  <si>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</si>
  <si>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</si>
  <si>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</si>
  <si>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</si>
  <si>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</si>
  <si>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</si>
  <si>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</si>
  <si>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</si>
  <si>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</si>
  <si>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</si>
  <si>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</si>
  <si>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</si>
  <si>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</si>
  <si>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</si>
  <si>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</si>
  <si>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</si>
  <si>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</si>
  <si>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</si>
  <si>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</si>
  <si>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</si>
  <si>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</si>
  <si>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</si>
  <si>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</si>
  <si>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</si>
  <si>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</si>
  <si>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</si>
  <si>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</si>
  <si>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</si>
  <si>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</si>
  <si>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</si>
  <si>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</si>
  <si>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</si>
  <si>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</si>
  <si>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</si>
  <si>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</si>
  <si>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</si>
  <si>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</si>
  <si>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</si>
  <si>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</si>
  <si>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</si>
  <si>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</si>
  <si>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</si>
  <si>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</si>
  <si>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</si>
  <si>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</si>
  <si>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</si>
  <si>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</si>
  <si>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</si>
  <si>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</si>
  <si>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</si>
  <si>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</si>
  <si>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</si>
  <si>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</si>
  <si>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</si>
  <si>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</si>
  <si>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</si>
  <si>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</si>
  <si>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</si>
  <si>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</si>
  <si>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</si>
  <si>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</si>
  <si>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</si>
  <si>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</si>
  <si>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</si>
  <si>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</si>
  <si>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</si>
  <si>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</si>
  <si>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</si>
  <si>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</si>
  <si>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</si>
  <si>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</si>
  <si>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</si>
  <si>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</si>
  <si>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</si>
  <si>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</si>
  <si>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</si>
  <si>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</si>
  <si>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</si>
  <si>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</si>
  <si>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</si>
  <si>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</si>
  <si>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</si>
  <si>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</si>
  <si>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</si>
  <si>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</si>
  <si>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</si>
  <si>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</si>
  <si>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</si>
  <si>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</si>
  <si>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</si>
  <si>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</si>
  <si>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</si>
  <si>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</si>
  <si>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</si>
  <si>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</si>
  <si>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</si>
  <si>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</si>
  <si>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</si>
  <si>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</si>
  <si>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</si>
  <si>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</si>
  <si>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</si>
  <si>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</si>
  <si>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</si>
  <si>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</si>
  <si>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</si>
  <si>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</si>
  <si>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</si>
  <si>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</si>
  <si>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</si>
  <si>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IS_ACTIVE</t>
  </si>
  <si>
    <t>varchar(1)</t>
  </si>
  <si>
    <t>varchar(50)</t>
  </si>
  <si>
    <t>Master.LogW</t>
  </si>
  <si>
    <t>PickingTabletSetup</t>
  </si>
  <si>
    <t>PICKING_POSITION</t>
  </si>
  <si>
    <t>PROCESS</t>
  </si>
  <si>
    <t>PICKING_CYCLE</t>
  </si>
  <si>
    <t>LOGIC_SEQUENCE</t>
  </si>
  <si>
    <t>IS_LOT_SUPPLY</t>
  </si>
  <si>
    <t>PICKING_TABLET_ID</t>
  </si>
  <si>
    <t>MstLgwPickingTabletProcess</t>
  </si>
  <si>
    <t>Master LogW Picking Tablet Process Configuration</t>
  </si>
  <si>
    <t>LOGIC_SEQUENCE_NO</t>
  </si>
  <si>
    <t>HAS_MODEL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</si>
</sst>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workbookViewId="0">
      <selection activeCell="D20" sqref="D20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[Table("MstLgwPickingTabletProcess")]
	[Index(nameof(PickingTabletId), Name="IX_MstLgwPickingTabletProcess_PickingTabletId")]
	[Index(nameof(PickingPosition), Name="IX_MstLgwPickingTabletProcess_PickingPosition")]
	[Index(nameof(Process), Name="IX_MstLgwPickingTabletProcess_Process")]
	[Index(nameof(IsActive), Name="IX_MstLgwPickingTabletProcess_IsActive")]	public class MstLgwPickingTabletProcess: FullAuditedEntity&lt;long&gt;, IEntity&lt;long&gt;	
	{
		public const int MaxPickingPositionLength = 50;
		public const int MaxProcessLength = 50;
		public const int MaxLogicSequenceLength = 50;
		public const int MaxHasModelLength = 1;
		public const int MaxIsLotSupplyLength = 1;
		public const int MaxIsActiveLength = 1;
		public virtual long PickingTabletId { get; set; }
		[StringLength(MaxPickingPositionLength)]
		public virtual string PickingPosition { get; set; }
		[StringLength(MaxProcessLength)]
		public virtual string Process { get; set; }
		public virtual int PickingCycle { get; set; }
		public virtual int LogicSequenceNo { get; set; }
		[StringLength(MaxLogicSequenceLength)]
		public virtual string LogicSequence { get; set; }
		[StringLength(MaxHasModelLength)]
		public virtual string HasModel { get; set; }
		[StringLength(MaxIsLotSupplyLength)]
		public virtual string IsLotSupply { get; set; }
		[StringLength(MaxIsActiveLength)]
		public virtual string IsActive { get; set; }
	}
}
</v>
      </c>
      <c r="D47" s="51" t="str">
        <f>A.Backend!O7</f>
        <v xml:space="preserve">		public const string Pages_Master_LogW_PickingTabletSetup = "Pages.Master.LogW.PickingTabletSetup";
		public const string Pages_Master_LogW_PickingTabletSetup_CreateEdit = "Pages.Master.LogW.PickingTabletSetup.CreateEdit";
		public const string Pages_Master_LogW_PickingTabletSetup_Delete = "Pages.Master.LogW.PickingTabletSetup.Delete";
</v>
      </c>
      <c r="E47" s="51" t="str">
        <f>A.Backend!N7</f>
        <v xml:space="preserve">		var perMstLgwPickingTabletProcess = PARENTS.CreateChildPermission(AppPermissions.Pages_Master_LogW_PickingTabletSetup, L( "MasterLogWPickingTabletSetup"));
		perMstLgwPickingTabletProcess.CreateChildPermission(AppPermissions.Pages_Master_LogW_PickingTabletSetup_CreateEdit, L( "MasterLogWPickingTabletSetupCreateEdit"));
		perMstLgwPickingTabletProcess.CreateChildPermission(AppPermissions.Pages_Master_LogW_PickingTabletSetup_Delete, L( "MasterLogWPickingTabletSetupDelete"));</v>
      </c>
      <c r="F47" s="51" t="str">
        <f>A.Backend!K7</f>
        <v>public virtual DbSet&lt;MstLgwPickingTabletProcess&gt; MstLgwPickingTabletProcesss { get; set; }</v>
      </c>
      <c r="G47" s="51" t="str">
        <f ca="1">A.Backend!L7</f>
        <v xml:space="preserve">namespace vovina.Master.LogW
{
	public class MstLgwPickingTabletProcessConsts	
	{
		public const int MaxPickingPositionLength = 50;
		public const int MaxProcessLength = 50;
		public const int MaxLogicSequenceLength = 50;
		public const int MaxHasModelLength = 1;
		public const int MaxIsLotSupplyLength = 1;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vovina.Master.LogW.Dto
{
	public class MstLgwPickingTabletProcessDto : EntityDto&lt;long?&gt;	
	{
		public virtual long PickingTabletId { get; set; }
		public virtual string PickingPosition { get; set; }
		public virtual string Process { get; set; }
		public virtual int PickingCycle { get; set; }
		public virtual int LogicSequenceNo { get; set; }
		public virtual string LogicSequence { get; set; }
		public virtual string HasModel { get; set; }
		public virtual string IsLotSupply { get; set; }
		public virtual string IsActive { get; set; }
	}
	public class CreateOrEditMstLgwPickingTabletProcessDto : EntityDto&lt;long?&gt;	
	{
		public virtual long PickingTabletId { get; set; }
		[StringLength(MstLgwPickingTabletProcessConsts.MaxPickingPositionLength)]
		public virtual string PickingPosition { get; set; }
		[StringLength(MstLgwPickingTabletProcessConsts.MaxProcessLength)]
		public virtual string Process { get; set; }
		public virtual int PickingCycle { get; set; }
		public virtual int LogicSequenceNo { get; set; }
		[StringLength(MstLgwPickingTabletProcessConsts.MaxLogicSequenceLength)]
		public virtual string LogicSequence { get; set; }
		[StringLength(MstLgwPickingTabletProcessConsts.MaxHasModelLength)]
		public virtual string HasModel { get; set; }
		[StringLength(MstLgwPickingTabletProcessConsts.MaxIsLotSupplyLength)]
		public virtual string IsLotSupply { get; set; }
		[StringLength(MstLgwPickingTabletProcessConsts.MaxIsActiveLength)]
		public virtual string IsActive { get; set; }
	}
	public class GetMstLgwPickingTabletProcessInput : PagedAndSortedResultRequestDto	
	{
		public virtual string PickingPosition { get; set; }
		public virtual string Process { get; set; }
		public virtual int PickingCycle { get; set; }
		public virtual int LogicSequenceNo { get; set; }
		public virtual string LogicSequence { get; set; }
		public virtual string HasModel { get; set; }
		public virtual string IsLotSupply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vovina.Master.LogW.Dto
{
	public class MstLgwPickingTabletProcessExportInput{
		public virtual long PickingTabletId { get; set; }
		public virtual string PickingPosition { get; set; }
		public virtual string Process { get; set; }
		public virtual int PickingCycle { get; set; }
		public virtual int LogicSequenceNo { get; set; }
		public virtual string LogicSequence { get; set; }
		public virtual string HasModel { get; set; }
		public virtual string IsLotSupply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vovina.Master.LogW.Dto;
namespace vovina.Master.LogW
{
	public interface IMstLgwPickingTabletProcessAppService : IApplicationService
	{
		Task&lt;PagedResultDto&lt;MstLgwPickingTabletProcessDto&gt;&gt; GetAll(GetMstLgwPickingTabletProcessInput input);
		Task CreateOrEdit(CreateOrEditMstLgwPickingTabletProcessDto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IMstLgwPickingTabletProcessExcelExporter : IApplicationService
	{
		FileDto ExportToFile(List&lt;MstLgwPickingTabletProcessDto&gt; mstlgwpickingtabletprocess);
	}
}
</v>
      </c>
      <c r="L47" s="51" t="str">
        <f ca="1">A.Backend!T7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MstLgwPickingTabletProcessExcelExporter : NpoiExcelExporterBase, IMstLgwPickingTabletProcessExcelExporter
    {
        public MstLgwPickingTabletProcessExcelExporter(ITempFileCacheManager tempFileCacheManager) : base(tempFileCacheManager) { }
        public FileDto ExportToFile(List&lt;MstLgwPickingTabletProcessDto&gt; pickingtabletsetup)
        {
            return CreateExcelPackage(
				"MasterLogWPickingTabletSetup.xlsx",
				excelPackage =&gt;
				 {
					var sheet = excelPackage.CreateSheet("PickingTabletSetup");
					AddHeader(
								sheet,
								("PickingTabletId"),
								("PickingPosition"),
								("Process"),
								("PickingCycle"),
								("LogicSequenceNo"),
								("LogicSequence"),
								("HasModel"),
								("IsLotSupply"),
								("IsActive"),
							   );
					AddObjects(
						 sheet, 1, pickingtabletsetup,                                       
								_ =&gt; _.PickingTabletId,
								_ =&gt; _.PickingPosition,
								_ =&gt; _.Process,
								_ =&gt; _.PickingCycle,
								_ =&gt; _.LogicSequenceNo,
								_ =&gt; _.LogicSequence,
								_ =&gt; _.HasModel,
								_ =&gt; _.IsLotSupply,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[AbpAuthorize(AppPermissions.Pages_Master_LogW_PickingTabletSetup)]
    public class MstLgwPickingTabletProcessAppService : vovinaAppServiceBase, IMstLgwPickingTabletProcessAppService
    {
        private readonly IDapperRepository&lt;MstLgwPickingTabletProcess, long&gt; _dapperRepo;
        private readonly IRepository&lt;MstLgwPickingTabletProcess, long&gt; _repo;
        private readonly IMstLgwPickingTabletProcessExcelExporter _calendarListExcelExporter;
        public MstLgwPickingTabletProcessAppService(IRepository&lt;MstLgwPickingTabletProcess,long&gt; repo, 
                                         IDapperRepository&lt;MstLgwPickingTabletProcess,long&gt; dapperRepo,
                                        IMstLgwPickingTabletProcessExcelExporter calendarListExcelExporter
            )
        {
            _repo = repo;
            _dapperRepo = dapperRepo;
            _calendarListExcelExporter = calendarListExcelExporter;
        }
        [AbpAuthorize(AppPermissions.Pages_Master_LogW_PickingTabletSetup_CreateEdit)]
        public async Task CreateOrEdit(CreateOrEditMstLgwPickingTabletProcessDto input)
        {
            if (input.Id == null) await Create(input);
            else await Update(input);
        }
        //CREATE
        private async Task Create(CreateOrEditMstLgwPickingTabletProcessDto input)
        {          
            var mainObj = ObjectMapper.Map&lt;MstLgwPickingTabletProcess&gt;(input);
            await CurrentUnitOfWork.GetDbContext&lt;vovinaDbContext&gt;().AddAsync(mainObj);
        }
        // EDIT
        private async Task Update(CreateOrEditMstLgwPickingTabletProcessDto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[AbpAuthorize(AppPermissions.Pages_Master_LogW_PickingTabletSetup_Delete)]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Task&lt;PagedResultDto&lt;MstLgwPickingTabletProcessDto&gt;&gt; GetAll(GetMstLgwPickingTabletProcessInput input)
        {
            var filtered = _repo.GetAll()
				.WhereIf(!string.IsNullOrWhiteSpace(input.PickingPosition), e =&gt; e.PickingPosition.Contains(input.PickingPosition))
				.WhereIf(!string.IsNullOrWhiteSpace(input.Process), e =&gt; e.Process.Contains(input.Process))
				.WhereIf(!string.IsNullOrWhiteSpace(input.LogicSequence), e =&gt; e.LogicSequence.Contains(input.LogicSequence))
				.WhereIf(!string.IsNullOrWhiteSpace(input.HasModel), e =&gt; e.HasModel.Contains(input.HasModel))
				.WhereIf(!string.IsNullOrWhiteSpace(input.IsLotSupply), e =&gt; e.IsLotSupply.Contains(input.IsLotSupply))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MstLgwPickingTabletProcessDto
                        {
							Id = o.Id,
							PickingTabletId = o.PickingTabletId,
							PickingPosition = o.PickingPosition,
							Process = o.Process,
							PickingCycle = o.PickingCycle,
							LogicSequenceNo = o.LogicSequenceNo,
							LogicSequence = o.LogicSequence,
							HasModel = o.HasModel,
							IsLotSupply = o.IsLotSupply,
							IsActive = o.IsActive,
                        };
            var totalCount = await filtered.CountAsync();
			var paged = system.PageBy(input);
            return new PagedResultDto&lt;MstLgwPickingTabletProcessDto&gt;(
                totalCount,
                 await paged.ToListAsync()
            );
        }
        public async Task&lt;FileDto&gt; GetPickingTabletSetupToExcel(MstLgwPickingTabletProcessExportInput input)
        {
            var query = from o in _repo.GetAll()
                        select new MstLgwPickingTabletProcessDto
                        {
							Id = o.Id,
							PickingTabletId = o.PickingTabletId,
							PickingPosition = o.PickingPosition,
							Process = o.Process,
							PickingCycle = o.PickingCycle,
							LogicSequenceNo = o.LogicSequenceNo,
							LogicSequence = o.LogicSequence,
							HasModel = o.HasModel,
							IsLotSupply = o.IsLotSupply,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_dapperRepo.ExecuteAsync(MstLgwPickingTabletProcessConsts.SP_MST_WPT_CALENDAR_GENERATE);
       // }
    }
}</v>
      </c>
      <c r="N47" s="62" t="str">
        <f>A.Backend!U7</f>
        <v xml:space="preserve">  configuration.CreateMap&lt;MstLgwPickingTabletProcessDto, MstLgwPickingTabletProcess&gt;();
  configuration.CreateMap&lt;MstLgwPickingTabletProcess, MstLgwPickingTabletProcessDto&gt;();
  configuration.CreateMap&lt;CreateOrEditMstLgwPickingTabletProcessDto, MstLgwPickingTabletProcess&gt;();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pickingtabletsetup</v>
      </c>
      <c r="C52" s="72" t="str">
        <f>"create folder " &amp;B52</f>
        <v>create folder pickingtabletsetup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pickingtabletsetup.component.ts</v>
      </c>
      <c r="D53" s="31" t="str">
        <f>B.Frontend!I14</f>
        <v>pickingtabletsetup.component.html</v>
      </c>
      <c r="E53" s="31" t="str">
        <f>B.Frontend!J14</f>
        <v>pickingtabletsetup.component.less</v>
      </c>
      <c r="F53" s="31" t="str">
        <f>B.Frontend!K14</f>
        <v>create-or-edit-pickingtabletsetup-modal.component.html</v>
      </c>
      <c r="G53" s="31" t="str">
        <f>B.Frontend!L14</f>
        <v>create-or-edit-pickingtabletsetup-modal.component.ts</v>
      </c>
      <c r="H53" s="31" t="str">
        <f>B.Frontend!M14</f>
        <v>create-or-edit-pickingtabletsetup-modal.component.less</v>
      </c>
      <c r="I53" s="31" t="str">
        <f>B.Frontend!N14</f>
        <v>pickingtabletsetup.module.ts</v>
      </c>
      <c r="J53" s="31" t="str">
        <f>B.Frontend!O14</f>
        <v>pickingtabletsetup-routing.module.ts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MstLgwPickingTabletProcessDto, MstLgwPickingTabletProcessServiceProxy } from '@shared/service-proxies/service-proxies';
import { finalize } from 'rxjs/internal/operators/finalize';
import { CreateOrEditPickingTabletSetupModalComponent } from './create-or-edit-pickingtabletsetup-modal.component';
import { DatePipe } from '@angular/common';
import { FileDownloadService } from '@shared/utils/file-download.service';
import ceil from 'lodash-es/ceil';
import { Paginator } from 'primeng/paginator';
@Component({
    templateUrl: './pickingtabletsetup.component.html',
    styleUrls: ['./pickingtabletsetup.component.less'],
})
export class PickingTabletSetupComponent extends AppComponentBase implements OnInit {
    @ViewChild('createOrEditModalPickingTabletSetup', { static: true }) createOrEditModalPickingTabletSetup:| CreateOrEditPickingTabletSetupModalComponent|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MstLgwPickingTabletProcessDto = new MstLgwPickingTabletProcessDto();
    saveSelectedRow: MstLgwPickingTabletProcessDto = new MstLgwPickingTabletProcessDto();
    datas: MstLgwPickingTabletProcessDto = new MstLgwPickingTabletProcessDto();
    isLoading: boolean = false;
    dataParams: GridParams | undefined;
    rowData: any[] = [];
    gridApi!: GridApi;
    rowSelection = 'multiple';
    filter: string = '';
	pipe = new DatePipe('en-US');
	frameworkComponents: FrameworkComponent;
    pickingTabletId : string = '' ; 
	pickingPosition : string = '' ; 
	process : number = 0 ;
	pickingCycle : number = 0 ;
	logicSequence : string = '' ; 
hasModel : string = '' ; 
isLotSupply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MstLgwPickingTabletProcessServiceProxy,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this.l('Picking Tablet Id'),headerTooltip: this.l('Picking Tablet Id'),field: 'pickingTabletId',flex: 1},
			{headerName: this.l('Picking Position'),headerTooltip: this.l('Picking Position'),field: 'pickingPosition',flex: 1},
			{headerName: this.l('Process'),headerTooltip: this.l('Process'),field: 'process',flex: 1},
			{headerName: this.l('Picking Cycle'),headerTooltip: this.l('Picking Cycle'),field: 'pickingCycle',flex: 1},
			{headerName: this.l('Logic Sequence'),headerTooltip: this.l('Logic Sequence'),field: 'logicSequence',flex: 1},
			{headerName: this.l('Has Model'),headerTooltip: this.l('Has Model'),field:  'hasModel', cellClass: ['text-center'], width: 120, cellRenderer: 'agCellButtonComponent',
buttonDefTwo: { text: params =&gt; (params.data?.'hasModel' == 'Y') ? 'Active' : 'Inactive',iconName: 'fa fa-circle',className: params =&gt; (params.data?.'hasModel' == 'Y') ? 'btnActive' : 'btnInActive',},}
			{headerName: this.l('Is Lot Supply'),headerTooltip: this.l('Is Lot Supply'),field:  'isLotSupply', cellClass: ['text-center'], width: 120, cellRenderer: 'agCellButtonComponent',
buttonDefTwo: { text: params =&gt; (params.data?.'isLotSupply' == 'Y') ? 'Active' : 'Inactive',iconName: 'fa fa-circle',className: params =&gt; (params.data?.'isLotSupply'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this.pickingTabletId,
			this.pickingPosition,
			this.process,
			this.pickingCycle,
			this.logicSequence,
			this.hasModel,
			this.isLotSupply,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this.pickingTabletId = '',
		this.pickingPosition = '',
		this.process = 0,
		this.pickingCycle = 0,
		this.logicSequence = '',
this.hasModel = '',
this.isLotSupply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this.pickingTabletId,
			this.pickingPosition,
			this.process,
			this.pickingCycle,
			this.logicSequence,
			this.hasModel,
			this.isLotSupply,
			this.isActive,
			'',
            this.paginationParams.skipCount,
            this.paginationParams.pageSize
        );
    }
    onChangeRowSelection(params: { api: { getSelectedRows: () =&gt; MstLgwPickingTabletProcessDto[] } }) {
        this.saveSelectedRow = params.api.getSelectedRows()[0] ?? new MstLgwPickingTabletProcessDto();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MstLgwPickingTabletProcessDto):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this._service.getPickingTabletSetupToExcel(
			this.pickingTabletId,
			this.pickingPosition,
			this.process,
			this.pickingCycle,
			this.logicSequence,
			this.hasModel,
			this.isLotSupply,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Picking Tablet Process Configuration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[(ngModel)]='pickingTabletId' name='pickingTabletId'
									class='form-control' [placeholder]="l('Picking Tablet Id')"
									type='text' (keyup.enter)='searchDatas()'&gt;
								&lt;/div&gt;
								&lt;div class='input-search'&gt;
									&lt;input [(ngModel)]='pickingPosition' name='pickingPosition'
									class='form-control' [placeholder]="l('Picking Position')"
									type='text' (keyup.enter)='searchDatas()'&gt;
								&lt;/div&gt;
								&lt;div class='input-search'&gt;
									&lt;input [(ngModel)]='logicSequence' name='logicSequence'
									class='form-control' [placeholder]="l('Logic Sequence')"
									type='text' (keyup.enter)='searchDatas()'&gt;
								&lt;/div&gt;
								&lt;div class='input-search'&gt;
									&lt;input [(ngModel)]='hasModel' name='hasModel'
									class='form-control' [placeholder]="l('Has Model')"
									type='text' (keyup.enter)='searchDatas()'&gt;
								&lt;/div&gt;
								&lt;div class='input-search'&gt;
									&lt;input [(ngModel)]='isLotSupply' name='isLotSupply'
									class='form-control' [placeholder]="l('Is Lot Supply')"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(click)="createOrEditModalPickingTabletSetup.show()"&gt;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(click)="createOrEditModalPickingTabletSetup.show(selectedRow)"&gt;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&lt;create-or-edit-pickingtabletsetup-modal
    #createOrEditModalPickingTabletSetup
    (modalSave)="callBackDataGrid(dataParams)"
    (modalClose)="onChangeRowSelection(dataParams)"
&gt;
&lt;/create-or-edit-pickingtabletsetup-modal&gt;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#createOrEditModalPickingTabletSetup="bs-modal"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PickingTabletSetup')}}&lt;/h3&gt;
                    &lt;h3 *ngIf="!rowdata.id"&gt;{{('Create New PickingTabletSetup')}}&lt;/h3&gt;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title'&gt;Picking Tablet Id&lt;/label&gt;
						&lt;input type='text' class='col-md-10 form-control input-text' name='PickingTabletId' [(ngModel)]='rowdata.pickingTabletId'&gt;
					&lt;/div&gt;
					&lt;div class='col-md-12 form-group row'&gt;
						&lt;label class='col-md-2 form-control title'&gt;Picking Position&lt;/label&gt;
						&lt;input type='text' class='col-md-10 form-control input-text' name='PickingPosition' [(ngModel)]='rowdata.pickingPosition'&gt;
					&lt;/div&gt;
					&lt;div class='col-md-12 form-group row'&gt;
						&lt;label class='col-md-2 form-control title'&gt;Process&lt;/label&gt;
						&lt;input type='number' class='col-md-10 form-control input-text' name='Process' [(ngModel)]='rowdata.process'&gt;
					&lt;/div&gt;
					&lt;div class='col-md-12 form-group row'&gt;
						&lt;label class='col-md-2 form-control title'&gt;Picking Cycle&lt;/label&gt;
						&lt;input type='number' class='col-md-10 form-control input-text' name='PickingCycle' [(ngModel)]='rowdata.pickingCycle'&gt;
					&lt;/div&gt;
					&lt;div class='col-md-12 form-group row'&gt;
						&lt;label class='col-md-2 form-control title'&gt;Logic Sequence&lt;/label&gt;
						&lt;input type='text' class='col-md-10 form-control input-text' name='LogicSequence' [(ngModel)]='rowdata.logicSequence'&gt;
					&lt;/div&gt;
					&lt;div class='col-md-12 form-group row'&gt;
						&lt;label class='col-md-2 form-control title'&gt;Has Model&lt;/label&gt;
						&lt;new-checkbox [(ngModel)]='_hasModel' name='hasModel' className='col-md-10' &gt; &lt;/new-checkbox&gt;
					&lt;/div&gt;
					&lt;div class='col-md-12 form-group row'&gt;
						&lt;label class='col-md-2 form-control title'&gt;Is Lot Supply&lt;/label&gt;
						&lt;new-checkbox [(ngModel)]='_isLotSupply' name='isLotSupply'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CreateOrEditMstLgwPickingTabletProcessDto, MstLgwPickingTabletProcessServiceProxy } from '@shared/service-proxies/service-proxies';
import { BsDatepickerDirective } from 'ngx-bootstrap/datepicker';
@Component({
    selector: 'create-or-edit-pickingtabletsetup-modal',
    templateUrl: './create-or-edit-pickingtabletsetup-modal.component.html',
    styleUrls: ['./create-or-edit-pickingtabletsetup-modal.component.less']
    })
export class CreateOrEditPickingTabletSetupModalComponent extends AppComponentBase {
    @ViewChild('createOrEditModalPickingTabletSetup',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CreateOrEditMstLgwPickingTabletProcessDto = new CreateOrEditMstLgwPickingTabletProcessDto();
    active: boolean = false;
    saving: boolean = false;
    _hasModel
isLotSupply
isActive: boolean;
    constructor(
        injector: Injector,
        private _mstwptPickingTabletSetupService: MstLgwPickingTabletProcessServiceProxy,
    ) 
    {
        super(injector);
    }
    show(rowdata?: CreateOrEditMstLgwPickingTabletProcessDto): void {
        if (!rowdata) this.rowdata = new CreateOrEditMstLgwPickingTabletProcessDto();
        else this.rowdata = rowdata;
        this._hasModel
isLotSupply
isActive = (this.rowdata.hasModel
isLotSupply
isActive == "N")? false: true;
        this.active = true;
        this.modal.show();
    } 
    changeActive(event){
        this._hasModel
isLotSupply
isActive = event.target.checked;
    }
    save(): void {
    this.saving = true; 
    this.rowdata.hasModel
isLotSupply
isActive = (this._hasModel
isLotSupply
isActive == true) ? 'Y' : 'N'
    this._mstwptPickingTabletSetupService.createOrEdit(this.rowdata)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PickingTabletSetupRoutingModule } from './pickingtabletsetup-routing.module';
import { PickingTabletSetupComponent } from './pickingtabletsetup.component';
import { CreateOrEditPickingTabletSetupModalComponent } from './create-or-edit-pickingtabletsetup-modal.component';
@NgModule({
    declarations: [
       PickingTabletSetupComponent, 
        CreateOrEditPickingTabletSetupModalComponent
    ],
    imports: [
        AppSharedModule, PickingTabletSetupRoutingModule]
})
export class PickingTabletSetupModule {}</v>
      </c>
      <c r="J54" s="49" t="str">
        <f>B.Frontend!O10</f>
        <v>import {NgModule} from '@angular/core';
import {RouterModule, Routes} from '@angular/router';
import { PickingTabletSetupComponent } from './pickingtabletsetup.component';
const routes: Routes = [{
    path: '',
    component: PickingTabletSetupComponent,
    pathMatch: 'full'
}];
@NgModule({
    imports: [RouterModule.forChild(routes)],
    exports: [RouterModule],
})
export class PickingTabletSetupRoutingModule {}</v>
      </c>
      <c r="K54" s="49" t="str">
        <f>B.Frontend!P10</f>
        <v xml:space="preserve"> new AppMenuItem("PickingTabletSetup", "Pages.Master.LogW.PickingTabletSetup", "flaticon-book",   "/app/main/master/logw/pickingtabletsetup"),</v>
      </c>
      <c r="L54" s="50" t="str">
        <f>B.Frontend!Q10</f>
        <v>{
    path: 'master/logw/pickingtabletsetup',
    loadChildren: () =&gt; import('./master/logw/pickingtabletsetup/pickingtabletsetup.module').then(m =&gt; m.PickingTabletSetupModule),
    data: { permission: 'Pages.Master.LogW.PickingTabletSetup' }
},</v>
      </c>
      <c r="M54" s="48" t="str">
        <f>B.Frontend!R10</f>
        <v>ApiServiceProxies.MstLgwPickingTabletProcessServiceProxy,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9"/>
  <sheetViews>
    <sheetView workbookViewId="0">
      <pane xSplit="1" topLeftCell="B1" activePane="topRight" state="frozen"/>
      <selection pane="topRight" activeCell="A15" sqref="A15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vovina.Master.LogW.Dto;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304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312</v>
      </c>
      <c r="C3" s="10" t="s">
        <v>43</v>
      </c>
      <c r="D3" s="10" t="s">
        <v>44</v>
      </c>
      <c r="E3" s="10" t="s">
        <v>39</v>
      </c>
      <c r="F3" s="11" t="str">
        <f>"J"&amp;COUNTA($A:$A)</f>
        <v>J17</v>
      </c>
      <c r="G3" s="4" t="s">
        <v>57</v>
      </c>
      <c r="H3" s="10" t="str">
        <f>"I"&amp;COUNTA($A:$A)</f>
        <v>I17</v>
      </c>
      <c r="I3" s="10" t="str">
        <f>REPT(CHAR(9),2)&amp;"[Required]"&amp;"
"</f>
        <v xml:space="preserve">		[Required]
</v>
      </c>
      <c r="J3" s="11" t="str">
        <f>"L"&amp;COUNTA($A:$A)</f>
        <v>L17</v>
      </c>
      <c r="K3" s="5" t="s">
        <v>56</v>
      </c>
      <c r="L3" s="11" t="str">
        <f>"M"&amp;COUNTA($A:$A)</f>
        <v>M17</v>
      </c>
      <c r="M3" s="11" t="str">
        <f>"N"&amp;COUNTA($A:$A)</f>
        <v>N17</v>
      </c>
      <c r="N3" s="11" t="str">
        <f>"O"&amp;COUNTA($A:$A)</f>
        <v>O17</v>
      </c>
      <c r="O3" s="11" t="str">
        <f>"P"&amp;COUNTA($A:$A)</f>
        <v>P17</v>
      </c>
      <c r="Q3" s="11" t="str">
        <f>RIGHT(B2,(LEN(B2)-FIND(".",B2,1)))</f>
        <v>LogW</v>
      </c>
      <c r="R3" s="32" t="str">
        <f>REPT(CHAR(9),1)&amp;"public class "&amp;B3&amp;"ExportInput"&amp;C3</f>
        <v xml:space="preserve">	public class MstLgwPickingTabletProcessExportInput{
</v>
      </c>
      <c r="S3" s="11" t="str">
        <f>"namespace "&amp;$B$6&amp;".Exporting
"&amp;$C$3</f>
        <v xml:space="preserve">namespace vovina.Master.LogW.Exporting
{
</v>
      </c>
      <c r="T3" s="11" t="str">
        <f>"T"&amp;COUNTA($A:$A)</f>
        <v>T17</v>
      </c>
      <c r="V3" s="11" t="str">
        <f>"V"&amp;COUNTA($A:$A)</f>
        <v>V17</v>
      </c>
      <c r="W3" s="10" t="str">
        <f>"W"&amp;COUNTA($A:$A)</f>
        <v>W17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305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vovina.Master.LogW</v>
      </c>
      <c r="C6" s="11" t="str">
        <f>"namespace "&amp;$B$6&amp;"
"&amp;$C$3</f>
        <v xml:space="preserve">namespace vovina.Master.LogW
{
</v>
      </c>
      <c r="D6" s="11" t="str">
        <f>REPT(CHAR(9),1)&amp;"public class "&amp;B3&amp;G3&amp;REPT(CHAR(9),1)&amp;"
"&amp;REPT(CHAR(9),1)&amp;C3</f>
        <v xml:space="preserve">	public class MstLgwPickingTabletProcess: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MstLgwPickingTabletProcessConsts	
	{
</v>
      </c>
      <c r="F6" s="11" t="str">
        <f>REPT(CHAR(9),1)&amp;"public class "&amp;B3&amp;"Dto"&amp;K3&amp;REPT(CHAR(9),1)&amp;"
"&amp;REPT(CHAR(9),1)&amp;C3</f>
        <v xml:space="preserve">	public class MstLgwPickingTabletProcessDto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CreateOrEditMstLgwPickingTabletProcessDto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GetMstLgwPickingTabletProcessInput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MstLgwPickingTabletProcess</v>
      </c>
      <c r="C7" s="11" t="str">
        <f>REPT(CHAR(9),1)&amp;"[Table("""&amp;B7&amp;""")]"&amp;"
"</f>
        <v xml:space="preserve">	[Table("MstLgwPickingTabletProcess")]
</v>
      </c>
      <c r="D7" s="11"/>
      <c r="E7" s="11"/>
      <c r="F7" s="11"/>
      <c r="G7" s="11"/>
      <c r="H7" s="11"/>
      <c r="I7" s="11"/>
      <c r="J7" s="6" t="str">
        <f ca="1">SUBSTITUTE(SUBSTITUTE((B1&amp;C6&amp;C7&amp;K19&amp;D6&amp;I19&amp;E3&amp;J19&amp;""&amp;REPT(CHAR(9),1)&amp;D3&amp;D3),"WorkingPattern",$Q$3),"Master",$B$4)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[Table("MstLgwPickingTabletProcess")]
	[Index(nameof(PickingTabletId), Name="IX_MstLgwPickingTabletProcess_PickingTabletId")]
	[Index(nameof(PickingPosition), Name="IX_MstLgwPickingTabletProcess_PickingPosition")]
	[Index(nameof(Process), Name="IX_MstLgwPickingTabletProcess_Process")]
	[Index(nameof(IsActive), Name="IX_MstLgwPickingTabletProcess_IsActive")]	public class MstLgwPickingTabletProcess: FullAuditedEntity&lt;long&gt;, IEntity&lt;long&gt;	
	{
		public const int MaxPickingPositionLength = 50;
		public const int MaxProcessLength = 50;
		public const int MaxLogicSequenceLength = 50;
		public const int MaxHasModelLength = 1;
		public const int MaxIsLotSupplyLength = 1;
		public const int MaxIsActiveLength = 1;
		public virtual long PickingTabletId { get; set; }
		[StringLength(MaxPickingPositionLength)]
		public virtual string PickingPosition { get; set; }
		[StringLength(MaxProcessLength)]
		public virtual string Process { get; set; }
		public virtual int PickingCycle { get; set; }
		public virtual int LogicSequenceNo { get; set; }
		[StringLength(MaxLogicSequenceLength)]
		public virtual string LogicSequence { get; set; }
		[StringLength(MaxHasModelLength)]
		public virtual string HasModel { get; set; }
		[StringLength(MaxIsLotSupplyLength)]
		public virtual string IsLotSupply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DbSet&lt;MstLgwPickingTabletProcess&gt; MstLgwPickingTabletProcesss { get; set; }</v>
      </c>
      <c r="L7" t="str">
        <f ca="1">SUBSTITUTE(SUBSTITUTE((C6&amp;E6&amp;I19&amp;"
"&amp;REPT(CHAR(9),2)&amp;"// Define Store Name: Format SP_ + &lt;Store Name&gt; = &lt;Store Name&gt;
"&amp;E3&amp;REPT(CHAR(9),1)&amp;D3&amp;D3),"WorkingPattern",$Q$3),"Master",$B$4)</f>
        <v xml:space="preserve">namespace vovina.Master.LogW
{
	public class MstLgwPickingTabletProcessConsts	
	{
		public const int MaxPickingPositionLength = 50;
		public const int MaxProcessLength = 50;
		public const int MaxLogicSequenceLength = 50;
		public const int MaxHasModelLength = 1;
		public const int MaxIsLotSupplyLength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"&amp;B6&amp;".Dto"&amp;E3&amp;C3&amp;F6&amp;M19&amp;E3&amp;REPT(CHAR(9),1)&amp;D3&amp;G6&amp;N19&amp;REPT(CHAR(9),1)&amp;D3&amp;H6&amp;O19&amp;"
"&amp;REPT(CHAR(9),1)&amp;D3&amp;D3),"WorkingPattern",$Q$3),"Master",$B$4)</f>
        <v xml:space="preserve">using Abp.Application.Services.Dto;
using System;
using System.ComponentModel.DataAnnotations;
namespace vovina.Master.LogW.Dto
{
	public class MstLgwPickingTabletProcessDto : EntityDto&lt;long?&gt;	
	{
		public virtual long PickingTabletId { get; set; }
		public virtual string PickingPosition { get; set; }
		public virtual string Process { get; set; }
		public virtual int PickingCycle { get; set; }
		public virtual int LogicSequenceNo { get; set; }
		public virtual string LogicSequence { get; set; }
		public virtual string HasModel { get; set; }
		public virtual string IsLotSupply { get; set; }
		public virtual string IsActive { get; set; }
	}
	public class CreateOrEditMstLgwPickingTabletProcessDto : EntityDto&lt;long?&gt;	
	{
		public virtual long PickingTabletId { get; set; }
		[StringLength(MstLgwPickingTabletProcessConsts.MaxPickingPositionLength)]
		public virtual string PickingPosition { get; set; }
		[StringLength(MstLgwPickingTabletProcessConsts.MaxProcessLength)]
		public virtual string Process { get; set; }
		public virtual int PickingCycle { get; set; }
		public virtual int LogicSequenceNo { get; set; }
		[StringLength(MstLgwPickingTabletProcessConsts.MaxLogicSequenceLength)]
		public virtual string LogicSequence { get; set; }
		[StringLength(MstLgwPickingTabletProcessConsts.MaxHasModelLength)]
		public virtual string HasModel { get; set; }
		[StringLength(MstLgwPickingTabletProcessConsts.MaxIsLotSupplyLength)]
		public virtual string IsLotSupply { get; set; }
		[StringLength(MstLgwPickingTabletProcessConsts.MaxIsActiveLength)]
		public virtual string IsActive { get; set; }
	}
	public class GetMstLgwPickingTabletProcessInput : PagedAndSortedResultRequestDto	
	{
		public virtual string PickingPosition { get; set; }
		public virtual string Process { get; set; }
		public virtual int PickingCycle { get; set; }
		public virtual int LogicSequenceNo { get; set; }
		public virtual string LogicSequence { get; set; }
		public virtual string HasModel { get; set; }
		public virtual string IsLotSupply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perMstLgwPickingTabletProcess = PARENTS.CreateChildPermission(AppPermissions.Pages_Master_LogW_PickingTabletSetup, L( "MasterLogWPickingTabletSetup"));
		perMstLgwPickingTabletProcess.CreateChildPermission(AppPermissions.Pages_Master_LogW_PickingTabletSetup_CreateEdit, L( "MasterLogWPickingTabletSetupCreateEdit"));
		perMstLgwPickingTabletProcess.CreateChildPermission(AppPermissions.Pages_Master_LogW_PickingTabletSetup_Delete, L( "MasterLogWPickingTabletSetupDelete"));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Pages_Master_LogW_PickingTabletSetup = "Pages.Master.LogW.PickingTabletSetup";
		public const string Pages_Master_LogW_PickingTabletSetup_CreateEdit = "Pages.Master.LogW.PickingTabletSetup.CreateEdit";
		public const string Pages_Master_LogW_PickingTabletSetup_Delete = "Pages.Master.LogW.PickingTabletSetup.Delete";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
{
	public interface IMstLgwPickingTabletProcessAppService : IApplicationService
	{
		Task&lt;PagedResultDto&lt;MstLgwPickingTabletProcessDto&gt;&gt; GetAll(GetMstLgwPickingTabletProcessInput input);
		Task CreateOrEdit(CreateOrEditMstLgwPickingTabletProcessDto input);
		Task Delete(EntityDto input);
	}
}
</v>
      </c>
      <c r="Q7" t="str">
        <f ca="1">SUBSTITUTE(SUBSTITUTE(SUBSTITUTE(SUBSTITUTE(SUBSTITUTE(SUBSTITUTE(E1,"MstWptCalendar",$B$3),"&lt;PROPERTIES&gt;",P19),"Calendar",$B$5),"WorkingPattern",$Q$3),"Master",$B$4),"&lt;PARAMS_SEARCH&gt;",$W$19)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[AbpAuthorize(AppPermissions.Pages_Master_LogW_PickingTabletSetup)]
    public class MstLgwPickingTabletProcessAppService : vovinaAppServiceBase, IMstLgwPickingTabletProcessAppService
    {
        private readonly IDapperRepository&lt;MstLgwPickingTabletProcess, long&gt; _dapperRepo;
        private readonly IRepository&lt;MstLgwPickingTabletProcess, long&gt; _repo;
        private readonly IMstLgwPickingTabletProcessExcelExporter _calendarListExcelExporter;
        public MstLgwPickingTabletProcessAppService(IRepository&lt;MstLgwPickingTabletProcess,long&gt; repo, 
                                         IDapperRepository&lt;MstLgwPickingTabletProcess,long&gt; dapperRepo,
                                        IMstLgwPickingTabletProcessExcelExporter calendarListExcelExporter
            )
        {
            _repo = repo;
            _dapperRepo = dapperRepo;
            _calendarListExcelExporter = calendarListExcelExporter;
        }
        [AbpAuthorize(AppPermissions.Pages_Master_LogW_PickingTabletSetup_CreateEdit)]
        public async Task CreateOrEdit(CreateOrEditMstLgwPickingTabletProcessDto input)
        {
            if (input.Id == null) await Create(input);
            else await Update(input);
        }
        //CREATE
        private async Task Create(CreateOrEditMstLgwPickingTabletProcessDto input)
        {          
            var mainObj = ObjectMapper.Map&lt;MstLgwPickingTabletProcess&gt;(input);
            await CurrentUnitOfWork.GetDbContext&lt;vovinaDbContext&gt;().AddAsync(mainObj);
        }
        // EDIT
        private async Task Update(CreateOrEditMstLgwPickingTabletProcessDto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[AbpAuthorize(AppPermissions.Pages_Master_LogW_PickingTabletSetup_Delete)]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Task&lt;PagedResultDto&lt;MstLgwPickingTabletProcessDto&gt;&gt; GetAll(GetMstLgwPickingTabletProcessInput input)
        {
            var filtered = _repo.GetAll()
				.WhereIf(!string.IsNullOrWhiteSpace(input.PickingPosition), e =&gt; e.PickingPosition.Contains(input.PickingPosition))
				.WhereIf(!string.IsNullOrWhiteSpace(input.Process), e =&gt; e.Process.Contains(input.Process))
				.WhereIf(!string.IsNullOrWhiteSpace(input.LogicSequence), e =&gt; e.LogicSequence.Contains(input.LogicSequence))
				.WhereIf(!string.IsNullOrWhiteSpace(input.HasModel), e =&gt; e.HasModel.Contains(input.HasModel))
				.WhereIf(!string.IsNullOrWhiteSpace(input.IsLotSupply), e =&gt; e.IsLotSupply.Contains(input.IsLotSupply))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MstLgwPickingTabletProcessDto
                        {
							Id = o.Id,
							PickingTabletId = o.PickingTabletId,
							PickingPosition = o.PickingPosition,
							Process = o.Process,
							PickingCycle = o.PickingCycle,
							LogicSequenceNo = o.LogicSequenceNo,
							LogicSequence = o.LogicSequence,
							HasModel = o.HasModel,
							IsLotSupply = o.IsLotSupply,
							IsActive = o.IsActive,
                        };
            var totalCount = await filtered.CountAsync();
			var paged = system.PageBy(input);
            return new PagedResultDto&lt;MstLgwPickingTabletProcessDto&gt;(
                totalCount,
                 await paged.ToListAsync()
            );
        }
        public async Task&lt;FileDto&gt; GetPickingTabletSetupToExcel(MstLgwPickingTabletProcessExportInput input)
        {
            var query = from o in _repo.GetAll()
                        select new MstLgwPickingTabletProcessDto
                        {
							Id = o.Id,
							PickingTabletId = o.PickingTabletId,
							PickingPosition = o.PickingPosition,
							Process = o.Process,
							PickingCycle = o.PickingCycle,
							LogicSequenceNo = o.LogicSequenceNo,
							LogicSequence = o.LogicSequence,
							HasModel = o.HasModel,
							IsLotSupply = o.IsLotSupply,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_dapperRepo.ExecuteAsync(MstLgwPickingTabletProcessConsts.SP_MST_WPT_CALENDAR_GENERATE);
       // }
    }
}</v>
      </c>
      <c r="R7" t="str">
        <f ca="1">SUBSTITUTE(SUBSTITUTE((C1&amp;"namespace "&amp;B6&amp;".Dto"&amp;E3&amp;C3&amp;R3&amp;M19&amp;E3&amp;REPT(CHAR(9),1)&amp;D3&amp;D3),"WorkingPattern",$Q$3),"Master",$B$4)</f>
        <v xml:space="preserve">using Abp.Application.Services.Dto;
using System;
using System.ComponentModel.DataAnnotations;
namespace vovina.Master.LogW.Dto
{
	public class MstLgwPickingTabletProcessExportInput{
		public virtual long PickingTabletId { get; set; }
		public virtual string PickingPosition { get; set; }
		public virtual string Process { get; set; }
		public virtual int PickingCycle { get; set; }
		public virtual int LogicSequenceNo { get; set; }
		public virtual string LogicSequence { get; set; }
		public virtual string HasModel { get; set; }
		public virtual string IsLotSupply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IMstLgwPickingTabletProcessExcelExporter : IApplicationService
	{
		FileDto ExportToFile(List&lt;MstLgwPickingTabletProcessDto&gt; mstlgwpickingtabletprocess);
	}
}
</v>
      </c>
      <c r="T7" s="28" t="str">
        <f ca="1">SUBSTITUTE(SUBSTITUTE(SUBSTITUTE(SUBSTITUTE(SUBSTITUTE(SUBSTITUTE(SUBSTITUTE(T1,"MstWptCalendar",$B$3),"&lt;PROPERTIES1&gt;",V19),"&lt;PROPERTIES&gt;",T19),"Calendar",$B$5),"calendar",LOWER(B5)),"WorkingPattern",$Q$3),"Master",$B$4)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MstLgwPickingTabletProcessExcelExporter : NpoiExcelExporterBase, IMstLgwPickingTabletProcessExcelExporter
    {
        public MstLgwPickingTabletProcessExcelExporter(ITempFileCacheManager tempFileCacheManager) : base(tempFileCacheManager) { }
        public FileDto ExportToFile(List&lt;MstLgwPickingTabletProcessDto&gt; pickingtabletsetup)
        {
            return CreateExcelPackage(
				"MasterLogWPickingTabletSetup.xlsx",
				excelPackage =&gt;
				 {
					var sheet = excelPackage.CreateSheet("PickingTabletSetup");
					AddHeader(
								sheet,
								("PickingTabletId"),
								("PickingPosition"),
								("Process"),
								("PickingCycle"),
								("LogicSequenceNo"),
								("LogicSequence"),
								("HasModel"),
								("IsLotSupply"),
								("IsActive"),
							   );
					AddObjects(
						 sheet, 1, pickingtabletsetup,                                       
								_ =&gt; _.PickingTabletId,
								_ =&gt; _.PickingPosition,
								_ =&gt; _.Process,
								_ =&gt; _.PickingCycle,
								_ =&gt; _.LogicSequenceNo,
								_ =&gt; _.LogicSequence,
								_ =&gt; _.HasModel,
								_ =&gt; _.IsLotSupply,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configuration.CreateMap&lt;MstLgwPickingTabletProcessDto, MstLgwPickingTabletProcess&gt;();
  configuration.CreateMap&lt;MstLgwPickingTabletProcess, MstLgwPickingTabletProcessDto&gt;();
  configuration.CreateMap&lt;CreateOrEditMstLgwPickingTabletProcessDto, MstLgwPickingTabletProcess&gt;();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311</v>
      </c>
      <c r="B9" t="s">
        <v>0</v>
      </c>
      <c r="C9" t="s">
        <v>1</v>
      </c>
      <c r="D9" t="str">
        <f>SUBSTITUTE(PROPER(A9),"_","")</f>
        <v>PickingTabletId</v>
      </c>
      <c r="E9" t="str">
        <f t="shared" ref="E9" si="0">IFERROR(LEFT(B9, FIND("(",B9)-1),B9)</f>
        <v>bigint</v>
      </c>
      <c r="F9" s="7"/>
      <c r="G9" t="str">
        <f t="shared" ref="G9" si="1">IFERROR(MID(B9,FIND("(",B9) +1, FIND(")",B9) - FIND("(",B9) - 1),"")</f>
        <v/>
      </c>
      <c r="H9" t="str">
        <f>+VLOOKUP(E9,'Data Type Mapping'!A:B,2,)</f>
        <v>long</v>
      </c>
      <c r="I9" t="str">
        <f t="shared" ref="I9" si="2">IF(H9="string",REPT(CHAR(9),2)&amp;"public const int Max"&amp;D9&amp;"Length = "&amp;G9&amp;";"&amp;$E$3,"" )</f>
        <v/>
      </c>
      <c r="J9" t="str">
        <f t="shared" ref="J9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 PickingTabletId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[Index(nameof(PickingTabletId), Name="IX_MstLgwPickingTabletProcess_PickingTabletId")]</v>
      </c>
      <c r="M9" t="str">
        <f>REPT(CHAR(9),2)&amp;"public virtual "&amp;IF(OR(H9="DateTime",H9="TimeSpan"),H9&amp;"?",H9)&amp;IF(C9="?","? "," ")&amp;D9&amp;" { get; set; }" &amp; "
"</f>
        <v xml:space="preserve">		public virtual long PickingTabletId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 PickingTabletId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" si="4">REPT(CHAR(9),7)&amp;D9&amp;" = o." &amp;D9 &amp;","</f>
        <v xml:space="preserve">							PickingTabletId = o.PickingTabletId,</v>
      </c>
      <c r="T9" s="69" t="str">
        <f>REPT(CHAR(9),8)&amp;"("""&amp;D9&amp;"""),"</f>
        <v xml:space="preserve">								("PickingTabletId"),</v>
      </c>
      <c r="V9" s="70" t="str">
        <f>REPT(CHAR(9),8)&amp;"_ =&gt; _."&amp;D9&amp;","</f>
        <v xml:space="preserve">								_ =&gt; _.PickingTabletId,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2.5" customHeight="1" x14ac:dyDescent="0.25">
      <c r="A10" t="s">
        <v>306</v>
      </c>
      <c r="B10" t="s">
        <v>303</v>
      </c>
      <c r="C10" t="s">
        <v>1</v>
      </c>
      <c r="D10" t="str">
        <f>SUBSTITUTE(PROPER(A10),"_","")</f>
        <v>PickingPosition</v>
      </c>
      <c r="E10" t="str">
        <f t="shared" ref="E10:E13" si="5">IFERROR(LEFT(B10, FIND("(",B10)-1),B10)</f>
        <v>varchar</v>
      </c>
      <c r="F10" s="7"/>
      <c r="G10" t="str">
        <f t="shared" ref="G10:G13" si="6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13" si="7">IF(H10="string",REPT(CHAR(9),2)&amp;"public const int Max"&amp;D10&amp;"Length = "&amp;G10&amp;";"&amp;$E$3,"" )</f>
        <v xml:space="preserve">		public const int MaxPickingPositionLength = 50;
</v>
      </c>
      <c r="J10" t="str">
        <f t="shared" ref="J10:J13" si="8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[StringLength(MaxPickingPositionLength)]
		public virtual string PickingPosition { get; set; }
</v>
      </c>
      <c r="K10" s="7" t="s">
        <v>206</v>
      </c>
      <c r="L10" t="str">
        <f>IF(K10="","",REPT(CHAR(9),1)&amp;"[Index(nameof("&amp;IF(D10="","",""&amp;D10)&amp;")"&amp;", Name="&amp;"""IX_"&amp;$B$7&amp;"_"&amp;D10&amp;""")]")</f>
        <v xml:space="preserve">	[Index(nameof(PickingPosition), Name="IX_MstLgwPickingTabletProcess_PickingPosition")]</v>
      </c>
      <c r="M10" t="str">
        <f>REPT(CHAR(9),2)&amp;"public virtual "&amp;IF(OR(H10="DateTime",H10="TimeSpan"),H10&amp;"?",H10)&amp;IF(C10="?","? "," ")&amp;D10&amp;" { get; set; }" &amp; "
"</f>
        <v xml:space="preserve">		public virtual string PickingPosition { get; set; }
</v>
      </c>
      <c r="N10" t="str">
        <f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[StringLength(MstLgwPickingTabletProcessConsts.MaxPickingPositionLength)]
		public virtual string PickingPosition { get; set; }
</v>
      </c>
      <c r="O10" t="str">
        <f>IF(OR(H10="string",H10="DateTime",H10="int"),REPT(CHAR(9),2)&amp;"public virtual "&amp;IF(OR(H10="DateTime",H10="TimeSpan"),H10&amp;"?",H10)&amp;IF(C10="?","? "," ")&amp;D10&amp;" { get; set; }"&amp;$E$3,"")</f>
        <v xml:space="preserve">		public virtual string PickingPosition { get; set; }
</v>
      </c>
      <c r="P10" t="str">
        <f t="shared" ref="P10:P13" si="9">REPT(CHAR(9),7)&amp;D10&amp;" = o." &amp;D10 &amp;","</f>
        <v xml:space="preserve">							PickingPosition = o.PickingPosition,</v>
      </c>
      <c r="T10" s="69" t="str">
        <f>REPT(CHAR(9),8)&amp;"("""&amp;D10&amp;"""),"</f>
        <v xml:space="preserve">								("PickingPosition"),</v>
      </c>
      <c r="V10" s="70" t="str">
        <f>REPT(CHAR(9),8)&amp;"_ =&gt; _."&amp;D10&amp;","</f>
        <v xml:space="preserve">								_ =&gt; _.PickingPosition,</v>
      </c>
      <c r="W10" s="69" t="str">
        <f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.WhereIf(!string.IsNullOrWhiteSpace(input.PickingPosition), e =&gt; e.PickingPosition.Contains(input.PickingPosition))</v>
      </c>
    </row>
    <row r="11" spans="1:23" customFormat="1" ht="21" customHeight="1" x14ac:dyDescent="0.25">
      <c r="A11" t="s">
        <v>307</v>
      </c>
      <c r="B11" t="s">
        <v>303</v>
      </c>
      <c r="C11" t="s">
        <v>1</v>
      </c>
      <c r="D11" t="str">
        <f t="shared" ref="D11:D13" si="10">SUBSTITUTE(PROPER(A11),"_","")</f>
        <v>Process</v>
      </c>
      <c r="E11" t="str">
        <f t="shared" si="5"/>
        <v>varchar</v>
      </c>
      <c r="F11" s="7"/>
      <c r="G11" t="str">
        <f t="shared" si="6"/>
        <v>50</v>
      </c>
      <c r="H11" t="str">
        <f>+VLOOKUP(E11,'Data Type Mapping'!A:B,2,)</f>
        <v>string</v>
      </c>
      <c r="I11" t="str">
        <f t="shared" si="7"/>
        <v xml:space="preserve">		public const int MaxProcessLength = 50;
</v>
      </c>
      <c r="J11" t="str">
        <f t="shared" si="8"/>
        <v xml:space="preserve">		[StringLength(MaxProcessLength)]
		public virtual string Process { get; set; }
</v>
      </c>
      <c r="K11" s="7" t="s">
        <v>206</v>
      </c>
      <c r="L11" t="str">
        <f t="shared" ref="L11:L13" si="11">IF(K11="","",REPT(CHAR(9),1)&amp;"[Index(nameof("&amp;IF(D11="","",""&amp;D11)&amp;")"&amp;", Name="&amp;"""IX_"&amp;$B$7&amp;"_"&amp;D11&amp;""")]")</f>
        <v xml:space="preserve">	[Index(nameof(Process), Name="IX_MstLgwPickingTabletProcess_Process")]</v>
      </c>
      <c r="M11" t="str">
        <f t="shared" ref="M11:M15" si="12">REPT(CHAR(9),2)&amp;"public virtual "&amp;IF(OR(H11="DateTime",H11="TimeSpan"),H11&amp;"?",H11)&amp;IF(C11="?","? "," ")&amp;D11&amp;" { get; set; }" &amp; "
"</f>
        <v xml:space="preserve">		public virtual string Process { get; set; }
</v>
      </c>
      <c r="N11" t="str">
        <f t="shared" ref="N11:N15" si="1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[StringLength(MstLgwPickingTabletProcessConsts.MaxProcessLength)]
		public virtual string Process { get; set; }
</v>
      </c>
      <c r="O11" t="str">
        <f t="shared" ref="O11:O15" si="14">IF(OR(H11="string",H11="DateTime",H11="int"),REPT(CHAR(9),2)&amp;"public virtual "&amp;IF(OR(H11="DateTime",H11="TimeSpan"),H11&amp;"?",H11)&amp;IF(C11="?","? "," ")&amp;D11&amp;" { get; set; }"&amp;$E$3,"")</f>
        <v xml:space="preserve">		public virtual string Process { get; set; }
</v>
      </c>
      <c r="P11" t="str">
        <f t="shared" si="9"/>
        <v xml:space="preserve">							Process = o.Process,</v>
      </c>
      <c r="T11" s="69" t="str">
        <f t="shared" ref="T11:T15" si="15">REPT(CHAR(9),8)&amp;"("""&amp;D11&amp;"""),"</f>
        <v xml:space="preserve">								("Process"),</v>
      </c>
      <c r="V11" s="70" t="str">
        <f t="shared" ref="V11:V15" si="16">REPT(CHAR(9),8)&amp;"_ =&gt; _."&amp;D11&amp;","</f>
        <v xml:space="preserve">								_ =&gt; _.Process,</v>
      </c>
      <c r="W11" s="69" t="str">
        <f t="shared" ref="W11:W15" si="17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.WhereIf(!string.IsNullOrWhiteSpace(input.Process), e =&gt; e.Process.Contains(input.Process))</v>
      </c>
    </row>
    <row r="12" spans="1:23" customFormat="1" ht="18.75" customHeight="1" x14ac:dyDescent="0.25">
      <c r="A12" t="s">
        <v>308</v>
      </c>
      <c r="B12" t="s">
        <v>4</v>
      </c>
      <c r="C12" t="s">
        <v>1</v>
      </c>
      <c r="D12" t="str">
        <f t="shared" si="10"/>
        <v>PickingCycle</v>
      </c>
      <c r="E12" t="str">
        <f t="shared" si="5"/>
        <v>int</v>
      </c>
      <c r="F12" s="7"/>
      <c r="G12" t="str">
        <f t="shared" si="6"/>
        <v/>
      </c>
      <c r="H12" t="str">
        <f>+VLOOKUP(E12,'Data Type Mapping'!A:B,2,)</f>
        <v>int</v>
      </c>
      <c r="I12" t="str">
        <f t="shared" si="7"/>
        <v/>
      </c>
      <c r="J12" t="str">
        <f t="shared" si="8"/>
        <v xml:space="preserve">		public virtual int PickingCycle { get; set; }
</v>
      </c>
      <c r="K12" s="7"/>
      <c r="L12" t="str">
        <f t="shared" si="11"/>
        <v/>
      </c>
      <c r="M12" t="str">
        <f t="shared" si="12"/>
        <v xml:space="preserve">		public virtual int PickingCycle { get; set; }
</v>
      </c>
      <c r="N12" t="str">
        <f t="shared" si="13"/>
        <v xml:space="preserve">		public virtual int PickingCycle { get; set; }
</v>
      </c>
      <c r="O12" t="str">
        <f t="shared" si="14"/>
        <v xml:space="preserve">		public virtual int PickingCycle { get; set; }
</v>
      </c>
      <c r="P12" t="str">
        <f t="shared" si="9"/>
        <v xml:space="preserve">							PickingCycle = o.PickingCycle,</v>
      </c>
      <c r="T12" s="69" t="str">
        <f t="shared" si="15"/>
        <v xml:space="preserve">								("PickingCycle"),</v>
      </c>
      <c r="V12" s="70" t="str">
        <f t="shared" si="16"/>
        <v xml:space="preserve">								_ =&gt; _.PickingCycle,</v>
      </c>
      <c r="W12" s="69" t="str">
        <f t="shared" si="17"/>
        <v/>
      </c>
    </row>
    <row r="13" spans="1:23" customFormat="1" ht="21" customHeight="1" x14ac:dyDescent="0.25">
      <c r="A13" t="s">
        <v>314</v>
      </c>
      <c r="B13" t="s">
        <v>4</v>
      </c>
      <c r="C13" t="s">
        <v>1</v>
      </c>
      <c r="D13" t="str">
        <f t="shared" si="10"/>
        <v>LogicSequenceNo</v>
      </c>
      <c r="E13" t="str">
        <f t="shared" si="5"/>
        <v>int</v>
      </c>
      <c r="F13" s="7"/>
      <c r="G13" t="str">
        <f t="shared" si="6"/>
        <v/>
      </c>
      <c r="H13" t="str">
        <f>+VLOOKUP(E13,'Data Type Mapping'!A:B,2,)</f>
        <v>int</v>
      </c>
      <c r="I13" t="str">
        <f t="shared" si="7"/>
        <v/>
      </c>
      <c r="J13" t="str">
        <f t="shared" si="8"/>
        <v xml:space="preserve">		public virtual int LogicSequenceNo { get; set; }
</v>
      </c>
      <c r="K13" s="7"/>
      <c r="L13" t="str">
        <f t="shared" si="11"/>
        <v/>
      </c>
      <c r="M13" t="str">
        <f t="shared" ref="M13" si="18">REPT(CHAR(9),2)&amp;"public virtual "&amp;IF(OR(H13="DateTime",H13="TimeSpan"),H13&amp;"?",H13)&amp;IF(C13="?","? "," ")&amp;D13&amp;" { get; set; }" &amp; "
"</f>
        <v xml:space="preserve">		public virtual int LogicSequenceNo { get; set; }
</v>
      </c>
      <c r="N13" t="str">
        <f t="shared" ref="N13" si="19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public virtual int LogicSequenceNo { get; set; }
</v>
      </c>
      <c r="O13" t="str">
        <f t="shared" ref="O13" si="20">IF(OR(H13="string",H13="DateTime",H13="int"),REPT(CHAR(9),2)&amp;"public virtual "&amp;IF(OR(H13="DateTime",H13="TimeSpan"),H13&amp;"?",H13)&amp;IF(C13="?","? "," ")&amp;D13&amp;" { get; set; }"&amp;$E$3,"")</f>
        <v xml:space="preserve">		public virtual int LogicSequenceNo { get; set; }
</v>
      </c>
      <c r="P13" t="str">
        <f t="shared" si="9"/>
        <v xml:space="preserve">							LogicSequenceNo = o.LogicSequenceNo,</v>
      </c>
      <c r="T13" s="69" t="str">
        <f t="shared" ref="T13" si="21">REPT(CHAR(9),8)&amp;"("""&amp;D13&amp;"""),"</f>
        <v xml:space="preserve">								("LogicSequenceNo"),</v>
      </c>
      <c r="V13" s="70" t="str">
        <f t="shared" ref="V13" si="22">REPT(CHAR(9),8)&amp;"_ =&gt; _."&amp;D13&amp;","</f>
        <v xml:space="preserve">								_ =&gt; _.LogicSequenceNo,</v>
      </c>
      <c r="W13" s="69" t="str">
        <f t="shared" ref="W13" si="23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/>
      </c>
    </row>
    <row r="14" spans="1:23" customFormat="1" ht="21" customHeight="1" x14ac:dyDescent="0.25">
      <c r="A14" t="s">
        <v>309</v>
      </c>
      <c r="B14" t="s">
        <v>303</v>
      </c>
      <c r="C14" t="s">
        <v>1</v>
      </c>
      <c r="D14" t="str">
        <f t="shared" ref="D14" si="24">SUBSTITUTE(PROPER(A14),"_","")</f>
        <v>LogicSequence</v>
      </c>
      <c r="E14" t="str">
        <f t="shared" ref="E14:E15" si="25">IFERROR(LEFT(B14, FIND("(",B14)-1),B14)</f>
        <v>varchar</v>
      </c>
      <c r="F14" s="7"/>
      <c r="G14" t="str">
        <f t="shared" ref="G14:G15" si="26">IFERROR(MID(B14,FIND("(",B14) +1, FIND(")",B14) - FIND("(",B14) - 1),"")</f>
        <v>50</v>
      </c>
      <c r="H14" t="str">
        <f>+VLOOKUP(E14,'Data Type Mapping'!A:B,2,)</f>
        <v>string</v>
      </c>
      <c r="I14" t="str">
        <f t="shared" ref="I14:I15" si="27">IF(H14="string",REPT(CHAR(9),2)&amp;"public const int Max"&amp;D14&amp;"Length = "&amp;G14&amp;";"&amp;$E$3,"" )</f>
        <v xml:space="preserve">		public const int MaxLogicSequenceLength = 50;
</v>
      </c>
      <c r="J14" t="str">
        <f t="shared" ref="J14:J15" si="28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[StringLength(MaxLogicSequenceLength)]
		public virtual string LogicSequence { get; set; }
</v>
      </c>
      <c r="K14" s="7"/>
      <c r="L14" t="str">
        <f t="shared" ref="L14" si="29">IF(K14="","",REPT(CHAR(9),1)&amp;"[Index(nameof("&amp;IF(D14="","",""&amp;D14)&amp;")"&amp;", Name="&amp;"""IX_"&amp;$B$7&amp;"_"&amp;D14&amp;""")]")</f>
        <v/>
      </c>
      <c r="M14" t="str">
        <f t="shared" si="12"/>
        <v xml:space="preserve">		public virtual string LogicSequence { get; set; }
</v>
      </c>
      <c r="N14" t="str">
        <f t="shared" si="13"/>
        <v xml:space="preserve">		[StringLength(MstLgwPickingTabletProcessConsts.MaxLogicSequenceLength)]
		public virtual string LogicSequence { get; set; }
</v>
      </c>
      <c r="O14" t="str">
        <f t="shared" si="14"/>
        <v xml:space="preserve">		public virtual string LogicSequence { get; set; }
</v>
      </c>
      <c r="P14" t="str">
        <f t="shared" ref="P14:P15" si="30">REPT(CHAR(9),7)&amp;D14&amp;" = o." &amp;D14 &amp;","</f>
        <v xml:space="preserve">							LogicSequence = o.LogicSequence,</v>
      </c>
      <c r="T14" s="69" t="str">
        <f t="shared" si="15"/>
        <v xml:space="preserve">								("LogicSequence"),</v>
      </c>
      <c r="V14" s="70" t="str">
        <f t="shared" si="16"/>
        <v xml:space="preserve">								_ =&gt; _.LogicSequence,</v>
      </c>
      <c r="W14" s="69" t="str">
        <f t="shared" si="17"/>
        <v xml:space="preserve">				.WhereIf(!string.IsNullOrWhiteSpace(input.LogicSequence), e =&gt; e.LogicSequence.Contains(input.LogicSequence))</v>
      </c>
    </row>
    <row r="15" spans="1:23" customFormat="1" ht="22.5" customHeight="1" x14ac:dyDescent="0.25">
      <c r="A15" t="s">
        <v>315</v>
      </c>
      <c r="B15" t="s">
        <v>302</v>
      </c>
      <c r="C15" t="s">
        <v>1</v>
      </c>
      <c r="D15" t="str">
        <f>SUBSTITUTE(PROPER(A15),"_","")</f>
        <v>HasModel</v>
      </c>
      <c r="E15" t="str">
        <f t="shared" si="25"/>
        <v>varchar</v>
      </c>
      <c r="F15" s="7"/>
      <c r="G15" t="str">
        <f t="shared" si="26"/>
        <v>1</v>
      </c>
      <c r="H15" t="str">
        <f>+VLOOKUP(E15,'Data Type Mapping'!A:B,2,)</f>
        <v>string</v>
      </c>
      <c r="I15" t="str">
        <f t="shared" si="27"/>
        <v xml:space="preserve">		public const int MaxHasModelLength = 1;
</v>
      </c>
      <c r="J15" t="str">
        <f t="shared" si="28"/>
        <v xml:space="preserve">		[StringLength(MaxHasModelLength)]
		public virtual string HasModel { get; set; }
</v>
      </c>
      <c r="K15" s="7"/>
      <c r="L15" t="str">
        <f>IF(K15="","",REPT(CHAR(9),1)&amp;"[Index(nameof("&amp;IF(D15="","",""&amp;D15)&amp;")"&amp;", Name="&amp;"""IX_"&amp;$B$7&amp;"_"&amp;D15&amp;""")]")</f>
        <v/>
      </c>
      <c r="M15" t="str">
        <f t="shared" si="12"/>
        <v xml:space="preserve">		public virtual string HasModel { get; set; }
</v>
      </c>
      <c r="N15" t="str">
        <f t="shared" si="13"/>
        <v xml:space="preserve">		[StringLength(MstLgwPickingTabletProcessConsts.MaxHasModelLength)]
		public virtual string HasModel { get; set; }
</v>
      </c>
      <c r="O15" t="str">
        <f t="shared" si="14"/>
        <v xml:space="preserve">		public virtual string HasModel { get; set; }
</v>
      </c>
      <c r="P15" t="str">
        <f t="shared" si="30"/>
        <v xml:space="preserve">							HasModel = o.HasModel,</v>
      </c>
      <c r="T15" s="69" t="str">
        <f t="shared" si="15"/>
        <v xml:space="preserve">								("HasModel"),</v>
      </c>
      <c r="V15" s="70" t="str">
        <f t="shared" si="16"/>
        <v xml:space="preserve">								_ =&gt; _.HasModel,</v>
      </c>
      <c r="W15" s="69" t="str">
        <f t="shared" si="17"/>
        <v xml:space="preserve">				.WhereIf(!string.IsNullOrWhiteSpace(input.HasModel), e =&gt; e.HasModel.Contains(input.HasModel))</v>
      </c>
    </row>
    <row r="16" spans="1:23" customFormat="1" ht="22.5" customHeight="1" x14ac:dyDescent="0.25">
      <c r="A16" t="s">
        <v>310</v>
      </c>
      <c r="B16" t="s">
        <v>302</v>
      </c>
      <c r="C16" t="s">
        <v>1</v>
      </c>
      <c r="D16" t="str">
        <f>SUBSTITUTE(PROPER(A16),"_","")</f>
        <v>IsLotSupply</v>
      </c>
      <c r="E16" t="str">
        <f t="shared" ref="E16:E17" si="31">IFERROR(LEFT(B16, FIND("(",B16)-1),B16)</f>
        <v>varchar</v>
      </c>
      <c r="F16" s="7"/>
      <c r="G16" t="str">
        <f t="shared" ref="G16:G17" si="32">IFERROR(MID(B16,FIND("(",B16) +1, FIND(")",B16) - FIND("(",B16) - 1),"")</f>
        <v>1</v>
      </c>
      <c r="H16" t="str">
        <f>+VLOOKUP(E16,'Data Type Mapping'!A:B,2,)</f>
        <v>string</v>
      </c>
      <c r="I16" t="str">
        <f t="shared" ref="I16:I17" si="33">IF(H16="string",REPT(CHAR(9),2)&amp;"public const int Max"&amp;D16&amp;"Length = "&amp;G16&amp;";"&amp;$E$3,"" )</f>
        <v xml:space="preserve">		public const int MaxIsLotSupplyLength = 1;
</v>
      </c>
      <c r="J16" t="str">
        <f t="shared" ref="J16:J17" si="34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[StringLength(MaxIsLotSupplyLength)]
		public virtual string IsLotSupply { get; set; }
</v>
      </c>
      <c r="K16" s="7"/>
      <c r="L16" t="str">
        <f>IF(K16="","",REPT(CHAR(9),1)&amp;"[Index(nameof("&amp;IF(D16="","",""&amp;D16)&amp;")"&amp;", Name="&amp;"""IX_"&amp;$B$7&amp;"_"&amp;D16&amp;""")]")</f>
        <v/>
      </c>
      <c r="M16" t="str">
        <f t="shared" ref="M16:M17" si="35">REPT(CHAR(9),2)&amp;"public virtual "&amp;IF(OR(H16="DateTime",H16="TimeSpan"),H16&amp;"?",H16)&amp;IF(C16="?","? "," ")&amp;D16&amp;" { get; set; }" &amp; "
"</f>
        <v xml:space="preserve">		public virtual string IsLotSupply { get; set; }
</v>
      </c>
      <c r="N16" t="str">
        <f t="shared" ref="N16:N17" si="3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[StringLength(MstLgwPickingTabletProcessConsts.MaxIsLotSupplyLength)]
		public virtual string IsLotSupply { get; set; }
</v>
      </c>
      <c r="O16" t="str">
        <f t="shared" ref="O16:O17" si="37">IF(OR(H16="string",H16="DateTime",H16="int"),REPT(CHAR(9),2)&amp;"public virtual "&amp;IF(OR(H16="DateTime",H16="TimeSpan"),H16&amp;"?",H16)&amp;IF(C16="?","? "," ")&amp;D16&amp;" { get; set; }"&amp;$E$3,"")</f>
        <v xml:space="preserve">		public virtual string IsLotSupply { get; set; }
</v>
      </c>
      <c r="P16" t="str">
        <f t="shared" ref="P16:P17" si="38">REPT(CHAR(9),7)&amp;D16&amp;" = o." &amp;D16 &amp;","</f>
        <v xml:space="preserve">							IsLotSupply = o.IsLotSupply,</v>
      </c>
      <c r="T16" s="69" t="str">
        <f t="shared" ref="T16:T17" si="39">REPT(CHAR(9),8)&amp;"("""&amp;D16&amp;"""),"</f>
        <v xml:space="preserve">								("IsLotSupply"),</v>
      </c>
      <c r="V16" s="70" t="str">
        <f t="shared" ref="V16:V17" si="40">REPT(CHAR(9),8)&amp;"_ =&gt; _."&amp;D16&amp;","</f>
        <v xml:space="preserve">								_ =&gt; _.IsLotSupply,</v>
      </c>
      <c r="W16" s="69" t="str">
        <f t="shared" ref="W16:W17" si="4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.WhereIf(!string.IsNullOrWhiteSpace(input.IsLotSupply), e =&gt; e.IsLotSupply.Contains(input.IsLotSupply))</v>
      </c>
    </row>
    <row r="17" spans="1:23" customFormat="1" ht="21" customHeight="1" x14ac:dyDescent="0.25">
      <c r="A17" t="s">
        <v>301</v>
      </c>
      <c r="B17" t="s">
        <v>302</v>
      </c>
      <c r="C17" t="s">
        <v>1</v>
      </c>
      <c r="D17" t="str">
        <f t="shared" ref="D17" si="42">SUBSTITUTE(PROPER(A17),"_","")</f>
        <v>IsActive</v>
      </c>
      <c r="E17" t="str">
        <f t="shared" si="31"/>
        <v>varchar</v>
      </c>
      <c r="F17" s="7"/>
      <c r="G17" t="str">
        <f t="shared" si="32"/>
        <v>1</v>
      </c>
      <c r="H17" t="str">
        <f>+VLOOKUP(E17,'Data Type Mapping'!A:B,2,)</f>
        <v>string</v>
      </c>
      <c r="I17" t="str">
        <f t="shared" si="33"/>
        <v xml:space="preserve">		public const int MaxIsActiveLength = 1;
</v>
      </c>
      <c r="J17" t="str">
        <f t="shared" si="34"/>
        <v xml:space="preserve">		[StringLength(MaxIsActiveLength)]
		public virtual string IsActive { get; set; }
</v>
      </c>
      <c r="K17" s="7" t="s">
        <v>206</v>
      </c>
      <c r="L17" t="str">
        <f t="shared" ref="L17" si="43">IF(K17="","",REPT(CHAR(9),1)&amp;"[Index(nameof("&amp;IF(D17="","",""&amp;D17)&amp;")"&amp;", Name="&amp;"""IX_"&amp;$B$7&amp;"_"&amp;D17&amp;""")]")</f>
        <v xml:space="preserve">	[Index(nameof(IsActive), Name="IX_MstLgwPickingTabletProcess_IsActive")]</v>
      </c>
      <c r="M17" t="str">
        <f t="shared" si="35"/>
        <v xml:space="preserve">		public virtual string IsActive { get; set; }
</v>
      </c>
      <c r="N17" t="str">
        <f t="shared" si="36"/>
        <v xml:space="preserve">		[StringLength(MstLgwPickingTabletProcessConsts.MaxIsActiveLength)]
		public virtual string IsActive { get; set; }
</v>
      </c>
      <c r="O17" t="str">
        <f t="shared" si="37"/>
        <v xml:space="preserve">		public virtual string IsActive { get; set; }
</v>
      </c>
      <c r="P17" t="str">
        <f t="shared" si="38"/>
        <v xml:space="preserve">							IsActive = o.IsActive,</v>
      </c>
      <c r="T17" s="69" t="str">
        <f t="shared" si="39"/>
        <v xml:space="preserve">								("IsActive"),</v>
      </c>
      <c r="V17" s="70" t="str">
        <f t="shared" si="40"/>
        <v xml:space="preserve">								_ =&gt; _.IsActive,</v>
      </c>
      <c r="W17" s="69" t="str">
        <f t="shared" si="41"/>
        <v xml:space="preserve">				.WhereIf(!string.IsNullOrWhiteSpace(input.IsActive), e =&gt; e.IsActive.Contains(input.IsActive))</v>
      </c>
    </row>
    <row r="19" spans="1:23" ht="45.75" customHeight="1" x14ac:dyDescent="0.25">
      <c r="H19" s="12"/>
      <c r="I19" s="34" t="str">
        <f ca="1">TEXTJOIN2("
", TRUE,INDIRECT( $H$1):INDIRECT( $H$3))</f>
        <v xml:space="preserve">		public const int MaxPickingPositionLength = 50;
		public const int MaxProcessLength = 50;
		public const int MaxLogicSequenceLength = 50;
		public const int MaxHasModelLength = 1;
		public const int MaxIsLotSupplyLength = 1;
		public const int MaxIsActiveLength = 1;
</v>
      </c>
      <c r="J19" s="33" t="str">
        <f ca="1">TEXTJOIN2("
", TRUE,INDIRECT( $F$1):INDIRECT( $F$3))</f>
        <v xml:space="preserve">		public virtual long PickingTabletId { get; set; }
		[StringLength(MaxPickingPositionLength)]
		public virtual string PickingPosition { get; set; }
		[StringLength(MaxProcessLength)]
		public virtual string Process { get; set; }
		public virtual int PickingCycle { get; set; }
		public virtual int LogicSequenceNo { get; set; }
		[StringLength(MaxLogicSequenceLength)]
		public virtual string LogicSequence { get; set; }
		[StringLength(MaxHasModelLength)]
		public virtual string HasModel { get; set; }
		[StringLength(MaxIsLotSupplyLength)]
		public virtual string IsLotSupply { get; set; }
		[StringLength(MaxIsActiveLength)]
		public virtual string IsActive { get; set; }
</v>
      </c>
      <c r="K19" s="35" t="str">
        <f ca="1">TEXTJOIN2("
", TRUE,INDIRECT( $J$1):INDIRECT( $J$3))</f>
        <v xml:space="preserve">	[Index(nameof(PickingTabletId), Name="IX_MstLgwPickingTabletProcess_PickingTabletId")]
	[Index(nameof(PickingPosition), Name="IX_MstLgwPickingTabletProcess_PickingPosition")]
	[Index(nameof(Process), Name="IX_MstLgwPickingTabletProcess_Process")]
	[Index(nameof(IsActive), Name="IX_MstLgwPickingTabletProcess_IsActive")]</v>
      </c>
      <c r="L19" s="13" t="s">
        <v>60</v>
      </c>
      <c r="M19" s="36" t="str">
        <f ca="1">TEXTJOIN2("
",TRUE,INDIRECT( $L$1):INDIRECT($L$3))</f>
        <v xml:space="preserve">		public virtual long PickingTabletId { get; set; }
		public virtual string PickingPosition { get; set; }
		public virtual string Process { get; set; }
		public virtual int PickingCycle { get; set; }
		public virtual int LogicSequenceNo { get; set; }
		public virtual string LogicSequence { get; set; }
		public virtual string HasModel { get; set; }
		public virtual string IsLotSupply { get; set; }
		public virtual string IsActive { get; set; }
</v>
      </c>
      <c r="N19" s="33" t="str">
        <f ca="1">TEXTJOIN2("
",TRUE,INDIRECT( $M$1):INDIRECT($M$3))</f>
        <v xml:space="preserve">		public virtual long PickingTabletId { get; set; }
		[StringLength(MstLgwPickingTabletProcessConsts.MaxPickingPositionLength)]
		public virtual string PickingPosition { get; set; }
		[StringLength(MstLgwPickingTabletProcessConsts.MaxProcessLength)]
		public virtual string Process { get; set; }
		public virtual int PickingCycle { get; set; }
		public virtual int LogicSequenceNo { get; set; }
		[StringLength(MstLgwPickingTabletProcessConsts.MaxLogicSequenceLength)]
		public virtual string LogicSequence { get; set; }
		[StringLength(MstLgwPickingTabletProcessConsts.MaxHasModelLength)]
		public virtual string HasModel { get; set; }
		[StringLength(MstLgwPickingTabletProcessConsts.MaxIsLotSupplyLength)]
		public virtual string IsLotSupply { get; set; }
		[StringLength(MstLgwPickingTabletProcessConsts.MaxIsActiveLength)]
		public virtual string IsActive { get; set; }
</v>
      </c>
      <c r="O19" s="33" t="str">
        <f ca="1">TEXTJOIN2("
",TRUE,INDIRECT( $N$1):INDIRECT($N$3))</f>
        <v xml:space="preserve">		public virtual string PickingPosition { get; set; }
		public virtual string Process { get; set; }
		public virtual int PickingCycle { get; set; }
		public virtual int LogicSequenceNo { get; set; }
		public virtual string LogicSequence { get; set; }
		public virtual string HasModel { get; set; }
		public virtual string IsLotSupply { get; set; }
		public virtual string IsActive { get; set; }
</v>
      </c>
      <c r="P19" s="9" t="str">
        <f ca="1">TEXTJOIN2("
",TRUE,INDIRECT( $O$1):INDIRECT($O$3))</f>
        <v xml:space="preserve">							PickingTabletId = o.PickingTabletId,
							PickingPosition = o.PickingPosition,
							Process = o.Process,
							PickingCycle = o.PickingCycle,
							LogicSequenceNo = o.LogicSequenceNo,
							LogicSequence = o.LogicSequence,
							HasModel = o.HasModel,
							IsLotSupply = o.IsLotSupply,
							IsActive = o.IsActive,</v>
      </c>
      <c r="T19" s="9" t="str">
        <f ca="1">TEXTJOIN2("
",TRUE,INDIRECT( $T$2):INDIRECT($T$3))</f>
        <v xml:space="preserve">								("PickingTabletId"),
								("PickingPosition"),
								("Process"),
								("PickingCycle"),
								("LogicSequenceNo"),
								("LogicSequence"),
								("HasModel"),
								("IsLotSupply"),
								("IsActive"),</v>
      </c>
      <c r="V19" s="9" t="str">
        <f ca="1">TEXTJOIN2("
",TRUE,INDIRECT( $V$2):INDIRECT($V$3))</f>
        <v xml:space="preserve">								_ =&gt; _.PickingTabletId,
								_ =&gt; _.PickingPosition,
								_ =&gt; _.Process,
								_ =&gt; _.PickingCycle,
								_ =&gt; _.LogicSequenceNo,
								_ =&gt; _.LogicSequence,
								_ =&gt; _.HasModel,
								_ =&gt; _.IsLotSupply,
								_ =&gt; _.IsActive,</v>
      </c>
      <c r="W19" s="9" t="str">
        <f ca="1">TEXTJOIN2("
",TRUE,INDIRECT( $W$2):INDIRECT($W$3))</f>
        <v xml:space="preserve">				.WhereIf(!string.IsNullOrWhiteSpace(input.PickingPosition), e =&gt; e.PickingPosition.Contains(input.PickingPosition))
				.WhereIf(!string.IsNullOrWhiteSpace(input.Process), e =&gt; e.Process.Contains(input.Process))
				.WhereIf(!string.IsNullOrWhiteSpace(input.LogicSequence), e =&gt; e.LogicSequence.Contains(input.LogicSequence))
				.WhereIf(!string.IsNullOrWhiteSpace(input.HasModel), e =&gt; e.HasModel.Contains(input.HasModel))
				.WhereIf(!string.IsNullOrWhiteSpace(input.IsLotSupply), e =&gt; e.IsLotSupply.Contains(input.IsLotSupply))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5"/>
  <sheetViews>
    <sheetView tabSelected="1" workbookViewId="0">
      <selection activeCell="A21" sqref="A21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60" x14ac:dyDescent="0.25">
      <c r="A1" s="41" t="s">
        <v>212</v>
      </c>
      <c r="B1" s="42" t="s">
        <v>313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LogW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logw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MstLgwPickingTabletProcess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PickingTabletSetup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pickingtabletsetup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MstLgwPickingTabletProcessDto, MstLgwPickingTabletProcessServiceProxy } from '@shared/service-proxies/service-proxies';
import { finalize } from 'rxjs/internal/operators/finalize';
import { CreateOrEditPickingTabletSetupModalComponent } from './create-or-edit-pickingtabletsetup-modal.component';
import { DatePipe } from '@angular/common';
import { FileDownloadService } from '@shared/utils/file-download.service';
import ceil from 'lodash-es/ceil';
import { Paginator } from 'primeng/paginator';
@Component({
    templateUrl: './pickingtabletsetup.component.html',
    styleUrls: ['./pickingtabletsetup.component.less'],
})
export class PickingTabletSetupComponent extends AppComponentBase implements OnInit {
    @ViewChild('createOrEditModalPickingTabletSetup', { static: true }) createOrEditModalPickingTabletSetup:| CreateOrEditPickingTabletSetupModalComponent|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MstLgwPickingTabletProcessDto = new MstLgwPickingTabletProcessDto();
    saveSelectedRow: MstLgwPickingTabletProcessDto = new MstLgwPickingTabletProcessDto();
    datas: MstLgwPickingTabletProcessDto = new MstLgwPickingTabletProcessDto();
    isLoading: boolean = false;
    dataParams: GridParams | undefined;
    rowData: any[] = [];
    gridApi!: GridApi;
    rowSelection = 'multiple';
    filter: string = '';
	pipe = new DatePipe('en-US');
	frameworkComponents: FrameworkComponent;
    pickingTabletId : string = '' ; 
	pickingPosition : string = '' ; 
	process : number = 0 ;
	pickingCycle : number = 0 ;
	logicSequence : string = '' ; 
hasModel : string = '' ; 
isLotSupply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MstLgwPickingTabletProcessServiceProxy,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this.l('Picking Tablet Id'),headerTooltip: this.l('Picking Tablet Id'),field: 'pickingTabletId',flex: 1},
			{headerName: this.l('Picking Position'),headerTooltip: this.l('Picking Position'),field: 'pickingPosition',flex: 1},
			{headerName: this.l('Process'),headerTooltip: this.l('Process'),field: 'process',flex: 1},
			{headerName: this.l('Picking Cycle'),headerTooltip: this.l('Picking Cycle'),field: 'pickingCycle',flex: 1},
			{headerName: this.l('Logic Sequence'),headerTooltip: this.l('Logic Sequence'),field: 'logicSequence',flex: 1},
			{headerName: this.l('Has Model'),headerTooltip: this.l('Has Model'),field:  'hasModel', cellClass: ['text-center'], width: 120, cellRenderer: 'agCellButtonComponent',
buttonDefTwo: { text: params =&gt; (params.data?.'hasModel' == 'Y') ? 'Active' : 'Inactive',iconName: 'fa fa-circle',className: params =&gt; (params.data?.'hasModel' == 'Y') ? 'btnActive' : 'btnInActive',},}
			{headerName: this.l('Is Lot Supply'),headerTooltip: this.l('Is Lot Supply'),field:  'isLotSupply', cellClass: ['text-center'], width: 120, cellRenderer: 'agCellButtonComponent',
buttonDefTwo: { text: params =&gt; (params.data?.'isLotSupply' == 'Y') ? 'Active' : 'Inactive',iconName: 'fa fa-circle',className: params =&gt; (params.data?.'isLotSupply'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this.pickingTabletId,
			this.pickingPosition,
			this.process,
			this.pickingCycle,
			this.logicSequence,
			this.hasModel,
			this.isLotSupply,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this.pickingTabletId = '',
		this.pickingPosition = '',
		this.process = 0,
		this.pickingCycle = 0,
		this.logicSequence = '',
this.hasModel = '',
this.isLotSupply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this.pickingTabletId,
			this.pickingPosition,
			this.process,
			this.pickingCycle,
			this.logicSequence,
			this.hasModel,
			this.isLotSupply,
			this.isActive,
			'',
            this.paginationParams.skipCount,
            this.paginationParams.pageSize
        );
    }
    onChangeRowSelection(params: { api: { getSelectedRows: () =&gt; MstLgwPickingTabletProcessDto[] } }) {
        this.saveSelectedRow = params.api.getSelectedRows()[0] ?? new MstLgwPickingTabletProcessDto();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MstLgwPickingTabletProcessDto):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this._service.getPickingTabletSetupToExcel(
			this.pickingTabletId,
			this.pickingPosition,
			this.process,
			this.pickingCycle,
			this.logicSequence,
			this.hasModel,
			this.isLotSupply,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Picking Tablet Process Configuration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[(ngModel)]='pickingTabletId' name='pickingTabletId'
									class='form-control' [placeholder]="l('Picking Tablet Id')"
									type='text' (keyup.enter)='searchDatas()'&gt;
								&lt;/div&gt;
								&lt;div class='input-search'&gt;
									&lt;input [(ngModel)]='pickingPosition' name='pickingPosition'
									class='form-control' [placeholder]="l('Picking Position')"
									type='text' (keyup.enter)='searchDatas()'&gt;
								&lt;/div&gt;
								&lt;div class='input-search'&gt;
									&lt;input [(ngModel)]='logicSequence' name='logicSequence'
									class='form-control' [placeholder]="l('Logic Sequence')"
									type='text' (keyup.enter)='searchDatas()'&gt;
								&lt;/div&gt;
								&lt;div class='input-search'&gt;
									&lt;input [(ngModel)]='hasModel' name='hasModel'
									class='form-control' [placeholder]="l('Has Model')"
									type='text' (keyup.enter)='searchDatas()'&gt;
								&lt;/div&gt;
								&lt;div class='input-search'&gt;
									&lt;input [(ngModel)]='isLotSupply' name='isLotSupply'
									class='form-control' [placeholder]="l('Is Lot Supply')"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(click)="createOrEditModalPickingTabletSetup.show()"&gt;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(click)="createOrEditModalPickingTabletSetup.show(selectedRow)"&gt;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&lt;create-or-edit-pickingtabletsetup-modal
    #createOrEditModalPickingTabletSetup
    (modalSave)="callBackDataGrid(dataParams)"
    (modalClose)="onChangeRowSelection(dataParams)"
&gt;
&lt;/create-or-edit-pickingtabletsetup-modal&gt;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#createOrEditModalPickingTabletSetup="bs-modal"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PickingTabletSetup')}}&lt;/h3&gt;
                    &lt;h3 *ngIf="!rowdata.id"&gt;{{('Create New PickingTabletSetup')}}&lt;/h3&gt;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title'&gt;Picking Tablet Id&lt;/label&gt;
						&lt;input type='text' class='col-md-10 form-control input-text' name='PickingTabletId' [(ngModel)]='rowdata.pickingTabletId'&gt;
					&lt;/div&gt;
					&lt;div class='col-md-12 form-group row'&gt;
						&lt;label class='col-md-2 form-control title'&gt;Picking Position&lt;/label&gt;
						&lt;input type='text' class='col-md-10 form-control input-text' name='PickingPosition' [(ngModel)]='rowdata.pickingPosition'&gt;
					&lt;/div&gt;
					&lt;div class='col-md-12 form-group row'&gt;
						&lt;label class='col-md-2 form-control title'&gt;Process&lt;/label&gt;
						&lt;input type='number' class='col-md-10 form-control input-text' name='Process' [(ngModel)]='rowdata.process'&gt;
					&lt;/div&gt;
					&lt;div class='col-md-12 form-group row'&gt;
						&lt;label class='col-md-2 form-control title'&gt;Picking Cycle&lt;/label&gt;
						&lt;input type='number' class='col-md-10 form-control input-text' name='PickingCycle' [(ngModel)]='rowdata.pickingCycle'&gt;
					&lt;/div&gt;
					&lt;div class='col-md-12 form-group row'&gt;
						&lt;label class='col-md-2 form-control title'&gt;Logic Sequence&lt;/label&gt;
						&lt;input type='text' class='col-md-10 form-control input-text' name='LogicSequence' [(ngModel)]='rowdata.logicSequence'&gt;
					&lt;/div&gt;
					&lt;div class='col-md-12 form-group row'&gt;
						&lt;label class='col-md-2 form-control title'&gt;Has Model&lt;/label&gt;
						&lt;new-checkbox [(ngModel)]='_hasModel' name='hasModel' className='col-md-10' &gt; &lt;/new-checkbox&gt;
					&lt;/div&gt;
					&lt;div class='col-md-12 form-group row'&gt;
						&lt;label class='col-md-2 form-control title'&gt;Is Lot Supply&lt;/label&gt;
						&lt;new-checkbox [(ngModel)]='_isLotSupply' name='isLotSupply'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CreateOrEditMstLgwPickingTabletProcessDto, MstLgwPickingTabletProcessServiceProxy } from '@shared/service-proxies/service-proxies';
import { BsDatepickerDirective } from 'ngx-bootstrap/datepicker';
@Component({
    selector: 'create-or-edit-pickingtabletsetup-modal',
    templateUrl: './create-or-edit-pickingtabletsetup-modal.component.html',
    styleUrls: ['./create-or-edit-pickingtabletsetup-modal.component.less']
    })
export class CreateOrEditPickingTabletSetupModalComponent extends AppComponentBase {
    @ViewChild('createOrEditModalPickingTabletSetup',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CreateOrEditMstLgwPickingTabletProcessDto = new CreateOrEditMstLgwPickingTabletProcessDto();
    active: boolean = false;
    saving: boolean = false;
    _hasModel
isLotSupply
isActive: boolean;
    constructor(
        injector: Injector,
        private _mstwptPickingTabletSetupService: MstLgwPickingTabletProcessServiceProxy,
    ) 
    {
        super(injector);
    }
    show(rowdata?: CreateOrEditMstLgwPickingTabletProcessDto): void {
        if (!rowdata) this.rowdata = new CreateOrEditMstLgwPickingTabletProcessDto();
        else this.rowdata = rowdata;
        this._hasModel
isLotSupply
isActive = (this.rowdata.hasModel
isLotSupply
isActive == "N")? false: true;
        this.active = true;
        this.modal.show();
    } 
    changeActive(event){
        this._hasModel
isLotSupply
isActive = event.target.checked;
    }
    save(): void {
    this.saving = true; 
    this.rowdata.hasModel
isLotSupply
isActive = (this._hasModel
isLotSupply
isActive == true) ? 'Y' : 'N'
    this._mstwptPickingTabletSetupService.createOrEdit(this.rowdata)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PickingTabletSetupRoutingModule } from './pickingtabletsetup-routing.module';
import { PickingTabletSetupComponent } from './pickingtabletsetup.component';
import { CreateOrEditPickingTabletSetupModalComponent } from './create-or-edit-pickingtabletsetup-modal.component';
@NgModule({
    declarations: [
       PickingTabletSetupComponent, 
        CreateOrEditPickingTabletSetupModalComponent
    ],
    imports: [
        AppSharedModule, PickingTabletSetupRoutingModule]
})
export class PickingTabletSetupModule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PickingTabletSetupComponent } from './pickingtabletsetup.component';
const routes: Routes = [{
    path: '',
    component: PickingTabletSetupComponent,
    pathMatch: 'full'
}];
@NgModule({
    imports: [RouterModule.forChild(routes)],
    exports: [RouterModule],
})
export class PickingTabletSetupRoutingModule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AppMenuItem("PickingTabletSetup", "Pages.Master.LogW.PickingTabletSetup", "flaticon-book",   "/app/main/master/logw/pickingtabletsetup"),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'master/logw/pickingtabletsetup',
    loadChildren: () =&gt; import('./master/logw/pickingtabletsetup/pickingtabletsetup.module').then(m =&gt; m.PickingTabletSetupModule),
    data: { permission: 'Pages.Master.LogW.PickingTabletSetup' }
},</v>
      </c>
      <c r="R10" s="50" t="str">
        <f>SUBSTITUTE(R9,"MstWptCalendar",$B$6)</f>
        <v>ApiServiceProxies.MstLgwPickingTabletProcessServiceProxy,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H22</v>
      </c>
      <c r="I12" s="31" t="str">
        <f>"I"&amp;COUNTA($A:$A)</f>
        <v>I22</v>
      </c>
      <c r="J12" s="31"/>
      <c r="K12" s="31" t="str">
        <f>"K"&amp;COUNTA($A:$A)</f>
        <v>K22</v>
      </c>
      <c r="L12" s="31" t="str">
        <f>"L"&amp;COUNTA($A:$A)</f>
        <v>L22</v>
      </c>
      <c r="M12" s="31"/>
      <c r="N12" s="31"/>
      <c r="O12" s="31"/>
      <c r="P12" s="31"/>
      <c r="Q12" s="31"/>
      <c r="R12" s="31"/>
      <c r="S12" s="31" t="str">
        <f>"S"&amp;COUNTA($A:$A)</f>
        <v>S22</v>
      </c>
      <c r="T12" s="31" t="str">
        <f>"T"&amp;COUNTA($A:$A)</f>
        <v>T22</v>
      </c>
      <c r="U12" s="31" t="str">
        <f>"U"&amp;COUNTA($A:$A)</f>
        <v>U22</v>
      </c>
      <c r="V12" s="31" t="str">
        <f>"V"&amp;COUNTA($A:$A)</f>
        <v>V22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this.l('Picking Tablet Id'),headerTooltip: this.l('Picking Tablet Id'),field: 'pickingTabletId',flex: 1},
			{headerName: this.l('Picking Position'),headerTooltip: this.l('Picking Position'),field: 'pickingPosition',flex: 1},
			{headerName: this.l('Process'),headerTooltip: this.l('Process'),field: 'process',flex: 1},
			{headerName: this.l('Picking Cycle'),headerTooltip: this.l('Picking Cycle'),field: 'pickingCycle',flex: 1},
			{headerName: this.l('Logic Sequence'),headerTooltip: this.l('Logic Sequence'),field: 'logicSequence',flex: 1},
			{headerName: this.l('Has Model'),headerTooltip: this.l('Has Model'),field:  'hasModel', cellClass: ['text-center'], width: 120, cellRenderer: 'agCellButtonComponent',
buttonDefTwo: { text: params =&gt; (params.data?.'hasModel' == 'Y') ? 'Active' : 'Inactive',iconName: 'fa fa-circle',className: params =&gt; (params.data?.'hasModel' == 'Y') ? 'btnActive' : 'btnInActive',},}
			{headerName: this.l('Is Lot Supply'),headerTooltip: this.l('Is Lot Supply'),field:  'isLotSupply', cellClass: ['text-center'], width: 120, cellRenderer: 'agCellButtonComponent',
buttonDefTwo: { text: params =&gt; (params.data?.'isLotSupply' == 'Y') ? 'Active' : 'Inactive',iconName: 'fa fa-circle',className: params =&gt; (params.data?.'isLotSupply'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[(ngModel)]='pickingTabletId' name='pickingTabletId'
									class='form-control' [placeholder]="l('Picking Tablet Id')"
									type='text' (keyup.enter)='searchDatas()'&gt;
								&lt;/div&gt;
								&lt;div class='input-search'&gt;
									&lt;input [(ngModel)]='pickingPosition' name='pickingPosition'
									class='form-control' [placeholder]="l('Picking Position')"
									type='text' (keyup.enter)='searchDatas()'&gt;
								&lt;/div&gt;
								&lt;div class='input-search'&gt;
									&lt;input [(ngModel)]='logicSequence' name='logicSequence'
									class='form-control' [placeholder]="l('Logic Sequence')"
									type='text' (keyup.enter)='searchDatas()'&gt;
								&lt;/div&gt;
								&lt;div class='input-search'&gt;
									&lt;input [(ngModel)]='hasModel' name='hasModel'
									class='form-control' [placeholder]="l('Has Model')"
									type='text' (keyup.enter)='searchDatas()'&gt;
								&lt;/div&gt;
								&lt;div class='input-search'&gt;
									&lt;input [(ngModel)]='isLotSupply' name='isLotSupply'
									class='form-control' [placeholder]="l('Is Lot Supply')"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title'&gt;Picking Tablet Id&lt;/label&gt;
						&lt;input type='text' class='col-md-10 form-control input-text' name='PickingTabletId' [(ngModel)]='rowdata.pickingTabletId'&gt;
					&lt;/div&gt;
					&lt;div class='col-md-12 form-group row'&gt;
						&lt;label class='col-md-2 form-control title'&gt;Picking Position&lt;/label&gt;
						&lt;input type='text' class='col-md-10 form-control input-text' name='PickingPosition' [(ngModel)]='rowdata.pickingPosition'&gt;
					&lt;/div&gt;
					&lt;div class='col-md-12 form-group row'&gt;
						&lt;label class='col-md-2 form-control title'&gt;Process&lt;/label&gt;
						&lt;input type='number' class='col-md-10 form-control input-text' name='Process' [(ngModel)]='rowdata.process'&gt;
					&lt;/div&gt;
					&lt;div class='col-md-12 form-group row'&gt;
						&lt;label class='col-md-2 form-control title'&gt;Picking Cycle&lt;/label&gt;
						&lt;input type='number' class='col-md-10 form-control input-text' name='PickingCycle' [(ngModel)]='rowdata.pickingCycle'&gt;
					&lt;/div&gt;
					&lt;div class='col-md-12 form-group row'&gt;
						&lt;label class='col-md-2 form-control title'&gt;Logic Sequence&lt;/label&gt;
						&lt;input type='text' class='col-md-10 form-control input-text' name='LogicSequence' [(ngModel)]='rowdata.logicSequence'&gt;
					&lt;/div&gt;
					&lt;div class='col-md-12 form-group row'&gt;
						&lt;label class='col-md-2 form-control title'&gt;Has Model&lt;/label&gt;
						&lt;new-checkbox [(ngModel)]='_hasModel' name='hasModel' className='col-md-10' &gt; &lt;/new-checkbox&gt;
					&lt;/div&gt;
					&lt;div class='col-md-12 form-group row'&gt;
						&lt;label class='col-md-2 form-control title'&gt;Is Lot Supply&lt;/label&gt;
						&lt;new-checkbox [(ngModel)]='_isLotSupply' name='isLotSupply'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pickingTabletId : string = '' ; 
	pickingPosition : string = '' ; 
	process : number = 0 ;
	pickingCycle : number = 0 ;
	logicSequence : string = '' ; 
hasModel : string = '' ; 
isLotSupply : string = '' ; 
	isActive : string = '' ; </v>
      </c>
      <c r="T13" s="68" t="str">
        <f ca="1">TEXTJOIN2("
",TRUE,INDIRECT(T11):INDIRECT(T12))</f>
        <v xml:space="preserve">			this.pickingTabletId,
			this.pickingPosition,
			this.process,
			this.pickingCycle,
			this.logicSequence,
			this.hasModel,
			this.isLotSupply,
			this.isActive,</v>
      </c>
      <c r="U13" s="68" t="str">
        <f ca="1">TEXTJOIN2("
",TRUE,INDIRECT(U11):INDIRECT(U12))</f>
        <v>this.pickingTabletId = '',
		this.pickingPosition = '',
		this.process = 0,
		this.pickingCycle = 0,
		this.logicSequence = '',
this.hasModel = '',
this.isLotSupply = '',
		this.isActive = '',</v>
      </c>
      <c r="V13" s="31" t="str">
        <f ca="1">TEXTJOIN2("
",TRUE,INDIRECT(V11):INDIRECT(V12))</f>
        <v>hasModel
isLotSupply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pickingtabletsetup.component.ts</v>
      </c>
      <c r="I14" s="40" t="str">
        <f>B8&amp;".component.html"</f>
        <v>pickingtabletsetup.component.html</v>
      </c>
      <c r="J14" s="39" t="str">
        <f>B8&amp;".component.less"</f>
        <v>pickingtabletsetup.component.less</v>
      </c>
      <c r="K14" s="40" t="str">
        <f>"create-or-edit-"&amp;B8&amp;"-modal.component.html"</f>
        <v>create-or-edit-pickingtabletsetup-modal.component.html</v>
      </c>
      <c r="L14" s="40" t="str">
        <f>"create-or-edit-"&amp;B8&amp;"-modal.component.ts"</f>
        <v>create-or-edit-pickingtabletsetup-modal.component.ts</v>
      </c>
      <c r="M14" s="40" t="str">
        <f>"create-or-edit-"&amp;B8&amp;"-modal.component.less"</f>
        <v>create-or-edit-pickingtabletsetup-modal.component.less</v>
      </c>
      <c r="N14" s="40" t="str">
        <f>B8&amp;".module.ts"</f>
        <v>pickingtabletsetup.module.ts</v>
      </c>
      <c r="O14" s="40" t="str">
        <f>B8&amp;"-routing.module.ts"</f>
        <v>pickingtabletsetup-routing.module.ts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311</v>
      </c>
      <c r="B15" s="31" t="str">
        <f>SUBSTITUTE(PROPER(A15),"_","")</f>
        <v>PickingTabletId</v>
      </c>
      <c r="C15" s="31" t="str">
        <f>SUBSTITUTE(PROPER(A15),"_"," ")</f>
        <v>Picking Tablet Id</v>
      </c>
      <c r="D15" s="31" t="str">
        <f>LOWER(LEFT(B15,1))&amp;RIGHT(B15,LEN(B15) - 1)</f>
        <v>pickingTabletId</v>
      </c>
      <c r="E15" s="31" t="str">
        <f>A.Backend!H10</f>
        <v>string</v>
      </c>
      <c r="F15" s="31" t="str">
        <f>A.Backend!G10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this.l('Picking Tablet Id'),headerTooltip: this.l('Picking Tablet Id'),field: 'pickingTabletId',flex: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[(ngModel)]='pickingTabletId' name='pickingTabletId'
									class='form-control' [placeholder]="l('Picking Tablet Id')"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title'&gt;Picking Tablet Id&lt;/label&gt;
						&lt;input type='text' class='col-md-10 form-control input-text' name='PickingTabletId' [(ngModel)]='rowdata.pickingTabletId'&gt;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pickingTabletId : string = '' ; </v>
      </c>
      <c r="T15" s="31" t="str">
        <f>REPT(CHAR(9),3)&amp;"this."&amp;D15&amp;","</f>
        <v xml:space="preserve">			this.pickingTabletId,</v>
      </c>
      <c r="U15" s="31" t="str">
        <f>IF(E15="int","this."&amp;D15&amp;" = 0,","this."&amp;D15&amp;" = '',")</f>
        <v>this.pickingTabletId = '',</v>
      </c>
      <c r="V15" s="31" t="str">
        <f>IF(AND(E15="string",F15="1"),D15,"")</f>
        <v/>
      </c>
    </row>
    <row r="16" spans="1:22" ht="15" customHeight="1" x14ac:dyDescent="0.25">
      <c r="A16" s="44" t="s">
        <v>306</v>
      </c>
      <c r="B16" s="31" t="str">
        <f t="shared" ref="B16:B17" si="0">SUBSTITUTE(PROPER(A16),"_","")</f>
        <v>PickingPosition</v>
      </c>
      <c r="C16" s="31" t="str">
        <f t="shared" ref="C16:C17" si="1">SUBSTITUTE(PROPER(A16),"_"," ")</f>
        <v>Picking Position</v>
      </c>
      <c r="D16" s="31" t="str">
        <f t="shared" ref="D16:D17" si="2">LOWER(LEFT(B16,1))&amp;RIGHT(B16,LEN(B16) - 1)</f>
        <v>pickingPosition</v>
      </c>
      <c r="E16" s="31" t="str">
        <f>A.Backend!H11</f>
        <v>string</v>
      </c>
      <c r="F16" s="31" t="str">
        <f>A.Backend!G11</f>
        <v>50</v>
      </c>
      <c r="G16" s="31" t="str">
        <f t="shared" ref="G16:G19" si="3">IF(E16="string"," : string = '' ; ",IF(OR(E16="DateTime",E16="TimeSpan")," : any ;",IF(E16="int"," : number = 0 ;","")))</f>
        <v xml:space="preserve"> : string = '' ; 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this.l('Picking Position'),headerTooltip: this.l('Picking Position'),field: 'pickingPosition',flex: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[(ngModel)]='pickingPosition' name='pickingPosition'
									class='form-control' [placeholder]="l('Picking Position')"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title'&gt;Picking Position&lt;/label&gt;
						&lt;input type='text' class='col-md-10 form-control input-text' name='PickingPosition' [(ngModel)]='rowdata.pickingPosition'&gt;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pickingPosition : string = '' ; </v>
      </c>
      <c r="T16" s="31" t="str">
        <f>REPT(CHAR(9),3)&amp;"this."&amp;D16&amp;","</f>
        <v xml:space="preserve">			this.pickingPosition,</v>
      </c>
      <c r="U16" s="31" t="str">
        <f>IF(E16="int",REPT(CHAR(9),2)&amp;"this."&amp;D16&amp;" = 0,",REPT(CHAR(9),2)&amp;"this."&amp;D16&amp;" = '',")</f>
        <v xml:space="preserve">		this.pickingPosition = '',</v>
      </c>
      <c r="V16" s="31" t="str">
        <f t="shared" ref="V16:V19" si="8">IF(AND(E16="string",F16="1"),D16,"")</f>
        <v/>
      </c>
    </row>
    <row r="17" spans="1:22" ht="18" customHeight="1" x14ac:dyDescent="0.25">
      <c r="A17" s="44" t="s">
        <v>307</v>
      </c>
      <c r="B17" s="31" t="str">
        <f t="shared" si="0"/>
        <v>Process</v>
      </c>
      <c r="C17" s="31" t="str">
        <f t="shared" si="1"/>
        <v>Process</v>
      </c>
      <c r="D17" s="31" t="str">
        <f t="shared" si="2"/>
        <v>process</v>
      </c>
      <c r="E17" s="31" t="str">
        <f>A.Backend!H12</f>
        <v>int</v>
      </c>
      <c r="F17" s="31" t="str">
        <f>A.Backend!G12</f>
        <v/>
      </c>
      <c r="G17" s="31" t="str">
        <f t="shared" si="3"/>
        <v xml:space="preserve"> : number = 0 ;</v>
      </c>
      <c r="H17" s="38" t="str">
        <f t="shared" si="4"/>
        <v xml:space="preserve">			{headerName: this.l('Process'),headerTooltip: this.l('Process'),field: 'process',flex: 1},</v>
      </c>
      <c r="I17" s="38" t="str">
        <f t="shared" si="5"/>
        <v/>
      </c>
      <c r="J17" s="31"/>
      <c r="K17" s="38" t="str">
        <f t="shared" si="6"/>
        <v xml:space="preserve">					&lt;div class='col-md-12 form-group row'&gt;
						&lt;label class='col-md-2 form-control title'&gt;Process&lt;/label&gt;
						&lt;input type='number' class='col-md-10 form-control input-text' name='Process' [(ngModel)]='rowdata.process'&gt;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process : number = 0 ;</v>
      </c>
      <c r="T17" s="31" t="str">
        <f t="shared" ref="T17:T19" si="10">REPT(CHAR(9),3)&amp;"this."&amp;D17&amp;","</f>
        <v xml:space="preserve">			this.process,</v>
      </c>
      <c r="U17" s="31" t="str">
        <f t="shared" ref="U17:U19" si="11">IF(E17="int",REPT(CHAR(9),2)&amp;"this."&amp;D17&amp;" = 0,",REPT(CHAR(9),2)&amp;"this."&amp;D17&amp;" = '',")</f>
        <v xml:space="preserve">		this.process = 0,</v>
      </c>
      <c r="V17" s="31" t="str">
        <f t="shared" si="8"/>
        <v/>
      </c>
    </row>
    <row r="18" spans="1:22" ht="18" customHeight="1" x14ac:dyDescent="0.25">
      <c r="A18" s="44" t="s">
        <v>308</v>
      </c>
      <c r="B18" s="31" t="str">
        <f>SUBSTITUTE(PROPER(A18),"_","")</f>
        <v>PickingCycle</v>
      </c>
      <c r="C18" s="31" t="str">
        <f>SUBSTITUTE(PROPER(A18),"_"," ")</f>
        <v>Picking Cycle</v>
      </c>
      <c r="D18" s="31" t="str">
        <f>LOWER(LEFT(B18,1))&amp;RIGHT(B18,LEN(B18) - 1)</f>
        <v>pickingCycle</v>
      </c>
      <c r="E18" s="31" t="str">
        <f>A.Backend!H13</f>
        <v>int</v>
      </c>
      <c r="F18" s="31" t="str">
        <f>A.Backend!G13</f>
        <v/>
      </c>
      <c r="G18" s="31" t="str">
        <f t="shared" si="3"/>
        <v xml:space="preserve"> : number = 0 ;</v>
      </c>
      <c r="H18" s="38" t="str">
        <f t="shared" si="4"/>
        <v xml:space="preserve">			{headerName: this.l('Picking Cycle'),headerTooltip: this.l('Picking Cycle'),field: 'pickingCycle',flex: 1},</v>
      </c>
      <c r="I18" s="38" t="str">
        <f t="shared" si="5"/>
        <v/>
      </c>
      <c r="J18" s="31"/>
      <c r="K18" s="38" t="str">
        <f t="shared" si="6"/>
        <v xml:space="preserve">					&lt;div class='col-md-12 form-group row'&gt;
						&lt;label class='col-md-2 form-control title'&gt;Picking Cycle&lt;/label&gt;
						&lt;input type='number' class='col-md-10 form-control input-text' name='PickingCycle' [(ngModel)]='rowdata.pickingCycle'&gt;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pickingCycle : number = 0 ;</v>
      </c>
      <c r="T18" s="31" t="str">
        <f t="shared" si="10"/>
        <v xml:space="preserve">			this.pickingCycle,</v>
      </c>
      <c r="U18" s="31" t="str">
        <f t="shared" si="11"/>
        <v xml:space="preserve">		this.pickingCycle = 0,</v>
      </c>
      <c r="V18" s="31" t="str">
        <f t="shared" si="8"/>
        <v/>
      </c>
    </row>
    <row r="19" spans="1:22" ht="15" customHeight="1" x14ac:dyDescent="0.25">
      <c r="A19" s="44" t="s">
        <v>309</v>
      </c>
      <c r="B19" s="31" t="str">
        <f t="shared" ref="B19" si="12">SUBSTITUTE(PROPER(A19),"_","")</f>
        <v>LogicSequence</v>
      </c>
      <c r="C19" s="31" t="str">
        <f t="shared" ref="C19" si="13">SUBSTITUTE(PROPER(A19),"_"," ")</f>
        <v>Logic Sequence</v>
      </c>
      <c r="D19" s="31" t="str">
        <f t="shared" ref="D19" si="14">LOWER(LEFT(B19,1))&amp;RIGHT(B19,LEN(B19) - 1)</f>
        <v>logicSequence</v>
      </c>
      <c r="E19" s="31" t="str">
        <f>A.Backend!H14</f>
        <v>string</v>
      </c>
      <c r="F19" s="31" t="str">
        <f>A.Backend!G14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this.l('Logic Sequence'),headerTooltip: this.l('Logic Sequence'),field: 'logicSequence',flex: 1},</v>
      </c>
      <c r="I19" s="38" t="str">
        <f t="shared" si="5"/>
        <v xml:space="preserve">								&lt;div class='input-search'&gt;
									&lt;input [(ngModel)]='logicSequence' name='logicSequence'
									class='form-control' [placeholder]="l('Logic Sequence')"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title'&gt;Logic Sequence&lt;/label&gt;
						&lt;input type='text' class='col-md-10 form-control input-text' name='LogicSequence' [(ngModel)]='rowdata.logicSequence'&gt;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logicSequence : string = '' ; </v>
      </c>
      <c r="T19" s="31" t="str">
        <f t="shared" si="10"/>
        <v xml:space="preserve">			this.logicSequence,</v>
      </c>
      <c r="U19" s="31" t="str">
        <f t="shared" si="11"/>
        <v xml:space="preserve">		this.logicSequence = '',</v>
      </c>
      <c r="V19" s="31" t="str">
        <f t="shared" si="8"/>
        <v/>
      </c>
    </row>
    <row r="20" spans="1:22" ht="18" customHeight="1" x14ac:dyDescent="0.25">
      <c r="A20" s="44" t="s">
        <v>315</v>
      </c>
      <c r="B20" s="31" t="str">
        <f>SUBSTITUTE(PROPER(A20),"_","")</f>
        <v>HasModel</v>
      </c>
      <c r="C20" s="31" t="str">
        <f>SUBSTITUTE(PROPER(A20),"_"," ")</f>
        <v>Has Model</v>
      </c>
      <c r="D20" s="31" t="str">
        <f>LOWER(LEFT(B20,1))&amp;RIGHT(B20,LEN(B20) - 1)</f>
        <v>hasModel</v>
      </c>
      <c r="E20" s="31" t="str">
        <f>A.Backend!H15</f>
        <v>string</v>
      </c>
      <c r="F20" s="31" t="str">
        <f>A.Backend!G15</f>
        <v>1</v>
      </c>
      <c r="G20" s="31" t="str">
        <f>IF(E20="string"," : string = '' ; ",IF(OR(E20="DateTime",E20="TimeSpan")," : any ;",IF(E20="int"," : number = 0 ;","")))</f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this.l('Has Model'),headerTooltip: this.l('Has Model'),field:  'hasModel', cellClass: ['text-center'], width: 120, cellRenderer: 'agCellButtonComponent',
buttonDefTwo: { text: params =&gt; (params.data?.'hasModel' == 'Y') ? 'Active' : 'Inactive',iconName: 'fa fa-circle',className: params =&gt; (params.data?.'hasModel' == 'Y') ? 'btnActive' : 'btnInActive',},}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[(ngModel)]='hasModel' name='hasModel'
									class='form-control' [placeholder]="l('Has Model')"
									type='text' (keyup.enter)='searchDatas()'&gt;
								&lt;/div&gt;</v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title'&gt;Has Model&lt;/label&gt;
						&lt;new-checkbox [(ngModel)]='_hasModel' name='hasModel' className='col-md-10' &gt; &lt;/new-checkbox&gt;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D20&amp;G20</f>
        <v xml:space="preserve">hasModel : string = '' ; </v>
      </c>
      <c r="T20" s="31" t="str">
        <f>REPT(CHAR(9),3)&amp;"this."&amp;D20&amp;","</f>
        <v xml:space="preserve">			this.hasModel,</v>
      </c>
      <c r="U20" s="31" t="str">
        <f>IF(E20="int","this."&amp;D20&amp;" = 0,","this."&amp;D20&amp;" = '',")</f>
        <v>this.hasModel = '',</v>
      </c>
      <c r="V20" s="31" t="str">
        <f>IF(AND(E20="string",F20="1"),D20,"")</f>
        <v>hasModel</v>
      </c>
    </row>
    <row r="21" spans="1:22" ht="18" customHeight="1" x14ac:dyDescent="0.25">
      <c r="A21" s="44" t="s">
        <v>310</v>
      </c>
      <c r="B21" s="31" t="str">
        <f>SUBSTITUTE(PROPER(A21),"_","")</f>
        <v>IsLotSupply</v>
      </c>
      <c r="C21" s="31" t="str">
        <f>SUBSTITUTE(PROPER(A21),"_"," ")</f>
        <v>Is Lot Supply</v>
      </c>
      <c r="D21" s="31" t="str">
        <f>LOWER(LEFT(B21,1))&amp;RIGHT(B21,LEN(B21) - 1)</f>
        <v>isLotSupply</v>
      </c>
      <c r="E21" s="31" t="str">
        <f>A.Backend!H16</f>
        <v>string</v>
      </c>
      <c r="F21" s="31" t="str">
        <f>A.Backend!G16</f>
        <v>1</v>
      </c>
      <c r="G21" s="31" t="str">
        <f>IF(E21="string"," : string = '' ; ",IF(OR(E21="DateTime",E21="TimeSpan")," : any ;",IF(E21="int"," : number = 0 ;","")))</f>
        <v xml:space="preserve"> : string = '' ; </v>
      </c>
      <c r="H21" s="38" t="str">
        <f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this.l('Is Lot Supply'),headerTooltip: this.l('Is Lot Supply'),field:  'isLotSupply', cellClass: ['text-center'], width: 120, cellRenderer: 'agCellButtonComponent',
buttonDefTwo: { text: params =&gt; (params.data?.'isLotSupply' == 'Y') ? 'Active' : 'Inactive',iconName: 'fa fa-circle',className: params =&gt; (params.data?.'isLotSupply' == 'Y') ? 'btnActive' : 'btnInActive',},}</v>
      </c>
      <c r="I21" s="38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[(ngModel)]='isLotSupply' name='isLotSupply'
									class='form-control' [placeholder]="l('Is Lot Supply')"
									type='text' (keyup.enter)='searchDatas()'&gt;
								&lt;/div&gt;</v>
      </c>
      <c r="J21" s="31"/>
      <c r="K21" s="38" t="str">
        <f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title'&gt;Is Lot Supply&lt;/label&gt;
						&lt;new-checkbox [(ngModel)]='_isLotSupply' name='isLotSupply' className='col-md-10' &gt; &lt;/new-checkbox&gt;
					&lt;/div&gt;</v>
      </c>
      <c r="L21" s="60" t="str">
        <f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D21&amp;G21</f>
        <v xml:space="preserve">isLotSupply : string = '' ; </v>
      </c>
      <c r="T21" s="31" t="str">
        <f>REPT(CHAR(9),3)&amp;"this."&amp;D21&amp;","</f>
        <v xml:space="preserve">			this.isLotSupply,</v>
      </c>
      <c r="U21" s="31" t="str">
        <f>IF(E21="int","this."&amp;D21&amp;" = 0,","this."&amp;D21&amp;" = '',")</f>
        <v>this.isLotSupply = '',</v>
      </c>
      <c r="V21" s="31" t="str">
        <f>IF(AND(E21="string",F21="1"),D21,"")</f>
        <v>isLotSupply</v>
      </c>
    </row>
    <row r="22" spans="1:22" ht="15" customHeight="1" x14ac:dyDescent="0.25">
      <c r="A22" s="44" t="s">
        <v>301</v>
      </c>
      <c r="B22" s="31" t="str">
        <f t="shared" ref="B22" si="15">SUBSTITUTE(PROPER(A22),"_","")</f>
        <v>IsActive</v>
      </c>
      <c r="C22" s="31" t="str">
        <f t="shared" ref="C22" si="16">SUBSTITUTE(PROPER(A22),"_"," ")</f>
        <v>Is Active</v>
      </c>
      <c r="D22" s="31" t="str">
        <f t="shared" ref="D22" si="17">LOWER(LEFT(B22,1))&amp;RIGHT(B22,LEN(B22) - 1)</f>
        <v>isActive</v>
      </c>
      <c r="E22" s="31" t="str">
        <f>A.Backend!H17</f>
        <v>string</v>
      </c>
      <c r="F22" s="31" t="str">
        <f>A.Backend!G17</f>
        <v>1</v>
      </c>
      <c r="G22" s="31" t="str">
        <f t="shared" ref="G22" si="18">IF(E22="string"," : string = '' ; ",IF(OR(E22="DateTime",E22="TimeSpan")," : any ;",IF(E22="int"," : number = 0 ;","")))</f>
        <v xml:space="preserve"> : string = '' ; </v>
      </c>
      <c r="H22" s="38" t="str">
        <f t="shared" ref="H22" si="19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2" s="38" t="str">
        <f t="shared" ref="I22" si="20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2" s="31"/>
      <c r="K22" s="38" t="str">
        <f t="shared" ref="K22" si="21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2" s="60" t="str">
        <f t="shared" ref="L22" si="22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>REPT(CHAR(9),1)&amp;D22&amp;G22</f>
        <v xml:space="preserve">	isActive : string = '' ; </v>
      </c>
      <c r="T22" s="31" t="str">
        <f>REPT(CHAR(9),3)&amp;"this."&amp;D22&amp;","</f>
        <v xml:space="preserve">			this.isActive,</v>
      </c>
      <c r="U22" s="31" t="str">
        <f>IF(E22="int",REPT(CHAR(9),2)&amp;"this."&amp;D22&amp;" = 0,",REPT(CHAR(9),2)&amp;"this."&amp;D22&amp;" = '',")</f>
        <v xml:space="preserve">		this.isActive = '',</v>
      </c>
      <c r="V22" s="31" t="str">
        <f t="shared" ref="V22" si="23">IF(AND(E22="string",F22="1"),D22,"")</f>
        <v>isActive</v>
      </c>
    </row>
    <row r="25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2022-08-16T04:27:11Z</dcterms:modified>
</cp:coreProperties>
</file>
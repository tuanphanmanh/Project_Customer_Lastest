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P10" i="1"/>
  <c r="L10" i="1"/>
  <c r="H10" i="1"/>
  <c r="W10" i="1" s="1"/>
  <c r="G10" i="1"/>
  <c r="E10" i="1"/>
  <c r="D10" i="1"/>
  <c r="T10" i="1" s="1"/>
  <c r="I10" i="1" l="1"/>
  <c r="N10" i="1"/>
  <c r="V10" i="1"/>
  <c r="M10" i="1"/>
  <c r="J10" i="1"/>
  <c r="O10" i="1"/>
  <c r="C22" i="5" l="1"/>
  <c r="B22" i="5"/>
  <c r="D22" i="5" s="1"/>
  <c r="C21" i="5"/>
  <c r="B21" i="5"/>
  <c r="D21" i="5" s="1"/>
  <c r="T21" i="5" s="1"/>
  <c r="T22" i="5" l="1"/>
  <c r="G15" i="1" l="1"/>
  <c r="E15" i="1"/>
  <c r="H15" i="1" s="1"/>
  <c r="D15" i="1"/>
  <c r="V15" i="1" s="1"/>
  <c r="G14" i="1"/>
  <c r="E14" i="1"/>
  <c r="H14" i="1" s="1"/>
  <c r="D14" i="1"/>
  <c r="V14" i="1" s="1"/>
  <c r="H21" i="5" l="1"/>
  <c r="I22" i="5"/>
  <c r="K22" i="5"/>
  <c r="L22" i="5"/>
  <c r="H22" i="5"/>
  <c r="V22" i="5"/>
  <c r="U22" i="5"/>
  <c r="G22" i="5"/>
  <c r="S22" i="5" s="1"/>
  <c r="L21" i="5"/>
  <c r="G21" i="5"/>
  <c r="S21" i="5" s="1"/>
  <c r="U21" i="5"/>
  <c r="K21" i="5"/>
  <c r="V21" i="5"/>
  <c r="I21" i="5"/>
  <c r="P14" i="1"/>
  <c r="P15" i="1"/>
  <c r="W14" i="1"/>
  <c r="O14" i="1"/>
  <c r="J14" i="1"/>
  <c r="N14" i="1"/>
  <c r="I14" i="1"/>
  <c r="M14" i="1"/>
  <c r="W15" i="1"/>
  <c r="O15" i="1"/>
  <c r="J15" i="1"/>
  <c r="N15" i="1"/>
  <c r="I15" i="1"/>
  <c r="M15" i="1"/>
  <c r="T14" i="1"/>
  <c r="T15" i="1"/>
  <c r="C20" i="5" l="1"/>
  <c r="G16" i="1"/>
  <c r="E16" i="1"/>
  <c r="H16" i="1" s="1"/>
  <c r="D16" i="1"/>
  <c r="V16" i="1" s="1"/>
  <c r="V20" i="5" l="1"/>
  <c r="B20" i="5"/>
  <c r="D20" i="5" s="1"/>
  <c r="I20" i="5" s="1"/>
  <c r="G20" i="5"/>
  <c r="L20" i="5"/>
  <c r="T16" i="1"/>
  <c r="P16" i="1"/>
  <c r="N16" i="1"/>
  <c r="I16" i="1"/>
  <c r="M16" i="1"/>
  <c r="W16" i="1"/>
  <c r="O16" i="1"/>
  <c r="J16" i="1"/>
  <c r="K20" i="5" l="1"/>
  <c r="U20" i="5"/>
  <c r="T20" i="5"/>
  <c r="S20" i="5"/>
  <c r="H20" i="5"/>
  <c r="W3" i="1"/>
  <c r="V3" i="1"/>
  <c r="B2" i="5" l="1"/>
  <c r="B3" i="5" s="1"/>
  <c r="C19" i="5"/>
  <c r="B18" i="5"/>
  <c r="D18" i="5" s="1"/>
  <c r="G13" i="1"/>
  <c r="E13" i="1"/>
  <c r="H13" i="1" s="1"/>
  <c r="D13" i="1"/>
  <c r="N13" i="1" l="1"/>
  <c r="O13" i="1"/>
  <c r="M13" i="1"/>
  <c r="T13" i="1"/>
  <c r="V13" i="1"/>
  <c r="W13" i="1"/>
  <c r="T18" i="5"/>
  <c r="P13" i="1"/>
  <c r="C18" i="5"/>
  <c r="B19" i="5"/>
  <c r="D19" i="5" s="1"/>
  <c r="I13" i="1"/>
  <c r="J13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1" i="1"/>
  <c r="D12" i="1"/>
  <c r="V11" i="1" l="1"/>
  <c r="T11" i="1"/>
  <c r="V12" i="1"/>
  <c r="T12" i="1"/>
  <c r="C15" i="5"/>
  <c r="B15" i="5"/>
  <c r="D15" i="5" s="1"/>
  <c r="V18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1" i="1"/>
  <c r="G12" i="1"/>
  <c r="E9" i="1"/>
  <c r="H9" i="1" s="1"/>
  <c r="E11" i="1"/>
  <c r="H11" i="1" s="1"/>
  <c r="E12" i="1"/>
  <c r="H12" i="1" s="1"/>
  <c r="P9" i="1"/>
  <c r="P11" i="1"/>
  <c r="P12" i="1"/>
  <c r="T18" i="1"/>
  <c r="O12" i="1" l="1"/>
  <c r="M12" i="1"/>
  <c r="N12" i="1"/>
  <c r="O11" i="1"/>
  <c r="M11" i="1"/>
  <c r="N11" i="1"/>
  <c r="O9" i="1"/>
  <c r="M9" i="1"/>
  <c r="N9" i="1"/>
  <c r="W12" i="1"/>
  <c r="E15" i="5"/>
  <c r="W9" i="1"/>
  <c r="W11" i="1"/>
  <c r="T7" i="1"/>
  <c r="I12" i="1"/>
  <c r="I11" i="1"/>
  <c r="I9" i="1"/>
  <c r="W18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S13" i="5"/>
  <c r="K13" i="5"/>
  <c r="U13" i="5"/>
  <c r="I13" i="5"/>
  <c r="H13" i="5"/>
  <c r="L13" i="5"/>
  <c r="V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4" i="1" l="1"/>
  <c r="L16" i="1"/>
  <c r="L15" i="1"/>
  <c r="L12" i="1"/>
  <c r="L13" i="1"/>
  <c r="L9" i="1"/>
  <c r="L11" i="1"/>
  <c r="J12" i="1"/>
  <c r="J9" i="1"/>
  <c r="J11" i="1"/>
  <c r="C7" i="1"/>
  <c r="O18" i="1"/>
  <c r="I18" i="1"/>
  <c r="N18" i="1"/>
  <c r="P18" i="1"/>
  <c r="J18" i="1"/>
  <c r="Q7" i="1" l="1"/>
  <c r="M47" i="3" s="1"/>
  <c r="L7" i="1"/>
  <c r="G47" i="3" s="1"/>
  <c r="K47" i="3"/>
  <c r="J47" i="3"/>
  <c r="K18" i="1"/>
  <c r="M18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<sst xmlns="http://schemas.openxmlformats.org/spreadsheetml/2006/main" count="398" uniqueCount="316">
  <si>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</si>
  <si>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</si>
  <si>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</si>
  <si>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</si>
  <si>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</si>
  <si>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</si>
  <si>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</si>
  <si>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</si>
  <si>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</si>
  <si>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</si>
  <si>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</si>
  <si>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</si>
  <si>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</si>
  <si>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</si>
  <si>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</si>
  <si>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</si>
  <si>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</si>
  <si>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</si>
  <si>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</si>
  <si>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</si>
  <si>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</si>
  <si>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</si>
  <si>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</si>
  <si>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</si>
  <si>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</si>
  <si>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</si>
  <si>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</si>
  <si>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</si>
  <si>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</si>
  <si>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</si>
  <si>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</si>
  <si>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</si>
  <si>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</si>
  <si>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</si>
  <si>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</si>
  <si>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</si>
  <si>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</si>
  <si>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</si>
  <si>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</si>
  <si>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</si>
  <si>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</si>
  <si>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</si>
  <si>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</si>
  <si>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</si>
  <si>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</si>
  <si>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</si>
  <si>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</si>
  <si>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</si>
  <si>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</si>
  <si>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</si>
  <si>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</si>
  <si>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</si>
  <si>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</si>
  <si>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</si>
  <si>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</si>
  <si>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</si>
  <si>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</si>
  <si>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</si>
  <si>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</si>
  <si>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</si>
  <si>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</si>
  <si>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</si>
  <si>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</si>
  <si>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</si>
  <si>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</si>
  <si>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</si>
  <si>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</si>
  <si>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</si>
  <si>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</si>
  <si>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</si>
  <si>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</si>
  <si>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</si>
  <si>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</si>
  <si>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</si>
  <si>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</si>
  <si>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</si>
  <si>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</si>
  <si>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</si>
  <si>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</si>
  <si>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</si>
  <si>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</si>
  <si>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</si>
  <si>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</si>
  <si>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</si>
  <si>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</si>
  <si>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</si>
  <si>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</si>
  <si>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</si>
  <si>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</si>
  <si>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</si>
  <si>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</si>
  <si>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</si>
  <si>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</si>
  <si>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</si>
  <si>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</si>
  <si>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</si>
  <si>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</si>
  <si>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</si>
  <si>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</si>
  <si>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</si>
  <si>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</si>
  <si>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</si>
  <si>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</si>
  <si>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</si>
  <si>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</si>
  <si>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</si>
  <si>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</si>
  <si>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</si>
  <si>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</si>
  <si>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</si>
  <si>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</si>
  <si>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</si>
  <si>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</si>
  <si>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</si>
  <si>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</si>
  <si>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</si>
  <si>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</si>
  <si>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</si>
  <si>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</si>
  <si>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</si>
  <si>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</si>
  <si>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</si>
  <si>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</si>
  <si>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</si>
  <si>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</si>
  <si>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</si>
  <si>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</si>
  <si>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</si>
  <si>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</si>
  <si>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</si>
  <si>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</si>
  <si>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</si>
  <si>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</si>
  <si>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</si>
  <si>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</si>
  <si>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</si>
  <si>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</si>
  <si>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</si>
  <si>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</si>
  <si>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</si>
  <si>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</si>
  <si>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</si>
  <si>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</si>
  <si>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</si>
  <si>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</si>
  <si>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</si>
  <si>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</si>
  <si>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</si>
  <si>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</si>
  <si>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</si>
  <si>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</si>
  <si>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</si>
  <si>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</si>
  <si>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</si>
  <si>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</si>
  <si>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</si>
  <si>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</si>
  <si>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</si>
  <si>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</si>
  <si>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</si>
  <si>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</si>
  <si>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</si>
  <si>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</si>
  <si>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</si>
  <si>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</si>
  <si>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</si>
  <si>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</si>
  <si>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</si>
  <si>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</si>
  <si>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</si>
  <si>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</si>
  <si>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</si>
  <si>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</si>
  <si>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</si>
  <si>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</si>
  <si>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</si>
  <si>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</si>
  <si>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</si>
  <si>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</si>
  <si>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</si>
  <si>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</si>
  <si>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</si>
  <si>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</si>
  <si>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</si>
  <si>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</si>
  <si>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</si>
  <si>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</si>
  <si>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</si>
  <si>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</si>
  <si>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</si>
  <si>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</si>
  <si>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</si>
  <si>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</si>
  <si>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</si>
  <si>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</si>
  <si>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</si>
  <si>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</si>
  <si>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</si>
  <si>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</si>
  <si>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</si>
  <si>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</si>
  <si>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</si>
  <si>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</si>
  <si>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</si>
  <si>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</si>
  <si>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</si>
  <si>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</si>
  <si>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</si>
  <si>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</si>
  <si>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</si>
  <si>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</si>
  <si>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</si>
  <si>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</si>
  <si>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</si>
  <si>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</si>
  <si>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</si>
  <si>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</si>
  <si>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</si>
  <si>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</si>
  <si>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</si>
  <si>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</si>
  <si>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</si>
  <si>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</si>
  <si>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</si>
  <si>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</si>
  <si>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</si>
  <si>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</si>
  <si>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</si>
  <si>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</si>
  <si>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</si>
  <si>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</si>
  <si>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</si>
  <si>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</si>
  <si>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</si>
  <si>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</si>
  <si>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</si>
  <si>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</si>
  <si>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</si>
  <si>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</si>
  <si>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</si>
  <si>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</si>
  <si>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</si>
  <si>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</si>
  <si>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</si>
  <si>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</si>
  <si>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</si>
  <si>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</si>
  <si>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</si>
  <si>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</si>
  <si>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</si>
  <si>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</si>
  <si>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</si>
  <si>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</si>
  <si>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</si>
  <si>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</si>
  <si>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</si>
  <si>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</si>
  <si>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</si>
  <si>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</si>
  <si>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</si>
  <si>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</si>
  <si>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</si>
  <si>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</si>
  <si>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</si>
  <si>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</si>
  <si>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</si>
  <si>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</si>
  <si>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</si>
  <si>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</si>
  <si>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</si>
  <si>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</si>
  <si>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</si>
  <si>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</si>
  <si>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</si>
  <si>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</si>
  <si>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</si>
  <si>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</si>
  <si>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</si>
  <si>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</si>
  <si>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</si>
  <si>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</si>
  <si>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</si>
  <si>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</si>
  <si>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</si>
  <si>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</si>
  <si>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</si>
  <si>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</si>
  <si>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</si>
  <si>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</si>
  <si>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</si>
  <si>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</si>
  <si>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</si>
  <si>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</si>
  <si>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</si>
  <si>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</si>
  <si>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</si>
  <si>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</si>
  <si>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</si>
  <si>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</si>
  <si>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</si>
  <si>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</si>
  <si>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</si>
  <si>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varchar(1)</t>
  </si>
  <si>
    <t>varchar(50)</t>
  </si>
  <si>
    <t>Master.LogW</t>
  </si>
  <si>
    <t>MstLgwPickingTablet</t>
  </si>
  <si>
    <t>PickingTablet</t>
  </si>
  <si>
    <t>Master LogW Picking Tablet</t>
  </si>
  <si>
    <t>SCAN_TYPE</t>
  </si>
  <si>
    <t>SCAN_NAME</t>
  </si>
  <si>
    <t>CURRENT_ACTION</t>
  </si>
  <si>
    <t>LOT_NO</t>
  </si>
  <si>
    <t>UP_TABLE</t>
  </si>
  <si>
    <t>varchar(20)</t>
  </si>
  <si>
    <t>PICKING_TABLET_ID</t>
  </si>
  <si>
    <t>DEVICE_IP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</si>
</sst>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47" sqref="C47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[Table("MstLgwPickingTablet")]
	[Index(nameof(PickingTabletId), Name="IX_MstLgwPickingTablet_PickingTabletId")]
	[Index(nameof(IsActive), Name="IX_MstLgwPickingTablet_IsActive")]	public class MstLgwPickingTablet: FullAuditedEntity&lt;long&gt;, IEntity&lt;long&gt;	
	{
		public const int MaxPickingTabletIdLength = 50;
		public const int MaxDeviceIpLength = 50;
		public const int MaxScanTypeLength = 50;
		public const int MaxScanNameLength = 50;
		public const int MaxCurrentActionLength = 50;
		public const int MaxLotNoLength = 50;
		public const int MaxUpTableLength = 20;
		public const int MaxIsActiveLength = 1;
		[StringLength(MaxPickingTabletIdLength)]
		public virtual string PickingTabletId { get; set; }
		[StringLength(MaxDeviceIpLength)]
		public virtual string DeviceIp { get; set; }
		[StringLength(MaxScanTypeLength)]
		public virtual string ScanType { get; set; }
		[StringLength(MaxScanNameLength)]
		public virtual string ScanName { get; set; }
		[StringLength(MaxCurrentActionLength)]
		public virtual string CurrentAction { get; set; }
		[StringLength(MaxLotNoLength)]
		public virtual string LotNo { get; set; }
		[StringLength(MaxUpTableLength)]
		public virtual string UpTable { get; set; }
		[StringLength(MaxIsActiveLength)]
		public virtual string IsActive { get; set; }
	}
}
</v>
      </c>
      <c r="D47" s="51" t="str">
        <f>A.Backend!O7</f>
        <v xml:space="preserve">		public const string Pages_Master_LogW_PickingTablet = "Pages.Master.LogW.PickingTablet";
		public const string Pages_Master_LogW_PickingTablet_CreateEdit = "Pages.Master.LogW.PickingTablet.CreateEdit";
		public const string Pages_Master_LogW_PickingTablet_Delete = "Pages.Master.LogW.PickingTablet.Delete";
</v>
      </c>
      <c r="E47" s="51" t="str">
        <f>A.Backend!N7</f>
        <v xml:space="preserve">		var perMstLgwPickingTablet = PARENTS.CreateChildPermission(AppPermissions.Pages_Master_LogW_PickingTablet, L( "MasterLogWPickingTablet"));
		perMstLgwPickingTablet.CreateChildPermission(AppPermissions.Pages_Master_LogW_PickingTablet_CreateEdit, L( "MasterLogWPickingTabletCreateEdit"));
		perMstLgwPickingTablet.CreateChildPermission(AppPermissions.Pages_Master_LogW_PickingTablet_Delete, L( "MasterLogWPickingTabletDelete"));</v>
      </c>
      <c r="F47" s="51" t="str">
        <f>A.Backend!K7</f>
        <v>public virtual DbSet&lt;MstLgwPickingTablet&gt; MstLgwPickingTablets { get; set; }</v>
      </c>
      <c r="G47" s="51" t="str">
        <f ca="1">A.Backend!L7</f>
        <v xml:space="preserve">namespace vovina.Master.LogW
{
	public class MstLgwPickingTabletConsts	
	{
		public const int MaxPickingTabletIdLength = 50;
		public const int MaxDeviceIpLength = 50;
		public const int MaxScanTypeLength = 50;
		public const int MaxScanNameLength = 50;
		public const int MaxCurrentActionLength = 50;
		public const int MaxLotNoLength = 50;
		public const int MaxUpTableLength = 20;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MstLgwPickingTabletDto : EntityDto&lt;long?&gt;	
	{
		public virtual string PickingTabletId { get; set; }
		public virtual string DeviceIp { get; set; }
		public virtual string ScanType { get; set; }
		public virtual string ScanName { get; set; }
		public virtual string CurrentAction { get; set; }
		public virtual string LotNo { get; set; }
		public virtual string UpTable { get; set; }
		public virtual string IsActive { get; set; }
	}
	public class CreateOrEditMstLgwPickingTabletDto : EntityDto&lt;long?&gt;	
	{
		[StringLength(MstLgwPickingTabletConsts.MaxPickingTabletIdLength)]
		public virtual string PickingTabletId { get; set; }
		[StringLength(MstLgwPickingTabletConsts.MaxDeviceIpLength)]
		public virtual string DeviceIp { get; set; }
		[StringLength(MstLgwPickingTabletConsts.MaxScanTypeLength)]
		public virtual string ScanType { get; set; }
		[StringLength(MstLgwPickingTabletConsts.MaxScanNameLength)]
		public virtual string ScanName { get; set; }
		[StringLength(MstLgwPickingTabletConsts.MaxCurrentActionLength)]
		public virtual string CurrentAction { get; set; }
		[StringLength(MstLgwPickingTabletConsts.MaxLotNoLength)]
		public virtual string LotNo { get; set; }
		[StringLength(MstLgwPickingTabletConsts.MaxUpTableLength)]
		public virtual string UpTable { get; set; }
		[StringLength(MstLgwPickingTabletConsts.MaxIsActiveLength)]
		public virtual string IsActive { get; set; }
	}
	public class GetMstLgwPickingTabletInput : PagedAndSortedResultRequestDto	
	{
		public virtual string PickingTabletId { get; set; }
		public virtual string DeviceIp { get; set; }
		public virtual string ScanType { get; set; }
		public virtual string ScanName { get; set; }
		public virtual string CurrentAction { get; set; }
		public virtual string LotNo { get; set; }
		public virtual string UpTable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MstLgwPickingTabletExportInput{
		public virtual string PickingTabletId { get; set; }
		public virtual string DeviceIp { get; set; }
		public virtual string ScanType { get; set; }
		public virtual string ScanName { get; set; }
		public virtual string CurrentAction { get; set; }
		public virtual string LotNo { get; set; }
		public virtual string UpTable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IMstLgwPickingTabletAppService : IApplicationService
	{
		Task&lt;PagedResultDto&lt;MstLgwPickingTabletDto&gt;&gt; GetAll(GetMstLgwPickingTabletInput input);
		Task CreateOrEdit(CreateOrEditMstLgwPickingTabletDto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IMstLgwPickingTabletExcelExporter : IApplicationService
	{
		FileDto ExportToFile(List&lt;MstLgwPickingTabletDto&gt; mstlgwpickingtablet);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MstLgwPickingTabletExcelExporter : NpoiExcelExporterBase, IMstLgwPickingTabletExcelExporter
    {
        public MstLgwPickingTabletExcelExporter(ITempFileCacheManager tempFileCacheManager) : base(tempFileCacheManager) { }
        public FileDto ExportToFile(List&lt;MstLgwPickingTabletDto&gt; pickingtablet)
        {
            return CreateExcelPackage(
				"MasterLogWPickingTablet.xlsx",
				excelPackage =&gt;
				 {
					var sheet = excelPackage.CreateSheet("PickingTablet");
					AddHeader(
								sheet,
								("PickingTabletId"),
								("DeviceIp"),
								("ScanType"),
								("ScanName"),
								("CurrentAction"),
								("LotNo"),
								("UpTable"),
								("IsActive"),
							   );
					AddObjects(
						 sheet, 1, pickingtablet,                                       
								_ =&gt; _.PickingTabletId,
								_ =&gt; _.DeviceIp,
								_ =&gt; _.ScanType,
								_ =&gt; _.ScanName,
								_ =&gt; _.CurrentAction,
								_ =&gt; _.LotNo,
								_ =&gt; _.UpTable,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[AbpAuthorize(AppPermissions.Pages_Master_LogW_PickingTablet)]
    public class MstLgwPickingTabletAppService : vovinaAppServiceBase, IMstLgwPickingTabletAppService
    {
        private readonly IDapperRepository&lt;MstLgwPickingTablet, long&gt; _dapperRepo;
        private readonly IRepository&lt;MstLgwPickingTablet, long&gt; _repo;
        private readonly IMstLgwPickingTabletExcelExporter _calendarListExcelExporter;
        public MstLgwPickingTabletAppService(IRepository&lt;MstLgwPickingTablet,long&gt; repo, 
                                         IDapperRepository&lt;MstLgwPickingTablet,long&gt; dapperRepo,
                                        IMstLgwPickingTabletExcelExporter calendarListExcelExporter
            )
        {
            _repo = repo;
            _dapperRepo = dapperRepo;
            _calendarListExcelExporter = calendarListExcelExporter;
        }
        [AbpAuthorize(AppPermissions.Pages_Master_LogW_PickingTablet_CreateEdit)]
        public async Task CreateOrEdit(CreateOrEditMstLgwPickingTabletDto input)
        {
            if (input.Id == null) await Create(input);
            else await Update(input);
        }
        //CREATE
        private async Task Create(CreateOrEditMstLgwPickingTabletDto input)
        {          
            var mainObj = ObjectMapper.Map&lt;MstLgwPickingTablet&gt;(input);
            await CurrentUnitOfWork.GetDbContext&lt;vovinaDbContext&gt;().AddAsync(mainObj);
        }
        // EDIT
        private async Task Update(CreateOrEditMstLgwPickingTabletDto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[AbpAuthorize(AppPermissions.Pages_Master_LogW_PickingTablet_Delete)]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Task&lt;PagedResultDto&lt;MstLgwPickingTabletDto&gt;&gt; GetAll(GetMstLgwPickingTabletInput input)
        {
            var filtered = _repo.GetAll()
				.WhereIf(!string.IsNullOrWhiteSpace(input.PickingTabletId), e =&gt; e.PickingTabletId.Contains(input.PickingTabletId))
				.WhereIf(!string.IsNullOrWhiteSpace(input.DeviceIp), e =&gt; e.DeviceIp.Contains(input.DeviceIp))
				.WhereIf(!string.IsNullOrWhiteSpace(input.ScanType), e =&gt; e.ScanType.Contains(input.ScanType))
				.WhereIf(!string.IsNullOrWhiteSpace(input.ScanName), e =&gt; e.ScanName.Contains(input.ScanName))
				.WhereIf(!string.IsNullOrWhiteSpace(input.CurrentAction), e =&gt; e.CurrentAction.Contains(input.CurrentAction))
				.WhereIf(!string.IsNullOrWhiteSpace(input.LotNo), e =&gt; e.LotNo.Contains(input.LotNo))
				.WhereIf(!string.IsNullOrWhiteSpace(input.UpTable), e =&gt; e.UpTable.Contains(input.UpTable))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MstLgwPickingTabletDto
                        {
							Id = o.Id,
							PickingTabletId = o.PickingTabletId,
							DeviceIp = o.DeviceIp,
							ScanType = o.ScanType,
							ScanName = o.ScanName,
							CurrentAction = o.CurrentAction,
							LotNo = o.LotNo,
							UpTable = o.UpTable,
							IsActive = o.IsActive,
                        };
            var totalCount = await filtered.CountAsync();
			var paged = system.PageBy(input);
            return new PagedResultDto&lt;MstLgwPickingTabletDto&gt;(
                totalCount,
                 await paged.ToListAsync()
            );
        }
        public async Task&lt;FileDto&gt; GetPickingTabletToExcel(MstLgwPickingTabletExportInput input)
        {
            var query = from o in _repo.GetAll()
                        select new MstLgwPickingTabletDto
                        {
							Id = o.Id,
							PickingTabletId = o.PickingTabletId,
							DeviceIp = o.DeviceIp,
							ScanType = o.ScanType,
							ScanName = o.ScanName,
							CurrentAction = o.CurrentAction,
							LotNo = o.LotNo,
							UpTable = o.UpTable,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_dapperRepo.ExecuteAsync(MstLgwPickingTabletConsts.SP_MST_WPT_CALENDAR_GENERATE);
       // }
    }
}</v>
      </c>
      <c r="N47" s="62" t="str">
        <f>A.Backend!U7</f>
        <v xml:space="preserve">  configuration.CreateMap&lt;MstLgwPickingTabletDto, MstLgwPickingTablet&gt;();
  configuration.CreateMap&lt;MstLgwPickingTablet, MstLgwPickingTabletDto&gt;();
  configuration.CreateMap&lt;CreateOrEditMstLgwPickingTabletDto, MstLgwPickingTablet&gt;();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pickingtablet</v>
      </c>
      <c r="C52" s="72" t="str">
        <f>"create folder " &amp;B52</f>
        <v>create folder pickingtablet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pickingtablet.component.ts</v>
      </c>
      <c r="D53" s="31" t="str">
        <f>B.Frontend!I14</f>
        <v>pickingtablet.component.html</v>
      </c>
      <c r="E53" s="31" t="str">
        <f>B.Frontend!J14</f>
        <v>pickingtablet.component.less</v>
      </c>
      <c r="F53" s="31" t="str">
        <f>B.Frontend!K14</f>
        <v>create-or-edit-pickingtablet-modal.component.html</v>
      </c>
      <c r="G53" s="31" t="str">
        <f>B.Frontend!L14</f>
        <v>create-or-edit-pickingtablet-modal.component.ts</v>
      </c>
      <c r="H53" s="31" t="str">
        <f>B.Frontend!M14</f>
        <v>create-or-edit-pickingtablet-modal.component.less</v>
      </c>
      <c r="I53" s="31" t="str">
        <f>B.Frontend!N14</f>
        <v>pickingtablet.module.ts</v>
      </c>
      <c r="J53" s="31" t="str">
        <f>B.Frontend!O14</f>
        <v>pickingtablet-routing.module.ts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MstLgwPickingTabletDto, MstLgwPickingTabletServiceProxy } from '@shared/service-proxies/service-proxies';
import { finalize } from 'rxjs/internal/operators/finalize';
import { CreateOrEditPickingTabletModalComponent } from './create-or-edit-pickingtablet-modal.component';
import { DatePipe } from '@angular/common';
import { FileDownloadService } from '@shared/utils/file-download.service';
import ceil from 'lodash-es/ceil';
import { Paginator } from 'primeng/paginator';
@Component({
    templateUrl: './pickingtablet.component.html',
    styleUrls: ['./pickingtablet.component.less'],
})
export class PickingTabletComponent extends AppComponentBase implements OnInit {
    @ViewChild('createOrEditModalPickingTablet', { static: true }) createOrEditModalPickingTablet:| CreateOrEditPickingTabletModalComponent|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MstLgwPickingTabletDto = new MstLgwPickingTabletDto();
    saveSelectedRow: MstLgwPickingTabletDto = new MstLgwPickingTabletDto();
    datas: MstLgwPickingTabletDto = new MstLgwPickingTabletDto();
    isLoading: boolean = false;
    dataParams: GridParams | undefined;
    rowData: any[] = [];
    gridApi!: GridApi;
    rowSelection = 'multiple';
    filter: string = '';
	pipe = new DatePipe('en-US');
	frameworkComponents: FrameworkComponent;
    pickingTabletId : string = '' ; 
	deviceIp : string = '' ; 
	scanType : string = '' ; 
	scanName : string = '' ; 
	currentAction : string = '' ; 
lotNo : string = '' ; 
	upTable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MstLgwPickingTabletServiceProxy,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this.l('Picking Tablet Id'),headerTooltip: this.l('Picking Tablet Id'),field: 'pickingTabletId',flex: 1},
			{headerName: this.l('Device Ip'),headerTooltip: this.l('Device Ip'),field: 'deviceIp',flex: 1},
			{headerName: this.l('Scan Type'),headerTooltip: this.l('Scan Type'),field: 'scanType',flex: 1},
			{headerName: this.l('Scan Name'),headerTooltip: this.l('Scan Name'),field: 'scanName',flex: 1},
			{headerName: this.l('Current Action'),headerTooltip: this.l('Current Action'),field: 'currentAction',flex: 1},
			{headerName: this.l('Lot No'),headerTooltip: this.l('Lot No'),field: 'lotNo',flex: 1},
			{headerName: this.l('Up Table'),headerTooltip: this.l('Up Table'),field: 'upTable',flex: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this.pickingTabletId,
			this.deviceIp,
			this.scanType,
			this.scanName,
			this.currentAction,
			this.lotNo,
			this.upTable,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this.pickingTabletId = '',
		this.deviceIp = '',
		this.scanType = '',
		this.scanName = '',
		this.currentAction = '',
this.lotNo = '',
		this.upTable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this.pickingTabletId,
			this.deviceIp,
			this.scanType,
			this.scanName,
			this.currentAction,
			this.lotNo,
			this.upTable,
			this.isActive,
			'',
            this.paginationParams.skipCount,
            this.paginationParams.pageSize
        );
    }
    onChangeRowSelection(params: { api: { getSelectedRows: () =&gt; MstLgwPickingTabletDto[] } }) {
        this.saveSelectedRow = params.api.getSelectedRows()[0] ?? new MstLgwPickingTabletDto();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MstLgwPickingTabletDto):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this._service.getPickingTabletToExcel(
			this.pickingTabletId,
			this.deviceIp,
			this.scanType,
			this.scanName,
			this.currentAction,
			this.lotNo,
			this.upTable,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Picking Tablet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[(ngModel)]='deviceIp' name='deviceIp'
									class='form-control' [placeholder]="l('Device Ip')"
									type='text' (keyup.enter)='searchDatas()'&gt;
								&lt;/div&gt;
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[(ngModel)]='scanName' name='scanName'
									class='form-control' [placeholder]="l('Scan Name')"
									type='text' (keyup.enter)='searchDatas()'&gt;
								&lt;/div&gt;
								&lt;div class='input-search'&gt;
									&lt;input [(ngModel)]='currentAction' name='currentAction'
									class='form-control' [placeholder]="l('Current Action')"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[(ngModel)]='upTable' name='upTable'
									class='form-control' [placeholder]="l('Up Table')"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(click)="createOrEditModalPickingTablet.show()"&gt;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(click)="createOrEditModalPickingTablet.show(selectedRow)"&gt;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&lt;create-or-edit-pickingtablet-modal
    #createOrEditModalPickingTablet
    (modalSave)="callBackDataGrid(dataParams)"
    (modalClose)="onChangeRowSelection(dataParams)"
&gt;
&lt;/create-or-edit-pickingtablet-modal&gt;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#createOrEditModalPickingTablet="bs-modal"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PickingTablet')}}&lt;/h3&gt;
                    &lt;h3 *ngIf="!rowdata.id"&gt;{{('Create New PickingTablet')}}&lt;/h3&gt;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title'&gt;Device Ip&lt;/label&gt;
						&lt;input type='text' class='col-md-10 form-control input-text' name='DeviceIp' [(ngModel)]='rowdata.deviceIp'&gt;
					&lt;/div&gt;
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Name&lt;/label&gt;
						&lt;input type='text' class='col-md-10 form-control input-text' name='ScanName' [(ngModel)]='rowdata.scanName'&gt;
					&lt;/div&gt;
					&lt;div class='col-md-12 form-group row'&gt;
						&lt;label class='col-md-2 form-control title'&gt;Current Action&lt;/label&gt;
						&lt;input type='text' class='col-md-10 form-control input-text' name='CurrentAction' [(ngModel)]='rowdata.currentAction'&gt;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title'&gt;Up Table&lt;/label&gt;
						&lt;input type='text' class='col-md-10 form-control input-text' name='UpTable' [(ngModel)]='rowdata.upTable'&gt;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CreateOrEditMstLgwPickingTabletDto, MstLgwPickingTabletServiceProxy } from '@shared/service-proxies/service-proxies';
import { BsDatepickerDirective } from 'ngx-bootstrap/datepicker';
@Component({
    selector: 'create-or-edit-pickingtablet-modal',
    templateUrl: './create-or-edit-pickingtablet-modal.component.html',
    styleUrls: ['./create-or-edit-pickingtablet-modal.component.less']
    })
export class CreateOrEditPickingTabletModalComponent extends AppComponentBase {
    @ViewChild('createOrEditModalPickingTablet',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CreateOrEditMstLgwPickingTabletDto = new CreateOrEditMstLgwPickingTabletDto();
    active: boolean = false;
    saving: boolean = false;
    _isActive: boolean;
    constructor(
        injector: Injector,
        private _mstwptPickingTabletService: MstLgwPickingTabletServiceProxy,
    ) 
    {
        super(injector);
    }
    show(rowdata?: CreateOrEditMstLgwPickingTabletDto): void {
        if (!rowdata) this.rowdata = new CreateOrEditMstLgwPickingTabletDto();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this._mstwptPickingTabletService.createOrEdit(this.rowdata)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PickingTabletRoutingModule } from './pickingtablet-routing.module';
import { PickingTabletComponent } from './pickingtablet.component';
import { CreateOrEditPickingTabletModalComponent } from './create-or-edit-pickingtablet-modal.component';
@NgModule({
    declarations: [
       PickingTabletComponent, 
        CreateOrEditPickingTabletModalComponent
    ],
    imports: [
        AppSharedModule, PickingTabletRoutingModule]
})
export class PickingTabletModule {}</v>
      </c>
      <c r="J54" s="49" t="str">
        <f>B.Frontend!O10</f>
        <v>import {NgModule} from '@angular/core';
import {RouterModule, Routes} from '@angular/router';
import { PickingTabletComponent } from './pickingtablet.component';
const routes: Routes = [{
    path: '',
    component: PickingTabletComponent,
    pathMatch: 'full'
}];
@NgModule({
    imports: [RouterModule.forChild(routes)],
    exports: [RouterModule],
})
export class PickingTabletRoutingModule {}</v>
      </c>
      <c r="K54" s="49" t="str">
        <f>B.Frontend!P10</f>
        <v xml:space="preserve"> new AppMenuItem("PickingTablet", "Pages.Master.LogW.PickingTablet", "flaticon-book",   "/app/main/master/logw/pickingtablet"),</v>
      </c>
      <c r="L54" s="50" t="str">
        <f>B.Frontend!Q10</f>
        <v>{
    path: 'master/logw/pickingtablet',
    loadChildren: () =&gt; import('./master/logw/pickingtablet/pickingtablet.module').then(m =&gt; m.PickingTabletModule),
    data: { permission: 'Pages.Master.LogW.PickingTablet' }
},</v>
      </c>
      <c r="M54" s="48" t="str">
        <f>B.Frontend!R10</f>
        <v>ApiServiceProxies.MstLgwPickingTabletServiceProxy,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8"/>
  <sheetViews>
    <sheetView tabSelected="1" workbookViewId="0">
      <pane xSplit="1" topLeftCell="B1" activePane="topRight" state="frozen"/>
      <selection pane="topRight" activeCell="K7" sqref="K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305</v>
      </c>
      <c r="C3" s="10" t="s">
        <v>43</v>
      </c>
      <c r="D3" s="10" t="s">
        <v>44</v>
      </c>
      <c r="E3" s="10" t="s">
        <v>39</v>
      </c>
      <c r="F3" s="11" t="str">
        <f>"J"&amp;COUNTA($A:$A)</f>
        <v>J16</v>
      </c>
      <c r="G3" s="4" t="s">
        <v>57</v>
      </c>
      <c r="H3" s="10" t="str">
        <f>"I"&amp;COUNTA($A:$A)</f>
        <v>I16</v>
      </c>
      <c r="I3" s="10" t="str">
        <f>REPT(CHAR(9),2)&amp;"[Required]"&amp;"
"</f>
        <v xml:space="preserve">		[Required]
</v>
      </c>
      <c r="J3" s="11" t="str">
        <f>"L"&amp;COUNTA($A:$A)</f>
        <v>L16</v>
      </c>
      <c r="K3" s="5" t="s">
        <v>56</v>
      </c>
      <c r="L3" s="11" t="str">
        <f>"M"&amp;COUNTA($A:$A)</f>
        <v>M16</v>
      </c>
      <c r="M3" s="11" t="str">
        <f>"N"&amp;COUNTA($A:$A)</f>
        <v>N16</v>
      </c>
      <c r="N3" s="11" t="str">
        <f>"O"&amp;COUNTA($A:$A)</f>
        <v>O16</v>
      </c>
      <c r="O3" s="11" t="str">
        <f>"P"&amp;COUNTA($A:$A)</f>
        <v>P16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MstLgwPickingTabletExportInput{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T16</v>
      </c>
      <c r="V3" s="11" t="str">
        <f>"V"&amp;COUNTA($A:$A)</f>
        <v>V16</v>
      </c>
      <c r="W3" s="10" t="str">
        <f>"W"&amp;COUNTA($A:$A)</f>
        <v>W16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306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MstLgwPickingTablet: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MstLgwPickingTabletConsts	
	{
</v>
      </c>
      <c r="F6" s="11" t="str">
        <f>REPT(CHAR(9),1)&amp;"public class "&amp;B3&amp;"Dto"&amp;K3&amp;REPT(CHAR(9),1)&amp;"
"&amp;REPT(CHAR(9),1)&amp;C3</f>
        <v xml:space="preserve">	public class MstLgwPickingTabletDto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CreateOrEditMstLgwPickingTabletDto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GetMstLgwPickingTabletInput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MstLgwPickingTablet</v>
      </c>
      <c r="C7" s="11" t="str">
        <f>REPT(CHAR(9),1)&amp;"[Table("""&amp;B7&amp;""")]"&amp;"
"</f>
        <v xml:space="preserve">	[Table("MstLgwPickingTablet")]
</v>
      </c>
      <c r="D7" s="11"/>
      <c r="E7" s="11"/>
      <c r="F7" s="11"/>
      <c r="G7" s="11"/>
      <c r="H7" s="11"/>
      <c r="I7" s="11"/>
      <c r="J7" s="6" t="str">
        <f ca="1">SUBSTITUTE(SUBSTITUTE((B1&amp;C6&amp;C7&amp;K18&amp;D6&amp;I18&amp;E3&amp;J18&amp;""&amp;REPT(CHAR(9),1)&amp;D3&amp;D3),"WorkingPattern",$Q$3),"Master",$B$4)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[Table("MstLgwPickingTablet")]
	[Index(nameof(PickingTabletId), Name="IX_MstLgwPickingTablet_PickingTabletId")]
	[Index(nameof(IsActive), Name="IX_MstLgwPickingTablet_IsActive")]	public class MstLgwPickingTablet: FullAuditedEntity&lt;long&gt;, IEntity&lt;long&gt;	
	{
		public const int MaxPickingTabletIdLength = 50;
		public const int MaxDeviceIpLength = 50;
		public const int MaxScanTypeLength = 50;
		public const int MaxScanNameLength = 50;
		public const int MaxCurrentActionLength = 50;
		public const int MaxLotNoLength = 50;
		public const int MaxUpTableLength = 20;
		public const int MaxIsActiveLength = 1;
		[StringLength(MaxPickingTabletIdLength)]
		public virtual string PickingTabletId { get; set; }
		[StringLength(MaxDeviceIpLength)]
		public virtual string DeviceIp { get; set; }
		[StringLength(MaxScanTypeLength)]
		public virtual string ScanType { get; set; }
		[StringLength(MaxScanNameLength)]
		public virtual string ScanName { get; set; }
		[StringLength(MaxCurrentActionLength)]
		public virtual string CurrentAction { get; set; }
		[StringLength(MaxLotNoLength)]
		public virtual string LotNo { get; set; }
		[StringLength(MaxUpTableLength)]
		public virtual string UpTable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DbSet&lt;MstLgwPickingTablet&gt; MstLgwPickingTablets { get; set; }</v>
      </c>
      <c r="L7" t="str">
        <f ca="1">SUBSTITUTE(SUBSTITUTE((C6&amp;E6&amp;I18&amp;"
"&amp;REPT(CHAR(9),2)&amp;"// Define Store Name: Format SP_ + &lt;Store Name&gt; = &lt;Store Name&gt;
"&amp;E3&amp;REPT(CHAR(9),1)&amp;D3&amp;D3),"WorkingPattern",$Q$3),"Master",$B$4)</f>
        <v xml:space="preserve">namespace vovina.Master.LogW
{
	public class MstLgwPickingTabletConsts	
	{
		public const int MaxPickingTabletIdLength = 50;
		public const int MaxDeviceIpLength = 50;
		public const int MaxScanTypeLength = 50;
		public const int MaxScanNameLength = 50;
		public const int MaxCurrentActionLength = 50;
		public const int MaxLotNoLength = 50;
		public const int MaxUpTableLength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"&amp;B6&amp;".Dto"&amp;E3&amp;C3&amp;F6&amp;M18&amp;E3&amp;REPT(CHAR(9),1)&amp;D3&amp;G6&amp;N18&amp;REPT(CHAR(9),1)&amp;D3&amp;H6&amp;O18&amp;"
"&amp;REPT(CHAR(9),1)&amp;D3&amp;D3),"WorkingPattern",$Q$3),"Master",$B$4)</f>
        <v xml:space="preserve">using Abp.Application.Services.Dto;
using System;
using System.ComponentModel.DataAnnotations;
namespace vovina.Master.LogW.Dto
{
	public class MstLgwPickingTabletDto : EntityDto&lt;long?&gt;	
	{
		public virtual string PickingTabletId { get; set; }
		public virtual string DeviceIp { get; set; }
		public virtual string ScanType { get; set; }
		public virtual string ScanName { get; set; }
		public virtual string CurrentAction { get; set; }
		public virtual string LotNo { get; set; }
		public virtual string UpTable { get; set; }
		public virtual string IsActive { get; set; }
	}
	public class CreateOrEditMstLgwPickingTabletDto : EntityDto&lt;long?&gt;	
	{
		[StringLength(MstLgwPickingTabletConsts.MaxPickingTabletIdLength)]
		public virtual string PickingTabletId { get; set; }
		[StringLength(MstLgwPickingTabletConsts.MaxDeviceIpLength)]
		public virtual string DeviceIp { get; set; }
		[StringLength(MstLgwPickingTabletConsts.MaxScanTypeLength)]
		public virtual string ScanType { get; set; }
		[StringLength(MstLgwPickingTabletConsts.MaxScanNameLength)]
		public virtual string ScanName { get; set; }
		[StringLength(MstLgwPickingTabletConsts.MaxCurrentActionLength)]
		public virtual string CurrentAction { get; set; }
		[StringLength(MstLgwPickingTabletConsts.MaxLotNoLength)]
		public virtual string LotNo { get; set; }
		[StringLength(MstLgwPickingTabletConsts.MaxUpTableLength)]
		public virtual string UpTable { get; set; }
		[StringLength(MstLgwPickingTabletConsts.MaxIsActiveLength)]
		public virtual string IsActive { get; set; }
	}
	public class GetMstLgwPickingTabletInput : PagedAndSortedResultRequestDto	
	{
		public virtual string PickingTabletId { get; set; }
		public virtual string DeviceIp { get; set; }
		public virtual string ScanType { get; set; }
		public virtual string ScanName { get; set; }
		public virtual string CurrentAction { get; set; }
		public virtual string LotNo { get; set; }
		public virtual string UpTable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perMstLgwPickingTablet = PARENTS.CreateChildPermission(AppPermissions.Pages_Master_LogW_PickingTablet, L( "MasterLogWPickingTablet"));
		perMstLgwPickingTablet.CreateChildPermission(AppPermissions.Pages_Master_LogW_PickingTablet_CreateEdit, L( "MasterLogWPickingTabletCreateEdit"));
		perMstLgwPickingTablet.CreateChildPermission(AppPermissions.Pages_Master_LogW_PickingTablet_Delete, L( "MasterLogWPickingTabletDelete"));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Pages_Master_LogW_PickingTablet = "Pages.Master.LogW.PickingTablet";
		public const string Pages_Master_LogW_PickingTablet_CreateEdit = "Pages.Master.LogW.PickingTablet.CreateEdit";
		public const string Pages_Master_LogW_PickingTablet_Delete = "Pages.Master.LogW.PickingTablet.Delete";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IMstLgwPickingTabletAppService : IApplicationService
	{
		Task&lt;PagedResultDto&lt;MstLgwPickingTabletDto&gt;&gt; GetAll(GetMstLgwPickingTabletInput input);
		Task CreateOrEdit(CreateOrEditMstLgwPickingTabletDto input);
		Task Delete(EntityDto input);
	}
}
</v>
      </c>
      <c r="Q7" t="str">
        <f ca="1">SUBSTITUTE(SUBSTITUTE(SUBSTITUTE(SUBSTITUTE(SUBSTITUTE(SUBSTITUTE(E1,"MstWptCalendar",$B$3),"&lt;PROPERTIES&gt;",P18),"Calendar",$B$5),"WorkingPattern",$Q$3),"Master",$B$4),"&lt;PARAMS_SEARCH&gt;",$W$18)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[AbpAuthorize(AppPermissions.Pages_Master_LogW_PickingTablet)]
    public class MstLgwPickingTabletAppService : vovinaAppServiceBase, IMstLgwPickingTabletAppService
    {
        private readonly IDapperRepository&lt;MstLgwPickingTablet, long&gt; _dapperRepo;
        private readonly IRepository&lt;MstLgwPickingTablet, long&gt; _repo;
        private readonly IMstLgwPickingTabletExcelExporter _calendarListExcelExporter;
        public MstLgwPickingTabletAppService(IRepository&lt;MstLgwPickingTablet,long&gt; repo, 
                                         IDapperRepository&lt;MstLgwPickingTablet,long&gt; dapperRepo,
                                        IMstLgwPickingTabletExcelExporter calendarListExcelExporter
            )
        {
            _repo = repo;
            _dapperRepo = dapperRepo;
            _calendarListExcelExporter = calendarListExcelExporter;
        }
        [AbpAuthorize(AppPermissions.Pages_Master_LogW_PickingTablet_CreateEdit)]
        public async Task CreateOrEdit(CreateOrEditMstLgwPickingTabletDto input)
        {
            if (input.Id == null) await Create(input);
            else await Update(input);
        }
        //CREATE
        private async Task Create(CreateOrEditMstLgwPickingTabletDto input)
        {          
            var mainObj = ObjectMapper.Map&lt;MstLgwPickingTablet&gt;(input);
            await CurrentUnitOfWork.GetDbContext&lt;vovinaDbContext&gt;().AddAsync(mainObj);
        }
        // EDIT
        private async Task Update(CreateOrEditMstLgwPickingTabletDto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[AbpAuthorize(AppPermissions.Pages_Master_LogW_PickingTablet_Delete)]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Task&lt;PagedResultDto&lt;MstLgwPickingTabletDto&gt;&gt; GetAll(GetMstLgwPickingTabletInput input)
        {
            var filtered = _repo.GetAll()
				.WhereIf(!string.IsNullOrWhiteSpace(input.PickingTabletId), e =&gt; e.PickingTabletId.Contains(input.PickingTabletId))
				.WhereIf(!string.IsNullOrWhiteSpace(input.DeviceIp), e =&gt; e.DeviceIp.Contains(input.DeviceIp))
				.WhereIf(!string.IsNullOrWhiteSpace(input.ScanType), e =&gt; e.ScanType.Contains(input.ScanType))
				.WhereIf(!string.IsNullOrWhiteSpace(input.ScanName), e =&gt; e.ScanName.Contains(input.ScanName))
				.WhereIf(!string.IsNullOrWhiteSpace(input.CurrentAction), e =&gt; e.CurrentAction.Contains(input.CurrentAction))
				.WhereIf(!string.IsNullOrWhiteSpace(input.LotNo), e =&gt; e.LotNo.Contains(input.LotNo))
				.WhereIf(!string.IsNullOrWhiteSpace(input.UpTable), e =&gt; e.UpTable.Contains(input.UpTable))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MstLgwPickingTabletDto
                        {
							Id = o.Id,
							PickingTabletId = o.PickingTabletId,
							DeviceIp = o.DeviceIp,
							ScanType = o.ScanType,
							ScanName = o.ScanName,
							CurrentAction = o.CurrentAction,
							LotNo = o.LotNo,
							UpTable = o.UpTable,
							IsActive = o.IsActive,
                        };
            var totalCount = await filtered.CountAsync();
			var paged = system.PageBy(input);
            return new PagedResultDto&lt;MstLgwPickingTabletDto&gt;(
                totalCount,
                 await paged.ToListAsync()
            );
        }
        public async Task&lt;FileDto&gt; GetPickingTabletToExcel(MstLgwPickingTabletExportInput input)
        {
            var query = from o in _repo.GetAll()
                        select new MstLgwPickingTabletDto
                        {
							Id = o.Id,
							PickingTabletId = o.PickingTabletId,
							DeviceIp = o.DeviceIp,
							ScanType = o.ScanType,
							ScanName = o.ScanName,
							CurrentAction = o.CurrentAction,
							LotNo = o.LotNo,
							UpTable = o.UpTable,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_dapperRepo.ExecuteAsync(MstLgwPickingTabletConsts.SP_MST_WPT_CALENDAR_GENERATE);
       // }
    }
}</v>
      </c>
      <c r="R7" t="str">
        <f ca="1">SUBSTITUTE(SUBSTITUTE((C1&amp;"namespace "&amp;B6&amp;".Dto"&amp;E3&amp;C3&amp;R3&amp;M18&amp;E3&amp;REPT(CHAR(9),1)&amp;D3&amp;D3),"WorkingPattern",$Q$3),"Master",$B$4)</f>
        <v xml:space="preserve">using Abp.Application.Services.Dto;
using System;
using System.ComponentModel.DataAnnotations;
namespace vovina.Master.LogW.Dto
{
	public class MstLgwPickingTabletExportInput{
		public virtual string PickingTabletId { get; set; }
		public virtual string DeviceIp { get; set; }
		public virtual string ScanType { get; set; }
		public virtual string ScanName { get; set; }
		public virtual string CurrentAction { get; set; }
		public virtual string LotNo { get; set; }
		public virtual string UpTable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IMstLgwPickingTabletExcelExporter : IApplicationService
	{
		FileDto ExportToFile(List&lt;MstLgwPickingTabletDto&gt; mstlgwpickingtablet);
	}
}
</v>
      </c>
      <c r="T7" s="28" t="str">
        <f ca="1">SUBSTITUTE(SUBSTITUTE(SUBSTITUTE(SUBSTITUTE(SUBSTITUTE(SUBSTITUTE(SUBSTITUTE(T1,"MstWptCalendar",$B$3),"&lt;PROPERTIES1&gt;",V18),"&lt;PROPERTIES&gt;",T18),"Calendar",$B$5),"calendar",LOWER(B5)),"WorkingPattern",$Q$3),"Master",$B$4)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MstLgwPickingTabletExcelExporter : NpoiExcelExporterBase, IMstLgwPickingTabletExcelExporter
    {
        public MstLgwPickingTabletExcelExporter(ITempFileCacheManager tempFileCacheManager) : base(tempFileCacheManager) { }
        public FileDto ExportToFile(List&lt;MstLgwPickingTabletDto&gt; pickingtablet)
        {
            return CreateExcelPackage(
				"MasterLogWPickingTablet.xlsx",
				excelPackage =&gt;
				 {
					var sheet = excelPackage.CreateSheet("PickingTablet");
					AddHeader(
								sheet,
								("PickingTabletId"),
								("DeviceIp"),
								("ScanType"),
								("ScanName"),
								("CurrentAction"),
								("LotNo"),
								("UpTable"),
								("IsActive"),
							   );
					AddObjects(
						 sheet, 1, pickingtablet,                                       
								_ =&gt; _.PickingTabletId,
								_ =&gt; _.DeviceIp,
								_ =&gt; _.ScanType,
								_ =&gt; _.ScanName,
								_ =&gt; _.CurrentAction,
								_ =&gt; _.LotNo,
								_ =&gt; _.UpTable,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configuration.CreateMap&lt;MstLgwPickingTabletDto, MstLgwPickingTablet&gt;();
  configuration.CreateMap&lt;MstLgwPickingTablet, MstLgwPickingTabletDto&gt;();
  configuration.CreateMap&lt;CreateOrEditMstLgwPickingTabletDto, MstLgwPickingTablet&gt;();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314</v>
      </c>
      <c r="B9" t="s">
        <v>303</v>
      </c>
      <c r="C9" t="s">
        <v>1</v>
      </c>
      <c r="D9" t="str">
        <f>SUBSTITUTE(PROPER(A9),"_","")</f>
        <v>PickingTabletId</v>
      </c>
      <c r="E9" t="str">
        <f t="shared" ref="E9:E12" si="0">IFERROR(LEFT(B9, FIND("(",B9)-1),B9)</f>
        <v>varchar</v>
      </c>
      <c r="F9" s="7"/>
      <c r="G9" t="str">
        <f t="shared" ref="G9:G12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2" si="2">IF(H9="string",REPT(CHAR(9),2)&amp;"public const int Max"&amp;D9&amp;"Length = "&amp;G9&amp;";"&amp;$E$3,"" )</f>
        <v xml:space="preserve">		public const int MaxPickingTabletIdLength = 50;
</v>
      </c>
      <c r="J9" t="str">
        <f t="shared" ref="J9:J12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[StringLength(MaxPickingTabletIdLength)]
		public virtual string PickingTabletId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[Index(nameof(PickingTabletId), Name="IX_MstLgwPickingTablet_PickingTabletId")]</v>
      </c>
      <c r="M9" t="str">
        <f>REPT(CHAR(9),2)&amp;"public virtual "&amp;IF(OR(H9="DateTime",H9="TimeSpan"),H9&amp;"?",H9)&amp;IF(C9="?","? "," ")&amp;D9&amp;" { get; set; }" &amp; "
"</f>
        <v xml:space="preserve">		public virtual string PickingTabletId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[StringLength(MstLgwPickingTabletConsts.MaxPickingTabletIdLength)]
		public virtual string PickingTabletId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PickingTabletId { get; set; }
</v>
      </c>
      <c r="P9" t="str">
        <f t="shared" ref="P9:P12" si="4">REPT(CHAR(9),7)&amp;D9&amp;" = o." &amp;D9 &amp;","</f>
        <v xml:space="preserve">							PickingTabletId = o.PickingTabletId,</v>
      </c>
      <c r="T9" s="69" t="str">
        <f>REPT(CHAR(9),8)&amp;"("""&amp;D9&amp;"""),"</f>
        <v xml:space="preserve">								("PickingTabletId"),</v>
      </c>
      <c r="V9" s="70" t="str">
        <f>REPT(CHAR(9),8)&amp;"_ =&gt; _."&amp;D9&amp;","</f>
        <v xml:space="preserve">								_ =&gt; _.PickingTabletId,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.WhereIf(!string.IsNullOrWhiteSpace(input.PickingTabletId), e =&gt; e.PickingTabletId.Contains(input.PickingTabletId))</v>
      </c>
    </row>
    <row r="10" spans="1:23" customFormat="1" ht="22.5" customHeight="1" x14ac:dyDescent="0.25">
      <c r="A10" t="s">
        <v>315</v>
      </c>
      <c r="B10" t="s">
        <v>303</v>
      </c>
      <c r="C10" t="s">
        <v>1</v>
      </c>
      <c r="D10" t="str">
        <f>SUBSTITUTE(PROPER(A10),"_","")</f>
        <v>DeviceIp</v>
      </c>
      <c r="E10" t="str">
        <f t="shared" ref="E10" si="5">IFERROR(LEFT(B10, FIND("(",B10)-1),B10)</f>
        <v>varchar</v>
      </c>
      <c r="F10" s="7"/>
      <c r="G10" t="str">
        <f t="shared" ref="G10" si="6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7">IF(H10="string",REPT(CHAR(9),2)&amp;"public const int Max"&amp;D10&amp;"Length = "&amp;G10&amp;";"&amp;$E$3,"" )</f>
        <v xml:space="preserve">		public const int MaxDeviceIpLength = 50;
</v>
      </c>
      <c r="J10" t="str">
        <f t="shared" ref="J10" si="8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[StringLength(MaxDeviceIpLength)]
		public virtual string DeviceIp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>REPT(CHAR(9),2)&amp;"public virtual "&amp;IF(OR(H10="DateTime",H10="TimeSpan"),H10&amp;"?",H10)&amp;IF(C10="?","? "," ")&amp;D10&amp;" { get; set; }" &amp; "
"</f>
        <v xml:space="preserve">		public virtual string DeviceIp { get; set; }
</v>
      </c>
      <c r="N10" t="str">
        <f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[StringLength(MstLgwPickingTabletConsts.MaxDeviceIpLength)]
		public virtual string DeviceIp { get; set; }
</v>
      </c>
      <c r="O10" t="str">
        <f>IF(OR(H10="string",H10="DateTime",H10="int"),REPT(CHAR(9),2)&amp;"public virtual "&amp;IF(OR(H10="DateTime",H10="TimeSpan"),H10&amp;"?",H10)&amp;IF(C10="?","? "," ")&amp;D10&amp;" { get; set; }"&amp;$E$3,"")</f>
        <v xml:space="preserve">		public virtual string DeviceIp { get; set; }
</v>
      </c>
      <c r="P10" t="str">
        <f t="shared" ref="P10" si="9">REPT(CHAR(9),7)&amp;D10&amp;" = o." &amp;D10 &amp;","</f>
        <v xml:space="preserve">							DeviceIp = o.DeviceIp,</v>
      </c>
      <c r="T10" s="69" t="str">
        <f>REPT(CHAR(9),8)&amp;"("""&amp;D10&amp;"""),"</f>
        <v xml:space="preserve">								("DeviceIp"),</v>
      </c>
      <c r="V10" s="70" t="str">
        <f>REPT(CHAR(9),8)&amp;"_ =&gt; _."&amp;D10&amp;","</f>
        <v xml:space="preserve">								_ =&gt; _.DeviceIp,</v>
      </c>
      <c r="W10" s="69" t="str">
        <f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.WhereIf(!string.IsNullOrWhiteSpace(input.DeviceIp), e =&gt; e.DeviceIp.Contains(input.DeviceIp))</v>
      </c>
    </row>
    <row r="11" spans="1:23" customFormat="1" ht="21" customHeight="1" x14ac:dyDescent="0.25">
      <c r="A11" t="s">
        <v>308</v>
      </c>
      <c r="B11" t="s">
        <v>303</v>
      </c>
      <c r="C11" t="s">
        <v>1</v>
      </c>
      <c r="D11" t="str">
        <f t="shared" ref="D11:D12" si="10">SUBSTITUTE(PROPER(A11),"_","")</f>
        <v>ScanType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MaxScanTypeLength = 50;
</v>
      </c>
      <c r="J11" t="str">
        <f t="shared" si="3"/>
        <v xml:space="preserve">		[StringLength(MaxScanTypeLength)]
		public virtual string ScanType { get; set; }
</v>
      </c>
      <c r="K11" s="7"/>
      <c r="L11" t="str">
        <f t="shared" ref="L11:L12" si="11">IF(K11="","",REPT(CHAR(9),1)&amp;"[Index(nameof("&amp;IF(D11="","",""&amp;D11)&amp;")"&amp;", Name="&amp;"""IX_"&amp;$B$7&amp;"_"&amp;D11&amp;""")]")</f>
        <v/>
      </c>
      <c r="M11" t="str">
        <f t="shared" ref="M11:M13" si="12">REPT(CHAR(9),2)&amp;"public virtual "&amp;IF(OR(H11="DateTime",H11="TimeSpan"),H11&amp;"?",H11)&amp;IF(C11="?","? "," ")&amp;D11&amp;" { get; set; }" &amp; "
"</f>
        <v xml:space="preserve">		public virtual string ScanType { get; set; }
</v>
      </c>
      <c r="N11" t="str">
        <f t="shared" ref="N11:N13" si="1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[StringLength(MstLgwPickingTabletConsts.MaxScanTypeLength)]
		public virtual string ScanType { get; set; }
</v>
      </c>
      <c r="O11" t="str">
        <f t="shared" ref="O11:O13" si="14">IF(OR(H11="string",H11="DateTime",H11="int"),REPT(CHAR(9),2)&amp;"public virtual "&amp;IF(OR(H11="DateTime",H11="TimeSpan"),H11&amp;"?",H11)&amp;IF(C11="?","? "," ")&amp;D11&amp;" { get; set; }"&amp;$E$3,"")</f>
        <v xml:space="preserve">		public virtual string ScanType { get; set; }
</v>
      </c>
      <c r="P11" t="str">
        <f t="shared" si="4"/>
        <v xml:space="preserve">							ScanType = o.ScanType,</v>
      </c>
      <c r="T11" s="69" t="str">
        <f t="shared" ref="T11:T13" si="15">REPT(CHAR(9),8)&amp;"("""&amp;D11&amp;"""),"</f>
        <v xml:space="preserve">								("ScanType"),</v>
      </c>
      <c r="V11" s="70" t="str">
        <f t="shared" ref="V11:V13" si="16">REPT(CHAR(9),8)&amp;"_ =&gt; _."&amp;D11&amp;","</f>
        <v xml:space="preserve">								_ =&gt; _.ScanType,</v>
      </c>
      <c r="W11" s="69" t="str">
        <f t="shared" ref="W11:W13" si="17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.WhereIf(!string.IsNullOrWhiteSpace(input.ScanType), e =&gt; e.ScanType.Contains(input.ScanType))</v>
      </c>
    </row>
    <row r="12" spans="1:23" customFormat="1" ht="18.75" customHeight="1" x14ac:dyDescent="0.25">
      <c r="A12" t="s">
        <v>309</v>
      </c>
      <c r="B12" t="s">
        <v>303</v>
      </c>
      <c r="C12" t="s">
        <v>1</v>
      </c>
      <c r="D12" t="str">
        <f t="shared" si="10"/>
        <v>ScanName</v>
      </c>
      <c r="E12" t="str">
        <f t="shared" si="0"/>
        <v>varchar</v>
      </c>
      <c r="F12" s="7"/>
      <c r="G12" t="str">
        <f t="shared" si="1"/>
        <v>50</v>
      </c>
      <c r="H12" t="str">
        <f>+VLOOKUP(E12,'Data Type Mapping'!A:B,2,)</f>
        <v>string</v>
      </c>
      <c r="I12" t="str">
        <f t="shared" si="2"/>
        <v xml:space="preserve">		public const int MaxScanNameLength = 50;
</v>
      </c>
      <c r="J12" t="str">
        <f t="shared" si="3"/>
        <v xml:space="preserve">		[StringLength(MaxScanNameLength)]
		public virtual string ScanName { get; set; }
</v>
      </c>
      <c r="K12" s="7"/>
      <c r="L12" t="str">
        <f t="shared" si="11"/>
        <v/>
      </c>
      <c r="M12" t="str">
        <f t="shared" si="12"/>
        <v xml:space="preserve">		public virtual string ScanName { get; set; }
</v>
      </c>
      <c r="N12" t="str">
        <f t="shared" si="13"/>
        <v xml:space="preserve">		[StringLength(MstLgwPickingTabletConsts.MaxScanNameLength)]
		public virtual string ScanName { get; set; }
</v>
      </c>
      <c r="O12" t="str">
        <f t="shared" si="14"/>
        <v xml:space="preserve">		public virtual string ScanName { get; set; }
</v>
      </c>
      <c r="P12" t="str">
        <f t="shared" si="4"/>
        <v xml:space="preserve">							ScanName = o.ScanName,</v>
      </c>
      <c r="T12" s="69" t="str">
        <f t="shared" si="15"/>
        <v xml:space="preserve">								("ScanName"),</v>
      </c>
      <c r="V12" s="70" t="str">
        <f t="shared" si="16"/>
        <v xml:space="preserve">								_ =&gt; _.ScanName,</v>
      </c>
      <c r="W12" s="69" t="str">
        <f t="shared" si="17"/>
        <v xml:space="preserve">				.WhereIf(!string.IsNullOrWhiteSpace(input.ScanName), e =&gt; e.ScanName.Contains(input.ScanName))</v>
      </c>
    </row>
    <row r="13" spans="1:23" customFormat="1" ht="21" customHeight="1" x14ac:dyDescent="0.25">
      <c r="A13" t="s">
        <v>310</v>
      </c>
      <c r="B13" t="s">
        <v>303</v>
      </c>
      <c r="C13" t="s">
        <v>1</v>
      </c>
      <c r="D13" t="str">
        <f t="shared" ref="D13" si="18">SUBSTITUTE(PROPER(A13),"_","")</f>
        <v>CurrentAction</v>
      </c>
      <c r="E13" t="str">
        <f t="shared" ref="E13" si="19">IFERROR(LEFT(B13, FIND("(",B13)-1),B13)</f>
        <v>varchar</v>
      </c>
      <c r="F13" s="7"/>
      <c r="G13" t="str">
        <f t="shared" ref="G13" si="20">IFERROR(MID(B13,FIND("(",B13) +1, FIND(")",B13) - FIND("(",B13) - 1),"")</f>
        <v>50</v>
      </c>
      <c r="H13" t="str">
        <f>+VLOOKUP(E13,'Data Type Mapping'!A:B,2,)</f>
        <v>string</v>
      </c>
      <c r="I13" t="str">
        <f t="shared" ref="I13" si="21">IF(H13="string",REPT(CHAR(9),2)&amp;"public const int Max"&amp;D13&amp;"Length = "&amp;G13&amp;";"&amp;$E$3,"" )</f>
        <v xml:space="preserve">		public const int MaxCurrentActionLength = 50;
</v>
      </c>
      <c r="J13" t="str">
        <f t="shared" ref="J13" si="22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[StringLength(MaxCurrentActionLength)]
		public virtual string CurrentAction { get; set; }
</v>
      </c>
      <c r="K13" s="7"/>
      <c r="L13" t="str">
        <f t="shared" ref="L13" si="23">IF(K13="","",REPT(CHAR(9),1)&amp;"[Index(nameof("&amp;IF(D13="","",""&amp;D13)&amp;")"&amp;", Name="&amp;"""IX_"&amp;$B$7&amp;"_"&amp;D13&amp;""")]")</f>
        <v/>
      </c>
      <c r="M13" t="str">
        <f t="shared" si="12"/>
        <v xml:space="preserve">		public virtual string CurrentAction { get; set; }
</v>
      </c>
      <c r="N13" t="str">
        <f t="shared" si="13"/>
        <v xml:space="preserve">		[StringLength(MstLgwPickingTabletConsts.MaxCurrentActionLength)]
		public virtual string CurrentAction { get; set; }
</v>
      </c>
      <c r="O13" t="str">
        <f t="shared" si="14"/>
        <v xml:space="preserve">		public virtual string CurrentAction { get; set; }
</v>
      </c>
      <c r="P13" t="str">
        <f t="shared" ref="P13" si="24">REPT(CHAR(9),7)&amp;D13&amp;" = o." &amp;D13 &amp;","</f>
        <v xml:space="preserve">							CurrentAction = o.CurrentAction,</v>
      </c>
      <c r="T13" s="69" t="str">
        <f t="shared" si="15"/>
        <v xml:space="preserve">								("CurrentAction"),</v>
      </c>
      <c r="V13" s="70" t="str">
        <f t="shared" si="16"/>
        <v xml:space="preserve">								_ =&gt; _.CurrentAction,</v>
      </c>
      <c r="W13" s="69" t="str">
        <f t="shared" si="17"/>
        <v xml:space="preserve">				.WhereIf(!string.IsNullOrWhiteSpace(input.CurrentAction), e =&gt; e.CurrentAction.Contains(input.CurrentAction))</v>
      </c>
    </row>
    <row r="14" spans="1:23" customFormat="1" ht="21" customHeight="1" x14ac:dyDescent="0.25">
      <c r="A14" t="s">
        <v>311</v>
      </c>
      <c r="B14" t="s">
        <v>303</v>
      </c>
      <c r="C14" t="s">
        <v>1</v>
      </c>
      <c r="D14" t="str">
        <f t="shared" ref="D14" si="25">SUBSTITUTE(PROPER(A14),"_","")</f>
        <v>LotNo</v>
      </c>
      <c r="E14" t="str">
        <f t="shared" ref="E14:E16" si="26">IFERROR(LEFT(B14, FIND("(",B14)-1),B14)</f>
        <v>varchar</v>
      </c>
      <c r="F14" s="7"/>
      <c r="G14" t="str">
        <f t="shared" ref="G14:G16" si="27">IFERROR(MID(B14,FIND("(",B14) +1, FIND(")",B14) - FIND("(",B14) - 1),"")</f>
        <v>50</v>
      </c>
      <c r="H14" t="str">
        <f>+VLOOKUP(E14,'Data Type Mapping'!A:B,2,)</f>
        <v>string</v>
      </c>
      <c r="I14" t="str">
        <f t="shared" ref="I14:I16" si="28">IF(H14="string",REPT(CHAR(9),2)&amp;"public const int Max"&amp;D14&amp;"Length = "&amp;G14&amp;";"&amp;$E$3,"" )</f>
        <v xml:space="preserve">		public const int MaxLotNoLength = 50;
</v>
      </c>
      <c r="J14" t="str">
        <f t="shared" ref="J14:J16" si="29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[StringLength(MaxLotNoLength)]
		public virtual string LotNo { get; set; }
</v>
      </c>
      <c r="K14" s="7"/>
      <c r="L14" t="str">
        <f t="shared" ref="L14" si="30">IF(K14="","",REPT(CHAR(9),1)&amp;"[Index(nameof("&amp;IF(D14="","",""&amp;D14)&amp;")"&amp;", Name="&amp;"""IX_"&amp;$B$7&amp;"_"&amp;D14&amp;""")]")</f>
        <v/>
      </c>
      <c r="M14" t="str">
        <f t="shared" ref="M14:M16" si="31">REPT(CHAR(9),2)&amp;"public virtual "&amp;IF(OR(H14="DateTime",H14="TimeSpan"),H14&amp;"?",H14)&amp;IF(C14="?","? "," ")&amp;D14&amp;" { get; set; }" &amp; "
"</f>
        <v xml:space="preserve">		public virtual string LotNo { get; set; }
</v>
      </c>
      <c r="N14" t="str">
        <f t="shared" ref="N14:N16" si="32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[StringLength(MstLgwPickingTabletConsts.MaxLotNoLength)]
		public virtual string LotNo { get; set; }
</v>
      </c>
      <c r="O14" t="str">
        <f t="shared" ref="O14:O16" si="33">IF(OR(H14="string",H14="DateTime",H14="int"),REPT(CHAR(9),2)&amp;"public virtual "&amp;IF(OR(H14="DateTime",H14="TimeSpan"),H14&amp;"?",H14)&amp;IF(C14="?","? "," ")&amp;D14&amp;" { get; set; }"&amp;$E$3,"")</f>
        <v xml:space="preserve">		public virtual string LotNo { get; set; }
</v>
      </c>
      <c r="P14" t="str">
        <f t="shared" ref="P14:P16" si="34">REPT(CHAR(9),7)&amp;D14&amp;" = o." &amp;D14 &amp;","</f>
        <v xml:space="preserve">							LotNo = o.LotNo,</v>
      </c>
      <c r="T14" s="69" t="str">
        <f t="shared" ref="T14:T16" si="35">REPT(CHAR(9),8)&amp;"("""&amp;D14&amp;"""),"</f>
        <v xml:space="preserve">								("LotNo"),</v>
      </c>
      <c r="V14" s="70" t="str">
        <f t="shared" ref="V14:V16" si="36">REPT(CHAR(9),8)&amp;"_ =&gt; _."&amp;D14&amp;","</f>
        <v xml:space="preserve">								_ =&gt; _.LotNo,</v>
      </c>
      <c r="W14" s="69" t="str">
        <f t="shared" ref="W14:W16" si="37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.WhereIf(!string.IsNullOrWhiteSpace(input.LotNo), e =&gt; e.LotNo.Contains(input.LotNo))</v>
      </c>
    </row>
    <row r="15" spans="1:23" customFormat="1" ht="18.75" customHeight="1" x14ac:dyDescent="0.25">
      <c r="A15" t="s">
        <v>312</v>
      </c>
      <c r="B15" t="s">
        <v>313</v>
      </c>
      <c r="C15" t="s">
        <v>1</v>
      </c>
      <c r="D15" t="str">
        <f t="shared" ref="D15" si="38">SUBSTITUTE(PROPER(A15),"_","")</f>
        <v>UpTable</v>
      </c>
      <c r="E15" t="str">
        <f t="shared" ref="E15" si="39">IFERROR(LEFT(B15, FIND("(",B15)-1),B15)</f>
        <v>varchar</v>
      </c>
      <c r="F15" s="7"/>
      <c r="G15" t="str">
        <f t="shared" ref="G15" si="40">IFERROR(MID(B15,FIND("(",B15) +1, FIND(")",B15) - FIND("(",B15) - 1),"")</f>
        <v>20</v>
      </c>
      <c r="H15" t="str">
        <f>+VLOOKUP(E15,'Data Type Mapping'!A:B,2,)</f>
        <v>string</v>
      </c>
      <c r="I15" t="str">
        <f t="shared" ref="I15" si="41">IF(H15="string",REPT(CHAR(9),2)&amp;"public const int Max"&amp;D15&amp;"Length = "&amp;G15&amp;";"&amp;$E$3,"" )</f>
        <v xml:space="preserve">		public const int MaxUpTableLength = 20;
</v>
      </c>
      <c r="J15" t="str">
        <f t="shared" ref="J15" si="42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[StringLength(MaxUpTableLength)]
		public virtual string UpTable { get; set; }
</v>
      </c>
      <c r="K15" s="7"/>
      <c r="L15" t="str">
        <f t="shared" ref="L15" si="43">IF(K15="","",REPT(CHAR(9),1)&amp;"[Index(nameof("&amp;IF(D15="","",""&amp;D15)&amp;")"&amp;", Name="&amp;"""IX_"&amp;$B$7&amp;"_"&amp;D15&amp;""")]")</f>
        <v/>
      </c>
      <c r="M15" t="str">
        <f t="shared" ref="M15" si="44">REPT(CHAR(9),2)&amp;"public virtual "&amp;IF(OR(H15="DateTime",H15="TimeSpan"),H15&amp;"?",H15)&amp;IF(C15="?","? "," ")&amp;D15&amp;" { get; set; }" &amp; "
"</f>
        <v xml:space="preserve">		public virtual string UpTable { get; set; }
</v>
      </c>
      <c r="N15" t="str">
        <f t="shared" ref="N15" si="45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[StringLength(MstLgwPickingTabletConsts.MaxUpTableLength)]
		public virtual string UpTable { get; set; }
</v>
      </c>
      <c r="O15" t="str">
        <f t="shared" ref="O15" si="46">IF(OR(H15="string",H15="DateTime",H15="int"),REPT(CHAR(9),2)&amp;"public virtual "&amp;IF(OR(H15="DateTime",H15="TimeSpan"),H15&amp;"?",H15)&amp;IF(C15="?","? "," ")&amp;D15&amp;" { get; set; }"&amp;$E$3,"")</f>
        <v xml:space="preserve">		public virtual string UpTable { get; set; }
</v>
      </c>
      <c r="P15" t="str">
        <f t="shared" ref="P15" si="47">REPT(CHAR(9),7)&amp;D15&amp;" = o." &amp;D15 &amp;","</f>
        <v xml:space="preserve">							UpTable = o.UpTable,</v>
      </c>
      <c r="T15" s="69" t="str">
        <f t="shared" ref="T15" si="48">REPT(CHAR(9),8)&amp;"("""&amp;D15&amp;"""),"</f>
        <v xml:space="preserve">								("UpTable"),</v>
      </c>
      <c r="V15" s="70" t="str">
        <f t="shared" ref="V15" si="49">REPT(CHAR(9),8)&amp;"_ =&gt; _."&amp;D15&amp;","</f>
        <v xml:space="preserve">								_ =&gt; _.UpTable,</v>
      </c>
      <c r="W15" s="69" t="str">
        <f t="shared" ref="W15" si="50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.WhereIf(!string.IsNullOrWhiteSpace(input.UpTable), e =&gt; e.UpTable.Contains(input.UpTable))</v>
      </c>
    </row>
    <row r="16" spans="1:23" customFormat="1" ht="21" customHeight="1" x14ac:dyDescent="0.25">
      <c r="A16" t="s">
        <v>301</v>
      </c>
      <c r="B16" t="s">
        <v>302</v>
      </c>
      <c r="C16" t="s">
        <v>1</v>
      </c>
      <c r="D16" t="str">
        <f t="shared" ref="D16" si="51">SUBSTITUTE(PROPER(A16),"_","")</f>
        <v>IsActive</v>
      </c>
      <c r="E16" t="str">
        <f t="shared" si="26"/>
        <v>varchar</v>
      </c>
      <c r="F16" s="7"/>
      <c r="G16" t="str">
        <f t="shared" si="27"/>
        <v>1</v>
      </c>
      <c r="H16" t="str">
        <f>+VLOOKUP(E16,'Data Type Mapping'!A:B,2,)</f>
        <v>string</v>
      </c>
      <c r="I16" t="str">
        <f t="shared" si="28"/>
        <v xml:space="preserve">		public const int MaxIsActiveLength = 1;
</v>
      </c>
      <c r="J16" t="str">
        <f t="shared" si="29"/>
        <v xml:space="preserve">		[StringLength(MaxIsActiveLength)]
		public virtual string IsActive { get; set; }
</v>
      </c>
      <c r="K16" s="7" t="s">
        <v>206</v>
      </c>
      <c r="L16" t="str">
        <f t="shared" ref="L16" si="52">IF(K16="","",REPT(CHAR(9),1)&amp;"[Index(nameof("&amp;IF(D16="","",""&amp;D16)&amp;")"&amp;", Name="&amp;"""IX_"&amp;$B$7&amp;"_"&amp;D16&amp;""")]")</f>
        <v xml:space="preserve">	[Index(nameof(IsActive), Name="IX_MstLgwPickingTablet_IsActive")]</v>
      </c>
      <c r="M16" t="str">
        <f t="shared" si="31"/>
        <v xml:space="preserve">		public virtual string IsActive { get; set; }
</v>
      </c>
      <c r="N16" t="str">
        <f t="shared" si="32"/>
        <v xml:space="preserve">		[StringLength(MstLgwPickingTabletConsts.MaxIsActiveLength)]
		public virtual string IsActive { get; set; }
</v>
      </c>
      <c r="O16" t="str">
        <f t="shared" si="33"/>
        <v xml:space="preserve">		public virtual string IsActive { get; set; }
</v>
      </c>
      <c r="P16" t="str">
        <f t="shared" si="34"/>
        <v xml:space="preserve">							IsActive = o.IsActive,</v>
      </c>
      <c r="T16" s="69" t="str">
        <f t="shared" si="35"/>
        <v xml:space="preserve">								("IsActive"),</v>
      </c>
      <c r="V16" s="70" t="str">
        <f t="shared" si="36"/>
        <v xml:space="preserve">								_ =&gt; _.IsActive,</v>
      </c>
      <c r="W16" s="69" t="str">
        <f t="shared" si="37"/>
        <v xml:space="preserve">				.WhereIf(!string.IsNullOrWhiteSpace(input.IsActive), e =&gt; e.IsActive.Contains(input.IsActive))</v>
      </c>
    </row>
    <row r="18" spans="8:23" ht="45.75" customHeight="1" x14ac:dyDescent="0.25">
      <c r="H18" s="12"/>
      <c r="I18" s="34" t="str">
        <f ca="1">TEXTJOIN2("
", TRUE,INDIRECT( $H$1):INDIRECT( $H$3))</f>
        <v xml:space="preserve">		public const int MaxPickingTabletIdLength = 50;
		public const int MaxDeviceIpLength = 50;
		public const int MaxScanTypeLength = 50;
		public const int MaxScanNameLength = 50;
		public const int MaxCurrentActionLength = 50;
		public const int MaxLotNoLength = 50;
		public const int MaxUpTableLength = 20;
		public const int MaxIsActiveLength = 1;
</v>
      </c>
      <c r="J18" s="33" t="str">
        <f ca="1">TEXTJOIN2("
", TRUE,INDIRECT( $F$1):INDIRECT( $F$3))</f>
        <v xml:space="preserve">		[StringLength(MaxPickingTabletIdLength)]
		public virtual string PickingTabletId { get; set; }
		[StringLength(MaxDeviceIpLength)]
		public virtual string DeviceIp { get; set; }
		[StringLength(MaxScanTypeLength)]
		public virtual string ScanType { get; set; }
		[StringLength(MaxScanNameLength)]
		public virtual string ScanName { get; set; }
		[StringLength(MaxCurrentActionLength)]
		public virtual string CurrentAction { get; set; }
		[StringLength(MaxLotNoLength)]
		public virtual string LotNo { get; set; }
		[StringLength(MaxUpTableLength)]
		public virtual string UpTable { get; set; }
		[StringLength(MaxIsActiveLength)]
		public virtual string IsActive { get; set; }
</v>
      </c>
      <c r="K18" s="35" t="str">
        <f ca="1">TEXTJOIN2("
", TRUE,INDIRECT( $J$1):INDIRECT( $J$3))</f>
        <v xml:space="preserve">	[Index(nameof(PickingTabletId), Name="IX_MstLgwPickingTablet_PickingTabletId")]
	[Index(nameof(IsActive), Name="IX_MstLgwPickingTablet_IsActive")]</v>
      </c>
      <c r="L18" s="13" t="s">
        <v>60</v>
      </c>
      <c r="M18" s="36" t="str">
        <f ca="1">TEXTJOIN2("
",TRUE,INDIRECT( $L$1):INDIRECT($L$3))</f>
        <v xml:space="preserve">		public virtual string PickingTabletId { get; set; }
		public virtual string DeviceIp { get; set; }
		public virtual string ScanType { get; set; }
		public virtual string ScanName { get; set; }
		public virtual string CurrentAction { get; set; }
		public virtual string LotNo { get; set; }
		public virtual string UpTable { get; set; }
		public virtual string IsActive { get; set; }
</v>
      </c>
      <c r="N18" s="33" t="str">
        <f ca="1">TEXTJOIN2("
",TRUE,INDIRECT( $M$1):INDIRECT($M$3))</f>
        <v xml:space="preserve">		[StringLength(MstLgwPickingTabletConsts.MaxPickingTabletIdLength)]
		public virtual string PickingTabletId { get; set; }
		[StringLength(MstLgwPickingTabletConsts.MaxDeviceIpLength)]
		public virtual string DeviceIp { get; set; }
		[StringLength(MstLgwPickingTabletConsts.MaxScanTypeLength)]
		public virtual string ScanType { get; set; }
		[StringLength(MstLgwPickingTabletConsts.MaxScanNameLength)]
		public virtual string ScanName { get; set; }
		[StringLength(MstLgwPickingTabletConsts.MaxCurrentActionLength)]
		public virtual string CurrentAction { get; set; }
		[StringLength(MstLgwPickingTabletConsts.MaxLotNoLength)]
		public virtual string LotNo { get; set; }
		[StringLength(MstLgwPickingTabletConsts.MaxUpTableLength)]
		public virtual string UpTable { get; set; }
		[StringLength(MstLgwPickingTabletConsts.MaxIsActiveLength)]
		public virtual string IsActive { get; set; }
</v>
      </c>
      <c r="O18" s="33" t="str">
        <f ca="1">TEXTJOIN2("
",TRUE,INDIRECT( $N$1):INDIRECT($N$3))</f>
        <v xml:space="preserve">		public virtual string PickingTabletId { get; set; }
		public virtual string DeviceIp { get; set; }
		public virtual string ScanType { get; set; }
		public virtual string ScanName { get; set; }
		public virtual string CurrentAction { get; set; }
		public virtual string LotNo { get; set; }
		public virtual string UpTable { get; set; }
		public virtual string IsActive { get; set; }
</v>
      </c>
      <c r="P18" s="9" t="str">
        <f ca="1">TEXTJOIN2("
",TRUE,INDIRECT( $O$1):INDIRECT($O$3))</f>
        <v xml:space="preserve">							PickingTabletId = o.PickingTabletId,
							DeviceIp = o.DeviceIp,
							ScanType = o.ScanType,
							ScanName = o.ScanName,
							CurrentAction = o.CurrentAction,
							LotNo = o.LotNo,
							UpTable = o.UpTable,
							IsActive = o.IsActive,</v>
      </c>
      <c r="T18" s="9" t="str">
        <f ca="1">TEXTJOIN2("
",TRUE,INDIRECT( $T$2):INDIRECT($T$3))</f>
        <v xml:space="preserve">								("PickingTabletId"),
								("DeviceIp"),
								("ScanType"),
								("ScanName"),
								("CurrentAction"),
								("LotNo"),
								("UpTable"),
								("IsActive"),</v>
      </c>
      <c r="V18" s="9" t="str">
        <f ca="1">TEXTJOIN2("
",TRUE,INDIRECT( $V$2):INDIRECT($V$3))</f>
        <v xml:space="preserve">								_ =&gt; _.PickingTabletId,
								_ =&gt; _.DeviceIp,
								_ =&gt; _.ScanType,
								_ =&gt; _.ScanName,
								_ =&gt; _.CurrentAction,
								_ =&gt; _.LotNo,
								_ =&gt; _.UpTable,
								_ =&gt; _.IsActive,</v>
      </c>
      <c r="W18" s="9" t="str">
        <f ca="1">TEXTJOIN2("
",TRUE,INDIRECT( $W$2):INDIRECT($W$3))</f>
        <v xml:space="preserve">				.WhereIf(!string.IsNullOrWhiteSpace(input.PickingTabletId), e =&gt; e.PickingTabletId.Contains(input.PickingTabletId))
				.WhereIf(!string.IsNullOrWhiteSpace(input.DeviceIp), e =&gt; e.DeviceIp.Contains(input.DeviceIp))
				.WhereIf(!string.IsNullOrWhiteSpace(input.ScanType), e =&gt; e.ScanType.Contains(input.ScanType))
				.WhereIf(!string.IsNullOrWhiteSpace(input.ScanName), e =&gt; e.ScanName.Contains(input.ScanName))
				.WhereIf(!string.IsNullOrWhiteSpace(input.CurrentAction), e =&gt; e.CurrentAction.Contains(input.CurrentAction))
				.WhereIf(!string.IsNullOrWhiteSpace(input.LotNo), e =&gt; e.LotNo.Contains(input.LotNo))
				.WhereIf(!string.IsNullOrWhiteSpace(input.UpTable), e =&gt; e.UpTable.Contains(input.UpTable))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workbookViewId="0">
      <selection activeCell="A15" sqref="A15:XFD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307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MstLgwPickingTablet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PickingTablet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pickingtablet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MstLgwPickingTabletDto, MstLgwPickingTabletServiceProxy } from '@shared/service-proxies/service-proxies';
import { finalize } from 'rxjs/internal/operators/finalize';
import { CreateOrEditPickingTabletModalComponent } from './create-or-edit-pickingtablet-modal.component';
import { DatePipe } from '@angular/common';
import { FileDownloadService } from '@shared/utils/file-download.service';
import ceil from 'lodash-es/ceil';
import { Paginator } from 'primeng/paginator';
@Component({
    templateUrl: './pickingtablet.component.html',
    styleUrls: ['./pickingtablet.component.less'],
})
export class PickingTabletComponent extends AppComponentBase implements OnInit {
    @ViewChild('createOrEditModalPickingTablet', { static: true }) createOrEditModalPickingTablet:| CreateOrEditPickingTabletModalComponent|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MstLgwPickingTabletDto = new MstLgwPickingTabletDto();
    saveSelectedRow: MstLgwPickingTabletDto = new MstLgwPickingTabletDto();
    datas: MstLgwPickingTabletDto = new MstLgwPickingTabletDto();
    isLoading: boolean = false;
    dataParams: GridParams | undefined;
    rowData: any[] = [];
    gridApi!: GridApi;
    rowSelection = 'multiple';
    filter: string = '';
	pipe = new DatePipe('en-US');
	frameworkComponents: FrameworkComponent;
    pickingTabletId : string = '' ; 
	deviceIp : string = '' ; 
	scanType : string = '' ; 
	scanName : string = '' ; 
	currentAction : string = '' ; 
lotNo : string = '' ; 
	upTable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MstLgwPickingTabletServiceProxy,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this.l('Picking Tablet Id'),headerTooltip: this.l('Picking Tablet Id'),field: 'pickingTabletId',flex: 1},
			{headerName: this.l('Device Ip'),headerTooltip: this.l('Device Ip'),field: 'deviceIp',flex: 1},
			{headerName: this.l('Scan Type'),headerTooltip: this.l('Scan Type'),field: 'scanType',flex: 1},
			{headerName: this.l('Scan Name'),headerTooltip: this.l('Scan Name'),field: 'scanName',flex: 1},
			{headerName: this.l('Current Action'),headerTooltip: this.l('Current Action'),field: 'currentAction',flex: 1},
			{headerName: this.l('Lot No'),headerTooltip: this.l('Lot No'),field: 'lotNo',flex: 1},
			{headerName: this.l('Up Table'),headerTooltip: this.l('Up Table'),field: 'upTable',flex: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this.pickingTabletId,
			this.deviceIp,
			this.scanType,
			this.scanName,
			this.currentAction,
			this.lotNo,
			this.upTable,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this.pickingTabletId = '',
		this.deviceIp = '',
		this.scanType = '',
		this.scanName = '',
		this.currentAction = '',
this.lotNo = '',
		this.upTable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this.pickingTabletId,
			this.deviceIp,
			this.scanType,
			this.scanName,
			this.currentAction,
			this.lotNo,
			this.upTable,
			this.isActive,
			'',
            this.paginationParams.skipCount,
            this.paginationParams.pageSize
        );
    }
    onChangeRowSelection(params: { api: { getSelectedRows: () =&gt; MstLgwPickingTabletDto[] } }) {
        this.saveSelectedRow = params.api.getSelectedRows()[0] ?? new MstLgwPickingTabletDto();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MstLgwPickingTabletDto):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this._service.getPickingTabletToExcel(
			this.pickingTabletId,
			this.deviceIp,
			this.scanType,
			this.scanName,
			this.currentAction,
			this.lotNo,
			this.upTable,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Picking Tablet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[(ngModel)]='deviceIp' name='deviceIp'
									class='form-control' [placeholder]="l('Device Ip')"
									type='text' (keyup.enter)='searchDatas()'&gt;
								&lt;/div&gt;
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[(ngModel)]='scanName' name='scanName'
									class='form-control' [placeholder]="l('Scan Name')"
									type='text' (keyup.enter)='searchDatas()'&gt;
								&lt;/div&gt;
								&lt;div class='input-search'&gt;
									&lt;input [(ngModel)]='currentAction' name='currentAction'
									class='form-control' [placeholder]="l('Current Action')"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[(ngModel)]='upTable' name='upTable'
									class='form-control' [placeholder]="l('Up Table')"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(click)="createOrEditModalPickingTablet.show()"&gt;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(click)="createOrEditModalPickingTablet.show(selectedRow)"&gt;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&lt;create-or-edit-pickingtablet-modal
    #createOrEditModalPickingTablet
    (modalSave)="callBackDataGrid(dataParams)"
    (modalClose)="onChangeRowSelection(dataParams)"
&gt;
&lt;/create-or-edit-pickingtablet-modal&gt;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#createOrEditModalPickingTablet="bs-modal"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PickingTablet')}}&lt;/h3&gt;
                    &lt;h3 *ngIf="!rowdata.id"&gt;{{('Create New PickingTablet')}}&lt;/h3&gt;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title'&gt;Device Ip&lt;/label&gt;
						&lt;input type='text' class='col-md-10 form-control input-text' name='DeviceIp' [(ngModel)]='rowdata.deviceIp'&gt;
					&lt;/div&gt;
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Name&lt;/label&gt;
						&lt;input type='text' class='col-md-10 form-control input-text' name='ScanName' [(ngModel)]='rowdata.scanName'&gt;
					&lt;/div&gt;
					&lt;div class='col-md-12 form-group row'&gt;
						&lt;label class='col-md-2 form-control title'&gt;Current Action&lt;/label&gt;
						&lt;input type='text' class='col-md-10 form-control input-text' name='CurrentAction' [(ngModel)]='rowdata.currentAction'&gt;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title'&gt;Up Table&lt;/label&gt;
						&lt;input type='text' class='col-md-10 form-control input-text' name='UpTable' [(ngModel)]='rowdata.upTable'&gt;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CreateOrEditMstLgwPickingTabletDto, MstLgwPickingTabletServiceProxy } from '@shared/service-proxies/service-proxies';
import { BsDatepickerDirective } from 'ngx-bootstrap/datepicker';
@Component({
    selector: 'create-or-edit-pickingtablet-modal',
    templateUrl: './create-or-edit-pickingtablet-modal.component.html',
    styleUrls: ['./create-or-edit-pickingtablet-modal.component.less']
    })
export class CreateOrEditPickingTabletModalComponent extends AppComponentBase {
    @ViewChild('createOrEditModalPickingTablet',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CreateOrEditMstLgwPickingTabletDto = new CreateOrEditMstLgwPickingTabletDto();
    active: boolean = false;
    saving: boolean = false;
    _isActive: boolean;
    constructor(
        injector: Injector,
        private _mstwptPickingTabletService: MstLgwPickingTabletServiceProxy,
    ) 
    {
        super(injector);
    }
    show(rowdata?: CreateOrEditMstLgwPickingTabletDto): void {
        if (!rowdata) this.rowdata = new CreateOrEditMstLgwPickingTabletDto();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this._mstwptPickingTabletService.createOrEdit(this.rowdata)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PickingTabletRoutingModule } from './pickingtablet-routing.module';
import { PickingTabletComponent } from './pickingtablet.component';
import { CreateOrEditPickingTabletModalComponent } from './create-or-edit-pickingtablet-modal.component';
@NgModule({
    declarations: [
       PickingTabletComponent, 
        CreateOrEditPickingTabletModalComponent
    ],
    imports: [
        AppSharedModule, PickingTabletRoutingModule]
})
export class PickingTabletModule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PickingTabletComponent } from './pickingtablet.component';
const routes: Routes = [{
    path: '',
    component: PickingTabletComponent,
    pathMatch: 'full'
}];
@NgModule({
    imports: [RouterModule.forChild(routes)],
    exports: [RouterModule],
})
export class PickingTabletRoutingModule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AppMenuItem("PickingTablet", "Pages.Master.LogW.PickingTablet", "flaticon-book",   "/app/main/master/logw/pickingtablet"),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'master/logw/pickingtablet',
    loadChildren: () =&gt; import('./master/logw/pickingtablet/pickingtablet.module').then(m =&gt; m.PickingTabletModule),
    data: { permission: 'Pages.Master.LogW.PickingTablet' }
},</v>
      </c>
      <c r="R10" s="50" t="str">
        <f>SUBSTITUTE(R9,"MstWptCalendar",$B$6)</f>
        <v>ApiServiceProxies.MstLgwPickingTabletServiceProxy,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H22</v>
      </c>
      <c r="I12" s="31" t="str">
        <f>"I"&amp;COUNTA($A:$A)</f>
        <v>I22</v>
      </c>
      <c r="J12" s="31"/>
      <c r="K12" s="31" t="str">
        <f>"K"&amp;COUNTA($A:$A)</f>
        <v>K22</v>
      </c>
      <c r="L12" s="31" t="str">
        <f>"L"&amp;COUNTA($A:$A)</f>
        <v>L22</v>
      </c>
      <c r="M12" s="31"/>
      <c r="N12" s="31"/>
      <c r="O12" s="31"/>
      <c r="P12" s="31"/>
      <c r="Q12" s="31"/>
      <c r="R12" s="31"/>
      <c r="S12" s="31" t="str">
        <f>"S"&amp;COUNTA($A:$A)</f>
        <v>S22</v>
      </c>
      <c r="T12" s="31" t="str">
        <f>"T"&amp;COUNTA($A:$A)</f>
        <v>T22</v>
      </c>
      <c r="U12" s="31" t="str">
        <f>"U"&amp;COUNTA($A:$A)</f>
        <v>U22</v>
      </c>
      <c r="V12" s="31" t="str">
        <f>"V"&amp;COUNTA($A:$A)</f>
        <v>V22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this.l('Picking Tablet Id'),headerTooltip: this.l('Picking Tablet Id'),field: 'pickingTabletId',flex: 1},
			{headerName: this.l('Device Ip'),headerTooltip: this.l('Device Ip'),field: 'deviceIp',flex: 1},
			{headerName: this.l('Scan Type'),headerTooltip: this.l('Scan Type'),field: 'scanType',flex: 1},
			{headerName: this.l('Scan Name'),headerTooltip: this.l('Scan Name'),field: 'scanName',flex: 1},
			{headerName: this.l('Current Action'),headerTooltip: this.l('Current Action'),field: 'currentAction',flex: 1},
			{headerName: this.l('Lot No'),headerTooltip: this.l('Lot No'),field: 'lotNo',flex: 1},
			{headerName: this.l('Up Table'),headerTooltip: this.l('Up Table'),field: 'upTable',flex: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[(ngModel)]='pickingTabletId' name='pickingTabletId'
									class='form-control' [placeholder]="l('Picking Tablet Id')"
									type='text' (keyup.enter)='searchDatas()'&gt;
								&lt;/div&gt;
								&lt;div class='input-search'&gt;
									&lt;input [(ngModel)]='deviceIp' name='deviceIp'
									class='form-control' [placeholder]="l('Device Ip')"
									type='text' (keyup.enter)='searchDatas()'&gt;
								&lt;/div&gt;
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[(ngModel)]='scanName' name='scanName'
									class='form-control' [placeholder]="l('Scan Name')"
									type='text' (keyup.enter)='searchDatas()'&gt;
								&lt;/div&gt;
								&lt;div class='input-search'&gt;
									&lt;input [(ngModel)]='currentAction' name='currentAction'
									class='form-control' [placeholder]="l('Current Action')"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[(ngModel)]='upTable' name='upTable'
									class='form-control' [placeholder]="l('Up Table')"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
					&lt;div class='col-md-12 form-group row'&gt;
						&lt;label class='col-md-2 form-control title'&gt;Device Ip&lt;/label&gt;
						&lt;input type='text' class='col-md-10 form-control input-text' name='DeviceIp' [(ngModel)]='rowdata.deviceIp'&gt;
					&lt;/div&gt;
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Name&lt;/label&gt;
						&lt;input type='text' class='col-md-10 form-control input-text' name='ScanName' [(ngModel)]='rowdata.scanName'&gt;
					&lt;/div&gt;
					&lt;div class='col-md-12 form-group row'&gt;
						&lt;label class='col-md-2 form-control title'&gt;Current Action&lt;/label&gt;
						&lt;input type='text' class='col-md-10 form-control input-text' name='CurrentAction' [(ngModel)]='rowdata.currentAction'&gt;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title'&gt;Up Table&lt;/label&gt;
						&lt;input type='text' class='col-md-10 form-control input-text' name='UpTable' [(ngModel)]='rowdata.upTable'&gt;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pickingTabletId : string = '' ; 
	deviceIp : string = '' ; 
	scanType : string = '' ; 
	scanName : string = '' ; 
	currentAction : string = '' ; 
lotNo : string = '' ; 
	upTable : string = '' ; 
	isActive : string = '' ; </v>
      </c>
      <c r="T13" s="68" t="str">
        <f ca="1">TEXTJOIN2("
",TRUE,INDIRECT(T11):INDIRECT(T12))</f>
        <v xml:space="preserve">			this.pickingTabletId,
			this.deviceIp,
			this.scanType,
			this.scanName,
			this.currentAction,
			this.lotNo,
			this.upTable,
			this.isActive,</v>
      </c>
      <c r="U13" s="68" t="str">
        <f ca="1">TEXTJOIN2("
",TRUE,INDIRECT(U11):INDIRECT(U12))</f>
        <v>this.pickingTabletId = '',
		this.deviceIp = '',
		this.scanType = '',
		this.scanName = '',
		this.currentAction = '',
this.lotNo = '',
		this.upTable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pickingtablet.component.ts</v>
      </c>
      <c r="I14" s="40" t="str">
        <f>B8&amp;".component.html"</f>
        <v>pickingtablet.component.html</v>
      </c>
      <c r="J14" s="39" t="str">
        <f>B8&amp;".component.less"</f>
        <v>pickingtablet.component.less</v>
      </c>
      <c r="K14" s="40" t="str">
        <f>"create-or-edit-"&amp;B8&amp;"-modal.component.html"</f>
        <v>create-or-edit-pickingtablet-modal.component.html</v>
      </c>
      <c r="L14" s="40" t="str">
        <f>"create-or-edit-"&amp;B8&amp;"-modal.component.ts"</f>
        <v>create-or-edit-pickingtablet-modal.component.ts</v>
      </c>
      <c r="M14" s="40" t="str">
        <f>"create-or-edit-"&amp;B8&amp;"-modal.component.less"</f>
        <v>create-or-edit-pickingtablet-modal.component.less</v>
      </c>
      <c r="N14" s="40" t="str">
        <f>B8&amp;".module.ts"</f>
        <v>pickingtablet.module.ts</v>
      </c>
      <c r="O14" s="40" t="str">
        <f>B8&amp;"-routing.module.ts"</f>
        <v>pickingtablet-routing.module.ts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314</v>
      </c>
      <c r="B15" s="31" t="str">
        <f>SUBSTITUTE(PROPER(A15),"_","")</f>
        <v>PickingTabletId</v>
      </c>
      <c r="C15" s="31" t="str">
        <f>SUBSTITUTE(PROPER(A15),"_"," ")</f>
        <v>Picking Tablet Id</v>
      </c>
      <c r="D15" s="31" t="str">
        <f>LOWER(LEFT(B15,1))&amp;RIGHT(B15,LEN(B15) - 1)</f>
        <v>pickingTabletId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this.l('Picking Tablet Id'),headerTooltip: this.l('Picking Tablet Id'),field: 'pickingTabletId',flex: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[(ngModel)]='pickingTabletId' name='pickingTabletId'
									class='form-control' [placeholder]="l('Picking Tablet Id')"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title'&gt;Picking Tablet Id&lt;/label&gt;
						&lt;input type='text' class='col-md-10 form-control input-text' name='PickingTabletId' [(ngModel)]='rowdata.pickingTabletId'&gt;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pickingTabletId : string = '' ; </v>
      </c>
      <c r="T15" s="31" t="str">
        <f>REPT(CHAR(9),3)&amp;"this."&amp;D15&amp;","</f>
        <v xml:space="preserve">			this.pickingTabletId,</v>
      </c>
      <c r="U15" s="31" t="str">
        <f>IF(E15="int","this."&amp;D15&amp;" = 0,","this."&amp;D15&amp;" = '',")</f>
        <v>this.pickingTabletId = '',</v>
      </c>
      <c r="V15" s="31" t="str">
        <f>IF(AND(E15="string",F15="1"),D15,"")</f>
        <v/>
      </c>
    </row>
    <row r="16" spans="1:22" ht="15" customHeight="1" x14ac:dyDescent="0.25">
      <c r="A16" s="44" t="s">
        <v>315</v>
      </c>
      <c r="B16" s="31" t="str">
        <f t="shared" ref="B16:B17" si="0">SUBSTITUTE(PROPER(A16),"_","")</f>
        <v>DeviceIp</v>
      </c>
      <c r="C16" s="31" t="str">
        <f t="shared" ref="C16:C17" si="1">SUBSTITUTE(PROPER(A16),"_"," ")</f>
        <v>Device Ip</v>
      </c>
      <c r="D16" s="31" t="str">
        <f t="shared" ref="D16:D17" si="2">LOWER(LEFT(B16,1))&amp;RIGHT(B16,LEN(B16) - 1)</f>
        <v>deviceIp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this.l('Device Ip'),headerTooltip: this.l('Device Ip'),field: 'deviceIp',flex: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[(ngModel)]='deviceIp' name='deviceIp'
									class='form-control' [placeholder]="l('Device Ip')"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title'&gt;Device Ip&lt;/label&gt;
						&lt;input type='text' class='col-md-10 form-control input-text' name='DeviceIp' [(ngModel)]='rowdata.deviceIp'&gt;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deviceIp : string = '' ; </v>
      </c>
      <c r="T16" s="31" t="str">
        <f>REPT(CHAR(9),3)&amp;"this."&amp;D16&amp;","</f>
        <v xml:space="preserve">			this.deviceIp,</v>
      </c>
      <c r="U16" s="31" t="str">
        <f>IF(E16="int",REPT(CHAR(9),2)&amp;"this."&amp;D16&amp;" = 0,",REPT(CHAR(9),2)&amp;"this."&amp;D16&amp;" = '',")</f>
        <v xml:space="preserve">		this.deviceIp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308</v>
      </c>
      <c r="B17" s="31" t="str">
        <f t="shared" si="0"/>
        <v>ScanType</v>
      </c>
      <c r="C17" s="31" t="str">
        <f t="shared" si="1"/>
        <v>Scan Type</v>
      </c>
      <c r="D17" s="31" t="str">
        <f t="shared" si="2"/>
        <v>scanType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this.l('Scan Type'),headerTooltip: this.l('Scan Type'),field: 'scanType',flex: 1},</v>
      </c>
      <c r="I17" s="38" t="str">
        <f t="shared" si="5"/>
        <v xml:space="preserve">								&lt;div class='input-search'&gt;
									&lt;input [(ngModel)]='scanType' name='scanType'
									class='form-control' [placeholder]="l('Scan Type')"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title'&gt;Scan Type&lt;/label&gt;
						&lt;input type='text' class='col-md-10 form-control input-text' name='ScanType' [(ngModel)]='rowdata.scanType'&gt;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scanType : string = '' ; </v>
      </c>
      <c r="T17" s="31" t="str">
        <f t="shared" ref="T17:T19" si="10">REPT(CHAR(9),3)&amp;"this."&amp;D17&amp;","</f>
        <v xml:space="preserve">			this.scanType,</v>
      </c>
      <c r="U17" s="31" t="str">
        <f t="shared" ref="U17:U19" si="11">IF(E17="int",REPT(CHAR(9),2)&amp;"this."&amp;D17&amp;" = 0,",REPT(CHAR(9),2)&amp;"this."&amp;D17&amp;" = '',")</f>
        <v xml:space="preserve">		this.scanType = '',</v>
      </c>
      <c r="V17" s="31" t="str">
        <f t="shared" si="8"/>
        <v/>
      </c>
    </row>
    <row r="18" spans="1:22" ht="18" customHeight="1" x14ac:dyDescent="0.25">
      <c r="A18" s="44" t="s">
        <v>309</v>
      </c>
      <c r="B18" s="31" t="str">
        <f>SUBSTITUTE(PROPER(A18),"_","")</f>
        <v>ScanName</v>
      </c>
      <c r="C18" s="31" t="str">
        <f>SUBSTITUTE(PROPER(A18),"_"," ")</f>
        <v>Scan Name</v>
      </c>
      <c r="D18" s="31" t="str">
        <f>LOWER(LEFT(B18,1))&amp;RIGHT(B18,LEN(B18) - 1)</f>
        <v>scanName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this.l('Scan Name'),headerTooltip: this.l('Scan Name'),field: 'scanName',flex: 1},</v>
      </c>
      <c r="I18" s="38" t="str">
        <f t="shared" si="5"/>
        <v xml:space="preserve">								&lt;div class='input-search'&gt;
									&lt;input [(ngModel)]='scanName' name='scanName'
									class='form-control' [placeholder]="l('Scan Name')"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title'&gt;Scan Name&lt;/label&gt;
						&lt;input type='text' class='col-md-10 form-control input-text' name='ScanName' [(ngModel)]='rowdata.scanName'&gt;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scanName : string = '' ; </v>
      </c>
      <c r="T18" s="31" t="str">
        <f t="shared" si="10"/>
        <v xml:space="preserve">			this.scanName,</v>
      </c>
      <c r="U18" s="31" t="str">
        <f t="shared" si="11"/>
        <v xml:space="preserve">		this.scanName = '',</v>
      </c>
      <c r="V18" s="31" t="str">
        <f t="shared" si="8"/>
        <v/>
      </c>
    </row>
    <row r="19" spans="1:22" ht="15" customHeight="1" x14ac:dyDescent="0.25">
      <c r="A19" s="44" t="s">
        <v>310</v>
      </c>
      <c r="B19" s="31" t="str">
        <f t="shared" ref="B19" si="12">SUBSTITUTE(PROPER(A19),"_","")</f>
        <v>CurrentAction</v>
      </c>
      <c r="C19" s="31" t="str">
        <f t="shared" ref="C19" si="13">SUBSTITUTE(PROPER(A19),"_"," ")</f>
        <v>Current Action</v>
      </c>
      <c r="D19" s="31" t="str">
        <f t="shared" ref="D19" si="14">LOWER(LEFT(B19,1))&amp;RIGHT(B19,LEN(B19) - 1)</f>
        <v>currentAction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this.l('Current Action'),headerTooltip: this.l('Current Action'),field: 'currentAction',flex: 1},</v>
      </c>
      <c r="I19" s="38" t="str">
        <f t="shared" si="5"/>
        <v xml:space="preserve">								&lt;div class='input-search'&gt;
									&lt;input [(ngModel)]='currentAction' name='currentAction'
									class='form-control' [placeholder]="l('Current Action')"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title'&gt;Current Action&lt;/label&gt;
						&lt;input type='text' class='col-md-10 form-control input-text' name='CurrentAction' [(ngModel)]='rowdata.currentAction'&gt;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currentAction : string = '' ; </v>
      </c>
      <c r="T19" s="31" t="str">
        <f t="shared" si="10"/>
        <v xml:space="preserve">			this.currentAction,</v>
      </c>
      <c r="U19" s="31" t="str">
        <f t="shared" si="11"/>
        <v xml:space="preserve">		this.currentAction = '',</v>
      </c>
      <c r="V19" s="31" t="str">
        <f t="shared" si="8"/>
        <v/>
      </c>
    </row>
    <row r="20" spans="1:22" ht="18" customHeight="1" x14ac:dyDescent="0.25">
      <c r="A20" s="44" t="s">
        <v>311</v>
      </c>
      <c r="B20" s="31" t="str">
        <f>SUBSTITUTE(PROPER(A20),"_","")</f>
        <v>LotNo</v>
      </c>
      <c r="C20" s="31" t="str">
        <f>SUBSTITUTE(PROPER(A20),"_"," ")</f>
        <v>Lot No</v>
      </c>
      <c r="D20" s="31" t="str">
        <f>LOWER(LEFT(B20,1))&amp;RIGHT(B20,LEN(B20) - 1)</f>
        <v>lotNo</v>
      </c>
      <c r="E20" s="31" t="str">
        <f>A.Backend!H14</f>
        <v>string</v>
      </c>
      <c r="F20" s="31" t="str">
        <f>A.Backend!G14</f>
        <v>50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this.l('Lot No'),headerTooltip: this.l('Lot No'),field: 'lotNo',flex: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lotNo : string = '' ; </v>
      </c>
      <c r="T20" s="31" t="str">
        <f>REPT(CHAR(9),3)&amp;"this."&amp;D20&amp;","</f>
        <v xml:space="preserve">			this.lotNo,</v>
      </c>
      <c r="U20" s="31" t="str">
        <f>IF(E20="int","this."&amp;D20&amp;" = 0,","this."&amp;D20&amp;" = '',")</f>
        <v>this.lotNo = '',</v>
      </c>
      <c r="V20" s="31" t="str">
        <f>IF(AND(E20="string",F20="1"),D20,"")</f>
        <v/>
      </c>
    </row>
    <row r="21" spans="1:22" ht="15" customHeight="1" x14ac:dyDescent="0.25">
      <c r="A21" s="44" t="s">
        <v>312</v>
      </c>
      <c r="B21" s="31" t="str">
        <f t="shared" ref="B21:B22" si="15">SUBSTITUTE(PROPER(A21),"_","")</f>
        <v>UpTable</v>
      </c>
      <c r="C21" s="31" t="str">
        <f t="shared" ref="C21:C22" si="16">SUBSTITUTE(PROPER(A21),"_"," ")</f>
        <v>Up Table</v>
      </c>
      <c r="D21" s="31" t="str">
        <f t="shared" ref="D21:D22" si="17">LOWER(LEFT(B21,1))&amp;RIGHT(B21,LEN(B21) - 1)</f>
        <v>upTable</v>
      </c>
      <c r="E21" s="31" t="str">
        <f>A.Backend!H15</f>
        <v>string</v>
      </c>
      <c r="F21" s="31" t="str">
        <f>A.Backend!G15</f>
        <v>20</v>
      </c>
      <c r="G21" s="31" t="str">
        <f t="shared" ref="G21:G22" si="18">IF(E21="string"," : string = '' ; ",IF(OR(E21="DateTime",E21="TimeSpan")," : any ;",IF(E21="int"," : number = 0 ;","")))</f>
        <v xml:space="preserve"> : string = '' ; </v>
      </c>
      <c r="H21" s="38" t="str">
        <f t="shared" ref="H21:H22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this.l('Up Table'),headerTooltip: this.l('Up Table'),field: 'upTable',flex: 1},</v>
      </c>
      <c r="I21" s="38" t="str">
        <f t="shared" ref="I21:I22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[(ngModel)]='upTable' name='upTable'
									class='form-control' [placeholder]="l('Up Table')"
									type='text' (keyup.enter)='searchDatas()'&gt;
								&lt;/div&gt;</v>
      </c>
      <c r="J21" s="31"/>
      <c r="K21" s="38" t="str">
        <f t="shared" ref="K21:K22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title'&gt;Up Table&lt;/label&gt;
						&lt;input type='text' class='col-md-10 form-control input-text' name='UpTable' [(ngModel)]='rowdata.upTable'&gt;
					&lt;/div&gt;</v>
      </c>
      <c r="L21" s="60" t="str">
        <f t="shared" ref="L21:L22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upTable : string = '' ; </v>
      </c>
      <c r="T21" s="31" t="str">
        <f>REPT(CHAR(9),3)&amp;"this."&amp;D21&amp;","</f>
        <v xml:space="preserve">			this.upTable,</v>
      </c>
      <c r="U21" s="31" t="str">
        <f>IF(E21="int",REPT(CHAR(9),2)&amp;"this."&amp;D21&amp;" = 0,",REPT(CHAR(9),2)&amp;"this."&amp;D21&amp;" = '',")</f>
        <v xml:space="preserve">		this.upTable = '',</v>
      </c>
      <c r="V21" s="31" t="str">
        <f t="shared" ref="V21:V22" si="23">IF(AND(E21="string",F21="1"),D21,"")</f>
        <v/>
      </c>
    </row>
    <row r="22" spans="1:22" ht="18" customHeight="1" x14ac:dyDescent="0.25">
      <c r="A22" s="44" t="s">
        <v>301</v>
      </c>
      <c r="B22" s="31" t="str">
        <f t="shared" si="15"/>
        <v>IsActive</v>
      </c>
      <c r="C22" s="31" t="str">
        <f t="shared" si="16"/>
        <v>Is Active</v>
      </c>
      <c r="D22" s="31" t="str">
        <f t="shared" si="17"/>
        <v>isActive</v>
      </c>
      <c r="E22" s="31" t="str">
        <f>A.Backend!H16</f>
        <v>string</v>
      </c>
      <c r="F22" s="31" t="str">
        <f>A.Backend!G16</f>
        <v>1</v>
      </c>
      <c r="G22" s="31" t="str">
        <f t="shared" si="18"/>
        <v xml:space="preserve"> : string = '' ; </v>
      </c>
      <c r="H22" s="38" t="str">
        <f t="shared" si="19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2" s="38" t="str">
        <f t="shared" si="20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2" s="31"/>
      <c r="K22" s="38" t="str">
        <f t="shared" si="21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2" s="60" t="str">
        <f t="shared" si="22"/>
        <v/>
      </c>
      <c r="M22" s="31"/>
      <c r="N22" s="31"/>
      <c r="O22" s="31"/>
      <c r="P22" s="31"/>
      <c r="Q22" s="31"/>
      <c r="R22" s="31"/>
      <c r="S22" s="31" t="str">
        <f t="shared" ref="S22" si="24">REPT(CHAR(9),1)&amp;D22&amp;G22</f>
        <v xml:space="preserve">	isActive : string = '' ; </v>
      </c>
      <c r="T22" s="31" t="str">
        <f t="shared" ref="T22" si="25">REPT(CHAR(9),3)&amp;"this."&amp;D22&amp;","</f>
        <v xml:space="preserve">			this.isActive,</v>
      </c>
      <c r="U22" s="31" t="str">
        <f t="shared" ref="U22" si="26">IF(E22="int",REPT(CHAR(9),2)&amp;"this."&amp;D22&amp;" = 0,",REPT(CHAR(9),2)&amp;"this."&amp;D22&amp;" = '',")</f>
        <v xml:space="preserve">		this.isActive = '',</v>
      </c>
      <c r="V22" s="31" t="str">
        <f t="shared" si="23"/>
        <v>isActive</v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2022-08-02T09:36:51Z</dcterms:modified>
</cp:coreProperties>
</file>
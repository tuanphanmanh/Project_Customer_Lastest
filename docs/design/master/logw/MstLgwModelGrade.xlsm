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master\logw\"/>
    </mc:Choice>
  </mc:AlternateContent>
  <bookViews>
    <workbookView xWindow="0" yWindow="0" windowWidth="28800" windowHeight="11805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I18" i="5" s="1"/>
  <c r="F18" i="5"/>
  <c r="E19" i="5"/>
  <c r="F19" i="5"/>
  <c r="V19" i="5" s="1"/>
  <c r="E20" i="5"/>
  <c r="F20" i="5"/>
  <c r="D19" i="5"/>
  <c r="T19" i="5" s="1"/>
  <c r="C19" i="5"/>
  <c r="H19" i="5" s="1"/>
  <c r="B19" i="5"/>
  <c r="V18" i="5"/>
  <c r="C18" i="5"/>
  <c r="B18" i="5"/>
  <c r="D18" i="5" s="1"/>
  <c r="L13" i="1"/>
  <c r="G13" i="1"/>
  <c r="E13" i="1"/>
  <c r="H13" i="1" s="1"/>
  <c r="D13" i="1"/>
  <c r="V13" i="1" s="1"/>
  <c r="L12" i="1"/>
  <c r="H12" i="1"/>
  <c r="W12" i="1" s="1"/>
  <c r="G12" i="1"/>
  <c r="E12" i="1"/>
  <c r="D12" i="1"/>
  <c r="P12" i="1" s="1"/>
  <c r="L18" i="5" l="1"/>
  <c r="G18" i="5"/>
  <c r="S18" i="5" s="1"/>
  <c r="T18" i="5"/>
  <c r="K18" i="5"/>
  <c r="U18" i="5"/>
  <c r="I19" i="5"/>
  <c r="H18" i="5"/>
  <c r="K19" i="5"/>
  <c r="U19" i="5"/>
  <c r="G19" i="5"/>
  <c r="S19" i="5" s="1"/>
  <c r="L19" i="5"/>
  <c r="T12" i="1"/>
  <c r="T13" i="1"/>
  <c r="N13" i="1"/>
  <c r="I13" i="1"/>
  <c r="M13" i="1"/>
  <c r="W13" i="1"/>
  <c r="O13" i="1"/>
  <c r="J13" i="1"/>
  <c r="I12" i="1"/>
  <c r="N12" i="1"/>
  <c r="V12" i="1"/>
  <c r="P13" i="1"/>
  <c r="M12" i="1"/>
  <c r="J12" i="1"/>
  <c r="O12" i="1"/>
  <c r="W3" i="1" l="1"/>
  <c r="V3" i="1"/>
  <c r="B2" i="5" l="1"/>
  <c r="B3" i="5" s="1"/>
  <c r="B20" i="5"/>
  <c r="D20" i="5" s="1"/>
  <c r="G14" i="1"/>
  <c r="E14" i="1"/>
  <c r="H14" i="1" s="1"/>
  <c r="D14" i="1"/>
  <c r="V14" i="1" l="1"/>
  <c r="T14" i="1"/>
  <c r="N14" i="1"/>
  <c r="M14" i="1"/>
  <c r="O14" i="1"/>
  <c r="W14" i="1"/>
  <c r="T20" i="5"/>
  <c r="C20" i="5"/>
  <c r="J14" i="1"/>
  <c r="I14" i="1"/>
  <c r="P14" i="1"/>
  <c r="B6" i="5"/>
  <c r="L20" i="5" l="1"/>
  <c r="K20" i="5"/>
  <c r="I20" i="5"/>
  <c r="H20" i="5"/>
  <c r="G20" i="5"/>
  <c r="S20" i="5" s="1"/>
  <c r="U20" i="5"/>
  <c r="V20" i="5"/>
  <c r="U7" i="1" l="1"/>
  <c r="B7" i="5" l="1"/>
  <c r="Q3" i="1" l="1"/>
  <c r="O7" i="1" s="1"/>
  <c r="T3" i="1"/>
  <c r="F3" i="1"/>
  <c r="B4" i="5" l="1"/>
  <c r="N7" i="1"/>
  <c r="E47" i="3" s="1"/>
  <c r="K7" i="1"/>
  <c r="H6" i="1"/>
  <c r="R10" i="5" l="1"/>
  <c r="M54" i="3" s="1"/>
  <c r="N47" i="3" l="1"/>
  <c r="B8" i="5"/>
  <c r="B5" i="5"/>
  <c r="D9" i="1"/>
  <c r="V9" i="1" l="1"/>
  <c r="T9" i="1"/>
  <c r="P10" i="5"/>
  <c r="K54" i="3" s="1"/>
  <c r="Q10" i="5"/>
  <c r="L54" i="3" s="1"/>
  <c r="B52" i="3"/>
  <c r="C52" i="3" s="1"/>
  <c r="M14" i="5"/>
  <c r="H53" i="3" s="1"/>
  <c r="L14" i="5"/>
  <c r="G53" i="3" s="1"/>
  <c r="K14" i="5"/>
  <c r="F53" i="3" s="1"/>
  <c r="L53" i="3"/>
  <c r="K53" i="3"/>
  <c r="O14" i="5"/>
  <c r="J53" i="3" s="1"/>
  <c r="N14" i="5"/>
  <c r="I53" i="3" s="1"/>
  <c r="J14" i="5"/>
  <c r="E53" i="3" s="1"/>
  <c r="I14" i="5"/>
  <c r="D53" i="3" s="1"/>
  <c r="H14" i="5"/>
  <c r="C53" i="3" s="1"/>
  <c r="O10" i="5"/>
  <c r="J54" i="3" s="1"/>
  <c r="N10" i="5"/>
  <c r="I54" i="3" s="1"/>
  <c r="M10" i="5"/>
  <c r="H54" i="3" s="1"/>
  <c r="J10" i="5"/>
  <c r="E54" i="3" s="1"/>
  <c r="N3" i="1" l="1"/>
  <c r="M3" i="1"/>
  <c r="O3" i="1"/>
  <c r="D10" i="1"/>
  <c r="D11" i="1"/>
  <c r="V10" i="1" l="1"/>
  <c r="T10" i="1"/>
  <c r="V11" i="1"/>
  <c r="T11" i="1"/>
  <c r="C15" i="5"/>
  <c r="B15" i="5"/>
  <c r="D15" i="5" s="1"/>
  <c r="V16" i="1"/>
  <c r="V12" i="5" l="1"/>
  <c r="L12" i="5"/>
  <c r="U12" i="5"/>
  <c r="S12" i="5"/>
  <c r="H12" i="5"/>
  <c r="K12" i="5"/>
  <c r="T12" i="5"/>
  <c r="I12" i="5"/>
  <c r="T15" i="5"/>
  <c r="C17" i="5"/>
  <c r="B17" i="5"/>
  <c r="D17" i="5" s="1"/>
  <c r="C16" i="5"/>
  <c r="B16" i="5"/>
  <c r="D16" i="5" s="1"/>
  <c r="T16" i="5" s="1"/>
  <c r="T17" i="5" l="1"/>
  <c r="R3" i="1"/>
  <c r="D1" i="1"/>
  <c r="F6" i="1"/>
  <c r="T13" i="5"/>
  <c r="G9" i="1" l="1"/>
  <c r="F15" i="5" s="1"/>
  <c r="G10" i="1"/>
  <c r="G11" i="1"/>
  <c r="E9" i="1"/>
  <c r="H9" i="1" s="1"/>
  <c r="E10" i="1"/>
  <c r="H10" i="1" s="1"/>
  <c r="E11" i="1"/>
  <c r="H11" i="1" s="1"/>
  <c r="P9" i="1"/>
  <c r="P10" i="1"/>
  <c r="P11" i="1"/>
  <c r="T16" i="1"/>
  <c r="O11" i="1" l="1"/>
  <c r="M11" i="1"/>
  <c r="N11" i="1"/>
  <c r="O10" i="1"/>
  <c r="M10" i="1"/>
  <c r="N10" i="1"/>
  <c r="O9" i="1"/>
  <c r="M9" i="1"/>
  <c r="N9" i="1"/>
  <c r="W11" i="1"/>
  <c r="E15" i="5"/>
  <c r="W9" i="1"/>
  <c r="W10" i="1"/>
  <c r="T7" i="1"/>
  <c r="I11" i="1"/>
  <c r="I10" i="1"/>
  <c r="I9" i="1"/>
  <c r="W16" i="1"/>
  <c r="L16" i="5" l="1"/>
  <c r="H16" i="5"/>
  <c r="I16" i="5"/>
  <c r="K16" i="5"/>
  <c r="L17" i="5"/>
  <c r="H17" i="5"/>
  <c r="I17" i="5"/>
  <c r="K17" i="5"/>
  <c r="L15" i="5"/>
  <c r="K15" i="5"/>
  <c r="I15" i="5"/>
  <c r="H15" i="5"/>
  <c r="G16" i="5"/>
  <c r="S16" i="5" s="1"/>
  <c r="U16" i="5"/>
  <c r="V16" i="5"/>
  <c r="G15" i="5"/>
  <c r="S15" i="5" s="1"/>
  <c r="V15" i="5"/>
  <c r="U15" i="5"/>
  <c r="G17" i="5"/>
  <c r="S17" i="5" s="1"/>
  <c r="U17" i="5"/>
  <c r="V17" i="5"/>
  <c r="G6" i="1"/>
  <c r="I13" i="5"/>
  <c r="U13" i="5"/>
  <c r="K13" i="5"/>
  <c r="L13" i="5"/>
  <c r="S13" i="5"/>
  <c r="V13" i="5"/>
  <c r="H13" i="5"/>
  <c r="K10" i="5" l="1"/>
  <c r="F54" i="3" s="1"/>
  <c r="I10" i="5"/>
  <c r="D54" i="3" s="1"/>
  <c r="H10" i="5"/>
  <c r="C54" i="3" s="1"/>
  <c r="L10" i="5"/>
  <c r="G54" i="3" s="1"/>
  <c r="L47" i="3"/>
  <c r="D47" i="3"/>
  <c r="D6" i="1"/>
  <c r="B6" i="1" l="1"/>
  <c r="L3" i="1"/>
  <c r="J3" i="1"/>
  <c r="H3" i="1"/>
  <c r="C6" i="1" l="1"/>
  <c r="P7" i="1" s="1"/>
  <c r="S3" i="1"/>
  <c r="S7" i="1" s="1"/>
  <c r="E6" i="1"/>
  <c r="F47" i="3"/>
  <c r="I3" i="1" l="1"/>
  <c r="B7" i="1"/>
  <c r="L11" i="1" s="1"/>
  <c r="L14" i="1" l="1"/>
  <c r="L9" i="1"/>
  <c r="L10" i="1"/>
  <c r="J11" i="1"/>
  <c r="J9" i="1"/>
  <c r="J10" i="1"/>
  <c r="C7" i="1"/>
  <c r="J16" i="1"/>
  <c r="P16" i="1"/>
  <c r="O16" i="1"/>
  <c r="N16" i="1"/>
  <c r="I16" i="1"/>
  <c r="Q7" i="1" l="1"/>
  <c r="M47" i="3" s="1"/>
  <c r="L7" i="1"/>
  <c r="G47" i="3" s="1"/>
  <c r="K47" i="3"/>
  <c r="J47" i="3"/>
  <c r="K16" i="1"/>
  <c r="M16" i="1"/>
  <c r="R7" i="1" l="1"/>
  <c r="I47" i="3" s="1"/>
  <c r="M7" i="1"/>
  <c r="H47" i="3" s="1"/>
  <c r="J7" i="1"/>
  <c r="C47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J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L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M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N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<sst xmlns="http://schemas.openxmlformats.org/spreadsheetml/2006/main" count="391" uniqueCount="313">
  <si>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</si>
  <si>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</si>
  <si>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</si>
  <si>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</si>
  <si>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</si>
  <si>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</si>
  <si>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</si>
  <si>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</si>
  <si>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</si>
  <si>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</si>
  <si>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</si>
  <si>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</si>
  <si>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</si>
  <si>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</si>
  <si>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</si>
  <si>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</si>
  <si>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</si>
  <si>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</si>
  <si>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</si>
  <si>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</si>
  <si>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</si>
  <si>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</si>
  <si>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</si>
  <si>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</si>
  <si>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</si>
  <si>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</si>
  <si>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</si>
  <si>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</si>
  <si>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</si>
  <si>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</si>
  <si>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</si>
  <si>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</si>
  <si>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</si>
  <si>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</si>
  <si>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</si>
  <si>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</si>
  <si>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</si>
  <si>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</si>
  <si>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</si>
  <si>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</si>
  <si>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</si>
  <si>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</si>
  <si>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</si>
  <si>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</si>
  <si>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</si>
  <si>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</si>
  <si>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</si>
  <si>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</si>
  <si>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</si>
  <si>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</si>
  <si>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</si>
  <si>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</si>
  <si>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</si>
  <si>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</si>
  <si>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</si>
  <si>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</si>
  <si>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</si>
  <si>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</si>
  <si>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</si>
  <si>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</si>
  <si>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</si>
  <si>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</si>
  <si>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</si>
  <si>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</si>
  <si>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</si>
  <si>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</si>
  <si>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</si>
  <si>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</si>
  <si>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</si>
  <si>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</si>
  <si>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</si>
  <si>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</si>
  <si>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</si>
  <si>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</si>
  <si>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</si>
  <si>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</si>
  <si>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</si>
  <si>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</si>
  <si>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</si>
  <si>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</si>
  <si>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</si>
  <si>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</si>
  <si>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</si>
  <si>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</si>
  <si>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</si>
  <si>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</si>
  <si>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</si>
  <si>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</si>
  <si>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</si>
  <si>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</si>
  <si>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</si>
  <si>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</si>
  <si>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</si>
  <si>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</si>
  <si>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</si>
  <si>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</si>
  <si>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</si>
  <si>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</si>
  <si>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</si>
  <si>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</si>
  <si>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</si>
  <si>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</si>
  <si>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</si>
  <si>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</si>
  <si>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</si>
  <si>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</si>
  <si>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</si>
  <si>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</si>
  <si>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</si>
  <si>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</si>
  <si>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</si>
  <si>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</si>
  <si>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</si>
  <si>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</si>
  <si>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</si>
  <si>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</si>
  <si>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</si>
  <si>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</si>
  <si>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</si>
  <si>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</si>
  <si>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</si>
  <si>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</si>
  <si>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</si>
  <si>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</si>
  <si>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</si>
  <si>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</si>
  <si>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</si>
  <si>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</si>
  <si>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</si>
  <si>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</si>
  <si>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</si>
  <si>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</si>
  <si>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</si>
  <si>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</si>
  <si>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</si>
  <si>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</si>
  <si>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</si>
  <si>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</si>
  <si>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</si>
  <si>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</si>
  <si>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</si>
  <si>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</si>
  <si>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</si>
  <si>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</si>
  <si>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</si>
  <si>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</si>
  <si>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</si>
  <si>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</si>
  <si>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</si>
  <si>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</si>
  <si>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</si>
  <si>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</si>
  <si>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</si>
  <si>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</si>
  <si>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</si>
  <si>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</si>
  <si>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</si>
  <si>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</si>
  <si>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</si>
  <si>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</si>
  <si>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</si>
  <si>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</si>
  <si>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</si>
  <si>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</si>
  <si>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</si>
  <si>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</si>
  <si>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</si>
  <si>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</si>
  <si>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</si>
  <si>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</si>
  <si>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</si>
  <si>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</si>
  <si>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</si>
  <si>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</si>
  <si>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</si>
  <si>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</si>
  <si>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</si>
  <si>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</si>
  <si>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</si>
  <si>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</si>
  <si>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</si>
  <si>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</si>
  <si>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</si>
  <si>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</si>
  <si>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</si>
  <si>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</si>
  <si>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</si>
  <si>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</si>
  <si>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</si>
  <si>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</si>
  <si>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</si>
  <si>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</si>
  <si>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</si>
  <si>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</si>
  <si>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</si>
  <si>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</si>
  <si>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</si>
  <si>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</si>
  <si>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</si>
  <si>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</si>
  <si>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</si>
  <si>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</si>
  <si>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</si>
  <si>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</si>
  <si>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</si>
  <si>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</si>
  <si>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</si>
  <si>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</si>
  <si>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</si>
  <si>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</si>
  <si>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</si>
  <si>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</si>
  <si>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</si>
  <si>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</si>
  <si>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</si>
  <si>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</si>
  <si>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</si>
  <si>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</si>
  <si>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</si>
  <si>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</si>
  <si>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</si>
  <si>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</si>
  <si>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</si>
  <si>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</si>
  <si>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</si>
  <si>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</si>
  <si>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</si>
  <si>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</si>
  <si>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</si>
  <si>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</si>
  <si>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</si>
  <si>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</si>
  <si>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</si>
  <si>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</si>
  <si>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</si>
  <si>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</si>
  <si>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</si>
  <si>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</si>
  <si>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</si>
  <si>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</si>
  <si>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</si>
  <si>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</si>
  <si>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</si>
  <si>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</si>
  <si>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</si>
  <si>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</si>
  <si>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</si>
  <si>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</si>
  <si>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</si>
  <si>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</si>
  <si>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</si>
  <si>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</si>
  <si>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</si>
  <si>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</si>
  <si>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</si>
  <si>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</si>
  <si>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</si>
  <si>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</si>
  <si>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</si>
  <si>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</si>
  <si>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</si>
  <si>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</si>
  <si>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</si>
  <si>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</si>
  <si>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</si>
  <si>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</si>
  <si>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</si>
  <si>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</si>
  <si>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</si>
  <si>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</si>
  <si>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</si>
  <si>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</si>
  <si>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</si>
  <si>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</si>
  <si>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</si>
  <si>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</si>
  <si>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</si>
  <si>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</si>
  <si>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</si>
  <si>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</si>
  <si>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</si>
  <si>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</si>
  <si>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</si>
  <si>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</si>
  <si>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</si>
  <si>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</si>
  <si>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</si>
  <si>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</si>
  <si>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</si>
  <si>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</si>
  <si>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</si>
  <si>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</si>
  <si>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</si>
  <si>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</si>
  <si>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</si>
  <si>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</si>
  <si>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</si>
  <si>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</si>
  <si>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</si>
  <si>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</si>
  <si>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</si>
  <si>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IS_ACTIVE</t>
  </si>
  <si>
    <t>Master.LogW</t>
  </si>
  <si>
    <t>varchar(10)</t>
  </si>
  <si>
    <t>varchar(50)</t>
  </si>
  <si>
    <t>MstLgwModelGrade</t>
  </si>
  <si>
    <t>ModelGrade</t>
  </si>
  <si>
    <t>MODEL</t>
  </si>
  <si>
    <t>GRADE</t>
  </si>
  <si>
    <t>MODULE_UP_QTY</t>
  </si>
  <si>
    <t>MODULE_MK_QTY</t>
  </si>
  <si>
    <t>UP_LEADTIME</t>
  </si>
  <si>
    <t>Master LogW LOT UP/MK Model Grade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</si>
</sst>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56"/>
  <sheetViews>
    <sheetView topLeftCell="A41" workbookViewId="0">
      <selection activeCell="C56" sqref="C56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x14ac:dyDescent="0.25">
      <c r="A17" s="1"/>
      <c r="B17" s="17"/>
      <c r="C17" t="s">
        <v>91</v>
      </c>
      <c r="F17" s="1" t="s">
        <v>100</v>
      </c>
      <c r="G17" s="17" t="s">
        <v>100</v>
      </c>
    </row>
    <row r="18" spans="1:7" x14ac:dyDescent="0.25">
      <c r="A18" s="1"/>
      <c r="B18" s="17"/>
      <c r="D18" t="s">
        <v>95</v>
      </c>
      <c r="F18" s="1" t="s">
        <v>114</v>
      </c>
      <c r="G18" s="17" t="s">
        <v>293</v>
      </c>
    </row>
    <row r="19" spans="1:7" x14ac:dyDescent="0.25">
      <c r="A19" s="1"/>
      <c r="B19" s="17"/>
      <c r="D19" t="s">
        <v>96</v>
      </c>
      <c r="F19" s="1" t="s">
        <v>104</v>
      </c>
      <c r="G19" s="17" t="s">
        <v>294</v>
      </c>
    </row>
    <row r="20" spans="1:7" x14ac:dyDescent="0.25">
      <c r="A20" s="1"/>
      <c r="B20" s="17"/>
      <c r="C20" t="s">
        <v>92</v>
      </c>
      <c r="F20" s="1" t="s">
        <v>101</v>
      </c>
      <c r="G20" s="17" t="s">
        <v>101</v>
      </c>
    </row>
    <row r="21" spans="1:7" x14ac:dyDescent="0.25">
      <c r="A21" s="1"/>
      <c r="B21" s="17"/>
      <c r="C21" t="s">
        <v>93</v>
      </c>
      <c r="F21" s="1" t="s">
        <v>102</v>
      </c>
      <c r="G21" s="17" t="s">
        <v>102</v>
      </c>
    </row>
    <row r="22" spans="1:7" x14ac:dyDescent="0.25">
      <c r="A22" s="1"/>
      <c r="B22" s="17"/>
      <c r="C22" t="s">
        <v>271</v>
      </c>
      <c r="F22" s="1" t="s">
        <v>272</v>
      </c>
      <c r="G22" s="17" t="s">
        <v>272</v>
      </c>
    </row>
    <row r="23" spans="1:7" x14ac:dyDescent="0.25">
      <c r="A23" s="1"/>
      <c r="B23" s="17"/>
      <c r="D23" t="s">
        <v>273</v>
      </c>
      <c r="F23" s="1" t="s">
        <v>275</v>
      </c>
      <c r="G23" s="17" t="s">
        <v>295</v>
      </c>
    </row>
    <row r="24" spans="1:7" x14ac:dyDescent="0.25">
      <c r="A24" s="1"/>
      <c r="B24" s="17"/>
      <c r="D24" t="s">
        <v>276</v>
      </c>
      <c r="F24" s="1" t="s">
        <v>274</v>
      </c>
      <c r="G24" s="17" t="s">
        <v>296</v>
      </c>
    </row>
    <row r="25" spans="1:7" x14ac:dyDescent="0.25">
      <c r="A25" s="1"/>
      <c r="B25" s="17"/>
      <c r="D25" t="s">
        <v>277</v>
      </c>
      <c r="F25" s="1" t="s">
        <v>280</v>
      </c>
      <c r="G25" s="17" t="s">
        <v>297</v>
      </c>
    </row>
    <row r="26" spans="1:7" x14ac:dyDescent="0.25">
      <c r="A26" s="1"/>
      <c r="B26" s="17"/>
      <c r="D26" t="s">
        <v>278</v>
      </c>
      <c r="F26" s="1" t="s">
        <v>281</v>
      </c>
      <c r="G26" s="17" t="s">
        <v>298</v>
      </c>
    </row>
    <row r="27" spans="1:7" x14ac:dyDescent="0.25">
      <c r="A27" s="1"/>
      <c r="B27" s="17"/>
      <c r="D27" t="s">
        <v>279</v>
      </c>
      <c r="F27" s="1" t="s">
        <v>282</v>
      </c>
      <c r="G27" s="17" t="s">
        <v>299</v>
      </c>
    </row>
    <row r="28" spans="1:7" x14ac:dyDescent="0.25">
      <c r="A28" s="1"/>
      <c r="B28" s="17"/>
      <c r="D28" t="s">
        <v>284</v>
      </c>
      <c r="F28" s="1" t="s">
        <v>283</v>
      </c>
      <c r="G28" s="17" t="s">
        <v>300</v>
      </c>
    </row>
    <row r="29" spans="1:7" x14ac:dyDescent="0.25">
      <c r="A29" s="1"/>
      <c r="B29" s="17"/>
      <c r="F29" s="1"/>
    </row>
    <row r="30" spans="1:7" x14ac:dyDescent="0.25">
      <c r="A30" s="1"/>
      <c r="B30" s="17"/>
    </row>
    <row r="31" spans="1:7" x14ac:dyDescent="0.25">
      <c r="A31" s="1"/>
      <c r="B31" s="17" t="s">
        <v>86</v>
      </c>
    </row>
    <row r="32" spans="1:7" x14ac:dyDescent="0.25">
      <c r="A32" s="1"/>
      <c r="B32" s="17" t="s">
        <v>83</v>
      </c>
    </row>
    <row r="33" spans="1:14" x14ac:dyDescent="0.25">
      <c r="A33" s="1"/>
      <c r="B33" s="17"/>
      <c r="C33" s="19" t="s">
        <v>80</v>
      </c>
    </row>
    <row r="34" spans="1:14" x14ac:dyDescent="0.25">
      <c r="A34" s="1"/>
      <c r="B34" s="17"/>
      <c r="C34" s="18" t="s">
        <v>81</v>
      </c>
    </row>
    <row r="35" spans="1:14" x14ac:dyDescent="0.25">
      <c r="A35" s="1"/>
      <c r="B35" s="17"/>
      <c r="C35" s="18" t="s">
        <v>82</v>
      </c>
    </row>
    <row r="36" spans="1:14" x14ac:dyDescent="0.25">
      <c r="A36" s="1"/>
      <c r="B36" s="17" t="s">
        <v>106</v>
      </c>
      <c r="C36" s="18"/>
    </row>
    <row r="37" spans="1:14" x14ac:dyDescent="0.25">
      <c r="A37" s="1"/>
      <c r="B37" s="17"/>
      <c r="C37" s="18" t="s">
        <v>107</v>
      </c>
    </row>
    <row r="38" spans="1:14" x14ac:dyDescent="0.25">
      <c r="A38" s="1"/>
      <c r="B38" s="17"/>
      <c r="C38" s="18" t="s">
        <v>108</v>
      </c>
    </row>
    <row r="39" spans="1:14" x14ac:dyDescent="0.25">
      <c r="A39" s="1"/>
      <c r="B39" s="17"/>
      <c r="C39" s="18" t="s">
        <v>109</v>
      </c>
    </row>
    <row r="40" spans="1:14" x14ac:dyDescent="0.25">
      <c r="A40" s="1"/>
      <c r="B40" s="17"/>
      <c r="C40" s="18" t="s">
        <v>111</v>
      </c>
    </row>
    <row r="41" spans="1:14" x14ac:dyDescent="0.25">
      <c r="A41" s="1"/>
      <c r="B41" s="17"/>
      <c r="C41" s="18" t="s">
        <v>113</v>
      </c>
    </row>
    <row r="42" spans="1:14" x14ac:dyDescent="0.25">
      <c r="A42" s="1"/>
      <c r="B42" s="17"/>
      <c r="C42" s="18" t="s">
        <v>112</v>
      </c>
    </row>
    <row r="43" spans="1:14" x14ac:dyDescent="0.25">
      <c r="A43" s="1"/>
      <c r="B43" s="17"/>
      <c r="C43" s="18" t="s">
        <v>110</v>
      </c>
    </row>
    <row r="44" spans="1:14" ht="21" customHeight="1" x14ac:dyDescent="0.25">
      <c r="B44" s="21" t="s">
        <v>78</v>
      </c>
    </row>
    <row r="45" spans="1:14" ht="21" customHeight="1" x14ac:dyDescent="0.25">
      <c r="B45" s="63" t="s">
        <v>231</v>
      </c>
    </row>
    <row r="46" spans="1:14" ht="15.75" thickBot="1" x14ac:dyDescent="0.3">
      <c r="C46" s="1" t="s">
        <v>72</v>
      </c>
      <c r="D46" s="1" t="s">
        <v>207</v>
      </c>
      <c r="E46" s="1" t="s">
        <v>208</v>
      </c>
      <c r="F46" s="1" t="s">
        <v>198</v>
      </c>
      <c r="G46" s="1" t="s">
        <v>199</v>
      </c>
      <c r="H46" s="1" t="s">
        <v>200</v>
      </c>
      <c r="I46" s="1" t="s">
        <v>201</v>
      </c>
      <c r="J46" s="1" t="s">
        <v>205</v>
      </c>
      <c r="K46" s="1" t="s">
        <v>209</v>
      </c>
      <c r="L46" s="1" t="s">
        <v>210</v>
      </c>
      <c r="M46" s="1" t="s">
        <v>211</v>
      </c>
      <c r="N46" s="1" t="s">
        <v>227</v>
      </c>
    </row>
    <row r="47" spans="1:14" s="16" customFormat="1" ht="21.75" customHeight="1" thickBot="1" x14ac:dyDescent="0.3">
      <c r="B47" s="52" t="s">
        <v>226</v>
      </c>
      <c r="C47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vovina.Master.LogW
{
	[Table("MstLgwModelGrade")]
	[Index(nameof(Model), Name="IX_MstLgwModelGrade_Model")]
	[Index(nameof(Grade), Name="IX_MstLgwModelGrade_Grade")]
	[Index(nameof(IsActive), Name="IX_MstLgwModelGrade_IsActive")]	public class MstLgwModelGrade: FullAuditedEntity&lt;long&gt;, IEntity&lt;long&gt;	
	{
		public const int MaxModelLength = 10;
		public const int MaxGradeLength = 10;
		public const int MaxIsActiveLength = 50;
		[StringLength(MaxModelLength)]
		public virtual string Model { get; set; }
		[StringLength(MaxGradeLength)]
		public virtual string Grade { get; set; }
		public virtual int ModuleUpQty { get; set; }
		public virtual int ModuleMkQty { get; set; }
		public virtual int UpLeadtime { get; set; }
		[StringLength(MaxIsActiveLength)]
		public virtual string IsActive { get; set; }
	}
}
</v>
      </c>
      <c r="D47" s="51" t="str">
        <f>A.Backend!O7</f>
        <v xml:space="preserve">		public const string Pages_Master_LogW_ModelGrade = "Pages.Master.LogW.ModelGrade";
		public const string Pages_Master_LogW_ModelGrade_CreateEdit = "Pages.Master.LogW.ModelGrade.CreateEdit";
		public const string Pages_Master_LogW_ModelGrade_Delete = "Pages.Master.LogW.ModelGrade.Delete";
</v>
      </c>
      <c r="E47" s="51" t="str">
        <f>A.Backend!N7</f>
        <v xml:space="preserve">		var perMstLgwModelGrade = PARENTS.CreateChildPermission(AppPermissions.Pages_Master_LogW_ModelGrade, L( "MasterLogWModelGrade"));
		perMstLgwModelGrade.CreateChildPermission(AppPermissions.Pages_Master_LogW_ModelGrade_CreateEdit, L( "MasterLogWModelGradeCreateEdit"));
		perMstLgwModelGrade.CreateChildPermission(AppPermissions.Pages_Master_LogW_ModelGrade_Delete, L( "MasterLogWModelGradeDelete"));</v>
      </c>
      <c r="F47" s="51" t="str">
        <f>A.Backend!K7</f>
        <v>public virtual DbSet&lt;MstLgwModelGrade&gt; MstLgwModelGrades { get; set; }</v>
      </c>
      <c r="G47" s="51" t="str">
        <f ca="1">A.Backend!L7</f>
        <v xml:space="preserve">namespace vovina.Master.LogW
{
	public class MstLgwModelGradeConsts	
	{
		public const int MaxModelLength = 10;
		public const int MaxGradeLength = 10;
		public const int MaxIsActiveLength = 50;
		// Define Store Name: Format SP_ + &lt;Store Name&gt; = &lt;Store Name&gt;
	}
}
</v>
      </c>
      <c r="H47" s="51" t="str">
        <f ca="1">A.Backend!M7</f>
        <v xml:space="preserve">using Abp.Application.Services.Dto;
using System;
using System.ComponentModel.DataAnnotations;
namespace vovina.Master.LogW.Dto
{
	public class MstLgwModelGradeDto : EntityDto&lt;long?&gt;	
	{
		public virtual string Model { get; set; }
		public virtual string Grade { get; set; }
		public virtual int ModuleUpQty { get; set; }
		public virtual int ModuleMkQty { get; set; }
		public virtual int UpLeadtime { get; set; }
		public virtual string IsActive { get; set; }
	}
	public class CreateOrEditMstLgwModelGradeDto : EntityDto&lt;long?&gt;	
	{
		[StringLength(MstLgwModelGradeConsts.MaxModelLength)]
		public virtual string Model { get; set; }
		[StringLength(MstLgwModelGradeConsts.MaxGradeLength)]
		public virtual string Grade { get; set; }
		public virtual int ModuleUpQty { get; set; }
		public virtual int ModuleMkQty { get; set; }
		public virtual int UpLeadtime { get; set; }
		[StringLength(MstLgwModelGradeConsts.MaxIsActiveLength)]
		public virtual string IsActive { get; set; }
	}
	public class GetMstLgwModelGradeInput : PagedAndSortedResultRequestDto	
	{
		public virtual string Model { get; set; }
		public virtual string Grade { get; set; }
		public virtual int ModuleUpQty { get; set; }
		public virtual int ModuleMkQty { get; set; }
		public virtual int UpLeadtime { get; set; }
		public virtual string IsActive { get; set; }
	}
}
</v>
      </c>
      <c r="I47" s="51" t="str">
        <f ca="1">A.Backend!R7</f>
        <v xml:space="preserve">using Abp.Application.Services.Dto;
using System;
using System.ComponentModel.DataAnnotations;
namespace vovina.Master.LogW.Dto
{
	public class MstLgwModelGradeExportInput{
		public virtual string Model { get; set; }
		public virtual string Grade { get; set; }
		public virtual int ModuleUpQty { get; set; }
		public virtual int ModuleMkQty { get; set; }
		public virtual int UpLeadtime { get; set; }
		public virtual string IsActive { get; set; }
	}
}
</v>
      </c>
      <c r="J47" s="51" t="str">
        <f>A.Backend!P7</f>
        <v xml:space="preserve">using Abp.Application.Services;
using Abp.Application.Services.Dto;
using System.Collections.Generic;using vovina.Dto;
using System.Threading.Tasks;
using vovina.Master.LogW.Dto;
namespace vovina.Master.LogW
{
	public interface IMstLgwModelGradeAppService : IApplicationService
	{
		Task&lt;PagedResultDto&lt;MstLgwModelGradeDto&gt;&gt; GetAll(GetMstLgwModelGradeInput input);
		Task CreateOrEdit(CreateOrEditMstLgwModelGradeDto input);
		Task Delete(EntityDto input);
	}
}
</v>
      </c>
      <c r="K47" s="51" t="str">
        <f>A.Backend!S7</f>
        <v xml:space="preserve">using Abp.Application.Services;
using Abp.Application.Services.Dto;
using System.Collections.Generic;using vovina.Dto;
using System.Threading.Tasks;
using vovina.Master.LogW.Dto;
namespace vovina.Master.LogW.Exporting
{
	public interface IMstLgwModelGradeExcelExporter : IApplicationService
	{
		FileDto ExportToFile(List&lt;MstLgwModelGradeDto&gt; mstlgwmodelgrade);
	}
}
</v>
      </c>
      <c r="L47" s="51" t="str">
        <f ca="1">A.Backend!T7</f>
        <v>using System.Collections.Generic;
using vovina.DataExporting.Excel.NPOI;
using vovina.Dto;
using vovina.Master.LogW.Exporting;
using vovina.Master.LogW.Dto;
using vovina.Storage;
using vovina.Master.LogW.Dto;
namespace vovina.Master.LogW.Exporting
{
    public class MstLgwModelGradeExcelExporter : NpoiExcelExporterBase, IMstLgwModelGradeExcelExporter
    {
        public MstLgwModelGradeExcelExporter(ITempFileCacheManager tempFileCacheManager) : base(tempFileCacheManager) { }
        public FileDto ExportToFile(List&lt;MstLgwModelGradeDto&gt; modelgrade)
        {
            return CreateExcelPackage(
				"MasterLogWModelGrade.xlsx",
				excelPackage =&gt;
				 {
					var sheet = excelPackage.CreateSheet("ModelGrade");
					AddHeader(
								sheet,
								("Model"),
								("Grade"),
								("ModuleUpQty"),
								("ModuleMkQty"),
								("UpLeadtime"),
								("IsActive"),
							   );
					AddObjects(
						 sheet, 1, modelgrade,                                       
								_ =&gt; _.Model,
								_ =&gt; _.Grade,
								_ =&gt; _.ModuleUpQty,
								_ =&gt; _.ModuleMkQty,
								_ =&gt; _.UpLeadtime,
								_ =&gt; _.IsActive,
								);
			for (var i = 0; i &lt; 8; i++)
				{
					sheet.AutoSizeColumn(i);
				}
			});
        }
    }
}</v>
      </c>
      <c r="M47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vovina.Master.LogW.Dto;
using vovina.Master.LogW.Exporting;
namespace vovina.Master.LogW
{
    [AbpAuthorize(AppPermissions.Pages_Master_LogW_ModelGrade)]
    public class MstLgwModelGradeAppService : vovinaAppServiceBase, IMstLgwModelGradeAppService
    {
        private readonly IDapperRepository&lt;MstLgwModelGrade, long&gt; _dapperRepo;
        private readonly IRepository&lt;MstLgwModelGrade, long&gt; _repo;
        private readonly IMstLgwModelGradeExcelExporter _calendarListExcelExporter;
        public MstLgwModelGradeAppService(IRepository&lt;MstLgwModelGrade,long&gt; repo, 
                                         IDapperRepository&lt;MstLgwModelGrade,long&gt; dapperRepo,
                                        IMstLgwModelGradeExcelExporter calendarListExcelExporter
            )
        {
            _repo = repo;
            _dapperRepo = dapperRepo;
            _calendarListExcelExporter = calendarListExcelExporter;
        }
        [AbpAuthorize(AppPermissions.Pages_Master_LogW_ModelGrade_CreateEdit)]
        public async Task CreateOrEdit(CreateOrEditMstLgwModelGradeDto input)
        {
            if (input.Id == null) await Create(input);
            else await Update(input);
        }
        //CREATE
        private async Task Create(CreateOrEditMstLgwModelGradeDto input)
        {          
            var mainObj = ObjectMapper.Map&lt;MstLgwModelGrade&gt;(input);
            await CurrentUnitOfWork.GetDbContext&lt;vovinaDbContext&gt;().AddAsync(mainObj);
        }
        // EDIT
        private async Task Update(CreateOrEditMstLgwModelGradeDto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[AbpAuthorize(AppPermissions.Pages_Master_LogW_ModelGrade_Delete)]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Task&lt;PagedResultDto&lt;MstLgwModelGradeDto&gt;&gt; GetAll(GetMstLgwModelGradeInput input)
        {
            var filtered = _repo.GetAll()
				.WhereIf(!string.IsNullOrWhiteSpace(input.Model), e =&gt; e.Model.Contains(input.Model))
				.WhereIf(!string.IsNullOrWhiteSpace(input.Grade), e =&gt; e.Grade.Contains(input.Grade))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MstLgwModelGradeDto
                        {
							Id = o.Id,
							Model = o.Model,
							Grade = o.Grade,
							ModuleUpQty = o.ModuleUpQty,
							ModuleMkQty = o.ModuleMkQty,
							UpLeadtime = o.UpLeadtime,
							IsActive = o.IsActive,
                        };
            var totalCount = await filtered.CountAsync();
			var paged = system.PageBy(input);
            return new PagedResultDto&lt;MstLgwModelGradeDto&gt;(
                totalCount,
                 await paged.ToListAsync()
            );
        }
        public async Task&lt;FileDto&gt; GetModelGradeToExcel(MstLgwModelGradeExportInput input)
        {
            var query = from o in _repo.GetAll()
                        select new MstLgwModelGradeDto
                        {
							Id = o.Id,
							Model = o.Model,
							Grade = o.Grade,
							ModuleUpQty = o.ModuleUpQty,
							ModuleMkQty = o.ModuleMkQty,
							UpLeadtime = o.UpLeadtime,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_dapperRepo.ExecuteAsync(MstLgwModelGradeConsts.SP_MST_WPT_CALENDAR_GENERATE);
       // }
    }
}</v>
      </c>
      <c r="N47" s="62" t="str">
        <f>A.Backend!U7</f>
        <v xml:space="preserve">  configuration.CreateMap&lt;MstLgwModelGradeDto, MstLgwModelGrade&gt;();
  configuration.CreateMap&lt;MstLgwModelGrade, MstLgwModelGradeDto&gt;();
  configuration.CreateMap&lt;CreateOrEditMstLgwModelGradeDto, MstLgwModelGrade&gt;();</v>
      </c>
    </row>
    <row r="48" spans="1:14" s="16" customFormat="1" ht="21.75" customHeight="1" x14ac:dyDescent="0.25">
      <c r="C48" s="65"/>
      <c r="D48" s="29"/>
      <c r="E48" s="29"/>
      <c r="F48" s="29"/>
      <c r="G48" s="29"/>
      <c r="H48" s="66"/>
      <c r="I48" s="67"/>
      <c r="J48" s="29"/>
      <c r="K48" s="29"/>
      <c r="M48" s="66"/>
    </row>
    <row r="49" spans="2:13" s="16" customFormat="1" ht="21.75" customHeight="1" x14ac:dyDescent="0.25">
      <c r="C49" s="29"/>
      <c r="D49" s="29"/>
      <c r="E49" s="29"/>
      <c r="F49" s="29"/>
      <c r="G49" s="29"/>
      <c r="H49" s="29"/>
      <c r="J49" s="29"/>
      <c r="K49" s="29"/>
      <c r="M49" s="29"/>
    </row>
    <row r="50" spans="2:13" s="16" customFormat="1" ht="21.75" customHeight="1" x14ac:dyDescent="0.25">
      <c r="C50" s="29"/>
      <c r="D50" s="29"/>
      <c r="E50" s="29"/>
      <c r="G50" s="29"/>
      <c r="H50" s="29"/>
    </row>
    <row r="51" spans="2:13" x14ac:dyDescent="0.25">
      <c r="B51" s="1" t="s">
        <v>73</v>
      </c>
    </row>
    <row r="52" spans="2:13" ht="21" x14ac:dyDescent="0.35">
      <c r="B52" t="str">
        <f>B.Frontend!B8</f>
        <v>modelgrade</v>
      </c>
      <c r="C52" s="72" t="str">
        <f>"create folder " &amp;B52</f>
        <v>create folder modelgrade</v>
      </c>
      <c r="D52" s="72"/>
      <c r="E52" s="72"/>
      <c r="F52" s="72"/>
      <c r="G52" s="72"/>
      <c r="H52" s="72"/>
      <c r="I52" s="72"/>
      <c r="J52" s="72"/>
      <c r="K52" s="73" t="s">
        <v>228</v>
      </c>
      <c r="L52" s="73"/>
      <c r="M52" s="31"/>
    </row>
    <row r="53" spans="2:13" s="28" customFormat="1" ht="18" customHeight="1" x14ac:dyDescent="0.25">
      <c r="B53" s="60" t="s">
        <v>229</v>
      </c>
      <c r="C53" s="31" t="str">
        <f>B.Frontend!H14</f>
        <v>modelgrade.component.ts</v>
      </c>
      <c r="D53" s="31" t="str">
        <f>B.Frontend!I14</f>
        <v>modelgrade.component.html</v>
      </c>
      <c r="E53" s="31" t="str">
        <f>B.Frontend!J14</f>
        <v>modelgrade.component.less</v>
      </c>
      <c r="F53" s="31" t="str">
        <f>B.Frontend!K14</f>
        <v>create-or-edit-modelgrade-modal.component.html</v>
      </c>
      <c r="G53" s="31" t="str">
        <f>B.Frontend!L14</f>
        <v>create-or-edit-modelgrade-modal.component.ts</v>
      </c>
      <c r="H53" s="31" t="str">
        <f>B.Frontend!M14</f>
        <v>create-or-edit-modelgrade-modal.component.less</v>
      </c>
      <c r="I53" s="31" t="str">
        <f>B.Frontend!N14</f>
        <v>modelgrade.module.ts</v>
      </c>
      <c r="J53" s="31" t="str">
        <f>B.Frontend!O14</f>
        <v>modelgrade-routing.module.ts</v>
      </c>
      <c r="K53" s="31" t="str">
        <f>B.Frontend!P14</f>
        <v>app.navigation.service.ts</v>
      </c>
      <c r="L53" s="31" t="str">
        <f>B.Frontend!Q14</f>
        <v>main.routing.module.ts</v>
      </c>
      <c r="M53" s="60" t="s">
        <v>232</v>
      </c>
    </row>
    <row r="54" spans="2:13" ht="21.75" customHeight="1" x14ac:dyDescent="0.25">
      <c r="B54" s="61" t="s">
        <v>226</v>
      </c>
      <c r="C54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MstLgwModelGradeDto, MstLgwModelGradeServiceProxy } from '@shared/service-proxies/service-proxies';
import { finalize } from 'rxjs/internal/operators/finalize';
import { CreateOrEditModelGradeModalComponent } from './create-or-edit-modelgrade-modal.component';
import { DatePipe } from '@angular/common';
import { FileDownloadService } from '@shared/utils/file-download.service';
import ceil from 'lodash-es/ceil';
import { Paginator } from 'primeng/paginator';
@Component({
    templateUrl: './modelgrade.component.html',
    styleUrls: ['./modelgrade.component.less'],
})
export class ModelGradeComponent extends AppComponentBase implements OnInit {
    @ViewChild('createOrEditModalModelGrade', { static: true }) createOrEditModalModelGrade:| CreateOrEditModelGradeModalComponent|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MstLgwModelGradeDto = new MstLgwModelGradeDto();
    saveSelectedRow: MstLgwModelGradeDto = new MstLgwModelGradeDto();
    datas: MstLgwModelGradeDto = new MstLgwModelGradeDto();
    isLoading: boolean = false;
    dataParams: GridParams | undefined;
    rowData: any[] = [];
    gridApi!: GridApi;
    rowSelection = 'multiple';
    filter: string = '';
	pipe = new DatePipe('en-US');
	frameworkComponents: FrameworkComponent;
    model : string = '' ; 
	grade : string = '' ; 
	moduleUpQty : number = 0 ;
	moduleMkQty : number = 0 ;
	upLeadtime : number = 0 ;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MstLgwModelGradeServiceProxy,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this.l('Model'),headerTooltip: this.l('Model'),field: 'model',flex: 1},
			{headerName: this.l('Grade'),headerTooltip: this.l('Grade'),field: 'grade',flex: 1},
			{headerName: this.l('Module Up Qty'),headerTooltip: this.l('Module Up Qty'),field: 'moduleUpQty',flex: 1},
			{headerName: this.l('Module Mk Qty'),headerTooltip: this.l('Module Mk Qty'),field: 'moduleMkQty',flex: 1},
			{headerName: this.l('Up Leadtime'),headerTooltip: this.l('Up Leadtime'),field: 'upLeadtime',flex: 1},
			{headerName: this.l('Is Active'),headerTooltip: this.l('Is Active'),field: 'isActive',flex: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this.model,
			this.grade,
			this.moduleUpQty,
			this.moduleMkQty,
			this.upLeadtime,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this.model = '',
		this.grade = '',
		this.moduleUpQty = 0,
		this.moduleMkQty = 0,
		this.upLeadtime = 0,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this.model,
			this.grade,
			this.moduleUpQty,
			this.moduleMkQty,
			this.upLeadtime,
			this.isActive,
			'',
            this.paginationParams.skipCount,
            this.paginationParams.pageSize
        );
    }
    onChangeRowSelection(params: { api: { getSelectedRows: () =&gt; MstLgwModelGradeDto[] } }) {
        this.saveSelectedRow = params.api.getSelectedRows()[0] ?? new MstLgwModelGradeDto();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MstLgwModelGradeDto):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this._service.getModelGradeToExcel(
			this.model,
			this.grade,
			this.moduleUpQty,
			this.moduleMkQty,
			this.upLeadtime,
			this.isActive,
            )
            .subscribe((result) =&gt; {
                this._fileDownloadService.downloadTempFile(result);
        });
    }
}</v>
      </c>
      <c r="D54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LogW Container Devanning Leadtime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(click)="createOrEditModalModelGrade.show()"&gt;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(click)="createOrEditModalModelGrade.show(selectedRow)"&gt;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&lt;create-or-edit-modelgrade-modal
    #createOrEditModalModelGrade
    (modalSave)="callBackDataGrid(dataParams)"
    (modalClose)="onChangeRowSelection(dataParams)"
&gt;
&lt;/create-or-edit-modelgrade-modal&gt;</v>
      </c>
      <c r="E54" s="49" t="str">
        <f>B.Frontend!J10</f>
        <v>.input-search{
    width: 250px;
    border-radius: 10px;
    margin-left: 10px;
}
.btn-search{
    width: 50px;
    margin-left: 10px;
}</v>
      </c>
      <c r="F54" s="49" t="str">
        <f ca="1">B.Frontend!K10</f>
        <v>&lt;div bsModal #createOrEditModalModelGrade="bs-modal"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ModelGrade')}}&lt;/h3&gt;
                    &lt;h3 *ngIf="!rowdata.id"&gt;{{('Create New ModelGrade')}}&lt;/h3&gt;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title'&gt;Module Up Qty&lt;/label&gt;
						&lt;input type='number' class='col-md-10 form-control input-text' name='ModuleUpQty' [(ngModel)]='rowdata.moduleUpQty'&gt;
					&lt;/div&gt;
					&lt;div class='col-md-12 form-group row'&gt;
						&lt;label class='col-md-2 form-control title'&gt;Module Mk Qty&lt;/label&gt;
						&lt;input type='number' class='col-md-10 form-control input-text' name='ModuleMkQty' [(ngModel)]='rowdata.moduleMkQty'&gt;
					&lt;/div&gt;
					&lt;div class='col-md-12 form-group row'&gt;
						&lt;label class='col-md-2 form-control title'&gt;Up Leadtime&lt;/label&gt;
						&lt;input type='number' class='col-md-10 form-control input-text' name='UpLeadtime' [(ngModel)]='rowdata.upLeadtime'&gt;
					&lt;/div&gt;
					&lt;div class='col-md-12 form-group row'&gt;
						&lt;label class='col-md-2 form-control title'&gt;Is Active&lt;/label&gt;
						&lt;input type='text' class='col-md-10 form-control input-text' name='IsActive' [(ngModel)]='rowdata.isActive'&gt;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54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CreateOrEditMstLgwModelGradeDto, MstLgwModelGradeServiceProxy } from '@shared/service-proxies/service-proxies';
import { BsDatepickerDirective } from 'ngx-bootstrap/datepicker';
@Component({
    selector: 'create-or-edit-modelgrade-modal',
    templateUrl: './create-or-edit-modelgrade-modal.component.html',
    styleUrls: ['./create-or-edit-modelgrade-modal.component.less']
    })
export class CreateOrEditModelGradeModalComponent extends AppComponentBase {
    @ViewChild('createOrEditModalModelGrade',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CreateOrEditMstLgwModelGradeDto = new CreateOrEditMstLgwModelGradeDto();
    active: boolean = false;
    saving: boolean = false;
    _: boolean;
    constructor(
        injector: Injector,
        private _mstwptModelGradeService: MstLgwModelGradeServiceProxy,
    ) 
    {
        super(injector);
    }
    show(rowdata?: CreateOrEditMstLgwModelGradeDto): void {
        if (!rowdata) this.rowdata = new CreateOrEditMstLgwModelGradeDto();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this._mstwptModelGradeService.createOrEdit(this.rowdata)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54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54" s="49" t="str">
        <f>B.Frontend!N10</f>
        <v>import {NgModule} from '@angular/core';
import {AppSharedModule} from '@app/shared/app-shared.module';
import { ModelGradeRoutingModule } from './modelgrade-routing.module';
import { ModelGradeComponent } from './modelgrade.component';
import { CreateOrEditModelGradeModalComponent } from './create-or-edit-modelgrade-modal.component';
@NgModule({
    declarations: [
       ModelGradeComponent, 
        CreateOrEditModelGradeModalComponent
    ],
    imports: [
        AppSharedModule, ModelGradeRoutingModule]
})
export class ModelGradeModule {}</v>
      </c>
      <c r="J54" s="49" t="str">
        <f>B.Frontend!O10</f>
        <v>import {NgModule} from '@angular/core';
import {RouterModule, Routes} from '@angular/router';
import { ModelGradeComponent } from './modelgrade.component';
const routes: Routes = [{
    path: '',
    component: ModelGradeComponent,
    pathMatch: 'full'
}];
@NgModule({
    imports: [RouterModule.forChild(routes)],
    exports: [RouterModule],
})
export class ModelGradeRoutingModule {}</v>
      </c>
      <c r="K54" s="49" t="str">
        <f>B.Frontend!P10</f>
        <v xml:space="preserve"> new AppMenuItem("ModelGrade", "Pages.Master.LogW.ModelGrade", "flaticon-book",   "/app/main/master/logw/modelgrade"),</v>
      </c>
      <c r="L54" s="50" t="str">
        <f>B.Frontend!Q10</f>
        <v>{
    path: 'master/logw/modelgrade',
    loadChildren: () =&gt; import('./master/logw/modelgrade/modelgrade.module').then(m =&gt; m.ModelGradeModule),
    data: { permission: 'Pages.Master.LogW.ModelGrade' }
},</v>
      </c>
      <c r="M54" s="48" t="str">
        <f>B.Frontend!R10</f>
        <v>ApiServiceProxies.MstLgwModelGradeServiceProxy,</v>
      </c>
    </row>
    <row r="56" spans="2:13" x14ac:dyDescent="0.25">
      <c r="B56" s="1" t="s">
        <v>75</v>
      </c>
    </row>
  </sheetData>
  <mergeCells count="2">
    <mergeCell ref="C52:J52"/>
    <mergeCell ref="K52:L52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6"/>
  <sheetViews>
    <sheetView tabSelected="1" workbookViewId="0">
      <pane xSplit="1" topLeftCell="B1" activePane="topRight" state="frozen"/>
      <selection pane="topRight" activeCell="D14" sqref="D14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vovina.Master.LogW.Dto;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302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305</v>
      </c>
      <c r="C3" s="10" t="s">
        <v>43</v>
      </c>
      <c r="D3" s="10" t="s">
        <v>44</v>
      </c>
      <c r="E3" s="10" t="s">
        <v>39</v>
      </c>
      <c r="F3" s="11" t="str">
        <f>"J"&amp;COUNTA($A:$A)</f>
        <v>J14</v>
      </c>
      <c r="G3" s="4" t="s">
        <v>57</v>
      </c>
      <c r="H3" s="10" t="str">
        <f>"I"&amp;COUNTA($A:$A)</f>
        <v>I14</v>
      </c>
      <c r="I3" s="10" t="str">
        <f>REPT(CHAR(9),2)&amp;"[Required]"&amp;"
"</f>
        <v xml:space="preserve">		[Required]
</v>
      </c>
      <c r="J3" s="11" t="str">
        <f>"L"&amp;COUNTA($A:$A)</f>
        <v>L14</v>
      </c>
      <c r="K3" s="5" t="s">
        <v>56</v>
      </c>
      <c r="L3" s="11" t="str">
        <f>"M"&amp;COUNTA($A:$A)</f>
        <v>M14</v>
      </c>
      <c r="M3" s="11" t="str">
        <f>"N"&amp;COUNTA($A:$A)</f>
        <v>N14</v>
      </c>
      <c r="N3" s="11" t="str">
        <f>"O"&amp;COUNTA($A:$A)</f>
        <v>O14</v>
      </c>
      <c r="O3" s="11" t="str">
        <f>"P"&amp;COUNTA($A:$A)</f>
        <v>P14</v>
      </c>
      <c r="Q3" s="11" t="str">
        <f>RIGHT(B2,(LEN(B2)-FIND(".",B2,1)))</f>
        <v>LogW</v>
      </c>
      <c r="R3" s="32" t="str">
        <f>REPT(CHAR(9),1)&amp;"public class "&amp;B3&amp;"ExportInput"&amp;C3</f>
        <v xml:space="preserve">	public class MstLgwModelGradeExportInput{
</v>
      </c>
      <c r="S3" s="11" t="str">
        <f>"namespace "&amp;$B$6&amp;".Exporting
"&amp;$C$3</f>
        <v xml:space="preserve">namespace vovina.Master.LogW.Exporting
{
</v>
      </c>
      <c r="T3" s="11" t="str">
        <f>"T"&amp;COUNTA($A:$A)</f>
        <v>T14</v>
      </c>
      <c r="V3" s="11" t="str">
        <f>"V"&amp;COUNTA($A:$A)</f>
        <v>V14</v>
      </c>
      <c r="W3" s="10" t="str">
        <f>"W"&amp;COUNTA($A:$A)</f>
        <v>W14</v>
      </c>
    </row>
    <row r="4" spans="1:23" s="11" customFormat="1" ht="33" customHeight="1" x14ac:dyDescent="0.25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306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vovina.Master.LogW</v>
      </c>
      <c r="C6" s="11" t="str">
        <f>"namespace "&amp;$B$6&amp;"
"&amp;$C$3</f>
        <v xml:space="preserve">namespace vovina.Master.LogW
{
</v>
      </c>
      <c r="D6" s="11" t="str">
        <f>REPT(CHAR(9),1)&amp;"public class "&amp;B3&amp;G3&amp;REPT(CHAR(9),1)&amp;"
"&amp;REPT(CHAR(9),1)&amp;C3</f>
        <v xml:space="preserve">	public class MstLgwModelGrade: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MstLgwModelGradeConsts	
	{
</v>
      </c>
      <c r="F6" s="11" t="str">
        <f>REPT(CHAR(9),1)&amp;"public class "&amp;B3&amp;"Dto"&amp;K3&amp;REPT(CHAR(9),1)&amp;"
"&amp;REPT(CHAR(9),1)&amp;C3</f>
        <v xml:space="preserve">	public class MstLgwModelGradeDto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CreateOrEditMstLgwModelGradeDto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GetMstLgwModelGradeInput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MstLgwModelGrade</v>
      </c>
      <c r="C7" s="11" t="str">
        <f>REPT(CHAR(9),1)&amp;"[Table("""&amp;B7&amp;""")]"&amp;"
"</f>
        <v xml:space="preserve">	[Table("MstLgwModelGrade")]
</v>
      </c>
      <c r="D7" s="11"/>
      <c r="E7" s="11"/>
      <c r="F7" s="11"/>
      <c r="G7" s="11"/>
      <c r="H7" s="11"/>
      <c r="I7" s="11"/>
      <c r="J7" s="6" t="str">
        <f ca="1">SUBSTITUTE(SUBSTITUTE((B1&amp;C6&amp;C7&amp;K16&amp;D6&amp;I16&amp;E3&amp;J16&amp;""&amp;REPT(CHAR(9),1)&amp;D3&amp;D3),"WorkingPattern",$Q$3),"Master",$B$4)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vovina.Master.LogW
{
	[Table("MstLgwModelGrade")]
	[Index(nameof(Model), Name="IX_MstLgwModelGrade_Model")]
	[Index(nameof(Grade), Name="IX_MstLgwModelGrade_Grade")]
	[Index(nameof(IsActive), Name="IX_MstLgwModelGrade_IsActive")]	public class MstLgwModelGrade: FullAuditedEntity&lt;long&gt;, IEntity&lt;long&gt;	
	{
		public const int MaxModelLength = 10;
		public const int MaxGradeLength = 10;
		public const int MaxIsActiveLength = 50;
		[StringLength(MaxModelLength)]
		public virtual string Model { get; set; }
		[StringLength(MaxGradeLength)]
		public virtual string Grade { get; set; }
		public virtual int ModuleUpQty { get; set; }
		public virtual int ModuleMkQty { get; set; }
		public virtual int UpLeadtime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DbSet&lt;MstLgwModelGrade&gt; MstLgwModelGrades { get; set; }</v>
      </c>
      <c r="L7" t="str">
        <f ca="1">SUBSTITUTE(SUBSTITUTE((C6&amp;E6&amp;I16&amp;"
"&amp;REPT(CHAR(9),2)&amp;"// Define Store Name: Format SP_ + &lt;Store Name&gt; = &lt;Store Name&gt;
"&amp;E3&amp;REPT(CHAR(9),1)&amp;D3&amp;D3),"WorkingPattern",$Q$3),"Master",$B$4)</f>
        <v xml:space="preserve">namespace vovina.Master.LogW
{
	public class MstLgwModelGradeConsts	
	{
		public const int MaxModelLength = 10;
		public const int MaxGradeLength = 10;
		public const int MaxIsActiveLength = 50;
		// Define Store Name: Format SP_ + &lt;Store Name&gt; = &lt;Store Name&gt;
	}
}
</v>
      </c>
      <c r="M7" t="str">
        <f ca="1">SUBSTITUTE(SUBSTITUTE((C1&amp;"namespace "&amp;B6&amp;".Dto"&amp;E3&amp;C3&amp;F6&amp;M16&amp;E3&amp;REPT(CHAR(9),1)&amp;D3&amp;G6&amp;N16&amp;REPT(CHAR(9),1)&amp;D3&amp;H6&amp;O16&amp;"
"&amp;REPT(CHAR(9),1)&amp;D3&amp;D3),"WorkingPattern",$Q$3),"Master",$B$4)</f>
        <v xml:space="preserve">using Abp.Application.Services.Dto;
using System;
using System.ComponentModel.DataAnnotations;
namespace vovina.Master.LogW.Dto
{
	public class MstLgwModelGradeDto : EntityDto&lt;long?&gt;	
	{
		public virtual string Model { get; set; }
		public virtual string Grade { get; set; }
		public virtual int ModuleUpQty { get; set; }
		public virtual int ModuleMkQty { get; set; }
		public virtual int UpLeadtime { get; set; }
		public virtual string IsActive { get; set; }
	}
	public class CreateOrEditMstLgwModelGradeDto : EntityDto&lt;long?&gt;	
	{
		[StringLength(MstLgwModelGradeConsts.MaxModelLength)]
		public virtual string Model { get; set; }
		[StringLength(MstLgwModelGradeConsts.MaxGradeLength)]
		public virtual string Grade { get; set; }
		public virtual int ModuleUpQty { get; set; }
		public virtual int ModuleMkQty { get; set; }
		public virtual int UpLeadtime { get; set; }
		[StringLength(MstLgwModelGradeConsts.MaxIsActiveLength)]
		public virtual string IsActive { get; set; }
	}
	public class GetMstLgwModelGradeInput : PagedAndSortedResultRequestDto	
	{
		public virtual string Model { get; set; }
		public virtual string Grade { get; set; }
		public virtual int ModuleUpQty { get; set; }
		public virtual int ModuleMkQty { get; set; }
		public virtual int UpLeadtime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perMstLgwModelGrade = PARENTS.CreateChildPermission(AppPermissions.Pages_Master_LogW_ModelGrade, L( "MasterLogWModelGrade"));
		perMstLgwModelGrade.CreateChildPermission(AppPermissions.Pages_Master_LogW_ModelGrade_CreateEdit, L( "MasterLogWModelGradeCreateEdit"));
		perMstLgwModelGrade.CreateChildPermission(AppPermissions.Pages_Master_LogW_ModelGrade_Delete, L( "MasterLogWModelGradeDelete"));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Pages_Master_LogW_ModelGrade = "Pages.Master.LogW.ModelGrade";
		public const string Pages_Master_LogW_ModelGrade_CreateEdit = "Pages.Master.LogW.ModelGrade.CreateEdit";
		public const string Pages_Master_LogW_ModelGrade_Delete = "Pages.Master.LogW.ModelGrade.Delete";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vovina.Master.LogW.Dto;
namespace vovina.Master.LogW
{
	public interface IMstLgwModelGradeAppService : IApplicationService
	{
		Task&lt;PagedResultDto&lt;MstLgwModelGradeDto&gt;&gt; GetAll(GetMstLgwModelGradeInput input);
		Task CreateOrEdit(CreateOrEditMstLgwModelGradeDto input);
		Task Delete(EntityDto input);
	}
}
</v>
      </c>
      <c r="Q7" t="str">
        <f ca="1">SUBSTITUTE(SUBSTITUTE(SUBSTITUTE(SUBSTITUTE(SUBSTITUTE(SUBSTITUTE(E1,"MstWptCalendar",$B$3),"&lt;PROPERTIES&gt;",P16),"Calendar",$B$5),"WorkingPattern",$Q$3),"Master",$B$4),"&lt;PARAMS_SEARCH&gt;",$W$16)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vovina.Master.LogW.Dto;
using vovina.Master.LogW.Exporting;
namespace vovina.Master.LogW
{
    [AbpAuthorize(AppPermissions.Pages_Master_LogW_ModelGrade)]
    public class MstLgwModelGradeAppService : vovinaAppServiceBase, IMstLgwModelGradeAppService
    {
        private readonly IDapperRepository&lt;MstLgwModelGrade, long&gt; _dapperRepo;
        private readonly IRepository&lt;MstLgwModelGrade, long&gt; _repo;
        private readonly IMstLgwModelGradeExcelExporter _calendarListExcelExporter;
        public MstLgwModelGradeAppService(IRepository&lt;MstLgwModelGrade,long&gt; repo, 
                                         IDapperRepository&lt;MstLgwModelGrade,long&gt; dapperRepo,
                                        IMstLgwModelGradeExcelExporter calendarListExcelExporter
            )
        {
            _repo = repo;
            _dapperRepo = dapperRepo;
            _calendarListExcelExporter = calendarListExcelExporter;
        }
        [AbpAuthorize(AppPermissions.Pages_Master_LogW_ModelGrade_CreateEdit)]
        public async Task CreateOrEdit(CreateOrEditMstLgwModelGradeDto input)
        {
            if (input.Id == null) await Create(input);
            else await Update(input);
        }
        //CREATE
        private async Task Create(CreateOrEditMstLgwModelGradeDto input)
        {          
            var mainObj = ObjectMapper.Map&lt;MstLgwModelGrade&gt;(input);
            await CurrentUnitOfWork.GetDbContext&lt;vovinaDbContext&gt;().AddAsync(mainObj);
        }
        // EDIT
        private async Task Update(CreateOrEditMstLgwModelGradeDto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[AbpAuthorize(AppPermissions.Pages_Master_LogW_ModelGrade_Delete)]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Task&lt;PagedResultDto&lt;MstLgwModelGradeDto&gt;&gt; GetAll(GetMstLgwModelGradeInput input)
        {
            var filtered = _repo.GetAll()
				.WhereIf(!string.IsNullOrWhiteSpace(input.Model), e =&gt; e.Model.Contains(input.Model))
				.WhereIf(!string.IsNullOrWhiteSpace(input.Grade), e =&gt; e.Grade.Contains(input.Grade))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MstLgwModelGradeDto
                        {
							Id = o.Id,
							Model = o.Model,
							Grade = o.Grade,
							ModuleUpQty = o.ModuleUpQty,
							ModuleMkQty = o.ModuleMkQty,
							UpLeadtime = o.UpLeadtime,
							IsActive = o.IsActive,
                        };
            var totalCount = await filtered.CountAsync();
			var paged = system.PageBy(input);
            return new PagedResultDto&lt;MstLgwModelGradeDto&gt;(
                totalCount,
                 await paged.ToListAsync()
            );
        }
        public async Task&lt;FileDto&gt; GetModelGradeToExcel(MstLgwModelGradeExportInput input)
        {
            var query = from o in _repo.GetAll()
                        select new MstLgwModelGradeDto
                        {
							Id = o.Id,
							Model = o.Model,
							Grade = o.Grade,
							ModuleUpQty = o.ModuleUpQty,
							ModuleMkQty = o.ModuleMkQty,
							UpLeadtime = o.UpLeadtime,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_dapperRepo.ExecuteAsync(MstLgwModelGradeConsts.SP_MST_WPT_CALENDAR_GENERATE);
       // }
    }
}</v>
      </c>
      <c r="R7" t="str">
        <f ca="1">SUBSTITUTE(SUBSTITUTE((C1&amp;"namespace "&amp;B6&amp;".Dto"&amp;E3&amp;C3&amp;R3&amp;M16&amp;E3&amp;REPT(CHAR(9),1)&amp;D3&amp;D3),"WorkingPattern",$Q$3),"Master",$B$4)</f>
        <v xml:space="preserve">using Abp.Application.Services.Dto;
using System;
using System.ComponentModel.DataAnnotations;
namespace vovina.Master.LogW.Dto
{
	public class MstLgwModelGradeExportInput{
		public virtual string Model { get; set; }
		public virtual string Grade { get; set; }
		public virtual int ModuleUpQty { get; set; }
		public virtual int ModuleMkQty { get; set; }
		public virtual int UpLeadtime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vovina.Master.LogW.Dto;
namespace vovina.Master.LogW.Exporting
{
	public interface IMstLgwModelGradeExcelExporter : IApplicationService
	{
		FileDto ExportToFile(List&lt;MstLgwModelGradeDto&gt; mstlgwmodelgrade);
	}
}
</v>
      </c>
      <c r="T7" s="28" t="str">
        <f ca="1">SUBSTITUTE(SUBSTITUTE(SUBSTITUTE(SUBSTITUTE(SUBSTITUTE(SUBSTITUTE(SUBSTITUTE(T1,"MstWptCalendar",$B$3),"&lt;PROPERTIES1&gt;",V16),"&lt;PROPERTIES&gt;",T16),"Calendar",$B$5),"calendar",LOWER(B5)),"WorkingPattern",$Q$3),"Master",$B$4)</f>
        <v>using System.Collections.Generic;
using vovina.DataExporting.Excel.NPOI;
using vovina.Dto;
using vovina.Master.LogW.Exporting;
using vovina.Master.LogW.Dto;
using vovina.Storage;
using vovina.Master.LogW.Dto;
namespace vovina.Master.LogW.Exporting
{
    public class MstLgwModelGradeExcelExporter : NpoiExcelExporterBase, IMstLgwModelGradeExcelExporter
    {
        public MstLgwModelGradeExcelExporter(ITempFileCacheManager tempFileCacheManager) : base(tempFileCacheManager) { }
        public FileDto ExportToFile(List&lt;MstLgwModelGradeDto&gt; modelgrade)
        {
            return CreateExcelPackage(
				"MasterLogWModelGrade.xlsx",
				excelPackage =&gt;
				 {
					var sheet = excelPackage.CreateSheet("ModelGrade");
					AddHeader(
								sheet,
								("Model"),
								("Grade"),
								("ModuleUpQty"),
								("ModuleMkQty"),
								("UpLeadtime"),
								("IsActive"),
							   );
					AddObjects(
						 sheet, 1, modelgrade,                                       
								_ =&gt; _.Model,
								_ =&gt; _.Grade,
								_ =&gt; _.ModuleUpQty,
								_ =&gt; _.ModuleMkQty,
								_ =&gt; _.UpLeadtime,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configuration.CreateMap&lt;MstLgwModelGradeDto, MstLgwModelGrade&gt;();
  configuration.CreateMap&lt;MstLgwModelGrade, MstLgwModelGradeDto&gt;();
  configuration.CreateMap&lt;CreateOrEditMstLgwModelGradeDto, MstLgwModelGrade&gt;();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307</v>
      </c>
      <c r="B9" t="s">
        <v>303</v>
      </c>
      <c r="C9" t="s">
        <v>1</v>
      </c>
      <c r="D9" t="str">
        <f>SUBSTITUTE(PROPER(A9),"_","")</f>
        <v>Model</v>
      </c>
      <c r="E9" t="str">
        <f t="shared" ref="E9:E11" si="0">IFERROR(LEFT(B9, FIND("(",B9)-1),B9)</f>
        <v>varchar</v>
      </c>
      <c r="F9" s="7"/>
      <c r="G9" t="str">
        <f t="shared" ref="G9:G11" si="1">IFERROR(MID(B9,FIND("(",B9) +1, FIND(")",B9) - FIND("(",B9) - 1),"")</f>
        <v>10</v>
      </c>
      <c r="H9" t="str">
        <f>+VLOOKUP(E9,'Data Type Mapping'!A:B,2,)</f>
        <v>string</v>
      </c>
      <c r="I9" t="str">
        <f t="shared" ref="I9:I11" si="2">IF(H9="string",REPT(CHAR(9),2)&amp;"public const int Max"&amp;D9&amp;"Length = "&amp;G9&amp;";"&amp;$E$3,"" )</f>
        <v xml:space="preserve">		public const int MaxModelLength = 10;
</v>
      </c>
      <c r="J9" t="str">
        <f t="shared" ref="J9:J11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[StringLength(MaxModelLength)]
		public virtual string Model { get; set; }
</v>
      </c>
      <c r="K9" s="7" t="s">
        <v>206</v>
      </c>
      <c r="L9" t="str">
        <f>IF(K9="","",REPT(CHAR(9),1)&amp;"[Index(nameof("&amp;IF(D9="","",""&amp;D9)&amp;")"&amp;", Name="&amp;"""IX_"&amp;$B$7&amp;"_"&amp;D9&amp;""")]")</f>
        <v xml:space="preserve">	[Index(nameof(Model), Name="IX_MstLgwModelGrade_Model")]</v>
      </c>
      <c r="M9" t="str">
        <f>REPT(CHAR(9),2)&amp;"public virtual "&amp;IF(OR(H9="DateTime",H9="TimeSpan"),H9&amp;"?",H9)&amp;IF(C9="?","? "," ")&amp;D9&amp;" { get; set; }" &amp; "
"</f>
        <v xml:space="preserve">		public virtual string Model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[StringLength(MstLgwModelGradeConsts.MaxModelLength)]
		public virtual string Model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string Model { get; set; }
</v>
      </c>
      <c r="P9" t="str">
        <f t="shared" ref="P9:P11" si="4">REPT(CHAR(9),7)&amp;D9&amp;" = o." &amp;D9 &amp;","</f>
        <v xml:space="preserve">							Model = o.Model,</v>
      </c>
      <c r="T9" s="69" t="str">
        <f>REPT(CHAR(9),8)&amp;"("""&amp;D9&amp;"""),"</f>
        <v xml:space="preserve">								("Model"),</v>
      </c>
      <c r="V9" s="70" t="str">
        <f>REPT(CHAR(9),8)&amp;"_ =&gt; _."&amp;D9&amp;","</f>
        <v xml:space="preserve">								_ =&gt; _.Model,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.WhereIf(!string.IsNullOrWhiteSpace(input.Model), e =&gt; e.Model.Contains(input.Model))</v>
      </c>
    </row>
    <row r="10" spans="1:23" customFormat="1" ht="21" customHeight="1" x14ac:dyDescent="0.25">
      <c r="A10" t="s">
        <v>308</v>
      </c>
      <c r="B10" t="s">
        <v>303</v>
      </c>
      <c r="C10" t="s">
        <v>1</v>
      </c>
      <c r="D10" t="str">
        <f t="shared" ref="D10:D11" si="5">SUBSTITUTE(PROPER(A10),"_","")</f>
        <v>Grade</v>
      </c>
      <c r="E10" t="str">
        <f t="shared" si="0"/>
        <v>varchar</v>
      </c>
      <c r="F10" s="7"/>
      <c r="G10" t="str">
        <f t="shared" si="1"/>
        <v>10</v>
      </c>
      <c r="H10" t="str">
        <f>+VLOOKUP(E10,'Data Type Mapping'!A:B,2,)</f>
        <v>string</v>
      </c>
      <c r="I10" t="str">
        <f t="shared" si="2"/>
        <v xml:space="preserve">		public const int MaxGradeLength = 10;
</v>
      </c>
      <c r="J10" t="str">
        <f t="shared" si="3"/>
        <v xml:space="preserve">		[StringLength(MaxGradeLength)]
		public virtual string Grade { get; set; }
</v>
      </c>
      <c r="K10" s="7" t="s">
        <v>206</v>
      </c>
      <c r="L10" t="str">
        <f t="shared" ref="L10:L11" si="6">IF(K10="","",REPT(CHAR(9),1)&amp;"[Index(nameof("&amp;IF(D10="","",""&amp;D10)&amp;")"&amp;", Name="&amp;"""IX_"&amp;$B$7&amp;"_"&amp;D10&amp;""")]")</f>
        <v xml:space="preserve">	[Index(nameof(Grade), Name="IX_MstLgwModelGrade_Grade")]</v>
      </c>
      <c r="M10" t="str">
        <f t="shared" ref="M10:M14" si="7">REPT(CHAR(9),2)&amp;"public virtual "&amp;IF(OR(H10="DateTime",H10="TimeSpan"),H10&amp;"?",H10)&amp;IF(C10="?","? "," ")&amp;D10&amp;" { get; set; }" &amp; "
"</f>
        <v xml:space="preserve">		public virtual string Grade { get; set; }
</v>
      </c>
      <c r="N10" t="str">
        <f t="shared" ref="N10:N14" si="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[StringLength(MstLgwModelGradeConsts.MaxGradeLength)]
		public virtual string Grade { get; set; }
</v>
      </c>
      <c r="O10" t="str">
        <f t="shared" ref="O10:O14" si="9">IF(OR(H10="string",H10="DateTime",H10="int"),REPT(CHAR(9),2)&amp;"public virtual "&amp;IF(OR(H10="DateTime",H10="TimeSpan"),H10&amp;"?",H10)&amp;IF(C10="?","? "," ")&amp;D10&amp;" { get; set; }"&amp;$E$3,"")</f>
        <v xml:space="preserve">		public virtual string Grade { get; set; }
</v>
      </c>
      <c r="P10" t="str">
        <f t="shared" si="4"/>
        <v xml:space="preserve">							Grade = o.Grade,</v>
      </c>
      <c r="T10" s="69" t="str">
        <f t="shared" ref="T10:T14" si="10">REPT(CHAR(9),8)&amp;"("""&amp;D10&amp;"""),"</f>
        <v xml:space="preserve">								("Grade"),</v>
      </c>
      <c r="V10" s="70" t="str">
        <f t="shared" ref="V10:V14" si="11">REPT(CHAR(9),8)&amp;"_ =&gt; _."&amp;D10&amp;","</f>
        <v xml:space="preserve">								_ =&gt; _.Grade,</v>
      </c>
      <c r="W10" s="69" t="str">
        <f t="shared" ref="W10:W14" si="12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.WhereIf(!string.IsNullOrWhiteSpace(input.Grade), e =&gt; e.Grade.Contains(input.Grade))</v>
      </c>
    </row>
    <row r="11" spans="1:23" customFormat="1" ht="18.75" customHeight="1" x14ac:dyDescent="0.25">
      <c r="A11" t="s">
        <v>309</v>
      </c>
      <c r="B11" t="s">
        <v>4</v>
      </c>
      <c r="C11" t="s">
        <v>1</v>
      </c>
      <c r="D11" t="str">
        <f t="shared" si="5"/>
        <v>ModuleUpQty</v>
      </c>
      <c r="E11" t="str">
        <f t="shared" si="0"/>
        <v>int</v>
      </c>
      <c r="F11" s="7"/>
      <c r="G11" t="str">
        <f t="shared" si="1"/>
        <v/>
      </c>
      <c r="H11" t="str">
        <f>+VLOOKUP(E11,'Data Type Mapping'!A:B,2,)</f>
        <v>int</v>
      </c>
      <c r="I11" t="str">
        <f t="shared" si="2"/>
        <v/>
      </c>
      <c r="J11" t="str">
        <f t="shared" si="3"/>
        <v xml:space="preserve">		public virtual int ModuleUpQty { get; set; }
</v>
      </c>
      <c r="K11" s="7"/>
      <c r="L11" t="str">
        <f t="shared" si="6"/>
        <v/>
      </c>
      <c r="M11" t="str">
        <f t="shared" si="7"/>
        <v xml:space="preserve">		public virtual int ModuleUpQty { get; set; }
</v>
      </c>
      <c r="N11" t="str">
        <f t="shared" si="8"/>
        <v xml:space="preserve">		public virtual int ModuleUpQty { get; set; }
</v>
      </c>
      <c r="O11" t="str">
        <f t="shared" si="9"/>
        <v xml:space="preserve">		public virtual int ModuleUpQty { get; set; }
</v>
      </c>
      <c r="P11" t="str">
        <f t="shared" si="4"/>
        <v xml:space="preserve">							ModuleUpQty = o.ModuleUpQty,</v>
      </c>
      <c r="T11" s="69" t="str">
        <f t="shared" si="10"/>
        <v xml:space="preserve">								("ModuleUpQty"),</v>
      </c>
      <c r="V11" s="70" t="str">
        <f t="shared" si="11"/>
        <v xml:space="preserve">								_ =&gt; _.ModuleUpQty,</v>
      </c>
      <c r="W11" s="69" t="str">
        <f t="shared" si="12"/>
        <v/>
      </c>
    </row>
    <row r="12" spans="1:23" customFormat="1" ht="21" customHeight="1" x14ac:dyDescent="0.25">
      <c r="A12" t="s">
        <v>310</v>
      </c>
      <c r="B12" t="s">
        <v>4</v>
      </c>
      <c r="C12" t="s">
        <v>1</v>
      </c>
      <c r="D12" t="str">
        <f t="shared" ref="D12:D13" si="13">SUBSTITUTE(PROPER(A12),"_","")</f>
        <v>ModuleMkQty</v>
      </c>
      <c r="E12" t="str">
        <f t="shared" ref="E12:E13" si="14">IFERROR(LEFT(B12, FIND("(",B12)-1),B12)</f>
        <v>int</v>
      </c>
      <c r="F12" s="7"/>
      <c r="G12" t="str">
        <f t="shared" ref="G12:G13" si="15">IFERROR(MID(B12,FIND("(",B12) +1, FIND(")",B12) - FIND("(",B12) - 1),"")</f>
        <v/>
      </c>
      <c r="H12" t="str">
        <f>+VLOOKUP(E12,'Data Type Mapping'!A:B,2,)</f>
        <v>int</v>
      </c>
      <c r="I12" t="str">
        <f t="shared" ref="I12:I13" si="16">IF(H12="string",REPT(CHAR(9),2)&amp;"public const int Max"&amp;D12&amp;"Length = "&amp;G12&amp;";"&amp;$E$3,"" )</f>
        <v/>
      </c>
      <c r="J12" t="str">
        <f t="shared" ref="J12:J13" si="17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public virtual int ModuleMkQty { get; set; }
</v>
      </c>
      <c r="K12" s="7"/>
      <c r="L12" t="str">
        <f t="shared" ref="L12:L13" si="18">IF(K12="","",REPT(CHAR(9),1)&amp;"[Index(nameof("&amp;IF(D12="","",""&amp;D12)&amp;")"&amp;", Name="&amp;"""IX_"&amp;$B$7&amp;"_"&amp;D12&amp;""")]")</f>
        <v/>
      </c>
      <c r="M12" t="str">
        <f t="shared" ref="M12:M13" si="19">REPT(CHAR(9),2)&amp;"public virtual "&amp;IF(OR(H12="DateTime",H12="TimeSpan"),H12&amp;"?",H12)&amp;IF(C12="?","? "," ")&amp;D12&amp;" { get; set; }" &amp; "
"</f>
        <v xml:space="preserve">		public virtual int ModuleMkQty { get; set; }
</v>
      </c>
      <c r="N12" t="str">
        <f t="shared" ref="N12:N13" si="20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public virtual int ModuleMkQty { get; set; }
</v>
      </c>
      <c r="O12" t="str">
        <f t="shared" ref="O12:O13" si="21">IF(OR(H12="string",H12="DateTime",H12="int"),REPT(CHAR(9),2)&amp;"public virtual "&amp;IF(OR(H12="DateTime",H12="TimeSpan"),H12&amp;"?",H12)&amp;IF(C12="?","? "," ")&amp;D12&amp;" { get; set; }"&amp;$E$3,"")</f>
        <v xml:space="preserve">		public virtual int ModuleMkQty { get; set; }
</v>
      </c>
      <c r="P12" t="str">
        <f t="shared" ref="P12:P13" si="22">REPT(CHAR(9),7)&amp;D12&amp;" = o." &amp;D12 &amp;","</f>
        <v xml:space="preserve">							ModuleMkQty = o.ModuleMkQty,</v>
      </c>
      <c r="T12" s="69" t="str">
        <f t="shared" ref="T12:T13" si="23">REPT(CHAR(9),8)&amp;"("""&amp;D12&amp;"""),"</f>
        <v xml:space="preserve">								("ModuleMkQty"),</v>
      </c>
      <c r="V12" s="70" t="str">
        <f t="shared" ref="V12:V13" si="24">REPT(CHAR(9),8)&amp;"_ =&gt; _."&amp;D12&amp;","</f>
        <v xml:space="preserve">								_ =&gt; _.ModuleMkQty,</v>
      </c>
      <c r="W12" s="69" t="str">
        <f t="shared" ref="W12:W13" si="25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/>
      </c>
    </row>
    <row r="13" spans="1:23" customFormat="1" ht="18.75" customHeight="1" x14ac:dyDescent="0.25">
      <c r="A13" t="s">
        <v>311</v>
      </c>
      <c r="B13" t="s">
        <v>4</v>
      </c>
      <c r="C13" t="s">
        <v>1</v>
      </c>
      <c r="D13" t="str">
        <f t="shared" si="13"/>
        <v>UpLeadtime</v>
      </c>
      <c r="E13" t="str">
        <f t="shared" si="14"/>
        <v>int</v>
      </c>
      <c r="F13" s="7"/>
      <c r="G13" t="str">
        <f t="shared" si="15"/>
        <v/>
      </c>
      <c r="H13" t="str">
        <f>+VLOOKUP(E13,'Data Type Mapping'!A:B,2,)</f>
        <v>int</v>
      </c>
      <c r="I13" t="str">
        <f t="shared" si="16"/>
        <v/>
      </c>
      <c r="J13" t="str">
        <f t="shared" si="17"/>
        <v xml:space="preserve">		public virtual int UpLeadtime { get; set; }
</v>
      </c>
      <c r="K13" s="7"/>
      <c r="L13" t="str">
        <f t="shared" si="18"/>
        <v/>
      </c>
      <c r="M13" t="str">
        <f t="shared" si="19"/>
        <v xml:space="preserve">		public virtual int UpLeadtime { get; set; }
</v>
      </c>
      <c r="N13" t="str">
        <f t="shared" si="20"/>
        <v xml:space="preserve">		public virtual int UpLeadtime { get; set; }
</v>
      </c>
      <c r="O13" t="str">
        <f t="shared" si="21"/>
        <v xml:space="preserve">		public virtual int UpLeadtime { get; set; }
</v>
      </c>
      <c r="P13" t="str">
        <f t="shared" si="22"/>
        <v xml:space="preserve">							UpLeadtime = o.UpLeadtime,</v>
      </c>
      <c r="T13" s="69" t="str">
        <f t="shared" si="23"/>
        <v xml:space="preserve">								("UpLeadtime"),</v>
      </c>
      <c r="V13" s="70" t="str">
        <f t="shared" si="24"/>
        <v xml:space="preserve">								_ =&gt; _.UpLeadtime,</v>
      </c>
      <c r="W13" s="69" t="str">
        <f t="shared" si="25"/>
        <v/>
      </c>
    </row>
    <row r="14" spans="1:23" customFormat="1" ht="22.5" customHeight="1" x14ac:dyDescent="0.25">
      <c r="A14" t="s">
        <v>301</v>
      </c>
      <c r="B14" t="s">
        <v>304</v>
      </c>
      <c r="C14" t="s">
        <v>1</v>
      </c>
      <c r="D14" t="str">
        <f>SUBSTITUTE(PROPER(A14),"_","")</f>
        <v>IsActive</v>
      </c>
      <c r="E14" t="str">
        <f t="shared" ref="E14" si="26">IFERROR(LEFT(B14, FIND("(",B14)-1),B14)</f>
        <v>varchar</v>
      </c>
      <c r="F14" s="7"/>
      <c r="G14" t="str">
        <f t="shared" ref="G14" si="27">IFERROR(MID(B14,FIND("(",B14) +1, FIND(")",B14) - FIND("(",B14) - 1),"")</f>
        <v>50</v>
      </c>
      <c r="H14" t="str">
        <f>+VLOOKUP(E14,'Data Type Mapping'!A:B,2,)</f>
        <v>string</v>
      </c>
      <c r="I14" t="str">
        <f t="shared" ref="I14" si="28">IF(H14="string",REPT(CHAR(9),2)&amp;"public const int Max"&amp;D14&amp;"Length = "&amp;G14&amp;";"&amp;$E$3,"" )</f>
        <v xml:space="preserve">		public const int MaxIsActiveLength = 50;
</v>
      </c>
      <c r="J14" t="str">
        <f t="shared" ref="J14" si="29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[StringLength(MaxIsActiveLength)]
		public virtual string IsActive { get; set; }
</v>
      </c>
      <c r="K14" s="7" t="s">
        <v>206</v>
      </c>
      <c r="L14" t="str">
        <f>IF(K14="","",REPT(CHAR(9),1)&amp;"[Index(nameof("&amp;IF(D14="","",""&amp;D14)&amp;")"&amp;", Name="&amp;"""IX_"&amp;$B$7&amp;"_"&amp;D14&amp;""")]")</f>
        <v xml:space="preserve">	[Index(nameof(IsActive), Name="IX_MstLgwModelGrade_IsActive")]</v>
      </c>
      <c r="M14" t="str">
        <f t="shared" si="7"/>
        <v xml:space="preserve">		public virtual string IsActive { get; set; }
</v>
      </c>
      <c r="N14" t="str">
        <f t="shared" si="8"/>
        <v xml:space="preserve">		[StringLength(MstLgwModelGradeConsts.MaxIsActiveLength)]
		public virtual string IsActive { get; set; }
</v>
      </c>
      <c r="O14" t="str">
        <f t="shared" si="9"/>
        <v xml:space="preserve">		public virtual string IsActive { get; set; }
</v>
      </c>
      <c r="P14" t="str">
        <f t="shared" ref="P14" si="30">REPT(CHAR(9),7)&amp;D14&amp;" = o." &amp;D14 &amp;","</f>
        <v xml:space="preserve">							IsActive = o.IsActive,</v>
      </c>
      <c r="T14" s="69" t="str">
        <f t="shared" si="10"/>
        <v xml:space="preserve">								("IsActive"),</v>
      </c>
      <c r="V14" s="70" t="str">
        <f t="shared" si="11"/>
        <v xml:space="preserve">								_ =&gt; _.IsActive,</v>
      </c>
      <c r="W14" s="69" t="str">
        <f t="shared" si="12"/>
        <v xml:space="preserve">				.WhereIf(!string.IsNullOrWhiteSpace(input.IsActive), e =&gt; e.IsActive.Contains(input.IsActive))</v>
      </c>
    </row>
    <row r="16" spans="1:23" ht="45.75" customHeight="1" x14ac:dyDescent="0.25">
      <c r="H16" s="12"/>
      <c r="I16" s="34" t="str">
        <f ca="1">TEXTJOIN2("
", TRUE,INDIRECT( $H$1):INDIRECT( $H$3))</f>
        <v xml:space="preserve">		public const int MaxModelLength = 10;
		public const int MaxGradeLength = 10;
		public const int MaxIsActiveLength = 50;
</v>
      </c>
      <c r="J16" s="33" t="str">
        <f ca="1">TEXTJOIN2("
", TRUE,INDIRECT( $F$1):INDIRECT( $F$3))</f>
        <v xml:space="preserve">		[StringLength(MaxModelLength)]
		public virtual string Model { get; set; }
		[StringLength(MaxGradeLength)]
		public virtual string Grade { get; set; }
		public virtual int ModuleUpQty { get; set; }
		public virtual int ModuleMkQty { get; set; }
		public virtual int UpLeadtime { get; set; }
		[StringLength(MaxIsActiveLength)]
		public virtual string IsActive { get; set; }
</v>
      </c>
      <c r="K16" s="35" t="str">
        <f ca="1">TEXTJOIN2("
", TRUE,INDIRECT( $J$1):INDIRECT( $J$3))</f>
        <v xml:space="preserve">	[Index(nameof(Model), Name="IX_MstLgwModelGrade_Model")]
	[Index(nameof(Grade), Name="IX_MstLgwModelGrade_Grade")]
	[Index(nameof(IsActive), Name="IX_MstLgwModelGrade_IsActive")]</v>
      </c>
      <c r="L16" s="13" t="s">
        <v>60</v>
      </c>
      <c r="M16" s="36" t="str">
        <f ca="1">TEXTJOIN2("
",TRUE,INDIRECT( $L$1):INDIRECT($L$3))</f>
        <v xml:space="preserve">		public virtual string Model { get; set; }
		public virtual string Grade { get; set; }
		public virtual int ModuleUpQty { get; set; }
		public virtual int ModuleMkQty { get; set; }
		public virtual int UpLeadtime { get; set; }
		public virtual string IsActive { get; set; }
</v>
      </c>
      <c r="N16" s="33" t="str">
        <f ca="1">TEXTJOIN2("
",TRUE,INDIRECT( $M$1):INDIRECT($M$3))</f>
        <v xml:space="preserve">		[StringLength(MstLgwModelGradeConsts.MaxModelLength)]
		public virtual string Model { get; set; }
		[StringLength(MstLgwModelGradeConsts.MaxGradeLength)]
		public virtual string Grade { get; set; }
		public virtual int ModuleUpQty { get; set; }
		public virtual int ModuleMkQty { get; set; }
		public virtual int UpLeadtime { get; set; }
		[StringLength(MstLgwModelGradeConsts.MaxIsActiveLength)]
		public virtual string IsActive { get; set; }
</v>
      </c>
      <c r="O16" s="33" t="str">
        <f ca="1">TEXTJOIN2("
",TRUE,INDIRECT( $N$1):INDIRECT($N$3))</f>
        <v xml:space="preserve">		public virtual string Model { get; set; }
		public virtual string Grade { get; set; }
		public virtual int ModuleUpQty { get; set; }
		public virtual int ModuleMkQty { get; set; }
		public virtual int UpLeadtime { get; set; }
		public virtual string IsActive { get; set; }
</v>
      </c>
      <c r="P16" s="9" t="str">
        <f ca="1">TEXTJOIN2("
",TRUE,INDIRECT( $O$1):INDIRECT($O$3))</f>
        <v xml:space="preserve">							Model = o.Model,
							Grade = o.Grade,
							ModuleUpQty = o.ModuleUpQty,
							ModuleMkQty = o.ModuleMkQty,
							UpLeadtime = o.UpLeadtime,
							IsActive = o.IsActive,</v>
      </c>
      <c r="T16" s="9" t="str">
        <f ca="1">TEXTJOIN2("
",TRUE,INDIRECT( $T$2):INDIRECT($T$3))</f>
        <v xml:space="preserve">								("Model"),
								("Grade"),
								("ModuleUpQty"),
								("ModuleMkQty"),
								("UpLeadtime"),
								("IsActive"),</v>
      </c>
      <c r="V16" s="9" t="str">
        <f ca="1">TEXTJOIN2("
",TRUE,INDIRECT( $V$2):INDIRECT($V$3))</f>
        <v xml:space="preserve">								_ =&gt; _.Model,
								_ =&gt; _.Grade,
								_ =&gt; _.ModuleUpQty,
								_ =&gt; _.ModuleMkQty,
								_ =&gt; _.UpLeadtime,
								_ =&gt; _.IsActive,</v>
      </c>
      <c r="W16" s="9" t="str">
        <f ca="1">TEXTJOIN2("
",TRUE,INDIRECT( $W$2):INDIRECT($W$3))</f>
        <v xml:space="preserve">				.WhereIf(!string.IsNullOrWhiteSpace(input.Model), e =&gt; e.Model.Contains(input.Model))
				.WhereIf(!string.IsNullOrWhiteSpace(input.Grade), e =&gt; e.Grade.Contains(input.Grade))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3"/>
  <sheetViews>
    <sheetView workbookViewId="0">
      <selection activeCell="D17" sqref="D17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45" x14ac:dyDescent="0.25">
      <c r="A1" s="41" t="s">
        <v>212</v>
      </c>
      <c r="B1" s="42" t="s">
        <v>312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LogW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logw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MstLgwModelGrade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ModelGrade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modelgrade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MstLgwModelGradeDto, MstLgwModelGradeServiceProxy } from '@shared/service-proxies/service-proxies';
import { finalize } from 'rxjs/internal/operators/finalize';
import { CreateOrEditModelGradeModalComponent } from './create-or-edit-modelgrade-modal.component';
import { DatePipe } from '@angular/common';
import { FileDownloadService } from '@shared/utils/file-download.service';
import ceil from 'lodash-es/ceil';
import { Paginator } from 'primeng/paginator';
@Component({
    templateUrl: './modelgrade.component.html',
    styleUrls: ['./modelgrade.component.less'],
})
export class ModelGradeComponent extends AppComponentBase implements OnInit {
    @ViewChild('createOrEditModalModelGrade', { static: true }) createOrEditModalModelGrade:| CreateOrEditModelGradeModalComponent|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MstLgwModelGradeDto = new MstLgwModelGradeDto();
    saveSelectedRow: MstLgwModelGradeDto = new MstLgwModelGradeDto();
    datas: MstLgwModelGradeDto = new MstLgwModelGradeDto();
    isLoading: boolean = false;
    dataParams: GridParams | undefined;
    rowData: any[] = [];
    gridApi!: GridApi;
    rowSelection = 'multiple';
    filter: string = '';
	pipe = new DatePipe('en-US');
	frameworkComponents: FrameworkComponent;
    model : string = '' ; 
	grade : string = '' ; 
	moduleUpQty : number = 0 ;
	moduleMkQty : number = 0 ;
	upLeadtime : number = 0 ;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MstLgwModelGradeServiceProxy,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this.l('Model'),headerTooltip: this.l('Model'),field: 'model',flex: 1},
			{headerName: this.l('Grade'),headerTooltip: this.l('Grade'),field: 'grade',flex: 1},
			{headerName: this.l('Module Up Qty'),headerTooltip: this.l('Module Up Qty'),field: 'moduleUpQty',flex: 1},
			{headerName: this.l('Module Mk Qty'),headerTooltip: this.l('Module Mk Qty'),field: 'moduleMkQty',flex: 1},
			{headerName: this.l('Up Leadtime'),headerTooltip: this.l('Up Leadtime'),field: 'upLeadtime',flex: 1},
			{headerName: this.l('Is Active'),headerTooltip: this.l('Is Active'),field: 'isActive',flex: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this.model,
			this.grade,
			this.moduleUpQty,
			this.moduleMkQty,
			this.upLeadtime,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this.model = '',
		this.grade = '',
		this.moduleUpQty = 0,
		this.moduleMkQty = 0,
		this.upLeadtime = 0,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this.model,
			this.grade,
			this.moduleUpQty,
			this.moduleMkQty,
			this.upLeadtime,
			this.isActive,
			'',
            this.paginationParams.skipCount,
            this.paginationParams.pageSize
        );
    }
    onChangeRowSelection(params: { api: { getSelectedRows: () =&gt; MstLgwModelGradeDto[] } }) {
        this.saveSelectedRow = params.api.getSelectedRows()[0] ?? new MstLgwModelGradeDto();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MstLgwModelGradeDto):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this._service.getModelGradeToExcel(
			this.model,
			this.grade,
			this.moduleUpQty,
			this.moduleMkQty,
			this.upLeadtime,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LogW Container Devanning Leadtime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(click)="createOrEditModalModelGrade.show()"&gt;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(click)="createOrEditModalModelGrade.show(selectedRow)"&gt;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&lt;create-or-edit-modelgrade-modal
    #createOrEditModalModelGrade
    (modalSave)="callBackDataGrid(dataParams)"
    (modalClose)="onChangeRowSelection(dataParams)"
&gt;
&lt;/create-or-edit-modelgrade-modal&gt;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#createOrEditModalModelGrade="bs-modal"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ModelGrade')}}&lt;/h3&gt;
                    &lt;h3 *ngIf="!rowdata.id"&gt;{{('Create New ModelGrade')}}&lt;/h3&gt;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title'&gt;Module Up Qty&lt;/label&gt;
						&lt;input type='number' class='col-md-10 form-control input-text' name='ModuleUpQty' [(ngModel)]='rowdata.moduleUpQty'&gt;
					&lt;/div&gt;
					&lt;div class='col-md-12 form-group row'&gt;
						&lt;label class='col-md-2 form-control title'&gt;Module Mk Qty&lt;/label&gt;
						&lt;input type='number' class='col-md-10 form-control input-text' name='ModuleMkQty' [(ngModel)]='rowdata.moduleMkQty'&gt;
					&lt;/div&gt;
					&lt;div class='col-md-12 form-group row'&gt;
						&lt;label class='col-md-2 form-control title'&gt;Up Leadtime&lt;/label&gt;
						&lt;input type='number' class='col-md-10 form-control input-text' name='UpLeadtime' [(ngModel)]='rowdata.upLeadtime'&gt;
					&lt;/div&gt;
					&lt;div class='col-md-12 form-group row'&gt;
						&lt;label class='col-md-2 form-control title'&gt;Is Active&lt;/label&gt;
						&lt;input type='text' class='col-md-10 form-control input-text' name='IsActive' [(ngModel)]='rowdata.isActive'&gt;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CreateOrEditMstLgwModelGradeDto, MstLgwModelGradeServiceProxy } from '@shared/service-proxies/service-proxies';
import { BsDatepickerDirective } from 'ngx-bootstrap/datepicker';
@Component({
    selector: 'create-or-edit-modelgrade-modal',
    templateUrl: './create-or-edit-modelgrade-modal.component.html',
    styleUrls: ['./create-or-edit-modelgrade-modal.component.less']
    })
export class CreateOrEditModelGradeModalComponent extends AppComponentBase {
    @ViewChild('createOrEditModalModelGrade',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CreateOrEditMstLgwModelGradeDto = new CreateOrEditMstLgwModelGradeDto();
    active: boolean = false;
    saving: boolean = false;
    _: boolean;
    constructor(
        injector: Injector,
        private _mstwptModelGradeService: MstLgwModelGradeServiceProxy,
    ) 
    {
        super(injector);
    }
    show(rowdata?: CreateOrEditMstLgwModelGradeDto): void {
        if (!rowdata) this.rowdata = new CreateOrEditMstLgwModelGradeDto();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this._mstwptModelGradeService.createOrEdit(this.rowdata)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ModelGradeRoutingModule } from './modelgrade-routing.module';
import { ModelGradeComponent } from './modelgrade.component';
import { CreateOrEditModelGradeModalComponent } from './create-or-edit-modelgrade-modal.component';
@NgModule({
    declarations: [
       ModelGradeComponent, 
        CreateOrEditModelGradeModalComponent
    ],
    imports: [
        AppSharedModule, ModelGradeRoutingModule]
})
export class ModelGradeModule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ModelGradeComponent } from './modelgrade.component';
const routes: Routes = [{
    path: '',
    component: ModelGradeComponent,
    pathMatch: 'full'
}];
@NgModule({
    imports: [RouterModule.forChild(routes)],
    exports: [RouterModule],
})
export class ModelGradeRoutingModule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AppMenuItem("ModelGrade", "Pages.Master.LogW.ModelGrade", "flaticon-book",   "/app/main/master/logw/modelgrade"),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'master/logw/modelgrade',
    loadChildren: () =&gt; import('./master/logw/modelgrade/modelgrade.module').then(m =&gt; m.ModelGradeModule),
    data: { permission: 'Pages.Master.LogW.ModelGrade' }
},</v>
      </c>
      <c r="R10" s="50" t="str">
        <f>SUBSTITUTE(R9,"MstWptCalendar",$B$6)</f>
        <v>ApiServiceProxies.MstLgwModelGradeServiceProxy,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H20</v>
      </c>
      <c r="I12" s="31" t="str">
        <f>"I"&amp;COUNTA($A:$A)</f>
        <v>I20</v>
      </c>
      <c r="J12" s="31"/>
      <c r="K12" s="31" t="str">
        <f>"K"&amp;COUNTA($A:$A)</f>
        <v>K20</v>
      </c>
      <c r="L12" s="31" t="str">
        <f>"L"&amp;COUNTA($A:$A)</f>
        <v>L20</v>
      </c>
      <c r="M12" s="31"/>
      <c r="N12" s="31"/>
      <c r="O12" s="31"/>
      <c r="P12" s="31"/>
      <c r="Q12" s="31"/>
      <c r="R12" s="31"/>
      <c r="S12" s="31" t="str">
        <f>"S"&amp;COUNTA($A:$A)</f>
        <v>S20</v>
      </c>
      <c r="T12" s="31" t="str">
        <f>"T"&amp;COUNTA($A:$A)</f>
        <v>T20</v>
      </c>
      <c r="U12" s="31" t="str">
        <f>"U"&amp;COUNTA($A:$A)</f>
        <v>U20</v>
      </c>
      <c r="V12" s="31" t="str">
        <f>"V"&amp;COUNTA($A:$A)</f>
        <v>V20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this.l('Model'),headerTooltip: this.l('Model'),field: 'model',flex: 1},
			{headerName: this.l('Grade'),headerTooltip: this.l('Grade'),field: 'grade',flex: 1},
			{headerName: this.l('Module Up Qty'),headerTooltip: this.l('Module Up Qty'),field: 'moduleUpQty',flex: 1},
			{headerName: this.l('Module Mk Qty'),headerTooltip: this.l('Module Mk Qty'),field: 'moduleMkQty',flex: 1},
			{headerName: this.l('Up Leadtime'),headerTooltip: this.l('Up Leadtime'),field: 'upLeadtime',flex: 1},
			{headerName: this.l('Is Active'),headerTooltip: this.l('Is Active'),field: 'isActive',flex: 1},</v>
      </c>
      <c r="I13" s="38" t="str">
        <f ca="1">TEXTJOIN2("
",TRUE,INDIRECT(I11):INDIRECT(I12))</f>
        <v xml:space="preserve">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title'&gt;Module Up Qty&lt;/label&gt;
						&lt;input type='number' class='col-md-10 form-control input-text' name='ModuleUpQty' [(ngModel)]='rowdata.moduleUpQty'&gt;
					&lt;/div&gt;
					&lt;div class='col-md-12 form-group row'&gt;
						&lt;label class='col-md-2 form-control title'&gt;Module Mk Qty&lt;/label&gt;
						&lt;input type='number' class='col-md-10 form-control input-text' name='ModuleMkQty' [(ngModel)]='rowdata.moduleMkQty'&gt;
					&lt;/div&gt;
					&lt;div class='col-md-12 form-group row'&gt;
						&lt;label class='col-md-2 form-control title'&gt;Up Leadtime&lt;/label&gt;
						&lt;input type='number' class='col-md-10 form-control input-text' name='UpLeadtime' [(ngModel)]='rowdata.upLeadtime'&gt;
					&lt;/div&gt;
					&lt;div class='col-md-12 form-group row'&gt;
						&lt;label class='col-md-2 form-control title'&gt;Is Active&lt;/label&gt;
						&lt;input type='text' class='col-md-10 form-control input-text' name='IsActive' [(ngModel)]='rowdata.isActive'&gt;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model : string = '' ; 
	grade : string = '' ; 
	moduleUpQty : number = 0 ;
	moduleMkQty : number = 0 ;
	upLeadtime : number = 0 ;
	isActive : string = '' ; </v>
      </c>
      <c r="T13" s="68" t="str">
        <f ca="1">TEXTJOIN2("
",TRUE,INDIRECT(T11):INDIRECT(T12))</f>
        <v xml:space="preserve">			this.model,
			this.grade,
			this.moduleUpQty,
			this.moduleMkQty,
			this.upLeadtime,
			this.isActive,</v>
      </c>
      <c r="U13" s="68" t="str">
        <f ca="1">TEXTJOIN2("
",TRUE,INDIRECT(U11):INDIRECT(U12))</f>
        <v>this.model = '',
		this.grade = '',
		this.moduleUpQty = 0,
		this.moduleMkQty = 0,
		this.upLeadtime = 0,
		this.isActive = '',</v>
      </c>
      <c r="V13" s="31" t="str">
        <f ca="1">TEXTJOIN2("
",TRUE,INDIRECT(V11):INDIRECT(V12))</f>
        <v/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modelgrade.component.ts</v>
      </c>
      <c r="I14" s="40" t="str">
        <f>B8&amp;".component.html"</f>
        <v>modelgrade.component.html</v>
      </c>
      <c r="J14" s="39" t="str">
        <f>B8&amp;".component.less"</f>
        <v>modelgrade.component.less</v>
      </c>
      <c r="K14" s="40" t="str">
        <f>"create-or-edit-"&amp;B8&amp;"-modal.component.html"</f>
        <v>create-or-edit-modelgrade-modal.component.html</v>
      </c>
      <c r="L14" s="40" t="str">
        <f>"create-or-edit-"&amp;B8&amp;"-modal.component.ts"</f>
        <v>create-or-edit-modelgrade-modal.component.ts</v>
      </c>
      <c r="M14" s="40" t="str">
        <f>"create-or-edit-"&amp;B8&amp;"-modal.component.less"</f>
        <v>create-or-edit-modelgrade-modal.component.less</v>
      </c>
      <c r="N14" s="40" t="str">
        <f>B8&amp;".module.ts"</f>
        <v>modelgrade.module.ts</v>
      </c>
      <c r="O14" s="40" t="str">
        <f>B8&amp;"-routing.module.ts"</f>
        <v>modelgrade-routing.module.ts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44" t="s">
        <v>307</v>
      </c>
      <c r="B15" s="31" t="str">
        <f>SUBSTITUTE(PROPER(A15),"_","")</f>
        <v>Model</v>
      </c>
      <c r="C15" s="31" t="str">
        <f>SUBSTITUTE(PROPER(A15),"_"," ")</f>
        <v>Model</v>
      </c>
      <c r="D15" s="31" t="str">
        <f>LOWER(LEFT(B15,1))&amp;RIGHT(B15,LEN(B15) - 1)</f>
        <v>model</v>
      </c>
      <c r="E15" s="31" t="str">
        <f>A.Backend!H9</f>
        <v>string</v>
      </c>
      <c r="F15" s="31" t="str">
        <f>A.Backend!G9</f>
        <v>10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this.l('Model'),headerTooltip: this.l('Model'),field: 'model',flex: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[(ngModel)]='model' name='model'
									class='form-control' [placeholder]="l('Model')"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title'&gt;Model&lt;/label&gt;
						&lt;input type='text' class='col-md-10 form-control input-text' name='Model' [(ngModel)]='rowdata.model'&gt;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model : string = '' ; </v>
      </c>
      <c r="T15" s="31" t="str">
        <f>REPT(CHAR(9),3)&amp;"this."&amp;D15&amp;","</f>
        <v xml:space="preserve">			this.model,</v>
      </c>
      <c r="U15" s="31" t="str">
        <f>IF(E15="int","this."&amp;D15&amp;" = 0,","this."&amp;D15&amp;" = '',")</f>
        <v>this.model = '',</v>
      </c>
      <c r="V15" s="31" t="str">
        <f>IF(AND(E15="string",F15="1"),D15,"")</f>
        <v/>
      </c>
    </row>
    <row r="16" spans="1:22" ht="15" customHeight="1" x14ac:dyDescent="0.25">
      <c r="A16" s="44" t="s">
        <v>308</v>
      </c>
      <c r="B16" s="31" t="str">
        <f t="shared" ref="B16:B17" si="0">SUBSTITUTE(PROPER(A16),"_","")</f>
        <v>Grade</v>
      </c>
      <c r="C16" s="31" t="str">
        <f t="shared" ref="C16:C17" si="1">SUBSTITUTE(PROPER(A16),"_"," ")</f>
        <v>Grade</v>
      </c>
      <c r="D16" s="31" t="str">
        <f t="shared" ref="D16:D17" si="2">LOWER(LEFT(B16,1))&amp;RIGHT(B16,LEN(B16) - 1)</f>
        <v>grade</v>
      </c>
      <c r="E16" s="31" t="str">
        <f>A.Backend!H10</f>
        <v>string</v>
      </c>
      <c r="F16" s="31" t="str">
        <f>A.Backend!G10</f>
        <v>10</v>
      </c>
      <c r="G16" s="31" t="str">
        <f t="shared" ref="G16:G20" si="3">IF(E16="string"," : string = '' ; ",IF(OR(E16="DateTime",E16="TimeSpan")," : any ;",IF(E16="int"," : number = 0 ;","")))</f>
        <v xml:space="preserve"> : string = '' ; </v>
      </c>
      <c r="H16" s="38" t="str">
        <f t="shared" ref="H16:H20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this.l('Grade'),headerTooltip: this.l('Grade'),field: 'grade',flex: 1},</v>
      </c>
      <c r="I16" s="38" t="str">
        <f t="shared" ref="I16:I20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[(ngModel)]='grade' name='grade'
									class='form-control' [placeholder]="l('Grade')"
									type='text' (keyup.enter)='searchDatas()'&gt;
								&lt;/div&gt;</v>
      </c>
      <c r="J16" s="31"/>
      <c r="K16" s="38" t="str">
        <f t="shared" ref="K16:K20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title'&gt;Grade&lt;/label&gt;
						&lt;input type='text' class='col-md-10 form-control input-text' name='Grade' [(ngModel)]='rowdata.grade'&gt;
					&lt;/div&gt;</v>
      </c>
      <c r="L16" s="60" t="str">
        <f t="shared" ref="L16:L20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grade : string = '' ; </v>
      </c>
      <c r="T16" s="31" t="str">
        <f>REPT(CHAR(9),3)&amp;"this."&amp;D16&amp;","</f>
        <v xml:space="preserve">			this.grade,</v>
      </c>
      <c r="U16" s="31" t="str">
        <f>IF(E16="int",REPT(CHAR(9),2)&amp;"this."&amp;D16&amp;" = 0,",REPT(CHAR(9),2)&amp;"this."&amp;D16&amp;" = '',")</f>
        <v xml:space="preserve">		this.grade = '',</v>
      </c>
      <c r="V16" s="31" t="str">
        <f t="shared" ref="V16:V20" si="8">IF(AND(E16="string",F16="1"),D16,"")</f>
        <v/>
      </c>
    </row>
    <row r="17" spans="1:22" ht="18" customHeight="1" x14ac:dyDescent="0.25">
      <c r="A17" s="44" t="s">
        <v>309</v>
      </c>
      <c r="B17" s="31" t="str">
        <f t="shared" si="0"/>
        <v>ModuleUpQty</v>
      </c>
      <c r="C17" s="31" t="str">
        <f t="shared" si="1"/>
        <v>Module Up Qty</v>
      </c>
      <c r="D17" s="31" t="str">
        <f t="shared" si="2"/>
        <v>moduleUpQty</v>
      </c>
      <c r="E17" s="31" t="str">
        <f>A.Backend!H11</f>
        <v>int</v>
      </c>
      <c r="F17" s="31" t="str">
        <f>A.Backend!G11</f>
        <v/>
      </c>
      <c r="G17" s="31" t="str">
        <f t="shared" si="3"/>
        <v xml:space="preserve"> : number = 0 ;</v>
      </c>
      <c r="H17" s="38" t="str">
        <f t="shared" si="4"/>
        <v xml:space="preserve">			{headerName: this.l('Module Up Qty'),headerTooltip: this.l('Module Up Qty'),field: 'moduleUpQty',flex: 1},</v>
      </c>
      <c r="I17" s="38" t="str">
        <f t="shared" si="5"/>
        <v/>
      </c>
      <c r="J17" s="31"/>
      <c r="K17" s="38" t="str">
        <f t="shared" si="6"/>
        <v xml:space="preserve">					&lt;div class='col-md-12 form-group row'&gt;
						&lt;label class='col-md-2 form-control title'&gt;Module Up Qty&lt;/label&gt;
						&lt;input type='number' class='col-md-10 form-control input-text' name='ModuleUpQty' [(ngModel)]='rowdata.moduleUpQty'&gt;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ref="S17:S20" si="9">REPT(CHAR(9),1)&amp;D17&amp;G17</f>
        <v xml:space="preserve">	moduleUpQty : number = 0 ;</v>
      </c>
      <c r="T17" s="31" t="str">
        <f t="shared" ref="T17:T20" si="10">REPT(CHAR(9),3)&amp;"this."&amp;D17&amp;","</f>
        <v xml:space="preserve">			this.moduleUpQty,</v>
      </c>
      <c r="U17" s="31" t="str">
        <f t="shared" ref="U17:U20" si="11">IF(E17="int",REPT(CHAR(9),2)&amp;"this."&amp;D17&amp;" = 0,",REPT(CHAR(9),2)&amp;"this."&amp;D17&amp;" = '',")</f>
        <v xml:space="preserve">		this.moduleUpQty = 0,</v>
      </c>
      <c r="V17" s="31" t="str">
        <f t="shared" si="8"/>
        <v/>
      </c>
    </row>
    <row r="18" spans="1:22" ht="15" customHeight="1" x14ac:dyDescent="0.25">
      <c r="A18" s="44" t="s">
        <v>310</v>
      </c>
      <c r="B18" s="31" t="str">
        <f t="shared" ref="B18:B19" si="12">SUBSTITUTE(PROPER(A18),"_","")</f>
        <v>ModuleMkQty</v>
      </c>
      <c r="C18" s="31" t="str">
        <f t="shared" ref="C18:C19" si="13">SUBSTITUTE(PROPER(A18),"_"," ")</f>
        <v>Module Mk Qty</v>
      </c>
      <c r="D18" s="31" t="str">
        <f t="shared" ref="D18:D19" si="14">LOWER(LEFT(B18,1))&amp;RIGHT(B18,LEN(B18) - 1)</f>
        <v>moduleMkQty</v>
      </c>
      <c r="E18" s="31" t="str">
        <f>A.Backend!H12</f>
        <v>int</v>
      </c>
      <c r="F18" s="31" t="str">
        <f>A.Backend!G12</f>
        <v/>
      </c>
      <c r="G18" s="31" t="str">
        <f t="shared" ref="G18:G19" si="15">IF(E18="string"," : string = '' ; ",IF(OR(E18="DateTime",E18="TimeSpan")," : any ;",IF(E18="int"," : number = 0 ;","")))</f>
        <v xml:space="preserve"> : number = 0 ;</v>
      </c>
      <c r="H18" s="38" t="str">
        <f t="shared" ref="H18:H19" si="16">IF(E18="DateTime",
REPT(CHAR(9),3)&amp;"{headerName: this.l('"&amp;C18&amp;"'),headerTooltip: this.l('"&amp;C18&amp;"'),field: '"&amp;D18&amp;"',valueGetter: (params) =&gt; this.pipe.transform(params.data?."&amp;D18&amp;", 'dd/MM/yyyy'),flex: 1},",
IF(AND(E18="string",F18="1"),
REPT(CHAR(9),3)&amp;"{headerName: this.l('"&amp;C18&amp;"'),headerTooltip: this.l('"&amp;C18&amp;"'),field:  '"&amp;D18&amp;"', cellClass: ['text-center'], width: 120, cellRenderer: 'agCellButtonComponent',
buttonDefTwo: { text: params =&gt; (params.data?.'"&amp;D18&amp;"' == 'Y') ? 'Active' : 'Inactive',iconName: 'fa fa-circle',className: params =&gt; (params.data?.'"&amp;D18&amp;"' == 'Y') ? 'btnActive' : 'btnInActive',},}",
REPT(CHAR(9),3)&amp;"{headerName: this.l('"&amp;C18&amp;"'),headerTooltip: this.l('"&amp;C18&amp;"'),field: '"&amp;D18&amp;"',flex: 1},"))</f>
        <v xml:space="preserve">			{headerName: this.l('Module Mk Qty'),headerTooltip: this.l('Module Mk Qty'),field: 'moduleMkQty',flex: 1},</v>
      </c>
      <c r="I18" s="38" t="str">
        <f t="shared" ref="I18:I19" si="17">IF(E18="DateTime",
REPT(CHAR(9),8)&amp;"&lt;div class='input-search'&gt;
"&amp;REPT(CHAR(9),9)&amp;"&lt;input type='text' [placeholder]=""l('"&amp;C18&amp;"')"" [(ngModel)]='"&amp;D18&amp;"' 
"&amp;REPT(CHAR(9),9)&amp;"name='"&amp;D18&amp;"'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IF(E18="string",
REPT(CHAR(9),8)&amp;"&lt;div class='input-search'&gt;
"&amp;REPT(CHAR(9),9)&amp;"&lt;input [(ngModel)]='"&amp;D18&amp;"' name='"&amp;D18&amp;"'
"&amp;REPT(CHAR(9),9)&amp;"class='form-control' [placeholder]=""l('"&amp;C18&amp;"')""
"&amp;REPT(CHAR(9),9)&amp;"type='text' (keyup.enter)='searchDatas()'&gt;
"&amp;REPT(CHAR(9),8)&amp;"&lt;/div&gt;",""))</f>
        <v/>
      </c>
      <c r="J18" s="31"/>
      <c r="K18" s="38" t="str">
        <f t="shared" ref="K18:K19" si="18">IF(OR(E18="DateTime",E18="TimeSpan"),
REPT(CHAR(9),5)&amp;"&lt;div class='col-md-12 form-group row'&gt;
"&amp;REPT(CHAR(9),6)&amp;"&lt;label class='col-md-2 form-control title'&gt;"&amp;C18&amp;"&lt;/label&gt;
"&amp;REPT(CHAR(9),6)&amp;"&lt;input type='text' class='col-md-10 form-control input-text' name='"&amp;D18&amp;"' 
"&amp;REPT(CHAR(9),6)&amp;"#datepicker='bsDatepicker' [(ngModel)]='rowdata."&amp;D18&amp;"'  bsDatepicker &gt;
"&amp;REPT(CHAR(9),5)&amp;"&lt;/div&gt;",
IF(AND(E18="string",F18="1"),
REPT(CHAR(9),5)&amp;"&lt;div class='col-md-12 form-group row'&gt;
"&amp;REPT(CHAR(9),6)&amp;"&lt;label class='col-md-2 form-control title'&gt;"&amp;C18&amp;"&lt;/label&gt;
"&amp;REPT(CHAR(9),6)&amp;"&lt;new-checkbox [(ngModel)]='_"&amp;D18&amp;"' name='"&amp;D18&amp;"' className='col-md-10' &gt; &lt;/new-checkbox&gt;
"&amp;REPT(CHAR(9),5)&amp;"&lt;/div&gt;",
IF(E18="string",
REPT(CHAR(9),5)&amp;"&lt;div class='col-md-12 form-group row'&gt;
"&amp;REPT(CHAR(9),6)&amp;"&lt;label class='col-md-2 form-control title'&gt;"&amp;C18&amp;"&lt;/label&gt;
"&amp;REPT(CHAR(9),6)&amp;"&lt;input type='text' class='col-md-10 form-control input-text' name='"&amp;B18&amp;"' [(ngModel)]='rowdata."&amp;D18&amp;"'&gt;
"&amp;REPT(CHAR(9),5)&amp;"&lt;/div&gt;",
IF(E18="int",
REPT(CHAR(9),5)&amp;"&lt;div class='col-md-12 form-group row'&gt;
"&amp;REPT(CHAR(9),6)&amp;"&lt;label class='col-md-2 form-control title'&gt;"&amp;C18&amp;"&lt;/label&gt;
"&amp;REPT(CHAR(9),6)&amp;"&lt;input type='number' class='col-md-10 form-control input-text' name='"&amp;B18&amp;"' [(ngModel)]='rowdata."&amp;D18&amp;"'&gt;
"&amp;REPT(CHAR(9),5)&amp;"&lt;/div&gt;",""))))</f>
        <v xml:space="preserve">					&lt;div class='col-md-12 form-group row'&gt;
						&lt;label class='col-md-2 form-control title'&gt;Module Mk Qty&lt;/label&gt;
						&lt;input type='number' class='col-md-10 form-control input-text' name='ModuleMkQty' [(ngModel)]='rowdata.moduleMkQty'&gt;
					&lt;/div&gt;</v>
      </c>
      <c r="L18" s="60" t="str">
        <f t="shared" ref="L18:L19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31"/>
      <c r="N18" s="31"/>
      <c r="O18" s="31"/>
      <c r="P18" s="31"/>
      <c r="Q18" s="31"/>
      <c r="R18" s="31"/>
      <c r="S18" s="31" t="str">
        <f>REPT(CHAR(9),1)&amp;D18&amp;G18</f>
        <v xml:space="preserve">	moduleMkQty : number = 0 ;</v>
      </c>
      <c r="T18" s="31" t="str">
        <f>REPT(CHAR(9),3)&amp;"this."&amp;D18&amp;","</f>
        <v xml:space="preserve">			this.moduleMkQty,</v>
      </c>
      <c r="U18" s="31" t="str">
        <f>IF(E18="int",REPT(CHAR(9),2)&amp;"this."&amp;D18&amp;" = 0,",REPT(CHAR(9),2)&amp;"this."&amp;D18&amp;" = '',")</f>
        <v xml:space="preserve">		this.moduleMkQty = 0,</v>
      </c>
      <c r="V18" s="31" t="str">
        <f t="shared" ref="V18:V19" si="20">IF(AND(E18="string",F18="1"),D18,"")</f>
        <v/>
      </c>
    </row>
    <row r="19" spans="1:22" ht="18" customHeight="1" x14ac:dyDescent="0.25">
      <c r="A19" s="44" t="s">
        <v>311</v>
      </c>
      <c r="B19" s="31" t="str">
        <f t="shared" si="12"/>
        <v>UpLeadtime</v>
      </c>
      <c r="C19" s="31" t="str">
        <f t="shared" si="13"/>
        <v>Up Leadtime</v>
      </c>
      <c r="D19" s="31" t="str">
        <f t="shared" si="14"/>
        <v>upLeadtime</v>
      </c>
      <c r="E19" s="31" t="str">
        <f>A.Backend!H13</f>
        <v>int</v>
      </c>
      <c r="F19" s="31" t="str">
        <f>A.Backend!G13</f>
        <v/>
      </c>
      <c r="G19" s="31" t="str">
        <f t="shared" si="15"/>
        <v xml:space="preserve"> : number = 0 ;</v>
      </c>
      <c r="H19" s="38" t="str">
        <f t="shared" si="16"/>
        <v xml:space="preserve">			{headerName: this.l('Up Leadtime'),headerTooltip: this.l('Up Leadtime'),field: 'upLeadtime',flex: 1},</v>
      </c>
      <c r="I19" s="38" t="str">
        <f t="shared" si="17"/>
        <v/>
      </c>
      <c r="J19" s="31"/>
      <c r="K19" s="38" t="str">
        <f t="shared" si="18"/>
        <v xml:space="preserve">					&lt;div class='col-md-12 form-group row'&gt;
						&lt;label class='col-md-2 form-control title'&gt;Up Leadtime&lt;/label&gt;
						&lt;input type='number' class='col-md-10 form-control input-text' name='UpLeadtime' [(ngModel)]='rowdata.upLeadtime'&gt;
					&lt;/div&gt;</v>
      </c>
      <c r="L19" s="60" t="str">
        <f t="shared" si="19"/>
        <v/>
      </c>
      <c r="M19" s="31"/>
      <c r="N19" s="31"/>
      <c r="O19" s="31"/>
      <c r="P19" s="31"/>
      <c r="Q19" s="31"/>
      <c r="R19" s="31"/>
      <c r="S19" s="31" t="str">
        <f t="shared" ref="S19" si="21">REPT(CHAR(9),1)&amp;D19&amp;G19</f>
        <v xml:space="preserve">	upLeadtime : number = 0 ;</v>
      </c>
      <c r="T19" s="31" t="str">
        <f t="shared" ref="T19" si="22">REPT(CHAR(9),3)&amp;"this."&amp;D19&amp;","</f>
        <v xml:space="preserve">			this.upLeadtime,</v>
      </c>
      <c r="U19" s="31" t="str">
        <f t="shared" ref="U19" si="23">IF(E19="int",REPT(CHAR(9),2)&amp;"this."&amp;D19&amp;" = 0,",REPT(CHAR(9),2)&amp;"this."&amp;D19&amp;" = '',")</f>
        <v xml:space="preserve">		this.upLeadtime = 0,</v>
      </c>
      <c r="V19" s="31" t="str">
        <f t="shared" si="20"/>
        <v/>
      </c>
    </row>
    <row r="20" spans="1:22" ht="18" customHeight="1" x14ac:dyDescent="0.25">
      <c r="A20" s="44" t="s">
        <v>301</v>
      </c>
      <c r="B20" s="31" t="str">
        <f>SUBSTITUTE(PROPER(A20),"_","")</f>
        <v>IsActive</v>
      </c>
      <c r="C20" s="31" t="str">
        <f>SUBSTITUTE(PROPER(A20),"_"," ")</f>
        <v>Is Active</v>
      </c>
      <c r="D20" s="31" t="str">
        <f>LOWER(LEFT(B20,1))&amp;RIGHT(B20,LEN(B20) - 1)</f>
        <v>isActive</v>
      </c>
      <c r="E20" s="31" t="str">
        <f>A.Backend!H14</f>
        <v>string</v>
      </c>
      <c r="F20" s="31" t="str">
        <f>A.Backend!G14</f>
        <v>50</v>
      </c>
      <c r="G20" s="31" t="str">
        <f t="shared" si="3"/>
        <v xml:space="preserve"> : string = '' ; </v>
      </c>
      <c r="H20" s="38" t="str">
        <f t="shared" si="4"/>
        <v xml:space="preserve">			{headerName: this.l('Is Active'),headerTooltip: this.l('Is Active'),field: 'isActive',flex: 1},</v>
      </c>
      <c r="I20" s="38" t="str">
        <f t="shared" si="5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0" s="31"/>
      <c r="K20" s="38" t="str">
        <f t="shared" si="6"/>
        <v xml:space="preserve">					&lt;div class='col-md-12 form-group row'&gt;
						&lt;label class='col-md-2 form-control title'&gt;Is Active&lt;/label&gt;
						&lt;input type='text' class='col-md-10 form-control input-text' name='IsActive' [(ngModel)]='rowdata.isActive'&gt;
					&lt;/div&gt;</v>
      </c>
      <c r="L20" s="60" t="str">
        <f t="shared" si="7"/>
        <v/>
      </c>
      <c r="M20" s="31"/>
      <c r="N20" s="31"/>
      <c r="O20" s="31"/>
      <c r="P20" s="31"/>
      <c r="Q20" s="31"/>
      <c r="R20" s="31"/>
      <c r="S20" s="31" t="str">
        <f t="shared" si="9"/>
        <v xml:space="preserve">	isActive : string = '' ; </v>
      </c>
      <c r="T20" s="31" t="str">
        <f t="shared" si="10"/>
        <v xml:space="preserve">			this.isActive,</v>
      </c>
      <c r="U20" s="31" t="str">
        <f t="shared" si="11"/>
        <v xml:space="preserve">		this.isActive = '',</v>
      </c>
      <c r="V20" s="31" t="str">
        <f t="shared" si="8"/>
        <v/>
      </c>
    </row>
    <row r="23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2022-07-16T09:33:54Z</dcterms:modified>
</cp:coreProperties>
</file>
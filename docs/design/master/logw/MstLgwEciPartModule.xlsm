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3" i="5"/>
  <c r="F23" i="5"/>
  <c r="C23" i="5" l="1"/>
  <c r="B23" i="5"/>
  <c r="D23" i="5" s="1"/>
  <c r="C22" i="5"/>
  <c r="B22" i="5"/>
  <c r="D22" i="5" s="1"/>
  <c r="B21" i="5"/>
  <c r="D21" i="5" s="1"/>
  <c r="C20" i="5"/>
  <c r="L17" i="1"/>
  <c r="G17" i="1"/>
  <c r="E17" i="1"/>
  <c r="H17" i="1" s="1"/>
  <c r="L23" i="5" s="1"/>
  <c r="D17" i="1"/>
  <c r="V17" i="1" s="1"/>
  <c r="L16" i="1"/>
  <c r="G16" i="1"/>
  <c r="F22" i="5" s="1"/>
  <c r="E16" i="1"/>
  <c r="H16" i="1" s="1"/>
  <c r="E22" i="5" s="1"/>
  <c r="D16" i="1"/>
  <c r="V16" i="1" s="1"/>
  <c r="G15" i="1"/>
  <c r="F21" i="5" s="1"/>
  <c r="E15" i="1"/>
  <c r="H15" i="1" s="1"/>
  <c r="E21" i="5" s="1"/>
  <c r="D15" i="1"/>
  <c r="P15" i="1" s="1"/>
  <c r="L14" i="1"/>
  <c r="G14" i="1"/>
  <c r="E14" i="1"/>
  <c r="H14" i="1" s="1"/>
  <c r="D14" i="1"/>
  <c r="V14" i="1" s="1"/>
  <c r="G22" i="5" l="1"/>
  <c r="S22" i="5" s="1"/>
  <c r="L22" i="5"/>
  <c r="V23" i="5"/>
  <c r="G23" i="5"/>
  <c r="S23" i="5" s="1"/>
  <c r="V20" i="5"/>
  <c r="V22" i="5"/>
  <c r="U23" i="5"/>
  <c r="T22" i="5"/>
  <c r="K22" i="5"/>
  <c r="U22" i="5"/>
  <c r="T23" i="5"/>
  <c r="T21" i="5"/>
  <c r="I22" i="5"/>
  <c r="H23" i="5"/>
  <c r="C21" i="5"/>
  <c r="I21" i="5" s="1"/>
  <c r="V21" i="5"/>
  <c r="H22" i="5"/>
  <c r="I23" i="5"/>
  <c r="U21" i="5"/>
  <c r="B20" i="5"/>
  <c r="D20" i="5" s="1"/>
  <c r="I20" i="5" s="1"/>
  <c r="G21" i="5"/>
  <c r="S21" i="5" s="1"/>
  <c r="L21" i="5"/>
  <c r="G20" i="5"/>
  <c r="L20" i="5"/>
  <c r="K23" i="5"/>
  <c r="T16" i="1"/>
  <c r="W15" i="1"/>
  <c r="T14" i="1"/>
  <c r="P17" i="1"/>
  <c r="T15" i="1"/>
  <c r="P16" i="1"/>
  <c r="W17" i="1"/>
  <c r="O17" i="1"/>
  <c r="J17" i="1"/>
  <c r="N17" i="1"/>
  <c r="I17" i="1"/>
  <c r="M17" i="1"/>
  <c r="P14" i="1"/>
  <c r="T17" i="1"/>
  <c r="W14" i="1"/>
  <c r="O14" i="1"/>
  <c r="J14" i="1"/>
  <c r="N14" i="1"/>
  <c r="I14" i="1"/>
  <c r="M14" i="1"/>
  <c r="N16" i="1"/>
  <c r="I16" i="1"/>
  <c r="M16" i="1"/>
  <c r="W16" i="1"/>
  <c r="O16" i="1"/>
  <c r="J16" i="1"/>
  <c r="M15" i="1"/>
  <c r="I15" i="1"/>
  <c r="V15" i="1"/>
  <c r="O15" i="1"/>
  <c r="K21" i="5" l="1"/>
  <c r="K20" i="5"/>
  <c r="U20" i="5"/>
  <c r="H21" i="5"/>
  <c r="T20" i="5"/>
  <c r="S20" i="5"/>
  <c r="H20" i="5"/>
  <c r="W3" i="1"/>
  <c r="V3" i="1"/>
  <c r="B2" i="5" l="1"/>
  <c r="B3" i="5" s="1"/>
  <c r="C19" i="5"/>
  <c r="B18" i="5"/>
  <c r="D18" i="5" s="1"/>
  <c r="L13" i="1"/>
  <c r="G13" i="1"/>
  <c r="E13" i="1"/>
  <c r="H13" i="1" s="1"/>
  <c r="D13" i="1"/>
  <c r="G12" i="1"/>
  <c r="E12" i="1"/>
  <c r="H12" i="1" s="1"/>
  <c r="D12" i="1"/>
  <c r="V12" i="1" l="1"/>
  <c r="T12" i="1"/>
  <c r="N13" i="1"/>
  <c r="O13" i="1"/>
  <c r="M13" i="1"/>
  <c r="N12" i="1"/>
  <c r="M12" i="1"/>
  <c r="O12" i="1"/>
  <c r="T13" i="1"/>
  <c r="V13" i="1"/>
  <c r="W12" i="1"/>
  <c r="W13" i="1"/>
  <c r="T18" i="5"/>
  <c r="P13" i="1"/>
  <c r="C18" i="5"/>
  <c r="B19" i="5"/>
  <c r="D19" i="5" s="1"/>
  <c r="J12" i="1"/>
  <c r="I12" i="1"/>
  <c r="I13" i="1"/>
  <c r="P12" i="1"/>
  <c r="J13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9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9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9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U13" i="5"/>
  <c r="S13" i="5"/>
  <c r="V13" i="5"/>
  <c r="K13" i="5"/>
  <c r="L13" i="5"/>
  <c r="H13" i="5"/>
  <c r="I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s="1"/>
  <c r="J15" i="1" l="1"/>
  <c r="N15" i="1"/>
  <c r="L12" i="1"/>
  <c r="L15" i="1"/>
  <c r="L9" i="1"/>
  <c r="L10" i="1"/>
  <c r="J11" i="1"/>
  <c r="J9" i="1"/>
  <c r="J10" i="1"/>
  <c r="C7" i="1"/>
  <c r="O19" i="1"/>
  <c r="J19" i="1"/>
  <c r="P19" i="1"/>
  <c r="N19" i="1"/>
  <c r="I19" i="1"/>
  <c r="Q7" i="1" l="1"/>
  <c r="M47" i="3" s="1"/>
  <c r="L7" i="1"/>
  <c r="G47" i="3" s="1"/>
  <c r="K47" i="3"/>
  <c r="J47" i="3"/>
  <c r="K19" i="1"/>
  <c r="M19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<sst xmlns="http://schemas.openxmlformats.org/spreadsheetml/2006/main" count="402" uniqueCount="323">
  <si>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</si>
  <si>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</si>
  <si>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</si>
  <si>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</si>
  <si>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</si>
  <si>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</si>
  <si>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</si>
  <si>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</si>
  <si>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</si>
  <si>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</si>
  <si>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</si>
  <si>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</si>
  <si>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</si>
  <si>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</si>
  <si>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</si>
  <si>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</si>
  <si>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</si>
  <si>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</si>
  <si>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</si>
  <si>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</si>
  <si>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</si>
  <si>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</si>
  <si>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</si>
  <si>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</si>
  <si>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</si>
  <si>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</si>
  <si>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</si>
  <si>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</si>
  <si>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</si>
  <si>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</si>
  <si>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</si>
  <si>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</si>
  <si>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</si>
  <si>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</si>
  <si>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</si>
  <si>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</si>
  <si>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</si>
  <si>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</si>
  <si>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</si>
  <si>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</si>
  <si>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</si>
  <si>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</si>
  <si>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</si>
  <si>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</si>
  <si>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</si>
  <si>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</si>
  <si>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</si>
  <si>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</si>
  <si>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</si>
  <si>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</si>
  <si>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</si>
  <si>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</si>
  <si>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</si>
  <si>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</si>
  <si>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</si>
  <si>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</si>
  <si>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</si>
  <si>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</si>
  <si>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</si>
  <si>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</si>
  <si>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</si>
  <si>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</si>
  <si>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</si>
  <si>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</si>
  <si>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</si>
  <si>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</si>
  <si>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</si>
  <si>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</si>
  <si>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</si>
  <si>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</si>
  <si>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</si>
  <si>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</si>
  <si>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</si>
  <si>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</si>
  <si>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</si>
  <si>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</si>
  <si>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</si>
  <si>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</si>
  <si>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</si>
  <si>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</si>
  <si>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</si>
  <si>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</si>
  <si>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</si>
  <si>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</si>
  <si>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</si>
  <si>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</si>
  <si>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</si>
  <si>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</si>
  <si>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</si>
  <si>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</si>
  <si>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</si>
  <si>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</si>
  <si>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</si>
  <si>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</si>
  <si>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</si>
  <si>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</si>
  <si>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</si>
  <si>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</si>
  <si>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</si>
  <si>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</si>
  <si>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</si>
  <si>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</si>
  <si>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</si>
  <si>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</si>
  <si>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</si>
  <si>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</si>
  <si>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</si>
  <si>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</si>
  <si>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</si>
  <si>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</si>
  <si>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</si>
  <si>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</si>
  <si>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</si>
  <si>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</si>
  <si>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</si>
  <si>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</si>
  <si>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</si>
  <si>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</si>
  <si>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</si>
  <si>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</si>
  <si>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</si>
  <si>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</si>
  <si>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</si>
  <si>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</si>
  <si>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</si>
  <si>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</si>
  <si>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</si>
  <si>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</si>
  <si>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</si>
  <si>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</si>
  <si>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</si>
  <si>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</si>
  <si>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</si>
  <si>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</si>
  <si>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</si>
  <si>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</si>
  <si>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</si>
  <si>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</si>
  <si>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</si>
  <si>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</si>
  <si>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</si>
  <si>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</si>
  <si>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</si>
  <si>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</si>
  <si>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</si>
  <si>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</si>
  <si>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</si>
  <si>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</si>
  <si>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</si>
  <si>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</si>
  <si>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</si>
  <si>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</si>
  <si>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</si>
  <si>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</si>
  <si>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</si>
  <si>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</si>
  <si>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</si>
  <si>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</si>
  <si>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</si>
  <si>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</si>
  <si>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</si>
  <si>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</si>
  <si>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</si>
  <si>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</si>
  <si>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</si>
  <si>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</si>
  <si>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</si>
  <si>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</si>
  <si>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</si>
  <si>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</si>
  <si>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</si>
  <si>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</si>
  <si>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</si>
  <si>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</si>
  <si>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</si>
  <si>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</si>
  <si>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</si>
  <si>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</si>
  <si>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</si>
  <si>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</si>
  <si>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</si>
  <si>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</si>
  <si>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</si>
  <si>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</si>
  <si>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</si>
  <si>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</si>
  <si>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</si>
  <si>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</si>
  <si>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</si>
  <si>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</si>
  <si>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</si>
  <si>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</si>
  <si>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</si>
  <si>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</si>
  <si>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</si>
  <si>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</si>
  <si>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</si>
  <si>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</si>
  <si>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</si>
  <si>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</si>
  <si>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</si>
  <si>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</si>
  <si>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</si>
  <si>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</si>
  <si>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</si>
  <si>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</si>
  <si>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</si>
  <si>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</si>
  <si>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</si>
  <si>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</si>
  <si>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</si>
  <si>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</si>
  <si>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</si>
  <si>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</si>
  <si>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</si>
  <si>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</si>
  <si>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</si>
  <si>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</si>
  <si>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</si>
  <si>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</si>
  <si>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</si>
  <si>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</si>
  <si>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</si>
  <si>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</si>
  <si>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</si>
  <si>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</si>
  <si>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</si>
  <si>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</si>
  <si>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</si>
  <si>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</si>
  <si>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</si>
  <si>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</si>
  <si>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</si>
  <si>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</si>
  <si>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</si>
  <si>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</si>
  <si>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</si>
  <si>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</si>
  <si>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</si>
  <si>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</si>
  <si>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</si>
  <si>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</si>
  <si>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</si>
  <si>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</si>
  <si>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</si>
  <si>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</si>
  <si>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</si>
  <si>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</si>
  <si>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</si>
  <si>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</si>
  <si>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</si>
  <si>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</si>
  <si>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</si>
  <si>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</si>
  <si>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</si>
  <si>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</si>
  <si>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</si>
  <si>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</si>
  <si>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</si>
  <si>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</si>
  <si>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</si>
  <si>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</si>
  <si>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</si>
  <si>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</si>
  <si>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</si>
  <si>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</si>
  <si>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</si>
  <si>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</si>
  <si>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</si>
  <si>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</si>
  <si>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</si>
  <si>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</si>
  <si>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</si>
  <si>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</si>
  <si>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</si>
  <si>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</si>
  <si>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</si>
  <si>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</si>
  <si>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</si>
  <si>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</si>
  <si>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</si>
  <si>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</si>
  <si>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</si>
  <si>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</si>
  <si>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</si>
  <si>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</si>
  <si>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</si>
  <si>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</si>
  <si>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</si>
  <si>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</si>
  <si>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</si>
  <si>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</si>
  <si>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</si>
  <si>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</si>
  <si>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</si>
  <si>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</si>
  <si>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</si>
  <si>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</si>
  <si>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</si>
  <si>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</si>
  <si>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</si>
  <si>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PART_NO</t>
  </si>
  <si>
    <t>SUPPLIER_NO</t>
  </si>
  <si>
    <t>IS_ACTIVE</t>
  </si>
  <si>
    <t>varchar(1)</t>
  </si>
  <si>
    <t>Master.LogW</t>
  </si>
  <si>
    <t>Master LogW Eci Part</t>
  </si>
  <si>
    <t>MstLgwEciPartModule</t>
  </si>
  <si>
    <t>EciPartModule</t>
  </si>
  <si>
    <t>nvarchar(12)</t>
  </si>
  <si>
    <t>CASE_NO</t>
  </si>
  <si>
    <t>nvarchar(30)</t>
  </si>
  <si>
    <t>nvarchar(10)</t>
  </si>
  <si>
    <t>CONTAINER_NO</t>
  </si>
  <si>
    <t>nvarchar(15)</t>
  </si>
  <si>
    <t>RENBAN</t>
  </si>
  <si>
    <t>nvarchar(6)</t>
  </si>
  <si>
    <t>CASE_PREFIX</t>
  </si>
  <si>
    <t>nvarchar(8)</t>
  </si>
  <si>
    <t>CHK_ECI_PART_ID</t>
  </si>
  <si>
    <t>Unchecked</t>
  </si>
  <si>
    <t>ECI_TYPE</t>
  </si>
  <si>
    <t>nvarchar(1)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</si>
</sst>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56" sqref="C5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[Table("MstLgwEciPartModule")]
	[Index(nameof(ChkEciPartId), Name="IX_MstLgwEciPartModule_ChkEciPartId")]
	[Index(nameof(IsActive), Name="IX_MstLgwEciPartModule_IsActive")]	public class MstLgwEciPartModule: FullAuditedEntity&lt;long&gt;, IEntity&lt;long&gt;	
	{
		public const int MaxPartNoLength = 12;
		public const int MaxCaseNoLength = 30;
		public const int MaxSupplierNoLength = 10;
		public const int MaxContainerNoLength = 15;
		public const int MaxRenbanLength = 6;
		public const int MaxCasePrefixLength = 8;
		public const int MaxEciTypeLength = 1;
		public const int MaxIsActiveLength = 1;
		[StringLength(MaxPartNoLength)]
		public virtual string PartNo { get; set; }
		[StringLength(MaxCaseNoLength)]
		public virtual string CaseNo { get; set; }
		[StringLength(MaxSupplierNoLength)]
		public virtual string SupplierNo { get; set; }
		[StringLength(MaxContainerNoLength)]
		public virtual string ContainerNo { get; set; }
		[StringLength(MaxRenbanLength)]
		public virtual string Renban { get; set; }
		[StringLength(MaxCasePrefixLength)]
		public virtual string CasePrefix { get; set; }
		[Required]
		public virtual long ChkEciPartId { get; set; }
		[StringLength(MaxEciTypeLength)]
		public virtual string EciType { get; set; }
		[StringLength(MaxIsActiveLength)]
		public virtual string IsActive { get; set; }
	}
}
</v>
      </c>
      <c r="D47" s="51" t="str">
        <f>A.Backend!O7</f>
        <v xml:space="preserve">		public const string Pages_Master_LogW_EciPartModule = "Pages.Master.LogW.EciPartModule";
		public const string Pages_Master_LogW_EciPartModule_CreateEdit = "Pages.Master.LogW.EciPartModule.CreateEdit";
		public const string Pages_Master_LogW_EciPartModule_Delete = "Pages.Master.LogW.EciPartModule.Delete";
</v>
      </c>
      <c r="E47" s="51" t="str">
        <f>A.Backend!N7</f>
        <v xml:space="preserve">		var perMstLgwEciPartModule = PARENTS.CreateChildPermission(AppPermissions.Pages_Master_LogW_EciPartModule, L( "MasterLogWEciPartModule"));
		perMstLgwEciPartModule.CreateChildPermission(AppPermissions.Pages_Master_LogW_EciPartModule_CreateEdit, L( "MasterLogWEciPartModuleCreateEdit"));
		perMstLgwEciPartModule.CreateChildPermission(AppPermissions.Pages_Master_LogW_EciPartModule_Delete, L( "MasterLogWEciPartModuleDelete"));</v>
      </c>
      <c r="F47" s="51" t="str">
        <f>A.Backend!K7</f>
        <v>public virtual DbSet&lt;MstLgwEciPartModule&gt; MstLgwEciPartModules { get; set; }</v>
      </c>
      <c r="G47" s="51" t="str">
        <f ca="1">A.Backend!L7</f>
        <v xml:space="preserve">namespace vovina.Master.LogW
{
	public class MstLgwEciPartModuleConsts	
	{
		public const int MaxPartNoLength = 12;
		public const int MaxCaseNoLength = 30;
		public const int MaxSupplierNoLength = 10;
		public const int MaxContainerNoLength = 15;
		public const int MaxRenbanLength = 6;
		public const int MaxCasePrefixLength = 8;
		public const int MaxEciTypeLength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MstLgwEciPartModuleDto : EntityDto&lt;long?&gt;	
	{
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long ChkEciPartId { get; set; }
		public virtual string EciType { get; set; }
		public virtual string IsActive { get; set; }
	}
	public class CreateOrEditMstLgwEciPartModuleDto : EntityDto&lt;long?&gt;	
	{
		[StringLength(MstLgwEciPartModuleConsts.MaxPartNoLength)]
		public virtual string PartNo { get; set; }
		[StringLength(MstLgwEciPartModuleConsts.MaxCaseNoLength)]
		public virtual string CaseNo { get; set; }
		[StringLength(MstLgwEciPartModuleConsts.MaxSupplierNoLength)]
		public virtual string SupplierNo { get; set; }
		[StringLength(MstLgwEciPartModuleConsts.MaxContainerNoLength)]
		public virtual string ContainerNo { get; set; }
		[StringLength(MstLgwEciPartModuleConsts.MaxRenbanLength)]
		public virtual string Renban { get; set; }
		[StringLength(MstLgwEciPartModuleConsts.MaxCasePrefixLength)]
		public virtual string CasePrefix { get; set; }
		[Required]
		public virtual long ChkEciPartId { get; set; }
		[StringLength(MstLgwEciPartModuleConsts.MaxEciTypeLength)]
		public virtual string EciType { get; set; }
		[StringLength(MstLgwEciPartModuleConsts.MaxIsActiveLength)]
		public virtual string IsActive { get; set; }
	}
	public class GetMstLgwEciPartModuleInput : PagedAndSortedResultRequestDto	
	{
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string EciType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MstLgwEciPartModuleExportInput{
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long ChkEciPartId { get; set; }
		public virtual string EciType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IMstLgwEciPartModuleAppService : IApplicationService
	{
		Task&lt;PagedResultDto&lt;MstLgwEciPartModuleDto&gt;&gt; GetAll(GetMstLgwEciPartModuleInput input);
		Task CreateOrEdit(CreateOrEditMstLgwEciPartModuleDto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IMstLgwEciPartModuleExcelExporter : IApplicationService
	{
		FileDto ExportToFile(List&lt;MstLgwEciPartModuleDto&gt; mstlgwecipartmodule);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MstLgwEciPartModuleExcelExporter : NpoiExcelExporterBase, IMstLgwEciPartModuleExcelExporter
    {
        public MstLgwEciPartModuleExcelExporter(ITempFileCacheManager tempFileCacheManager) : base(tempFileCacheManager) { }
        public FileDto ExportToFile(List&lt;MstLgwEciPartModuleDto&gt; ecipartmodule)
        {
            return CreateExcelPackage(
				"MasterLogWEciPartModule.xlsx",
				excelPackage =&gt;
				 {
					var sheet = excelPackage.CreateSheet("EciPartModule");
					AddHeader(
								sheet,
								("PartNo"),
								("CaseNo"),
								("SupplierNo"),
								("ContainerNo"),
								("Renban"),
								("CasePrefix"),
								("ChkEciPartId"),
								("EciType"),
								("IsActive"),
							   );
					AddObjects(
						 sheet, 1, ecipartmodule,                                       
								_ =&gt; _.PartNo,
								_ =&gt; _.CaseNo,
								_ =&gt; _.SupplierNo,
								_ =&gt; _.ContainerNo,
								_ =&gt; _.Renban,
								_ =&gt; _.CasePrefix,
								_ =&gt; _.ChkEciPartId,
								_ =&gt; _.EciType,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[AbpAuthorize(AppPermissions.Pages_Master_LogW_EciPartModule)]
    public class MstLgwEciPartModuleAppService : vovinaAppServiceBase, IMstLgwEciPartModuleAppService
    {
        private readonly IDapperRepository&lt;MstLgwEciPartModule, long&gt; _dapperRepo;
        private readonly IRepository&lt;MstLgwEciPartModule, long&gt; _repo;
        private readonly IMstLgwEciPartModuleExcelExporter _calendarListExcelExporter;
        public MstLgwEciPartModuleAppService(IRepository&lt;MstLgwEciPartModule,long&gt; repo, 
                                         IDapperRepository&lt;MstLgwEciPartModule,long&gt; dapperRepo,
                                        IMstLgwEciPartModuleExcelExporter calendarListExcelExporter
            )
        {
            _repo = repo;
            _dapperRepo = dapperRepo;
            _calendarListExcelExporter = calendarListExcelExporter;
        }
        [AbpAuthorize(AppPermissions.Pages_Master_LogW_EciPartModule_CreateEdit)]
        public async Task CreateOrEdit(CreateOrEditMstLgwEciPartModuleDto input)
        {
            if (input.Id == null) await Create(input);
            else await Update(input);
        }
        //CREATE
        private async Task Create(CreateOrEditMstLgwEciPartModuleDto input)
        {          
            var mainObj = ObjectMapper.Map&lt;MstLgwEciPartModule&gt;(input);
            await CurrentUnitOfWork.GetDbContext&lt;vovinaDbContext&gt;().AddAsync(mainObj);
        }
        // EDIT
        private async Task Update(CreateOrEditMstLgwEciPartModuleDto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[AbpAuthorize(AppPermissions.Pages_Master_LogW_EciPartModule_Delete)]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Task&lt;PagedResultDto&lt;MstLgwEciPartModuleDto&gt;&gt; GetAll(GetMstLgwEciPartModuleInput input)
        {
            var filtered = _repo.GetAll()
				.WhereIf(!string.IsNullOrWhiteSpace(input.PartNo), e =&gt; e.PartNo.Contains(input.PartNo))
				.WhereIf(!string.IsNullOrWhiteSpace(input.CaseNo), e =&gt; e.CaseNo.Contains(input.CaseNo))
				.WhereIf(!string.IsNullOrWhiteSpace(input.SupplierNo), e =&gt; e.SupplierNo.Contains(input.SupplierNo))
				.WhereIf(!string.IsNullOrWhiteSpace(input.ContainerNo), e =&gt; e.ContainerNo.Contains(input.ContainerNo))
				.WhereIf(!string.IsNullOrWhiteSpace(input.Renban), e =&gt; e.Renban.Contains(input.Renban))
				.WhereIf(!string.IsNullOrWhiteSpace(input.CasePrefix), e =&gt; e.CasePrefix.Contains(input.CasePrefix))
				.WhereIf(!string.IsNullOrWhiteSpace(input.EciType), e =&gt; e.EciType.Contains(input.EciType))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MstLgwEciPartModuleDto
                        {
							Id = o.Id,
							PartNo = o.PartNo,
							CaseNo = o.CaseNo,
							SupplierNo = o.SupplierNo,
							ContainerNo = o.ContainerNo,
							Renban = o.Renban,
							CasePrefix = o.CasePrefix,
							ChkEciPartId = o.ChkEciPartId,
							EciType = o.EciType,
							IsActive = o.IsActive,
                        };
            var totalCount = await filtered.CountAsync();
			var paged = system.PageBy(input);
            return new PagedResultDto&lt;MstLgwEciPartModuleDto&gt;(
                totalCount,
                 await paged.ToListAsync()
            );
        }
        public async Task&lt;FileDto&gt; GetEciPartModuleToExcel(MstLgwEciPartModuleExportInput input)
        {
            var query = from o in _repo.GetAll()
                        select new MstLgwEciPartModuleDto
                        {
							Id = o.Id,
							PartNo = o.PartNo,
							CaseNo = o.CaseNo,
							SupplierNo = o.SupplierNo,
							ContainerNo = o.ContainerNo,
							Renban = o.Renban,
							CasePrefix = o.CasePrefix,
							ChkEciPartId = o.ChkEciPartId,
							EciType = o.EciType,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_dapperRepo.ExecuteAsync(MstLgwEciPartModuleConsts.SP_MST_WPT_CALENDAR_GENERATE);
       // }
    }
}</v>
      </c>
      <c r="N47" s="62" t="str">
        <f>A.Backend!U7</f>
        <v xml:space="preserve">  configuration.CreateMap&lt;MstLgwEciPartModuleDto, MstLgwEciPartModule&gt;();
  configuration.CreateMap&lt;MstLgwEciPartModule, MstLgwEciPartModuleDto&gt;();
  configuration.CreateMap&lt;CreateOrEditMstLgwEciPartModuleDto, MstLgwEciPartModule&gt;();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ecipartmodule</v>
      </c>
      <c r="C52" s="72" t="str">
        <f>"create folder " &amp;B52</f>
        <v>create folder ecipartmodule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ecipartmodule.component.ts</v>
      </c>
      <c r="D53" s="31" t="str">
        <f>B.Frontend!I14</f>
        <v>ecipartmodule.component.html</v>
      </c>
      <c r="E53" s="31" t="str">
        <f>B.Frontend!J14</f>
        <v>ecipartmodule.component.less</v>
      </c>
      <c r="F53" s="31" t="str">
        <f>B.Frontend!K14</f>
        <v>create-or-edit-ecipartmodule-modal.component.html</v>
      </c>
      <c r="G53" s="31" t="str">
        <f>B.Frontend!L14</f>
        <v>create-or-edit-ecipartmodule-modal.component.ts</v>
      </c>
      <c r="H53" s="31" t="str">
        <f>B.Frontend!M14</f>
        <v>create-or-edit-ecipartmodule-modal.component.less</v>
      </c>
      <c r="I53" s="31" t="str">
        <f>B.Frontend!N14</f>
        <v>ecipartmodule.module.ts</v>
      </c>
      <c r="J53" s="31" t="str">
        <f>B.Frontend!O14</f>
        <v>ecipartmodule-routing.module.ts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MstLgwEciPartModuleDto, MstLgwEciPartModuleServiceProxy } from '@shared/service-proxies/service-proxies';
import { finalize } from 'rxjs/internal/operators/finalize';
import { CreateOrEditEciPartModuleModalComponent } from './create-or-edit-ecipartmodule-modal.component';
import { DatePipe } from '@angular/common';
import { FileDownloadService } from '@shared/utils/file-download.service';
import ceil from 'lodash-es/ceil';
import { Paginator } from 'primeng/paginator';
@Component({
    templateUrl: './ecipartmodule.component.html',
    styleUrls: ['./ecipartmodule.component.less'],
})
export class EciPartModuleComponent extends AppComponentBase implements OnInit {
    @ViewChild('createOrEditModalEciPartModule', { static: true }) createOrEditModalEciPartModule:| CreateOrEditEciPartModuleModalComponent|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MstLgwEciPartModuleDto = new MstLgwEciPartModuleDto();
    saveSelectedRow: MstLgwEciPartModuleDto = new MstLgwEciPartModuleDto();
    datas: MstLgwEciPartModuleDto = new MstLgwEciPartModuleDto();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caseNo : string = '' ; 
	supplierNo : string = '' ; 
	containerNo : string = '' ; 
	renban : string = '' ; 
casePrefix : string = '' ; 
	chkEciPartId
	eciType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MstLgwEciPartModuleServiceProxy,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this.l('Case No'),headerTooltip: this.l('Case No'),field: 'caseNo',flex: 1},
			{headerName: this.l('Supplier No'),headerTooltip: this.l('Supplier No'),field: 'supplierNo',flex: 1},
			{headerName: this.l('Container No'),headerTooltip: this.l('Container No'),field: 'containerNo',flex: 1},
			{headerName: this.l('Renban'),headerTooltip: this.l('Renban'),field: 'renban',flex: 1},
			{headerName: this.l('Case Prefix'),headerTooltip: this.l('Case Prefix'),field: 'casePrefix',flex: 1},
			{headerName: this.l('Chk Eci Part Id'),headerTooltip: this.l('Chk Eci Part Id'),field: 'chkEciPartId',flex: 1},
			{headerName: this.l('Eci Type'),headerTooltip: this.l('Eci Type'),field:  'eciType', cellClass: ['text-center'], width: 120, cellRenderer: 'agCellButtonComponent',
buttonDefTwo: { text: params =&gt; (params.data?.'eciType' == 'Y') ? 'Active' : 'Inactive',iconName: 'fa fa-circle',className: params =&gt; (params.data?.'eciType'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this.caseNo,
			this.supplierNo,
			this.containerNo,
			this.renban,
			this.casePrefix,
			this.chkEciPartId,
			this.eciType,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this.caseNo = '',
		this.supplierNo = '',
		this.containerNo = '',
		this.renban = '',
this.casePrefix = '',
		this.chkEciPartId = '',
		this.eciType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this.caseNo,
			this.supplierNo,
			this.containerNo,
			this.renban,
			this.casePrefix,
			this.chkEciPartId,
			this.eciType,
			this.isActive,
			'',
            this.paginationParams.skipCount,
            this.paginationParams.pageSize
        );
    }
    onChangeRowSelection(params: { api: { getSelectedRows: () =&gt; MstLgwEciPartModuleDto[] } }) {
        this.saveSelectedRow = params.api.getSelectedRows()[0] ?? new MstLgwEciPartModuleDto();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MstLgwEciPartModuleDto):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this._service.getEciPartModuleToExcel(
			this.partNo,
			this.caseNo,
			this.supplierNo,
			this.containerNo,
			this.renban,
			this.casePrefix,
			this.chkEciPartId,
			this.eciType,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Eci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[(ngModel)]='casePrefix' name='casePrefix'
									class='form-control' [placeholder]="l('Case Prefix')"
									type='text' (keyup.enter)='searchDatas()'&gt;
								&lt;/div&gt;
								&lt;div class='input-search'&gt;
									&lt;input [(ngModel)]='eciType' name='eciType'
									class='form-control' [placeholder]="l('Eci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(click)="createOrEditModalEciPartModule.show()"&gt;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(click)="createOrEditModalEciPartModule.show(selectedRow)"&gt;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&lt;create-or-edit-ecipartmodule-modal
    #createOrEditModalEciPartModule
    (modalSave)="callBackDataGrid(dataParams)"
    (modalClose)="onChangeRowSelection(dataParams)"
&gt;
&lt;/create-or-edit-ecipartmodule-modal&gt;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#createOrEditModalEciPartModule="bs-modal"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EciPartModule')}}&lt;/h3&gt;
                    &lt;h3 *ngIf="!rowdata.id"&gt;{{('Create New EciPartModule')}}&lt;/h3&gt;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Prefix&lt;/label&gt;
						&lt;input type='text' class='col-md-10 form-control input-text' name='CasePrefix' [(ngModel)]='rowdata.casePrefix'&gt;
					&lt;/div&gt;
					&lt;div class='col-md-12 form-group row'&gt;
						&lt;label class='col-md-2 form-control title'&gt;Eci Type&lt;/label&gt;
						&lt;new-checkbox [(ngModel)]='_eciType' name='eciType'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CreateOrEditMstLgwEciPartModuleDto, MstLgwEciPartModuleServiceProxy } from '@shared/service-proxies/service-proxies';
import { BsDatepickerDirective } from 'ngx-bootstrap/datepicker';
@Component({
    selector: 'create-or-edit-ecipartmodule-modal',
    templateUrl: './create-or-edit-ecipartmodule-modal.component.html',
    styleUrls: ['./create-or-edit-ecipartmodule-modal.component.less']
    })
export class CreateOrEditEciPartModuleModalComponent extends AppComponentBase {
    @ViewChild('createOrEditModalEciPartModule',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CreateOrEditMstLgwEciPartModuleDto = new CreateOrEditMstLgwEciPartModuleDto();
    active: boolean = false;
    saving: boolean = false;
    _eciType
isActive: boolean;
    constructor(
        injector: Injector,
        private _mstwptEciPartModuleService: MstLgwEciPartModuleServiceProxy,
    ) 
    {
        super(injector);
    }
    show(rowdata?: CreateOrEditMstLgwEciPartModuleDto): void {
        if (!rowdata) this.rowdata = new CreateOrEditMstLgwEciPartModuleDto();
        else this.rowdata = rowdata;
        this._eciType
isActive = (this.rowdata.eciType
isActive == "N")? false: true;
        this.active = true;
        this.modal.show();
    } 
    changeActive(event){
        this._eciType
isActive = event.target.checked;
    }
    save(): void {
    this.saving = true; 
    this.rowdata.eciType
isActive = (this._eciType
isActive == true) ? 'Y' : 'N'
    this._mstwptEciPartModuleService.createOrEdit(this.rowdata)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EciPartModuleRoutingModule } from './ecipartmodule-routing.module';
import { EciPartModuleComponent } from './ecipartmodule.component';
import { CreateOrEditEciPartModuleModalComponent } from './create-or-edit-ecipartmodule-modal.component';
@NgModule({
    declarations: [
       EciPartModuleComponent, 
        CreateOrEditEciPartModuleModalComponent
    ],
    imports: [
        AppSharedModule, EciPartModuleRoutingModule]
})
export class EciPartModuleModule {}</v>
      </c>
      <c r="J54" s="49" t="str">
        <f>B.Frontend!O10</f>
        <v>import {NgModule} from '@angular/core';
import {RouterModule, Routes} from '@angular/router';
import { EciPartModuleComponent } from './ecipartmodule.component';
const routes: Routes = [{
    path: '',
    component: EciPartModuleComponent,
    pathMatch: 'full'
}];
@NgModule({
    imports: [RouterModule.forChild(routes)],
    exports: [RouterModule],
})
export class EciPartModuleRoutingModule {}</v>
      </c>
      <c r="K54" s="49" t="str">
        <f>B.Frontend!P10</f>
        <v xml:space="preserve"> new AppMenuItem("EciPartModule", "Pages.Master.LogW.EciPartModule", "flaticon-book",   "/app/main/master/logw/ecipartmodule"),</v>
      </c>
      <c r="L54" s="50" t="str">
        <f>B.Frontend!Q10</f>
        <v>{
    path: 'master/logw/ecipartmodule',
    loadChildren: () =&gt; import('./master/logw/ecipartmodule/ecipartmodule.module').then(m =&gt; m.EciPartModuleModule),
    data: { permission: 'Pages.Master.LogW.EciPartModule' }
},</v>
      </c>
      <c r="M54" s="48" t="str">
        <f>B.Frontend!R10</f>
        <v>ApiServiceProxies.MstLgwEciPartModuleServiceProxy,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workbookViewId="0">
      <pane xSplit="1" topLeftCell="B1" activePane="topRight" state="frozen"/>
      <selection pane="topRight" activeCell="C17" sqref="C1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307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MstLgwEciPartModuleExportInput{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MstLgwEciPartModule: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MstLgwEciPartModuleConsts	
	{
</v>
      </c>
      <c r="F6" s="11" t="str">
        <f>REPT(CHAR(9),1)&amp;"public class "&amp;B3&amp;"Dto"&amp;K3&amp;REPT(CHAR(9),1)&amp;"
"&amp;REPT(CHAR(9),1)&amp;C3</f>
        <v xml:space="preserve">	public class MstLgwEciPartModuleDto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CreateOrEditMstLgwEciPartModuleDto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GetMstLgwEciPartModuleInput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MstLgwEciPartModule</v>
      </c>
      <c r="C7" s="11" t="str">
        <f>REPT(CHAR(9),1)&amp;"[Table("""&amp;B7&amp;""")]"&amp;"
"</f>
        <v xml:space="preserve">	[Table("MstLgwEciPartModule")]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[Table("MstLgwEciPartModule")]
	[Index(nameof(ChkEciPartId), Name="IX_MstLgwEciPartModule_ChkEciPartId")]
	[Index(nameof(IsActive), Name="IX_MstLgwEciPartModule_IsActive")]	public class MstLgwEciPartModule: FullAuditedEntity&lt;long&gt;, IEntity&lt;long&gt;	
	{
		public const int MaxPartNoLength = 12;
		public const int MaxCaseNoLength = 30;
		public const int MaxSupplierNoLength = 10;
		public const int MaxContainerNoLength = 15;
		public const int MaxRenbanLength = 6;
		public const int MaxCasePrefixLength = 8;
		public const int MaxEciTypeLength = 1;
		public const int MaxIsActiveLength = 1;
		[StringLength(MaxPartNoLength)]
		public virtual string PartNo { get; set; }
		[StringLength(MaxCaseNoLength)]
		public virtual string CaseNo { get; set; }
		[StringLength(MaxSupplierNoLength)]
		public virtual string SupplierNo { get; set; }
		[StringLength(MaxContainerNoLength)]
		public virtual string ContainerNo { get; set; }
		[StringLength(MaxRenbanLength)]
		public virtual string Renban { get; set; }
		[StringLength(MaxCasePrefixLength)]
		public virtual string CasePrefix { get; set; }
		[Required]
		public virtual long ChkEciPartId { get; set; }
		[StringLength(MaxEciTypeLength)]
		public virtual string EciType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DbSet&lt;MstLgwEciPartModule&gt; MstLgwEciPartModules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vovina.Master.LogW
{
	public class MstLgwEciPartModuleConsts	
	{
		public const int MaxPartNoLength = 12;
		public const int MaxCaseNoLength = 30;
		public const int MaxSupplierNoLength = 10;
		public const int MaxContainerNoLength = 15;
		public const int MaxRenbanLength = 6;
		public const int MaxCasePrefixLength = 8;
		public const int MaxEciTypeLength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vovina.Master.LogW.Dto
{
	public class MstLgwEciPartModuleDto : EntityDto&lt;long?&gt;	
	{
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long ChkEciPartId { get; set; }
		public virtual string EciType { get; set; }
		public virtual string IsActive { get; set; }
	}
	public class CreateOrEditMstLgwEciPartModuleDto : EntityDto&lt;long?&gt;	
	{
		[StringLength(MstLgwEciPartModuleConsts.MaxPartNoLength)]
		public virtual string PartNo { get; set; }
		[StringLength(MstLgwEciPartModuleConsts.MaxCaseNoLength)]
		public virtual string CaseNo { get; set; }
		[StringLength(MstLgwEciPartModuleConsts.MaxSupplierNoLength)]
		public virtual string SupplierNo { get; set; }
		[StringLength(MstLgwEciPartModuleConsts.MaxContainerNoLength)]
		public virtual string ContainerNo { get; set; }
		[StringLength(MstLgwEciPartModuleConsts.MaxRenbanLength)]
		public virtual string Renban { get; set; }
		[StringLength(MstLgwEciPartModuleConsts.MaxCasePrefixLength)]
		public virtual string CasePrefix { get; set; }
		[Required]
		public virtual long ChkEciPartId { get; set; }
		[StringLength(MstLgwEciPartModuleConsts.MaxEciTypeLength)]
		public virtual string EciType { get; set; }
		[StringLength(MstLgwEciPartModuleConsts.MaxIsActiveLength)]
		public virtual string IsActive { get; set; }
	}
	public class GetMstLgwEciPartModuleInput : PagedAndSortedResultRequestDto	
	{
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string EciType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perMstLgwEciPartModule = PARENTS.CreateChildPermission(AppPermissions.Pages_Master_LogW_EciPartModule, L( "MasterLogWEciPartModule"));
		perMstLgwEciPartModule.CreateChildPermission(AppPermissions.Pages_Master_LogW_EciPartModule_CreateEdit, L( "MasterLogWEciPartModuleCreateEdit"));
		perMstLgwEciPartModule.CreateChildPermission(AppPermissions.Pages_Master_LogW_EciPartModule_Delete, L( "MasterLogWEciPartModuleDelete"));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Pages_Master_LogW_EciPartModule = "Pages.Master.LogW.EciPartModule";
		public const string Pages_Master_LogW_EciPartModule_CreateEdit = "Pages.Master.LogW.EciPartModule.CreateEdit";
		public const string Pages_Master_LogW_EciPartModule_Delete = "Pages.Master.LogW.EciPartModule.Delete";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IMstLgwEciPartModuleAppService : IApplicationService
	{
		Task&lt;PagedResultDto&lt;MstLgwEciPartModuleDto&gt;&gt; GetAll(GetMstLgwEciPartModuleInput input);
		Task CreateOrEdit(CreateOrEditMstLgwEciPartModuleDto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[AbpAuthorize(AppPermissions.Pages_Master_LogW_EciPartModule)]
    public class MstLgwEciPartModuleAppService : vovinaAppServiceBase, IMstLgwEciPartModuleAppService
    {
        private readonly IDapperRepository&lt;MstLgwEciPartModule, long&gt; _dapperRepo;
        private readonly IRepository&lt;MstLgwEciPartModule, long&gt; _repo;
        private readonly IMstLgwEciPartModuleExcelExporter _calendarListExcelExporter;
        public MstLgwEciPartModuleAppService(IRepository&lt;MstLgwEciPartModule,long&gt; repo, 
                                         IDapperRepository&lt;MstLgwEciPartModule,long&gt; dapperRepo,
                                        IMstLgwEciPartModuleExcelExporter calendarListExcelExporter
            )
        {
            _repo = repo;
            _dapperRepo = dapperRepo;
            _calendarListExcelExporter = calendarListExcelExporter;
        }
        [AbpAuthorize(AppPermissions.Pages_Master_LogW_EciPartModule_CreateEdit)]
        public async Task CreateOrEdit(CreateOrEditMstLgwEciPartModuleDto input)
        {
            if (input.Id == null) await Create(input);
            else await Update(input);
        }
        //CREATE
        private async Task Create(CreateOrEditMstLgwEciPartModuleDto input)
        {          
            var mainObj = ObjectMapper.Map&lt;MstLgwEciPartModule&gt;(input);
            await CurrentUnitOfWork.GetDbContext&lt;vovinaDbContext&gt;().AddAsync(mainObj);
        }
        // EDIT
        private async Task Update(CreateOrEditMstLgwEciPartModuleDto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[AbpAuthorize(AppPermissions.Pages_Master_LogW_EciPartModule_Delete)]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Task&lt;PagedResultDto&lt;MstLgwEciPartModuleDto&gt;&gt; GetAll(GetMstLgwEciPartModuleInput input)
        {
            var filtered = _repo.GetAll()
				.WhereIf(!string.IsNullOrWhiteSpace(input.PartNo), e =&gt; e.PartNo.Contains(input.PartNo))
				.WhereIf(!string.IsNullOrWhiteSpace(input.CaseNo), e =&gt; e.CaseNo.Contains(input.CaseNo))
				.WhereIf(!string.IsNullOrWhiteSpace(input.SupplierNo), e =&gt; e.SupplierNo.Contains(input.SupplierNo))
				.WhereIf(!string.IsNullOrWhiteSpace(input.ContainerNo), e =&gt; e.ContainerNo.Contains(input.ContainerNo))
				.WhereIf(!string.IsNullOrWhiteSpace(input.Renban), e =&gt; e.Renban.Contains(input.Renban))
				.WhereIf(!string.IsNullOrWhiteSpace(input.CasePrefix), e =&gt; e.CasePrefix.Contains(input.CasePrefix))
				.WhereIf(!string.IsNullOrWhiteSpace(input.EciType), e =&gt; e.EciType.Contains(input.EciType))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MstLgwEciPartModuleDto
                        {
							Id = o.Id,
							PartNo = o.PartNo,
							CaseNo = o.CaseNo,
							SupplierNo = o.SupplierNo,
							ContainerNo = o.ContainerNo,
							Renban = o.Renban,
							CasePrefix = o.CasePrefix,
							ChkEciPartId = o.ChkEciPartId,
							EciType = o.EciType,
							IsActive = o.IsActive,
                        };
            var totalCount = await filtered.CountAsync();
			var paged = system.PageBy(input);
            return new PagedResultDto&lt;MstLgwEciPartModuleDto&gt;(
                totalCount,
                 await paged.ToListAsync()
            );
        }
        public async Task&lt;FileDto&gt; GetEciPartModuleToExcel(MstLgwEciPartModuleExportInput input)
        {
            var query = from o in _repo.GetAll()
                        select new MstLgwEciPartModuleDto
                        {
							Id = o.Id,
							PartNo = o.PartNo,
							CaseNo = o.CaseNo,
							SupplierNo = o.SupplierNo,
							ContainerNo = o.ContainerNo,
							Renban = o.Renban,
							CasePrefix = o.CasePrefix,
							ChkEciPartId = o.ChkEciPartId,
							EciType = o.EciType,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_dapperRepo.ExecuteAsync(MstLgwEciPartModuleConsts.SP_MST_WPT_CALENDAR_GENERATE);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vovina.Master.LogW.Dto
{
	public class MstLgwEciPartModuleExportInput{
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long ChkEciPartId { get; set; }
		public virtual string EciType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IMstLgwEciPartModuleExcelExporter : IApplicationService
	{
		FileDto ExportToFile(List&lt;MstLgwEciPartModuleDto&gt; mstlgwecipartmodule);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MstLgwEciPartModuleExcelExporter : NpoiExcelExporterBase, IMstLgwEciPartModuleExcelExporter
    {
        public MstLgwEciPartModuleExcelExporter(ITempFileCacheManager tempFileCacheManager) : base(tempFileCacheManager) { }
        public FileDto ExportToFile(List&lt;MstLgwEciPartModuleDto&gt; ecipartmodule)
        {
            return CreateExcelPackage(
				"MasterLogWEciPartModule.xlsx",
				excelPackage =&gt;
				 {
					var sheet = excelPackage.CreateSheet("EciPartModule");
					AddHeader(
								sheet,
								("PartNo"),
								("CaseNo"),
								("SupplierNo"),
								("ContainerNo"),
								("Renban"),
								("CasePrefix"),
								("ChkEciPartId"),
								("EciType"),
								("IsActive"),
							   );
					AddObjects(
						 sheet, 1, ecipartmodule,                                       
								_ =&gt; _.PartNo,
								_ =&gt; _.CaseNo,
								_ =&gt; _.SupplierNo,
								_ =&gt; _.ContainerNo,
								_ =&gt; _.Renban,
								_ =&gt; _.CasePrefix,
								_ =&gt; _.ChkEciPartId,
								_ =&gt; _.EciType,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configuration.CreateMap&lt;MstLgwEciPartModuleDto, MstLgwEciPartModule&gt;();
  configuration.CreateMap&lt;MstLgwEciPartModule, MstLgwEciPartModuleDto&gt;();
  configuration.CreateMap&lt;CreateOrEditMstLgwEciPartModuleDto, MstLgwEciPartModule&gt;();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301</v>
      </c>
      <c r="B9" t="s">
        <v>309</v>
      </c>
      <c r="C9" t="s">
        <v>1</v>
      </c>
      <c r="D9" t="str">
        <f>SUBSTITUTE(PROPER(A9),"_","")</f>
        <v>PartNo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12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MaxPartNoLength = 12;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[StringLength(MstLgwEciPartModuleConsts.MaxPartNoLength)]
		public virtual string PartNo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1" si="4">REPT(CHAR(9),7)&amp;D9&amp;" = o." &amp;D9 &amp;","</f>
        <v xml:space="preserve">							PartNo = o.PartNo,</v>
      </c>
      <c r="T9" s="69" t="str">
        <f>REPT(CHAR(9),8)&amp;"("""&amp;D9&amp;"""),"</f>
        <v xml:space="preserve">								("PartNo"),</v>
      </c>
      <c r="V9" s="70" t="str">
        <f>REPT(CHAR(9),8)&amp;"_ =&gt; _."&amp;D9&amp;","</f>
        <v xml:space="preserve">								_ =&gt; _.PartNo,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21" customHeight="1" x14ac:dyDescent="0.25">
      <c r="A10" t="s">
        <v>310</v>
      </c>
      <c r="B10" t="s">
        <v>311</v>
      </c>
      <c r="C10" t="s">
        <v>1</v>
      </c>
      <c r="D10" t="str">
        <f t="shared" ref="D10:D11" si="5">SUBSTITUTE(PROPER(A10),"_","")</f>
        <v>CaseNo</v>
      </c>
      <c r="E10" t="str">
        <f t="shared" si="0"/>
        <v>nvarchar</v>
      </c>
      <c r="F10" s="7"/>
      <c r="G10" t="str">
        <f t="shared" si="1"/>
        <v>30</v>
      </c>
      <c r="H10" t="str">
        <f>+VLOOKUP(E10,'Data Type Mapping'!A:B,2,)</f>
        <v>string</v>
      </c>
      <c r="I10" t="str">
        <f t="shared" si="2"/>
        <v xml:space="preserve">		public const int MaxCaseNoLength = 30;
</v>
      </c>
      <c r="J10" t="str">
        <f t="shared" si="3"/>
        <v xml:space="preserve">		[StringLength(MaxCaseNoLength)]
		public virtual string CaseNo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CaseNo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[StringLength(MstLgwEciPartModuleConsts.MaxCaseNoLength)]
		public virtual string CaseNo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CaseNo { get; set; }
</v>
      </c>
      <c r="P10" t="str">
        <f t="shared" si="4"/>
        <v xml:space="preserve">							CaseNo = o.CaseNo,</v>
      </c>
      <c r="T10" s="69" t="str">
        <f t="shared" ref="T10:T13" si="10">REPT(CHAR(9),8)&amp;"("""&amp;D10&amp;"""),"</f>
        <v xml:space="preserve">								("CaseNo"),</v>
      </c>
      <c r="V10" s="70" t="str">
        <f t="shared" ref="V10:V13" si="11">REPT(CHAR(9),8)&amp;"_ =&gt; _."&amp;D10&amp;","</f>
        <v xml:space="preserve">								_ =&gt; _.CaseNo,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.WhereIf(!string.IsNullOrWhiteSpace(input.CaseNo), e =&gt; e.CaseNo.Contains(input.CaseNo))</v>
      </c>
    </row>
    <row r="11" spans="1:23" customFormat="1" ht="18.75" customHeight="1" x14ac:dyDescent="0.25">
      <c r="A11" t="s">
        <v>302</v>
      </c>
      <c r="B11" t="s">
        <v>312</v>
      </c>
      <c r="C11" t="s">
        <v>1</v>
      </c>
      <c r="D11" t="str">
        <f t="shared" si="5"/>
        <v>SupplierNo</v>
      </c>
      <c r="E11" t="str">
        <f t="shared" si="0"/>
        <v>nvarchar</v>
      </c>
      <c r="F11" s="7"/>
      <c r="G11" t="str">
        <f t="shared" si="1"/>
        <v>10</v>
      </c>
      <c r="H11" t="str">
        <f>+VLOOKUP(E11,'Data Type Mapping'!A:B,2,)</f>
        <v>string</v>
      </c>
      <c r="I11" t="str">
        <f t="shared" si="2"/>
        <v xml:space="preserve">		public const int MaxSupplierNoLength = 10;
</v>
      </c>
      <c r="J11" t="str">
        <f t="shared" si="3"/>
        <v xml:space="preserve">		[StringLength(MaxSupplierNoLength)]
		public virtual string SupplierNo { get; set; }
</v>
      </c>
      <c r="K11" s="7"/>
      <c r="L11" t="str">
        <f t="shared" si="6"/>
        <v/>
      </c>
      <c r="M11" t="str">
        <f t="shared" si="7"/>
        <v xml:space="preserve">		public virtual string SupplierNo { get; set; }
</v>
      </c>
      <c r="N11" t="str">
        <f t="shared" si="8"/>
        <v xml:space="preserve">		[StringLength(MstLgwEciPartModuleConsts.MaxSupplierNoLength)]
		public virtual string SupplierNo { get; set; }
</v>
      </c>
      <c r="O11" t="str">
        <f t="shared" si="9"/>
        <v xml:space="preserve">		public virtual string SupplierNo { get; set; }
</v>
      </c>
      <c r="P11" t="str">
        <f t="shared" si="4"/>
        <v xml:space="preserve">							SupplierNo = o.SupplierNo,</v>
      </c>
      <c r="T11" s="69" t="str">
        <f t="shared" si="10"/>
        <v xml:space="preserve">								("SupplierNo"),</v>
      </c>
      <c r="V11" s="70" t="str">
        <f t="shared" si="11"/>
        <v xml:space="preserve">								_ =&gt; _.SupplierNo,</v>
      </c>
      <c r="W11" s="69" t="str">
        <f t="shared" si="12"/>
        <v xml:space="preserve">				.WhereIf(!string.IsNullOrWhiteSpace(input.SupplierNo), e =&gt; e.SupplierNo.Contains(input.SupplierNo))</v>
      </c>
    </row>
    <row r="12" spans="1:23" customFormat="1" ht="22.5" customHeight="1" x14ac:dyDescent="0.25">
      <c r="A12" t="s">
        <v>313</v>
      </c>
      <c r="B12" t="s">
        <v>314</v>
      </c>
      <c r="C12" t="s">
        <v>1</v>
      </c>
      <c r="D12" t="str">
        <f>SUBSTITUTE(PROPER(A12),"_","")</f>
        <v>ContainerNo</v>
      </c>
      <c r="E12" t="str">
        <f t="shared" ref="E12:E14" si="13">IFERROR(LEFT(B12, FIND("(",B12)-1),B12)</f>
        <v>nvarchar</v>
      </c>
      <c r="F12" s="7"/>
      <c r="G12" t="str">
        <f t="shared" ref="G12:G14" si="14">IFERROR(MID(B12,FIND("(",B12) +1, FIND(")",B12) - FIND("(",B12) - 1),"")</f>
        <v>15</v>
      </c>
      <c r="H12" t="str">
        <f>+VLOOKUP(E12,'Data Type Mapping'!A:B,2,)</f>
        <v>string</v>
      </c>
      <c r="I12" t="str">
        <f t="shared" ref="I12:I14" si="15">IF(H12="string",REPT(CHAR(9),2)&amp;"public const int Max"&amp;D12&amp;"Length = "&amp;G12&amp;";"&amp;$E$3,"" )</f>
        <v xml:space="preserve">		public const int MaxContainerNoLength = 15;
</v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[StringLength(MaxContainerNoLength)]
		public virtual string ContainerNo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ContainerNo { get; set; }
</v>
      </c>
      <c r="N12" t="str">
        <f t="shared" si="8"/>
        <v xml:space="preserve">		[StringLength(MstLgwEciPartModuleConsts.MaxContainerNoLength)]
		public virtual string ContainerNo { get; set; }
</v>
      </c>
      <c r="O12" t="str">
        <f t="shared" si="9"/>
        <v xml:space="preserve">		public virtual string ContainerNo { get; set; }
</v>
      </c>
      <c r="P12" t="str">
        <f t="shared" ref="P12:P14" si="17">REPT(CHAR(9),7)&amp;D12&amp;" = o." &amp;D12 &amp;","</f>
        <v xml:space="preserve">							ContainerNo = o.ContainerNo,</v>
      </c>
      <c r="T12" s="69" t="str">
        <f t="shared" si="10"/>
        <v xml:space="preserve">								("ContainerNo"),</v>
      </c>
      <c r="V12" s="70" t="str">
        <f t="shared" si="11"/>
        <v xml:space="preserve">								_ =&gt; _.ContainerNo,</v>
      </c>
      <c r="W12" s="69" t="str">
        <f t="shared" si="12"/>
        <v xml:space="preserve">				.WhereIf(!string.IsNullOrWhiteSpace(input.ContainerNo), e =&gt; e.ContainerNo.Contains(input.ContainerNo))</v>
      </c>
    </row>
    <row r="13" spans="1:23" customFormat="1" ht="21" customHeight="1" x14ac:dyDescent="0.25">
      <c r="A13" t="s">
        <v>315</v>
      </c>
      <c r="B13" t="s">
        <v>316</v>
      </c>
      <c r="C13" t="s">
        <v>1</v>
      </c>
      <c r="D13" t="str">
        <f t="shared" ref="D13:D14" si="18">SUBSTITUTE(PROPER(A13),"_","")</f>
        <v>Renban</v>
      </c>
      <c r="E13" t="str">
        <f t="shared" si="13"/>
        <v>nvarchar</v>
      </c>
      <c r="F13" s="7"/>
      <c r="G13" t="str">
        <f t="shared" si="14"/>
        <v>6</v>
      </c>
      <c r="H13" t="str">
        <f>+VLOOKUP(E13,'Data Type Mapping'!A:B,2,)</f>
        <v>string</v>
      </c>
      <c r="I13" t="str">
        <f t="shared" si="15"/>
        <v xml:space="preserve">		public const int MaxRenbanLength = 6;
</v>
      </c>
      <c r="J13" t="str">
        <f t="shared" si="16"/>
        <v xml:space="preserve">		[StringLength(MaxRenbanLength)]
		public virtual string Renban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Renban { get; set; }
</v>
      </c>
      <c r="N13" t="str">
        <f t="shared" si="8"/>
        <v xml:space="preserve">		[StringLength(MstLgwEciPartModuleConsts.MaxRenbanLength)]
		public virtual string Renban { get; set; }
</v>
      </c>
      <c r="O13" t="str">
        <f t="shared" si="9"/>
        <v xml:space="preserve">		public virtual string Renban { get; set; }
</v>
      </c>
      <c r="P13" t="str">
        <f t="shared" si="17"/>
        <v xml:space="preserve">							Renban = o.Renban,</v>
      </c>
      <c r="T13" s="69" t="str">
        <f t="shared" si="10"/>
        <v xml:space="preserve">								("Renban"),</v>
      </c>
      <c r="V13" s="70" t="str">
        <f t="shared" si="11"/>
        <v xml:space="preserve">								_ =&gt; _.Renban,</v>
      </c>
      <c r="W13" s="69" t="str">
        <f t="shared" si="12"/>
        <v xml:space="preserve">				.WhereIf(!string.IsNullOrWhiteSpace(input.Renban), e =&gt; e.Renban.Contains(input.Renban))</v>
      </c>
    </row>
    <row r="14" spans="1:23" customFormat="1" ht="18.75" customHeight="1" x14ac:dyDescent="0.25">
      <c r="A14" t="s">
        <v>317</v>
      </c>
      <c r="B14" t="s">
        <v>318</v>
      </c>
      <c r="C14" t="s">
        <v>1</v>
      </c>
      <c r="D14" t="str">
        <f t="shared" si="18"/>
        <v>CasePrefix</v>
      </c>
      <c r="E14" t="str">
        <f t="shared" si="13"/>
        <v>nvarchar</v>
      </c>
      <c r="F14" s="7"/>
      <c r="G14" t="str">
        <f t="shared" si="14"/>
        <v>8</v>
      </c>
      <c r="H14" t="str">
        <f>+VLOOKUP(E14,'Data Type Mapping'!A:B,2,)</f>
        <v>string</v>
      </c>
      <c r="I14" t="str">
        <f t="shared" si="15"/>
        <v xml:space="preserve">		public const int MaxCasePrefixLength = 8;
</v>
      </c>
      <c r="J14" t="str">
        <f t="shared" si="16"/>
        <v xml:space="preserve">		[StringLength(MaxCasePrefixLength)]
		public virtual string CasePrefix { get; set; }
</v>
      </c>
      <c r="K14" s="7"/>
      <c r="L14" t="str">
        <f t="shared" si="19"/>
        <v/>
      </c>
      <c r="M14" t="str">
        <f t="shared" ref="M14:M16" si="20">REPT(CHAR(9),2)&amp;"public virtual "&amp;IF(OR(H14="DateTime",H14="TimeSpan"),H14&amp;"?",H14)&amp;IF(C14="?","? "," ")&amp;D14&amp;" { get; set; }" &amp; "
"</f>
        <v xml:space="preserve">		public virtual string CasePrefix { get; set; }
</v>
      </c>
      <c r="N14" t="str">
        <f t="shared" ref="N14:N16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[StringLength(MstLgwEciPartModuleConsts.MaxCasePrefixLength)]
		public virtual string CasePrefix { get; set; }
</v>
      </c>
      <c r="O14" t="str">
        <f t="shared" ref="O14:O16" si="22">IF(OR(H14="string",H14="DateTime",H14="int"),REPT(CHAR(9),2)&amp;"public virtual "&amp;IF(OR(H14="DateTime",H14="TimeSpan"),H14&amp;"?",H14)&amp;IF(C14="?","? "," ")&amp;D14&amp;" { get; set; }"&amp;$E$3,"")</f>
        <v xml:space="preserve">		public virtual string CasePrefix { get; set; }
</v>
      </c>
      <c r="P14" t="str">
        <f t="shared" si="17"/>
        <v xml:space="preserve">							CasePrefix = o.CasePrefix,</v>
      </c>
      <c r="T14" s="69" t="str">
        <f t="shared" ref="T14:T16" si="23">REPT(CHAR(9),8)&amp;"("""&amp;D14&amp;"""),"</f>
        <v xml:space="preserve">								("CasePrefix"),</v>
      </c>
      <c r="V14" s="70" t="str">
        <f t="shared" ref="V14:V16" si="24">REPT(CHAR(9),8)&amp;"_ =&gt; _."&amp;D14&amp;","</f>
        <v xml:space="preserve">								_ =&gt; _.CasePrefix,</v>
      </c>
      <c r="W14" s="69" t="str">
        <f t="shared" ref="W14:W16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.WhereIf(!string.IsNullOrWhiteSpace(input.CasePrefix), e =&gt; e.CasePrefix.Contains(input.CasePrefix))</v>
      </c>
    </row>
    <row r="15" spans="1:23" customFormat="1" ht="22.5" customHeight="1" x14ac:dyDescent="0.25">
      <c r="A15" t="s">
        <v>319</v>
      </c>
      <c r="B15" t="s">
        <v>0</v>
      </c>
      <c r="C15" t="s">
        <v>320</v>
      </c>
      <c r="D15" t="str">
        <f>SUBSTITUTE(PROPER(A15),"_","")</f>
        <v>ChkEciPartId</v>
      </c>
      <c r="E15" t="str">
        <f t="shared" ref="E15:E17" si="26">IFERROR(LEFT(B15, FIND("(",B15)-1),B15)</f>
        <v>bigint</v>
      </c>
      <c r="F15" s="7"/>
      <c r="G15" t="str">
        <f t="shared" ref="G15:G17" si="27">IFERROR(MID(B15,FIND("(",B15) +1, FIND(")",B15) - FIND("(",B15) - 1),"")</f>
        <v/>
      </c>
      <c r="H15" t="str">
        <f>+VLOOKUP(E15,'Data Type Mapping'!A:B,2,)</f>
        <v>long</v>
      </c>
      <c r="I15" t="str">
        <f t="shared" ref="I15:I17" si="28">IF(H15="string",REPT(CHAR(9),2)&amp;"public const int Max"&amp;D15&amp;"Length = "&amp;G15&amp;";"&amp;$E$3,"" )</f>
        <v/>
      </c>
      <c r="J15" t="str">
        <f t="shared" ref="J15:J17" si="29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[Required]
		public virtual long ChkEciPartId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[Index(nameof(ChkEciPartId), Name="IX_MstLgwEciPartModule_ChkEciPartId")]</v>
      </c>
      <c r="M15" t="str">
        <f t="shared" si="20"/>
        <v xml:space="preserve">		public virtual long ChkEciPartId { get; set; }
</v>
      </c>
      <c r="N15" t="str">
        <f t="shared" si="21"/>
        <v xml:space="preserve">		[Required]
		public virtual long ChkEciPartId { get; set; }
</v>
      </c>
      <c r="O15" t="str">
        <f t="shared" si="22"/>
        <v/>
      </c>
      <c r="P15" t="str">
        <f t="shared" ref="P15:P17" si="30">REPT(CHAR(9),7)&amp;D15&amp;" = o." &amp;D15 &amp;","</f>
        <v xml:space="preserve">							ChkEciPartId = o.ChkEciPartId,</v>
      </c>
      <c r="T15" s="69" t="str">
        <f t="shared" si="23"/>
        <v xml:space="preserve">								("ChkEciPartId"),</v>
      </c>
      <c r="V15" s="70" t="str">
        <f t="shared" si="24"/>
        <v xml:space="preserve">								_ =&gt; _.ChkEciPartId,</v>
      </c>
      <c r="W15" s="69" t="str">
        <f t="shared" si="25"/>
        <v/>
      </c>
    </row>
    <row r="16" spans="1:23" customFormat="1" ht="21" customHeight="1" x14ac:dyDescent="0.25">
      <c r="A16" t="s">
        <v>321</v>
      </c>
      <c r="B16" t="s">
        <v>322</v>
      </c>
      <c r="C16" t="s">
        <v>1</v>
      </c>
      <c r="D16" t="str">
        <f t="shared" ref="D16:D17" si="31">SUBSTITUTE(PROPER(A16),"_","")</f>
        <v>EciType</v>
      </c>
      <c r="E16" t="str">
        <f t="shared" si="26"/>
        <v>nvarchar</v>
      </c>
      <c r="F16" s="7"/>
      <c r="G16" t="str">
        <f t="shared" si="27"/>
        <v>1</v>
      </c>
      <c r="H16" t="str">
        <f>+VLOOKUP(E16,'Data Type Mapping'!A:B,2,)</f>
        <v>string</v>
      </c>
      <c r="I16" t="str">
        <f t="shared" si="28"/>
        <v xml:space="preserve">		public const int MaxEciTypeLength = 1;
</v>
      </c>
      <c r="J16" t="str">
        <f t="shared" si="29"/>
        <v xml:space="preserve">		[StringLength(MaxEciTypeLength)]
		public virtual string EciType { get; set; }
</v>
      </c>
      <c r="K16" s="7"/>
      <c r="L16" t="str">
        <f t="shared" ref="L16:L17" si="32">IF(K16="","",REPT(CHAR(9),1)&amp;"[Index(nameof("&amp;IF(D16="","",""&amp;D16)&amp;")"&amp;", Name="&amp;"""IX_"&amp;$B$7&amp;"_"&amp;D16&amp;""")]")</f>
        <v/>
      </c>
      <c r="M16" t="str">
        <f t="shared" si="20"/>
        <v xml:space="preserve">		public virtual string EciType { get; set; }
</v>
      </c>
      <c r="N16" t="str">
        <f t="shared" si="21"/>
        <v xml:space="preserve">		[StringLength(MstLgwEciPartModuleConsts.MaxEciTypeLength)]
		public virtual string EciType { get; set; }
</v>
      </c>
      <c r="O16" t="str">
        <f t="shared" si="22"/>
        <v xml:space="preserve">		public virtual string EciType { get; set; }
</v>
      </c>
      <c r="P16" t="str">
        <f t="shared" si="30"/>
        <v xml:space="preserve">							EciType = o.EciType,</v>
      </c>
      <c r="T16" s="69" t="str">
        <f t="shared" si="23"/>
        <v xml:space="preserve">								("EciType"),</v>
      </c>
      <c r="V16" s="70" t="str">
        <f t="shared" si="24"/>
        <v xml:space="preserve">								_ =&gt; _.EciType,</v>
      </c>
      <c r="W16" s="69" t="str">
        <f t="shared" si="25"/>
        <v xml:space="preserve">				.WhereIf(!string.IsNullOrWhiteSpace(input.EciType), e =&gt; e.EciType.Contains(input.EciType))</v>
      </c>
    </row>
    <row r="17" spans="1:23" customFormat="1" ht="18.75" customHeight="1" x14ac:dyDescent="0.25">
      <c r="A17" t="s">
        <v>303</v>
      </c>
      <c r="B17" t="s">
        <v>304</v>
      </c>
      <c r="C17" t="s">
        <v>1</v>
      </c>
      <c r="D17" t="str">
        <f t="shared" si="31"/>
        <v>IsActive</v>
      </c>
      <c r="E17" t="str">
        <f t="shared" si="26"/>
        <v>varchar</v>
      </c>
      <c r="F17" s="7"/>
      <c r="G17" t="str">
        <f t="shared" si="27"/>
        <v>1</v>
      </c>
      <c r="H17" t="str">
        <f>+VLOOKUP(E17,'Data Type Mapping'!A:B,2,)</f>
        <v>string</v>
      </c>
      <c r="I17" t="str">
        <f t="shared" si="28"/>
        <v xml:space="preserve">		public const int MaxIsActiveLength = 1;
</v>
      </c>
      <c r="J17" t="str">
        <f t="shared" si="29"/>
        <v xml:space="preserve">		[StringLength(MaxIsActiveLength)]
		public virtual string IsActive { get; set; }
</v>
      </c>
      <c r="K17" s="7" t="s">
        <v>206</v>
      </c>
      <c r="L17" t="str">
        <f t="shared" si="32"/>
        <v xml:space="preserve">	[Index(nameof(IsActive), Name="IX_MstLgwEciPartModule_IsActive")]</v>
      </c>
      <c r="M17" t="str">
        <f t="shared" ref="M17" si="33">REPT(CHAR(9),2)&amp;"public virtual "&amp;IF(OR(H17="DateTime",H17="TimeSpan"),H17&amp;"?",H17)&amp;IF(C17="?","? "," ")&amp;D17&amp;" { get; set; }" &amp; "
"</f>
        <v xml:space="preserve">		public virtual string IsActive { get; set; }
</v>
      </c>
      <c r="N17" t="str">
        <f t="shared" ref="N17" si="34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[StringLength(MstLgwEciPartModuleConsts.MaxIsActiveLength)]
		public virtual string IsActive { get; set; }
</v>
      </c>
      <c r="O17" t="str">
        <f t="shared" ref="O17" si="35"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t="str">
        <f t="shared" si="30"/>
        <v xml:space="preserve">							IsActive = o.IsActive,</v>
      </c>
      <c r="T17" s="69" t="str">
        <f t="shared" ref="T17" si="36">REPT(CHAR(9),8)&amp;"("""&amp;D17&amp;"""),"</f>
        <v xml:space="preserve">								("IsActive"),</v>
      </c>
      <c r="V17" s="70" t="str">
        <f t="shared" ref="V17" si="37">REPT(CHAR(9),8)&amp;"_ =&gt; _."&amp;D17&amp;","</f>
        <v xml:space="preserve">								_ =&gt; _.IsActive,</v>
      </c>
      <c r="W17" s="69" t="str">
        <f t="shared" ref="W17" si="3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</row>
    <row r="19" spans="1:23" ht="45.75" customHeight="1" x14ac:dyDescent="0.25">
      <c r="H19" s="12"/>
      <c r="I19" s="34" t="str">
        <f ca="1">TEXTJOIN2("
", TRUE,INDIRECT( $H$1):INDIRECT( $H$3))</f>
        <v xml:space="preserve">		public const int MaxPartNoLength = 12;
		public const int MaxCaseNoLength = 30;
		public const int MaxSupplierNoLength = 10;
		public const int MaxContainerNoLength = 15;
		public const int MaxRenbanLength = 6;
		public const int MaxCasePrefixLength = 8;
		public const int MaxEciTypeLength = 1;
		public const int MaxIsActiveLength = 1;
</v>
      </c>
      <c r="J19" s="33" t="str">
        <f ca="1">TEXTJOIN2("
", TRUE,INDIRECT( $F$1):INDIRECT( $F$3))</f>
        <v xml:space="preserve">		[StringLength(MaxPartNoLength)]
		public virtual string PartNo { get; set; }
		[StringLength(MaxCaseNoLength)]
		public virtual string CaseNo { get; set; }
		[StringLength(MaxSupplierNoLength)]
		public virtual string SupplierNo { get; set; }
		[StringLength(MaxContainerNoLength)]
		public virtual string ContainerNo { get; set; }
		[StringLength(MaxRenbanLength)]
		public virtual string Renban { get; set; }
		[StringLength(MaxCasePrefixLength)]
		public virtual string CasePrefix { get; set; }
		[Required]
		public virtual long ChkEciPartId { get; set; }
		[StringLength(MaxEciTypeLength)]
		public virtual string EciType { get; set; }
		[StringLength(MaxIsActiveLength)]
		public virtual string IsActive { get; set; }
</v>
      </c>
      <c r="K19" s="35" t="str">
        <f ca="1">TEXTJOIN2("
", TRUE,INDIRECT( $J$1):INDIRECT( $J$3))</f>
        <v xml:space="preserve">	[Index(nameof(ChkEciPartId), Name="IX_MstLgwEciPartModule_ChkEciPartId")]
	[Index(nameof(IsActive), Name="IX_MstLgwEciPartModule_IsActive")]</v>
      </c>
      <c r="L19" s="13" t="s">
        <v>60</v>
      </c>
      <c r="M19" s="36" t="str">
        <f ca="1">TEXTJOIN2("
",TRUE,INDIRECT( $L$1):INDIRECT($L$3))</f>
        <v xml:space="preserve">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long ChkEciPartId { get; set; }
		public virtual string EciType { get; set; }
		public virtual string IsActive { get; set; }
</v>
      </c>
      <c r="N19" s="33" t="str">
        <f ca="1">TEXTJOIN2("
",TRUE,INDIRECT( $M$1):INDIRECT($M$3))</f>
        <v xml:space="preserve">		[StringLength(MstLgwEciPartModuleConsts.MaxPartNoLength)]
		public virtual string PartNo { get; set; }
		[StringLength(MstLgwEciPartModuleConsts.MaxCaseNoLength)]
		public virtual string CaseNo { get; set; }
		[StringLength(MstLgwEciPartModuleConsts.MaxSupplierNoLength)]
		public virtual string SupplierNo { get; set; }
		[StringLength(MstLgwEciPartModuleConsts.MaxContainerNoLength)]
		public virtual string ContainerNo { get; set; }
		[StringLength(MstLgwEciPartModuleConsts.MaxRenbanLength)]
		public virtual string Renban { get; set; }
		[StringLength(MstLgwEciPartModuleConsts.MaxCasePrefixLength)]
		public virtual string CasePrefix { get; set; }
		[Required]
		public virtual long ChkEciPartId { get; set; }
		[StringLength(MstLgwEciPartModuleConsts.MaxEciTypeLength)]
		public virtual string EciType { get; set; }
		[StringLength(MstLgwEciPartModuleConsts.MaxIsActiveLength)]
		public virtual string IsActive { get; set; }
</v>
      </c>
      <c r="O19" s="33" t="str">
        <f ca="1">TEXTJOIN2("
",TRUE,INDIRECT( $N$1):INDIRECT($N$3))</f>
        <v xml:space="preserve">		public virtual string PartNo { get; set; }
		public virtual string CaseNo { get; set; }
		public virtual string SupplierNo { get; set; }
		public virtual string ContainerNo { get; set; }
		public virtual string Renban { get; set; }
		public virtual string CasePrefix { get; set; }
		public virtual string EciType { get; set; }
		public virtual string IsActive { get; set; }
</v>
      </c>
      <c r="P19" s="9" t="str">
        <f ca="1">TEXTJOIN2("
",TRUE,INDIRECT( $O$1):INDIRECT($O$3))</f>
        <v xml:space="preserve">							PartNo = o.PartNo,
							CaseNo = o.CaseNo,
							SupplierNo = o.SupplierNo,
							ContainerNo = o.ContainerNo,
							Renban = o.Renban,
							CasePrefix = o.CasePrefix,
							ChkEciPartId = o.ChkEciPartId,
							EciType = o.EciType,
							IsActive = o.IsActive,</v>
      </c>
      <c r="T19" s="9" t="str">
        <f ca="1">TEXTJOIN2("
",TRUE,INDIRECT( $T$2):INDIRECT($T$3))</f>
        <v xml:space="preserve">								("PartNo"),
								("CaseNo"),
								("SupplierNo"),
								("ContainerNo"),
								("Renban"),
								("CasePrefix"),
								("ChkEciPartId"),
								("EciType"),
								("IsActive"),</v>
      </c>
      <c r="V19" s="9" t="str">
        <f ca="1">TEXTJOIN2("
",TRUE,INDIRECT( $V$2):INDIRECT($V$3))</f>
        <v xml:space="preserve">								_ =&gt; _.PartNo,
								_ =&gt; _.CaseNo,
								_ =&gt; _.SupplierNo,
								_ =&gt; _.ContainerNo,
								_ =&gt; _.Renban,
								_ =&gt; _.CasePrefix,
								_ =&gt; _.ChkEciPartId,
								_ =&gt; _.EciType,
								_ =&gt; _.IsActive,</v>
      </c>
      <c r="W19" s="9" t="str">
        <f ca="1">TEXTJOIN2("
",TRUE,INDIRECT( $W$2):INDIRECT($W$3))</f>
        <v xml:space="preserve">				.WhereIf(!string.IsNullOrWhiteSpace(input.PartNo), e =&gt; e.PartNo.Contains(input.PartNo))
				.WhereIf(!string.IsNullOrWhiteSpace(input.CaseNo), e =&gt; e.CaseNo.Contains(input.CaseNo))
				.WhereIf(!string.IsNullOrWhiteSpace(input.SupplierNo), e =&gt; e.SupplierNo.Contains(input.SupplierNo))
				.WhereIf(!string.IsNullOrWhiteSpace(input.ContainerNo), e =&gt; e.ContainerNo.Contains(input.ContainerNo))
				.WhereIf(!string.IsNullOrWhiteSpace(input.Renban), e =&gt; e.Renban.Contains(input.Renban))
				.WhereIf(!string.IsNullOrWhiteSpace(input.CasePrefix), e =&gt; e.CasePrefix.Contains(input.CasePrefix))
				.WhereIf(!string.IsNullOrWhiteSpace(input.EciType), e =&gt; e.EciType.Contains(input.EciType))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6"/>
  <sheetViews>
    <sheetView tabSelected="1" workbookViewId="0">
      <selection activeCell="A23" sqref="A15:A23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306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MstLgwEciPartModule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EciPartModule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ecipartmodule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MstLgwEciPartModuleDto, MstLgwEciPartModuleServiceProxy } from '@shared/service-proxies/service-proxies';
import { finalize } from 'rxjs/internal/operators/finalize';
import { CreateOrEditEciPartModuleModalComponent } from './create-or-edit-ecipartmodule-modal.component';
import { DatePipe } from '@angular/common';
import { FileDownloadService } from '@shared/utils/file-download.service';
import ceil from 'lodash-es/ceil';
import { Paginator } from 'primeng/paginator';
@Component({
    templateUrl: './ecipartmodule.component.html',
    styleUrls: ['./ecipartmodule.component.less'],
})
export class EciPartModuleComponent extends AppComponentBase implements OnInit {
    @ViewChild('createOrEditModalEciPartModule', { static: true }) createOrEditModalEciPartModule:| CreateOrEditEciPartModuleModalComponent|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MstLgwEciPartModuleDto = new MstLgwEciPartModuleDto();
    saveSelectedRow: MstLgwEciPartModuleDto = new MstLgwEciPartModuleDto();
    datas: MstLgwEciPartModuleDto = new MstLgwEciPartModuleDto();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caseNo : string = '' ; 
	supplierNo : string = '' ; 
	containerNo : string = '' ; 
	renban : string = '' ; 
casePrefix : string = '' ; 
	chkEciPartId
	eciType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MstLgwEciPartModuleServiceProxy,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this.l('Case No'),headerTooltip: this.l('Case No'),field: 'caseNo',flex: 1},
			{headerName: this.l('Supplier No'),headerTooltip: this.l('Supplier No'),field: 'supplierNo',flex: 1},
			{headerName: this.l('Container No'),headerTooltip: this.l('Container No'),field: 'containerNo',flex: 1},
			{headerName: this.l('Renban'),headerTooltip: this.l('Renban'),field: 'renban',flex: 1},
			{headerName: this.l('Case Prefix'),headerTooltip: this.l('Case Prefix'),field: 'casePrefix',flex: 1},
			{headerName: this.l('Chk Eci Part Id'),headerTooltip: this.l('Chk Eci Part Id'),field: 'chkEciPartId',flex: 1},
			{headerName: this.l('Eci Type'),headerTooltip: this.l('Eci Type'),field:  'eciType', cellClass: ['text-center'], width: 120, cellRenderer: 'agCellButtonComponent',
buttonDefTwo: { text: params =&gt; (params.data?.'eciType' == 'Y') ? 'Active' : 'Inactive',iconName: 'fa fa-circle',className: params =&gt; (params.data?.'eciType'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this.caseNo,
			this.supplierNo,
			this.containerNo,
			this.renban,
			this.casePrefix,
			this.chkEciPartId,
			this.eciType,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this.caseNo = '',
		this.supplierNo = '',
		this.containerNo = '',
		this.renban = '',
this.casePrefix = '',
		this.chkEciPartId = '',
		this.eciType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this.caseNo,
			this.supplierNo,
			this.containerNo,
			this.renban,
			this.casePrefix,
			this.chkEciPartId,
			this.eciType,
			this.isActive,
			'',
            this.paginationParams.skipCount,
            this.paginationParams.pageSize
        );
    }
    onChangeRowSelection(params: { api: { getSelectedRows: () =&gt; MstLgwEciPartModuleDto[] } }) {
        this.saveSelectedRow = params.api.getSelectedRows()[0] ?? new MstLgwEciPartModuleDto();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MstLgwEciPartModuleDto):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this._service.getEciPartModuleToExcel(
			this.partNo,
			this.caseNo,
			this.supplierNo,
			this.containerNo,
			this.renban,
			this.casePrefix,
			this.chkEciPartId,
			this.eciType,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Eci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[(ngModel)]='casePrefix' name='casePrefix'
									class='form-control' [placeholder]="l('Case Prefix')"
									type='text' (keyup.enter)='searchDatas()'&gt;
								&lt;/div&gt;
								&lt;div class='input-search'&gt;
									&lt;input [(ngModel)]='eciType' name='eciType'
									class='form-control' [placeholder]="l('Eci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(click)="createOrEditModalEciPartModule.show()"&gt;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(click)="createOrEditModalEciPartModule.show(selectedRow)"&gt;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&lt;create-or-edit-ecipartmodule-modal
    #createOrEditModalEciPartModule
    (modalSave)="callBackDataGrid(dataParams)"
    (modalClose)="onChangeRowSelection(dataParams)"
&gt;
&lt;/create-or-edit-ecipartmodule-modal&gt;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#createOrEditModalEciPartModule="bs-modal"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EciPartModule')}}&lt;/h3&gt;
                    &lt;h3 *ngIf="!rowdata.id"&gt;{{('Create New EciPartModule')}}&lt;/h3&gt;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Prefix&lt;/label&gt;
						&lt;input type='text' class='col-md-10 form-control input-text' name='CasePrefix' [(ngModel)]='rowdata.casePrefix'&gt;
					&lt;/div&gt;
					&lt;div class='col-md-12 form-group row'&gt;
						&lt;label class='col-md-2 form-control title'&gt;Eci Type&lt;/label&gt;
						&lt;new-checkbox [(ngModel)]='_eciType' name='eciType'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CreateOrEditMstLgwEciPartModuleDto, MstLgwEciPartModuleServiceProxy } from '@shared/service-proxies/service-proxies';
import { BsDatepickerDirective } from 'ngx-bootstrap/datepicker';
@Component({
    selector: 'create-or-edit-ecipartmodule-modal',
    templateUrl: './create-or-edit-ecipartmodule-modal.component.html',
    styleUrls: ['./create-or-edit-ecipartmodule-modal.component.less']
    })
export class CreateOrEditEciPartModuleModalComponent extends AppComponentBase {
    @ViewChild('createOrEditModalEciPartModule',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CreateOrEditMstLgwEciPartModuleDto = new CreateOrEditMstLgwEciPartModuleDto();
    active: boolean = false;
    saving: boolean = false;
    _eciType
isActive: boolean;
    constructor(
        injector: Injector,
        private _mstwptEciPartModuleService: MstLgwEciPartModuleServiceProxy,
    ) 
    {
        super(injector);
    }
    show(rowdata?: CreateOrEditMstLgwEciPartModuleDto): void {
        if (!rowdata) this.rowdata = new CreateOrEditMstLgwEciPartModuleDto();
        else this.rowdata = rowdata;
        this._eciType
isActive = (this.rowdata.eciType
isActive == "N")? false: true;
        this.active = true;
        this.modal.show();
    } 
    changeActive(event){
        this._eciType
isActive = event.target.checked;
    }
    save(): void {
    this.saving = true; 
    this.rowdata.eciType
isActive = (this._eciType
isActive == true) ? 'Y' : 'N'
    this._mstwptEciPartModuleService.createOrEdit(this.rowdata)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EciPartModuleRoutingModule } from './ecipartmodule-routing.module';
import { EciPartModuleComponent } from './ecipartmodule.component';
import { CreateOrEditEciPartModuleModalComponent } from './create-or-edit-ecipartmodule-modal.component';
@NgModule({
    declarations: [
       EciPartModuleComponent, 
        CreateOrEditEciPartModuleModalComponent
    ],
    imports: [
        AppSharedModule, EciPartModuleRoutingModule]
})
export class EciPartModuleModule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EciPartModuleComponent } from './ecipartmodule.component';
const routes: Routes = [{
    path: '',
    component: EciPartModuleComponent,
    pathMatch: 'full'
}];
@NgModule({
    imports: [RouterModule.forChild(routes)],
    exports: [RouterModule],
})
export class EciPartModuleRoutingModule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AppMenuItem("EciPartModule", "Pages.Master.LogW.EciPartModule", "flaticon-book",   "/app/main/master/logw/ecipartmodule"),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'master/logw/ecipartmodule',
    loadChildren: () =&gt; import('./master/logw/ecipartmodule/ecipartmodule.module').then(m =&gt; m.EciPartModuleModule),
    data: { permission: 'Pages.Master.LogW.EciPartModule' }
},</v>
      </c>
      <c r="R10" s="50" t="str">
        <f>SUBSTITUTE(R9,"MstWptCalendar",$B$6)</f>
        <v>ApiServiceProxies.MstLgwEciPartModuleServiceProxy,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No'),headerTooltip: this.l('Part No'),field: 'partNo',flex: 1},
			{headerName: this.l('Case No'),headerTooltip: this.l('Case No'),field: 'caseNo',flex: 1},
			{headerName: this.l('Supplier No'),headerTooltip: this.l('Supplier No'),field: 'supplierNo',flex: 1},
			{headerName: this.l('Container No'),headerTooltip: this.l('Container No'),field: 'containerNo',flex: 1},
			{headerName: this.l('Renban'),headerTooltip: this.l('Renban'),field: 'renban',flex: 1},
			{headerName: this.l('Case Prefix'),headerTooltip: this.l('Case Prefix'),field: 'casePrefix',flex: 1},
			{headerName: this.l('Chk Eci Part Id'),headerTooltip: this.l('Chk Eci Part Id'),field: 'chkEciPartId',flex: 1},
			{headerName: this.l('Eci Type'),headerTooltip: this.l('Eci Type'),field:  'eciType', cellClass: ['text-center'], width: 120, cellRenderer: 'agCellButtonComponent',
buttonDefTwo: { text: params =&gt; (params.data?.'eciType' == 'Y') ? 'Active' : 'Inactive',iconName: 'fa fa-circle',className: params =&gt; (params.data?.'eciType'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[(ngModel)]='casePrefix' name='casePrefix'
									class='form-control' [placeholder]="l('Case Prefix')"
									type='text' (keyup.enter)='searchDatas()'&gt;
								&lt;/div&gt;
								&lt;div class='input-search'&gt;
									&lt;input [(ngModel)]='eciType' name='eciType'
									class='form-control' [placeholder]="l('Eci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Prefix&lt;/label&gt;
						&lt;input type='text' class='col-md-10 form-control input-text' name='CasePrefix' [(ngModel)]='rowdata.casePrefix'&gt;
					&lt;/div&gt;
					&lt;div class='col-md-12 form-group row'&gt;
						&lt;label class='col-md-2 form-control title'&gt;Eci Type&lt;/label&gt;
						&lt;new-checkbox [(ngModel)]='_eciType' name='eciType'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partNo : string = '' ; 
	caseNo : string = '' ; 
	supplierNo : string = '' ; 
	containerNo : string = '' ; 
	renban : string = '' ; 
casePrefix : string = '' ; 
	chkEciPartId
	eciType : string = '' ; 
	isActive : string = '' ; </v>
      </c>
      <c r="T13" s="68" t="str">
        <f ca="1">TEXTJOIN2("
",TRUE,INDIRECT(T11):INDIRECT(T12))</f>
        <v xml:space="preserve">			this.partNo,
			this.caseNo,
			this.supplierNo,
			this.containerNo,
			this.renban,
			this.casePrefix,
			this.chkEciPartId,
			this.eciType,
			this.isActive,</v>
      </c>
      <c r="U13" s="68" t="str">
        <f ca="1">TEXTJOIN2("
",TRUE,INDIRECT(U11):INDIRECT(U12))</f>
        <v>this.partNo = '',
		this.caseNo = '',
		this.supplierNo = '',
		this.containerNo = '',
		this.renban = '',
this.casePrefix = '',
		this.chkEciPartId = '',
		this.eciType = '',
		this.isActive = '',</v>
      </c>
      <c r="V13" s="31" t="str">
        <f ca="1">TEXTJOIN2("
",TRUE,INDIRECT(V11):INDIRECT(V12))</f>
        <v>eciType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ecipartmodule.component.ts</v>
      </c>
      <c r="I14" s="40" t="str">
        <f>B8&amp;".component.html"</f>
        <v>ecipartmodule.component.html</v>
      </c>
      <c r="J14" s="39" t="str">
        <f>B8&amp;".component.less"</f>
        <v>ecipartmodule.component.less</v>
      </c>
      <c r="K14" s="40" t="str">
        <f>"create-or-edit-"&amp;B8&amp;"-modal.component.html"</f>
        <v>create-or-edit-ecipartmodule-modal.component.html</v>
      </c>
      <c r="L14" s="40" t="str">
        <f>"create-or-edit-"&amp;B8&amp;"-modal.component.ts"</f>
        <v>create-or-edit-ecipartmodule-modal.component.ts</v>
      </c>
      <c r="M14" s="40" t="str">
        <f>"create-or-edit-"&amp;B8&amp;"-modal.component.less"</f>
        <v>create-or-edit-ecipartmodule-modal.component.less</v>
      </c>
      <c r="N14" s="40" t="str">
        <f>B8&amp;".module.ts"</f>
        <v>ecipartmodule.module.ts</v>
      </c>
      <c r="O14" s="40" t="str">
        <f>B8&amp;"-routing.module.ts"</f>
        <v>ecipartmodule-routing.module.ts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301</v>
      </c>
      <c r="B15" s="31" t="str">
        <f>SUBSTITUTE(PROPER(A15),"_","")</f>
        <v>PartNo</v>
      </c>
      <c r="C15" s="31" t="str">
        <f>SUBSTITUTE(PROPER(A15),"_"," ")</f>
        <v>Part No</v>
      </c>
      <c r="D15" s="31" t="str">
        <f>LOWER(LEFT(B15,1))&amp;RIGHT(B15,LEN(B15) - 1)</f>
        <v>partNo</v>
      </c>
      <c r="E15" s="31" t="str">
        <f>A.Backend!H9</f>
        <v>string</v>
      </c>
      <c r="F15" s="31" t="str">
        <f>A.Backend!G9</f>
        <v>12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partNo : string = '' ; </v>
      </c>
      <c r="T15" s="31" t="str">
        <f>REPT(CHAR(9),3)&amp;"this."&amp;D15&amp;","</f>
        <v xml:space="preserve">			this.partNo,</v>
      </c>
      <c r="U15" s="31" t="str">
        <f>IF(E15="int","this."&amp;D15&amp;" = 0,","this."&amp;D15&amp;" = '',")</f>
        <v>this.partNo = '',</v>
      </c>
      <c r="V15" s="31" t="str">
        <f>IF(AND(E15="string",F15="1"),D15,"")</f>
        <v/>
      </c>
    </row>
    <row r="16" spans="1:22" ht="15" customHeight="1" x14ac:dyDescent="0.25">
      <c r="A16" s="44" t="s">
        <v>310</v>
      </c>
      <c r="B16" s="31" t="str">
        <f t="shared" ref="B16:B17" si="0">SUBSTITUTE(PROPER(A16),"_","")</f>
        <v>CaseNo</v>
      </c>
      <c r="C16" s="31" t="str">
        <f t="shared" ref="C16:C17" si="1">SUBSTITUTE(PROPER(A16),"_"," ")</f>
        <v>Case No</v>
      </c>
      <c r="D16" s="31" t="str">
        <f t="shared" ref="D16:D17" si="2">LOWER(LEFT(B16,1))&amp;RIGHT(B16,LEN(B16) - 1)</f>
        <v>caseNo</v>
      </c>
      <c r="E16" s="31" t="str">
        <f>A.Backend!H10</f>
        <v>string</v>
      </c>
      <c r="F16" s="31" t="str">
        <f>A.Backend!G10</f>
        <v>30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this.l('Case No'),headerTooltip: this.l('Case No'),field: 'caseNo',flex: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caseNo : string = '' ; </v>
      </c>
      <c r="T16" s="31" t="str">
        <f>REPT(CHAR(9),3)&amp;"this."&amp;D16&amp;","</f>
        <v xml:space="preserve">			this.caseNo,</v>
      </c>
      <c r="U16" s="31" t="str">
        <f>IF(E16="int",REPT(CHAR(9),2)&amp;"this."&amp;D16&amp;" = 0,",REPT(CHAR(9),2)&amp;"this."&amp;D16&amp;" = '',")</f>
        <v xml:space="preserve">		this.caseNo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302</v>
      </c>
      <c r="B17" s="31" t="str">
        <f t="shared" si="0"/>
        <v>SupplierNo</v>
      </c>
      <c r="C17" s="31" t="str">
        <f t="shared" si="1"/>
        <v>Supplier No</v>
      </c>
      <c r="D17" s="31" t="str">
        <f t="shared" si="2"/>
        <v>supplierNo</v>
      </c>
      <c r="E17" s="31" t="str">
        <f>A.Backend!H11</f>
        <v>string</v>
      </c>
      <c r="F17" s="31" t="str">
        <f>A.Backend!G11</f>
        <v>10</v>
      </c>
      <c r="G17" s="31" t="str">
        <f t="shared" si="3"/>
        <v xml:space="preserve"> : string = '' ; </v>
      </c>
      <c r="H17" s="38" t="str">
        <f t="shared" si="4"/>
        <v xml:space="preserve">			{headerName: this.l('Supplier No'),headerTooltip: this.l('Supplier No'),field: 'supplierNo',flex: 1},</v>
      </c>
      <c r="I17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supplierNo : string = '' ; </v>
      </c>
      <c r="T17" s="31" t="str">
        <f t="shared" ref="T17:T19" si="10">REPT(CHAR(9),3)&amp;"this."&amp;D17&amp;","</f>
        <v xml:space="preserve">			this.supplierNo,</v>
      </c>
      <c r="U17" s="31" t="str">
        <f t="shared" ref="U17:U19" si="11">IF(E17="int",REPT(CHAR(9),2)&amp;"this."&amp;D17&amp;" = 0,",REPT(CHAR(9),2)&amp;"this."&amp;D17&amp;" = '',")</f>
        <v xml:space="preserve">		this.supplierNo = '',</v>
      </c>
      <c r="V17" s="31" t="str">
        <f t="shared" si="8"/>
        <v/>
      </c>
    </row>
    <row r="18" spans="1:22" ht="18" customHeight="1" x14ac:dyDescent="0.25">
      <c r="A18" s="44" t="s">
        <v>313</v>
      </c>
      <c r="B18" s="31" t="str">
        <f>SUBSTITUTE(PROPER(A18),"_","")</f>
        <v>ContainerNo</v>
      </c>
      <c r="C18" s="31" t="str">
        <f>SUBSTITUTE(PROPER(A18),"_"," ")</f>
        <v>Container No</v>
      </c>
      <c r="D18" s="31" t="str">
        <f>LOWER(LEFT(B18,1))&amp;RIGHT(B18,LEN(B18) - 1)</f>
        <v>containerNo</v>
      </c>
      <c r="E18" s="31" t="str">
        <f>A.Backend!H12</f>
        <v>string</v>
      </c>
      <c r="F18" s="31" t="str">
        <f>A.Backend!G12</f>
        <v>15</v>
      </c>
      <c r="G18" s="31" t="str">
        <f t="shared" si="3"/>
        <v xml:space="preserve"> : string = '' ; </v>
      </c>
      <c r="H18" s="38" t="str">
        <f t="shared" si="4"/>
        <v xml:space="preserve">			{headerName: this.l('Container No'),headerTooltip: this.l('Container No'),field: 'containerNo',flex: 1},</v>
      </c>
      <c r="I18" s="38" t="str">
        <f t="shared" si="5"/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containerNo : string = '' ; </v>
      </c>
      <c r="T18" s="31" t="str">
        <f t="shared" si="10"/>
        <v xml:space="preserve">			this.containerNo,</v>
      </c>
      <c r="U18" s="31" t="str">
        <f t="shared" si="11"/>
        <v xml:space="preserve">		this.containerNo = '',</v>
      </c>
      <c r="V18" s="31" t="str">
        <f t="shared" si="8"/>
        <v/>
      </c>
    </row>
    <row r="19" spans="1:22" ht="15" customHeight="1" x14ac:dyDescent="0.25">
      <c r="A19" s="44" t="s">
        <v>315</v>
      </c>
      <c r="B19" s="31" t="str">
        <f t="shared" ref="B19" si="12">SUBSTITUTE(PROPER(A19),"_","")</f>
        <v>Renban</v>
      </c>
      <c r="C19" s="31" t="str">
        <f t="shared" ref="C19" si="13">SUBSTITUTE(PROPER(A19),"_"," ")</f>
        <v>Renban</v>
      </c>
      <c r="D19" s="31" t="str">
        <f t="shared" ref="D19" si="14">LOWER(LEFT(B19,1))&amp;RIGHT(B19,LEN(B19) - 1)</f>
        <v>renban</v>
      </c>
      <c r="E19" s="31" t="str">
        <f>A.Backend!H13</f>
        <v>string</v>
      </c>
      <c r="F19" s="31" t="str">
        <f>A.Backend!G13</f>
        <v>6</v>
      </c>
      <c r="G19" s="31" t="str">
        <f t="shared" si="3"/>
        <v xml:space="preserve"> : string = '' ; </v>
      </c>
      <c r="H19" s="38" t="str">
        <f t="shared" si="4"/>
        <v xml:space="preserve">			{headerName: this.l('Renban'),headerTooltip: this.l('Renban'),field: 'renban',flex: 1},</v>
      </c>
      <c r="I19" s="38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renban : string = '' ; </v>
      </c>
      <c r="T19" s="31" t="str">
        <f t="shared" si="10"/>
        <v xml:space="preserve">			this.renban,</v>
      </c>
      <c r="U19" s="31" t="str">
        <f t="shared" si="11"/>
        <v xml:space="preserve">		this.renban = '',</v>
      </c>
      <c r="V19" s="31" t="str">
        <f t="shared" si="8"/>
        <v/>
      </c>
    </row>
    <row r="20" spans="1:22" ht="18" customHeight="1" x14ac:dyDescent="0.25">
      <c r="A20" s="44" t="s">
        <v>317</v>
      </c>
      <c r="B20" s="31" t="str">
        <f>SUBSTITUTE(PROPER(A20),"_","")</f>
        <v>CasePrefix</v>
      </c>
      <c r="C20" s="31" t="str">
        <f>SUBSTITUTE(PROPER(A20),"_"," ")</f>
        <v>Case Prefix</v>
      </c>
      <c r="D20" s="31" t="str">
        <f>LOWER(LEFT(B20,1))&amp;RIGHT(B20,LEN(B20) - 1)</f>
        <v>casePrefix</v>
      </c>
      <c r="E20" s="31" t="str">
        <f>A.Backend!H14</f>
        <v>string</v>
      </c>
      <c r="F20" s="31" t="str">
        <f>A.Backend!G14</f>
        <v>8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this.l('Case Prefix'),headerTooltip: this.l('Case Prefix'),field: 'casePrefix',flex: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[(ngModel)]='casePrefix' name='casePrefix'
									class='form-control' [placeholder]="l('Case Prefix')"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title'&gt;Case Prefix&lt;/label&gt;
						&lt;input type='text' class='col-md-10 form-control input-text' name='CasePrefix' [(ngModel)]='rowdata.casePrefix'&gt;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casePrefix : string = '' ; </v>
      </c>
      <c r="T20" s="31" t="str">
        <f>REPT(CHAR(9),3)&amp;"this."&amp;D20&amp;","</f>
        <v xml:space="preserve">			this.casePrefix,</v>
      </c>
      <c r="U20" s="31" t="str">
        <f>IF(E20="int","this."&amp;D20&amp;" = 0,","this."&amp;D20&amp;" = '',")</f>
        <v>this.casePrefix = '',</v>
      </c>
      <c r="V20" s="31" t="str">
        <f>IF(AND(E20="string",F20="1"),D20,"")</f>
        <v/>
      </c>
    </row>
    <row r="21" spans="1:22" ht="15" customHeight="1" x14ac:dyDescent="0.25">
      <c r="A21" s="44" t="s">
        <v>319</v>
      </c>
      <c r="B21" s="31" t="str">
        <f t="shared" ref="B21:B22" si="15">SUBSTITUTE(PROPER(A21),"_","")</f>
        <v>ChkEciPartId</v>
      </c>
      <c r="C21" s="31" t="str">
        <f t="shared" ref="C21:C22" si="16">SUBSTITUTE(PROPER(A21),"_"," ")</f>
        <v>Chk Eci Part Id</v>
      </c>
      <c r="D21" s="31" t="str">
        <f t="shared" ref="D21:D22" si="17">LOWER(LEFT(B21,1))&amp;RIGHT(B21,LEN(B21) - 1)</f>
        <v>chkEciPartId</v>
      </c>
      <c r="E21" s="31" t="str">
        <f>A.Backend!H15</f>
        <v>long</v>
      </c>
      <c r="F21" s="31" t="str">
        <f>A.Backend!G15</f>
        <v/>
      </c>
      <c r="G21" s="31" t="str">
        <f t="shared" ref="G21:G23" si="18">IF(E21="string"," : string = '' ; ",IF(OR(E21="DateTime",E21="TimeSpan")," : any ;",IF(E21="int"," : number = 0 ;","")))</f>
        <v/>
      </c>
      <c r="H21" s="38" t="str">
        <f t="shared" ref="H21:H23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this.l('Chk Eci Part Id'),headerTooltip: this.l('Chk Eci Part Id'),field: 'chkEciPartId',flex: 1},</v>
      </c>
      <c r="I21" s="38" t="str">
        <f t="shared" ref="I21:I23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31"/>
      <c r="K21" s="38" t="str">
        <f t="shared" ref="K21:K23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60" t="str">
        <f t="shared" ref="L21:L23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chkEciPartId</v>
      </c>
      <c r="T21" s="31" t="str">
        <f>REPT(CHAR(9),3)&amp;"this."&amp;D21&amp;","</f>
        <v xml:space="preserve">			this.chkEciPartId,</v>
      </c>
      <c r="U21" s="31" t="str">
        <f>IF(E21="int",REPT(CHAR(9),2)&amp;"this."&amp;D21&amp;" = 0,",REPT(CHAR(9),2)&amp;"this."&amp;D21&amp;" = '',")</f>
        <v xml:space="preserve">		this.chkEciPartId = '',</v>
      </c>
      <c r="V21" s="31" t="str">
        <f t="shared" ref="V21:V23" si="23">IF(AND(E21="string",F21="1"),D21,"")</f>
        <v/>
      </c>
    </row>
    <row r="22" spans="1:22" ht="18" customHeight="1" x14ac:dyDescent="0.25">
      <c r="A22" s="44" t="s">
        <v>321</v>
      </c>
      <c r="B22" s="31" t="str">
        <f t="shared" si="15"/>
        <v>EciType</v>
      </c>
      <c r="C22" s="31" t="str">
        <f t="shared" si="16"/>
        <v>Eci Type</v>
      </c>
      <c r="D22" s="31" t="str">
        <f t="shared" si="17"/>
        <v>eciType</v>
      </c>
      <c r="E22" s="31" t="str">
        <f>A.Backend!H16</f>
        <v>string</v>
      </c>
      <c r="F22" s="31" t="str">
        <f>A.Backend!G16</f>
        <v>1</v>
      </c>
      <c r="G22" s="31" t="str">
        <f t="shared" si="18"/>
        <v xml:space="preserve"> : string = '' ; </v>
      </c>
      <c r="H22" s="38" t="str">
        <f t="shared" si="19"/>
        <v xml:space="preserve">			{headerName: this.l('Eci Type'),headerTooltip: this.l('Eci Type'),field:  'eciType', cellClass: ['text-center'], width: 120, cellRenderer: 'agCellButtonComponent',
buttonDefTwo: { text: params =&gt; (params.data?.'eciType' == 'Y') ? 'Active' : 'Inactive',iconName: 'fa fa-circle',className: params =&gt; (params.data?.'eciType' == 'Y') ? 'btnActive' : 'btnInActive',},}</v>
      </c>
      <c r="I22" s="38" t="str">
        <f t="shared" si="20"/>
        <v xml:space="preserve">								&lt;div class='input-search'&gt;
									&lt;input [(ngModel)]='eciType' name='eciType'
									class='form-control' [placeholder]="l('Eci Type')"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title'&gt;Eci Type&lt;/label&gt;
						&lt;new-checkbox [(ngModel)]='_eciType' name='eciType' className='col-md-10' &gt; &lt;/new-checkbox&gt;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3" si="24">REPT(CHAR(9),1)&amp;D22&amp;G22</f>
        <v xml:space="preserve">	eciType : string = '' ; </v>
      </c>
      <c r="T22" s="31" t="str">
        <f t="shared" ref="T22:T23" si="25">REPT(CHAR(9),3)&amp;"this."&amp;D22&amp;","</f>
        <v xml:space="preserve">			this.eciType,</v>
      </c>
      <c r="U22" s="31" t="str">
        <f t="shared" ref="U22:U23" si="26">IF(E22="int",REPT(CHAR(9),2)&amp;"this."&amp;D22&amp;" = 0,",REPT(CHAR(9),2)&amp;"this."&amp;D22&amp;" = '',")</f>
        <v xml:space="preserve">		this.eciType = '',</v>
      </c>
      <c r="V22" s="31" t="str">
        <f t="shared" si="23"/>
        <v>eciType</v>
      </c>
    </row>
    <row r="23" spans="1:22" ht="18" customHeight="1" x14ac:dyDescent="0.25">
      <c r="A23" s="44" t="s">
        <v>303</v>
      </c>
      <c r="B23" s="31" t="str">
        <f>SUBSTITUTE(PROPER(A23),"_","")</f>
        <v>IsActive</v>
      </c>
      <c r="C23" s="31" t="str">
        <f>SUBSTITUTE(PROPER(A23),"_"," ")</f>
        <v>Is Active</v>
      </c>
      <c r="D23" s="31" t="str">
        <f>LOWER(LEFT(B23,1))&amp;RIGHT(B23,LEN(B23) - 1)</f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18"/>
        <v xml:space="preserve"> : string = '' ; </v>
      </c>
      <c r="H23" s="38" t="str">
        <f t="shared" si="19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isActive : string = '' ; </v>
      </c>
      <c r="T23" s="31" t="str">
        <f t="shared" si="25"/>
        <v xml:space="preserve">			this.isActive,</v>
      </c>
      <c r="U23" s="31" t="str">
        <f t="shared" si="26"/>
        <v xml:space="preserve">		this.isActive = '',</v>
      </c>
      <c r="V23" s="31" t="str">
        <f t="shared" si="23"/>
        <v>isActive</v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2022-07-13T10:10:13Z</dcterms:modified>
</cp:coreProperties>
</file>
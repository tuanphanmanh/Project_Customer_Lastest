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H19" i="5" s="1"/>
  <c r="E20" i="5"/>
  <c r="F20" i="5"/>
  <c r="E21" i="5"/>
  <c r="F21" i="5"/>
  <c r="F15" i="5"/>
  <c r="E15" i="5"/>
  <c r="D19" i="5"/>
  <c r="T19" i="5" s="1"/>
  <c r="C19" i="5"/>
  <c r="B19" i="5"/>
  <c r="L18" i="5"/>
  <c r="G18" i="5"/>
  <c r="C18" i="5"/>
  <c r="B18" i="5"/>
  <c r="D18" i="5" s="1"/>
  <c r="L10" i="1"/>
  <c r="G10" i="1"/>
  <c r="E10" i="1"/>
  <c r="H10" i="1" s="1"/>
  <c r="D10" i="1"/>
  <c r="V10" i="1" s="1"/>
  <c r="G9" i="1"/>
  <c r="E9" i="1"/>
  <c r="H9" i="1" s="1"/>
  <c r="D9" i="1"/>
  <c r="V9" i="1" s="1"/>
  <c r="G11" i="1"/>
  <c r="E11" i="1"/>
  <c r="H11" i="1" s="1"/>
  <c r="D11" i="1"/>
  <c r="T11" i="1" s="1"/>
  <c r="V19" i="5" l="1"/>
  <c r="T18" i="5"/>
  <c r="S18" i="5"/>
  <c r="U18" i="5"/>
  <c r="I18" i="5"/>
  <c r="H18" i="5"/>
  <c r="K18" i="5"/>
  <c r="V18" i="5"/>
  <c r="I19" i="5"/>
  <c r="K19" i="5"/>
  <c r="U19" i="5"/>
  <c r="G19" i="5"/>
  <c r="S19" i="5" s="1"/>
  <c r="L19" i="5"/>
  <c r="W10" i="1"/>
  <c r="O10" i="1"/>
  <c r="J10" i="1"/>
  <c r="N10" i="1"/>
  <c r="I10" i="1"/>
  <c r="M10" i="1"/>
  <c r="P10" i="1"/>
  <c r="T10" i="1"/>
  <c r="L9" i="1"/>
  <c r="W9" i="1"/>
  <c r="O9" i="1"/>
  <c r="J9" i="1"/>
  <c r="N9" i="1"/>
  <c r="I9" i="1"/>
  <c r="M9" i="1"/>
  <c r="P9" i="1"/>
  <c r="T9" i="1"/>
  <c r="M11" i="1"/>
  <c r="J11" i="1"/>
  <c r="N11" i="1"/>
  <c r="I11" i="1"/>
  <c r="W11" i="1"/>
  <c r="O11" i="1"/>
  <c r="P11" i="1"/>
  <c r="V11" i="1"/>
  <c r="B21" i="5" l="1"/>
  <c r="D21" i="5" s="1"/>
  <c r="G15" i="1"/>
  <c r="E15" i="1"/>
  <c r="H15" i="1" s="1"/>
  <c r="D15" i="1"/>
  <c r="V15" i="1" s="1"/>
  <c r="T21" i="5" l="1"/>
  <c r="C21" i="5"/>
  <c r="I21" i="5" s="1"/>
  <c r="V21" i="5"/>
  <c r="U21" i="5"/>
  <c r="G21" i="5"/>
  <c r="S21" i="5" s="1"/>
  <c r="L21" i="5"/>
  <c r="T15" i="1"/>
  <c r="P15" i="1"/>
  <c r="N15" i="1"/>
  <c r="I15" i="1"/>
  <c r="M15" i="1"/>
  <c r="W15" i="1"/>
  <c r="O15" i="1"/>
  <c r="J15" i="1"/>
  <c r="K21" i="5" l="1"/>
  <c r="H21" i="5"/>
  <c r="W3" i="1"/>
  <c r="V3" i="1"/>
  <c r="B2" i="5" l="1"/>
  <c r="B3" i="5" s="1"/>
  <c r="B20" i="5"/>
  <c r="D20" i="5" s="1"/>
  <c r="T20" i="5" l="1"/>
  <c r="C20" i="5"/>
  <c r="B6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12" i="1"/>
  <c r="V12" i="1" l="1"/>
  <c r="T12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3" i="1"/>
  <c r="D14" i="1"/>
  <c r="V13" i="1" l="1"/>
  <c r="T13" i="1"/>
  <c r="V14" i="1"/>
  <c r="T14" i="1"/>
  <c r="C15" i="5"/>
  <c r="B15" i="5"/>
  <c r="D15" i="5" s="1"/>
  <c r="V17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12" i="1" l="1"/>
  <c r="G13" i="1"/>
  <c r="G14" i="1"/>
  <c r="E12" i="1"/>
  <c r="H12" i="1" s="1"/>
  <c r="E13" i="1"/>
  <c r="H13" i="1" s="1"/>
  <c r="E14" i="1"/>
  <c r="H14" i="1" s="1"/>
  <c r="P12" i="1"/>
  <c r="P13" i="1"/>
  <c r="P14" i="1"/>
  <c r="T17" i="1"/>
  <c r="L20" i="5" l="1"/>
  <c r="G20" i="5"/>
  <c r="S20" i="5" s="1"/>
  <c r="U20" i="5"/>
  <c r="I20" i="5"/>
  <c r="H20" i="5"/>
  <c r="K20" i="5"/>
  <c r="V20" i="5"/>
  <c r="O14" i="1"/>
  <c r="M14" i="1"/>
  <c r="N14" i="1"/>
  <c r="O13" i="1"/>
  <c r="M13" i="1"/>
  <c r="N13" i="1"/>
  <c r="O12" i="1"/>
  <c r="M12" i="1"/>
  <c r="N12" i="1"/>
  <c r="W14" i="1"/>
  <c r="W12" i="1"/>
  <c r="W13" i="1"/>
  <c r="T7" i="1"/>
  <c r="I14" i="1"/>
  <c r="I13" i="1"/>
  <c r="I12" i="1"/>
  <c r="W17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S13" i="5"/>
  <c r="V13" i="5"/>
  <c r="K13" i="5"/>
  <c r="H13" i="5"/>
  <c r="L13" i="5"/>
  <c r="I13" i="5"/>
  <c r="U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s="1"/>
  <c r="L15" i="1" l="1"/>
  <c r="L14" i="1"/>
  <c r="L12" i="1"/>
  <c r="L13" i="1"/>
  <c r="J14" i="1"/>
  <c r="J12" i="1"/>
  <c r="J13" i="1"/>
  <c r="C7" i="1"/>
  <c r="I17" i="1"/>
  <c r="N17" i="1"/>
  <c r="J17" i="1"/>
  <c r="O17" i="1"/>
  <c r="P17" i="1"/>
  <c r="Q7" i="1" l="1"/>
  <c r="M47" i="3" s="1"/>
  <c r="L7" i="1"/>
  <c r="G47" i="3" s="1"/>
  <c r="K47" i="3"/>
  <c r="J47" i="3"/>
  <c r="K17" i="1"/>
  <c r="M17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<sst xmlns="http://schemas.openxmlformats.org/spreadsheetml/2006/main" count="395" uniqueCount="315">
  <si>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</si>
  <si>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</si>
  <si>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</si>
  <si>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</si>
  <si>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</si>
  <si>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</si>
  <si>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</si>
  <si>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</si>
  <si>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</si>
  <si>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</si>
  <si>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</si>
  <si>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</si>
  <si>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</si>
  <si>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</si>
  <si>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</si>
  <si>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</si>
  <si>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</si>
  <si>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</si>
  <si>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</si>
  <si>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</si>
  <si>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</si>
  <si>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</si>
  <si>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</si>
  <si>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</si>
  <si>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</si>
  <si>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</si>
  <si>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</si>
  <si>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</si>
  <si>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</si>
  <si>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</si>
  <si>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</si>
  <si>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</si>
  <si>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</si>
  <si>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</si>
  <si>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</si>
  <si>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</si>
  <si>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</si>
  <si>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</si>
  <si>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</si>
  <si>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</si>
  <si>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</si>
  <si>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</si>
  <si>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</si>
  <si>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</si>
  <si>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</si>
  <si>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</si>
  <si>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</si>
  <si>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</si>
  <si>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</si>
  <si>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</si>
  <si>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</si>
  <si>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</si>
  <si>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</si>
  <si>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</si>
  <si>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</si>
  <si>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</si>
  <si>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</si>
  <si>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</si>
  <si>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</si>
  <si>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</si>
  <si>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</si>
  <si>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</si>
  <si>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</si>
  <si>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</si>
  <si>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</si>
  <si>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</si>
  <si>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</si>
  <si>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</si>
  <si>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</si>
  <si>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</si>
  <si>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</si>
  <si>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</si>
  <si>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</si>
  <si>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</si>
  <si>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</si>
  <si>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</si>
  <si>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</si>
  <si>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</si>
  <si>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</si>
  <si>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</si>
  <si>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</si>
  <si>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</si>
  <si>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</si>
  <si>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</si>
  <si>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</si>
  <si>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</si>
  <si>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</si>
  <si>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</si>
  <si>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</si>
  <si>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</si>
  <si>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</si>
  <si>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</si>
  <si>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</si>
  <si>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</si>
  <si>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</si>
  <si>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</si>
  <si>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</si>
  <si>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</si>
  <si>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</si>
  <si>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</si>
  <si>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</si>
  <si>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</si>
  <si>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</si>
  <si>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</si>
  <si>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</si>
  <si>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</si>
  <si>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</si>
  <si>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</si>
  <si>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</si>
  <si>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</si>
  <si>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</si>
  <si>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</si>
  <si>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</si>
  <si>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</si>
  <si>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</si>
  <si>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</si>
  <si>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</si>
  <si>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</si>
  <si>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</si>
  <si>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</si>
  <si>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</si>
  <si>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</si>
  <si>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</si>
  <si>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</si>
  <si>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</si>
  <si>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</si>
  <si>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</si>
  <si>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</si>
  <si>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</si>
  <si>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</si>
  <si>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</si>
  <si>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</si>
  <si>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</si>
  <si>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</si>
  <si>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</si>
  <si>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</si>
  <si>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</si>
  <si>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</si>
  <si>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</si>
  <si>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</si>
  <si>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</si>
  <si>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</si>
  <si>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</si>
  <si>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</si>
  <si>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</si>
  <si>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</si>
  <si>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</si>
  <si>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</si>
  <si>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</si>
  <si>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</si>
  <si>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</si>
  <si>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</si>
  <si>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</si>
  <si>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</si>
  <si>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</si>
  <si>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</si>
  <si>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</si>
  <si>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</si>
  <si>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</si>
  <si>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</si>
  <si>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</si>
  <si>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</si>
  <si>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</si>
  <si>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</si>
  <si>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</si>
  <si>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</si>
  <si>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</si>
  <si>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</si>
  <si>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</si>
  <si>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</si>
  <si>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</si>
  <si>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</si>
  <si>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</si>
  <si>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</si>
  <si>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</si>
  <si>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</si>
  <si>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</si>
  <si>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</si>
  <si>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</si>
  <si>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</si>
  <si>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</si>
  <si>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</si>
  <si>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</si>
  <si>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</si>
  <si>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</si>
  <si>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</si>
  <si>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</si>
  <si>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</si>
  <si>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</si>
  <si>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</si>
  <si>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</si>
  <si>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</si>
  <si>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</si>
  <si>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</si>
  <si>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</si>
  <si>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</si>
  <si>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</si>
  <si>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</si>
  <si>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</si>
  <si>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</si>
  <si>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</si>
  <si>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</si>
  <si>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</si>
  <si>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</si>
  <si>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</si>
  <si>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</si>
  <si>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</si>
  <si>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</si>
  <si>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</si>
  <si>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</si>
  <si>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</si>
  <si>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</si>
  <si>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</si>
  <si>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</si>
  <si>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</si>
  <si>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</si>
  <si>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</si>
  <si>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</si>
  <si>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</si>
  <si>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</si>
  <si>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</si>
  <si>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</si>
  <si>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</si>
  <si>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</si>
  <si>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</si>
  <si>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</si>
  <si>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</si>
  <si>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</si>
  <si>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</si>
  <si>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</si>
  <si>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</si>
  <si>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</si>
  <si>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</si>
  <si>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</si>
  <si>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</si>
  <si>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</si>
  <si>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</si>
  <si>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</si>
  <si>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</si>
  <si>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</si>
  <si>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</si>
  <si>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</si>
  <si>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</si>
  <si>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</si>
  <si>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</si>
  <si>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</si>
  <si>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</si>
  <si>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</si>
  <si>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</si>
  <si>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</si>
  <si>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</si>
  <si>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</si>
  <si>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</si>
  <si>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</si>
  <si>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</si>
  <si>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</si>
  <si>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</si>
  <si>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</si>
  <si>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</si>
  <si>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</si>
  <si>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</si>
  <si>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</si>
  <si>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</si>
  <si>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</si>
  <si>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</si>
  <si>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</si>
  <si>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</si>
  <si>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</si>
  <si>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</si>
  <si>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</si>
  <si>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</si>
  <si>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</si>
  <si>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</si>
  <si>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</si>
  <si>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</si>
  <si>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</si>
  <si>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</si>
  <si>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</si>
  <si>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</si>
  <si>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</si>
  <si>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</si>
  <si>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</si>
  <si>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</si>
  <si>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</si>
  <si>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</si>
  <si>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</si>
  <si>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</si>
  <si>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</si>
  <si>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</si>
  <si>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</si>
  <si>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</si>
  <si>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</si>
  <si>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</si>
  <si>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</si>
  <si>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</si>
  <si>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</si>
  <si>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</si>
  <si>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</si>
  <si>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</si>
  <si>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</si>
  <si>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</si>
  <si>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</si>
  <si>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</si>
  <si>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varchar(50)</t>
  </si>
  <si>
    <t>MODEL</t>
  </si>
  <si>
    <t>CFC</t>
  </si>
  <si>
    <t>Master.LogW</t>
  </si>
  <si>
    <t>PART_NO</t>
  </si>
  <si>
    <t>PART_NAME</t>
  </si>
  <si>
    <t>BACK_NO</t>
  </si>
  <si>
    <t>MODULE_CODE</t>
  </si>
  <si>
    <t>MstLgwUnpackingPart</t>
  </si>
  <si>
    <t>UnpackingPart</t>
  </si>
  <si>
    <t>varchar(255)</t>
  </si>
  <si>
    <t>Master LogW Unpacking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</si>
</sst>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47" sqref="C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[Table("MstLgwUnpackingPart")]
	[Index(nameof(BackNo), Name="IX_MstLgwUnpackingPart_BackNo")]
	[Index(nameof(PartNo), Name="IX_MstLgwUnpackingPart_PartNo")]
	[Index(nameof(IsActive), Name="IX_MstLgwUnpackingPart_IsActive")]	public class MstLgwUnpackingPart: FullAuditedEntity&lt;long&gt;, IEntity&lt;long&gt;	
	{
		public const int MaxCfcLength = 50;
		public const int MaxModelLength = 50;
		public const int MaxBackNoLength = 50;
		public const int MaxPartNoLength = 50;
		public const int MaxPartNameLength = 255;
		public const int MaxModuleCodeLength = 50;
		public const int MaxIsActiveLength = 1;
		[StringLength(MaxCfcLength)]
		public virtual string Cfc { get; set; }
		[StringLength(MaxModelLength)]
		public virtual string Model { get; set; }
		[StringLength(MaxBackNoLength)]
		public virtual string BackNo { get; set; }
		[StringLength(MaxPartNoLength)]
		public virtual string PartNo { get; set; }
		[StringLength(MaxPartNameLength)]
		public virtual string PartName { get; set; }
		[StringLength(MaxModuleCodeLength)]
		public virtual string ModuleCode { get; set; }
		[StringLength(MaxIsActiveLength)]
		public virtual string IsActive { get; set; }
	}
}
</v>
      </c>
      <c r="D47" s="51" t="str">
        <f>A.Backend!O7</f>
        <v xml:space="preserve">		public const string Pages_Master_LogW_UnpackingPart = "Pages.Master.LogW.UnpackingPart";
		public const string Pages_Master_LogW_UnpackingPart_CreateEdit = "Pages.Master.LogW.UnpackingPart.CreateEdit";
		public const string Pages_Master_LogW_UnpackingPart_Delete = "Pages.Master.LogW.UnpackingPart.Delete";
</v>
      </c>
      <c r="E47" s="51" t="str">
        <f>A.Backend!N7</f>
        <v xml:space="preserve">		var perMstLgwUnpackingPart = PARENTS.CreateChildPermission(AppPermissions.Pages_Master_LogW_UnpackingPart, L( "MasterLogWUnpackingPart"));
		perMstLgwUnpackingPart.CreateChildPermission(AppPermissions.Pages_Master_LogW_UnpackingPart_CreateEdit, L( "MasterLogWUnpackingPartCreateEdit"));
		perMstLgwUnpackingPart.CreateChildPermission(AppPermissions.Pages_Master_LogW_UnpackingPart_Delete, L( "MasterLogWUnpackingPartDelete"));</v>
      </c>
      <c r="F47" s="51" t="str">
        <f>A.Backend!K7</f>
        <v>public virtual DbSet&lt;MstLgwUnpackingPart&gt; MstLgwUnpackingParts { get; set; }</v>
      </c>
      <c r="G47" s="51" t="str">
        <f ca="1">A.Backend!L7</f>
        <v xml:space="preserve">namespace vovina.Master.LogW
{
	public class MstLgwUnpackingPartConsts	
	{
		public const int MaxCfcLength = 50;
		public const int MaxModelLength = 50;
		public const int MaxBackNoLength = 50;
		public const int MaxPartNoLength = 50;
		public const int MaxPartNameLength = 255;
		public const int MaxModuleCodeLength = 50;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MstLgwUnpackingPartDto : EntityDto&lt;long?&gt;	
	{
		public virtual string Cfc { get; set; }
		public virtual string Model { get; set; }
		public virtual string BackNo { get; set; }
		public virtual string PartNo { get; set; }
		public virtual string PartName { get; set; }
		public virtual string ModuleCode { get; set; }
		public virtual string IsActive { get; set; }
	}
	public class CreateOrEditMstLgwUnpackingPartDto : EntityDto&lt;long?&gt;	
	{
		[StringLength(MstLgwUnpackingPartConsts.MaxCfcLength)]
		public virtual string Cfc { get; set; }
		[StringLength(MstLgwUnpackingPartConsts.MaxModelLength)]
		public virtual string Model { get; set; }
		[StringLength(MstLgwUnpackingPartConsts.MaxBackNoLength)]
		public virtual string BackNo { get; set; }
		[StringLength(MstLgwUnpackingPartConsts.MaxPartNoLength)]
		public virtual string PartNo { get; set; }
		[StringLength(MstLgwUnpackingPartConsts.MaxPartNameLength)]
		public virtual string PartName { get; set; }
		[StringLength(MstLgwUnpackingPartConsts.MaxModuleCodeLength)]
		public virtual string ModuleCode { get; set; }
		[StringLength(MstLgwUnpackingPartConsts.MaxIsActiveLength)]
		public virtual string IsActive { get; set; }
	}
	public class GetMstLgwUnpackingPartInput : PagedAndSortedResultRequestDto	
	{
		public virtual string Cfc { get; set; }
		public virtual string Model { get; set; }
		public virtual string BackNo { get; set; }
		public virtual string PartNo { get; set; }
		public virtual string PartName { get; set; }
		public virtual string ModuleCode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MstLgwUnpackingPartExportInput{
		public virtual string Cfc { get; set; }
		public virtual string Model { get; set; }
		public virtual string BackNo { get; set; }
		public virtual string PartNo { get; set; }
		public virtual string PartName { get; set; }
		public virtual string ModuleCode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IMstLgwUnpackingPartAppService : IApplicationService
	{
		Task&lt;PagedResultDto&lt;MstLgwUnpackingPartDto&gt;&gt; GetAll(GetMstLgwUnpackingPartInput input);
		Task CreateOrEdit(CreateOrEditMstLgwUnpackingPartDto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IMstLgwUnpackingPartExcelExporter : IApplicationService
	{
		FileDto ExportToFile(List&lt;MstLgwUnpackingPartDto&gt; mstlgwunpackingpart);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MstLgwUnpackingPartExcelExporter : NpoiExcelExporterBase, IMstLgwUnpackingPartExcelExporter
    {
        public MstLgwUnpackingPartExcelExporter(ITempFileCacheManager tempFileCacheManager) : base(tempFileCacheManager) { }
        public FileDto ExportToFile(List&lt;MstLgwUnpackingPartDto&gt; unpackingpart)
        {
            return CreateExcelPackage(
				"MasterLogWUnpackingPart.xlsx",
				excelPackage =&gt;
				 {
					var sheet = excelPackage.CreateSheet("UnpackingPart");
					AddHeader(
								sheet,
								("Cfc"),
								("Model"),
								("BackNo"),
								("PartNo"),
								("PartName"),
								("ModuleCode"),
								("IsActive"),
							   );
					AddObjects(
						 sheet, 1, unpackingpart,                                       
								_ =&gt; _.Cfc,
								_ =&gt; _.Model,
								_ =&gt; _.BackNo,
								_ =&gt; _.PartNo,
								_ =&gt; _.PartName,
								_ =&gt; _.ModuleCode,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[AbpAuthorize(AppPermissions.Pages_Master_LogW_UnpackingPart)]
    public class MstLgwUnpackingPartAppService : vovinaAppServiceBase, IMstLgwUnpackingPartAppService
    {
        private readonly IDapperRepository&lt;MstLgwUnpackingPart, long&gt; _dapperRepo;
        private readonly IRepository&lt;MstLgwUnpackingPart, long&gt; _repo;
        private readonly IMstLgwUnpackingPartExcelExporter _calendarListExcelExporter;
        public MstLgwUnpackingPartAppService(IRepository&lt;MstLgwUnpackingPart,long&gt; repo, 
                                         IDapperRepository&lt;MstLgwUnpackingPart,long&gt; dapperRepo,
                                        IMstLgwUnpackingPartExcelExporter calendarListExcelExporter
            )
        {
            _repo = repo;
            _dapperRepo = dapperRepo;
            _calendarListExcelExporter = calendarListExcelExporter;
        }
        [AbpAuthorize(AppPermissions.Pages_Master_LogW_UnpackingPart_CreateEdit)]
        public async Task CreateOrEdit(CreateOrEditMstLgwUnpackingPartDto input)
        {
            if (input.Id == null) await Create(input);
            else await Update(input);
        }
        //CREATE
        private async Task Create(CreateOrEditMstLgwUnpackingPartDto input)
        {          
            var mainObj = ObjectMapper.Map&lt;MstLgwUnpackingPart&gt;(input);
            await CurrentUnitOfWork.GetDbContext&lt;vovinaDbContext&gt;().AddAsync(mainObj);
        }
        // EDIT
        private async Task Update(CreateOrEditMstLgwUnpackingPartDto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[AbpAuthorize(AppPermissions.Pages_Master_LogW_UnpackingPart_Delete)]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Task&lt;PagedResultDto&lt;MstLgwUnpackingPartDto&gt;&gt; GetAll(GetMstLgwUnpackingPartInput input)
        {
            var filtered = _repo.GetAll()
				.WhereIf(!string.IsNullOrWhiteSpace(input.Cfc), e =&gt; e.Cfc.Contains(input.Cfc))
				.WhereIf(!string.IsNullOrWhiteSpace(input.Model), e =&gt; e.Model.Contains(input.Model))
				.WhereIf(!string.IsNullOrWhiteSpace(input.BackNo), e =&gt; e.BackNo.Contains(input.BackNo))
				.WhereIf(!string.IsNullOrWhiteSpace(input.PartNo), e =&gt; e.PartNo.Contains(input.PartNo))
				.WhereIf(!string.IsNullOrWhiteSpace(input.PartName), e =&gt; e.PartName.Contains(input.PartName))
				.WhereIf(!string.IsNullOrWhiteSpace(input.ModuleCode), e =&gt; e.ModuleCode.Contains(input.ModuleCode))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MstLgwUnpackingPartDto
                        {
							Id = o.Id,
							Cfc = o.Cfc,
							Model = o.Model,
							BackNo = o.BackNo,
							PartNo = o.PartNo,
							PartName = o.PartName,
							ModuleCode = o.ModuleCode,
							IsActive = o.IsActive,
                        };
            var totalCount = await filtered.CountAsync();
			var paged = system.PageBy(input);
            return new PagedResultDto&lt;MstLgwUnpackingPartDto&gt;(
                totalCount,
                 await paged.ToListAsync()
            );
        }
        public async Task&lt;FileDto&gt; GetUnpackingPartToExcel(MstLgwUnpackingPartExportInput input)
        {
            var query = from o in _repo.GetAll()
                        select new MstLgwUnpackingPartDto
                        {
							Id = o.Id,
							Cfc = o.Cfc,
							Model = o.Model,
							BackNo = o.BackNo,
							PartNo = o.PartNo,
							PartName = o.PartName,
							ModuleCode = o.ModuleCode,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_dapperRepo.ExecuteAsync(MstLgwUnpackingPartConsts.SP_MST_WPT_CALENDAR_GENERATE);
       // }
    }
}</v>
      </c>
      <c r="N47" s="62" t="str">
        <f>A.Backend!U7</f>
        <v xml:space="preserve">  configuration.CreateMap&lt;MstLgwUnpackingPartDto, MstLgwUnpackingPart&gt;();
  configuration.CreateMap&lt;MstLgwUnpackingPart, MstLgwUnpackingPartDto&gt;();
  configuration.CreateMap&lt;CreateOrEditMstLgwUnpackingPartDto, MstLgwUnpackingPart&gt;();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unpackingpart</v>
      </c>
      <c r="C52" s="72" t="str">
        <f>"create folder " &amp;B52</f>
        <v>create folder unpackingpart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unpackingpart.component.ts</v>
      </c>
      <c r="D53" s="31" t="str">
        <f>B.Frontend!I14</f>
        <v>unpackingpart.component.html</v>
      </c>
      <c r="E53" s="31" t="str">
        <f>B.Frontend!J14</f>
        <v>unpackingpart.component.less</v>
      </c>
      <c r="F53" s="31" t="str">
        <f>B.Frontend!K14</f>
        <v>create-or-edit-unpackingpart-modal.component.html</v>
      </c>
      <c r="G53" s="31" t="str">
        <f>B.Frontend!L14</f>
        <v>create-or-edit-unpackingpart-modal.component.ts</v>
      </c>
      <c r="H53" s="31" t="str">
        <f>B.Frontend!M14</f>
        <v>create-or-edit-unpackingpart-modal.component.less</v>
      </c>
      <c r="I53" s="31" t="str">
        <f>B.Frontend!N14</f>
        <v>unpackingpart.module.ts</v>
      </c>
      <c r="J53" s="31" t="str">
        <f>B.Frontend!O14</f>
        <v>unpackingpart-routing.module.ts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MstLgwUnpackingPartDto, MstLgwUnpackingPartServiceProxy } from '@shared/service-proxies/service-proxies';
import { finalize } from 'rxjs/internal/operators/finalize';
import { CreateOrEditUnpackingPartModalComponent } from './create-or-edit-unpackingpart-modal.component';
import { DatePipe } from '@angular/common';
import { FileDownloadService } from '@shared/utils/file-download.service';
import ceil from 'lodash-es/ceil';
import { Paginator } from 'primeng/paginator';
@Component({
    templateUrl: './unpackingpart.component.html',
    styleUrls: ['./unpackingpart.component.less'],
})
export class UnpackingPartComponent extends AppComponentBase implements OnInit {
    @ViewChild('createOrEditModalUnpackingPart', { static: true }) createOrEditModalUnpackingPart:| CreateOrEditUnpackingPartModalComponent|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MstLgwUnpackingPartDto = new MstLgwUnpackingPartDto();
    saveSelectedRow: MstLgwUnpackingPartDto = new MstLgwUnpackingPartDto();
    datas: MstLgwUnpackingPartDto = new MstLgwUnpackingPartDto();
    isLoading: boolean = false;
    dataParams: GridParams | undefined;
    rowData: any[] = [];
    gridApi!: GridApi;
    rowSelection = 'multiple';
    filter: string = '';
	pipe = new DatePipe('en-US');
	frameworkComponents: FrameworkComponent;
    cfc : string = '' ; 
	model : string = '' ; 
	backNo : string = '' ; 
	partNo : string = '' ; 
	partName : string = '' ; 
	moduleCode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MstLgwUnpackingPartServiceProxy,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this.l('Cfc'),headerTooltip: this.l('Cfc'),field: 'cfc',flex: 1},
			{headerName: this.l('Model'),headerTooltip: this.l('Model'),field: 'model',flex: 1},
			{headerName: this.l('Back No'),headerTooltip: this.l('Back No'),field: 'backNo',flex: 1},
			{headerName: this.l('Part No'),headerTooltip: this.l('Part No'),field: 'partNo',flex: 1},
			{headerName: this.l('Part Name'),headerTooltip: this.l('Part Name'),field: 'partName',flex: 1},
			{headerName: this.l('Module Code'),headerTooltip: this.l('Module Code'),field: 'moduleCode',flex: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this.cfc,
			this.model,
			this.backNo,
			this.partNo,
			this.partName,
			this.moduleCode,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this.cfc = '',
		this.model = '',
		this.backNo = '',
		this.partNo = '',
		this.partName = '',
		this.moduleCode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this.cfc,
			this.model,
			this.backNo,
			this.partNo,
			this.partName,
			this.moduleCode,
			this.isActive,
			'',
            this.paginationParams.skipCount,
            this.paginationParams.pageSize
        );
    }
    onChangeRowSelection(params: { api: { getSelectedRows: () =&gt; MstLgwUnpackingPartDto[] } }) {
        this.saveSelectedRow = params.api.getSelectedRows()[0] ?? new MstLgwUnpackingPartDto();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MstLgwUnpackingPartDto):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this._service.getUnpackingPartToExcel(
			this.cfc,
			this.model,
			this.backNo,
			this.partNo,
			this.partName,
			this.moduleCode,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Unpacking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[(ngModel)]='moduleCode' name='moduleCode'
									class='form-control' [placeholder]="l('Module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(click)="createOrEditModalUnpackingPart.show()"&gt;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(click)="createOrEditModalUnpackingPart.show(selectedRow)"&gt;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&lt;create-or-edit-unpackingpart-modal
    #createOrEditModalUnpackingPart
    (modalSave)="callBackDataGrid(dataParams)"
    (modalClose)="onChangeRowSelection(dataParams)"
&gt;
&lt;/create-or-edit-unpackingpart-modal&gt;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#createOrEditModalUnpackingPart="bs-modal"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UnpackingPart')}}&lt;/h3&gt;
                    &lt;h3 *ngIf="!rowdata.id"&gt;{{('Create New UnpackingPart')}}&lt;/h3&gt;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title'&gt;Module Code&lt;/label&gt;
						&lt;input type='text' class='col-md-10 form-control input-text' name='ModuleCode' [(ngModel)]='rowdata.moduleCode'&gt;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CreateOrEditMstLgwUnpackingPartDto, MstLgwUnpackingPartServiceProxy } from '@shared/service-proxies/service-proxies';
import { BsDatepickerDirective } from 'ngx-bootstrap/datepicker';
@Component({
    selector: 'create-or-edit-unpackingpart-modal',
    templateUrl: './create-or-edit-unpackingpart-modal.component.html',
    styleUrls: ['./create-or-edit-unpackingpart-modal.component.less']
    })
export class CreateOrEditUnpackingPartModalComponent extends AppComponentBase {
    @ViewChild('createOrEditModalUnpackingPart',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CreateOrEditMstLgwUnpackingPartDto = new CreateOrEditMstLgwUnpackingPartDto();
    active: boolean = false;
    saving: boolean = false;
    _isActive: boolean;
    constructor(
        injector: Injector,
        private _mstwptUnpackingPartService: MstLgwUnpackingPartServiceProxy,
    ) 
    {
        super(injector);
    }
    show(rowdata?: CreateOrEditMstLgwUnpackingPartDto): void {
        if (!rowdata) this.rowdata = new CreateOrEditMstLgwUnpackingPartDto();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this._mstwptUnpackingPartService.createOrEdit(this.rowdata)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UnpackingPartRoutingModule } from './unpackingpart-routing.module';
import { UnpackingPartComponent } from './unpackingpart.component';
import { CreateOrEditUnpackingPartModalComponent } from './create-or-edit-unpackingpart-modal.component';
@NgModule({
    declarations: [
       UnpackingPartComponent, 
        CreateOrEditUnpackingPartModalComponent
    ],
    imports: [
        AppSharedModule, UnpackingPartRoutingModule]
})
export class UnpackingPartModule {}</v>
      </c>
      <c r="J54" s="49" t="str">
        <f>B.Frontend!O10</f>
        <v>import {NgModule} from '@angular/core';
import {RouterModule, Routes} from '@angular/router';
import { UnpackingPartComponent } from './unpackingpart.component';
const routes: Routes = [{
    path: '',
    component: UnpackingPartComponent,
    pathMatch: 'full'
}];
@NgModule({
    imports: [RouterModule.forChild(routes)],
    exports: [RouterModule],
})
export class UnpackingPartRoutingModule {}</v>
      </c>
      <c r="K54" s="49" t="str">
        <f>B.Frontend!P10</f>
        <v xml:space="preserve"> new AppMenuItem("UnpackingPart", "Pages.Master.LogW.UnpackingPart", "flaticon-book",   "/app/main/master/logw/unpackingpart"),</v>
      </c>
      <c r="L54" s="50" t="str">
        <f>B.Frontend!Q10</f>
        <v>{
    path: 'master/logw/unpackingpart',
    loadChildren: () =&gt; import('./master/logw/unpackingpart/unpackingpart.module').then(m =&gt; m.UnpackingPartModule),
    data: { permission: 'Pages.Master.LogW.UnpackingPart' }
},</v>
      </c>
      <c r="M54" s="48" t="str">
        <f>B.Frontend!R10</f>
        <v>ApiServiceProxies.MstLgwUnpackingPartServiceProxy,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tabSelected="1" workbookViewId="0">
      <pane xSplit="1" topLeftCell="B1" activePane="topRight" state="frozen"/>
      <selection pane="topRight" activeCell="K7" sqref="K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311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MstLgwUnpackingPartExportInput{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T15</v>
      </c>
      <c r="V3" s="11" t="str">
        <f>"V"&amp;COUNTA($A:$A)</f>
        <v>V15</v>
      </c>
      <c r="W3" s="10" t="str">
        <f>"W"&amp;COUNTA($A:$A)</f>
        <v>W15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312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MstLgwUnpackingPart: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MstLgwUnpackingPartConsts	
	{
</v>
      </c>
      <c r="F6" s="11" t="str">
        <f>REPT(CHAR(9),1)&amp;"public class "&amp;B3&amp;"Dto"&amp;K3&amp;REPT(CHAR(9),1)&amp;"
"&amp;REPT(CHAR(9),1)&amp;C3</f>
        <v xml:space="preserve">	public class MstLgwUnpackingPartDto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CreateOrEditMstLgwUnpackingPartDto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GetMstLgwUnpackingPartInput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MstLgwUnpackingPart</v>
      </c>
      <c r="C7" s="11" t="str">
        <f>REPT(CHAR(9),1)&amp;"[Table("""&amp;B7&amp;""")]"&amp;"
"</f>
        <v xml:space="preserve">	[Table("MstLgwUnpackingPart")]
</v>
      </c>
      <c r="D7" s="11"/>
      <c r="E7" s="11"/>
      <c r="F7" s="11"/>
      <c r="G7" s="11"/>
      <c r="H7" s="11"/>
      <c r="I7" s="11"/>
      <c r="J7" s="6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[Table("MstLgwUnpackingPart")]
	[Index(nameof(BackNo), Name="IX_MstLgwUnpackingPart_BackNo")]
	[Index(nameof(PartNo), Name="IX_MstLgwUnpackingPart_PartNo")]
	[Index(nameof(IsActive), Name="IX_MstLgwUnpackingPart_IsActive")]	public class MstLgwUnpackingPart: FullAuditedEntity&lt;long&gt;, IEntity&lt;long&gt;	
	{
		public const int MaxCfcLength = 50;
		public const int MaxModelLength = 50;
		public const int MaxBackNoLength = 50;
		public const int MaxPartNoLength = 50;
		public const int MaxPartNameLength = 255;
		public const int MaxModuleCodeLength = 50;
		public const int MaxIsActiveLength = 1;
		[StringLength(MaxCfcLength)]
		public virtual string Cfc { get; set; }
		[StringLength(MaxModelLength)]
		public virtual string Model { get; set; }
		[StringLength(MaxBackNoLength)]
		public virtual string BackNo { get; set; }
		[StringLength(MaxPartNoLength)]
		public virtual string PartNo { get; set; }
		[StringLength(MaxPartNameLength)]
		public virtual string PartName { get; set; }
		[StringLength(MaxModuleCodeLength)]
		public virtual string ModuleCode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DbSet&lt;MstLgwUnpackingPart&gt; MstLgwUnpackingParts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vovina.Master.LogW
{
	public class MstLgwUnpackingPartConsts	
	{
		public const int MaxCfcLength = 50;
		public const int MaxModelLength = 50;
		public const int MaxBackNoLength = 50;
		public const int MaxPartNoLength = 50;
		public const int MaxPartNameLength = 255;
		public const int MaxModuleCodeLength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vovina.Master.LogW.Dto
{
	public class MstLgwUnpackingPartDto : EntityDto&lt;long?&gt;	
	{
		public virtual string Cfc { get; set; }
		public virtual string Model { get; set; }
		public virtual string BackNo { get; set; }
		public virtual string PartNo { get; set; }
		public virtual string PartName { get; set; }
		public virtual string ModuleCode { get; set; }
		public virtual string IsActive { get; set; }
	}
	public class CreateOrEditMstLgwUnpackingPartDto : EntityDto&lt;long?&gt;	
	{
		[StringLength(MstLgwUnpackingPartConsts.MaxCfcLength)]
		public virtual string Cfc { get; set; }
		[StringLength(MstLgwUnpackingPartConsts.MaxModelLength)]
		public virtual string Model { get; set; }
		[StringLength(MstLgwUnpackingPartConsts.MaxBackNoLength)]
		public virtual string BackNo { get; set; }
		[StringLength(MstLgwUnpackingPartConsts.MaxPartNoLength)]
		public virtual string PartNo { get; set; }
		[StringLength(MstLgwUnpackingPartConsts.MaxPartNameLength)]
		public virtual string PartName { get; set; }
		[StringLength(MstLgwUnpackingPartConsts.MaxModuleCodeLength)]
		public virtual string ModuleCode { get; set; }
		[StringLength(MstLgwUnpackingPartConsts.MaxIsActiveLength)]
		public virtual string IsActive { get; set; }
	}
	public class GetMstLgwUnpackingPartInput : PagedAndSortedResultRequestDto	
	{
		public virtual string Cfc { get; set; }
		public virtual string Model { get; set; }
		public virtual string BackNo { get; set; }
		public virtual string PartNo { get; set; }
		public virtual string PartName { get; set; }
		public virtual string ModuleCode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perMstLgwUnpackingPart = PARENTS.CreateChildPermission(AppPermissions.Pages_Master_LogW_UnpackingPart, L( "MasterLogWUnpackingPart"));
		perMstLgwUnpackingPart.CreateChildPermission(AppPermissions.Pages_Master_LogW_UnpackingPart_CreateEdit, L( "MasterLogWUnpackingPartCreateEdit"));
		perMstLgwUnpackingPart.CreateChildPermission(AppPermissions.Pages_Master_LogW_UnpackingPart_Delete, L( "MasterLogWUnpackingPartDelete"));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Pages_Master_LogW_UnpackingPart = "Pages.Master.LogW.UnpackingPart";
		public const string Pages_Master_LogW_UnpackingPart_CreateEdit = "Pages.Master.LogW.UnpackingPart.CreateEdit";
		public const string Pages_Master_LogW_UnpackingPart_Delete = "Pages.Master.LogW.UnpackingPart.Delete";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IMstLgwUnpackingPartAppService : IApplicationService
	{
		Task&lt;PagedResultDto&lt;MstLgwUnpackingPartDto&gt;&gt; GetAll(GetMstLgwUnpackingPartInput input);
		Task CreateOrEdit(CreateOrEditMstLgwUnpackingPartDto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[AbpAuthorize(AppPermissions.Pages_Master_LogW_UnpackingPart)]
    public class MstLgwUnpackingPartAppService : vovinaAppServiceBase, IMstLgwUnpackingPartAppService
    {
        private readonly IDapperRepository&lt;MstLgwUnpackingPart, long&gt; _dapperRepo;
        private readonly IRepository&lt;MstLgwUnpackingPart, long&gt; _repo;
        private readonly IMstLgwUnpackingPartExcelExporter _calendarListExcelExporter;
        public MstLgwUnpackingPartAppService(IRepository&lt;MstLgwUnpackingPart,long&gt; repo, 
                                         IDapperRepository&lt;MstLgwUnpackingPart,long&gt; dapperRepo,
                                        IMstLgwUnpackingPartExcelExporter calendarListExcelExporter
            )
        {
            _repo = repo;
            _dapperRepo = dapperRepo;
            _calendarListExcelExporter = calendarListExcelExporter;
        }
        [AbpAuthorize(AppPermissions.Pages_Master_LogW_UnpackingPart_CreateEdit)]
        public async Task CreateOrEdit(CreateOrEditMstLgwUnpackingPartDto input)
        {
            if (input.Id == null) await Create(input);
            else await Update(input);
        }
        //CREATE
        private async Task Create(CreateOrEditMstLgwUnpackingPartDto input)
        {          
            var mainObj = ObjectMapper.Map&lt;MstLgwUnpackingPart&gt;(input);
            await CurrentUnitOfWork.GetDbContext&lt;vovinaDbContext&gt;().AddAsync(mainObj);
        }
        // EDIT
        private async Task Update(CreateOrEditMstLgwUnpackingPartDto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[AbpAuthorize(AppPermissions.Pages_Master_LogW_UnpackingPart_Delete)]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Task&lt;PagedResultDto&lt;MstLgwUnpackingPartDto&gt;&gt; GetAll(GetMstLgwUnpackingPartInput input)
        {
            var filtered = _repo.GetAll()
				.WhereIf(!string.IsNullOrWhiteSpace(input.Cfc), e =&gt; e.Cfc.Contains(input.Cfc))
				.WhereIf(!string.IsNullOrWhiteSpace(input.Model), e =&gt; e.Model.Contains(input.Model))
				.WhereIf(!string.IsNullOrWhiteSpace(input.BackNo), e =&gt; e.BackNo.Contains(input.BackNo))
				.WhereIf(!string.IsNullOrWhiteSpace(input.PartNo), e =&gt; e.PartNo.Contains(input.PartNo))
				.WhereIf(!string.IsNullOrWhiteSpace(input.PartName), e =&gt; e.PartName.Contains(input.PartName))
				.WhereIf(!string.IsNullOrWhiteSpace(input.ModuleCode), e =&gt; e.ModuleCode.Contains(input.ModuleCode))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MstLgwUnpackingPartDto
                        {
							Id = o.Id,
							Cfc = o.Cfc,
							Model = o.Model,
							BackNo = o.BackNo,
							PartNo = o.PartNo,
							PartName = o.PartName,
							ModuleCode = o.ModuleCode,
							IsActive = o.IsActive,
                        };
            var totalCount = await filtered.CountAsync();
			var paged = system.PageBy(input);
            return new PagedResultDto&lt;MstLgwUnpackingPartDto&gt;(
                totalCount,
                 await paged.ToListAsync()
            );
        }
        public async Task&lt;FileDto&gt; GetUnpackingPartToExcel(MstLgwUnpackingPartExportInput input)
        {
            var query = from o in _repo.GetAll()
                        select new MstLgwUnpackingPartDto
                        {
							Id = o.Id,
							Cfc = o.Cfc,
							Model = o.Model,
							BackNo = o.BackNo,
							PartNo = o.PartNo,
							PartName = o.PartName,
							ModuleCode = o.ModuleCode,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_dapperRepo.ExecuteAsync(MstLgwUnpackingPartConsts.SP_MST_WPT_CALENDAR_GENERATE);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vovina.Master.LogW.Dto
{
	public class MstLgwUnpackingPartExportInput{
		public virtual string Cfc { get; set; }
		public virtual string Model { get; set; }
		public virtual string BackNo { get; set; }
		public virtual string PartNo { get; set; }
		public virtual string PartName { get; set; }
		public virtual string ModuleCode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IMstLgwUnpackingPartExcelExporter : IApplicationService
	{
		FileDto ExportToFile(List&lt;MstLgwUnpackingPartDto&gt; mstlgwunpackingpart);
	}
}
</v>
      </c>
      <c r="T7" s="28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MstLgwUnpackingPartExcelExporter : NpoiExcelExporterBase, IMstLgwUnpackingPartExcelExporter
    {
        public MstLgwUnpackingPartExcelExporter(ITempFileCacheManager tempFileCacheManager) : base(tempFileCacheManager) { }
        public FileDto ExportToFile(List&lt;MstLgwUnpackingPartDto&gt; unpackingpart)
        {
            return CreateExcelPackage(
				"MasterLogWUnpackingPart.xlsx",
				excelPackage =&gt;
				 {
					var sheet = excelPackage.CreateSheet("UnpackingPart");
					AddHeader(
								sheet,
								("Cfc"),
								("Model"),
								("BackNo"),
								("PartNo"),
								("PartName"),
								("ModuleCode"),
								("IsActive"),
							   );
					AddObjects(
						 sheet, 1, unpackingpart,                                       
								_ =&gt; _.Cfc,
								_ =&gt; _.Model,
								_ =&gt; _.BackNo,
								_ =&gt; _.PartNo,
								_ =&gt; _.PartName,
								_ =&gt; _.ModuleCode,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configuration.CreateMap&lt;MstLgwUnpackingPartDto, MstLgwUnpackingPart&gt;();
  configuration.CreateMap&lt;MstLgwUnpackingPart, MstLgwUnpackingPartDto&gt;();
  configuration.CreateMap&lt;CreateOrEditMstLgwUnpackingPartDto, MstLgwUnpackingPart&gt;();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305</v>
      </c>
      <c r="B9" t="s">
        <v>303</v>
      </c>
      <c r="C9" t="s">
        <v>1</v>
      </c>
      <c r="D9" t="str">
        <f>SUBSTITUTE(PROPER(A9),"_","")</f>
        <v>Cfc</v>
      </c>
      <c r="E9" t="str">
        <f t="shared" ref="E9:E10" si="0">IFERROR(LEFT(B9, FIND("(",B9)-1),B9)</f>
        <v>varchar</v>
      </c>
      <c r="F9" s="7"/>
      <c r="G9" t="str">
        <f t="shared" ref="G9:G10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0" si="2">IF(H9="string",REPT(CHAR(9),2)&amp;"public const int Max"&amp;D9&amp;"Length = "&amp;G9&amp;";"&amp;$E$3,"" )</f>
        <v xml:space="preserve">		public const int MaxCfcLength = 50;
</v>
      </c>
      <c r="J9" t="str">
        <f t="shared" ref="J9:J10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[StringLength(MaxCfcLength)]
		public virtual string Cfc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string Cfc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[StringLength(MstLgwUnpackingPartConsts.MaxCfcLength)]
		public virtual string Cfc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Cfc { get; set; }
</v>
      </c>
      <c r="P9" t="str">
        <f t="shared" ref="P9:P10" si="4">REPT(CHAR(9),7)&amp;D9&amp;" = o." &amp;D9 &amp;","</f>
        <v xml:space="preserve">							Cfc = o.Cfc,</v>
      </c>
      <c r="T9" s="69" t="str">
        <f>REPT(CHAR(9),8)&amp;"("""&amp;D9&amp;"""),"</f>
        <v xml:space="preserve">								("Cfc"),</v>
      </c>
      <c r="V9" s="70" t="str">
        <f>REPT(CHAR(9),8)&amp;"_ =&gt; _."&amp;D9&amp;","</f>
        <v xml:space="preserve">								_ =&gt; _.Cfc,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.WhereIf(!string.IsNullOrWhiteSpace(input.Cfc), e =&gt; e.Cfc.Contains(input.Cfc))</v>
      </c>
    </row>
    <row r="10" spans="1:23" customFormat="1" ht="22.5" customHeight="1" x14ac:dyDescent="0.25">
      <c r="A10" t="s">
        <v>304</v>
      </c>
      <c r="B10" t="s">
        <v>303</v>
      </c>
      <c r="C10" t="s">
        <v>1</v>
      </c>
      <c r="D10" t="str">
        <f>SUBSTITUTE(PROPER(A10),"_","")</f>
        <v>Model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MaxModelLength = 50;
</v>
      </c>
      <c r="J10" t="str">
        <f t="shared" si="3"/>
        <v xml:space="preserve">		[StringLength(MaxModelLength)]
		public virtual string Model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>REPT(CHAR(9),2)&amp;"public virtual "&amp;IF(OR(H10="DateTime",H10="TimeSpan"),H10&amp;"?",H10)&amp;IF(C10="?","? "," ")&amp;D10&amp;" { get; set; }" &amp; "
"</f>
        <v xml:space="preserve">		public virtual string Model { get; set; }
</v>
      </c>
      <c r="N10" t="str">
        <f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[StringLength(MstLgwUnpackingPartConsts.MaxModelLength)]
		public virtual string Model { get; set; }
</v>
      </c>
      <c r="O10" t="str">
        <f>IF(OR(H10="string",H10="DateTime",H10="int"),REPT(CHAR(9),2)&amp;"public virtual "&amp;IF(OR(H10="DateTime",H10="TimeSpan"),H10&amp;"?",H10)&amp;IF(C10="?","? "," ")&amp;D10&amp;" { get; set; }"&amp;$E$3,"")</f>
        <v xml:space="preserve">		public virtual string Model { get; set; }
</v>
      </c>
      <c r="P10" t="str">
        <f t="shared" si="4"/>
        <v xml:space="preserve">							Model = o.Model,</v>
      </c>
      <c r="T10" s="69" t="str">
        <f>REPT(CHAR(9),8)&amp;"("""&amp;D10&amp;"""),"</f>
        <v xml:space="preserve">								("Model"),</v>
      </c>
      <c r="V10" s="70" t="str">
        <f>REPT(CHAR(9),8)&amp;"_ =&gt; _."&amp;D10&amp;","</f>
        <v xml:space="preserve">								_ =&gt; _.Model,</v>
      </c>
      <c r="W10" s="69" t="str">
        <f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.WhereIf(!string.IsNullOrWhiteSpace(input.Model), e =&gt; e.Model.Contains(input.Model))</v>
      </c>
    </row>
    <row r="11" spans="1:23" customFormat="1" ht="22.5" customHeight="1" x14ac:dyDescent="0.25">
      <c r="A11" t="s">
        <v>309</v>
      </c>
      <c r="B11" t="s">
        <v>303</v>
      </c>
      <c r="C11" t="s">
        <v>1</v>
      </c>
      <c r="D11" t="str">
        <f>SUBSTITUTE(PROPER(A11),"_","")</f>
        <v>BackNo</v>
      </c>
      <c r="E11" t="str">
        <f t="shared" ref="E11" si="5">IFERROR(LEFT(B11, FIND("(",B11)-1),B11)</f>
        <v>varchar</v>
      </c>
      <c r="F11" s="7"/>
      <c r="G11" t="str">
        <f t="shared" ref="G11" si="6">IFERROR(MID(B11,FIND("(",B11) +1, FIND(")",B11) - FIND("(",B11) - 1),"")</f>
        <v>50</v>
      </c>
      <c r="H11" t="str">
        <f>+VLOOKUP(E11,'Data Type Mapping'!A:B,2,)</f>
        <v>string</v>
      </c>
      <c r="I11" t="str">
        <f t="shared" ref="I11" si="7">IF(H11="string",REPT(CHAR(9),2)&amp;"public const int Max"&amp;D11&amp;"Length = "&amp;G11&amp;";"&amp;$E$3,"" )</f>
        <v xml:space="preserve">		public const int MaxBackNoLength = 50;
</v>
      </c>
      <c r="J11" t="str">
        <f t="shared" ref="J11" si="8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[StringLength(MaxBackNoLength)]
		public virtual string BackNo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[Index(nameof(BackNo), Name="IX_MstLgwUnpackingPart_BackNo")]</v>
      </c>
      <c r="M11" t="str">
        <f>REPT(CHAR(9),2)&amp;"public virtual "&amp;IF(OR(H11="DateTime",H11="TimeSpan"),H11&amp;"?",H11)&amp;IF(C11="?","? "," ")&amp;D11&amp;" { get; set; }" &amp; "
"</f>
        <v xml:space="preserve">		public virtual string BackNo { get; set; }
</v>
      </c>
      <c r="N11" t="str">
        <f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[StringLength(MstLgwUnpackingPartConsts.MaxBackNoLength)]
		public virtual string BackNo { get; set; }
</v>
      </c>
      <c r="O11" t="str">
        <f>IF(OR(H11="string",H11="DateTime",H11="int"),REPT(CHAR(9),2)&amp;"public virtual "&amp;IF(OR(H11="DateTime",H11="TimeSpan"),H11&amp;"?",H11)&amp;IF(C11="?","? "," ")&amp;D11&amp;" { get; set; }"&amp;$E$3,"")</f>
        <v xml:space="preserve">		public virtual string BackNo { get; set; }
</v>
      </c>
      <c r="P11" t="str">
        <f t="shared" ref="P11" si="9">REPT(CHAR(9),7)&amp;D11&amp;" = o." &amp;D11 &amp;","</f>
        <v xml:space="preserve">							BackNo = o.BackNo,</v>
      </c>
      <c r="T11" s="69" t="str">
        <f>REPT(CHAR(9),8)&amp;"("""&amp;D11&amp;"""),"</f>
        <v xml:space="preserve">								("BackNo"),</v>
      </c>
      <c r="V11" s="70" t="str">
        <f>REPT(CHAR(9),8)&amp;"_ =&gt; _."&amp;D11&amp;","</f>
        <v xml:space="preserve">								_ =&gt; _.BackNo,</v>
      </c>
      <c r="W11" s="69" t="str">
        <f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.WhereIf(!string.IsNullOrWhiteSpace(input.BackNo), e =&gt; e.BackNo.Contains(input.BackNo))</v>
      </c>
    </row>
    <row r="12" spans="1:23" customFormat="1" ht="22.5" customHeight="1" x14ac:dyDescent="0.25">
      <c r="A12" t="s">
        <v>307</v>
      </c>
      <c r="B12" t="s">
        <v>303</v>
      </c>
      <c r="C12" t="s">
        <v>1</v>
      </c>
      <c r="D12" t="str">
        <f>SUBSTITUTE(PROPER(A12),"_","")</f>
        <v>PartNo</v>
      </c>
      <c r="E12" t="str">
        <f t="shared" ref="E12:E14" si="10">IFERROR(LEFT(B12, FIND("(",B12)-1),B12)</f>
        <v>varchar</v>
      </c>
      <c r="F12" s="7"/>
      <c r="G12" t="str">
        <f t="shared" ref="G12:G14" si="11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4" si="12">IF(H12="string",REPT(CHAR(9),2)&amp;"public const int Max"&amp;D12&amp;"Length = "&amp;G12&amp;";"&amp;$E$3,"" )</f>
        <v xml:space="preserve">		public const int MaxPartNoLength = 50;
</v>
      </c>
      <c r="J12" t="str">
        <f t="shared" ref="J12:J14" si="1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[StringLength(MaxPartNoLength)]
		public virtual string PartNo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[Index(nameof(PartNo), Name="IX_MstLgwUnpackingPart_PartNo")]</v>
      </c>
      <c r="M12" t="str">
        <f>REPT(CHAR(9),2)&amp;"public virtual "&amp;IF(OR(H12="DateTime",H12="TimeSpan"),H12&amp;"?",H12)&amp;IF(C12="?","? "," ")&amp;D12&amp;" { get; set; }" &amp; "
"</f>
        <v xml:space="preserve">		public virtual string PartNo { get; set; }
</v>
      </c>
      <c r="N12" t="str">
        <f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[StringLength(MstLgwUnpackingPartConsts.MaxPartNoLength)]
		public virtual string PartNo { get; set; }
</v>
      </c>
      <c r="O12" t="str">
        <f>IF(OR(H12="string",H12="DateTime",H12="int"),REPT(CHAR(9),2)&amp;"public virtual "&amp;IF(OR(H12="DateTime",H12="TimeSpan"),H12&amp;"?",H12)&amp;IF(C12="?","? "," ")&amp;D12&amp;" { get; set; }"&amp;$E$3,"")</f>
        <v xml:space="preserve">		public virtual string PartNo { get; set; }
</v>
      </c>
      <c r="P12" t="str">
        <f t="shared" ref="P12:P14" si="14">REPT(CHAR(9),7)&amp;D12&amp;" = o." &amp;D12 &amp;","</f>
        <v xml:space="preserve">							PartNo = o.PartNo,</v>
      </c>
      <c r="T12" s="69" t="str">
        <f>REPT(CHAR(9),8)&amp;"("""&amp;D12&amp;"""),"</f>
        <v xml:space="preserve">								("PartNo"),</v>
      </c>
      <c r="V12" s="70" t="str">
        <f>REPT(CHAR(9),8)&amp;"_ =&gt; _."&amp;D12&amp;","</f>
        <v xml:space="preserve">								_ =&gt; _.PartNo,</v>
      </c>
      <c r="W12" s="69" t="str">
        <f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.WhereIf(!string.IsNullOrWhiteSpace(input.PartNo), e =&gt; e.PartNo.Contains(input.PartNo))</v>
      </c>
    </row>
    <row r="13" spans="1:23" customFormat="1" ht="21" customHeight="1" x14ac:dyDescent="0.25">
      <c r="A13" t="s">
        <v>308</v>
      </c>
      <c r="B13" t="s">
        <v>313</v>
      </c>
      <c r="C13" t="s">
        <v>1</v>
      </c>
      <c r="D13" t="str">
        <f t="shared" ref="D13:D14" si="15">SUBSTITUTE(PROPER(A13),"_","")</f>
        <v>PartName</v>
      </c>
      <c r="E13" t="str">
        <f t="shared" si="10"/>
        <v>varchar</v>
      </c>
      <c r="F13" s="7"/>
      <c r="G13" t="str">
        <f t="shared" si="11"/>
        <v>255</v>
      </c>
      <c r="H13" t="str">
        <f>+VLOOKUP(E13,'Data Type Mapping'!A:B,2,)</f>
        <v>string</v>
      </c>
      <c r="I13" t="str">
        <f t="shared" si="12"/>
        <v xml:space="preserve">		public const int MaxPartNameLength = 255;
</v>
      </c>
      <c r="J13" t="str">
        <f t="shared" si="13"/>
        <v xml:space="preserve">		[StringLength(MaxPartNameLength)]
		public virtual string PartName { get; set; }
</v>
      </c>
      <c r="K13" s="7"/>
      <c r="L13" t="str">
        <f t="shared" ref="L13:L14" si="16">IF(K13="","",REPT(CHAR(9),1)&amp;"[Index(nameof("&amp;IF(D13="","",""&amp;D13)&amp;")"&amp;", Name="&amp;"""IX_"&amp;$B$7&amp;"_"&amp;D13&amp;""")]")</f>
        <v/>
      </c>
      <c r="M13" t="str">
        <f t="shared" ref="M13:M14" si="17">REPT(CHAR(9),2)&amp;"public virtual "&amp;IF(OR(H13="DateTime",H13="TimeSpan"),H13&amp;"?",H13)&amp;IF(C13="?","? "," ")&amp;D13&amp;" { get; set; }" &amp; "
"</f>
        <v xml:space="preserve">		public virtual string PartName { get; set; }
</v>
      </c>
      <c r="N13" t="str">
        <f t="shared" ref="N13:N14" si="18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[StringLength(MstLgwUnpackingPartConsts.MaxPartNameLength)]
		public virtual string PartName { get; set; }
</v>
      </c>
      <c r="O13" t="str">
        <f t="shared" ref="O13:O14" si="19">IF(OR(H13="string",H13="DateTime",H13="int"),REPT(CHAR(9),2)&amp;"public virtual "&amp;IF(OR(H13="DateTime",H13="TimeSpan"),H13&amp;"?",H13)&amp;IF(C13="?","? "," ")&amp;D13&amp;" { get; set; }"&amp;$E$3,"")</f>
        <v xml:space="preserve">		public virtual string PartName { get; set; }
</v>
      </c>
      <c r="P13" t="str">
        <f t="shared" si="14"/>
        <v xml:space="preserve">							PartName = o.PartName,</v>
      </c>
      <c r="T13" s="69" t="str">
        <f t="shared" ref="T13:T14" si="20">REPT(CHAR(9),8)&amp;"("""&amp;D13&amp;"""),"</f>
        <v xml:space="preserve">								("PartName"),</v>
      </c>
      <c r="V13" s="70" t="str">
        <f t="shared" ref="V13:V14" si="21">REPT(CHAR(9),8)&amp;"_ =&gt; _."&amp;D13&amp;","</f>
        <v xml:space="preserve">								_ =&gt; _.PartName,</v>
      </c>
      <c r="W13" s="69" t="str">
        <f t="shared" ref="W13:W14" si="22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.WhereIf(!string.IsNullOrWhiteSpace(input.PartName), e =&gt; e.PartName.Contains(input.PartName))</v>
      </c>
    </row>
    <row r="14" spans="1:23" customFormat="1" ht="18.75" customHeight="1" x14ac:dyDescent="0.25">
      <c r="A14" t="s">
        <v>310</v>
      </c>
      <c r="B14" t="s">
        <v>303</v>
      </c>
      <c r="C14" t="s">
        <v>1</v>
      </c>
      <c r="D14" t="str">
        <f t="shared" si="15"/>
        <v>ModuleCode</v>
      </c>
      <c r="E14" t="str">
        <f t="shared" si="10"/>
        <v>varchar</v>
      </c>
      <c r="F14" s="7"/>
      <c r="G14" t="str">
        <f t="shared" si="11"/>
        <v>50</v>
      </c>
      <c r="H14" t="str">
        <f>+VLOOKUP(E14,'Data Type Mapping'!A:B,2,)</f>
        <v>string</v>
      </c>
      <c r="I14" t="str">
        <f t="shared" si="12"/>
        <v xml:space="preserve">		public const int MaxModuleCodeLength = 50;
</v>
      </c>
      <c r="J14" t="str">
        <f t="shared" si="13"/>
        <v xml:space="preserve">		[StringLength(MaxModuleCodeLength)]
		public virtual string ModuleCode { get; set; }
</v>
      </c>
      <c r="K14" s="7"/>
      <c r="L14" t="str">
        <f t="shared" si="16"/>
        <v/>
      </c>
      <c r="M14" t="str">
        <f t="shared" si="17"/>
        <v xml:space="preserve">		public virtual string ModuleCode { get; set; }
</v>
      </c>
      <c r="N14" t="str">
        <f t="shared" si="18"/>
        <v xml:space="preserve">		[StringLength(MstLgwUnpackingPartConsts.MaxModuleCodeLength)]
		public virtual string ModuleCode { get; set; }
</v>
      </c>
      <c r="O14" t="str">
        <f t="shared" si="19"/>
        <v xml:space="preserve">		public virtual string ModuleCode { get; set; }
</v>
      </c>
      <c r="P14" t="str">
        <f t="shared" si="14"/>
        <v xml:space="preserve">							ModuleCode = o.ModuleCode,</v>
      </c>
      <c r="T14" s="69" t="str">
        <f t="shared" si="20"/>
        <v xml:space="preserve">								("ModuleCode"),</v>
      </c>
      <c r="V14" s="70" t="str">
        <f t="shared" si="21"/>
        <v xml:space="preserve">								_ =&gt; _.ModuleCode,</v>
      </c>
      <c r="W14" s="69" t="str">
        <f t="shared" si="22"/>
        <v xml:space="preserve">				.WhereIf(!string.IsNullOrWhiteSpace(input.ModuleCode), e =&gt; e.ModuleCode.Contains(input.ModuleCode))</v>
      </c>
    </row>
    <row r="15" spans="1:23" customFormat="1" ht="21" customHeight="1" x14ac:dyDescent="0.25">
      <c r="A15" t="s">
        <v>301</v>
      </c>
      <c r="B15" t="s">
        <v>302</v>
      </c>
      <c r="C15" t="s">
        <v>1</v>
      </c>
      <c r="D15" t="str">
        <f t="shared" ref="D15" si="23">SUBSTITUTE(PROPER(A15),"_","")</f>
        <v>IsActive</v>
      </c>
      <c r="E15" t="str">
        <f t="shared" ref="E15" si="24">IFERROR(LEFT(B15, FIND("(",B15)-1),B15)</f>
        <v>varchar</v>
      </c>
      <c r="F15" s="7"/>
      <c r="G15" t="str">
        <f t="shared" ref="G15" si="25">IFERROR(MID(B15,FIND("(",B15) +1, FIND(")",B15) - FIND("(",B15) - 1),"")</f>
        <v>1</v>
      </c>
      <c r="H15" t="str">
        <f>+VLOOKUP(E15,'Data Type Mapping'!A:B,2,)</f>
        <v>string</v>
      </c>
      <c r="I15" t="str">
        <f t="shared" ref="I15" si="26">IF(H15="string",REPT(CHAR(9),2)&amp;"public const int Max"&amp;D15&amp;"Length = "&amp;G15&amp;";"&amp;$E$3,"" )</f>
        <v xml:space="preserve">		public const int MaxIsActiveLength = 1;
</v>
      </c>
      <c r="J15" t="str">
        <f t="shared" ref="J15" si="2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[StringLength(MaxIsActiveLength)]
		public virtual string IsActive { get; set; }
</v>
      </c>
      <c r="K15" s="7" t="s">
        <v>206</v>
      </c>
      <c r="L15" t="str">
        <f t="shared" ref="L15" si="28">IF(K15="","",REPT(CHAR(9),1)&amp;"[Index(nameof("&amp;IF(D15="","",""&amp;D15)&amp;")"&amp;", Name="&amp;"""IX_"&amp;$B$7&amp;"_"&amp;D15&amp;""")]")</f>
        <v xml:space="preserve">	[Index(nameof(IsActive), Name="IX_MstLgwUnpackingPart_IsActive")]</v>
      </c>
      <c r="M15" t="str">
        <f t="shared" ref="M15" si="29">REPT(CHAR(9),2)&amp;"public virtual "&amp;IF(OR(H15="DateTime",H15="TimeSpan"),H15&amp;"?",H15)&amp;IF(C15="?","? "," ")&amp;D15&amp;" { get; set; }" &amp; "
"</f>
        <v xml:space="preserve">		public virtual string IsActive { get; set; }
</v>
      </c>
      <c r="N15" t="str">
        <f t="shared" ref="N15" si="3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[StringLength(MstLgwUnpackingPartConsts.MaxIsActiveLength)]
		public virtual string IsActive { get; set; }
</v>
      </c>
      <c r="O15" t="str">
        <f t="shared" ref="O15" si="31">IF(OR(H15="string",H15="DateTime",H15="int"),REPT(CHAR(9),2)&amp;"public virtual "&amp;IF(OR(H15="DateTime",H15="TimeSpan"),H15&amp;"?",H15)&amp;IF(C15="?","? "," ")&amp;D15&amp;" { get; set; }"&amp;$E$3,"")</f>
        <v xml:space="preserve">		public virtual string IsActive { get; set; }
</v>
      </c>
      <c r="P15" t="str">
        <f t="shared" ref="P15" si="32">REPT(CHAR(9),7)&amp;D15&amp;" = o." &amp;D15 &amp;","</f>
        <v xml:space="preserve">							IsActive = o.IsActive,</v>
      </c>
      <c r="T15" s="69" t="str">
        <f t="shared" ref="T15" si="33">REPT(CHAR(9),8)&amp;"("""&amp;D15&amp;"""),"</f>
        <v xml:space="preserve">								("IsActive"),</v>
      </c>
      <c r="V15" s="70" t="str">
        <f t="shared" ref="V15" si="34">REPT(CHAR(9),8)&amp;"_ =&gt; _."&amp;D15&amp;","</f>
        <v xml:space="preserve">								_ =&gt; _.IsActive,</v>
      </c>
      <c r="W15" s="69" t="str">
        <f t="shared" ref="W15" si="3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.WhereIf(!string.IsNullOrWhiteSpace(input.IsActive), e =&gt; e.IsActive.Contains(input.IsActive))</v>
      </c>
    </row>
    <row r="17" spans="8:23" ht="45.75" customHeight="1" x14ac:dyDescent="0.25">
      <c r="H17" s="12"/>
      <c r="I17" s="34" t="str">
        <f ca="1">TEXTJOIN2("
", TRUE,INDIRECT( $H$1):INDIRECT( $H$3))</f>
        <v xml:space="preserve">		public const int MaxCfcLength = 50;
		public const int MaxModelLength = 50;
		public const int MaxBackNoLength = 50;
		public const int MaxPartNoLength = 50;
		public const int MaxPartNameLength = 255;
		public const int MaxModuleCodeLength = 50;
		public const int MaxIsActiveLength = 1;
</v>
      </c>
      <c r="J17" s="33" t="str">
        <f ca="1">TEXTJOIN2("
", TRUE,INDIRECT( $F$1):INDIRECT( $F$3))</f>
        <v xml:space="preserve">		[StringLength(MaxCfcLength)]
		public virtual string Cfc { get; set; }
		[StringLength(MaxModelLength)]
		public virtual string Model { get; set; }
		[StringLength(MaxBackNoLength)]
		public virtual string BackNo { get; set; }
		[StringLength(MaxPartNoLength)]
		public virtual string PartNo { get; set; }
		[StringLength(MaxPartNameLength)]
		public virtual string PartName { get; set; }
		[StringLength(MaxModuleCodeLength)]
		public virtual string ModuleCode { get; set; }
		[StringLength(MaxIsActiveLength)]
		public virtual string IsActive { get; set; }
</v>
      </c>
      <c r="K17" s="35" t="str">
        <f ca="1">TEXTJOIN2("
", TRUE,INDIRECT( $J$1):INDIRECT( $J$3))</f>
        <v xml:space="preserve">	[Index(nameof(BackNo), Name="IX_MstLgwUnpackingPart_BackNo")]
	[Index(nameof(PartNo), Name="IX_MstLgwUnpackingPart_PartNo")]
	[Index(nameof(IsActive), Name="IX_MstLgwUnpackingPart_IsActive")]</v>
      </c>
      <c r="L17" s="13" t="s">
        <v>60</v>
      </c>
      <c r="M17" s="36" t="str">
        <f ca="1">TEXTJOIN2("
",TRUE,INDIRECT( $L$1):INDIRECT($L$3))</f>
        <v xml:space="preserve">		public virtual string Cfc { get; set; }
		public virtual string Model { get; set; }
		public virtual string BackNo { get; set; }
		public virtual string PartNo { get; set; }
		public virtual string PartName { get; set; }
		public virtual string ModuleCode { get; set; }
		public virtual string IsActive { get; set; }
</v>
      </c>
      <c r="N17" s="33" t="str">
        <f ca="1">TEXTJOIN2("
",TRUE,INDIRECT( $M$1):INDIRECT($M$3))</f>
        <v xml:space="preserve">		[StringLength(MstLgwUnpackingPartConsts.MaxCfcLength)]
		public virtual string Cfc { get; set; }
		[StringLength(MstLgwUnpackingPartConsts.MaxModelLength)]
		public virtual string Model { get; set; }
		[StringLength(MstLgwUnpackingPartConsts.MaxBackNoLength)]
		public virtual string BackNo { get; set; }
		[StringLength(MstLgwUnpackingPartConsts.MaxPartNoLength)]
		public virtual string PartNo { get; set; }
		[StringLength(MstLgwUnpackingPartConsts.MaxPartNameLength)]
		public virtual string PartName { get; set; }
		[StringLength(MstLgwUnpackingPartConsts.MaxModuleCodeLength)]
		public virtual string ModuleCode { get; set; }
		[StringLength(MstLgwUnpackingPartConsts.MaxIsActiveLength)]
		public virtual string IsActive { get; set; }
</v>
      </c>
      <c r="O17" s="33" t="str">
        <f ca="1">TEXTJOIN2("
",TRUE,INDIRECT( $N$1):INDIRECT($N$3))</f>
        <v xml:space="preserve">		public virtual string Cfc { get; set; }
		public virtual string Model { get; set; }
		public virtual string BackNo { get; set; }
		public virtual string PartNo { get; set; }
		public virtual string PartName { get; set; }
		public virtual string ModuleCode { get; set; }
		public virtual string IsActive { get; set; }
</v>
      </c>
      <c r="P17" s="9" t="str">
        <f ca="1">TEXTJOIN2("
",TRUE,INDIRECT( $O$1):INDIRECT($O$3))</f>
        <v xml:space="preserve">							Cfc = o.Cfc,
							Model = o.Model,
							BackNo = o.BackNo,
							PartNo = o.PartNo,
							PartName = o.PartName,
							ModuleCode = o.ModuleCode,
							IsActive = o.IsActive,</v>
      </c>
      <c r="T17" s="9" t="str">
        <f ca="1">TEXTJOIN2("
",TRUE,INDIRECT( $T$2):INDIRECT($T$3))</f>
        <v xml:space="preserve">								("Cfc"),
								("Model"),
								("BackNo"),
								("PartNo"),
								("PartName"),
								("ModuleCode"),
								("IsActive"),</v>
      </c>
      <c r="V17" s="9" t="str">
        <f ca="1">TEXTJOIN2("
",TRUE,INDIRECT( $V$2):INDIRECT($V$3))</f>
        <v xml:space="preserve">								_ =&gt; _.Cfc,
								_ =&gt; _.Model,
								_ =&gt; _.BackNo,
								_ =&gt; _.PartNo,
								_ =&gt; _.PartName,
								_ =&gt; _.ModuleCode,
								_ =&gt; _.IsActive,</v>
      </c>
      <c r="W17" s="9" t="str">
        <f ca="1">TEXTJOIN2("
",TRUE,INDIRECT( $W$2):INDIRECT($W$3))</f>
        <v xml:space="preserve">				.WhereIf(!string.IsNullOrWhiteSpace(input.Cfc), e =&gt; e.Cfc.Contains(input.Cfc))
				.WhereIf(!string.IsNullOrWhiteSpace(input.Model), e =&gt; e.Model.Contains(input.Model))
				.WhereIf(!string.IsNullOrWhiteSpace(input.BackNo), e =&gt; e.BackNo.Contains(input.BackNo))
				.WhereIf(!string.IsNullOrWhiteSpace(input.PartNo), e =&gt; e.PartNo.Contains(input.PartNo))
				.WhereIf(!string.IsNullOrWhiteSpace(input.PartName), e =&gt; e.PartName.Contains(input.PartName))
				.WhereIf(!string.IsNullOrWhiteSpace(input.ModuleCode), e =&gt; e.ModuleCode.Contains(input.ModuleCode))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workbookViewId="0">
      <selection activeCell="B2" sqref="B2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314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MstLgwUnpackingPart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UnpackingPart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unpackingpart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MstLgwUnpackingPartDto, MstLgwUnpackingPartServiceProxy } from '@shared/service-proxies/service-proxies';
import { finalize } from 'rxjs/internal/operators/finalize';
import { CreateOrEditUnpackingPartModalComponent } from './create-or-edit-unpackingpart-modal.component';
import { DatePipe } from '@angular/common';
import { FileDownloadService } from '@shared/utils/file-download.service';
import ceil from 'lodash-es/ceil';
import { Paginator } from 'primeng/paginator';
@Component({
    templateUrl: './unpackingpart.component.html',
    styleUrls: ['./unpackingpart.component.less'],
})
export class UnpackingPartComponent extends AppComponentBase implements OnInit {
    @ViewChild('createOrEditModalUnpackingPart', { static: true }) createOrEditModalUnpackingPart:| CreateOrEditUnpackingPartModalComponent|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MstLgwUnpackingPartDto = new MstLgwUnpackingPartDto();
    saveSelectedRow: MstLgwUnpackingPartDto = new MstLgwUnpackingPartDto();
    datas: MstLgwUnpackingPartDto = new MstLgwUnpackingPartDto();
    isLoading: boolean = false;
    dataParams: GridParams | undefined;
    rowData: any[] = [];
    gridApi!: GridApi;
    rowSelection = 'multiple';
    filter: string = '';
	pipe = new DatePipe('en-US');
	frameworkComponents: FrameworkComponent;
    cfc : string = '' ; 
	model : string = '' ; 
	backNo : string = '' ; 
	partNo : string = '' ; 
	partName : string = '' ; 
	moduleCode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MstLgwUnpackingPartServiceProxy,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this.l('Cfc'),headerTooltip: this.l('Cfc'),field: 'cfc',flex: 1},
			{headerName: this.l('Model'),headerTooltip: this.l('Model'),field: 'model',flex: 1},
			{headerName: this.l('Back No'),headerTooltip: this.l('Back No'),field: 'backNo',flex: 1},
			{headerName: this.l('Part No'),headerTooltip: this.l('Part No'),field: 'partNo',flex: 1},
			{headerName: this.l('Part Name'),headerTooltip: this.l('Part Name'),field: 'partName',flex: 1},
			{headerName: this.l('Module Code'),headerTooltip: this.l('Module Code'),field: 'moduleCode',flex: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this.cfc,
			this.model,
			this.backNo,
			this.partNo,
			this.partName,
			this.moduleCode,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this.cfc = '',
		this.model = '',
		this.backNo = '',
		this.partNo = '',
		this.partName = '',
		this.moduleCode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this.cfc,
			this.model,
			this.backNo,
			this.partNo,
			this.partName,
			this.moduleCode,
			this.isActive,
			'',
            this.paginationParams.skipCount,
            this.paginationParams.pageSize
        );
    }
    onChangeRowSelection(params: { api: { getSelectedRows: () =&gt; MstLgwUnpackingPartDto[] } }) {
        this.saveSelectedRow = params.api.getSelectedRows()[0] ?? new MstLgwUnpackingPartDto();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MstLgwUnpackingPartDto):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this._service.getUnpackingPartToExcel(
			this.cfc,
			this.model,
			this.backNo,
			this.partNo,
			this.partName,
			this.moduleCode,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Unpacking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[(ngModel)]='moduleCode' name='moduleCode'
									class='form-control' [placeholder]="l('Module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(click)="createOrEditModalUnpackingPart.show()"&gt;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(click)="createOrEditModalUnpackingPart.show(selectedRow)"&gt;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&lt;create-or-edit-unpackingpart-modal
    #createOrEditModalUnpackingPart
    (modalSave)="callBackDataGrid(dataParams)"
    (modalClose)="onChangeRowSelection(dataParams)"
&gt;
&lt;/create-or-edit-unpackingpart-modal&gt;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#createOrEditModalUnpackingPart="bs-modal"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UnpackingPart')}}&lt;/h3&gt;
                    &lt;h3 *ngIf="!rowdata.id"&gt;{{('Create New UnpackingPart')}}&lt;/h3&gt;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title'&gt;Module Code&lt;/label&gt;
						&lt;input type='text' class='col-md-10 form-control input-text' name='ModuleCode' [(ngModel)]='rowdata.moduleCode'&gt;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CreateOrEditMstLgwUnpackingPartDto, MstLgwUnpackingPartServiceProxy } from '@shared/service-proxies/service-proxies';
import { BsDatepickerDirective } from 'ngx-bootstrap/datepicker';
@Component({
    selector: 'create-or-edit-unpackingpart-modal',
    templateUrl: './create-or-edit-unpackingpart-modal.component.html',
    styleUrls: ['./create-or-edit-unpackingpart-modal.component.less']
    })
export class CreateOrEditUnpackingPartModalComponent extends AppComponentBase {
    @ViewChild('createOrEditModalUnpackingPart',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CreateOrEditMstLgwUnpackingPartDto = new CreateOrEditMstLgwUnpackingPartDto();
    active: boolean = false;
    saving: boolean = false;
    _isActive: boolean;
    constructor(
        injector: Injector,
        private _mstwptUnpackingPartService: MstLgwUnpackingPartServiceProxy,
    ) 
    {
        super(injector);
    }
    show(rowdata?: CreateOrEditMstLgwUnpackingPartDto): void {
        if (!rowdata) this.rowdata = new CreateOrEditMstLgwUnpackingPartDto();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this._mstwptUnpackingPartService.createOrEdit(this.rowdata)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UnpackingPartRoutingModule } from './unpackingpart-routing.module';
import { UnpackingPartComponent } from './unpackingpart.component';
import { CreateOrEditUnpackingPartModalComponent } from './create-or-edit-unpackingpart-modal.component';
@NgModule({
    declarations: [
       UnpackingPartComponent, 
        CreateOrEditUnpackingPartModalComponent
    ],
    imports: [
        AppSharedModule, UnpackingPartRoutingModule]
})
export class UnpackingPartModule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UnpackingPartComponent } from './unpackingpart.component';
const routes: Routes = [{
    path: '',
    component: UnpackingPartComponent,
    pathMatch: 'full'
}];
@NgModule({
    imports: [RouterModule.forChild(routes)],
    exports: [RouterModule],
})
export class UnpackingPartRoutingModule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AppMenuItem("UnpackingPart", "Pages.Master.LogW.UnpackingPart", "flaticon-book",   "/app/main/master/logw/unpackingpart"),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'master/logw/unpackingpart',
    loadChildren: () =&gt; import('./master/logw/unpackingpart/unpackingpart.module').then(m =&gt; m.UnpackingPartModule),
    data: { permission: 'Pages.Master.LogW.UnpackingPart' }
},</v>
      </c>
      <c r="R10" s="50" t="str">
        <f>SUBSTITUTE(R9,"MstWptCalendar",$B$6)</f>
        <v>ApiServiceProxies.MstLgwUnpackingPartServiceProxy,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H21</v>
      </c>
      <c r="I12" s="31" t="str">
        <f>"I"&amp;COUNTA($A:$A)</f>
        <v>I21</v>
      </c>
      <c r="J12" s="31"/>
      <c r="K12" s="31" t="str">
        <f>"K"&amp;COUNTA($A:$A)</f>
        <v>K21</v>
      </c>
      <c r="L12" s="31" t="str">
        <f>"L"&amp;COUNTA($A:$A)</f>
        <v>L21</v>
      </c>
      <c r="M12" s="31"/>
      <c r="N12" s="31"/>
      <c r="O12" s="31"/>
      <c r="P12" s="31"/>
      <c r="Q12" s="31"/>
      <c r="R12" s="31"/>
      <c r="S12" s="31" t="str">
        <f>"S"&amp;COUNTA($A:$A)</f>
        <v>S21</v>
      </c>
      <c r="T12" s="31" t="str">
        <f>"T"&amp;COUNTA($A:$A)</f>
        <v>T21</v>
      </c>
      <c r="U12" s="31" t="str">
        <f>"U"&amp;COUNTA($A:$A)</f>
        <v>U21</v>
      </c>
      <c r="V12" s="31" t="str">
        <f>"V"&amp;COUNTA($A:$A)</f>
        <v>V21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this.l('Cfc'),headerTooltip: this.l('Cfc'),field: 'cfc',flex: 1},
			{headerName: this.l('Model'),headerTooltip: this.l('Model'),field: 'model',flex: 1},
			{headerName: this.l('Back No'),headerTooltip: this.l('Back No'),field: 'backNo',flex: 1},
			{headerName: this.l('Part No'),headerTooltip: this.l('Part No'),field: 'partNo',flex: 1},
			{headerName: this.l('Part Name'),headerTooltip: this.l('Part Name'),field: 'partName',flex: 1},
			{headerName: this.l('Module Code'),headerTooltip: this.l('Module Code'),field: 'moduleCode',flex: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[(ngModel)]='moduleCode' name='moduleCode'
									class='form-control' [placeholder]="l('Module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title'&gt;Module Code&lt;/label&gt;
						&lt;input type='text' class='col-md-10 form-control input-text' name='ModuleCode' [(ngModel)]='rowdata.moduleCode'&gt;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cfc : string = '' ; 
	model : string = '' ; 
	backNo : string = '' ; 
	partNo : string = '' ; 
	partName : string = '' ; 
	moduleCode : string = '' ; 
	isActive : string = '' ; </v>
      </c>
      <c r="T13" s="68" t="str">
        <f ca="1">TEXTJOIN2("
",TRUE,INDIRECT(T11):INDIRECT(T12))</f>
        <v xml:space="preserve">			this.cfc,
			this.model,
			this.backNo,
			this.partNo,
			this.partName,
			this.moduleCode,
			this.isActive,</v>
      </c>
      <c r="U13" s="68" t="str">
        <f ca="1">TEXTJOIN2("
",TRUE,INDIRECT(U11):INDIRECT(U12))</f>
        <v>this.cfc = '',
		this.model = '',
		this.backNo = '',
		this.partNo = '',
		this.partName = '',
		this.moduleCode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unpackingpart.component.ts</v>
      </c>
      <c r="I14" s="40" t="str">
        <f>B8&amp;".component.html"</f>
        <v>unpackingpart.component.html</v>
      </c>
      <c r="J14" s="39" t="str">
        <f>B8&amp;".component.less"</f>
        <v>unpackingpart.component.less</v>
      </c>
      <c r="K14" s="40" t="str">
        <f>"create-or-edit-"&amp;B8&amp;"-modal.component.html"</f>
        <v>create-or-edit-unpackingpart-modal.component.html</v>
      </c>
      <c r="L14" s="40" t="str">
        <f>"create-or-edit-"&amp;B8&amp;"-modal.component.ts"</f>
        <v>create-or-edit-unpackingpart-modal.component.ts</v>
      </c>
      <c r="M14" s="40" t="str">
        <f>"create-or-edit-"&amp;B8&amp;"-modal.component.less"</f>
        <v>create-or-edit-unpackingpart-modal.component.less</v>
      </c>
      <c r="N14" s="40" t="str">
        <f>B8&amp;".module.ts"</f>
        <v>unpackingpart.module.ts</v>
      </c>
      <c r="O14" s="40" t="str">
        <f>B8&amp;"-routing.module.ts"</f>
        <v>unpackingpart-routing.module.ts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305</v>
      </c>
      <c r="B15" s="31" t="str">
        <f>SUBSTITUTE(PROPER(A15),"_","")</f>
        <v>Cfc</v>
      </c>
      <c r="C15" s="31" t="str">
        <f>SUBSTITUTE(PROPER(A15),"_"," ")</f>
        <v>Cfc</v>
      </c>
      <c r="D15" s="31" t="str">
        <f>LOWER(LEFT(B15,1))&amp;RIGHT(B15,LEN(B15) - 1)</f>
        <v>cfc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this.l('Cfc'),headerTooltip: this.l('Cfc'),field: 'cfc',flex: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cfc : string = '' ; </v>
      </c>
      <c r="T15" s="31" t="str">
        <f>REPT(CHAR(9),3)&amp;"this."&amp;D15&amp;","</f>
        <v xml:space="preserve">			this.cfc,</v>
      </c>
      <c r="U15" s="31" t="str">
        <f>IF(E15="int","this."&amp;D15&amp;" = 0,","this."&amp;D15&amp;" = '',")</f>
        <v>this.cfc = '',</v>
      </c>
      <c r="V15" s="31" t="str">
        <f>IF(AND(E15="string",F15="1"),D15,"")</f>
        <v/>
      </c>
    </row>
    <row r="16" spans="1:22" ht="15" customHeight="1" x14ac:dyDescent="0.25">
      <c r="A16" s="44" t="s">
        <v>304</v>
      </c>
      <c r="B16" s="31" t="str">
        <f t="shared" ref="B16:B17" si="0">SUBSTITUTE(PROPER(A16),"_","")</f>
        <v>Model</v>
      </c>
      <c r="C16" s="31" t="str">
        <f t="shared" ref="C16:C17" si="1">SUBSTITUTE(PROPER(A16),"_"," ")</f>
        <v>Model</v>
      </c>
      <c r="D16" s="31" t="str">
        <f t="shared" ref="D16:D17" si="2">LOWER(LEFT(B16,1))&amp;RIGHT(B16,LEN(B16) - 1)</f>
        <v>model</v>
      </c>
      <c r="E16" s="31" t="str">
        <f>A.Backend!H10</f>
        <v>string</v>
      </c>
      <c r="F16" s="31" t="str">
        <f>A.Backend!G10</f>
        <v>50</v>
      </c>
      <c r="G16" s="31" t="str">
        <f t="shared" ref="G16:G20" si="3">IF(E16="string"," : string = '' ; ",IF(OR(E16="DateTime",E16="TimeSpan")," : any ;",IF(E16="int"," : number = 0 ;","")))</f>
        <v xml:space="preserve"> : string = '' ; </v>
      </c>
      <c r="H16" s="38" t="str">
        <f t="shared" ref="H16:H20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this.l('Model'),headerTooltip: this.l('Model'),field: 'model',flex: 1},</v>
      </c>
      <c r="I16" s="38" t="str">
        <f t="shared" ref="I16:I20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6" s="31"/>
      <c r="K16" s="38" t="str">
        <f t="shared" ref="K16:K20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6" s="60" t="str">
        <f t="shared" ref="L16:L20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model : string = '' ; </v>
      </c>
      <c r="T16" s="31" t="str">
        <f>REPT(CHAR(9),3)&amp;"this."&amp;D16&amp;","</f>
        <v xml:space="preserve">			this.model,</v>
      </c>
      <c r="U16" s="31" t="str">
        <f>IF(E16="int",REPT(CHAR(9),2)&amp;"this."&amp;D16&amp;" = 0,",REPT(CHAR(9),2)&amp;"this."&amp;D16&amp;" = '',")</f>
        <v xml:space="preserve">		this.model = '',</v>
      </c>
      <c r="V16" s="31" t="str">
        <f t="shared" ref="V16:V20" si="8">IF(AND(E16="string",F16="1"),D16,"")</f>
        <v/>
      </c>
    </row>
    <row r="17" spans="1:22" ht="18" customHeight="1" x14ac:dyDescent="0.25">
      <c r="A17" s="44" t="s">
        <v>309</v>
      </c>
      <c r="B17" s="31" t="str">
        <f t="shared" si="0"/>
        <v>BackNo</v>
      </c>
      <c r="C17" s="31" t="str">
        <f t="shared" si="1"/>
        <v>Back No</v>
      </c>
      <c r="D17" s="31" t="str">
        <f t="shared" si="2"/>
        <v>backNo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this.l('Back No'),headerTooltip: this.l('Back No'),field: 'backNo',flex: 1},</v>
      </c>
      <c r="I17" s="38" t="str">
        <f t="shared" si="5"/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backNo : string = '' ; </v>
      </c>
      <c r="T17" s="31" t="str">
        <f t="shared" ref="T17:T20" si="10">REPT(CHAR(9),3)&amp;"this."&amp;D17&amp;","</f>
        <v xml:space="preserve">			this.backNo,</v>
      </c>
      <c r="U17" s="31" t="str">
        <f t="shared" ref="U17:U20" si="11">IF(E17="int",REPT(CHAR(9),2)&amp;"this."&amp;D17&amp;" = 0,",REPT(CHAR(9),2)&amp;"this."&amp;D17&amp;" = '',")</f>
        <v xml:space="preserve">		this.backNo = '',</v>
      </c>
      <c r="V17" s="31" t="str">
        <f t="shared" si="8"/>
        <v/>
      </c>
    </row>
    <row r="18" spans="1:22" ht="15" customHeight="1" x14ac:dyDescent="0.25">
      <c r="A18" s="44" t="s">
        <v>307</v>
      </c>
      <c r="B18" s="31" t="str">
        <f t="shared" ref="B18:B19" si="12">SUBSTITUTE(PROPER(A18),"_","")</f>
        <v>PartNo</v>
      </c>
      <c r="C18" s="31" t="str">
        <f t="shared" ref="C18:C19" si="13">SUBSTITUTE(PROPER(A18),"_"," ")</f>
        <v>Part No</v>
      </c>
      <c r="D18" s="31" t="str">
        <f t="shared" ref="D18:D19" si="14">LOWER(LEFT(B18,1))&amp;RIGHT(B18,LEN(B18) - 1)</f>
        <v>partNo</v>
      </c>
      <c r="E18" s="31" t="str">
        <f>A.Backend!H12</f>
        <v>string</v>
      </c>
      <c r="F18" s="31" t="str">
        <f>A.Backend!G12</f>
        <v>50</v>
      </c>
      <c r="G18" s="31" t="str">
        <f t="shared" ref="G18:G19" si="15">IF(E18="string"," : string = '' ; ",IF(OR(E18="DateTime",E18="TimeSpan")," : any ;",IF(E18="int"," : number = 0 ;","")))</f>
        <v xml:space="preserve"> : string = '' ; </v>
      </c>
      <c r="H18" s="38" t="str">
        <f t="shared" ref="H18:H19" si="16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this.l('Part No'),headerTooltip: this.l('Part No'),field: 'partNo',flex: 1},</v>
      </c>
      <c r="I18" s="38" t="str">
        <f t="shared" ref="I18:I19" si="17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8" s="31"/>
      <c r="K18" s="38" t="str">
        <f t="shared" ref="K18:K19" si="18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8" s="60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REPT(CHAR(9),1)&amp;D18&amp;G18</f>
        <v xml:space="preserve">	partNo : string = '' ; </v>
      </c>
      <c r="T18" s="31" t="str">
        <f>REPT(CHAR(9),3)&amp;"this."&amp;D18&amp;","</f>
        <v xml:space="preserve">			this.partNo,</v>
      </c>
      <c r="U18" s="31" t="str">
        <f>IF(E18="int",REPT(CHAR(9),2)&amp;"this."&amp;D18&amp;" = 0,",REPT(CHAR(9),2)&amp;"this."&amp;D18&amp;" = '',")</f>
        <v xml:space="preserve">		this.partNo = '',</v>
      </c>
      <c r="V18" s="31" t="str">
        <f t="shared" ref="V18:V19" si="20">IF(AND(E18="string",F18="1"),D18,"")</f>
        <v/>
      </c>
    </row>
    <row r="19" spans="1:22" ht="18" customHeight="1" x14ac:dyDescent="0.25">
      <c r="A19" s="44" t="s">
        <v>308</v>
      </c>
      <c r="B19" s="31" t="str">
        <f t="shared" si="12"/>
        <v>PartName</v>
      </c>
      <c r="C19" s="31" t="str">
        <f t="shared" si="13"/>
        <v>Part Name</v>
      </c>
      <c r="D19" s="31" t="str">
        <f t="shared" si="14"/>
        <v>partName</v>
      </c>
      <c r="E19" s="31" t="str">
        <f>A.Backend!H13</f>
        <v>string</v>
      </c>
      <c r="F19" s="31" t="str">
        <f>A.Backend!G13</f>
        <v>255</v>
      </c>
      <c r="G19" s="31" t="str">
        <f t="shared" si="15"/>
        <v xml:space="preserve"> : string = '' ; </v>
      </c>
      <c r="H19" s="38" t="str">
        <f t="shared" si="16"/>
        <v xml:space="preserve">			{headerName: this.l('Part Name'),headerTooltip: this.l('Part Name'),field: 'partName',flex: 1},</v>
      </c>
      <c r="I19" s="38" t="str">
        <f t="shared" si="17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9" s="31"/>
      <c r="K19" s="38" t="str">
        <f t="shared" si="18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9" s="60" t="str">
        <f t="shared" si="19"/>
        <v/>
      </c>
      <c r="M19" s="31"/>
      <c r="N19" s="31"/>
      <c r="O19" s="31"/>
      <c r="P19" s="31"/>
      <c r="Q19" s="31"/>
      <c r="R19" s="31"/>
      <c r="S19" s="31" t="str">
        <f t="shared" ref="S19" si="21">REPT(CHAR(9),1)&amp;D19&amp;G19</f>
        <v xml:space="preserve">	partName : string = '' ; </v>
      </c>
      <c r="T19" s="31" t="str">
        <f t="shared" ref="T19" si="22">REPT(CHAR(9),3)&amp;"this."&amp;D19&amp;","</f>
        <v xml:space="preserve">			this.partName,</v>
      </c>
      <c r="U19" s="31" t="str">
        <f t="shared" ref="U19" si="23">IF(E19="int",REPT(CHAR(9),2)&amp;"this."&amp;D19&amp;" = 0,",REPT(CHAR(9),2)&amp;"this."&amp;D19&amp;" = '',")</f>
        <v xml:space="preserve">		this.partName = '',</v>
      </c>
      <c r="V19" s="31" t="str">
        <f t="shared" si="20"/>
        <v/>
      </c>
    </row>
    <row r="20" spans="1:22" ht="18" customHeight="1" x14ac:dyDescent="0.25">
      <c r="A20" s="44" t="s">
        <v>310</v>
      </c>
      <c r="B20" s="31" t="str">
        <f>SUBSTITUTE(PROPER(A20),"_","")</f>
        <v>ModuleCode</v>
      </c>
      <c r="C20" s="31" t="str">
        <f>SUBSTITUTE(PROPER(A20),"_"," ")</f>
        <v>Module Code</v>
      </c>
      <c r="D20" s="31" t="str">
        <f>LOWER(LEFT(B20,1))&amp;RIGHT(B20,LEN(B20) - 1)</f>
        <v>moduleCode</v>
      </c>
      <c r="E20" s="31" t="str">
        <f>A.Backend!H14</f>
        <v>string</v>
      </c>
      <c r="F20" s="31" t="str">
        <f>A.Backend!G14</f>
        <v>50</v>
      </c>
      <c r="G20" s="31" t="str">
        <f t="shared" si="3"/>
        <v xml:space="preserve"> : string = '' ; </v>
      </c>
      <c r="H20" s="38" t="str">
        <f t="shared" si="4"/>
        <v xml:space="preserve">			{headerName: this.l('Module Code'),headerTooltip: this.l('Module Code'),field: 'moduleCode',flex: 1},</v>
      </c>
      <c r="I20" s="38" t="str">
        <f t="shared" si="5"/>
        <v xml:space="preserve">								&lt;div class='input-search'&gt;
									&lt;input [(ngModel)]='moduleCode' name='moduleCode'
									class='form-control' [placeholder]="l('Module Code')"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title'&gt;Module Code&lt;/label&gt;
						&lt;input type='text' class='col-md-10 form-control input-text' name='ModuleCode' [(ngModel)]='rowdata.moduleCode'&gt;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moduleCode : string = '' ; </v>
      </c>
      <c r="T20" s="31" t="str">
        <f t="shared" si="10"/>
        <v xml:space="preserve">			this.moduleCode,</v>
      </c>
      <c r="U20" s="31" t="str">
        <f t="shared" si="11"/>
        <v xml:space="preserve">		this.moduleCode = '',</v>
      </c>
      <c r="V20" s="31" t="str">
        <f t="shared" si="8"/>
        <v/>
      </c>
    </row>
    <row r="21" spans="1:22" ht="15" customHeight="1" x14ac:dyDescent="0.25">
      <c r="A21" s="44" t="s">
        <v>301</v>
      </c>
      <c r="B21" s="31" t="str">
        <f t="shared" ref="B21" si="24">SUBSTITUTE(PROPER(A21),"_","")</f>
        <v>IsActive</v>
      </c>
      <c r="C21" s="31" t="str">
        <f t="shared" ref="C21" si="25">SUBSTITUTE(PROPER(A21),"_"," ")</f>
        <v>Is Active</v>
      </c>
      <c r="D21" s="31" t="str">
        <f t="shared" ref="D21" si="26">LOWER(LEFT(B21,1))&amp;RIGHT(B21,LEN(B21) - 1)</f>
        <v>isActive</v>
      </c>
      <c r="E21" s="31" t="str">
        <f>A.Backend!H15</f>
        <v>string</v>
      </c>
      <c r="F21" s="31" t="str">
        <f>A.Backend!G15</f>
        <v>1</v>
      </c>
      <c r="G21" s="31" t="str">
        <f t="shared" ref="G21" si="27">IF(E21="string"," : string = '' ; ",IF(OR(E21="DateTime",E21="TimeSpan")," : any ;",IF(E21="int"," : number = 0 ;","")))</f>
        <v xml:space="preserve"> : string = '' ; </v>
      </c>
      <c r="H21" s="38" t="str">
        <f t="shared" ref="H21" si="28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8" t="str">
        <f t="shared" ref="I21" si="29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31"/>
      <c r="K21" s="38" t="str">
        <f t="shared" ref="K21" si="30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60" t="str">
        <f t="shared" ref="L21" si="31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isActive : string = '' ; </v>
      </c>
      <c r="T21" s="31" t="str">
        <f>REPT(CHAR(9),3)&amp;"this."&amp;D21&amp;","</f>
        <v xml:space="preserve">			this.isActive,</v>
      </c>
      <c r="U21" s="31" t="str">
        <f>IF(E21="int",REPT(CHAR(9),2)&amp;"this."&amp;D21&amp;" = 0,",REPT(CHAR(9),2)&amp;"this."&amp;D21&amp;" = '',")</f>
        <v xml:space="preserve">		this.isActive = '',</v>
      </c>
      <c r="V21" s="31" t="str">
        <f t="shared" ref="V21" si="32">IF(AND(E21="string",F21="1"),D21,"")</f>
        <v>isActive</v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2022-08-06T04:34:57Z</dcterms:modified>
</cp:coreProperties>
</file>
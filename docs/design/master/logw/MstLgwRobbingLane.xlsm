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w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G14" i="1" l="1"/>
  <c r="E14" i="1"/>
  <c r="H14" i="1" s="1"/>
  <c r="D14" i="1"/>
  <c r="V14" i="1" s="1"/>
  <c r="W14" i="1" l="1"/>
  <c r="O14" i="1"/>
  <c r="J14" i="1"/>
  <c r="N14" i="1"/>
  <c r="I14" i="1"/>
  <c r="M14" i="1"/>
  <c r="P14" i="1"/>
  <c r="T14" i="1"/>
  <c r="C22" i="5"/>
  <c r="B22" i="5"/>
  <c r="D22" i="5" s="1"/>
  <c r="T22" i="5" s="1"/>
  <c r="C21" i="5"/>
  <c r="B21" i="5"/>
  <c r="D21" i="5" s="1"/>
  <c r="C20" i="5"/>
  <c r="B20" i="5"/>
  <c r="D20" i="5" s="1"/>
  <c r="T20" i="5" s="1"/>
  <c r="T21" i="5" l="1"/>
  <c r="G15" i="1" l="1"/>
  <c r="E15" i="1"/>
  <c r="H15" i="1" s="1"/>
  <c r="D15" i="1"/>
  <c r="V15" i="1" s="1"/>
  <c r="H20" i="5" l="1"/>
  <c r="I21" i="5"/>
  <c r="K21" i="5"/>
  <c r="L21" i="5"/>
  <c r="H21" i="5"/>
  <c r="V21" i="5"/>
  <c r="U21" i="5"/>
  <c r="G21" i="5"/>
  <c r="S21" i="5" s="1"/>
  <c r="L20" i="5"/>
  <c r="G20" i="5"/>
  <c r="S20" i="5" s="1"/>
  <c r="U20" i="5"/>
  <c r="K20" i="5"/>
  <c r="V20" i="5"/>
  <c r="I20" i="5"/>
  <c r="M15" i="1"/>
  <c r="T15" i="1"/>
  <c r="P15" i="1"/>
  <c r="I15" i="1"/>
  <c r="N15" i="1"/>
  <c r="J15" i="1"/>
  <c r="O15" i="1"/>
  <c r="W15" i="1"/>
  <c r="G16" i="1" l="1"/>
  <c r="E16" i="1"/>
  <c r="H16" i="1" s="1"/>
  <c r="D16" i="1"/>
  <c r="V16" i="1" s="1"/>
  <c r="G13" i="1"/>
  <c r="E13" i="1"/>
  <c r="H13" i="1" s="1"/>
  <c r="D13" i="1"/>
  <c r="P13" i="1" s="1"/>
  <c r="G22" i="5" l="1"/>
  <c r="S22" i="5" s="1"/>
  <c r="H22" i="5"/>
  <c r="U22" i="5"/>
  <c r="I22" i="5"/>
  <c r="L22" i="5"/>
  <c r="V22" i="5"/>
  <c r="K22" i="5"/>
  <c r="T16" i="1"/>
  <c r="W13" i="1"/>
  <c r="T13" i="1"/>
  <c r="P16" i="1"/>
  <c r="N16" i="1"/>
  <c r="I16" i="1"/>
  <c r="M16" i="1"/>
  <c r="W16" i="1"/>
  <c r="O16" i="1"/>
  <c r="J16" i="1"/>
  <c r="M13" i="1"/>
  <c r="I13" i="1"/>
  <c r="N13" i="1"/>
  <c r="V13" i="1"/>
  <c r="J13" i="1"/>
  <c r="O13" i="1"/>
  <c r="W3" i="1" l="1"/>
  <c r="V3" i="1"/>
  <c r="B2" i="5" l="1"/>
  <c r="B3" i="5" s="1"/>
  <c r="C19" i="5"/>
  <c r="B18" i="5"/>
  <c r="D18" i="5" s="1"/>
  <c r="G12" i="1"/>
  <c r="E12" i="1"/>
  <c r="H12" i="1" s="1"/>
  <c r="D12" i="1"/>
  <c r="N12" i="1" l="1"/>
  <c r="O12" i="1"/>
  <c r="M12" i="1"/>
  <c r="T12" i="1"/>
  <c r="V12" i="1"/>
  <c r="W12" i="1"/>
  <c r="T18" i="5"/>
  <c r="P12" i="1"/>
  <c r="C18" i="5"/>
  <c r="B19" i="5"/>
  <c r="D19" i="5" s="1"/>
  <c r="I12" i="1"/>
  <c r="J12" i="1"/>
  <c r="B6" i="5"/>
  <c r="L19" i="5" l="1"/>
  <c r="I19" i="5"/>
  <c r="K19" i="5"/>
  <c r="H19" i="5"/>
  <c r="L18" i="5"/>
  <c r="K18" i="5"/>
  <c r="I18" i="5"/>
  <c r="H18" i="5"/>
  <c r="G19" i="5"/>
  <c r="S19" i="5" s="1"/>
  <c r="U19" i="5"/>
  <c r="V19" i="5"/>
  <c r="G18" i="5"/>
  <c r="S18" i="5" s="1"/>
  <c r="U18" i="5"/>
  <c r="V18" i="5"/>
  <c r="T19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18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18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18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L13" i="5"/>
  <c r="K13" i="5"/>
  <c r="I13" i="5"/>
  <c r="U13" i="5"/>
  <c r="H13" i="5"/>
  <c r="S13" i="5"/>
  <c r="V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4" i="1" s="1"/>
  <c r="L16" i="1" l="1"/>
  <c r="L15" i="1"/>
  <c r="L11" i="1"/>
  <c r="L12" i="1"/>
  <c r="L13" i="1"/>
  <c r="L9" i="1"/>
  <c r="L10" i="1"/>
  <c r="J11" i="1"/>
  <c r="J9" i="1"/>
  <c r="J10" i="1"/>
  <c r="C7" i="1"/>
  <c r="P18" i="1"/>
  <c r="O18" i="1"/>
  <c r="J18" i="1"/>
  <c r="I18" i="1"/>
  <c r="N18" i="1"/>
  <c r="Q7" i="1" l="1"/>
  <c r="M47" i="3" s="1"/>
  <c r="L7" i="1"/>
  <c r="G47" i="3" s="1"/>
  <c r="K47" i="3"/>
  <c r="J47" i="3"/>
  <c r="K18" i="1"/>
  <c r="M18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<sst xmlns="http://schemas.openxmlformats.org/spreadsheetml/2006/main" count="401" uniqueCount="315">
  <si>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</si>
  <si>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</si>
  <si>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</si>
  <si>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</si>
  <si>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</si>
  <si>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</si>
  <si>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</si>
  <si>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</si>
  <si>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</si>
  <si>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</si>
  <si>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</si>
  <si>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</si>
  <si>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</si>
  <si>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</si>
  <si>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</si>
  <si>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</si>
  <si>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</si>
  <si>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</si>
  <si>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</si>
  <si>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</si>
  <si>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</si>
  <si>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</si>
  <si>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</si>
  <si>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</si>
  <si>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</si>
  <si>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</si>
  <si>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</si>
  <si>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</si>
  <si>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</si>
  <si>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</si>
  <si>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</si>
  <si>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</si>
  <si>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</si>
  <si>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</si>
  <si>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</si>
  <si>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</si>
  <si>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</si>
  <si>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</si>
  <si>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</si>
  <si>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</si>
  <si>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</si>
  <si>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</si>
  <si>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</si>
  <si>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</si>
  <si>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</si>
  <si>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</si>
  <si>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</si>
  <si>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</si>
  <si>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</si>
  <si>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</si>
  <si>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</si>
  <si>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</si>
  <si>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</si>
  <si>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</si>
  <si>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</si>
  <si>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</si>
  <si>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</si>
  <si>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</si>
  <si>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</si>
  <si>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</si>
  <si>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</si>
  <si>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</si>
  <si>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</si>
  <si>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</si>
  <si>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</si>
  <si>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</si>
  <si>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</si>
  <si>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</si>
  <si>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</si>
  <si>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</si>
  <si>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</si>
  <si>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</si>
  <si>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</si>
  <si>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</si>
  <si>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</si>
  <si>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</si>
  <si>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</si>
  <si>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</si>
  <si>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</si>
  <si>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</si>
  <si>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</si>
  <si>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</si>
  <si>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</si>
  <si>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</si>
  <si>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</si>
  <si>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</si>
  <si>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</si>
  <si>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</si>
  <si>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</si>
  <si>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</si>
  <si>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</si>
  <si>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</si>
  <si>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</si>
  <si>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</si>
  <si>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</si>
  <si>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</si>
  <si>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</si>
  <si>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</si>
  <si>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</si>
  <si>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</si>
  <si>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</si>
  <si>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</si>
  <si>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</si>
  <si>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</si>
  <si>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</si>
  <si>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</si>
  <si>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</si>
  <si>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</si>
  <si>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</si>
  <si>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</si>
  <si>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</si>
  <si>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</si>
  <si>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</si>
  <si>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</si>
  <si>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</si>
  <si>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</si>
  <si>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</si>
  <si>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</si>
  <si>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</si>
  <si>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</si>
  <si>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</si>
  <si>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</si>
  <si>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</si>
  <si>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</si>
  <si>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</si>
  <si>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</si>
  <si>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</si>
  <si>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</si>
  <si>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</si>
  <si>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</si>
  <si>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</si>
  <si>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</si>
  <si>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</si>
  <si>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</si>
  <si>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</si>
  <si>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</si>
  <si>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</si>
  <si>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</si>
  <si>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</si>
  <si>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</si>
  <si>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</si>
  <si>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</si>
  <si>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</si>
  <si>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</si>
  <si>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</si>
  <si>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</si>
  <si>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</si>
  <si>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</si>
  <si>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</si>
  <si>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</si>
  <si>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</si>
  <si>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</si>
  <si>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</si>
  <si>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</si>
  <si>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</si>
  <si>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</si>
  <si>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</si>
  <si>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</si>
  <si>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</si>
  <si>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</si>
  <si>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</si>
  <si>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</si>
  <si>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</si>
  <si>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</si>
  <si>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</si>
  <si>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</si>
  <si>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</si>
  <si>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</si>
  <si>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</si>
  <si>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</si>
  <si>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</si>
  <si>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</si>
  <si>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</si>
  <si>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</si>
  <si>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</si>
  <si>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</si>
  <si>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</si>
  <si>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</si>
  <si>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</si>
  <si>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</si>
  <si>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</si>
  <si>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</si>
  <si>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</si>
  <si>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</si>
  <si>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</si>
  <si>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</si>
  <si>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</si>
  <si>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</si>
  <si>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</si>
  <si>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</si>
  <si>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</si>
  <si>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</si>
  <si>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</si>
  <si>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</si>
  <si>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</si>
  <si>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</si>
  <si>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</si>
  <si>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</si>
  <si>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</si>
  <si>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</si>
  <si>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</si>
  <si>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</si>
  <si>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</si>
  <si>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</si>
  <si>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</si>
  <si>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</si>
  <si>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</si>
  <si>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</si>
  <si>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</si>
  <si>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</si>
  <si>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</si>
  <si>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</si>
  <si>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</si>
  <si>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</si>
  <si>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</si>
  <si>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</si>
  <si>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</si>
  <si>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</si>
  <si>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</si>
  <si>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</si>
  <si>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</si>
  <si>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</si>
  <si>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</si>
  <si>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</si>
  <si>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</si>
  <si>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</si>
  <si>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</si>
  <si>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</si>
  <si>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</si>
  <si>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</si>
  <si>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</si>
  <si>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</si>
  <si>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</si>
  <si>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</si>
  <si>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</si>
  <si>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</si>
  <si>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</si>
  <si>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</si>
  <si>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</si>
  <si>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</si>
  <si>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</si>
  <si>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</si>
  <si>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</si>
  <si>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</si>
  <si>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</si>
  <si>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</si>
  <si>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</si>
  <si>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</si>
  <si>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</si>
  <si>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</si>
  <si>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</si>
  <si>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</si>
  <si>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</si>
  <si>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</si>
  <si>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</si>
  <si>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</si>
  <si>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</si>
  <si>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</si>
  <si>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</si>
  <si>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</si>
  <si>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</si>
  <si>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</si>
  <si>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</si>
  <si>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</si>
  <si>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</si>
  <si>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</si>
  <si>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</si>
  <si>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</si>
  <si>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</si>
  <si>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</si>
  <si>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</si>
  <si>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</si>
  <si>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</si>
  <si>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</si>
  <si>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</si>
  <si>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</si>
  <si>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</si>
  <si>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</si>
  <si>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</si>
  <si>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</si>
  <si>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</si>
  <si>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</si>
  <si>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</si>
  <si>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</si>
  <si>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</si>
  <si>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</si>
  <si>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</si>
  <si>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</si>
  <si>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</si>
  <si>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</si>
  <si>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</si>
  <si>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</si>
  <si>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</si>
  <si>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</si>
  <si>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</si>
  <si>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</si>
  <si>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</si>
  <si>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</si>
  <si>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</si>
  <si>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</si>
  <si>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</si>
  <si>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</si>
  <si>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varchar(1)</t>
  </si>
  <si>
    <t>varchar(50)</t>
  </si>
  <si>
    <t>Master.LogW</t>
  </si>
  <si>
    <t>IS_DISABLED</t>
  </si>
  <si>
    <t>LANE_NO</t>
  </si>
  <si>
    <t>LANE_NAME</t>
  </si>
  <si>
    <t>CONT_NO</t>
  </si>
  <si>
    <t>RENBAN</t>
  </si>
  <si>
    <t>SUPPLIER_NO</t>
  </si>
  <si>
    <t>SHOW_ONLY</t>
  </si>
  <si>
    <t>MstLgwRobbingLane</t>
  </si>
  <si>
    <t>RobbingLane</t>
  </si>
  <si>
    <t>Master LogW Robbing 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</si>
</sst>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41" workbookViewId="0">
      <selection activeCell="C47" sqref="C47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[Table("MstLgwRobbingLane")]
	[Index(nameof(ContNo), Name="IX_MstLgwRobbingLane_ContNo")]
	[Index(nameof(Renban), Name="IX_MstLgwRobbingLane_Renban")]
	[Index(nameof(SupplierNo), Name="IX_MstLgwRobbingLane_SupplierNo")]
	[Index(nameof(IsDisabled), Name="IX_MstLgwRobbingLane_IsDisabled")]
	[Index(nameof(IsActive), Name="IX_MstLgwRobbingLane_IsActive")]	public class MstLgwRobbingLane: FullAuditedEntity&lt;long&gt;, IEntity&lt;long&gt;	
	{
		public const int MaxLaneNoLength = 50;
		public const int MaxLaneNameLength = 50;
		public const int MaxContNoLength = 50;
		public const int MaxRenbanLength = 50;
		public const int MaxSupplierNoLength = 50;
		public const int MaxShowOnlyLength = 1;
		public const int MaxIsDisabledLength = 1;
		public const int MaxIsActiveLength = 1;
		[StringLength(MaxLaneNoLength)]
		public virtual string LaneNo { get; set; }
		[StringLength(MaxLaneNameLength)]
		public virtual string LaneName { get; set; }
		[StringLength(MaxContNoLength)]
		public virtual string ContNo { get; set; }
		[StringLength(MaxRenbanLength)]
		public virtual string Renban { get; set; }
		[StringLength(MaxSupplierNoLength)]
		public virtual string SupplierNo { get; set; }
		[StringLength(MaxShowOnlyLength)]
		public virtual string ShowOnly { get; set; }
		[StringLength(MaxIsDisabledLength)]
		public virtual string IsDisabled { get; set; }
		[StringLength(MaxIsActiveLength)]
		public virtual string IsActive { get; set; }
	}
}
</v>
      </c>
      <c r="D47" s="51" t="str">
        <f>A.Backend!O7</f>
        <v xml:space="preserve">		public const string Pages_Master_LogW_RobbingLane = "Pages.Master.LogW.RobbingLane";
		public const string Pages_Master_LogW_RobbingLane_CreateEdit = "Pages.Master.LogW.RobbingLane.CreateEdit";
		public const string Pages_Master_LogW_RobbingLane_Delete = "Pages.Master.LogW.RobbingLane.Delete";
</v>
      </c>
      <c r="E47" s="51" t="str">
        <f>A.Backend!N7</f>
        <v xml:space="preserve">		var perMstLgwRobbingLane = PARENTS.CreateChildPermission(AppPermissions.Pages_Master_LogW_RobbingLane, L( "MasterLogWRobbingLane"));
		perMstLgwRobbingLane.CreateChildPermission(AppPermissions.Pages_Master_LogW_RobbingLane_CreateEdit, L( "MasterLogWRobbingLaneCreateEdit"));
		perMstLgwRobbingLane.CreateChildPermission(AppPermissions.Pages_Master_LogW_RobbingLane_Delete, L( "MasterLogWRobbingLaneDelete"));</v>
      </c>
      <c r="F47" s="51" t="str">
        <f>A.Backend!K7</f>
        <v>public virtual DbSet&lt;MstLgwRobbingLane&gt; MstLgwRobbingLanes { get; set; }</v>
      </c>
      <c r="G47" s="51" t="str">
        <f ca="1">A.Backend!L7</f>
        <v xml:space="preserve">namespace vovina.Master.LogW
{
	public class MstLgwRobbingLaneConsts	
	{
		public const int MaxLaneNoLength = 50;
		public const int MaxLaneNameLength = 50;
		public const int MaxContNoLength = 50;
		public const int MaxRenbanLength = 50;
		public const int MaxSupplierNoLength = 50;
		public const int MaxShowOnlyLength = 1;
		public const int MaxIsDisabledLength = 1;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vovina.Master.LogW.Dto
{
	public class MstLgwRobbingLaneDto : EntityDto&lt;long?&gt;	
	{
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IsDisabled { get; set; }
		public virtual string IsActive { get; set; }
	}
	public class CreateOrEditMstLgwRobbingLaneDto : EntityDto&lt;long?&gt;	
	{
		[StringLength(MstLgwRobbingLaneConsts.MaxLaneNoLength)]
		public virtual string LaneNo { get; set; }
		[StringLength(MstLgwRobbingLaneConsts.MaxLaneNameLength)]
		public virtual string LaneName { get; set; }
		[StringLength(MstLgwRobbingLaneConsts.MaxContNoLength)]
		public virtual string ContNo { get; set; }
		[StringLength(MstLgwRobbingLaneConsts.MaxRenbanLength)]
		public virtual string Renban { get; set; }
		[StringLength(MstLgwRobbingLaneConsts.MaxSupplierNoLength)]
		public virtual string SupplierNo { get; set; }
		[StringLength(MstLgwRobbingLaneConsts.MaxShowOnlyLength)]
		public virtual string ShowOnly { get; set; }
		[StringLength(MstLgwRobbingLaneConsts.MaxIsDisabledLength)]
		public virtual string IsDisabled { get; set; }
		[StringLength(MstLgwRobbingLaneConsts.MaxIsActiveLength)]
		public virtual string IsActive { get; set; }
	}
	public class GetMstLgwRobbingLaneInput : PagedAndSortedResultRequestDto	
	{
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IsDisabled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vovina.Master.LogW.Dto
{
	public class MstLgwRobbingLaneExportInput{
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IsDisabled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vovina.Master.LogW.Dto;
namespace vovina.Master.LogW
{
	public interface IMstLgwRobbingLaneAppService : IApplicationService
	{
		Task&lt;PagedResultDto&lt;MstLgwRobbingLaneDto&gt;&gt; GetAll(GetMstLgwRobbingLaneInput input);
		Task CreateOrEdit(CreateOrEditMstLgwRobbingLaneDto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IMstLgwRobbingLaneExcelExporter : IApplicationService
	{
		FileDto ExportToFile(List&lt;MstLgwRobbingLaneDto&gt; mstlgwrobbinglane);
	}
}
</v>
      </c>
      <c r="L47" s="51" t="str">
        <f ca="1">A.Backend!T7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MstLgwRobbingLaneExcelExporter : NpoiExcelExporterBase, IMstLgwRobbingLaneExcelExporter
    {
        public MstLgwRobbingLaneExcelExporter(ITempFileCacheManager tempFileCacheManager) : base(tempFileCacheManager) { }
        public FileDto ExportToFile(List&lt;MstLgwRobbingLaneDto&gt; robbinglane)
        {
            return CreateExcelPackage(
				"MasterLogWRobbingLane.xlsx",
				excelPackage =&gt;
				 {
					var sheet = excelPackage.CreateSheet("RobbingLane");
					AddHeader(
								sheet,
								("LaneNo"),
								("LaneName"),
								("ContNo"),
								("Renban"),
								("SupplierNo"),
								("ShowOnly"),
								("IsDisabled"),
								("IsActive"),
							   );
					AddObjects(
						 sheet, 1, robbinglane,                                       
								_ =&gt; _.LaneNo,
								_ =&gt; _.LaneName,
								_ =&gt; _.ContNo,
								_ =&gt; _.Renban,
								_ =&gt; _.SupplierNo,
								_ =&gt; _.ShowOnly,
								_ =&gt; _.IsDisabled,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[AbpAuthorize(AppPermissions.Pages_Master_LogW_RobbingLane)]
    public class MstLgwRobbingLaneAppService : vovinaAppServiceBase, IMstLgwRobbingLaneAppService
    {
        private readonly IDapperRepository&lt;MstLgwRobbingLane, long&gt; _dapperRepo;
        private readonly IRepository&lt;MstLgwRobbingLane, long&gt; _repo;
        private readonly IMstLgwRobbingLaneExcelExporter _calendarListExcelExporter;
        public MstLgwRobbingLaneAppService(IRepository&lt;MstLgwRobbingLane,long&gt; repo, 
                                         IDapperRepository&lt;MstLgwRobbingLane,long&gt; dapperRepo,
                                        IMstLgwRobbingLaneExcelExporter calendarListExcelExporter
            )
        {
            _repo = repo;
            _dapperRepo = dapperRepo;
            _calendarListExcelExporter = calendarListExcelExporter;
        }
        [AbpAuthorize(AppPermissions.Pages_Master_LogW_RobbingLane_CreateEdit)]
        public async Task CreateOrEdit(CreateOrEditMstLgwRobbingLaneDto input)
        {
            if (input.Id == null) await Create(input);
            else await Update(input);
        }
        //CREATE
        private async Task Create(CreateOrEditMstLgwRobbingLaneDto input)
        {          
            var mainObj = ObjectMapper.Map&lt;MstLgwRobbingLane&gt;(input);
            await CurrentUnitOfWork.GetDbContext&lt;vovinaDbContext&gt;().AddAsync(mainObj);
        }
        // EDIT
        private async Task Update(CreateOrEditMstLgwRobbingLaneDto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[AbpAuthorize(AppPermissions.Pages_Master_LogW_RobbingLane_Delete)]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Task&lt;PagedResultDto&lt;MstLgwRobbingLaneDto&gt;&gt; GetAll(GetMstLgwRobbingLaneInput input)
        {
            var filtered = _repo.GetAll()
				.WhereIf(!string.IsNullOrWhiteSpace(input.LaneNo), e =&gt; e.LaneNo.Contains(input.LaneNo))
				.WhereIf(!string.IsNullOrWhiteSpace(input.LaneName), e =&gt; e.LaneName.Contains(input.LaneName))
				.WhereIf(!string.IsNullOrWhiteSpace(input.ContNo), e =&gt; e.ContNo.Contains(input.ContNo))
				.WhereIf(!string.IsNullOrWhiteSpace(input.Renban), e =&gt; e.Renban.Contains(input.Renban))
				.WhereIf(!string.IsNullOrWhiteSpace(input.SupplierNo), e =&gt; e.SupplierNo.Contains(input.SupplierNo))
				.WhereIf(!string.IsNullOrWhiteSpace(input.ShowOnly), e =&gt; e.ShowOnly.Contains(input.ShowOnly))
				.WhereIf(!string.IsNullOrWhiteSpace(input.IsDisabled), e =&gt; e.IsDisabled.Contains(input.IsDisabled))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MstLgwRobbingLaneDto
                        {
							Id = o.Id,
							LaneNo = o.LaneNo,
							LaneName = o.LaneName,
							ContNo = o.ContNo,
							Renban = o.Renban,
							SupplierNo = o.SupplierNo,
							ShowOnly = o.ShowOnly,
							IsDisabled = o.IsDisabled,
							IsActive = o.IsActive,
                        };
            var totalCount = await filtered.CountAsync();
			var paged = system.PageBy(input);
            return new PagedResultDto&lt;MstLgwRobbingLaneDto&gt;(
                totalCount,
                 await paged.ToListAsync()
            );
        }
        public async Task&lt;FileDto&gt; GetRobbingLaneToExcel(MstLgwRobbingLaneExportInput input)
        {
            var query = from o in _repo.GetAll()
                        select new MstLgwRobbingLaneDto
                        {
							Id = o.Id,
							LaneNo = o.LaneNo,
							LaneName = o.LaneName,
							ContNo = o.ContNo,
							Renban = o.Renban,
							SupplierNo = o.SupplierNo,
							ShowOnly = o.ShowOnly,
							IsDisabled = o.IsDisabled,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_dapperRepo.ExecuteAsync(MstLgwRobbingLaneConsts.SP_MST_WPT_CALENDAR_GENERATE);
       // }
    }
}</v>
      </c>
      <c r="N47" s="62" t="str">
        <f>A.Backend!U7</f>
        <v xml:space="preserve">  configuration.CreateMap&lt;MstLgwRobbingLaneDto, MstLgwRobbingLane&gt;();
  configuration.CreateMap&lt;MstLgwRobbingLane, MstLgwRobbingLaneDto&gt;();
  configuration.CreateMap&lt;CreateOrEditMstLgwRobbingLaneDto, MstLgwRobbingLane&gt;();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robbinglane</v>
      </c>
      <c r="C52" s="72" t="str">
        <f>"create folder " &amp;B52</f>
        <v>create folder robbinglane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robbinglane.component.ts</v>
      </c>
      <c r="D53" s="31" t="str">
        <f>B.Frontend!I14</f>
        <v>robbinglane.component.html</v>
      </c>
      <c r="E53" s="31" t="str">
        <f>B.Frontend!J14</f>
        <v>robbinglane.component.less</v>
      </c>
      <c r="F53" s="31" t="str">
        <f>B.Frontend!K14</f>
        <v>create-or-edit-robbinglane-modal.component.html</v>
      </c>
      <c r="G53" s="31" t="str">
        <f>B.Frontend!L14</f>
        <v>create-or-edit-robbinglane-modal.component.ts</v>
      </c>
      <c r="H53" s="31" t="str">
        <f>B.Frontend!M14</f>
        <v>create-or-edit-robbinglane-modal.component.less</v>
      </c>
      <c r="I53" s="31" t="str">
        <f>B.Frontend!N14</f>
        <v>robbinglane.module.ts</v>
      </c>
      <c r="J53" s="31" t="str">
        <f>B.Frontend!O14</f>
        <v>robbinglane-routing.module.ts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MstLgwRobbingLaneDto, MstLgwRobbingLaneServiceProxy } from '@shared/service-proxies/service-proxies';
import { finalize } from 'rxjs/internal/operators/finalize';
import { CreateOrEditRobbingLaneModalComponent } from './create-or-edit-robbinglane-modal.component';
import { DatePipe } from '@angular/common';
import { FileDownloadService } from '@shared/utils/file-download.service';
import ceil from 'lodash-es/ceil';
import { Paginator } from 'primeng/paginator';
@Component({
    templateUrl: './robbinglane.component.html',
    styleUrls: ['./robbinglane.component.less'],
})
export class RobbingLaneComponent extends AppComponentBase implements OnInit {
    @ViewChild('createOrEditModalRobbingLane', { static: true }) createOrEditModalRobbingLane:| CreateOrEditRobbingLaneModalComponent|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MstLgwRobbingLaneDto = new MstLgwRobbingLaneDto();
    saveSelectedRow: MstLgwRobbingLaneDto = new MstLgwRobbingLaneDto();
    datas: MstLgwRobbingLaneDto = new MstLgwRobbingLaneDto();
    isLoading: boolean = false;
    dataParams: GridParams | undefined;
    rowData: any[] = [];
    gridApi!: GridApi;
    rowSelection = 'multiple';
    filter: string = '';
	pipe = new DatePipe('en-US');
	frameworkComponents: FrameworkComponent;
    laneNo : string = '' ; 
	laneName : string = '' ; 
	contNo : string = '' ; 
	renban : string = '' ; 
	supplierNo : string = '' ; 
	showOnly : string = '' ; 
	isDisabled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MstLgwRobbingLaneServiceProxy,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this.l('Lane No'),headerTooltip: this.l('Lane No'),field: 'laneNo',flex: 1},
			{headerName: this.l('Lane Name'),headerTooltip: this.l('Lane Name'),field: 'laneName',flex: 1},
			{headerName: this.l('Cont No'),headerTooltip: this.l('Cont No'),field: 'contNo',flex: 1},
			{headerName: this.l('Renban'),headerTooltip: this.l('Renban'),field: 'renban',flex: 1},
			{headerName: this.l('Supplier No'),headerTooltip: this.l('Supplier No'),field: 'supplierNo',flex: 1},
			{headerName: this.l('Show Only'),headerTooltip: this.l('Show Only'),field:  'showOnly', cellClass: ['text-center'], width: 120, cellRenderer: 'agCellButtonComponent',
buttonDefTwo: { text: params =&gt; (params.data?.'showOnly' == 'Y') ? 'Active' : 'Inactive',iconName: 'fa fa-circle',className: params =&gt; (params.data?.'showOnly' == 'Y') ? 'btnActive' : 'btnInActive',},}
			{headerName: this.l('Is Disabled'),headerTooltip: this.l('Is Disabled'),field:  'isDisabled', cellClass: ['text-center'], width: 120, cellRenderer: 'agCellButtonComponent',
buttonDefTwo: { text: params =&gt; (params.data?.'isDisabled' == 'Y') ? 'Active' : 'Inactive',iconName: 'fa fa-circle',className: params =&gt; (params.data?.'isDisabled'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this.laneNo,
			this.laneName,
			this.contNo,
			this.renban,
			this.supplierNo,
			this.showOnly,
			this.isDisabled,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this.laneNo = '',
		this.laneName = '',
		this.contNo = '',
		this.renban = '',
		this.supplierNo = '',
		this.showOnly = '',
		this.isDisabled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this.laneNo,
			this.laneName,
			this.contNo,
			this.renban,
			this.supplierNo,
			this.showOnly,
			this.isDisabled,
			this.isActive,
			'',
            this.paginationParams.skipCount,
            this.paginationParams.pageSize
        );
    }
    onChangeRowSelection(params: { api: { getSelectedRows: () =&gt; MstLgwRobbingLaneDto[] } }) {
        this.saveSelectedRow = params.api.getSelectedRows()[0] ?? new MstLgwRobbingLaneDto();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MstLgwRobbingLaneDto):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this._service.getRobbingLaneToExcel(
			this.laneNo,
			this.laneName,
			this.contNo,
			this.renban,
			this.supplierNo,
			this.showOnly,
			this.isDisabled,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Robbing Lane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[(ngModel)]='laneNo' name='laneNo'
									class='form-control' [placeholder]="l('Lane No')"
									type='text' (keyup.enter)='searchDatas()'&gt;
								&lt;/div&gt;
								&lt;div class='input-search'&gt;
									&lt;input [(ngModel)]='laneName' name='laneName'
									class='form-control' [placeholder]="l('Lane Name')"
									type='text' (keyup.enter)='searchDatas()'&gt;
								&lt;/div&gt;
								&lt;div class='input-search'&gt;
									&lt;input [(ngModel)]='contNo' name='contNo'
									class='form-control' [placeholder]="l('Cont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[(ngModel)]='showOnly' name='showOnly'
									class='form-control' [placeholder]="l('Show Only')"
									type='text' (keyup.enter)='searchDatas()'&gt;
								&lt;/div&gt;
								&lt;div class='input-search'&gt;
									&lt;input [(ngModel)]='isDisabled' name='isDisabled'
									class='form-control' [placeholder]="l('Is Disabled')"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(click)="createOrEditModalRobbingLane.show()"&gt;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(click)="createOrEditModalRobbingLane.show(selectedRow)"&gt;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&lt;create-or-edit-robbinglane-modal
    #createOrEditModalRobbingLane
    (modalSave)="callBackDataGrid(dataParams)"
    (modalClose)="onChangeRowSelection(dataParams)"
&gt;
&lt;/create-or-edit-robbinglane-modal&gt;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#createOrEditModalRobbingLane="bs-modal"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RobbingLane')}}&lt;/h3&gt;
                    &lt;h3 *ngIf="!rowdata.id"&gt;{{('Create New RobbingLane')}}&lt;/h3&gt;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title'&gt;Lane No&lt;/label&gt;
						&lt;input type='text' class='col-md-10 form-control input-text' name='LaneNo' [(ngModel)]='rowdata.laneNo'&gt;
					&lt;/div&gt;
					&lt;div class='col-md-12 form-group row'&gt;
						&lt;label class='col-md-2 form-control title'&gt;Lane Name&lt;/label&gt;
						&lt;input type='text' class='col-md-10 form-control input-text' name='LaneName' [(ngModel)]='rowdata.laneName'&gt;
					&lt;/div&gt;
					&lt;div class='col-md-12 form-group row'&gt;
						&lt;label class='col-md-2 form-control title'&gt;Cont No&lt;/label&gt;
						&lt;input type='text' class='col-md-10 form-control input-text' name='ContNo' [(ngModel)]='rowdata.contNo'&gt;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title'&gt;Show Only&lt;/label&gt;
						&lt;new-checkbox [(ngModel)]='_showOnly' name='showOnly' className='col-md-10' &gt; &lt;/new-checkbox&gt;
					&lt;/div&gt;
					&lt;div class='col-md-12 form-group row'&gt;
						&lt;label class='col-md-2 form-control title'&gt;Is Disabled&lt;/label&gt;
						&lt;new-checkbox [(ngModel)]='_isDisabled' name='isDisabled'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CreateOrEditMstLgwRobbingLaneDto, MstLgwRobbingLaneServiceProxy } from '@shared/service-proxies/service-proxies';
import { BsDatepickerDirective } from 'ngx-bootstrap/datepicker';
@Component({
    selector: 'create-or-edit-robbinglane-modal',
    templateUrl: './create-or-edit-robbinglane-modal.component.html',
    styleUrls: ['./create-or-edit-robbinglane-modal.component.less']
    })
export class CreateOrEditRobbingLaneModalComponent extends AppComponentBase {
    @ViewChild('createOrEditModalRobbingLane',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CreateOrEditMstLgwRobbingLaneDto = new CreateOrEditMstLgwRobbingLaneDto();
    active: boolean = false;
    saving: boolean = false;
    _showOnly
isDisabled
isActive: boolean;
    constructor(
        injector: Injector,
        private _mstwptRobbingLaneService: MstLgwRobbingLaneServiceProxy,
    ) 
    {
        super(injector);
    }
    show(rowdata?: CreateOrEditMstLgwRobbingLaneDto): void {
        if (!rowdata) this.rowdata = new CreateOrEditMstLgwRobbingLaneDto();
        else this.rowdata = rowdata;
        this._showOnly
isDisabled
isActive = (this.rowdata.showOnly
isDisabled
isActive == "N")? false: true;
        this.active = true;
        this.modal.show();
    } 
    changeActive(event){
        this._showOnly
isDisabled
isActive = event.target.checked;
    }
    save(): void {
    this.saving = true; 
    this.rowdata.showOnly
isDisabled
isActive = (this._showOnly
isDisabled
isActive == true) ? 'Y' : 'N'
    this._mstwptRobbingLaneService.createOrEdit(this.rowdata)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RobbingLaneRoutingModule } from './robbinglane-routing.module';
import { RobbingLaneComponent } from './robbinglane.component';
import { CreateOrEditRobbingLaneModalComponent } from './create-or-edit-robbinglane-modal.component';
@NgModule({
    declarations: [
       RobbingLaneComponent, 
        CreateOrEditRobbingLaneModalComponent
    ],
    imports: [
        AppSharedModule, RobbingLaneRoutingModule]
})
export class RobbingLaneModule {}</v>
      </c>
      <c r="J54" s="49" t="str">
        <f>B.Frontend!O10</f>
        <v>import {NgModule} from '@angular/core';
import {RouterModule, Routes} from '@angular/router';
import { RobbingLaneComponent } from './robbinglane.component';
const routes: Routes = [{
    path: '',
    component: RobbingLaneComponent,
    pathMatch: 'full'
}];
@NgModule({
    imports: [RouterModule.forChild(routes)],
    exports: [RouterModule],
})
export class RobbingLaneRoutingModule {}</v>
      </c>
      <c r="K54" s="49" t="str">
        <f>B.Frontend!P10</f>
        <v xml:space="preserve"> new AppMenuItem("RobbingLane", "Pages.Master.LogW.RobbingLane", "flaticon-book",   "/app/main/master/logw/robbinglane"),</v>
      </c>
      <c r="L54" s="50" t="str">
        <f>B.Frontend!Q10</f>
        <v>{
    path: 'master/logw/robbinglane',
    loadChildren: () =&gt; import('./master/logw/robbinglane/robbinglane.module').then(m =&gt; m.RobbingLaneModule),
    data: { permission: 'Pages.Master.LogW.RobbingLane' }
},</v>
      </c>
      <c r="M54" s="48" t="str">
        <f>B.Frontend!R10</f>
        <v>ApiServiceProxies.MstLgwRobbingLaneServiceProxy,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8"/>
  <sheetViews>
    <sheetView tabSelected="1" workbookViewId="0">
      <pane xSplit="1" topLeftCell="B1" activePane="topRight" state="frozen"/>
      <selection pane="topRight" activeCell="K15" sqref="K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vovina.Master.LogW.Dto;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312</v>
      </c>
      <c r="C3" s="10" t="s">
        <v>43</v>
      </c>
      <c r="D3" s="10" t="s">
        <v>44</v>
      </c>
      <c r="E3" s="10" t="s">
        <v>39</v>
      </c>
      <c r="F3" s="11" t="str">
        <f>"J"&amp;COUNTA($A:$A)</f>
        <v>J16</v>
      </c>
      <c r="G3" s="4" t="s">
        <v>57</v>
      </c>
      <c r="H3" s="10" t="str">
        <f>"I"&amp;COUNTA($A:$A)</f>
        <v>I16</v>
      </c>
      <c r="I3" s="10" t="str">
        <f>REPT(CHAR(9),2)&amp;"[Required]"&amp;"
"</f>
        <v xml:space="preserve">		[Required]
</v>
      </c>
      <c r="J3" s="11" t="str">
        <f>"L"&amp;COUNTA($A:$A)</f>
        <v>L16</v>
      </c>
      <c r="K3" s="5" t="s">
        <v>56</v>
      </c>
      <c r="L3" s="11" t="str">
        <f>"M"&amp;COUNTA($A:$A)</f>
        <v>M16</v>
      </c>
      <c r="M3" s="11" t="str">
        <f>"N"&amp;COUNTA($A:$A)</f>
        <v>N16</v>
      </c>
      <c r="N3" s="11" t="str">
        <f>"O"&amp;COUNTA($A:$A)</f>
        <v>O16</v>
      </c>
      <c r="O3" s="11" t="str">
        <f>"P"&amp;COUNTA($A:$A)</f>
        <v>P16</v>
      </c>
      <c r="Q3" s="11" t="str">
        <f>RIGHT(B2,(LEN(B2)-FIND(".",B2,1)))</f>
        <v>LogW</v>
      </c>
      <c r="R3" s="32" t="str">
        <f>REPT(CHAR(9),1)&amp;"public class "&amp;B3&amp;"ExportInput"&amp;C3</f>
        <v xml:space="preserve">	public class MstLgwRobbingLaneExportInput{
</v>
      </c>
      <c r="S3" s="11" t="str">
        <f>"namespace "&amp;$B$6&amp;".Exporting
"&amp;$C$3</f>
        <v xml:space="preserve">namespace vovina.Master.LogW.Exporting
{
</v>
      </c>
      <c r="T3" s="11" t="str">
        <f>"T"&amp;COUNTA($A:$A)</f>
        <v>T16</v>
      </c>
      <c r="V3" s="11" t="str">
        <f>"V"&amp;COUNTA($A:$A)</f>
        <v>V16</v>
      </c>
      <c r="W3" s="10" t="str">
        <f>"W"&amp;COUNTA($A:$A)</f>
        <v>W16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313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vovina.Master.LogW</v>
      </c>
      <c r="C6" s="11" t="str">
        <f>"namespace "&amp;$B$6&amp;"
"&amp;$C$3</f>
        <v xml:space="preserve">namespace vovina.Master.LogW
{
</v>
      </c>
      <c r="D6" s="11" t="str">
        <f>REPT(CHAR(9),1)&amp;"public class "&amp;B3&amp;G3&amp;REPT(CHAR(9),1)&amp;"
"&amp;REPT(CHAR(9),1)&amp;C3</f>
        <v xml:space="preserve">	public class MstLgwRobbingLane: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MstLgwRobbingLaneConsts	
	{
</v>
      </c>
      <c r="F6" s="11" t="str">
        <f>REPT(CHAR(9),1)&amp;"public class "&amp;B3&amp;"Dto"&amp;K3&amp;REPT(CHAR(9),1)&amp;"
"&amp;REPT(CHAR(9),1)&amp;C3</f>
        <v xml:space="preserve">	public class MstLgwRobbingLaneDto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CreateOrEditMstLgwRobbingLaneDto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GetMstLgwRobbingLaneInput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MstLgwRobbingLane</v>
      </c>
      <c r="C7" s="11" t="str">
        <f>REPT(CHAR(9),1)&amp;"[Table("""&amp;B7&amp;""")]"&amp;"
"</f>
        <v xml:space="preserve">	[Table("MstLgwRobbingLane")]
</v>
      </c>
      <c r="D7" s="11"/>
      <c r="E7" s="11"/>
      <c r="F7" s="11"/>
      <c r="G7" s="11"/>
      <c r="H7" s="11"/>
      <c r="I7" s="11"/>
      <c r="J7" s="6" t="str">
        <f ca="1">SUBSTITUTE(SUBSTITUTE((B1&amp;C6&amp;C7&amp;K18&amp;D6&amp;I18&amp;E3&amp;J18&amp;""&amp;REPT(CHAR(9),1)&amp;D3&amp;D3),"WorkingPattern",$Q$3),"Master",$B$4)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[Table("MstLgwRobbingLane")]
	[Index(nameof(ContNo), Name="IX_MstLgwRobbingLane_ContNo")]
	[Index(nameof(Renban), Name="IX_MstLgwRobbingLane_Renban")]
	[Index(nameof(SupplierNo), Name="IX_MstLgwRobbingLane_SupplierNo")]
	[Index(nameof(IsDisabled), Name="IX_MstLgwRobbingLane_IsDisabled")]
	[Index(nameof(IsActive), Name="IX_MstLgwRobbingLane_IsActive")]	public class MstLgwRobbingLane: FullAuditedEntity&lt;long&gt;, IEntity&lt;long&gt;	
	{
		public const int MaxLaneNoLength = 50;
		public const int MaxLaneNameLength = 50;
		public const int MaxContNoLength = 50;
		public const int MaxRenbanLength = 50;
		public const int MaxSupplierNoLength = 50;
		public const int MaxShowOnlyLength = 1;
		public const int MaxIsDisabledLength = 1;
		public const int MaxIsActiveLength = 1;
		[StringLength(MaxLaneNoLength)]
		public virtual string LaneNo { get; set; }
		[StringLength(MaxLaneNameLength)]
		public virtual string LaneName { get; set; }
		[StringLength(MaxContNoLength)]
		public virtual string ContNo { get; set; }
		[StringLength(MaxRenbanLength)]
		public virtual string Renban { get; set; }
		[StringLength(MaxSupplierNoLength)]
		public virtual string SupplierNo { get; set; }
		[StringLength(MaxShowOnlyLength)]
		public virtual string ShowOnly { get; set; }
		[StringLength(MaxIsDisabledLength)]
		public virtual string IsDisabled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DbSet&lt;MstLgwRobbingLane&gt; MstLgwRobbingLanes { get; set; }</v>
      </c>
      <c r="L7" t="str">
        <f ca="1">SUBSTITUTE(SUBSTITUTE((C6&amp;E6&amp;I18&amp;"
"&amp;REPT(CHAR(9),2)&amp;"// Define Store Name: Format SP_ + &lt;Store Name&gt; = &lt;Store Name&gt;
"&amp;E3&amp;REPT(CHAR(9),1)&amp;D3&amp;D3),"WorkingPattern",$Q$3),"Master",$B$4)</f>
        <v xml:space="preserve">namespace vovina.Master.LogW
{
	public class MstLgwRobbingLaneConsts	
	{
		public const int MaxLaneNoLength = 50;
		public const int MaxLaneNameLength = 50;
		public const int MaxContNoLength = 50;
		public const int MaxRenbanLength = 50;
		public const int MaxSupplierNoLength = 50;
		public const int MaxShowOnlyLength = 1;
		public const int MaxIsDisabledLength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"&amp;B6&amp;".Dto"&amp;E3&amp;C3&amp;F6&amp;M18&amp;E3&amp;REPT(CHAR(9),1)&amp;D3&amp;G6&amp;N18&amp;REPT(CHAR(9),1)&amp;D3&amp;H6&amp;O18&amp;"
"&amp;REPT(CHAR(9),1)&amp;D3&amp;D3),"WorkingPattern",$Q$3),"Master",$B$4)</f>
        <v xml:space="preserve">using Abp.Application.Services.Dto;
using System;
using System.ComponentModel.DataAnnotations;
namespace vovina.Master.LogW.Dto
{
	public class MstLgwRobbingLaneDto : EntityDto&lt;long?&gt;	
	{
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IsDisabled { get; set; }
		public virtual string IsActive { get; set; }
	}
	public class CreateOrEditMstLgwRobbingLaneDto : EntityDto&lt;long?&gt;	
	{
		[StringLength(MstLgwRobbingLaneConsts.MaxLaneNoLength)]
		public virtual string LaneNo { get; set; }
		[StringLength(MstLgwRobbingLaneConsts.MaxLaneNameLength)]
		public virtual string LaneName { get; set; }
		[StringLength(MstLgwRobbingLaneConsts.MaxContNoLength)]
		public virtual string ContNo { get; set; }
		[StringLength(MstLgwRobbingLaneConsts.MaxRenbanLength)]
		public virtual string Renban { get; set; }
		[StringLength(MstLgwRobbingLaneConsts.MaxSupplierNoLength)]
		public virtual string SupplierNo { get; set; }
		[StringLength(MstLgwRobbingLaneConsts.MaxShowOnlyLength)]
		public virtual string ShowOnly { get; set; }
		[StringLength(MstLgwRobbingLaneConsts.MaxIsDisabledLength)]
		public virtual string IsDisabled { get; set; }
		[StringLength(MstLgwRobbingLaneConsts.MaxIsActiveLength)]
		public virtual string IsActive { get; set; }
	}
	public class GetMstLgwRobbingLaneInput : PagedAndSortedResultRequestDto	
	{
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IsDisabled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perMstLgwRobbingLane = PARENTS.CreateChildPermission(AppPermissions.Pages_Master_LogW_RobbingLane, L( "MasterLogWRobbingLane"));
		perMstLgwRobbingLane.CreateChildPermission(AppPermissions.Pages_Master_LogW_RobbingLane_CreateEdit, L( "MasterLogWRobbingLaneCreateEdit"));
		perMstLgwRobbingLane.CreateChildPermission(AppPermissions.Pages_Master_LogW_RobbingLane_Delete, L( "MasterLogWRobbingLaneDelete"));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Pages_Master_LogW_RobbingLane = "Pages.Master.LogW.RobbingLane";
		public const string Pages_Master_LogW_RobbingLane_CreateEdit = "Pages.Master.LogW.RobbingLane.CreateEdit";
		public const string Pages_Master_LogW_RobbingLane_Delete = "Pages.Master.LogW.RobbingLane.Delete";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
{
	public interface IMstLgwRobbingLaneAppService : IApplicationService
	{
		Task&lt;PagedResultDto&lt;MstLgwRobbingLaneDto&gt;&gt; GetAll(GetMstLgwRobbingLaneInput input);
		Task CreateOrEdit(CreateOrEditMstLgwRobbingLaneDto input);
		Task Delete(EntityDto input);
	}
}
</v>
      </c>
      <c r="Q7" t="str">
        <f ca="1">SUBSTITUTE(SUBSTITUTE(SUBSTITUTE(SUBSTITUTE(SUBSTITUTE(SUBSTITUTE(E1,"MstWptCalendar",$B$3),"&lt;PROPERTIES&gt;",P18),"Calendar",$B$5),"WorkingPattern",$Q$3),"Master",$B$4),"&lt;PARAMS_SEARCH&gt;",$W$18)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[AbpAuthorize(AppPermissions.Pages_Master_LogW_RobbingLane)]
    public class MstLgwRobbingLaneAppService : vovinaAppServiceBase, IMstLgwRobbingLaneAppService
    {
        private readonly IDapperRepository&lt;MstLgwRobbingLane, long&gt; _dapperRepo;
        private readonly IRepository&lt;MstLgwRobbingLane, long&gt; _repo;
        private readonly IMstLgwRobbingLaneExcelExporter _calendarListExcelExporter;
        public MstLgwRobbingLaneAppService(IRepository&lt;MstLgwRobbingLane,long&gt; repo, 
                                         IDapperRepository&lt;MstLgwRobbingLane,long&gt; dapperRepo,
                                        IMstLgwRobbingLaneExcelExporter calendarListExcelExporter
            )
        {
            _repo = repo;
            _dapperRepo = dapperRepo;
            _calendarListExcelExporter = calendarListExcelExporter;
        }
        [AbpAuthorize(AppPermissions.Pages_Master_LogW_RobbingLane_CreateEdit)]
        public async Task CreateOrEdit(CreateOrEditMstLgwRobbingLaneDto input)
        {
            if (input.Id == null) await Create(input);
            else await Update(input);
        }
        //CREATE
        private async Task Create(CreateOrEditMstLgwRobbingLaneDto input)
        {          
            var mainObj = ObjectMapper.Map&lt;MstLgwRobbingLane&gt;(input);
            await CurrentUnitOfWork.GetDbContext&lt;vovinaDbContext&gt;().AddAsync(mainObj);
        }
        // EDIT
        private async Task Update(CreateOrEditMstLgwRobbingLaneDto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[AbpAuthorize(AppPermissions.Pages_Master_LogW_RobbingLane_Delete)]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Task&lt;PagedResultDto&lt;MstLgwRobbingLaneDto&gt;&gt; GetAll(GetMstLgwRobbingLaneInput input)
        {
            var filtered = _repo.GetAll()
				.WhereIf(!string.IsNullOrWhiteSpace(input.LaneNo), e =&gt; e.LaneNo.Contains(input.LaneNo))
				.WhereIf(!string.IsNullOrWhiteSpace(input.LaneName), e =&gt; e.LaneName.Contains(input.LaneName))
				.WhereIf(!string.IsNullOrWhiteSpace(input.ContNo), e =&gt; e.ContNo.Contains(input.ContNo))
				.WhereIf(!string.IsNullOrWhiteSpace(input.Renban), e =&gt; e.Renban.Contains(input.Renban))
				.WhereIf(!string.IsNullOrWhiteSpace(input.SupplierNo), e =&gt; e.SupplierNo.Contains(input.SupplierNo))
				.WhereIf(!string.IsNullOrWhiteSpace(input.ShowOnly), e =&gt; e.ShowOnly.Contains(input.ShowOnly))
				.WhereIf(!string.IsNullOrWhiteSpace(input.IsDisabled), e =&gt; e.IsDisabled.Contains(input.IsDisabled))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MstLgwRobbingLaneDto
                        {
							Id = o.Id,
							LaneNo = o.LaneNo,
							LaneName = o.LaneName,
							ContNo = o.ContNo,
							Renban = o.Renban,
							SupplierNo = o.SupplierNo,
							ShowOnly = o.ShowOnly,
							IsDisabled = o.IsDisabled,
							IsActive = o.IsActive,
                        };
            var totalCount = await filtered.CountAsync();
			var paged = system.PageBy(input);
            return new PagedResultDto&lt;MstLgwRobbingLaneDto&gt;(
                totalCount,
                 await paged.ToListAsync()
            );
        }
        public async Task&lt;FileDto&gt; GetRobbingLaneToExcel(MstLgwRobbingLaneExportInput input)
        {
            var query = from o in _repo.GetAll()
                        select new MstLgwRobbingLaneDto
                        {
							Id = o.Id,
							LaneNo = o.LaneNo,
							LaneName = o.LaneName,
							ContNo = o.ContNo,
							Renban = o.Renban,
							SupplierNo = o.SupplierNo,
							ShowOnly = o.ShowOnly,
							IsDisabled = o.IsDisabled,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_dapperRepo.ExecuteAsync(MstLgwRobbingLaneConsts.SP_MST_WPT_CALENDAR_GENERATE);
       // }
    }
}</v>
      </c>
      <c r="R7" t="str">
        <f ca="1">SUBSTITUTE(SUBSTITUTE((C1&amp;"namespace "&amp;B6&amp;".Dto"&amp;E3&amp;C3&amp;R3&amp;M18&amp;E3&amp;REPT(CHAR(9),1)&amp;D3&amp;D3),"WorkingPattern",$Q$3),"Master",$B$4)</f>
        <v xml:space="preserve">using Abp.Application.Services.Dto;
using System;
using System.ComponentModel.DataAnnotations;
namespace vovina.Master.LogW.Dto
{
	public class MstLgwRobbingLaneExportInput{
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IsDisabled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IMstLgwRobbingLaneExcelExporter : IApplicationService
	{
		FileDto ExportToFile(List&lt;MstLgwRobbingLaneDto&gt; mstlgwrobbinglane);
	}
}
</v>
      </c>
      <c r="T7" s="28" t="str">
        <f ca="1">SUBSTITUTE(SUBSTITUTE(SUBSTITUTE(SUBSTITUTE(SUBSTITUTE(SUBSTITUTE(SUBSTITUTE(T1,"MstWptCalendar",$B$3),"&lt;PROPERTIES1&gt;",V18),"&lt;PROPERTIES&gt;",T18),"Calendar",$B$5),"calendar",LOWER(B5)),"WorkingPattern",$Q$3),"Master",$B$4)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MstLgwRobbingLaneExcelExporter : NpoiExcelExporterBase, IMstLgwRobbingLaneExcelExporter
    {
        public MstLgwRobbingLaneExcelExporter(ITempFileCacheManager tempFileCacheManager) : base(tempFileCacheManager) { }
        public FileDto ExportToFile(List&lt;MstLgwRobbingLaneDto&gt; robbinglane)
        {
            return CreateExcelPackage(
				"MasterLogWRobbingLane.xlsx",
				excelPackage =&gt;
				 {
					var sheet = excelPackage.CreateSheet("RobbingLane");
					AddHeader(
								sheet,
								("LaneNo"),
								("LaneName"),
								("ContNo"),
								("Renban"),
								("SupplierNo"),
								("ShowOnly"),
								("IsDisabled"),
								("IsActive"),
							   );
					AddObjects(
						 sheet, 1, robbinglane,                                       
								_ =&gt; _.LaneNo,
								_ =&gt; _.LaneName,
								_ =&gt; _.ContNo,
								_ =&gt; _.Renban,
								_ =&gt; _.SupplierNo,
								_ =&gt; _.ShowOnly,
								_ =&gt; _.IsDisabled,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configuration.CreateMap&lt;MstLgwRobbingLaneDto, MstLgwRobbingLane&gt;();
  configuration.CreateMap&lt;MstLgwRobbingLane, MstLgwRobbingLaneDto&gt;();
  configuration.CreateMap&lt;CreateOrEditMstLgwRobbingLaneDto, MstLgwRobbingLane&gt;();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306</v>
      </c>
      <c r="B9" t="s">
        <v>303</v>
      </c>
      <c r="C9" t="s">
        <v>1</v>
      </c>
      <c r="D9" t="str">
        <f>SUBSTITUTE(PROPER(A9),"_","")</f>
        <v>LaneNo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MaxLaneNoLength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[StringLength(MaxLaneNoLength)]
		public virtual string LaneNo { get; set; }
</v>
      </c>
      <c r="K9" s="7"/>
      <c r="L9" t="str">
        <f>IF(K9="","",REPT(CHAR(9),1)&amp;"[Index(nameof("&amp;IF(D9="","",""&amp;D9)&amp;")"&amp;", Name="&amp;"""IX_"&amp;$B$7&amp;"_"&amp;D9&amp;""")]")</f>
        <v/>
      </c>
      <c r="M9" t="str">
        <f>REPT(CHAR(9),2)&amp;"public virtual "&amp;IF(OR(H9="DateTime",H9="TimeSpan"),H9&amp;"?",H9)&amp;IF(C9="?","? "," ")&amp;D9&amp;" { get; set; }" &amp; "
"</f>
        <v xml:space="preserve">		public virtual string LaneNo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[StringLength(MstLgwRobbingLaneConsts.MaxLaneNoLength)]
		public virtual string LaneNo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LaneNo { get; set; }
</v>
      </c>
      <c r="P9" t="str">
        <f t="shared" ref="P9:P11" si="4">REPT(CHAR(9),7)&amp;D9&amp;" = o." &amp;D9 &amp;","</f>
        <v xml:space="preserve">							LaneNo = o.LaneNo,</v>
      </c>
      <c r="T9" s="69" t="str">
        <f>REPT(CHAR(9),8)&amp;"("""&amp;D9&amp;"""),"</f>
        <v xml:space="preserve">								("LaneNo"),</v>
      </c>
      <c r="V9" s="70" t="str">
        <f>REPT(CHAR(9),8)&amp;"_ =&gt; _."&amp;D9&amp;","</f>
        <v xml:space="preserve">								_ =&gt; _.LaneNo,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.WhereIf(!string.IsNullOrWhiteSpace(input.LaneNo), e =&gt; e.LaneNo.Contains(input.LaneNo))</v>
      </c>
    </row>
    <row r="10" spans="1:23" customFormat="1" ht="21" customHeight="1" x14ac:dyDescent="0.25">
      <c r="A10" t="s">
        <v>307</v>
      </c>
      <c r="B10" t="s">
        <v>303</v>
      </c>
      <c r="C10" t="s">
        <v>1</v>
      </c>
      <c r="D10" t="str">
        <f t="shared" ref="D10:D11" si="5">SUBSTITUTE(PROPER(A10),"_","")</f>
        <v>LaneName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MaxLaneNameLength = 50;
</v>
      </c>
      <c r="J10" t="str">
        <f t="shared" si="3"/>
        <v xml:space="preserve">		[StringLength(MaxLaneNameLength)]
		public virtual string LaneName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2" si="7">REPT(CHAR(9),2)&amp;"public virtual "&amp;IF(OR(H10="DateTime",H10="TimeSpan"),H10&amp;"?",H10)&amp;IF(C10="?","? "," ")&amp;D10&amp;" { get; set; }" &amp; "
"</f>
        <v xml:space="preserve">		public virtual string LaneName { get; set; }
</v>
      </c>
      <c r="N10" t="str">
        <f t="shared" ref="N10:N12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[StringLength(MstLgwRobbingLaneConsts.MaxLaneNameLength)]
		public virtual string LaneName { get; set; }
</v>
      </c>
      <c r="O10" t="str">
        <f t="shared" ref="O10:O12" si="9">IF(OR(H10="string",H10="DateTime",H10="int"),REPT(CHAR(9),2)&amp;"public virtual "&amp;IF(OR(H10="DateTime",H10="TimeSpan"),H10&amp;"?",H10)&amp;IF(C10="?","? "," ")&amp;D10&amp;" { get; set; }"&amp;$E$3,"")</f>
        <v xml:space="preserve">		public virtual string LaneName { get; set; }
</v>
      </c>
      <c r="P10" t="str">
        <f t="shared" si="4"/>
        <v xml:space="preserve">							LaneName = o.LaneName,</v>
      </c>
      <c r="T10" s="69" t="str">
        <f t="shared" ref="T10:T12" si="10">REPT(CHAR(9),8)&amp;"("""&amp;D10&amp;"""),"</f>
        <v xml:space="preserve">								("LaneName"),</v>
      </c>
      <c r="V10" s="70" t="str">
        <f t="shared" ref="V10:V12" si="11">REPT(CHAR(9),8)&amp;"_ =&gt; _."&amp;D10&amp;","</f>
        <v xml:space="preserve">								_ =&gt; _.LaneName,</v>
      </c>
      <c r="W10" s="69" t="str">
        <f t="shared" ref="W10:W12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.WhereIf(!string.IsNullOrWhiteSpace(input.LaneName), e =&gt; e.LaneName.Contains(input.LaneName))</v>
      </c>
    </row>
    <row r="11" spans="1:23" customFormat="1" ht="18.75" customHeight="1" x14ac:dyDescent="0.25">
      <c r="A11" t="s">
        <v>308</v>
      </c>
      <c r="B11" t="s">
        <v>303</v>
      </c>
      <c r="C11" t="s">
        <v>1</v>
      </c>
      <c r="D11" t="str">
        <f t="shared" si="5"/>
        <v>ContNo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MaxContNoLength = 50;
</v>
      </c>
      <c r="J11" t="str">
        <f t="shared" si="3"/>
        <v xml:space="preserve">		[StringLength(MaxContNoLength)]
		public virtual string ContNo { get; set; }
</v>
      </c>
      <c r="K11" s="7" t="s">
        <v>206</v>
      </c>
      <c r="L11" t="str">
        <f t="shared" si="6"/>
        <v xml:space="preserve">	[Index(nameof(ContNo), Name="IX_MstLgwRobbingLane_ContNo")]</v>
      </c>
      <c r="M11" t="str">
        <f t="shared" si="7"/>
        <v xml:space="preserve">		public virtual string ContNo { get; set; }
</v>
      </c>
      <c r="N11" t="str">
        <f t="shared" si="8"/>
        <v xml:space="preserve">		[StringLength(MstLgwRobbingLaneConsts.MaxContNoLength)]
		public virtual string ContNo { get; set; }
</v>
      </c>
      <c r="O11" t="str">
        <f t="shared" si="9"/>
        <v xml:space="preserve">		public virtual string ContNo { get; set; }
</v>
      </c>
      <c r="P11" t="str">
        <f t="shared" si="4"/>
        <v xml:space="preserve">							ContNo = o.ContNo,</v>
      </c>
      <c r="T11" s="69" t="str">
        <f t="shared" si="10"/>
        <v xml:space="preserve">								("ContNo"),</v>
      </c>
      <c r="V11" s="70" t="str">
        <f t="shared" si="11"/>
        <v xml:space="preserve">								_ =&gt; _.ContNo,</v>
      </c>
      <c r="W11" s="69" t="str">
        <f t="shared" si="12"/>
        <v xml:space="preserve">				.WhereIf(!string.IsNullOrWhiteSpace(input.ContNo), e =&gt; e.ContNo.Contains(input.ContNo))</v>
      </c>
    </row>
    <row r="12" spans="1:23" customFormat="1" ht="21" customHeight="1" x14ac:dyDescent="0.25">
      <c r="A12" t="s">
        <v>309</v>
      </c>
      <c r="B12" t="s">
        <v>303</v>
      </c>
      <c r="C12" t="s">
        <v>1</v>
      </c>
      <c r="D12" t="str">
        <f t="shared" ref="D12" si="13">SUBSTITUTE(PROPER(A12),"_","")</f>
        <v>Renban</v>
      </c>
      <c r="E12" t="str">
        <f t="shared" ref="E12" si="14">IFERROR(LEFT(B12, FIND("(",B12)-1),B12)</f>
        <v>varchar</v>
      </c>
      <c r="F12" s="7"/>
      <c r="G12" t="str">
        <f t="shared" ref="G12" si="15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16">IF(H12="string",REPT(CHAR(9),2)&amp;"public const int Max"&amp;D12&amp;"Length = "&amp;G12&amp;";"&amp;$E$3,"" )</f>
        <v xml:space="preserve">		public const int MaxRenbanLength = 50;
</v>
      </c>
      <c r="J12" t="str">
        <f t="shared" ref="J12" si="17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[StringLength(MaxRenbanLength)]
		public virtual string Renban { get; set; }
</v>
      </c>
      <c r="K12" s="7" t="s">
        <v>206</v>
      </c>
      <c r="L12" t="str">
        <f t="shared" ref="L12" si="18">IF(K12="","",REPT(CHAR(9),1)&amp;"[Index(nameof("&amp;IF(D12="","",""&amp;D12)&amp;")"&amp;", Name="&amp;"""IX_"&amp;$B$7&amp;"_"&amp;D12&amp;""")]")</f>
        <v xml:space="preserve">	[Index(nameof(Renban), Name="IX_MstLgwRobbingLane_Renban")]</v>
      </c>
      <c r="M12" t="str">
        <f t="shared" si="7"/>
        <v xml:space="preserve">		public virtual string Renban { get; set; }
</v>
      </c>
      <c r="N12" t="str">
        <f t="shared" si="8"/>
        <v xml:space="preserve">		[StringLength(MstLgwRobbingLaneConsts.MaxRenbanLength)]
		public virtual string Renban { get; set; }
</v>
      </c>
      <c r="O12" t="str">
        <f t="shared" si="9"/>
        <v xml:space="preserve">		public virtual string Renban { get; set; }
</v>
      </c>
      <c r="P12" t="str">
        <f t="shared" ref="P12" si="19">REPT(CHAR(9),7)&amp;D12&amp;" = o." &amp;D12 &amp;","</f>
        <v xml:space="preserve">							Renban = o.Renban,</v>
      </c>
      <c r="T12" s="69" t="str">
        <f t="shared" si="10"/>
        <v xml:space="preserve">								("Renban"),</v>
      </c>
      <c r="V12" s="70" t="str">
        <f t="shared" si="11"/>
        <v xml:space="preserve">								_ =&gt; _.Renban,</v>
      </c>
      <c r="W12" s="69" t="str">
        <f t="shared" si="12"/>
        <v xml:space="preserve">				.WhereIf(!string.IsNullOrWhiteSpace(input.Renban), e =&gt; e.Renban.Contains(input.Renban))</v>
      </c>
    </row>
    <row r="13" spans="1:23" customFormat="1" ht="22.5" customHeight="1" x14ac:dyDescent="0.25">
      <c r="A13" t="s">
        <v>310</v>
      </c>
      <c r="B13" t="s">
        <v>303</v>
      </c>
      <c r="C13" t="s">
        <v>1</v>
      </c>
      <c r="D13" t="str">
        <f>SUBSTITUTE(PROPER(A13),"_","")</f>
        <v>SupplierNo</v>
      </c>
      <c r="E13" t="str">
        <f t="shared" ref="E13:E16" si="20">IFERROR(LEFT(B13, FIND("(",B13)-1),B13)</f>
        <v>varchar</v>
      </c>
      <c r="F13" s="7"/>
      <c r="G13" t="str">
        <f t="shared" ref="G13:G16" si="21">IFERROR(MID(B13,FIND("(",B13) +1, FIND(")",B13) - FIND("(",B13) - 1),"")</f>
        <v>50</v>
      </c>
      <c r="H13" t="str">
        <f>+VLOOKUP(E13,'Data Type Mapping'!A:B,2,)</f>
        <v>string</v>
      </c>
      <c r="I13" t="str">
        <f t="shared" ref="I13:I16" si="22">IF(H13="string",REPT(CHAR(9),2)&amp;"public const int Max"&amp;D13&amp;"Length = "&amp;G13&amp;";"&amp;$E$3,"" )</f>
        <v xml:space="preserve">		public const int MaxSupplierNoLength = 50;
</v>
      </c>
      <c r="J13" t="str">
        <f t="shared" ref="J13:J16" si="2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[StringLength(MaxSupplierNoLength)]
		public virtual string SupplierNo { get; set; }
</v>
      </c>
      <c r="K13" s="7" t="s">
        <v>206</v>
      </c>
      <c r="L13" t="str">
        <f>IF(K13="","",REPT(CHAR(9),1)&amp;"[Index(nameof("&amp;IF(D13="","",""&amp;D13)&amp;")"&amp;", Name="&amp;"""IX_"&amp;$B$7&amp;"_"&amp;D13&amp;""")]")</f>
        <v xml:space="preserve">	[Index(nameof(SupplierNo), Name="IX_MstLgwRobbingLane_SupplierNo")]</v>
      </c>
      <c r="M13" t="str">
        <f t="shared" ref="M13:M16" si="24">REPT(CHAR(9),2)&amp;"public virtual "&amp;IF(OR(H13="DateTime",H13="TimeSpan"),H13&amp;"?",H13)&amp;IF(C13="?","? "," ")&amp;D13&amp;" { get; set; }" &amp; "
"</f>
        <v xml:space="preserve">		public virtual string SupplierNo { get; set; }
</v>
      </c>
      <c r="N13" t="str">
        <f t="shared" ref="N13:N16" si="25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[StringLength(MstLgwRobbingLaneConsts.MaxSupplierNoLength)]
		public virtual string SupplierNo { get; set; }
</v>
      </c>
      <c r="O13" t="str">
        <f t="shared" ref="O13:O16" si="26">IF(OR(H13="string",H13="DateTime",H13="int"),REPT(CHAR(9),2)&amp;"public virtual "&amp;IF(OR(H13="DateTime",H13="TimeSpan"),H13&amp;"?",H13)&amp;IF(C13="?","? "," ")&amp;D13&amp;" { get; set; }"&amp;$E$3,"")</f>
        <v xml:space="preserve">		public virtual string SupplierNo { get; set; }
</v>
      </c>
      <c r="P13" t="str">
        <f t="shared" ref="P13:P16" si="27">REPT(CHAR(9),7)&amp;D13&amp;" = o." &amp;D13 &amp;","</f>
        <v xml:space="preserve">							SupplierNo = o.SupplierNo,</v>
      </c>
      <c r="T13" s="69" t="str">
        <f t="shared" ref="T13:T16" si="28">REPT(CHAR(9),8)&amp;"("""&amp;D13&amp;"""),"</f>
        <v xml:space="preserve">								("SupplierNo"),</v>
      </c>
      <c r="V13" s="70" t="str">
        <f t="shared" ref="V13:V16" si="29">REPT(CHAR(9),8)&amp;"_ =&gt; _."&amp;D13&amp;","</f>
        <v xml:space="preserve">								_ =&gt; _.SupplierNo,</v>
      </c>
      <c r="W13" s="69" t="str">
        <f t="shared" ref="W13:W16" si="30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.WhereIf(!string.IsNullOrWhiteSpace(input.SupplierNo), e =&gt; e.SupplierNo.Contains(input.SupplierNo))</v>
      </c>
    </row>
    <row r="14" spans="1:23" customFormat="1" ht="18.75" customHeight="1" x14ac:dyDescent="0.25">
      <c r="A14" t="s">
        <v>311</v>
      </c>
      <c r="B14" t="s">
        <v>302</v>
      </c>
      <c r="C14" t="s">
        <v>1</v>
      </c>
      <c r="D14" t="str">
        <f t="shared" ref="D14" si="31">SUBSTITUTE(PROPER(A14),"_","")</f>
        <v>ShowOnly</v>
      </c>
      <c r="E14" t="str">
        <f t="shared" ref="E14" si="32">IFERROR(LEFT(B14, FIND("(",B14)-1),B14)</f>
        <v>varchar</v>
      </c>
      <c r="F14" s="7"/>
      <c r="G14" t="str">
        <f t="shared" ref="G14" si="33">IFERROR(MID(B14,FIND("(",B14) +1, FIND(")",B14) - FIND("(",B14) - 1),"")</f>
        <v>1</v>
      </c>
      <c r="H14" t="str">
        <f>+VLOOKUP(E14,'Data Type Mapping'!A:B,2,)</f>
        <v>string</v>
      </c>
      <c r="I14" t="str">
        <f t="shared" ref="I14" si="34">IF(H14="string",REPT(CHAR(9),2)&amp;"public const int Max"&amp;D14&amp;"Length = "&amp;G14&amp;";"&amp;$E$3,"" )</f>
        <v xml:space="preserve">		public const int MaxShowOnlyLength = 1;
</v>
      </c>
      <c r="J14" t="str">
        <f t="shared" ref="J14" si="35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[StringLength(MaxShowOnlyLength)]
		public virtual string ShowOnly { get; set; }
</v>
      </c>
      <c r="K14" s="7"/>
      <c r="L14" t="str">
        <f t="shared" ref="L14" si="36">IF(K14="","",REPT(CHAR(9),1)&amp;"[Index(nameof("&amp;IF(D14="","",""&amp;D14)&amp;")"&amp;", Name="&amp;"""IX_"&amp;$B$7&amp;"_"&amp;D14&amp;""")]")</f>
        <v/>
      </c>
      <c r="M14" t="str">
        <f t="shared" ref="M14" si="37">REPT(CHAR(9),2)&amp;"public virtual "&amp;IF(OR(H14="DateTime",H14="TimeSpan"),H14&amp;"?",H14)&amp;IF(C14="?","? "," ")&amp;D14&amp;" { get; set; }" &amp; "
"</f>
        <v xml:space="preserve">		public virtual string ShowOnly { get; set; }
</v>
      </c>
      <c r="N14" t="str">
        <f t="shared" ref="N14" si="38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[StringLength(MstLgwRobbingLaneConsts.MaxShowOnlyLength)]
		public virtual string ShowOnly { get; set; }
</v>
      </c>
      <c r="O14" t="str">
        <f t="shared" ref="O14" si="39">IF(OR(H14="string",H14="DateTime",H14="int"),REPT(CHAR(9),2)&amp;"public virtual "&amp;IF(OR(H14="DateTime",H14="TimeSpan"),H14&amp;"?",H14)&amp;IF(C14="?","? "," ")&amp;D14&amp;" { get; set; }"&amp;$E$3,"")</f>
        <v xml:space="preserve">		public virtual string ShowOnly { get; set; }
</v>
      </c>
      <c r="P14" t="str">
        <f t="shared" ref="P14" si="40">REPT(CHAR(9),7)&amp;D14&amp;" = o." &amp;D14 &amp;","</f>
        <v xml:space="preserve">							ShowOnly = o.ShowOnly,</v>
      </c>
      <c r="T14" s="69" t="str">
        <f t="shared" ref="T14" si="41">REPT(CHAR(9),8)&amp;"("""&amp;D14&amp;"""),"</f>
        <v xml:space="preserve">								("ShowOnly"),</v>
      </c>
      <c r="V14" s="70" t="str">
        <f t="shared" ref="V14" si="42">REPT(CHAR(9),8)&amp;"_ =&gt; _."&amp;D14&amp;","</f>
        <v xml:space="preserve">								_ =&gt; _.ShowOnly,</v>
      </c>
      <c r="W14" s="69" t="str">
        <f t="shared" ref="W14" si="43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.WhereIf(!string.IsNullOrWhiteSpace(input.ShowOnly), e =&gt; e.ShowOnly.Contains(input.ShowOnly))</v>
      </c>
    </row>
    <row r="15" spans="1:23" customFormat="1" ht="22.5" customHeight="1" x14ac:dyDescent="0.25">
      <c r="A15" t="s">
        <v>305</v>
      </c>
      <c r="B15" t="s">
        <v>302</v>
      </c>
      <c r="C15" t="s">
        <v>1</v>
      </c>
      <c r="D15" t="str">
        <f>SUBSTITUTE(PROPER(A15),"_","")</f>
        <v>IsDisabled</v>
      </c>
      <c r="E15" t="str">
        <f>IFERROR(LEFT(B15, FIND("(",B15)-1),B15)</f>
        <v>varchar</v>
      </c>
      <c r="F15" s="7"/>
      <c r="G15" t="str">
        <f>IFERROR(MID(B15,FIND("(",B15) +1, FIND(")",B15) - FIND("(",B15) - 1),"")</f>
        <v>1</v>
      </c>
      <c r="H15" t="str">
        <f>+VLOOKUP(E15,'Data Type Mapping'!A:B,2,)</f>
        <v>string</v>
      </c>
      <c r="I15" t="str">
        <f>IF(H15="string",REPT(CHAR(9),2)&amp;"public const int Max"&amp;D15&amp;"Length = "&amp;G15&amp;";"&amp;$E$3,"" )</f>
        <v xml:space="preserve">		public const int MaxIsDisabledLength = 1;
</v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[StringLength(MaxIsDisabledLength)]
		public virtual string IsDisabled { get; set; }
</v>
      </c>
      <c r="K15" s="7" t="s">
        <v>206</v>
      </c>
      <c r="L15" t="str">
        <f>IF(K15="","",REPT(CHAR(9),1)&amp;"[Index(nameof("&amp;IF(D15="","",""&amp;D15)&amp;")"&amp;", Name="&amp;"""IX_"&amp;$B$7&amp;"_"&amp;D15&amp;""")]")</f>
        <v xml:space="preserve">	[Index(nameof(IsDisabled), Name="IX_MstLgwRobbingLane_IsDisabled")]</v>
      </c>
      <c r="M15" t="str">
        <f>REPT(CHAR(9),2)&amp;"public virtual "&amp;IF(OR(H15="DateTime",H15="TimeSpan"),H15&amp;"?",H15)&amp;IF(C15="?","? "," ")&amp;D15&amp;" { get; set; }" &amp; "
"</f>
        <v xml:space="preserve">		public virtual string IsDisabled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[StringLength(MstLgwRobbingLaneConsts.MaxIsDisabledLength)]
		public virtual string IsDisabled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 xml:space="preserve">		public virtual string IsDisabled { get; set; }
</v>
      </c>
      <c r="P15" t="str">
        <f>REPT(CHAR(9),7)&amp;D15&amp;" = o." &amp;D15 &amp;","</f>
        <v xml:space="preserve">							IsDisabled = o.IsDisabled,</v>
      </c>
      <c r="T15" s="69" t="str">
        <f>REPT(CHAR(9),8)&amp;"("""&amp;D15&amp;"""),"</f>
        <v xml:space="preserve">								("IsDisabled"),</v>
      </c>
      <c r="V15" s="70" t="str">
        <f>REPT(CHAR(9),8)&amp;"_ =&gt; _."&amp;D15&amp;","</f>
        <v xml:space="preserve">								_ =&gt; _.IsDisabled,</v>
      </c>
      <c r="W15" s="69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.WhereIf(!string.IsNullOrWhiteSpace(input.IsDisabled), e =&gt; e.IsDisabled.Contains(input.IsDisabled))</v>
      </c>
    </row>
    <row r="16" spans="1:23" customFormat="1" ht="21" customHeight="1" x14ac:dyDescent="0.25">
      <c r="A16" t="s">
        <v>301</v>
      </c>
      <c r="B16" t="s">
        <v>302</v>
      </c>
      <c r="C16" t="s">
        <v>1</v>
      </c>
      <c r="D16" t="str">
        <f t="shared" ref="D16" si="44">SUBSTITUTE(PROPER(A16),"_","")</f>
        <v>IsActive</v>
      </c>
      <c r="E16" t="str">
        <f t="shared" si="20"/>
        <v>varchar</v>
      </c>
      <c r="F16" s="7"/>
      <c r="G16" t="str">
        <f t="shared" si="21"/>
        <v>1</v>
      </c>
      <c r="H16" t="str">
        <f>+VLOOKUP(E16,'Data Type Mapping'!A:B,2,)</f>
        <v>string</v>
      </c>
      <c r="I16" t="str">
        <f t="shared" si="22"/>
        <v xml:space="preserve">		public const int MaxIsActiveLength = 1;
</v>
      </c>
      <c r="J16" t="str">
        <f t="shared" si="23"/>
        <v xml:space="preserve">		[StringLength(MaxIsActiveLength)]
		public virtual string IsActive { get; set; }
</v>
      </c>
      <c r="K16" s="7" t="s">
        <v>206</v>
      </c>
      <c r="L16" t="str">
        <f t="shared" ref="L16" si="45">IF(K16="","",REPT(CHAR(9),1)&amp;"[Index(nameof("&amp;IF(D16="","",""&amp;D16)&amp;")"&amp;", Name="&amp;"""IX_"&amp;$B$7&amp;"_"&amp;D16&amp;""")]")</f>
        <v xml:space="preserve">	[Index(nameof(IsActive), Name="IX_MstLgwRobbingLane_IsActive")]</v>
      </c>
      <c r="M16" t="str">
        <f t="shared" si="24"/>
        <v xml:space="preserve">		public virtual string IsActive { get; set; }
</v>
      </c>
      <c r="N16" t="str">
        <f t="shared" si="25"/>
        <v xml:space="preserve">		[StringLength(MstLgwRobbingLaneConsts.MaxIsActiveLength)]
		public virtual string IsActive { get; set; }
</v>
      </c>
      <c r="O16" t="str">
        <f t="shared" si="26"/>
        <v xml:space="preserve">		public virtual string IsActive { get; set; }
</v>
      </c>
      <c r="P16" t="str">
        <f t="shared" si="27"/>
        <v xml:space="preserve">							IsActive = o.IsActive,</v>
      </c>
      <c r="T16" s="69" t="str">
        <f t="shared" si="28"/>
        <v xml:space="preserve">								("IsActive"),</v>
      </c>
      <c r="V16" s="70" t="str">
        <f t="shared" si="29"/>
        <v xml:space="preserve">								_ =&gt; _.IsActive,</v>
      </c>
      <c r="W16" s="69" t="str">
        <f t="shared" si="30"/>
        <v xml:space="preserve">				.WhereIf(!string.IsNullOrWhiteSpace(input.IsActive), e =&gt; e.IsActive.Contains(input.IsActive))</v>
      </c>
    </row>
    <row r="18" spans="8:23" ht="45.75" customHeight="1" x14ac:dyDescent="0.25">
      <c r="H18" s="12"/>
      <c r="I18" s="34" t="str">
        <f ca="1">TEXTJOIN2("
", TRUE,INDIRECT( $H$1):INDIRECT( $H$3))</f>
        <v xml:space="preserve">		public const int MaxLaneNoLength = 50;
		public const int MaxLaneNameLength = 50;
		public const int MaxContNoLength = 50;
		public const int MaxRenbanLength = 50;
		public const int MaxSupplierNoLength = 50;
		public const int MaxShowOnlyLength = 1;
		public const int MaxIsDisabledLength = 1;
		public const int MaxIsActiveLength = 1;
</v>
      </c>
      <c r="J18" s="33" t="str">
        <f ca="1">TEXTJOIN2("
", TRUE,INDIRECT( $F$1):INDIRECT( $F$3))</f>
        <v xml:space="preserve">		[StringLength(MaxLaneNoLength)]
		public virtual string LaneNo { get; set; }
		[StringLength(MaxLaneNameLength)]
		public virtual string LaneName { get; set; }
		[StringLength(MaxContNoLength)]
		public virtual string ContNo { get; set; }
		[StringLength(MaxRenbanLength)]
		public virtual string Renban { get; set; }
		[StringLength(MaxSupplierNoLength)]
		public virtual string SupplierNo { get; set; }
		[StringLength(MaxShowOnlyLength)]
		public virtual string ShowOnly { get; set; }
		[StringLength(MaxIsDisabledLength)]
		public virtual string IsDisabled { get; set; }
		[StringLength(MaxIsActiveLength)]
		public virtual string IsActive { get; set; }
</v>
      </c>
      <c r="K18" s="35" t="str">
        <f ca="1">TEXTJOIN2("
", TRUE,INDIRECT( $J$1):INDIRECT( $J$3))</f>
        <v xml:space="preserve">	[Index(nameof(ContNo), Name="IX_MstLgwRobbingLane_ContNo")]
	[Index(nameof(Renban), Name="IX_MstLgwRobbingLane_Renban")]
	[Index(nameof(SupplierNo), Name="IX_MstLgwRobbingLane_SupplierNo")]
	[Index(nameof(IsDisabled), Name="IX_MstLgwRobbingLane_IsDisabled")]
	[Index(nameof(IsActive), Name="IX_MstLgwRobbingLane_IsActive")]</v>
      </c>
      <c r="L18" s="13" t="s">
        <v>60</v>
      </c>
      <c r="M18" s="36" t="str">
        <f ca="1">TEXTJOIN2("
",TRUE,INDIRECT( $L$1):INDIRECT($L$3))</f>
        <v xml:space="preserve">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IsDisabled { get; set; }
		public virtual string IsActive { get; set; }
</v>
      </c>
      <c r="N18" s="33" t="str">
        <f ca="1">TEXTJOIN2("
",TRUE,INDIRECT( $M$1):INDIRECT($M$3))</f>
        <v xml:space="preserve">		[StringLength(MstLgwRobbingLaneConsts.MaxLaneNoLength)]
		public virtual string LaneNo { get; set; }
		[StringLength(MstLgwRobbingLaneConsts.MaxLaneNameLength)]
		public virtual string LaneName { get; set; }
		[StringLength(MstLgwRobbingLaneConsts.MaxContNoLength)]
		public virtual string ContNo { get; set; }
		[StringLength(MstLgwRobbingLaneConsts.MaxRenbanLength)]
		public virtual string Renban { get; set; }
		[StringLength(MstLgwRobbingLaneConsts.MaxSupplierNoLength)]
		public virtual string SupplierNo { get; set; }
		[StringLength(MstLgwRobbingLaneConsts.MaxShowOnlyLength)]
		public virtual string ShowOnly { get; set; }
		[StringLength(MstLgwRobbingLaneConsts.MaxIsDisabledLength)]
		public virtual string IsDisabled { get; set; }
		[StringLength(MstLgwRobbingLaneConsts.MaxIsActiveLength)]
		public virtual string IsActive { get; set; }
</v>
      </c>
      <c r="O18" s="33" t="str">
        <f ca="1">TEXTJOIN2("
",TRUE,INDIRECT( $N$1):INDIRECT($N$3))</f>
        <v xml:space="preserve">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IsDisabled { get; set; }
		public virtual string IsActive { get; set; }
</v>
      </c>
      <c r="P18" s="9" t="str">
        <f ca="1">TEXTJOIN2("
",TRUE,INDIRECT( $O$1):INDIRECT($O$3))</f>
        <v xml:space="preserve">							LaneNo = o.LaneNo,
							LaneName = o.LaneName,
							ContNo = o.ContNo,
							Renban = o.Renban,
							SupplierNo = o.SupplierNo,
							ShowOnly = o.ShowOnly,
							IsDisabled = o.IsDisabled,
							IsActive = o.IsActive,</v>
      </c>
      <c r="T18" s="9" t="str">
        <f ca="1">TEXTJOIN2("
",TRUE,INDIRECT( $T$2):INDIRECT($T$3))</f>
        <v xml:space="preserve">								("LaneNo"),
								("LaneName"),
								("ContNo"),
								("Renban"),
								("SupplierNo"),
								("ShowOnly"),
								("IsDisabled"),
								("IsActive"),</v>
      </c>
      <c r="V18" s="9" t="str">
        <f ca="1">TEXTJOIN2("
",TRUE,INDIRECT( $V$2):INDIRECT($V$3))</f>
        <v xml:space="preserve">								_ =&gt; _.LaneNo,
								_ =&gt; _.LaneName,
								_ =&gt; _.ContNo,
								_ =&gt; _.Renban,
								_ =&gt; _.SupplierNo,
								_ =&gt; _.ShowOnly,
								_ =&gt; _.IsDisabled,
								_ =&gt; _.IsActive,</v>
      </c>
      <c r="W18" s="9" t="str">
        <f ca="1">TEXTJOIN2("
",TRUE,INDIRECT( $W$2):INDIRECT($W$3))</f>
        <v xml:space="preserve">				.WhereIf(!string.IsNullOrWhiteSpace(input.LaneNo), e =&gt; e.LaneNo.Contains(input.LaneNo))
				.WhereIf(!string.IsNullOrWhiteSpace(input.LaneName), e =&gt; e.LaneName.Contains(input.LaneName))
				.WhereIf(!string.IsNullOrWhiteSpace(input.ContNo), e =&gt; e.ContNo.Contains(input.ContNo))
				.WhereIf(!string.IsNullOrWhiteSpace(input.Renban), e =&gt; e.Renban.Contains(input.Renban))
				.WhereIf(!string.IsNullOrWhiteSpace(input.SupplierNo), e =&gt; e.SupplierNo.Contains(input.SupplierNo))
				.WhereIf(!string.IsNullOrWhiteSpace(input.ShowOnly), e =&gt; e.ShowOnly.Contains(input.ShowOnly))
				.WhereIf(!string.IsNullOrWhiteSpace(input.IsDisabled), e =&gt; e.IsDisabled.Contains(input.IsDisabled))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5"/>
  <sheetViews>
    <sheetView workbookViewId="0">
      <selection activeCell="A15" sqref="A1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314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LogW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logw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MstLgwRobbingLane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RobbingLane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robbinglane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MstLgwRobbingLaneDto, MstLgwRobbingLaneServiceProxy } from '@shared/service-proxies/service-proxies';
import { finalize } from 'rxjs/internal/operators/finalize';
import { CreateOrEditRobbingLaneModalComponent } from './create-or-edit-robbinglane-modal.component';
import { DatePipe } from '@angular/common';
import { FileDownloadService } from '@shared/utils/file-download.service';
import ceil from 'lodash-es/ceil';
import { Paginator } from 'primeng/paginator';
@Component({
    templateUrl: './robbinglane.component.html',
    styleUrls: ['./robbinglane.component.less'],
})
export class RobbingLaneComponent extends AppComponentBase implements OnInit {
    @ViewChild('createOrEditModalRobbingLane', { static: true }) createOrEditModalRobbingLane:| CreateOrEditRobbingLaneModalComponent|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MstLgwRobbingLaneDto = new MstLgwRobbingLaneDto();
    saveSelectedRow: MstLgwRobbingLaneDto = new MstLgwRobbingLaneDto();
    datas: MstLgwRobbingLaneDto = new MstLgwRobbingLaneDto();
    isLoading: boolean = false;
    dataParams: GridParams | undefined;
    rowData: any[] = [];
    gridApi!: GridApi;
    rowSelection = 'multiple';
    filter: string = '';
	pipe = new DatePipe('en-US');
	frameworkComponents: FrameworkComponent;
    laneNo : string = '' ; 
	laneName : string = '' ; 
	contNo : string = '' ; 
	renban : string = '' ; 
	supplierNo : string = '' ; 
	showOnly : string = '' ; 
	isDisabled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MstLgwRobbingLaneServiceProxy,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this.l('Lane No'),headerTooltip: this.l('Lane No'),field: 'laneNo',flex: 1},
			{headerName: this.l('Lane Name'),headerTooltip: this.l('Lane Name'),field: 'laneName',flex: 1},
			{headerName: this.l('Cont No'),headerTooltip: this.l('Cont No'),field: 'contNo',flex: 1},
			{headerName: this.l('Renban'),headerTooltip: this.l('Renban'),field: 'renban',flex: 1},
			{headerName: this.l('Supplier No'),headerTooltip: this.l('Supplier No'),field: 'supplierNo',flex: 1},
			{headerName: this.l('Show Only'),headerTooltip: this.l('Show Only'),field:  'showOnly', cellClass: ['text-center'], width: 120, cellRenderer: 'agCellButtonComponent',
buttonDefTwo: { text: params =&gt; (params.data?.'showOnly' == 'Y') ? 'Active' : 'Inactive',iconName: 'fa fa-circle',className: params =&gt; (params.data?.'showOnly' == 'Y') ? 'btnActive' : 'btnInActive',},}
			{headerName: this.l('Is Disabled'),headerTooltip: this.l('Is Disabled'),field:  'isDisabled', cellClass: ['text-center'], width: 120, cellRenderer: 'agCellButtonComponent',
buttonDefTwo: { text: params =&gt; (params.data?.'isDisabled' == 'Y') ? 'Active' : 'Inactive',iconName: 'fa fa-circle',className: params =&gt; (params.data?.'isDisabled'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this.laneNo,
			this.laneName,
			this.contNo,
			this.renban,
			this.supplierNo,
			this.showOnly,
			this.isDisabled,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this.laneNo = '',
		this.laneName = '',
		this.contNo = '',
		this.renban = '',
		this.supplierNo = '',
		this.showOnly = '',
		this.isDisabled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this.laneNo,
			this.laneName,
			this.contNo,
			this.renban,
			this.supplierNo,
			this.showOnly,
			this.isDisabled,
			this.isActive,
			'',
            this.paginationParams.skipCount,
            this.paginationParams.pageSize
        );
    }
    onChangeRowSelection(params: { api: { getSelectedRows: () =&gt; MstLgwRobbingLaneDto[] } }) {
        this.saveSelectedRow = params.api.getSelectedRows()[0] ?? new MstLgwRobbingLaneDto();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MstLgwRobbingLaneDto):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this._service.getRobbingLaneToExcel(
			this.laneNo,
			this.laneName,
			this.contNo,
			this.renban,
			this.supplierNo,
			this.showOnly,
			this.isDisabled,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Robbing Lane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[(ngModel)]='laneNo' name='laneNo'
									class='form-control' [placeholder]="l('Lane No')"
									type='text' (keyup.enter)='searchDatas()'&gt;
								&lt;/div&gt;
								&lt;div class='input-search'&gt;
									&lt;input [(ngModel)]='laneName' name='laneName'
									class='form-control' [placeholder]="l('Lane Name')"
									type='text' (keyup.enter)='searchDatas()'&gt;
								&lt;/div&gt;
								&lt;div class='input-search'&gt;
									&lt;input [(ngModel)]='contNo' name='contNo'
									class='form-control' [placeholder]="l('Cont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[(ngModel)]='showOnly' name='showOnly'
									class='form-control' [placeholder]="l('Show Only')"
									type='text' (keyup.enter)='searchDatas()'&gt;
								&lt;/div&gt;
								&lt;div class='input-search'&gt;
									&lt;input [(ngModel)]='isDisabled' name='isDisabled'
									class='form-control' [placeholder]="l('Is Disabled')"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(click)="createOrEditModalRobbingLane.show()"&gt;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(click)="createOrEditModalRobbingLane.show(selectedRow)"&gt;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&lt;create-or-edit-robbinglane-modal
    #createOrEditModalRobbingLane
    (modalSave)="callBackDataGrid(dataParams)"
    (modalClose)="onChangeRowSelection(dataParams)"
&gt;
&lt;/create-or-edit-robbinglane-modal&gt;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#createOrEditModalRobbingLane="bs-modal"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RobbingLane')}}&lt;/h3&gt;
                    &lt;h3 *ngIf="!rowdata.id"&gt;{{('Create New RobbingLane')}}&lt;/h3&gt;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title'&gt;Lane No&lt;/label&gt;
						&lt;input type='text' class='col-md-10 form-control input-text' name='LaneNo' [(ngModel)]='rowdata.laneNo'&gt;
					&lt;/div&gt;
					&lt;div class='col-md-12 form-group row'&gt;
						&lt;label class='col-md-2 form-control title'&gt;Lane Name&lt;/label&gt;
						&lt;input type='text' class='col-md-10 form-control input-text' name='LaneName' [(ngModel)]='rowdata.laneName'&gt;
					&lt;/div&gt;
					&lt;div class='col-md-12 form-group row'&gt;
						&lt;label class='col-md-2 form-control title'&gt;Cont No&lt;/label&gt;
						&lt;input type='text' class='col-md-10 form-control input-text' name='ContNo' [(ngModel)]='rowdata.contNo'&gt;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title'&gt;Show Only&lt;/label&gt;
						&lt;new-checkbox [(ngModel)]='_showOnly' name='showOnly' className='col-md-10' &gt; &lt;/new-checkbox&gt;
					&lt;/div&gt;
					&lt;div class='col-md-12 form-group row'&gt;
						&lt;label class='col-md-2 form-control title'&gt;Is Disabled&lt;/label&gt;
						&lt;new-checkbox [(ngModel)]='_isDisabled' name='isDisabled'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CreateOrEditMstLgwRobbingLaneDto, MstLgwRobbingLaneServiceProxy } from '@shared/service-proxies/service-proxies';
import { BsDatepickerDirective } from 'ngx-bootstrap/datepicker';
@Component({
    selector: 'create-or-edit-robbinglane-modal',
    templateUrl: './create-or-edit-robbinglane-modal.component.html',
    styleUrls: ['./create-or-edit-robbinglane-modal.component.less']
    })
export class CreateOrEditRobbingLaneModalComponent extends AppComponentBase {
    @ViewChild('createOrEditModalRobbingLane',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CreateOrEditMstLgwRobbingLaneDto = new CreateOrEditMstLgwRobbingLaneDto();
    active: boolean = false;
    saving: boolean = false;
    _showOnly
isDisabled
isActive: boolean;
    constructor(
        injector: Injector,
        private _mstwptRobbingLaneService: MstLgwRobbingLaneServiceProxy,
    ) 
    {
        super(injector);
    }
    show(rowdata?: CreateOrEditMstLgwRobbingLaneDto): void {
        if (!rowdata) this.rowdata = new CreateOrEditMstLgwRobbingLaneDto();
        else this.rowdata = rowdata;
        this._showOnly
isDisabled
isActive = (this.rowdata.showOnly
isDisabled
isActive == "N")? false: true;
        this.active = true;
        this.modal.show();
    } 
    changeActive(event){
        this._showOnly
isDisabled
isActive = event.target.checked;
    }
    save(): void {
    this.saving = true; 
    this.rowdata.showOnly
isDisabled
isActive = (this._showOnly
isDisabled
isActive == true) ? 'Y' : 'N'
    this._mstwptRobbingLaneService.createOrEdit(this.rowdata)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RobbingLaneRoutingModule } from './robbinglane-routing.module';
import { RobbingLaneComponent } from './robbinglane.component';
import { CreateOrEditRobbingLaneModalComponent } from './create-or-edit-robbinglane-modal.component';
@NgModule({
    declarations: [
       RobbingLaneComponent, 
        CreateOrEditRobbingLaneModalComponent
    ],
    imports: [
        AppSharedModule, RobbingLaneRoutingModule]
})
export class RobbingLaneModule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RobbingLaneComponent } from './robbinglane.component';
const routes: Routes = [{
    path: '',
    component: RobbingLaneComponent,
    pathMatch: 'full'
}];
@NgModule({
    imports: [RouterModule.forChild(routes)],
    exports: [RouterModule],
})
export class RobbingLaneRoutingModule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AppMenuItem("RobbingLane", "Pages.Master.LogW.RobbingLane", "flaticon-book",   "/app/main/master/logw/robbinglane"),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'master/logw/robbinglane',
    loadChildren: () =&gt; import('./master/logw/robbinglane/robbinglane.module').then(m =&gt; m.RobbingLaneModule),
    data: { permission: 'Pages.Master.LogW.RobbingLane' }
},</v>
      </c>
      <c r="R10" s="50" t="str">
        <f>SUBSTITUTE(R9,"MstWptCalendar",$B$6)</f>
        <v>ApiServiceProxies.MstLgwRobbingLaneServiceProxy,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H22</v>
      </c>
      <c r="I12" s="31" t="str">
        <f>"I"&amp;COUNTA($A:$A)</f>
        <v>I22</v>
      </c>
      <c r="J12" s="31"/>
      <c r="K12" s="31" t="str">
        <f>"K"&amp;COUNTA($A:$A)</f>
        <v>K22</v>
      </c>
      <c r="L12" s="31" t="str">
        <f>"L"&amp;COUNTA($A:$A)</f>
        <v>L22</v>
      </c>
      <c r="M12" s="31"/>
      <c r="N12" s="31"/>
      <c r="O12" s="31"/>
      <c r="P12" s="31"/>
      <c r="Q12" s="31"/>
      <c r="R12" s="31"/>
      <c r="S12" s="31" t="str">
        <f>"S"&amp;COUNTA($A:$A)</f>
        <v>S22</v>
      </c>
      <c r="T12" s="31" t="str">
        <f>"T"&amp;COUNTA($A:$A)</f>
        <v>T22</v>
      </c>
      <c r="U12" s="31" t="str">
        <f>"U"&amp;COUNTA($A:$A)</f>
        <v>U22</v>
      </c>
      <c r="V12" s="31" t="str">
        <f>"V"&amp;COUNTA($A:$A)</f>
        <v>V22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this.l('Lane No'),headerTooltip: this.l('Lane No'),field: 'laneNo',flex: 1},
			{headerName: this.l('Lane Name'),headerTooltip: this.l('Lane Name'),field: 'laneName',flex: 1},
			{headerName: this.l('Cont No'),headerTooltip: this.l('Cont No'),field: 'contNo',flex: 1},
			{headerName: this.l('Renban'),headerTooltip: this.l('Renban'),field: 'renban',flex: 1},
			{headerName: this.l('Supplier No'),headerTooltip: this.l('Supplier No'),field: 'supplierNo',flex: 1},
			{headerName: this.l('Show Only'),headerTooltip: this.l('Show Only'),field:  'showOnly', cellClass: ['text-center'], width: 120, cellRenderer: 'agCellButtonComponent',
buttonDefTwo: { text: params =&gt; (params.data?.'showOnly' == 'Y') ? 'Active' : 'Inactive',iconName: 'fa fa-circle',className: params =&gt; (params.data?.'showOnly' == 'Y') ? 'btnActive' : 'btnInActive',},}
			{headerName: this.l('Is Disabled'),headerTooltip: this.l('Is Disabled'),field:  'isDisabled', cellClass: ['text-center'], width: 120, cellRenderer: 'agCellButtonComponent',
buttonDefTwo: { text: params =&gt; (params.data?.'isDisabled' == 'Y') ? 'Active' : 'Inactive',iconName: 'fa fa-circle',className: params =&gt; (params.data?.'isDisabled'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[(ngModel)]='laneNo' name='laneNo'
									class='form-control' [placeholder]="l('Lane No')"
									type='text' (keyup.enter)='searchDatas()'&gt;
								&lt;/div&gt;
								&lt;div class='input-search'&gt;
									&lt;input [(ngModel)]='laneName' name='laneName'
									class='form-control' [placeholder]="l('Lane Name')"
									type='text' (keyup.enter)='searchDatas()'&gt;
								&lt;/div&gt;
								&lt;div class='input-search'&gt;
									&lt;input [(ngModel)]='contNo' name='contNo'
									class='form-control' [placeholder]="l('Cont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[(ngModel)]='showOnly' name='showOnly'
									class='form-control' [placeholder]="l('Show Only')"
									type='text' (keyup.enter)='searchDatas()'&gt;
								&lt;/div&gt;
								&lt;div class='input-search'&gt;
									&lt;input [(ngModel)]='isDisabled' name='isDisabled'
									class='form-control' [placeholder]="l('Is Disabled')"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title'&gt;Lane No&lt;/label&gt;
						&lt;input type='text' class='col-md-10 form-control input-text' name='LaneNo' [(ngModel)]='rowdata.laneNo'&gt;
					&lt;/div&gt;
					&lt;div class='col-md-12 form-group row'&gt;
						&lt;label class='col-md-2 form-control title'&gt;Lane Name&lt;/label&gt;
						&lt;input type='text' class='col-md-10 form-control input-text' name='LaneName' [(ngModel)]='rowdata.laneName'&gt;
					&lt;/div&gt;
					&lt;div class='col-md-12 form-group row'&gt;
						&lt;label class='col-md-2 form-control title'&gt;Cont No&lt;/label&gt;
						&lt;input type='text' class='col-md-10 form-control input-text' name='ContNo' [(ngModel)]='rowdata.contNo'&gt;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title'&gt;Show Only&lt;/label&gt;
						&lt;new-checkbox [(ngModel)]='_showOnly' name='showOnly' className='col-md-10' &gt; &lt;/new-checkbox&gt;
					&lt;/div&gt;
					&lt;div class='col-md-12 form-group row'&gt;
						&lt;label class='col-md-2 form-control title'&gt;Is Disabled&lt;/label&gt;
						&lt;new-checkbox [(ngModel)]='_isDisabled' name='isDisabled'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laneNo : string = '' ; 
	laneName : string = '' ; 
	contNo : string = '' ; 
	renban : string = '' ; 
	supplierNo : string = '' ; 
	showOnly : string = '' ; 
	isDisabled : string = '' ; 
	isActive : string = '' ; </v>
      </c>
      <c r="T13" s="68" t="str">
        <f ca="1">TEXTJOIN2("
",TRUE,INDIRECT(T11):INDIRECT(T12))</f>
        <v xml:space="preserve">			this.laneNo,
			this.laneName,
			this.contNo,
			this.renban,
			this.supplierNo,
			this.showOnly,
			this.isDisabled,
			this.isActive,</v>
      </c>
      <c r="U13" s="68" t="str">
        <f ca="1">TEXTJOIN2("
",TRUE,INDIRECT(U11):INDIRECT(U12))</f>
        <v>this.laneNo = '',
		this.laneName = '',
		this.contNo = '',
		this.renban = '',
		this.supplierNo = '',
		this.showOnly = '',
		this.isDisabled = '',
		this.isActive = '',</v>
      </c>
      <c r="V13" s="31" t="str">
        <f ca="1">TEXTJOIN2("
",TRUE,INDIRECT(V11):INDIRECT(V12))</f>
        <v>showOnly
isDisabled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robbinglane.component.ts</v>
      </c>
      <c r="I14" s="40" t="str">
        <f>B8&amp;".component.html"</f>
        <v>robbinglane.component.html</v>
      </c>
      <c r="J14" s="39" t="str">
        <f>B8&amp;".component.less"</f>
        <v>robbinglane.component.less</v>
      </c>
      <c r="K14" s="40" t="str">
        <f>"create-or-edit-"&amp;B8&amp;"-modal.component.html"</f>
        <v>create-or-edit-robbinglane-modal.component.html</v>
      </c>
      <c r="L14" s="40" t="str">
        <f>"create-or-edit-"&amp;B8&amp;"-modal.component.ts"</f>
        <v>create-or-edit-robbinglane-modal.component.ts</v>
      </c>
      <c r="M14" s="40" t="str">
        <f>"create-or-edit-"&amp;B8&amp;"-modal.component.less"</f>
        <v>create-or-edit-robbinglane-modal.component.less</v>
      </c>
      <c r="N14" s="40" t="str">
        <f>B8&amp;".module.ts"</f>
        <v>robbinglane.module.ts</v>
      </c>
      <c r="O14" s="40" t="str">
        <f>B8&amp;"-routing.module.ts"</f>
        <v>robbinglane-routing.module.ts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306</v>
      </c>
      <c r="B15" s="31" t="str">
        <f>SUBSTITUTE(PROPER(A15),"_","")</f>
        <v>LaneNo</v>
      </c>
      <c r="C15" s="31" t="str">
        <f>SUBSTITUTE(PROPER(A15),"_"," ")</f>
        <v>Lane No</v>
      </c>
      <c r="D15" s="31" t="str">
        <f>LOWER(LEFT(B15,1))&amp;RIGHT(B15,LEN(B15) - 1)</f>
        <v>laneNo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this.l('Lane No'),headerTooltip: this.l('Lane No'),field: 'laneNo',flex: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[(ngModel)]='laneNo' name='laneNo'
									class='form-control' [placeholder]="l('Lane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title'&gt;Lane No&lt;/label&gt;
						&lt;input type='text' class='col-md-10 form-control input-text' name='LaneNo' [(ngModel)]='rowdata.laneNo'&gt;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laneNo : string = '' ; </v>
      </c>
      <c r="T15" s="31" t="str">
        <f>REPT(CHAR(9),3)&amp;"this."&amp;D15&amp;","</f>
        <v xml:space="preserve">			this.laneNo,</v>
      </c>
      <c r="U15" s="31" t="str">
        <f>IF(E15="int","this."&amp;D15&amp;" = 0,","this."&amp;D15&amp;" = '',")</f>
        <v>this.laneNo = '',</v>
      </c>
      <c r="V15" s="31" t="str">
        <f>IF(AND(E15="string",F15="1"),D15,"")</f>
        <v/>
      </c>
    </row>
    <row r="16" spans="1:22" ht="15" customHeight="1" x14ac:dyDescent="0.25">
      <c r="A16" s="44" t="s">
        <v>307</v>
      </c>
      <c r="B16" s="31" t="str">
        <f t="shared" ref="B16:B17" si="0">SUBSTITUTE(PROPER(A16),"_","")</f>
        <v>LaneName</v>
      </c>
      <c r="C16" s="31" t="str">
        <f t="shared" ref="C16:C17" si="1">SUBSTITUTE(PROPER(A16),"_"," ")</f>
        <v>Lane Name</v>
      </c>
      <c r="D16" s="31" t="str">
        <f t="shared" ref="D16:D17" si="2">LOWER(LEFT(B16,1))&amp;RIGHT(B16,LEN(B16) - 1)</f>
        <v>laneName</v>
      </c>
      <c r="E16" s="31" t="str">
        <f>A.Backend!H10</f>
        <v>string</v>
      </c>
      <c r="F16" s="31" t="str">
        <f>A.Backend!G10</f>
        <v>50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this.l('Lane Name'),headerTooltip: this.l('Lane Name'),field: 'laneName',flex: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[(ngModel)]='laneName' name='laneName'
									class='form-control' [placeholder]="l('Lane Name')"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title'&gt;Lane Name&lt;/label&gt;
						&lt;input type='text' class='col-md-10 form-control input-text' name='LaneName' [(ngModel)]='rowdata.laneName'&gt;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laneName : string = '' ; </v>
      </c>
      <c r="T16" s="31" t="str">
        <f>REPT(CHAR(9),3)&amp;"this."&amp;D16&amp;","</f>
        <v xml:space="preserve">			this.laneName,</v>
      </c>
      <c r="U16" s="31" t="str">
        <f>IF(E16="int",REPT(CHAR(9),2)&amp;"this."&amp;D16&amp;" = 0,",REPT(CHAR(9),2)&amp;"this."&amp;D16&amp;" = '',")</f>
        <v xml:space="preserve">		this.laneName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308</v>
      </c>
      <c r="B17" s="31" t="str">
        <f t="shared" si="0"/>
        <v>ContNo</v>
      </c>
      <c r="C17" s="31" t="str">
        <f t="shared" si="1"/>
        <v>Cont No</v>
      </c>
      <c r="D17" s="31" t="str">
        <f t="shared" si="2"/>
        <v>contNo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this.l('Cont No'),headerTooltip: this.l('Cont No'),field: 'contNo',flex: 1},</v>
      </c>
      <c r="I17" s="38" t="str">
        <f t="shared" si="5"/>
        <v xml:space="preserve">								&lt;div class='input-search'&gt;
									&lt;input [(ngModel)]='contNo' name='contNo'
									class='form-control' [placeholder]="l('Cont No')"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title'&gt;Cont No&lt;/label&gt;
						&lt;input type='text' class='col-md-10 form-control input-text' name='ContNo' [(ngModel)]='rowdata.contNo'&gt;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contNo : string = '' ; </v>
      </c>
      <c r="T17" s="31" t="str">
        <f t="shared" ref="T17:T19" si="10">REPT(CHAR(9),3)&amp;"this."&amp;D17&amp;","</f>
        <v xml:space="preserve">			this.contNo,</v>
      </c>
      <c r="U17" s="31" t="str">
        <f t="shared" ref="U17:U19" si="11">IF(E17="int",REPT(CHAR(9),2)&amp;"this."&amp;D17&amp;" = 0,",REPT(CHAR(9),2)&amp;"this."&amp;D17&amp;" = '',")</f>
        <v xml:space="preserve">		this.contNo = '',</v>
      </c>
      <c r="V17" s="31" t="str">
        <f t="shared" si="8"/>
        <v/>
      </c>
    </row>
    <row r="18" spans="1:22" ht="18" customHeight="1" x14ac:dyDescent="0.25">
      <c r="A18" s="44" t="s">
        <v>309</v>
      </c>
      <c r="B18" s="31" t="str">
        <f>SUBSTITUTE(PROPER(A18),"_","")</f>
        <v>Renban</v>
      </c>
      <c r="C18" s="31" t="str">
        <f>SUBSTITUTE(PROPER(A18),"_"," ")</f>
        <v>Renban</v>
      </c>
      <c r="D18" s="31" t="str">
        <f>LOWER(LEFT(B18,1))&amp;RIGHT(B18,LEN(B18) - 1)</f>
        <v>renban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this.l('Renban'),headerTooltip: this.l('Renban'),field: 'renban',flex: 1},</v>
      </c>
      <c r="I18" s="38" t="str">
        <f t="shared" si="5"/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renban : string = '' ; </v>
      </c>
      <c r="T18" s="31" t="str">
        <f t="shared" si="10"/>
        <v xml:space="preserve">			this.renban,</v>
      </c>
      <c r="U18" s="31" t="str">
        <f t="shared" si="11"/>
        <v xml:space="preserve">		this.renban = '',</v>
      </c>
      <c r="V18" s="31" t="str">
        <f t="shared" si="8"/>
        <v/>
      </c>
    </row>
    <row r="19" spans="1:22" ht="15" customHeight="1" x14ac:dyDescent="0.25">
      <c r="A19" s="44" t="s">
        <v>310</v>
      </c>
      <c r="B19" s="31" t="str">
        <f t="shared" ref="B19" si="12">SUBSTITUTE(PROPER(A19),"_","")</f>
        <v>SupplierNo</v>
      </c>
      <c r="C19" s="31" t="str">
        <f t="shared" ref="C19" si="13">SUBSTITUTE(PROPER(A19),"_"," ")</f>
        <v>Supplier No</v>
      </c>
      <c r="D19" s="31" t="str">
        <f t="shared" ref="D19" si="14">LOWER(LEFT(B19,1))&amp;RIGHT(B19,LEN(B19) - 1)</f>
        <v>supplierNo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this.l('Supplier No'),headerTooltip: this.l('Supplier No'),field: 'supplierNo',flex: 1},</v>
      </c>
      <c r="I19" s="38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supplierNo : string = '' ; </v>
      </c>
      <c r="T19" s="31" t="str">
        <f t="shared" si="10"/>
        <v xml:space="preserve">			this.supplierNo,</v>
      </c>
      <c r="U19" s="31" t="str">
        <f t="shared" si="11"/>
        <v xml:space="preserve">		this.supplierNo = '',</v>
      </c>
      <c r="V19" s="31" t="str">
        <f t="shared" si="8"/>
        <v/>
      </c>
    </row>
    <row r="20" spans="1:22" ht="15" customHeight="1" x14ac:dyDescent="0.25">
      <c r="A20" s="44" t="s">
        <v>311</v>
      </c>
      <c r="B20" s="31" t="str">
        <f t="shared" ref="B20:B21" si="15">SUBSTITUTE(PROPER(A20),"_","")</f>
        <v>ShowOnly</v>
      </c>
      <c r="C20" s="31" t="str">
        <f t="shared" ref="C20:C21" si="16">SUBSTITUTE(PROPER(A20),"_"," ")</f>
        <v>Show Only</v>
      </c>
      <c r="D20" s="31" t="str">
        <f t="shared" ref="D20:D21" si="17">LOWER(LEFT(B20,1))&amp;RIGHT(B20,LEN(B20) - 1)</f>
        <v>showOnly</v>
      </c>
      <c r="E20" s="31" t="str">
        <f>A.Backend!H14</f>
        <v>string</v>
      </c>
      <c r="F20" s="31" t="str">
        <f>A.Backend!G14</f>
        <v>1</v>
      </c>
      <c r="G20" s="31" t="str">
        <f t="shared" ref="G20:G22" si="18">IF(E20="string"," : string = '' ; ",IF(OR(E20="DateTime",E20="TimeSpan")," : any ;",IF(E20="int"," : number = 0 ;","")))</f>
        <v xml:space="preserve"> : string = '' ; </v>
      </c>
      <c r="H20" s="38" t="str">
        <f t="shared" ref="H20:H22" si="19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this.l('Show Only'),headerTooltip: this.l('Show Only'),field:  'showOnly', cellClass: ['text-center'], width: 120, cellRenderer: 'agCellButtonComponent',
buttonDefTwo: { text: params =&gt; (params.data?.'showOnly' == 'Y') ? 'Active' : 'Inactive',iconName: 'fa fa-circle',className: params =&gt; (params.data?.'showOnly' == 'Y') ? 'btnActive' : 'btnInActive',},}</v>
      </c>
      <c r="I20" s="38" t="str">
        <f t="shared" ref="I20:I22" si="20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[(ngModel)]='showOnly' name='showOnly'
									class='form-control' [placeholder]="l('Show Only')"
									type='text' (keyup.enter)='searchDatas()'&gt;
								&lt;/div&gt;</v>
      </c>
      <c r="J20" s="31"/>
      <c r="K20" s="38" t="str">
        <f t="shared" ref="K20:K22" si="21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title'&gt;Show Only&lt;/label&gt;
						&lt;new-checkbox [(ngModel)]='_showOnly' name='showOnly' className='col-md-10' &gt; &lt;/new-checkbox&gt;
					&lt;/div&gt;</v>
      </c>
      <c r="L20" s="60" t="str">
        <f t="shared" ref="L20:L22" si="22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showOnly : string = '' ; </v>
      </c>
      <c r="T20" s="31" t="str">
        <f>REPT(CHAR(9),3)&amp;"this."&amp;D20&amp;","</f>
        <v xml:space="preserve">			this.showOnly,</v>
      </c>
      <c r="U20" s="31" t="str">
        <f>IF(E20="int",REPT(CHAR(9),2)&amp;"this."&amp;D20&amp;" = 0,",REPT(CHAR(9),2)&amp;"this."&amp;D20&amp;" = '',")</f>
        <v xml:space="preserve">		this.showOnly = '',</v>
      </c>
      <c r="V20" s="31" t="str">
        <f t="shared" ref="V20:V22" si="23">IF(AND(E20="string",F20="1"),D20,"")</f>
        <v>showOnly</v>
      </c>
    </row>
    <row r="21" spans="1:22" ht="18" customHeight="1" x14ac:dyDescent="0.25">
      <c r="A21" s="44" t="s">
        <v>305</v>
      </c>
      <c r="B21" s="31" t="str">
        <f t="shared" si="15"/>
        <v>IsDisabled</v>
      </c>
      <c r="C21" s="31" t="str">
        <f t="shared" si="16"/>
        <v>Is Disabled</v>
      </c>
      <c r="D21" s="31" t="str">
        <f t="shared" si="17"/>
        <v>isDisabled</v>
      </c>
      <c r="E21" s="31" t="str">
        <f>A.Backend!H15</f>
        <v>string</v>
      </c>
      <c r="F21" s="31" t="str">
        <f>A.Backend!G15</f>
        <v>1</v>
      </c>
      <c r="G21" s="31" t="str">
        <f t="shared" si="18"/>
        <v xml:space="preserve"> : string = '' ; </v>
      </c>
      <c r="H21" s="38" t="str">
        <f t="shared" si="19"/>
        <v xml:space="preserve">			{headerName: this.l('Is Disabled'),headerTooltip: this.l('Is Disabled'),field:  'isDisabled', cellClass: ['text-center'], width: 120, cellRenderer: 'agCellButtonComponent',
buttonDefTwo: { text: params =&gt; (params.data?.'isDisabled' == 'Y') ? 'Active' : 'Inactive',iconName: 'fa fa-circle',className: params =&gt; (params.data?.'isDisabled' == 'Y') ? 'btnActive' : 'btnInActive',},}</v>
      </c>
      <c r="I21" s="38" t="str">
        <f t="shared" si="20"/>
        <v xml:space="preserve">								&lt;div class='input-search'&gt;
									&lt;input [(ngModel)]='isDisabled' name='isDisabled'
									class='form-control' [placeholder]="l('Is Disabled')"
									type='text' (keyup.enter)='searchDatas()'&gt;
								&lt;/div&gt;</v>
      </c>
      <c r="J21" s="31"/>
      <c r="K21" s="38" t="str">
        <f t="shared" si="21"/>
        <v xml:space="preserve">					&lt;div class='col-md-12 form-group row'&gt;
						&lt;label class='col-md-2 form-control title'&gt;Is Disabled&lt;/label&gt;
						&lt;new-checkbox [(ngModel)]='_isDisabled' name='isDisabled' className='col-md-10' &gt; &lt;/new-checkbox&gt;
					&lt;/div&gt;</v>
      </c>
      <c r="L21" s="60" t="str">
        <f t="shared" si="22"/>
        <v/>
      </c>
      <c r="M21" s="31"/>
      <c r="N21" s="31"/>
      <c r="O21" s="31"/>
      <c r="P21" s="31"/>
      <c r="Q21" s="31"/>
      <c r="R21" s="31"/>
      <c r="S21" s="31" t="str">
        <f t="shared" ref="S21:S22" si="24">REPT(CHAR(9),1)&amp;D21&amp;G21</f>
        <v xml:space="preserve">	isDisabled : string = '' ; </v>
      </c>
      <c r="T21" s="31" t="str">
        <f t="shared" ref="T21:T22" si="25">REPT(CHAR(9),3)&amp;"this."&amp;D21&amp;","</f>
        <v xml:space="preserve">			this.isDisabled,</v>
      </c>
      <c r="U21" s="31" t="str">
        <f t="shared" ref="U21:U22" si="26">IF(E21="int",REPT(CHAR(9),2)&amp;"this."&amp;D21&amp;" = 0,",REPT(CHAR(9),2)&amp;"this."&amp;D21&amp;" = '',")</f>
        <v xml:space="preserve">		this.isDisabled = '',</v>
      </c>
      <c r="V21" s="31" t="str">
        <f t="shared" si="23"/>
        <v>isDisabled</v>
      </c>
    </row>
    <row r="22" spans="1:22" ht="18" customHeight="1" x14ac:dyDescent="0.25">
      <c r="A22" s="44" t="s">
        <v>301</v>
      </c>
      <c r="B22" s="31" t="str">
        <f>SUBSTITUTE(PROPER(A22),"_","")</f>
        <v>IsActive</v>
      </c>
      <c r="C22" s="31" t="str">
        <f>SUBSTITUTE(PROPER(A22),"_"," ")</f>
        <v>Is Active</v>
      </c>
      <c r="D22" s="31" t="str">
        <f>LOWER(LEFT(B22,1))&amp;RIGHT(B22,LEN(B22) - 1)</f>
        <v>isActive</v>
      </c>
      <c r="E22" s="31" t="str">
        <f>A.Backend!H16</f>
        <v>string</v>
      </c>
      <c r="F22" s="31" t="str">
        <f>A.Backend!G16</f>
        <v>1</v>
      </c>
      <c r="G22" s="31" t="str">
        <f t="shared" si="18"/>
        <v xml:space="preserve"> : string = '' ; </v>
      </c>
      <c r="H22" s="38" t="str">
        <f t="shared" si="19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2" s="38" t="str">
        <f t="shared" si="20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2" s="31"/>
      <c r="K22" s="38" t="str">
        <f t="shared" si="21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2" s="60" t="str">
        <f t="shared" si="22"/>
        <v/>
      </c>
      <c r="M22" s="31"/>
      <c r="N22" s="31"/>
      <c r="O22" s="31"/>
      <c r="P22" s="31"/>
      <c r="Q22" s="31"/>
      <c r="R22" s="31"/>
      <c r="S22" s="31" t="str">
        <f t="shared" si="24"/>
        <v xml:space="preserve">	isActive : string = '' ; </v>
      </c>
      <c r="T22" s="31" t="str">
        <f t="shared" si="25"/>
        <v xml:space="preserve">			this.isActive,</v>
      </c>
      <c r="U22" s="31" t="str">
        <f t="shared" si="26"/>
        <v xml:space="preserve">		this.isActive = '',</v>
      </c>
      <c r="V22" s="31" t="str">
        <f t="shared" si="23"/>
        <v>isActive</v>
      </c>
    </row>
    <row r="2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2022-07-25T08:32:26Z</dcterms:modified>
</cp:coreProperties>
</file>
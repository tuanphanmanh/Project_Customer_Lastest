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Production\prod\docs\design\common\"/>
    </mc:Choice>
  </mc:AlternateContent>
  <xr:revisionPtr revIDLastSave="0" documentId="13_ncr:1_{FAA889AB-E54A-4F58-9CC0-C27AD490446C}" xr6:coauthVersionLast="36" xr6:coauthVersionMax="36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Sheet1" sheetId="6" r:id="rId3"/>
    <sheet name="B.Frontend" sheetId="5" r:id="rId4"/>
    <sheet name="Data Type Mapping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G11" i="1"/>
  <c r="E11" i="1"/>
  <c r="H11" i="1" s="1"/>
  <c r="D11" i="1"/>
  <c r="P11" i="1" s="1"/>
  <c r="L10" i="1"/>
  <c r="G10" i="1"/>
  <c r="E10" i="1"/>
  <c r="H10" i="1" s="1"/>
  <c r="D10" i="1"/>
  <c r="P10" i="1" s="1"/>
  <c r="G9" i="1"/>
  <c r="E9" i="1"/>
  <c r="H9" i="1" s="1"/>
  <c r="D9" i="1"/>
  <c r="P9" i="1" s="1"/>
  <c r="G8" i="1"/>
  <c r="E8" i="1"/>
  <c r="H8" i="1" s="1"/>
  <c r="D8" i="1"/>
  <c r="P8" i="1" s="1"/>
  <c r="G7" i="1"/>
  <c r="E7" i="1"/>
  <c r="H7" i="1" s="1"/>
  <c r="D7" i="1"/>
  <c r="P7" i="1" s="1"/>
  <c r="G12" i="1"/>
  <c r="E12" i="1"/>
  <c r="H12" i="1" s="1"/>
  <c r="D12" i="1"/>
  <c r="P12" i="1" s="1"/>
  <c r="P14" i="1"/>
  <c r="Q5" i="1" l="1"/>
  <c r="M8" i="1"/>
  <c r="M10" i="1"/>
  <c r="M12" i="1"/>
  <c r="N10" i="1"/>
  <c r="O7" i="1"/>
  <c r="I7" i="1"/>
  <c r="M7" i="1"/>
  <c r="O11" i="1"/>
  <c r="I11" i="1"/>
  <c r="M11" i="1"/>
  <c r="O9" i="1"/>
  <c r="J9" i="1"/>
  <c r="N9" i="1"/>
  <c r="I9" i="1"/>
  <c r="M9" i="1"/>
  <c r="I8" i="1"/>
  <c r="I10" i="1"/>
  <c r="O8" i="1"/>
  <c r="J10" i="1"/>
  <c r="O10" i="1"/>
  <c r="I12" i="1"/>
  <c r="N12" i="1"/>
  <c r="J12" i="1"/>
  <c r="O12" i="1"/>
  <c r="N5" i="1"/>
  <c r="G35" i="3" s="1"/>
  <c r="O5" i="1"/>
  <c r="H35" i="3" s="1"/>
  <c r="D4" i="1"/>
  <c r="J35" i="3" l="1"/>
  <c r="H4" i="1"/>
  <c r="N3" i="1"/>
  <c r="D1" i="1" l="1"/>
  <c r="B4" i="1"/>
  <c r="M3" i="1"/>
  <c r="L3" i="1"/>
  <c r="J3" i="1"/>
  <c r="H3" i="1"/>
  <c r="F3" i="1"/>
  <c r="G4" i="1" l="1"/>
  <c r="E4" i="1"/>
  <c r="F4" i="1"/>
  <c r="K5" i="1"/>
  <c r="D35" i="3" s="1"/>
  <c r="I3" i="1" l="1"/>
  <c r="B5" i="1"/>
  <c r="L7" i="1" s="1"/>
  <c r="L8" i="1" l="1"/>
  <c r="L12" i="1"/>
  <c r="L11" i="1"/>
  <c r="L9" i="1"/>
  <c r="N7" i="1"/>
  <c r="J11" i="1"/>
  <c r="N8" i="1"/>
  <c r="J8" i="1"/>
  <c r="N11" i="1"/>
  <c r="J7" i="1"/>
  <c r="C5" i="1"/>
  <c r="C4" i="1"/>
  <c r="P5" i="1" s="1"/>
  <c r="I35" i="3" s="1"/>
  <c r="I14" i="1"/>
  <c r="N14" i="1"/>
  <c r="K14" i="1"/>
  <c r="O14" i="1"/>
  <c r="M14" i="1"/>
  <c r="J14" i="1"/>
  <c r="L5" i="1" l="1"/>
  <c r="J5" i="1"/>
  <c r="M5" i="1"/>
  <c r="F35" i="3" l="1"/>
  <c r="C35" i="3"/>
  <c r="E3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</authors>
  <commentList>
    <comment ref="C3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Core. </t>
        </r>
      </text>
    </comment>
    <comment ref="E3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F3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G3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H3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I34" authorId="0" shapeId="0" xr:uid="{00000000-0006-0000-0000-000007000000}">
      <text>
        <r>
          <rPr>
            <b/>
            <sz val="9"/>
            <color indexed="81"/>
            <rFont val="Tahoma"/>
            <charset val="1"/>
          </rPr>
          <t>S_member: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Thinh Bui Duc</author>
    <author>S_member</author>
    <author>helpdesk</author>
  </authors>
  <commentList>
    <comment ref="B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Entity</t>
        </r>
      </text>
    </comment>
    <comment ref="C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Dto</t>
        </r>
      </text>
    </comment>
    <comment ref="D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Interface</t>
        </r>
      </text>
    </comment>
    <comment ref="E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Thinh Bui Duc:</t>
        </r>
        <r>
          <rPr>
            <sz val="9"/>
            <color indexed="81"/>
            <rFont val="Tahoma"/>
            <family val="2"/>
          </rPr>
          <t xml:space="preserve">
Service</t>
        </r>
      </text>
    </comment>
    <comment ref="J4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K4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L4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M4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A6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Không cần trường ID</t>
        </r>
      </text>
    </comment>
    <comment ref="F6" authorId="2" shapeId="0" xr:uid="{BB231DC8-D821-4853-8CA3-F3BC527192C7}">
      <text>
        <r>
          <rPr>
            <b/>
            <sz val="9"/>
            <color indexed="81"/>
            <rFont val="Tahoma"/>
            <charset val="1"/>
          </rPr>
          <t>helpdesk:</t>
        </r>
        <r>
          <rPr>
            <sz val="9"/>
            <color indexed="81"/>
            <rFont val="Tahoma"/>
            <charset val="1"/>
          </rPr>
          <t xml:space="preserve">
Optional</t>
        </r>
      </text>
    </comment>
  </commentList>
</comments>
</file>

<file path=xl/sharedStrings.xml><?xml version="1.0" encoding="utf-8"?>
<sst xmlns="http://schemas.openxmlformats.org/spreadsheetml/2006/main" count="227" uniqueCount="160">
  <si>
    <t>bigint</t>
  </si>
  <si>
    <t>Checked</t>
  </si>
  <si>
    <t>date</t>
  </si>
  <si>
    <t>varchar(1)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</si>
  <si>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</si>
  <si>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</si>
  <si>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</si>
  <si>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</si>
  <si>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</si>
  <si>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</si>
  <si>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</si>
  <si>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</si>
  <si>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</si>
  <si>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</si>
  <si>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</si>
  <si>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</si>
  <si>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</si>
  <si>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</si>
  <si>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</si>
  <si>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</si>
  <si>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</si>
  <si>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</si>
  <si>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</si>
  <si>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</si>
  <si>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</si>
  <si>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</si>
  <si>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</si>
  <si>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</si>
  <si>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</si>
  <si>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</si>
  <si>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</si>
  <si>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</si>
  <si>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</si>
  <si>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</si>
  <si>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</si>
  <si>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</si>
  <si>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</si>
  <si>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</si>
  <si>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</si>
  <si>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</si>
  <si>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</si>
  <si>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</si>
  <si>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</si>
  <si>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</si>
  <si>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</si>
  <si>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</si>
  <si>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</si>
  <si>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</si>
  <si>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</si>
  <si>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Y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</si>
  <si>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</si>
  <si>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</si>
  <si>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</si>
  <si>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</si>
  <si>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</si>
  <si>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</si>
  <si>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</si>
  <si>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</si>
  <si>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</si>
  <si>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</si>
  <si>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</si>
  <si>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</si>
  <si>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</si>
  <si>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</si>
  <si>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</si>
  <si>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</si>
  <si>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</si>
  <si>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</si>
  <si>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</si>
  <si>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</si>
  <si>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</si>
  <si>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5) Core AppPermissions</t>
  </si>
  <si>
    <t>6) AppAuthorizationProvider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</si>
  <si>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</si>
  <si>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</si>
  <si>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</si>
  <si>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</si>
  <si>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J7</t>
  </si>
  <si>
    <t>I7</t>
  </si>
  <si>
    <t>L7</t>
  </si>
  <si>
    <t>M7</t>
  </si>
  <si>
    <t>N7</t>
  </si>
  <si>
    <t>O7</t>
  </si>
  <si>
    <t>2) Front-End Template</t>
  </si>
  <si>
    <t>DEVELOPER GUIDE</t>
  </si>
  <si>
    <t xml:space="preserve"> 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</si>
  <si>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</si>
  <si>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</si>
  <si>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</si>
  <si>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</si>
  <si>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</si>
  <si>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</si>
  <si>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</si>
  <si>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</si>
  <si>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</si>
  <si>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</si>
  <si>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</si>
  <si>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P7</t>
  </si>
  <si>
    <t>End Field (Service GetAll)</t>
  </si>
  <si>
    <t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MstWptCalendarAppService : vovinaAppServiceBase, IMstWptCalendarAppService
    {
        private readonly IRepository&lt;MstWptCalendar, long&gt; _repo;
        private readonly IDapperRepository&lt;MstWptCalendar, long&gt; _dapperRepo;
        public MstWptCalendarAppService(IRepository&lt;MstWptCalendar, long&gt; repo, IDapperRepository&lt;MstWptCalendar, long&gt; dapperRepo)
        {
            _repo = repo;
            _dapperRepo = dapperRepo;
        }
        [AbpAuthorize(AppPermissions.Pages_Pages_Permission_To_Save_Infor)]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Task&lt;List&lt;MstWptCalendarDto&gt;&gt; GetAll(GetMstWptCalendarInput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MstWptCalendarDto
   {
&lt;PROPERTIES&gt;
   };
            return await lst.ToListAsync();
        }
    }
}
</t>
  </si>
  <si>
    <t>varchar(50)</t>
  </si>
  <si>
    <t>datetime2(7)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</si>
  <si>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</si>
  <si>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</si>
  <si>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</si>
  <si>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</si>
  <si>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</si>
  <si>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</si>
  <si>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</si>
  <si>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</si>
  <si>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</si>
  <si>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</si>
  <si>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</si>
  <si>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</si>
  <si>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</si>
  <si>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Mmm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</si>
  <si>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</si>
  <si>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</si>
  <si>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</si>
  <si>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</si>
  <si>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</si>
  <si>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</si>
  <si>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</si>
  <si>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</si>
  <si>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</si>
  <si>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</si>
  <si>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</si>
  <si>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</si>
  <si>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</si>
  <si>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</si>
  <si>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</si>
  <si>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</si>
  <si>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CmmSqlAuditLog</t>
  </si>
  <si>
    <t>Common.Loging</t>
  </si>
  <si>
    <t>Id</t>
  </si>
  <si>
    <t>Package</t>
  </si>
  <si>
    <t>Category</t>
  </si>
  <si>
    <t>ProcessName</t>
  </si>
  <si>
    <t>varchar(255)</t>
  </si>
  <si>
    <t>ErrorMessage</t>
  </si>
  <si>
    <t>varchar(4000)</t>
  </si>
  <si>
    <t>CreationTime</t>
  </si>
  <si>
    <t>CreatorUser</t>
  </si>
  <si>
    <t>WORKING_OWNER</t>
  </si>
  <si>
    <t>nvarchar(5)</t>
  </si>
  <si>
    <t>WORKING_DATE</t>
  </si>
  <si>
    <t>WORKING_TYPE</t>
  </si>
  <si>
    <t>varchar(10)</t>
  </si>
  <si>
    <t>WORKING_STATUS</t>
  </si>
  <si>
    <t>IS_ACTIVE</t>
  </si>
  <si>
    <t>SEASON_TYPE</t>
  </si>
  <si>
    <t>DAY_OF_WEEK</t>
  </si>
  <si>
    <t>varchar(100)</t>
  </si>
  <si>
    <t>WEEK_NUMBER</t>
  </si>
  <si>
    <t>WEEK_WORKING_DAYS</t>
  </si>
  <si>
    <t>Process_Name</t>
  </si>
  <si>
    <t>Error_Message</t>
  </si>
  <si>
    <t>Creation_Time</t>
  </si>
  <si>
    <t>Creator_User</t>
  </si>
  <si>
    <t>nvarchar(4000)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</si>
</sst>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5" borderId="0" xfId="0" applyFill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6" borderId="0" xfId="0" applyFont="1" applyFill="1"/>
    <xf numFmtId="0" fontId="0" fillId="6" borderId="0" xfId="0" applyFill="1"/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0" xfId="0" applyFill="1" applyAlignment="1">
      <alignment wrapText="1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workbookViewId="0">
      <selection activeCell="H15" sqref="H15"/>
    </sheetView>
  </sheetViews>
  <sheetFormatPr defaultRowHeight="15" x14ac:dyDescent="0.25"/>
  <cols>
    <col min="1" max="1" width="3.5703125" customWidth="1"/>
    <col min="2" max="18" width="18.5703125" customWidth="1"/>
  </cols>
  <sheetData>
    <row r="1" spans="1:6" ht="23.25" x14ac:dyDescent="0.35">
      <c r="A1" s="20" t="s">
        <v>84</v>
      </c>
    </row>
    <row r="2" spans="1:6" x14ac:dyDescent="0.25">
      <c r="A2" s="1"/>
      <c r="B2" s="1" t="s">
        <v>88</v>
      </c>
    </row>
    <row r="3" spans="1:6" x14ac:dyDescent="0.25">
      <c r="A3" s="1"/>
      <c r="B3" s="24" t="s">
        <v>87</v>
      </c>
    </row>
    <row r="4" spans="1:6" x14ac:dyDescent="0.25">
      <c r="A4" s="1"/>
      <c r="B4" s="24" t="s">
        <v>90</v>
      </c>
    </row>
    <row r="5" spans="1:6" x14ac:dyDescent="0.25">
      <c r="A5" s="1"/>
      <c r="B5" s="24" t="s">
        <v>103</v>
      </c>
    </row>
    <row r="6" spans="1:6" x14ac:dyDescent="0.25">
      <c r="A6" s="1"/>
      <c r="B6" s="24"/>
      <c r="C6" s="2" t="s">
        <v>113</v>
      </c>
      <c r="D6" s="2"/>
      <c r="E6" s="2"/>
      <c r="F6" s="2" t="s">
        <v>122</v>
      </c>
    </row>
    <row r="7" spans="1:6" x14ac:dyDescent="0.25">
      <c r="A7" s="1"/>
      <c r="B7" s="24"/>
      <c r="C7" t="s">
        <v>104</v>
      </c>
      <c r="F7" s="1" t="s">
        <v>114</v>
      </c>
    </row>
    <row r="8" spans="1:6" x14ac:dyDescent="0.25">
      <c r="A8" s="1"/>
      <c r="B8" s="24"/>
      <c r="D8" t="s">
        <v>105</v>
      </c>
      <c r="F8" s="1" t="s">
        <v>115</v>
      </c>
    </row>
    <row r="9" spans="1:6" x14ac:dyDescent="0.25">
      <c r="A9" s="1"/>
      <c r="B9" s="24"/>
      <c r="D9" t="s">
        <v>106</v>
      </c>
      <c r="F9" s="1" t="s">
        <v>116</v>
      </c>
    </row>
    <row r="10" spans="1:6" x14ac:dyDescent="0.25">
      <c r="A10" s="1"/>
      <c r="B10" s="24"/>
      <c r="D10" t="s">
        <v>107</v>
      </c>
      <c r="F10" s="1" t="s">
        <v>117</v>
      </c>
    </row>
    <row r="11" spans="1:6" x14ac:dyDescent="0.25">
      <c r="A11" s="1"/>
      <c r="B11" s="24"/>
      <c r="D11" t="s">
        <v>108</v>
      </c>
      <c r="F11" s="1" t="s">
        <v>118</v>
      </c>
    </row>
    <row r="12" spans="1:6" x14ac:dyDescent="0.25">
      <c r="A12" s="1"/>
      <c r="B12" s="24"/>
      <c r="D12" t="s">
        <v>109</v>
      </c>
      <c r="F12" s="1" t="s">
        <v>119</v>
      </c>
    </row>
    <row r="13" spans="1:6" x14ac:dyDescent="0.25">
      <c r="A13" s="1"/>
      <c r="B13" s="24"/>
      <c r="D13" t="s">
        <v>110</v>
      </c>
      <c r="F13" s="1" t="s">
        <v>120</v>
      </c>
    </row>
    <row r="14" spans="1:6" x14ac:dyDescent="0.25">
      <c r="A14" s="1"/>
      <c r="B14" s="24"/>
      <c r="C14" t="s">
        <v>107</v>
      </c>
      <c r="F14" s="1" t="s">
        <v>117</v>
      </c>
    </row>
    <row r="15" spans="1:6" x14ac:dyDescent="0.25">
      <c r="A15" s="1"/>
      <c r="B15" s="24"/>
      <c r="D15" t="s">
        <v>111</v>
      </c>
      <c r="F15" s="1" t="s">
        <v>131</v>
      </c>
    </row>
    <row r="16" spans="1:6" x14ac:dyDescent="0.25">
      <c r="A16" s="1"/>
      <c r="B16" s="24"/>
      <c r="D16" t="s">
        <v>112</v>
      </c>
      <c r="F16" s="1" t="s">
        <v>121</v>
      </c>
    </row>
    <row r="17" spans="1:6" x14ac:dyDescent="0.25">
      <c r="A17" s="1"/>
      <c r="B17" s="24"/>
      <c r="C17" t="s">
        <v>108</v>
      </c>
      <c r="F17" s="1" t="s">
        <v>118</v>
      </c>
    </row>
    <row r="18" spans="1:6" x14ac:dyDescent="0.25">
      <c r="A18" s="1"/>
      <c r="B18" s="24"/>
      <c r="C18" t="s">
        <v>109</v>
      </c>
      <c r="F18" s="1" t="s">
        <v>119</v>
      </c>
    </row>
    <row r="19" spans="1:6" x14ac:dyDescent="0.25">
      <c r="A19" s="1"/>
      <c r="B19" s="24"/>
    </row>
    <row r="20" spans="1:6" x14ac:dyDescent="0.25">
      <c r="A20" s="1"/>
      <c r="B20" s="24" t="s">
        <v>102</v>
      </c>
    </row>
    <row r="21" spans="1:6" x14ac:dyDescent="0.25">
      <c r="A21" s="1"/>
      <c r="B21" s="24" t="s">
        <v>95</v>
      </c>
    </row>
    <row r="22" spans="1:6" x14ac:dyDescent="0.25">
      <c r="A22" s="1"/>
      <c r="B22" s="24"/>
      <c r="C22" s="26" t="s">
        <v>92</v>
      </c>
    </row>
    <row r="23" spans="1:6" x14ac:dyDescent="0.25">
      <c r="A23" s="1"/>
      <c r="B23" s="24"/>
      <c r="C23" s="25" t="s">
        <v>93</v>
      </c>
    </row>
    <row r="24" spans="1:6" x14ac:dyDescent="0.25">
      <c r="A24" s="1"/>
      <c r="B24" s="24"/>
      <c r="C24" s="25" t="s">
        <v>94</v>
      </c>
    </row>
    <row r="25" spans="1:6" x14ac:dyDescent="0.25">
      <c r="A25" s="1"/>
      <c r="B25" s="24" t="s">
        <v>123</v>
      </c>
      <c r="C25" s="25"/>
    </row>
    <row r="26" spans="1:6" x14ac:dyDescent="0.25">
      <c r="A26" s="1"/>
      <c r="B26" s="24"/>
      <c r="C26" s="25" t="s">
        <v>124</v>
      </c>
    </row>
    <row r="27" spans="1:6" x14ac:dyDescent="0.25">
      <c r="A27" s="1"/>
      <c r="B27" s="24"/>
      <c r="C27" s="25" t="s">
        <v>125</v>
      </c>
    </row>
    <row r="28" spans="1:6" x14ac:dyDescent="0.25">
      <c r="A28" s="1"/>
      <c r="B28" s="24"/>
      <c r="C28" s="25" t="s">
        <v>126</v>
      </c>
    </row>
    <row r="29" spans="1:6" x14ac:dyDescent="0.25">
      <c r="A29" s="1"/>
      <c r="B29" s="24"/>
      <c r="C29" s="25" t="s">
        <v>128</v>
      </c>
    </row>
    <row r="30" spans="1:6" x14ac:dyDescent="0.25">
      <c r="A30" s="1"/>
      <c r="B30" s="24"/>
      <c r="C30" s="25" t="s">
        <v>130</v>
      </c>
    </row>
    <row r="31" spans="1:6" x14ac:dyDescent="0.25">
      <c r="A31" s="1"/>
      <c r="B31" s="24"/>
      <c r="C31" s="25" t="s">
        <v>129</v>
      </c>
    </row>
    <row r="32" spans="1:6" x14ac:dyDescent="0.25">
      <c r="A32" s="1"/>
      <c r="B32" s="24"/>
      <c r="C32" s="25" t="s">
        <v>127</v>
      </c>
    </row>
    <row r="33" spans="2:11" ht="21" customHeight="1" x14ac:dyDescent="0.25">
      <c r="B33" s="28" t="s">
        <v>89</v>
      </c>
    </row>
    <row r="34" spans="2:11" ht="15.75" thickBot="1" x14ac:dyDescent="0.3">
      <c r="C34" s="1" t="s">
        <v>76</v>
      </c>
      <c r="D34" s="1" t="s">
        <v>68</v>
      </c>
      <c r="E34" s="1" t="s">
        <v>69</v>
      </c>
      <c r="F34" s="1" t="s">
        <v>70</v>
      </c>
      <c r="G34" s="1" t="s">
        <v>71</v>
      </c>
      <c r="H34" s="1" t="s">
        <v>72</v>
      </c>
      <c r="I34" s="1" t="s">
        <v>73</v>
      </c>
      <c r="J34" s="1" t="s">
        <v>74</v>
      </c>
    </row>
    <row r="35" spans="2:11" s="21" customFormat="1" ht="21.75" customHeight="1" thickBot="1" x14ac:dyDescent="0.3">
      <c r="C35" s="22" t="str">
        <f ca="1">A.Backend!J5</f>
        <v xml:space="preserve">using Abp.Domain.Entities;
using Abp.Domain.Entities.Auditing;
using Microsoft.EntityFrameworkCore;
using System;
using System.ComponentModel.DataAnnotations;
using System.ComponentModel.DataAnnotations.Schema;
namespace vovina.Common.Loging
{
	[Table("CmmSqlAuditLog")]
	[Index(nameof(Package), Name="IX_CmmSqlAuditLog_Package")]
	[Index(nameof(Category), Name="IX_CmmSqlAuditLog_Category")]
	[Index(nameof(ProcessName), Name="IX_CmmSqlAuditLog_ProcessName")]
	public class CmmSqlAuditLog: FullAuditedEntity&lt;long&gt;, IEntity&lt;long&gt;	
	{
		public const int MaxPackageLength = 50;
		public const int MaxCategoryLength = 50;
		public const int MaxProcessNameLength = 255;
		public const int MaxErrorMessageLength = 4000;
		public const int MaxCreatorUserLength = 50;
		[StringLength(MaxPackageLength)]
		public virtual string Package { get; set; }
		[StringLength(MaxCategoryLength)]
		public virtual string Category { get; set; }
		[StringLength(MaxProcessNameLength)]
		public virtual string ProcessName { get; set; }
		[Column(TypeName="nvarchar(4000)")]
		[StringLength(MaxErrorMessageLength)]
		public virtual string ErrorMessage { get; set; }
		[Required]
		public virtual DateTime CreationTime { get; set; }
		[StringLength(MaxCreatorUserLength)]
		public virtual string CreatorUser { get; set; }
	}
}
</v>
      </c>
      <c r="D35" s="22" t="str">
        <f>A.Backend!K5</f>
        <v xml:space="preserve">public virtual DbSet&lt;CmmSqlAuditLog&gt; CmmSqlAuditLogs { get; set; }
</v>
      </c>
      <c r="E35" s="22" t="str">
        <f ca="1">A.Backend!L5</f>
        <v xml:space="preserve">namespace vovina.Common.Loging
{
	public class CmmSqlAuditLogConsts	
	{
		public const int MaxPackageLength = 50;
		public const int MaxCategoryLength = 50;
		public const int MaxProcessNameLength = 255;
		public const int MaxErrorMessageLength = 4000;
		public const int MaxCreatorUserLength = 50;
		// Define Store Name: Format SP_ + &lt;Store Name&gt; = &lt;Store Name&gt;
	}
}
</v>
      </c>
      <c r="F35" s="22" t="str">
        <f ca="1">A.Backend!M5</f>
        <v xml:space="preserve">using Abp.Application.Services.Dto;
using System;
using System.ComponentModel.DataAnnotations;
namespace vovina.Common.Loging.Dto
{
	public class CmmSqlAuditLogDto : EntityDto&lt;long?&gt;	
	{
		public virtual string Package { get; set; }
		public virtual string Category { get; set; }
		public virtual string ProcessName { get; set; }
		public virtual string ErrorMessage { get; set; }
		public virtual DateTime CreationTime { get; set; }
		public virtual string CreatorUser { get; set; }
	}
	public class CreateOrEditCmmSqlAuditLogDto : EntityDto&lt;long?&gt;	
	{
		[StringLength(CmmSqlAuditLogConsts.MaxPackageLength)]
		public virtual string Package { get; set; }
		[StringLength(CmmSqlAuditLogConsts.MaxCategoryLength)]
		public virtual string Category { get; set; }
		[StringLength(CmmSqlAuditLogConsts.MaxProcessNameLength)]
		public virtual string ProcessName { get; set; }
		[StringLength(CmmSqlAuditLogConsts.MaxErrorMessageLength)]
		public virtual string ErrorMessage { get; set; }
		[Required]
		public virtual DateTime CreationTime { get; set; }
		[StringLength(CmmSqlAuditLogConsts.MaxCreatorUserLength)]
		public virtual string CreatorUser { get; set; }
	}
	public class GetCmmSqlAuditLogInput	
	{
		public virtual string Package { get; set; }
		public virtual string Category { get; set; }
		public virtual string ProcessName { get; set; }
		public virtual string ErrorMessage { get; set; }
		public virtual DateTime CreationTime { get; set; }
		public virtual string CreatorUser { get; set; }
	}
}
</v>
      </c>
      <c r="G35" s="22" t="str">
        <f>A.Backend!N5</f>
        <v xml:space="preserve">		var perCmmSqlAuditLog = PARENTS.CreateChildPermission(AppPermissions.Pages_Common_Loging_AuditLog, L( "CommonLogingAuditLog"));
		perCmmSqlAuditLog.CreateChildPermission(AppPermissions.Pages_Common_Loging_AuditLog_CreateEdit, L( "CommonLogingAuditLogCreateEdit"));
		perCmmSqlAuditLog.CreateChildPermission(AppPermissions.Pages_Common_Loging_AuditLog_Delete, L( "CommonLogingAuditLogDelete"));</v>
      </c>
      <c r="H35" s="22" t="str">
        <f>A.Backend!O5</f>
        <v xml:space="preserve">		public const string Pages_Common_Loging_AuditLog = "Pages.Common.Loging.AuditLog";
		public const string Pages_Common_Loging_AuditLog_CreateEdit = "Pages.Common.Loging.AuditLog.CreateEdit";
		public const string Pages_Common_Loging_AuditLog_Delete = "Pages.Common.Loging.AuditLog.Delete";
</v>
      </c>
      <c r="I35" s="22" t="str">
        <f>A.Backend!P5</f>
        <v xml:space="preserve">using Abp.Application.Services;
using Abp.Application.Services.Dto;
using System.Collections.Generic;
using System.Threading.Tasks;
using vovina.Common.Loging.Dto;
namespace vovina.Common.Loging
{
	public interface ICmmSqlAuditLogAppService : IApplicationService
	{
		Task&lt;List&lt;CmmSqlAuditLogDto&gt;&gt; GetAll(GetCmmSqlAuditLogInput input);
		Task CreateOrEdit(CreateOrEditCmmSqlAuditLogDto input);
		Task Delete(EntityDto input);
	}
}
</v>
      </c>
      <c r="J35" s="22" t="str">
        <f ca="1">A.Backend!Q5</f>
        <v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CmmSqlAuditLogAppService : vovinaAppServiceBase, ICmmSqlAuditLogAppService
    {
        private readonly IRepository&lt;CmmSqlAuditLog, long&gt; _repo;
        private readonly IDapperRepository&lt;CmmSqlAuditLog, long&gt; _dapperRepo;
        public CmmSqlAuditLogAppService(IRepository&lt;CmmSqlAuditLog, long&gt; repo, IDapperRepository&lt;CmmSqlAuditLog, long&gt; dapperRepo)
        {
            _repo = repo;
            _dapperRepo = dapperRepo;
        }
        [AbpAuthorize(AppPermissions.Pages_Pages_Permission_To_Save_Infor)]
        public async Task CreateOrEdit(CreateOrEditCmmSqlAuditLogDto input)
        {
            if (input.Id == null) await Create(input);
            else await Update(input);
        }
        //CREATE
        private async Task Create(CreateOrEditCmmSqlAuditLogDto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ObjectMapper.Map&lt;CmmSqlAuditLog&gt;(input);
            await CurrentUnitOfWork.GetDbContext&lt;vovinaDbContext&gt;().AddAsync(mainObj);
        }
        // EDIT
        private async Task Update(CreateOrEditCmmSqlAuditLogDto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Task&lt;List&lt;CmmSqlAuditLogDto&gt;&gt; GetAll(GetCmmSqlAuditLogInput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CmmSqlAuditLogDto
   {
							Package = o.Package,
							Category = o.Category,
							ProcessName = o.ProcessName,
							ErrorMessage = o.ErrorMessage,
							CreationTime = o.CreationTime,
							CreatorUser = o.CreatorUser,
   };
            return await lst.ToListAsync();
        }
    }
}
</v>
      </c>
      <c r="K35" s="21" t="s">
        <v>85</v>
      </c>
    </row>
    <row r="36" spans="2:11" x14ac:dyDescent="0.25">
      <c r="B36" s="1" t="s">
        <v>83</v>
      </c>
    </row>
    <row r="38" spans="2:11" x14ac:dyDescent="0.25">
      <c r="B38" t="s">
        <v>85</v>
      </c>
    </row>
    <row r="40" spans="2:11" x14ac:dyDescent="0.25">
      <c r="B40" s="1" t="s">
        <v>86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14"/>
  <sheetViews>
    <sheetView workbookViewId="0">
      <pane xSplit="1" topLeftCell="B1" activePane="topRight" state="frozen"/>
      <selection pane="topRight" activeCell="A7" sqref="A7"/>
    </sheetView>
  </sheetViews>
  <sheetFormatPr defaultColWidth="9.140625" defaultRowHeight="15" x14ac:dyDescent="0.25"/>
  <cols>
    <col min="1" max="1" width="21.85546875" style="9" bestFit="1" customWidth="1"/>
    <col min="2" max="2" width="22.85546875" style="10" customWidth="1"/>
    <col min="3" max="3" width="19.42578125" style="9" customWidth="1"/>
    <col min="4" max="4" width="23.42578125" style="9" customWidth="1"/>
    <col min="5" max="5" width="14.42578125" style="9" customWidth="1"/>
    <col min="6" max="6" width="14.85546875" style="9" customWidth="1"/>
    <col min="7" max="7" width="17.28515625" style="9" bestFit="1" customWidth="1"/>
    <col min="8" max="8" width="17.28515625" style="9" customWidth="1"/>
    <col min="9" max="9" width="16" style="9" customWidth="1"/>
    <col min="10" max="13" width="23.140625" style="9" customWidth="1"/>
    <col min="14" max="14" width="22.85546875" style="9" customWidth="1"/>
    <col min="15" max="15" width="17.42578125" style="9" customWidth="1"/>
    <col min="16" max="16" width="22.28515625" style="9" customWidth="1"/>
    <col min="17" max="16384" width="9.140625" style="9"/>
  </cols>
  <sheetData>
    <row r="1" spans="1:17" s="12" customFormat="1" ht="14.25" customHeight="1" x14ac:dyDescent="0.25">
      <c r="A1" s="1" t="s">
        <v>12</v>
      </c>
      <c r="B1" s="11" t="s">
        <v>75</v>
      </c>
      <c r="C1" s="11" t="s">
        <v>56</v>
      </c>
      <c r="D1" s="11" t="str">
        <f>"using Abp.Application.Services;
using Abp.Application.Services.Dto;
using System.Collections.Generic;
using System.Threading.Tasks;
"&amp;"using vovina."&amp;B2&amp;".Dto;"</f>
        <v>using Abp.Application.Services;
using Abp.Application.Services.Dto;
using System.Collections.Generic;
using System.Threading.Tasks;
using vovina.Common.Loging.Dto;</v>
      </c>
      <c r="E1" s="11" t="s">
        <v>99</v>
      </c>
      <c r="F1" s="12" t="s">
        <v>77</v>
      </c>
      <c r="H1" s="12" t="s">
        <v>78</v>
      </c>
      <c r="J1" s="12" t="s">
        <v>79</v>
      </c>
      <c r="L1" s="12" t="s">
        <v>80</v>
      </c>
      <c r="M1" s="12" t="s">
        <v>81</v>
      </c>
      <c r="N1" s="12" t="s">
        <v>82</v>
      </c>
      <c r="O1" s="12" t="s">
        <v>97</v>
      </c>
    </row>
    <row r="2" spans="1:17" s="12" customFormat="1" x14ac:dyDescent="0.25">
      <c r="A2" s="1" t="s">
        <v>13</v>
      </c>
      <c r="B2" s="23" t="s">
        <v>133</v>
      </c>
      <c r="C2" s="19" t="s">
        <v>41</v>
      </c>
      <c r="D2" s="19" t="s">
        <v>42</v>
      </c>
      <c r="E2" s="19" t="s">
        <v>43</v>
      </c>
      <c r="F2" s="19" t="s">
        <v>53</v>
      </c>
      <c r="G2" s="19" t="s">
        <v>51</v>
      </c>
      <c r="H2" s="19" t="s">
        <v>54</v>
      </c>
      <c r="I2" s="19" t="s">
        <v>46</v>
      </c>
      <c r="J2" s="19" t="s">
        <v>55</v>
      </c>
      <c r="K2" s="19" t="s">
        <v>57</v>
      </c>
      <c r="L2" s="19" t="s">
        <v>64</v>
      </c>
      <c r="M2" s="19" t="s">
        <v>63</v>
      </c>
      <c r="N2" s="19" t="s">
        <v>67</v>
      </c>
      <c r="O2" s="19" t="s">
        <v>98</v>
      </c>
    </row>
    <row r="3" spans="1:17" s="12" customFormat="1" ht="33" customHeight="1" x14ac:dyDescent="0.25">
      <c r="A3" s="1" t="s">
        <v>6</v>
      </c>
      <c r="B3" s="23" t="s">
        <v>132</v>
      </c>
      <c r="C3" s="11" t="s">
        <v>44</v>
      </c>
      <c r="D3" s="11" t="s">
        <v>45</v>
      </c>
      <c r="E3" s="11" t="s">
        <v>40</v>
      </c>
      <c r="F3" s="12" t="str">
        <f>"J"&amp;COUNTA($A:$A)</f>
        <v>J12</v>
      </c>
      <c r="G3" s="4" t="s">
        <v>59</v>
      </c>
      <c r="H3" s="11" t="str">
        <f>"I"&amp;COUNTA($A:$A)</f>
        <v>I12</v>
      </c>
      <c r="I3" s="11" t="str">
        <f>REPT(CHAR(9),2)&amp;"[Required]"&amp;"
"</f>
        <v xml:space="preserve">		[Required]
</v>
      </c>
      <c r="J3" s="12" t="str">
        <f>"L"&amp;COUNTA($A:$A)</f>
        <v>L12</v>
      </c>
      <c r="K3" s="5" t="s">
        <v>58</v>
      </c>
      <c r="L3" s="12" t="str">
        <f>"M"&amp;COUNTA($A:$A)</f>
        <v>M12</v>
      </c>
      <c r="M3" s="12" t="str">
        <f>"N"&amp;COUNTA($A:$A)</f>
        <v>N12</v>
      </c>
      <c r="N3" s="12" t="str">
        <f>"O"&amp;COUNTA($A:$A)</f>
        <v>O12</v>
      </c>
      <c r="O3" s="12" t="str">
        <f>"P"&amp;COUNTA($A:$A)</f>
        <v>P12</v>
      </c>
    </row>
    <row r="4" spans="1:17" customFormat="1" ht="16.5" customHeight="1" x14ac:dyDescent="0.25">
      <c r="A4" s="1" t="s">
        <v>7</v>
      </c>
      <c r="B4" s="11" t="str">
        <f>"vovina."&amp;B2</f>
        <v>vovina.Common.Loging</v>
      </c>
      <c r="C4" s="12" t="str">
        <f>"namespace "&amp;$B$4&amp;"
"&amp;$C$3</f>
        <v xml:space="preserve">namespace vovina.Common.Loging
{
</v>
      </c>
      <c r="D4" s="12" t="str">
        <f>REPT(CHAR(9),1)&amp;"public class "&amp;B3&amp;G3&amp;REPT(CHAR(9),1)&amp;"
"&amp;REPT(CHAR(9),1)&amp;C3</f>
        <v xml:space="preserve">	public class CmmSqlAuditLog: FullAuditedEntity&lt;long&gt;, IEntity&lt;long&gt;	
	{
</v>
      </c>
      <c r="E4" s="12" t="str">
        <f>REPT(CHAR(9),1)&amp;"public class "&amp;B3&amp;"Consts"&amp;REPT(CHAR(9),1)&amp;"
"&amp;REPT(CHAR(9),1)&amp;C3</f>
        <v xml:space="preserve">	public class CmmSqlAuditLogConsts	
	{
</v>
      </c>
      <c r="F4" s="12" t="str">
        <f>REPT(CHAR(9),1)&amp;"public class "&amp;B3&amp;"Dto"&amp;K3&amp;REPT(CHAR(9),1)&amp;"
"&amp;REPT(CHAR(9),1)&amp;C3</f>
        <v xml:space="preserve">	public class CmmSqlAuditLogDto : EntityDto&lt;long?&gt;	
	{
</v>
      </c>
      <c r="G4" s="12" t="str">
        <f>REPT(CHAR(9),1)&amp;"public class CreateOrEdit"&amp;B3&amp;"Dto"&amp;K3&amp;REPT(CHAR(9),1)&amp;"
"&amp;REPT(CHAR(9),1)&amp;C3</f>
        <v xml:space="preserve">	public class CreateOrEditCmmSqlAuditLogDto : EntityDto&lt;long?&gt;	
	{
</v>
      </c>
      <c r="H4" s="12" t="str">
        <f>REPT(CHAR(9),1)&amp;"public class Get"&amp;B3&amp;"Input"&amp;REPT(CHAR(9),1)&amp;"
"&amp;REPT(CHAR(9),1)&amp;C3</f>
        <v xml:space="preserve">	public class GetCmmSqlAuditLogInput	
	{
</v>
      </c>
      <c r="I4" s="12"/>
      <c r="J4" s="1" t="s">
        <v>76</v>
      </c>
      <c r="K4" s="1" t="s">
        <v>68</v>
      </c>
      <c r="L4" s="1" t="s">
        <v>69</v>
      </c>
      <c r="M4" s="1" t="s">
        <v>70</v>
      </c>
      <c r="N4" s="1" t="s">
        <v>71</v>
      </c>
      <c r="O4" s="1" t="s">
        <v>72</v>
      </c>
      <c r="P4" s="1" t="s">
        <v>73</v>
      </c>
      <c r="Q4" s="1" t="s">
        <v>74</v>
      </c>
    </row>
    <row r="5" spans="1:17" customFormat="1" x14ac:dyDescent="0.25">
      <c r="A5" s="1" t="s">
        <v>14</v>
      </c>
      <c r="B5" s="11" t="str">
        <f>B3</f>
        <v>CmmSqlAuditLog</v>
      </c>
      <c r="C5" s="12" t="str">
        <f>REPT(CHAR(9),1)&amp;"[Table("""&amp;B5&amp;""")]"&amp;"
"</f>
        <v xml:space="preserve">	[Table("CmmSqlAuditLog")]
</v>
      </c>
      <c r="D5" s="12"/>
      <c r="E5" s="12"/>
      <c r="F5" s="12"/>
      <c r="G5" s="12"/>
      <c r="H5" s="12"/>
      <c r="I5" s="12"/>
      <c r="J5" s="6" t="str">
        <f ca="1">B1&amp;C4&amp;C5&amp;K14&amp;D4&amp;I14&amp;E3&amp;J14&amp;"
"&amp;REPT(CHAR(9),1)&amp;D3&amp;D3</f>
        <v xml:space="preserve">using Abp.Domain.Entities;
using Abp.Domain.Entities.Auditing;
using Microsoft.EntityFrameworkCore;
using System;
using System.ComponentModel.DataAnnotations;
using System.ComponentModel.DataAnnotations.Schema;
namespace vovina.Common.Loging
{
	[Table("CmmSqlAuditLog")]
	[Index(nameof(Package), Name="IX_CmmSqlAuditLog_Package")]
	[Index(nameof(Category), Name="IX_CmmSqlAuditLog_Category")]
	[Index(nameof(ProcessName), Name="IX_CmmSqlAuditLog_ProcessName")]
	public class CmmSqlAuditLog: FullAuditedEntity&lt;long&gt;, IEntity&lt;long&gt;	
	{
		public const int MaxPackageLength = 50;
		public const int MaxCategoryLength = 50;
		public const int MaxProcessNameLength = 255;
		public const int MaxErrorMessageLength = 4000;
		public const int MaxCreatorUserLength = 50;
		[StringLength(MaxPackageLength)]
		public virtual string Package { get; set; }
		[StringLength(MaxCategoryLength)]
		public virtual string Category { get; set; }
		[StringLength(MaxProcessNameLength)]
		public virtual string ProcessName { get; set; }
		[Column(TypeName="nvarchar(4000)")]
		[StringLength(MaxErrorMessageLength)]
		public virtual string ErrorMessage { get; set; }
		[Required]
		public virtual DateTime CreationTime { get; set; }
		[StringLength(MaxCreatorUserLength)]
		public virtual string CreatorUser { get; set; }
	}
}
</v>
      </c>
      <c r="K5" t="str">
        <f>"public virtual DbSet&lt;"&amp;B3&amp;"&gt; "&amp;B3&amp;"s { get; set; }
"</f>
        <v xml:space="preserve">public virtual DbSet&lt;CmmSqlAuditLog&gt; CmmSqlAuditLogs { get; set; }
</v>
      </c>
      <c r="L5" t="str">
        <f ca="1">C4&amp;E4&amp;I14&amp;"
"&amp;REPT(CHAR(9),2)&amp;"// Define Store Name: Format SP_ + &lt;Store Name&gt; = &lt;Store Name&gt;
"&amp;E3&amp;REPT(CHAR(9),1)&amp;D3&amp;D3</f>
        <v xml:space="preserve">namespace vovina.Common.Loging
{
	public class CmmSqlAuditLogConsts	
	{
		public const int MaxPackageLength = 50;
		public const int MaxCategoryLength = 50;
		public const int MaxProcessNameLength = 255;
		public const int MaxErrorMessageLength = 4000;
		public const int MaxCreatorUserLength = 50;
		// Define Store Name: Format SP_ + &lt;Store Name&gt; = &lt;Store Name&gt;
	}
}
</v>
      </c>
      <c r="M5" t="str">
        <f ca="1">C1&amp;"namespace "&amp;B4&amp;".Dto"&amp;E3&amp;C3&amp;F4&amp;M14&amp;E3&amp;REPT(CHAR(9),1)&amp;D3&amp;G4&amp;N14&amp;REPT(CHAR(9),1)&amp;D3&amp;H4&amp;O14&amp;"
"&amp;REPT(CHAR(9),1)&amp;D3&amp;D3</f>
        <v xml:space="preserve">using Abp.Application.Services.Dto;
using System;
using System.ComponentModel.DataAnnotations;
namespace vovina.Common.Loging.Dto
{
	public class CmmSqlAuditLogDto : EntityDto&lt;long?&gt;	
	{
		public virtual string Package { get; set; }
		public virtual string Category { get; set; }
		public virtual string ProcessName { get; set; }
		public virtual string ErrorMessage { get; set; }
		public virtual DateTime CreationTime { get; set; }
		public virtual string CreatorUser { get; set; }
	}
	public class CreateOrEditCmmSqlAuditLogDto : EntityDto&lt;long?&gt;	
	{
		[StringLength(CmmSqlAuditLogConsts.MaxPackageLength)]
		public virtual string Package { get; set; }
		[StringLength(CmmSqlAuditLogConsts.MaxCategoryLength)]
		public virtual string Category { get; set; }
		[StringLength(CmmSqlAuditLogConsts.MaxProcessNameLength)]
		public virtual string ProcessName { get; set; }
		[StringLength(CmmSqlAuditLogConsts.MaxErrorMessageLength)]
		public virtual string ErrorMessage { get; set; }
		[Required]
		public virtual DateTime CreationTime { get; set; }
		[StringLength(CmmSqlAuditLogConsts.MaxCreatorUserLength)]
		public virtual string CreatorUser { get; set; }
	}
	public class GetCmmSqlAuditLogInput	
	{
		public virtual string Package { get; set; }
		public virtual string Category { get; set; }
		public virtual string ProcessName { get; set; }
		public virtual string ErrorMessage { get; set; }
		public virtual DateTime CreationTime { get; set; }
		public virtual string CreatorUser { get; set; }
	}
}
</v>
      </c>
      <c r="N5" t="str">
        <f>REPT(CHAR(9),2)&amp;"var per"&amp;B3&amp;" = PARENTS.CreateChildPermission(AppPermissions.Pages_"&amp;SUBSTITUTE(B2,".","_")&amp;"_"&amp;RIGHT(B3,LEN(B3)-6)&amp;", L( """&amp;SUBSTITUTE(B2,".","")&amp;RIGHT(B3,LEN(B3)-6)&amp;"""));"
&amp;E3&amp;REPT(CHAR(9),2)&amp;"per"&amp;B3&amp;".CreateChildPermission(AppPermissions.Pages_"&amp;SUBSTITUTE(B2,".","_")&amp;"_"&amp;RIGHT(B3,LEN(B3)-6)&amp;"_CreateEdit, L( """&amp;SUBSTITUTE(B2,".","")&amp;RIGHT(B3,LEN(B3)-6)&amp;"CreateEdit"&amp;"""));"
&amp;E3&amp;REPT(CHAR(9),2)&amp;"per"&amp;B3&amp;".CreateChildPermission(AppPermissions.Pages_"&amp;SUBSTITUTE(B2,".","_")&amp;"_"&amp;RIGHT(B3,LEN(B3)-6)&amp;"_Delete, L( """&amp;SUBSTITUTE(B2,".","")&amp;RIGHT(B3,LEN(B3)-6)&amp;"Delete"&amp;"""));"</f>
        <v xml:space="preserve">		var perCmmSqlAuditLog = PARENTS.CreateChildPermission(AppPermissions.Pages_Common_Loging_AuditLog, L( "CommonLogingAuditLog"));
		perCmmSqlAuditLog.CreateChildPermission(AppPermissions.Pages_Common_Loging_AuditLog_CreateEdit, L( "CommonLogingAuditLogCreateEdit"));
		perCmmSqlAuditLog.CreateChildPermission(AppPermissions.Pages_Common_Loging_AuditLog_Delete, L( "CommonLogingAuditLogDelete"));</v>
      </c>
      <c r="O5" t="str">
        <f>REPT(CHAR(9),2)&amp;"public const string Pages_"&amp;SUBSTITUTE(B2,".","_")&amp;"_"&amp;RIGHT(B3,LEN(B3)-6)&amp;" = ""Pages."&amp;B2&amp;"."&amp;RIGHT(B3,LEN(B3)-6)&amp;""";"
&amp;E3&amp;REPT(CHAR(9),2)&amp;"public const string Pages_"&amp;SUBSTITUTE(B2,".","_")&amp;"_"&amp;RIGHT(B3,LEN(B3)-6)&amp;"_CreateEdit"&amp;" = ""Pages."&amp;B2&amp;"."&amp;RIGHT(B3,LEN(B3)-6)&amp;".CreateEdit"";"
&amp;E3&amp;REPT(CHAR(9),2)&amp;"public const string Pages_"&amp;SUBSTITUTE(B2,".","_")&amp;"_"&amp;RIGHT(B3,LEN(B3)-6)&amp;"_Delete"&amp;" = ""Pages."&amp;B2&amp;"."&amp;RIGHT(B3,LEN(B3)-6)&amp;".Delete"";
"</f>
        <v xml:space="preserve">		public const string Pages_Common_Loging_AuditLog = "Pages.Common.Loging.AuditLog";
		public const string Pages_Common_Loging_AuditLog_CreateEdit = "Pages.Common.Loging.AuditLog.CreateEdit";
		public const string Pages_Common_Loging_AuditLog_Delete = "Pages.Common.Loging.AuditLog.Delete";
</v>
      </c>
      <c r="P5" t="str">
        <f>D1&amp;E3&amp;E3
&amp;C4
&amp;REPT(CHAR(9),1)&amp;"public interface I"&amp;B3&amp;"AppService : IApplicationService"&amp;E3&amp;REPT(CHAR(9),1)&amp;C3
&amp;REPT(CHAR(9),2)&amp;"Task&lt;List&lt;"&amp;B3&amp;"Dto&gt;&gt;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</f>
        <v xml:space="preserve">using Abp.Application.Services;
using Abp.Application.Services.Dto;
using System.Collections.Generic;
using System.Threading.Tasks;
using vovina.Common.Loging.Dto;
namespace vovina.Common.Loging
{
	public interface ICmmSqlAuditLogAppService : IApplicationService
	{
		Task&lt;List&lt;CmmSqlAuditLogDto&gt;&gt; GetAll(GetCmmSqlAuditLogInput input);
		Task CreateOrEdit(CreateOrEditCmmSqlAuditLogDto input);
		Task Delete(EntityDto input);
	}
}
</v>
      </c>
      <c r="Q5" t="str">
        <f ca="1">SUBSTITUTE(SUBSTITUTE(E1,"MstWptCalendar",$B$3),"&lt;PROPERTIES&gt;",P14)</f>
        <v xml:space="preserve">using Abp.Application.Services.Dto;
using Abp.Authorization;
using Abp.Dapper.Repositories;
using Abp.Domain.Repositories;
using Abp.Domain.Uow;
using Abp.EntityFrameworkCore.Uow;
using Abp.Linq.Extensions;
using Abp.UI;
using Microsoft.EntityFrameworkCore;
using System;
using System.Collections.Generic;
using System.Linq;
using System.Linq.Dynamic.Core;
using System.Threading.Tasks;
using vovina.Authorization;
namespace vovina.Change.To.Appropriate
{
    [AbpAuthorize(AppPermissions.Pages_Permission_To_Access_Object)]
    public class CmmSqlAuditLogAppService : vovinaAppServiceBase, ICmmSqlAuditLogAppService
    {
        private readonly IRepository&lt;CmmSqlAuditLog, long&gt; _repo;
        private readonly IDapperRepository&lt;CmmSqlAuditLog, long&gt; _dapperRepo;
        public CmmSqlAuditLogAppService(IRepository&lt;CmmSqlAuditLog, long&gt; repo, IDapperRepository&lt;CmmSqlAuditLog, long&gt; dapperRepo)
        {
            _repo = repo;
            _dapperRepo = dapperRepo;
        }
        [AbpAuthorize(AppPermissions.Pages_Pages_Permission_To_Save_Infor)]
        public async Task CreateOrEdit(CreateOrEditCmmSqlAuditLogDto input)
        {
            if (input.Id == null) await Create(input);
            else await Update(input);
        }
        //CREATE
        private async Task Create(CreateOrEditCmmSqlAuditLogDto input)
        {
   // Replace e.Code va input.Code bang (cac) truong Key cua Entity
            var chk = await _repo.FirstOrDefaultAsync(e =&gt; e.Code == input.Code);
            if (chk != null)
            {
                throw new UserFriendlyException(400, L(""""Mã đã tồn tại"""")); // TODO: Change Message
            }
            var mainObj = ObjectMapper.Map&lt;CmmSqlAuditLog&gt;(input);
            await CurrentUnitOfWork.GetDbContext&lt;vovinaDbContext&gt;().AddAsync(mainObj);
        }
        // EDIT
        private async Task Update(CreateOrEditCmmSqlAuditLogDto input)
        {
            using (CurrentUnitOfWork.DisableFilter(AbpDataFilters.MayHaveTenant))
            {
                var chk = await _repo.FirstOrDefaultAsync(e =&gt; e.Code == input.Code);
                if (chk != null)
                {
                    throw new UserFriendlyException(400, """"Mã kiểu xe đã tồn tại"""");
                }
                var mainObj = await _repo.GetAll()
                .FirstOrDefaultAsync(e =&gt; e.Id == input.Id);
                var mainObjToUpdate = ObjectMapper.Map(input, mainObj);
            }
        }
        [AbpAuthorize(AppPermissions.Pages_Permission_To_Delete)]
        public async Task Delete(EntityDto input)
        {
   var mainObj = await _repo.FirstOrDefaultAsync(input.Id);
   CurrentUnitOfWork.GetDbContext&lt;vovinaDbContext&gt;().Remove(mainObj);
        }
        public async Task&lt;List&lt;CmmSqlAuditLogDto&gt;&gt; GetAll(GetCmmSqlAuditLogInput input)
        {
            var filtered = _repo.GetAll()
                .WhereIf(!string.IsNullOrWhiteSpace(input.Code), e =&gt; false || e.Code.Contains(input.Code))
                .Where(e =&gt; e.CfId == cfId);
   // TODO: update to map properties
            var lst =  from o in filtered
   select new CmmSqlAuditLogDto
   {
							Package = o.Package,
							Category = o.Category,
							ProcessName = o.ProcessName,
							ErrorMessage = o.ErrorMessage,
							CreationTime = o.CreationTime,
							CreatorUser = o.CreatorUser,
   };
            return await lst.ToListAsync();
        }
    }
}
</v>
      </c>
    </row>
    <row r="6" spans="1:17" s="2" customFormat="1" x14ac:dyDescent="0.25">
      <c r="A6" s="2" t="s">
        <v>8</v>
      </c>
      <c r="B6" s="3" t="s">
        <v>9</v>
      </c>
      <c r="C6" s="2" t="s">
        <v>11</v>
      </c>
      <c r="D6" s="2" t="s">
        <v>15</v>
      </c>
      <c r="E6" s="2" t="s">
        <v>38</v>
      </c>
      <c r="F6" s="2" t="s">
        <v>61</v>
      </c>
      <c r="G6" s="2" t="s">
        <v>10</v>
      </c>
      <c r="H6" s="2" t="s">
        <v>16</v>
      </c>
      <c r="I6" s="2" t="s">
        <v>52</v>
      </c>
      <c r="J6" s="2" t="s">
        <v>39</v>
      </c>
      <c r="K6" s="2" t="s">
        <v>47</v>
      </c>
      <c r="L6" s="2" t="s">
        <v>48</v>
      </c>
      <c r="M6" s="2" t="s">
        <v>65</v>
      </c>
      <c r="N6" s="2" t="s">
        <v>60</v>
      </c>
      <c r="O6" s="2" t="s">
        <v>66</v>
      </c>
      <c r="P6" s="27" t="s">
        <v>96</v>
      </c>
    </row>
    <row r="7" spans="1:17" customFormat="1" x14ac:dyDescent="0.25">
      <c r="A7" s="7" t="s">
        <v>135</v>
      </c>
      <c r="B7" s="8" t="s">
        <v>100</v>
      </c>
      <c r="C7" s="7" t="s">
        <v>1</v>
      </c>
      <c r="D7" t="str">
        <f t="shared" ref="D7:D11" si="0">SUBSTITUTE(PROPER(A7),"_","")</f>
        <v>Package</v>
      </c>
      <c r="E7" t="str">
        <f t="shared" ref="E7:E11" si="1">IFERROR(LEFT(B7, FIND("(",B7)-1),B7)</f>
        <v>varchar</v>
      </c>
      <c r="F7" s="7"/>
      <c r="G7" t="str">
        <f t="shared" ref="G7:G11" si="2">IFERROR(MID(B7,FIND("(",B7) +1, FIND(")",B7) - FIND("(",B7) - 1),"")</f>
        <v>50</v>
      </c>
      <c r="H7" t="str">
        <f>+VLOOKUP(E7,'Data Type Mapping'!A:B,2,)</f>
        <v>string</v>
      </c>
      <c r="I7" t="str">
        <f t="shared" ref="I7:I11" si="3">IF(H7="string",REPT(CHAR(9),2)&amp;"public const int Max"&amp;D7&amp;"Length = "&amp;G7&amp;";"&amp;$E$3,"" )</f>
        <v xml:space="preserve">		public const int MaxPackageLength = 50;
</v>
      </c>
      <c r="J7" t="str">
        <f t="shared" ref="J7:J8" si="4">IF(F7="","",REPT(CHAR(9),2)&amp;"[Column(TypeName="""&amp;F7&amp;""")]"&amp;$E$3)&amp;IF(C7="Checked","",$I$3)&amp;IF(H7="string",REPT(CHAR(9),2)&amp;"[StringLength(Max"&amp;D7&amp;"Length"&amp;")]"&amp;$E$3,"")&amp;REPT(CHAR(9),2)&amp;"public virtual "&amp;H7&amp;IF(C7="?","? "," ")&amp;D7&amp;" { get; set; }" &amp; "
"</f>
        <v xml:space="preserve">		[StringLength(MaxPackageLength)]
		public virtual string Package { get; set; }
</v>
      </c>
      <c r="K7" s="7" t="s">
        <v>49</v>
      </c>
      <c r="L7" t="str">
        <f t="shared" ref="L7:L11" si="5">IF(K7="","",REPT(CHAR(9),1)&amp;"[Index(nameof("&amp;IF(D7="","",""&amp;D7)&amp;")"&amp;", Name="&amp;"""IX_"&amp;$B$5&amp;"_"&amp;D7&amp;""")]")</f>
        <v xml:space="preserve">	[Index(nameof(Package), Name="IX_CmmSqlAuditLog_Package")]</v>
      </c>
      <c r="M7" t="str">
        <f t="shared" ref="M7:M11" si="6">REPT(CHAR(9),2)&amp;"public virtual "&amp;H7&amp;IF(C7="?","? "," ")&amp;D7&amp;" { get; set; }" &amp; "
"</f>
        <v xml:space="preserve">		public virtual string Package { get; set; }
</v>
      </c>
      <c r="N7" t="str">
        <f t="shared" ref="N7:N11" si="7">IF(C7="Checked","",$I$3)&amp;IF(H7="string",REPT(CHAR(9),2)&amp;"[StringLength("&amp;$B$3&amp;"Consts.Max"&amp;D7&amp;"Length"&amp;")]"&amp;$E$3,"")&amp;REPT(CHAR(9),2)&amp;"public virtual "&amp;H7&amp;IF(C7="?","? "," ")&amp;D7&amp;" { get; set; }" &amp; "
"</f>
        <v xml:space="preserve">		[StringLength(CmmSqlAuditLogConsts.MaxPackageLength)]
		public virtual string Package { get; set; }
</v>
      </c>
      <c r="O7" t="str">
        <f t="shared" ref="O7:O8" si="8">IF(OR(H7="string",H7="DateTime"),REPT(CHAR(9),2)&amp;"public virtual "&amp;H7&amp;IF(C7="?","? "," ")&amp;D7&amp;" { get; set; }"&amp;$E$3,"")</f>
        <v xml:space="preserve">		public virtual string Package { get; set; }
</v>
      </c>
      <c r="P7" t="str">
        <f>REPT(CHAR(9),7)&amp;D7&amp;" = o." &amp;D7 &amp;","</f>
        <v xml:space="preserve">							Package = o.Package,</v>
      </c>
    </row>
    <row r="8" spans="1:17" customFormat="1" x14ac:dyDescent="0.25">
      <c r="A8" s="7" t="s">
        <v>136</v>
      </c>
      <c r="B8" s="8" t="s">
        <v>100</v>
      </c>
      <c r="C8" s="7" t="s">
        <v>1</v>
      </c>
      <c r="D8" t="str">
        <f t="shared" si="0"/>
        <v>Category</v>
      </c>
      <c r="E8" t="str">
        <f t="shared" si="1"/>
        <v>varchar</v>
      </c>
      <c r="F8" s="7"/>
      <c r="G8" t="str">
        <f t="shared" si="2"/>
        <v>50</v>
      </c>
      <c r="H8" t="str">
        <f>+VLOOKUP(E8,'Data Type Mapping'!A:B,2,)</f>
        <v>string</v>
      </c>
      <c r="I8" t="str">
        <f t="shared" si="3"/>
        <v xml:space="preserve">		public const int MaxCategoryLength = 50;
</v>
      </c>
      <c r="J8" t="str">
        <f t="shared" si="4"/>
        <v xml:space="preserve">		[StringLength(MaxCategoryLength)]
		public virtual string Category { get; set; }
</v>
      </c>
      <c r="K8" s="7" t="s">
        <v>49</v>
      </c>
      <c r="L8" t="str">
        <f t="shared" si="5"/>
        <v xml:space="preserve">	[Index(nameof(Category), Name="IX_CmmSqlAuditLog_Category")]</v>
      </c>
      <c r="M8" t="str">
        <f t="shared" si="6"/>
        <v xml:space="preserve">		public virtual string Category { get; set; }
</v>
      </c>
      <c r="N8" t="str">
        <f t="shared" si="7"/>
        <v xml:space="preserve">		[StringLength(CmmSqlAuditLogConsts.MaxCategoryLength)]
		public virtual string Category { get; set; }
</v>
      </c>
      <c r="O8" t="str">
        <f t="shared" si="8"/>
        <v xml:space="preserve">		public virtual string Category { get; set; }
</v>
      </c>
      <c r="P8" t="str">
        <f t="shared" ref="P8:P12" si="9">REPT(CHAR(9),7)&amp;D8&amp;" = o." &amp;D8 &amp;","</f>
        <v xml:space="preserve">							Category = o.Category,</v>
      </c>
    </row>
    <row r="9" spans="1:17" customFormat="1" x14ac:dyDescent="0.25">
      <c r="A9" s="7" t="s">
        <v>155</v>
      </c>
      <c r="B9" s="8" t="s">
        <v>138</v>
      </c>
      <c r="C9" s="7" t="s">
        <v>1</v>
      </c>
      <c r="D9" t="str">
        <f t="shared" si="0"/>
        <v>ProcessName</v>
      </c>
      <c r="E9" t="str">
        <f t="shared" si="1"/>
        <v>varchar</v>
      </c>
      <c r="F9" s="7"/>
      <c r="G9" t="str">
        <f t="shared" si="2"/>
        <v>255</v>
      </c>
      <c r="H9" t="str">
        <f>+VLOOKUP(E9,'Data Type Mapping'!A:B,2,)</f>
        <v>string</v>
      </c>
      <c r="I9" t="str">
        <f t="shared" si="3"/>
        <v xml:space="preserve">		public const int MaxProcessNameLength = 255;
</v>
      </c>
      <c r="J9" t="str">
        <f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[StringLength(MaxProcessNameLength)]
		public virtual string ProcessName { get; set; }
</v>
      </c>
      <c r="K9" s="7" t="s">
        <v>49</v>
      </c>
      <c r="L9" t="str">
        <f t="shared" si="5"/>
        <v xml:space="preserve">	[Index(nameof(ProcessName), Name="IX_CmmSqlAuditLog_ProcessName")]</v>
      </c>
      <c r="M9" t="str">
        <f t="shared" si="6"/>
        <v xml:space="preserve">		public virtual string ProcessName { get; set; }
</v>
      </c>
      <c r="N9" t="str">
        <f t="shared" si="7"/>
        <v xml:space="preserve">		[StringLength(CmmSqlAuditLogConsts.MaxProcessNameLength)]
		public virtual string ProcessName { get; set; }
</v>
      </c>
      <c r="O9" t="str">
        <f>IF(OR(H9="string",H9="DateTime"),REPT(CHAR(9),2)&amp;"public virtual "&amp;H9&amp;IF(C9="?","? "," ")&amp;D9&amp;" { get; set; }"&amp;$E$3,"")</f>
        <v xml:space="preserve">		public virtual string ProcessName { get; set; }
</v>
      </c>
      <c r="P9" t="str">
        <f t="shared" si="9"/>
        <v xml:space="preserve">							ProcessName = o.ProcessName,</v>
      </c>
    </row>
    <row r="10" spans="1:17" customFormat="1" x14ac:dyDescent="0.25">
      <c r="A10" s="7" t="s">
        <v>156</v>
      </c>
      <c r="B10" s="8" t="s">
        <v>140</v>
      </c>
      <c r="C10" s="7" t="s">
        <v>1</v>
      </c>
      <c r="D10" t="str">
        <f t="shared" si="0"/>
        <v>ErrorMessage</v>
      </c>
      <c r="E10" t="str">
        <f t="shared" si="1"/>
        <v>varchar</v>
      </c>
      <c r="F10" s="7" t="s">
        <v>159</v>
      </c>
      <c r="G10" t="str">
        <f t="shared" si="2"/>
        <v>4000</v>
      </c>
      <c r="H10" t="str">
        <f>+VLOOKUP(E10,'Data Type Mapping'!A:B,2,)</f>
        <v>string</v>
      </c>
      <c r="I10" t="str">
        <f t="shared" si="3"/>
        <v xml:space="preserve">		public const int MaxErrorMessageLength = 4000;
</v>
      </c>
      <c r="J10" t="str">
        <f t="shared" ref="J10:J11" si="10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[Column(TypeName="nvarchar(4000)")]
		[StringLength(MaxErrorMessageLength)]
		public virtual string ErrorMessage { get; set; }
</v>
      </c>
      <c r="K10" s="7"/>
      <c r="L10" t="str">
        <f t="shared" si="5"/>
        <v/>
      </c>
      <c r="M10" t="str">
        <f t="shared" si="6"/>
        <v xml:space="preserve">		public virtual string ErrorMessage { get; set; }
</v>
      </c>
      <c r="N10" t="str">
        <f t="shared" si="7"/>
        <v xml:space="preserve">		[StringLength(CmmSqlAuditLogConsts.MaxErrorMessageLength)]
		public virtual string ErrorMessage { get; set; }
</v>
      </c>
      <c r="O10" t="str">
        <f t="shared" ref="O10:O11" si="11">IF(OR(H10="string",H10="DateTime"),REPT(CHAR(9),2)&amp;"public virtual "&amp;H10&amp;IF(C10="?","? "," ")&amp;D10&amp;" { get; set; }"&amp;$E$3,"")</f>
        <v xml:space="preserve">		public virtual string ErrorMessage { get; set; }
</v>
      </c>
      <c r="P10" t="str">
        <f t="shared" si="9"/>
        <v xml:space="preserve">							ErrorMessage = o.ErrorMessage,</v>
      </c>
    </row>
    <row r="11" spans="1:17" customFormat="1" x14ac:dyDescent="0.25">
      <c r="A11" s="7" t="s">
        <v>157</v>
      </c>
      <c r="B11" s="8" t="s">
        <v>101</v>
      </c>
      <c r="C11" s="7" t="s">
        <v>91</v>
      </c>
      <c r="D11" t="str">
        <f t="shared" si="0"/>
        <v>CreationTime</v>
      </c>
      <c r="E11" t="str">
        <f t="shared" si="1"/>
        <v>datetime2</v>
      </c>
      <c r="F11" s="7"/>
      <c r="G11" t="str">
        <f t="shared" si="2"/>
        <v>7</v>
      </c>
      <c r="H11" t="str">
        <f>+VLOOKUP(E11,'Data Type Mapping'!A:B,2,)</f>
        <v>DateTime</v>
      </c>
      <c r="I11" t="str">
        <f t="shared" si="3"/>
        <v/>
      </c>
      <c r="J11" t="str">
        <f t="shared" si="10"/>
        <v xml:space="preserve">		[Required]
		public virtual DateTime CreationTime { get; set; }
</v>
      </c>
      <c r="K11" s="7"/>
      <c r="L11" t="str">
        <f t="shared" si="5"/>
        <v/>
      </c>
      <c r="M11" t="str">
        <f t="shared" si="6"/>
        <v xml:space="preserve">		public virtual DateTime CreationTime { get; set; }
</v>
      </c>
      <c r="N11" t="str">
        <f t="shared" si="7"/>
        <v xml:space="preserve">		[Required]
		public virtual DateTime CreationTime { get; set; }
</v>
      </c>
      <c r="O11" t="str">
        <f t="shared" si="11"/>
        <v xml:space="preserve">		public virtual DateTime CreationTime { get; set; }
</v>
      </c>
      <c r="P11" t="str">
        <f t="shared" si="9"/>
        <v xml:space="preserve">							CreationTime = o.CreationTime,</v>
      </c>
    </row>
    <row r="12" spans="1:17" customFormat="1" x14ac:dyDescent="0.25">
      <c r="A12" s="7" t="s">
        <v>158</v>
      </c>
      <c r="B12" s="8" t="s">
        <v>100</v>
      </c>
      <c r="C12" s="7" t="s">
        <v>1</v>
      </c>
      <c r="D12" t="str">
        <f t="shared" ref="D12" si="12">SUBSTITUTE(PROPER(A12),"_","")</f>
        <v>CreatorUser</v>
      </c>
      <c r="E12" t="str">
        <f t="shared" ref="E12" si="13">IFERROR(LEFT(B12, FIND("(",B12)-1),B12)</f>
        <v>varchar</v>
      </c>
      <c r="F12" s="7"/>
      <c r="G12" t="str">
        <f t="shared" ref="G12" si="14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15">IF(H12="string",REPT(CHAR(9),2)&amp;"public const int Max"&amp;D12&amp;"Length = "&amp;G12&amp;";"&amp;$E$3,"" )</f>
        <v xml:space="preserve">		public const int MaxCreatorUserLength = 50;
</v>
      </c>
      <c r="J12" t="str">
        <f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[StringLength(MaxCreatorUserLength)]
		public virtual string CreatorUser { get; set; }
</v>
      </c>
      <c r="K12" s="7"/>
      <c r="L12" t="str">
        <f t="shared" ref="L12" si="16">IF(K12="","",REPT(CHAR(9),1)&amp;"[Index(nameof("&amp;IF(D12="","",""&amp;D12)&amp;")"&amp;", Name="&amp;"""IX_"&amp;$B$5&amp;"_"&amp;D12&amp;""")]")</f>
        <v/>
      </c>
      <c r="M12" t="str">
        <f t="shared" ref="M12" si="17">REPT(CHAR(9),2)&amp;"public virtual "&amp;H12&amp;IF(C12="?","? "," ")&amp;D12&amp;" { get; set; }" &amp; "
"</f>
        <v xml:space="preserve">		public virtual string CreatorUser { get; set; }
</v>
      </c>
      <c r="N12" t="str">
        <f t="shared" ref="N12" si="18">IF(C12="Checked","",$I$3)&amp;IF(H12="string",REPT(CHAR(9),2)&amp;"[StringLength("&amp;$B$3&amp;"Consts.Max"&amp;D12&amp;"Length"&amp;")]"&amp;$E$3,"")&amp;REPT(CHAR(9),2)&amp;"public virtual "&amp;H12&amp;IF(C12="?","? "," ")&amp;D12&amp;" { get; set; }" &amp; "
"</f>
        <v xml:space="preserve">		[StringLength(CmmSqlAuditLogConsts.MaxCreatorUserLength)]
		public virtual string CreatorUser { get; set; }
</v>
      </c>
      <c r="O12" t="str">
        <f>IF(OR(H12="string",H12="DateTime"),REPT(CHAR(9),2)&amp;"public virtual "&amp;H12&amp;IF(C12="?","? "," ")&amp;D12&amp;" { get; set; }"&amp;$E$3,"")</f>
        <v xml:space="preserve">		public virtual string CreatorUser { get; set; }
</v>
      </c>
      <c r="P12" t="str">
        <f t="shared" si="9"/>
        <v xml:space="preserve">							CreatorUser = o.CreatorUser,</v>
      </c>
    </row>
    <row r="14" spans="1:17" x14ac:dyDescent="0.25">
      <c r="H14" s="15"/>
      <c r="I14" s="13" t="str">
        <f ca="1">TEXTJOIN2("
", TRUE,INDIRECT( $H$1):INDIRECT( $H$3))</f>
        <v xml:space="preserve">		public const int MaxPackageLength = 50;
		public const int MaxCategoryLength = 50;
		public const int MaxProcessNameLength = 255;
		public const int MaxErrorMessageLength = 4000;
		public const int MaxCreatorUserLength = 50;
</v>
      </c>
      <c r="J14" s="14" t="str">
        <f ca="1">TEXTJOIN2("
", TRUE,INDIRECT( $F$1):INDIRECT( $F$3))</f>
        <v xml:space="preserve">		[StringLength(MaxPackageLength)]
		public virtual string Package { get; set; }
		[StringLength(MaxCategoryLength)]
		public virtual string Category { get; set; }
		[StringLength(MaxProcessNameLength)]
		public virtual string ProcessName { get; set; }
		[Column(TypeName="nvarchar(4000)")]
		[StringLength(MaxErrorMessageLength)]
		public virtual string ErrorMessage { get; set; }
		[Required]
		public virtual DateTime CreationTime { get; set; }
		[StringLength(MaxCreatorUserLength)]
		public virtual string CreatorUser { get; set; }
</v>
      </c>
      <c r="K14" s="16" t="str">
        <f ca="1">TEXTJOIN2("
", TRUE,INDIRECT( $J$1):INDIRECT( $J$3))</f>
        <v xml:space="preserve">	[Index(nameof(Package), Name="IX_CmmSqlAuditLog_Package")]
	[Index(nameof(Category), Name="IX_CmmSqlAuditLog_Category")]
	[Index(nameof(ProcessName), Name="IX_CmmSqlAuditLog_ProcessName")]
</v>
      </c>
      <c r="L14" s="17" t="s">
        <v>62</v>
      </c>
      <c r="M14" s="18" t="str">
        <f ca="1">TEXTJOIN2("
",TRUE,INDIRECT( $L$1):INDIRECT($L$3))</f>
        <v xml:space="preserve">		public virtual string Package { get; set; }
		public virtual string Category { get; set; }
		public virtual string ProcessName { get; set; }
		public virtual string ErrorMessage { get; set; }
		public virtual DateTime CreationTime { get; set; }
		public virtual string CreatorUser { get; set; }
</v>
      </c>
      <c r="N14" s="14" t="str">
        <f ca="1">TEXTJOIN2("
",TRUE,INDIRECT( $M$1):INDIRECT($M$3))</f>
        <v xml:space="preserve">		[StringLength(CmmSqlAuditLogConsts.MaxPackageLength)]
		public virtual string Package { get; set; }
		[StringLength(CmmSqlAuditLogConsts.MaxCategoryLength)]
		public virtual string Category { get; set; }
		[StringLength(CmmSqlAuditLogConsts.MaxProcessNameLength)]
		public virtual string ProcessName { get; set; }
		[StringLength(CmmSqlAuditLogConsts.MaxErrorMessageLength)]
		public virtual string ErrorMessage { get; set; }
		[Required]
		public virtual DateTime CreationTime { get; set; }
		[StringLength(CmmSqlAuditLogConsts.MaxCreatorUserLength)]
		public virtual string CreatorUser { get; set; }
</v>
      </c>
      <c r="O14" s="14" t="str">
        <f ca="1">TEXTJOIN2("
",TRUE,INDIRECT( $N$1):INDIRECT($N$3))</f>
        <v xml:space="preserve">		public virtual string Package { get; set; }
		public virtual string Category { get; set; }
		public virtual string ProcessName { get; set; }
		public virtual string ErrorMessage { get; set; }
		public virtual DateTime CreationTime { get; set; }
		public virtual string CreatorUser { get; set; }
</v>
      </c>
      <c r="P14" s="9" t="str">
        <f ca="1">TEXTJOIN2("
",TRUE,INDIRECT( $O$1):INDIRECT($O$3))</f>
        <v xml:space="preserve">							Package = o.Package,
							Category = o.Category,
							ProcessName = o.ProcessName,
							ErrorMessage = o.ErrorMessage,
							CreationTime = o.CreationTime,
							CreatorUser = o.CreatorUser,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78E6-35D0-498A-B23F-4AA652CB621D}">
  <dimension ref="F7:M29"/>
  <sheetViews>
    <sheetView workbookViewId="0">
      <selection activeCell="F8" sqref="F8:H13"/>
    </sheetView>
  </sheetViews>
  <sheetFormatPr defaultRowHeight="15" x14ac:dyDescent="0.25"/>
  <cols>
    <col min="6" max="6" width="13.140625" bestFit="1" customWidth="1"/>
    <col min="7" max="7" width="12.85546875" bestFit="1" customWidth="1"/>
    <col min="8" max="8" width="10.7109375" bestFit="1" customWidth="1"/>
    <col min="11" max="11" width="21.85546875" bestFit="1" customWidth="1"/>
    <col min="12" max="12" width="12" bestFit="1" customWidth="1"/>
    <col min="13" max="13" width="10.7109375" bestFit="1" customWidth="1"/>
  </cols>
  <sheetData>
    <row r="7" spans="6:8" x14ac:dyDescent="0.25">
      <c r="F7" t="s">
        <v>134</v>
      </c>
      <c r="G7" t="s">
        <v>0</v>
      </c>
      <c r="H7" t="s">
        <v>91</v>
      </c>
    </row>
    <row r="8" spans="6:8" x14ac:dyDescent="0.25">
      <c r="F8" t="s">
        <v>135</v>
      </c>
      <c r="G8" t="s">
        <v>100</v>
      </c>
      <c r="H8" t="s">
        <v>1</v>
      </c>
    </row>
    <row r="9" spans="6:8" x14ac:dyDescent="0.25">
      <c r="F9" t="s">
        <v>136</v>
      </c>
      <c r="G9" t="s">
        <v>100</v>
      </c>
      <c r="H9" t="s">
        <v>1</v>
      </c>
    </row>
    <row r="10" spans="6:8" x14ac:dyDescent="0.25">
      <c r="F10" t="s">
        <v>137</v>
      </c>
      <c r="G10" t="s">
        <v>138</v>
      </c>
      <c r="H10" t="s">
        <v>1</v>
      </c>
    </row>
    <row r="11" spans="6:8" x14ac:dyDescent="0.25">
      <c r="F11" t="s">
        <v>139</v>
      </c>
      <c r="G11" t="s">
        <v>140</v>
      </c>
      <c r="H11" t="s">
        <v>1</v>
      </c>
    </row>
    <row r="12" spans="6:8" x14ac:dyDescent="0.25">
      <c r="F12" t="s">
        <v>141</v>
      </c>
      <c r="G12" t="s">
        <v>101</v>
      </c>
      <c r="H12" t="s">
        <v>91</v>
      </c>
    </row>
    <row r="13" spans="6:8" x14ac:dyDescent="0.25">
      <c r="F13" t="s">
        <v>142</v>
      </c>
      <c r="G13" t="s">
        <v>100</v>
      </c>
      <c r="H13" t="s">
        <v>1</v>
      </c>
    </row>
    <row r="14" spans="6:8" x14ac:dyDescent="0.25">
      <c r="H14" t="s">
        <v>91</v>
      </c>
    </row>
    <row r="20" spans="11:13" x14ac:dyDescent="0.25">
      <c r="K20" t="s">
        <v>143</v>
      </c>
      <c r="L20" t="s">
        <v>144</v>
      </c>
      <c r="M20" t="s">
        <v>1</v>
      </c>
    </row>
    <row r="21" spans="11:13" x14ac:dyDescent="0.25">
      <c r="K21" t="s">
        <v>145</v>
      </c>
      <c r="L21" t="s">
        <v>2</v>
      </c>
      <c r="M21" t="s">
        <v>1</v>
      </c>
    </row>
    <row r="22" spans="11:13" x14ac:dyDescent="0.25">
      <c r="K22" t="s">
        <v>146</v>
      </c>
      <c r="L22" t="s">
        <v>147</v>
      </c>
      <c r="M22" t="s">
        <v>1</v>
      </c>
    </row>
    <row r="23" spans="11:13" x14ac:dyDescent="0.25">
      <c r="K23" t="s">
        <v>148</v>
      </c>
      <c r="L23" t="s">
        <v>147</v>
      </c>
      <c r="M23" t="s">
        <v>1</v>
      </c>
    </row>
    <row r="24" spans="11:13" x14ac:dyDescent="0.25">
      <c r="K24" t="s">
        <v>150</v>
      </c>
      <c r="L24" t="s">
        <v>147</v>
      </c>
      <c r="M24" t="s">
        <v>1</v>
      </c>
    </row>
    <row r="25" spans="11:13" x14ac:dyDescent="0.25">
      <c r="K25" t="s">
        <v>151</v>
      </c>
      <c r="L25" t="s">
        <v>152</v>
      </c>
      <c r="M25" t="s">
        <v>1</v>
      </c>
    </row>
    <row r="26" spans="11:13" x14ac:dyDescent="0.25">
      <c r="K26" t="s">
        <v>153</v>
      </c>
      <c r="L26" t="s">
        <v>5</v>
      </c>
      <c r="M26" t="s">
        <v>1</v>
      </c>
    </row>
    <row r="27" spans="11:13" x14ac:dyDescent="0.25">
      <c r="K27" t="s">
        <v>154</v>
      </c>
      <c r="L27" t="s">
        <v>5</v>
      </c>
      <c r="M27" t="s">
        <v>1</v>
      </c>
    </row>
    <row r="28" spans="11:13" x14ac:dyDescent="0.25">
      <c r="K28" t="s">
        <v>149</v>
      </c>
      <c r="L28" t="s">
        <v>3</v>
      </c>
      <c r="M28" t="s">
        <v>1</v>
      </c>
    </row>
    <row r="29" spans="11:13" x14ac:dyDescent="0.25">
      <c r="M29" t="s">
        <v>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B10" sqref="B10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9"/>
  <sheetViews>
    <sheetView workbookViewId="0">
      <selection activeCell="A2" sqref="A2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17</v>
      </c>
      <c r="B1" s="1" t="s">
        <v>18</v>
      </c>
    </row>
    <row r="2" spans="1:2" x14ac:dyDescent="0.25">
      <c r="A2" t="s">
        <v>20</v>
      </c>
      <c r="B2" t="s">
        <v>34</v>
      </c>
    </row>
    <row r="3" spans="1:2" x14ac:dyDescent="0.25">
      <c r="A3" t="s">
        <v>19</v>
      </c>
      <c r="B3" t="s">
        <v>34</v>
      </c>
    </row>
    <row r="4" spans="1:2" x14ac:dyDescent="0.25">
      <c r="A4" t="s">
        <v>21</v>
      </c>
      <c r="B4" t="s">
        <v>22</v>
      </c>
    </row>
    <row r="5" spans="1:2" x14ac:dyDescent="0.25">
      <c r="A5" t="s">
        <v>23</v>
      </c>
      <c r="B5" t="s">
        <v>37</v>
      </c>
    </row>
    <row r="6" spans="1:2" x14ac:dyDescent="0.25">
      <c r="A6" t="s">
        <v>24</v>
      </c>
      <c r="B6" t="s">
        <v>35</v>
      </c>
    </row>
    <row r="7" spans="1:2" x14ac:dyDescent="0.25">
      <c r="A7" t="s">
        <v>25</v>
      </c>
      <c r="B7" t="s">
        <v>5</v>
      </c>
    </row>
    <row r="8" spans="1:2" x14ac:dyDescent="0.25">
      <c r="A8" t="s">
        <v>5</v>
      </c>
      <c r="B8" t="s">
        <v>5</v>
      </c>
    </row>
    <row r="9" spans="1:2" x14ac:dyDescent="0.25">
      <c r="A9" t="s">
        <v>0</v>
      </c>
      <c r="B9" t="s">
        <v>50</v>
      </c>
    </row>
    <row r="10" spans="1:2" x14ac:dyDescent="0.25">
      <c r="A10" t="s">
        <v>26</v>
      </c>
      <c r="B10" t="s">
        <v>29</v>
      </c>
    </row>
    <row r="11" spans="1:2" x14ac:dyDescent="0.25">
      <c r="A11" t="s">
        <v>27</v>
      </c>
      <c r="B11" t="s">
        <v>29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29</v>
      </c>
      <c r="B13" t="s">
        <v>29</v>
      </c>
    </row>
    <row r="14" spans="1:2" x14ac:dyDescent="0.25">
      <c r="A14" t="s">
        <v>30</v>
      </c>
      <c r="B14" t="s">
        <v>29</v>
      </c>
    </row>
    <row r="15" spans="1:2" x14ac:dyDescent="0.25">
      <c r="A15" t="s">
        <v>31</v>
      </c>
      <c r="B15" t="s">
        <v>29</v>
      </c>
    </row>
    <row r="16" spans="1:2" x14ac:dyDescent="0.25">
      <c r="A16" t="s">
        <v>32</v>
      </c>
      <c r="B16" t="s">
        <v>33</v>
      </c>
    </row>
    <row r="17" spans="1:2" x14ac:dyDescent="0.25">
      <c r="A17" t="s">
        <v>4</v>
      </c>
      <c r="B17" t="s">
        <v>33</v>
      </c>
    </row>
    <row r="18" spans="1:2" x14ac:dyDescent="0.25">
      <c r="A18" t="s">
        <v>36</v>
      </c>
      <c r="B18" t="s">
        <v>33</v>
      </c>
    </row>
    <row r="19" spans="1:2" x14ac:dyDescent="0.25">
      <c r="A19" t="s">
        <v>2</v>
      </c>
      <c r="B19" t="s">
        <v>33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Sheet1</vt:lpstr>
      <vt:lpstr>B.Frontend</vt:lpstr>
      <vt:lpstr>Data Type 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helpdesk</cp:lastModifiedBy>
  <dcterms:created xsi:type="dcterms:W3CDTF">2022-04-01T07:31:40Z</dcterms:created>
  <dcterms:modified xsi:type="dcterms:W3CDTF">2022-04-21T07:01:43Z</dcterms:modified>
</cp:coreProperties>
</file>
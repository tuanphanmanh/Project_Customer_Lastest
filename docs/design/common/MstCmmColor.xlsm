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+\docs\design\common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8" i="3" l="1"/>
  <c r="E16" i="5" l="1"/>
  <c r="G16" i="5" s="1"/>
  <c r="F16" i="5"/>
  <c r="E17" i="5"/>
  <c r="F17" i="5"/>
  <c r="G17" i="5"/>
  <c r="E18" i="5"/>
  <c r="F18" i="5"/>
  <c r="G18" i="5"/>
  <c r="E19" i="5"/>
  <c r="G19" i="5" s="1"/>
  <c r="F19" i="5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I19" i="5" l="1"/>
  <c r="S19" i="5"/>
  <c r="T19" i="5"/>
  <c r="V19" i="5"/>
  <c r="U19" i="5"/>
  <c r="K19" i="5"/>
  <c r="H19" i="5"/>
  <c r="L13" i="1"/>
  <c r="G13" i="1"/>
  <c r="E13" i="1"/>
  <c r="H13" i="1" s="1"/>
  <c r="D13" i="1"/>
  <c r="V13" i="1" s="1"/>
  <c r="W13" i="1" l="1"/>
  <c r="P13" i="1"/>
  <c r="T13" i="1"/>
  <c r="I13" i="1"/>
  <c r="N13" i="1"/>
  <c r="M13" i="1"/>
  <c r="J13" i="1"/>
  <c r="O13" i="1"/>
  <c r="B7" i="5"/>
  <c r="B6" i="5"/>
  <c r="B2" i="5"/>
  <c r="B8" i="5" l="1"/>
  <c r="B3" i="5"/>
  <c r="B6" i="1" l="1"/>
  <c r="L19" i="5" l="1"/>
  <c r="C15" i="5"/>
  <c r="B15" i="5"/>
  <c r="D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U18" i="5" l="1"/>
  <c r="K18" i="5"/>
  <c r="T18" i="5"/>
  <c r="V18" i="5"/>
  <c r="I18" i="5"/>
  <c r="H18" i="5"/>
  <c r="S17" i="5"/>
  <c r="K17" i="5"/>
  <c r="V17" i="5"/>
  <c r="T17" i="5"/>
  <c r="I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S18" i="5" l="1"/>
  <c r="U17" i="5"/>
  <c r="G9" i="1"/>
  <c r="F15" i="5" s="1"/>
  <c r="E9" i="1"/>
  <c r="H9" i="1" s="1"/>
  <c r="E15" i="5" s="1"/>
  <c r="D9" i="1"/>
  <c r="V9" i="1" s="1"/>
  <c r="T15" i="5" l="1"/>
  <c r="I15" i="5"/>
  <c r="K15" i="5"/>
  <c r="H15" i="5"/>
  <c r="G15" i="5"/>
  <c r="U15" i="5" s="1"/>
  <c r="V15" i="5"/>
  <c r="L15" i="5"/>
  <c r="W9" i="1"/>
  <c r="P9" i="1"/>
  <c r="T9" i="1"/>
  <c r="I9" i="1"/>
  <c r="M9" i="1"/>
  <c r="O9" i="1"/>
  <c r="S15" i="5" l="1"/>
  <c r="Q3" i="1"/>
  <c r="B4" i="5" s="1"/>
  <c r="B5" i="5" s="1"/>
  <c r="G10" i="1" l="1"/>
  <c r="E10" i="1"/>
  <c r="H10" i="1" s="1"/>
  <c r="D10" i="1"/>
  <c r="T10" i="1" s="1"/>
  <c r="H16" i="5" l="1"/>
  <c r="V16" i="5"/>
  <c r="T16" i="5"/>
  <c r="K16" i="5"/>
  <c r="I16" i="5"/>
  <c r="U16" i="5"/>
  <c r="L16" i="5"/>
  <c r="P10" i="1"/>
  <c r="V10" i="1"/>
  <c r="W10" i="1"/>
  <c r="J10" i="1"/>
  <c r="I10" i="1"/>
  <c r="O10" i="1"/>
  <c r="N10" i="1"/>
  <c r="M10" i="1"/>
  <c r="S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5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15" i="1"/>
  <c r="T7" i="1" l="1"/>
  <c r="W15" i="1"/>
  <c r="G6" i="1" l="1"/>
  <c r="H13" i="5"/>
  <c r="S13" i="5"/>
  <c r="K13" i="5"/>
  <c r="U13" i="5"/>
  <c r="L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J9" i="1" l="1"/>
  <c r="N9" i="1"/>
  <c r="L9" i="1"/>
  <c r="L10" i="1"/>
  <c r="C7" i="1"/>
  <c r="P15" i="1"/>
  <c r="N15" i="1"/>
  <c r="J15" i="1"/>
  <c r="O15" i="1"/>
  <c r="I15" i="1"/>
  <c r="Q7" i="1" l="1"/>
  <c r="M68" i="3" s="1"/>
  <c r="L7" i="1"/>
  <c r="G68" i="3" s="1"/>
  <c r="K68" i="3"/>
  <c r="J68" i="3"/>
  <c r="M15" i="1"/>
  <c r="K1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<sst xmlns="http://schemas.openxmlformats.org/spreadsheetml/2006/main" count="451" uniqueCount="366">
  <si>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</si>
  <si>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</si>
  <si>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</si>
  <si>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</si>
  <si>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</si>
  <si>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</si>
  <si>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</si>
  <si>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</si>
  <si>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</si>
  <si>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</si>
  <si>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</si>
  <si>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</si>
  <si>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</si>
  <si>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</si>
  <si>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</si>
  <si>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</si>
  <si>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</si>
  <si>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</si>
  <si>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</si>
  <si>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</si>
  <si>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</si>
  <si>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</si>
  <si>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</si>
  <si>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</si>
  <si>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</si>
  <si>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</si>
  <si>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</si>
  <si>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</si>
  <si>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</si>
  <si>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</si>
  <si>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</si>
  <si>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</si>
  <si>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</si>
  <si>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</si>
  <si>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</si>
  <si>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</si>
  <si>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</si>
  <si>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</si>
  <si>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</si>
  <si>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</si>
  <si>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</si>
  <si>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</si>
  <si>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</si>
  <si>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</si>
  <si>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</si>
  <si>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</si>
  <si>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</si>
  <si>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</si>
  <si>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</si>
  <si>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</si>
  <si>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</si>
  <si>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</si>
  <si>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</si>
  <si>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</si>
  <si>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</si>
  <si>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</si>
  <si>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</si>
  <si>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</si>
  <si>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</si>
  <si>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</si>
  <si>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</si>
  <si>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</si>
  <si>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</si>
  <si>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</si>
  <si>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</si>
  <si>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</si>
  <si>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</si>
  <si>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</si>
  <si>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</si>
  <si>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</si>
  <si>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</si>
  <si>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</si>
  <si>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</si>
  <si>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</si>
  <si>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</si>
  <si>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</si>
  <si>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</si>
  <si>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</si>
  <si>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</si>
  <si>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</si>
  <si>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</si>
  <si>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</si>
  <si>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</si>
  <si>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</si>
  <si>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</si>
  <si>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</si>
  <si>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</si>
  <si>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</si>
  <si>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</si>
  <si>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</si>
  <si>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</si>
  <si>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</si>
  <si>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</si>
  <si>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</si>
  <si>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</si>
  <si>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</si>
  <si>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</si>
  <si>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</si>
  <si>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</si>
  <si>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</si>
  <si>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</si>
  <si>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</si>
  <si>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</si>
  <si>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</si>
  <si>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</si>
  <si>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</si>
  <si>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</si>
  <si>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</si>
  <si>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</si>
  <si>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</si>
  <si>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</si>
  <si>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</si>
  <si>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</si>
  <si>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</si>
  <si>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</si>
  <si>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</si>
  <si>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</si>
  <si>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</si>
  <si>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</si>
  <si>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</si>
  <si>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</si>
  <si>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</si>
  <si>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</si>
  <si>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</si>
  <si>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</si>
  <si>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</si>
  <si>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</si>
  <si>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</si>
  <si>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</si>
  <si>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</si>
  <si>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</si>
  <si>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</si>
  <si>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</si>
  <si>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</si>
  <si>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</si>
  <si>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</si>
  <si>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</si>
  <si>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</si>
  <si>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</si>
  <si>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</si>
  <si>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</si>
  <si>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</si>
  <si>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</si>
  <si>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</si>
  <si>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</si>
  <si>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</si>
  <si>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</si>
  <si>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</si>
  <si>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</si>
  <si>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</si>
  <si>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</si>
  <si>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</si>
  <si>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</si>
  <si>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</si>
  <si>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</si>
  <si>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</si>
  <si>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</si>
  <si>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</si>
  <si>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</si>
  <si>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</si>
  <si>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</si>
  <si>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</si>
  <si>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</si>
  <si>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</si>
  <si>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</si>
  <si>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</si>
  <si>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</si>
  <si>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</si>
  <si>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</si>
  <si>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</si>
  <si>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</si>
  <si>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</si>
  <si>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</si>
  <si>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</si>
  <si>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</si>
  <si>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</si>
  <si>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</si>
  <si>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</si>
  <si>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</si>
  <si>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</si>
  <si>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</si>
  <si>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</si>
  <si>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</si>
  <si>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</si>
  <si>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</si>
  <si>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</si>
  <si>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</si>
  <si>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</si>
  <si>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</si>
  <si>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</si>
  <si>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</si>
  <si>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</si>
  <si>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</si>
  <si>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</si>
  <si>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</si>
  <si>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</si>
  <si>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</si>
  <si>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</si>
  <si>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</si>
  <si>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</si>
  <si>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</si>
  <si>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</si>
  <si>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</si>
  <si>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</si>
  <si>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</si>
  <si>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</si>
  <si>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</si>
  <si>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</si>
  <si>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</si>
  <si>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</si>
  <si>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</si>
  <si>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</si>
  <si>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</si>
  <si>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</si>
  <si>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</si>
  <si>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</si>
  <si>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</si>
  <si>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</si>
  <si>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</si>
  <si>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</si>
  <si>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</si>
  <si>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</si>
  <si>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</si>
  <si>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</si>
  <si>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</si>
  <si>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</si>
  <si>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</si>
  <si>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</si>
  <si>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</si>
  <si>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</si>
  <si>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</si>
  <si>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</si>
  <si>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</si>
  <si>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</si>
  <si>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</si>
  <si>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</si>
  <si>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</si>
  <si>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</si>
  <si>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</si>
  <si>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</si>
  <si>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</si>
  <si>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</si>
  <si>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</si>
  <si>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</si>
  <si>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</si>
  <si>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</si>
  <si>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</si>
  <si>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</si>
  <si>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</si>
  <si>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</si>
  <si>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</si>
  <si>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</si>
  <si>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</si>
  <si>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</si>
  <si>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</si>
  <si>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</si>
  <si>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</si>
  <si>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</si>
  <si>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</si>
  <si>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</si>
  <si>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</si>
  <si>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</si>
  <si>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</si>
  <si>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</si>
  <si>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</si>
  <si>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</si>
  <si>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</si>
  <si>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</si>
  <si>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</si>
  <si>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</si>
  <si>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</si>
  <si>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</si>
  <si>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</si>
  <si>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</si>
  <si>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</si>
  <si>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</si>
  <si>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</si>
  <si>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</si>
  <si>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</si>
  <si>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</si>
  <si>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</si>
  <si>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</si>
  <si>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</si>
  <si>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</si>
  <si>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</si>
  <si>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</si>
  <si>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</si>
  <si>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</si>
  <si>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</si>
  <si>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</si>
  <si>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</si>
  <si>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</si>
  <si>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</si>
  <si>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</si>
  <si>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</si>
  <si>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</si>
  <si>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</si>
  <si>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</si>
  <si>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</si>
  <si>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</si>
  <si>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</si>
  <si>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</si>
  <si>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</si>
  <si>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</si>
  <si>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</si>
  <si>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</si>
  <si>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</si>
  <si>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</si>
  <si>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</si>
  <si>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</si>
  <si>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</si>
  <si>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</si>
  <si>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</si>
  <si>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</si>
  <si>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</si>
  <si>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</si>
  <si>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</si>
  <si>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</si>
  <si>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</si>
  <si>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</si>
  <si>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</si>
  <si>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</si>
  <si>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</si>
  <si>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</si>
  <si>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</si>
  <si>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</si>
  <si>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</si>
  <si>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</si>
  <si>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</si>
  <si>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</si>
  <si>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</si>
  <si>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</si>
  <si>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</si>
  <si>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</si>
  <si>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</si>
  <si>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</si>
  <si>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</si>
  <si>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</si>
  <si>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</si>
  <si>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</si>
  <si>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</si>
  <si>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</si>
  <si>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</si>
  <si>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</si>
  <si>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</si>
  <si>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</si>
  <si>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</si>
  <si>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</si>
  <si>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</si>
  <si>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</si>
  <si>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</si>
  <si>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</si>
  <si>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</si>
  <si>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</si>
  <si>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</si>
  <si>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</si>
  <si>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COLOR</t>
  </si>
  <si>
    <t>varchar(4)</t>
  </si>
  <si>
    <t>NAME_EN</t>
  </si>
  <si>
    <t>NAME_VN</t>
  </si>
  <si>
    <t>COLOR_TYPE</t>
  </si>
  <si>
    <t>nvarchar(50)</t>
  </si>
  <si>
    <t>Master.Cmm</t>
  </si>
  <si>
    <t>Color</t>
  </si>
  <si>
    <t>MstCmmColor</t>
  </si>
  <si>
    <t>Master Common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</si>
</sst>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G58" zoomScaleNormal="100" workbookViewId="0">
      <selection activeCell="M75" sqref="M75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[Table("MstCmmColor")]
	public class MstCmmColor: FullAuditedEntity&lt;long&gt;, IEntity&lt;long&gt;	
	{
		public const int MaxColorLength = 4;
		public const int MaxNameEnLength = 50;
		public const int MaxNameVnLength = 50;
		public const int MaxColorTypeLength = 50;
		public const int MaxIsActiveLength = 1;
		[StringLength(MaxColorLength)]
		public virtual string Color { get; set; }
		[StringLength(MaxNameEnLength)]
		public virtual string NameEn { get; set; }
		[StringLength(MaxNameVnLength)]
		public virtual string NameVn { get; set; }
		[StringLength(MaxColorTypeLength)]
		public virtual string ColorType { get; set; }
		[StringLength(MaxIsActiveLength)]
		public virtual string IsActive { get; set; }
	}
}
</v>
      </c>
      <c r="D68" s="48" t="str">
        <f>A.Backend!O7</f>
        <v xml:space="preserve">		public const string Pages_Master_Cmm_Color = "Pages.Master.Cmm.Color";
		public const string Pages_Master_Cmm_Color_CreateEdit = "Pages.Master.Cmm.Color.CreateEdit";
		public const string Pages_Master_Cmm_Color_Delete = "Pages.Master.Cmm.Color.Delete";
</v>
      </c>
      <c r="E68" s="48" t="str">
        <f>A.Backend!N7</f>
        <v xml:space="preserve">		var perMstCmmColor = PARENTS.CreateChildPermission(AppPermissions.Pages_Master_Cmm_Color, L( "MasterCmmColor"), multiTenancySides: MultiTenancySides.Tenant);
		perMstCmmColor.CreateChildPermission(AppPermissions.Pages_Master_Cmm_Color_CreateEdit, L( "MasterCmmColorCreateEdit"), multiTenancySides: MultiTenancySides.Tenant);
		perMstCmmColor.CreateChildPermission(AppPermissions.Pages_Master_Cmm_Color_Delete, L( "MasterCmmColorDelete"), multiTenancySides: MultiTenancySides.Tenant);</v>
      </c>
      <c r="F68" s="48" t="str">
        <f>A.Backend!K7</f>
        <v>public virtual DbSet&lt;MstCmmColor&gt; MstCmmColors { get; set; }</v>
      </c>
      <c r="G68" s="48" t="str">
        <f ca="1">A.Backend!L7</f>
        <v xml:space="preserve">namespace prod.Master.Cmm
{
	public class MstCmmColorConsts	
	{
		public const int MaxColorLength = 4;
		public const int MaxNameEnLength = 50;
		public const int MaxNameVnLength = 50;
		public const int MaxColorTypeLength = 50;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prod.Master.Cmm.Dto
{
	public class MstCmmColorDto : EntityDto&lt;long?&gt;	
	{
		public virtual string Color { get; set; }
		public virtual string NameEn { get; set; }
		public virtual string NameVn { get; set; }
		public virtual string ColorType { get; set; }
		public virtual string IsActive { get; set; }
	}
	public class CreateOrEditMstCmmColorDto : EntityDto&lt;long?&gt;	
	{
		[StringLength(MstCmmColorConsts.MaxColorLength)]
		public virtual string Color { get; set; }
		[StringLength(MstCmmColorConsts.MaxNameEnLength)]
		public virtual string NameEn { get; set; }
		[StringLength(MstCmmColorConsts.MaxNameVnLength)]
		public virtual string NameVn { get; set; }
		[StringLength(MstCmmColorConsts.MaxColorTypeLength)]
		public virtual string ColorType { get; set; }
		[StringLength(MstCmmColorConsts.MaxIsActiveLength)]
		public virtual string IsActive { get; set; }
	}
	public class GetMstCmmColorInput : PagedAndSortedResultRequestDto	
	{
		public virtual string Color { get; set; }
		public virtual string NameEn { get; set; }
		public virtual string NameVn { get; set; }
		public virtual string ColorType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prod.Master.Cmm.Dto
{
	public class MstCmmColorExportInput{
		public virtual string Color { get; set; }
		public virtual string NameEn { get; set; }
		public virtual string NameVn { get; set; }
		public virtual string ColorType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IMstCmmColorAppService : IApplicationService
	{
		Task&lt;PagedResultDto&lt;MstCmmColorDto&gt;&gt; GetAll(GetMstCmmColorInput input);
		Task CreateOrEdit(CreateOrEditMstCmmColorDto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IMstCmmColorExcelExporter : IApplicationService
	{
		FileDto ExportToFile(List&lt;MstCmmColorDto&gt; mstcmmcolor);
	}
}
</v>
      </c>
      <c r="L68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MstCmmColorExcelExporter : NpoiExcelExporterBase, IMstCmmColorExcelExporter
    {
        public MstCmmColorExcelExporter(ITempFileCacheManager tempFileCacheManager) : base(tempFileCacheManager) { }
        public FileDto ExportToFile(List&lt;MstCmmColorDto&gt; color)
        {
            return CreateExcelPackage(
				"MasterCmmColor.xlsx",
				excelPackage =&gt;
				 {
					var sheet = excelPackage.CreateSheet("Color");
					AddHeader(
								sheet,
								("Color"),
								("NameEn"),
								("NameVn"),
								("ColorType"),
								("IsActive"),
							   );
					AddObjects(
						 sheet, 1, color,                                       
								_ =&gt; _.Color,
								_ =&gt; _.NameEn,
								_ =&gt; _.NameVn,
								_ =&gt; _.ColorType,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[AbpAuthorize(AppPermissions.Pages_Master_Cmm_Color)]
    public class MstCmmColorAppService : vovinaAppServiceBase, IMstCmmColorAppService
    {
        private readonly IDapperRepository&lt;MstCmmColor, long&gt; _dapperRepo;
        private readonly IRepository&lt;MstCmmColor, long&gt; _repo;
        private readonly IMstCmmColorExcelExporter _calendarListExcelExporter;
        public MstCmmColorAppService(IRepository&lt;MstCmmColor,long&gt; repo, 
                                         IDapperRepository&lt;MstCmmColor,long&gt; dapperRepo,
                                        IMstCmmColorExcelExporter calendarListExcelExporter
            )
        {
            _repo = repo;
            _dapperRepo = dapperRepo;
            _calendarListExcelExporter = calendarListExcelExporter;
        }
        [AbpAuthorize(AppPermissions.Pages_Master_Cmm_Color_CreateEdit)]
        public async Task CreateOrEdit(CreateOrEditMstCmmColorDto input)
        {
            if (input.Id == null) await Create(input);
            else await Update(input);
        }
        //CREATE
        private async Task Create(CreateOrEditMstCmmColorDto input)
        {          
            var mainObj = ObjectMapper.Map&lt;MstCmmColor&gt;(input);
            await CurrentUnitOfWork.GetDbContext&lt;vovinaDbContext&gt;().AddAsync(mainObj);
        }
        // EDIT
        private async Task Update(CreateOrEditMstCmmColorDto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[AbpAuthorize(AppPermissions.Pages_Master_Cmm_Color_Delete)]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Task&lt;PagedResultDto&lt;MstCmmColorDto&gt;&gt; GetAll(GetMstCmmColorInput input)
        {
            var filtered = _repo.GetAll()
				.WhereIf(!string.IsNullOrWhiteSpace(input.Color), e =&gt; e.Color.Contains(input.Color))
				.WhereIf(!string.IsNullOrWhiteSpace(input.NameEn), e =&gt; e.NameEn.Contains(input.NameEn))
				.WhereIf(!string.IsNullOrWhiteSpace(input.NameVn), e =&gt; e.NameVn.Contains(input.NameVn))
				.WhereIf(!string.IsNullOrWhiteSpace(input.ColorType), e =&gt; e.ColorType.Contains(input.ColorType))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MstCmmColorDto
                        {
							Id = o.Id,
							Color = o.Color,
							NameEn = o.NameEn,
							NameVn = o.NameVn,
							ColorType = o.ColorType,
							IsActive = o.IsActive,
                        };
            var totalCount = await filtered.CountAsync();
			var paged = system.PageBy(input);
            return new PagedResultDto&lt;MstCmmColorDto&gt;(
                totalCount,
                 await paged.ToListAsync()
            );
        }
        public async Task&lt;FileDto&gt; GetColorToExcel(MstCmmColorExportInput input)
        {
            var query = from o in _repo.GetAll()
                        select new MstCmmColorDto
                        {
							Id = o.Id,
							Color = o.Color,
							NameEn = o.NameEn,
							NameVn = o.NameVn,
							ColorType = o.ColorType,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_dapperRepo.ExecuteAsync(MstCmmColorConsts.SP_MST_WPT_CALENDAR_GENERATE);
       // }
    }
}</v>
      </c>
      <c r="N68" s="58" t="str">
        <f>A.Backend!U7</f>
        <v xml:space="preserve">  configuration.CreateMap&lt;MstCmmColorDto, MstCmmColor&gt;();
  configuration.CreateMap&lt;MstCmmColor, MstCmmColorDto&gt;();
  configuration.CreateMap&lt;CreateOrEditMstCmmColorDto, MstCmmColor&gt;();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color</v>
      </c>
      <c r="C73" s="66" t="str">
        <f>"create folder " &amp;B73</f>
        <v>create folder color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color.component.ts</v>
      </c>
      <c r="D74" s="28" t="str">
        <f>B.Frontend!I14</f>
        <v>color.component.html</v>
      </c>
      <c r="E74" s="28" t="str">
        <f>B.Frontend!J14</f>
        <v>color.component.less</v>
      </c>
      <c r="F74" s="28" t="str">
        <f>B.Frontend!K14</f>
        <v>create-or-edit-color-modal.component.html</v>
      </c>
      <c r="G74" s="28" t="str">
        <f>B.Frontend!L14</f>
        <v>create-or-edit-color-modal.component.ts</v>
      </c>
      <c r="H74" s="28" t="str">
        <f>B.Frontend!M14</f>
        <v>create-or-edit-color-modal.component.less</v>
      </c>
      <c r="I74" s="28" t="str">
        <f>B.Frontend!N14</f>
        <v>color.module.ts</v>
      </c>
      <c r="J74" s="28" t="str">
        <f>B.Frontend!O14</f>
        <v>color-routing.module.ts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MstCmmColorDto, MstCmmColorServiceProxy } from '@shared/service-proxies/service-proxies';
import { finalize } from 'rxjs/internal/operators/finalize';
import { CreateOrEditColorModalComponent } from './create-or-edit-color-modal.component';
import { DatePipe } from '@angular/common';
import { FileDownloadService } from '@shared/utils/file-download.service';
import ceil from 'lodash-es/ceil';
import { Paginator } from 'primeng/paginator';
@Component({
    templateUrl: './color.component.html',
    styleUrls: ['./color.component.less'],
})
export class ColorComponent extends AppComponentBase implements OnInit {
    @ViewChild('createOrEditModalColor', { static: true }) createOrEditModalColor:| CreateOrEditColorModalComponent|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MstCmmColorDto = new MstCmmColorDto();
    saveSelectedRow: MstCmmColorDto = new MstCmmColorDto();
    datas: MstCmmColorDto = new MstCmmColorDto();
    isLoading: boolean = false;
    dataParams: GridParams | undefined;
    rowData: any[] = [];
    gridApi!: GridApi;
    rowSelection = 'multiple';
    filter: string = '';
	pipe = new DatePipe('en-US');
	frameworkComponents: FrameworkComponent;
    	color : string = '' ; 
	nameEn : string = '' ; 
	nameVn : string = '' ; 
	colorType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MstCmmColorServiceProxy,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this.l('Color'),headerTooltip: this.l('Color'),field: 'color',flex: 1},
			{headerName: this.l('Name En'),headerTooltip: this.l('Name En'),field: 'nameEn',flex: 1},
			{headerName: this.l('Name Vn'),headerTooltip: this.l('Name Vn'),field: 'nameVn',flex: 1},
			{headerName: this.l('Color Type'),headerTooltip: this.l('Color Type'),field: 'colorType',flex: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this.color,
			this.nameEn,
			this.nameVn,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color : string = '' ; 
	nameEn : string = '' ; 
	nameVn : string = '' ; 
	colorType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this.color,
			this.nameEn,
			this.nameVn,
			'',
            this.paginationParams.skipCount,
            this.paginationParams.pageSize
        );
    }
    onChangeRowSelection(params: { api: { getSelectedRows: () =&gt; MstCmmColorDto[] } }) {
        this.saveSelectedRow = params.api.getSelectedRows()[0] ?? new MstCmmColorDto();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MstCmmColorDto):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this._service.getColorToExcel(
			this.,
			this.color,
			this.nameEn,
			this.nameVn,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Color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[(ngModel)]='nameEn' name='nameEn'
									class='form-control' [placeholder]="l('Name En')"
									type='text' (keyup.enter)='searchDatas()'&gt;
								&lt;/div&gt;
								&lt;div class='input-search'&gt;
									&lt;input [(ngModel)]='nameVn' name='nameVn'
									class='form-control' [placeholder]="l('Name Vn')"
									type='text' (keyup.enter)='searchDatas()'&gt;
								&lt;/div&gt;
								&lt;div class='input-search'&gt;
									&lt;input [(ngModel)]='colorType' name='colorType'
									class='form-control' [placeholder]="l('Color Type')"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(click)="createOrEditModalColor.show()"&gt;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(click)="createOrEditModalColor.show(selectedRow)"&gt;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&lt;create-or-edit-color-modal
    #createOrEditModalColor
    (modalSave)="callBackDataGrid(dataParams)"
    (modalClose)="onChangeRowSelection(dataParams)"
&gt;
&lt;/create-or-edit-color-modal&gt;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#createOrEditModalColor="bs-modal"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Color')}}&lt;/h3&gt;
                    &lt;h3 *ngIf="!rowdata.id"&gt;{{('Create New Color')}}&lt;/h3&gt;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title'&gt;Name En&lt;/label&gt;
						&lt;input type='text' class='col-md-10 form-control input-text' name='NameEn' [(ngModel)]='rowdata.nameEn'&gt;
					&lt;/div&gt;
					&lt;div class='col-md-12 form-group row'&gt;
						&lt;label class='col-md-2 form-control title'&gt;Name Vn&lt;/label&gt;
						&lt;input type='text' class='col-md-10 form-control input-text' name='NameVn' [(ngModel)]='rowdata.nameVn'&gt;
					&lt;/div&gt;
					&lt;div class='col-md-12 form-group row'&gt;
						&lt;label class='col-md-2 form-control title'&gt;Color Type&lt;/label&gt;
						&lt;input type='text' class='col-md-10 form-control input-text' name='ColorType' [(ngModel)]='rowdata.colorType'&gt;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CreateOrEditMstCmmColorDto, MstCmmColorServiceProxy } from '@shared/service-proxies/service-proxies';
import { BsDatepickerDirective } from 'ngx-bootstrap/datepicker';
@Component({
    selector: 'create-or-edit-color-modal',
    templateUrl: './create-or-edit-color-modal.component.html',
    styleUrls: ['./create-or-edit-color-modal.component.less']
    })
export class CreateOrEditColorModalComponent extends AppComponentBase {
    @ViewChild('createOrEditModalColor',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CreateOrEditMstCmmColorDto = new CreateOrEditMstCmmColorDto();
    active: boolean = false;
    saving: boolean = false;
    _isActive: boolean;
    constructor(
        injector: Injector,
        private _mstwptColorService: MstCmmColorServiceProxy,
    ) 
    {
        super(injector);
    }
    show(rowdata?: CreateOrEditMstCmmColorDto): void {
        if (!rowdata) this.rowdata = new CreateOrEditMstCmmColorDto();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this._mstwptColorService.createOrEdit(this.rowdata)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ColorRoutingModule } from './color-routing.module';
import { ColorComponent } from './color.component';
import { CreateOrEditColorModalComponent } from './create-or-edit-color-modal.component';
@NgModule({
    declarations: [
       ColorComponent, 
        CreateOrEditColorModalComponent
    ],
    imports: [
        AppSharedModule, ColorRoutingModule]
})
export class ColorModule {}</v>
      </c>
      <c r="J75" s="46" t="str">
        <f>B.Frontend!O10</f>
        <v>import {NgModule} from '@angular/core';
import {RouterModule, Routes} from '@angular/router';
import { ColorComponent } from './color.component';
const routes: Routes = [{
    path: '',
    component: ColorComponent,
    pathMatch: 'full'
}];
@NgModule({
    imports: [RouterModule.forChild(routes)],
    exports: [RouterModule],
})
export class ColorRoutingModule {}</v>
      </c>
      <c r="K75" s="46" t="str">
        <f>B.Frontend!P10</f>
        <v xml:space="preserve"> new AppMenuItem("Color", "Pages.Master.Cmm.Color", "flaticon-book",   "/app/main/master/cmm/color"),</v>
      </c>
      <c r="L75" s="47" t="str">
        <f>B.Frontend!Q10</f>
        <v>{
    path: 'master/cmm/color',
    loadChildren: () =&gt; import('./master/cmm/color/color.module').then(m =&gt; m.ColorModule),
    data: { permission: 'Pages.Master.Cmm.Color' }
},</v>
      </c>
      <c r="M75" s="45" t="str">
        <f>B.Frontend!R10</f>
        <v>ApiServiceProxies.MstCmmColorServiceProxy,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5"/>
  <sheetViews>
    <sheetView tabSelected="1" workbookViewId="0">
      <pane xSplit="1" topLeftCell="B1" activePane="topRight" state="frozen"/>
      <selection pane="topRight" activeCell="B2" sqref="B2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362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364</v>
      </c>
      <c r="C3" s="9" t="s">
        <v>40</v>
      </c>
      <c r="D3" s="9" t="s">
        <v>41</v>
      </c>
      <c r="E3" s="9" t="s">
        <v>36</v>
      </c>
      <c r="F3" s="10" t="str">
        <f>"J"&amp;COUNTA($A:$A)</f>
        <v>J13</v>
      </c>
      <c r="G3" s="4" t="s">
        <v>53</v>
      </c>
      <c r="H3" s="9" t="str">
        <f>"I"&amp;COUNTA($A:$A)</f>
        <v>I13</v>
      </c>
      <c r="I3" s="9" t="str">
        <f>REPT(CHAR(9),2)&amp;"[Required]"&amp;"
"</f>
        <v xml:space="preserve">		[Required]
</v>
      </c>
      <c r="J3" s="10" t="str">
        <f>"L"&amp;COUNTA($A:$A)</f>
        <v>L13</v>
      </c>
      <c r="K3" s="5" t="s">
        <v>52</v>
      </c>
      <c r="L3" s="10" t="str">
        <f>"M"&amp;COUNTA($A:$A)</f>
        <v>M13</v>
      </c>
      <c r="M3" s="10" t="str">
        <f>"N"&amp;COUNTA($A:$A)</f>
        <v>N13</v>
      </c>
      <c r="N3" s="10" t="str">
        <f>"O"&amp;COUNTA($A:$A)</f>
        <v>O13</v>
      </c>
      <c r="O3" s="10" t="str">
        <f>"P"&amp;COUNTA($A:$A)</f>
        <v>P13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MstCmmColorExportInput{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T13</v>
      </c>
      <c r="V3" s="10" t="str">
        <f>"V"&amp;COUNTA($A:$A)</f>
        <v>V13</v>
      </c>
      <c r="W3" s="9" t="str">
        <f>"W"&amp;COUNTA($A:$A)</f>
        <v>W13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MstCmmColor: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MstCmmColorConsts	
	{
</v>
      </c>
      <c r="F6" s="10" t="str">
        <f>REPT(CHAR(9),1)&amp;"public class "&amp;B3&amp;"Dto"&amp;K3&amp;REPT(CHAR(9),1)&amp;"
"&amp;REPT(CHAR(9),1)&amp;C3</f>
        <v xml:space="preserve">	public class MstCmmColorDto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CreateOrEditMstCmmColorDto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GetMstCmmColorInput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MstCmmColor</v>
      </c>
      <c r="C7" s="10" t="str">
        <f>REPT(CHAR(9),1)&amp;"[Table("""&amp;B7&amp;""")]"&amp;"
"</f>
        <v xml:space="preserve">	[Table("MstCmmColor")]
</v>
      </c>
      <c r="D7" s="10"/>
      <c r="E7" s="10"/>
      <c r="F7" s="10"/>
      <c r="G7" s="10"/>
      <c r="H7" s="10"/>
      <c r="I7" s="10"/>
      <c r="J7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[Table("MstCmmColor")]
	public class MstCmmColor: FullAuditedEntity&lt;long&gt;, IEntity&lt;long&gt;	
	{
		public const int MaxColorLength = 4;
		public const int MaxNameEnLength = 50;
		public const int MaxNameVnLength = 50;
		public const int MaxColorTypeLength = 50;
		public const int MaxIsActiveLength = 1;
		[StringLength(MaxColorLength)]
		public virtual string Color { get; set; }
		[StringLength(MaxNameEnLength)]
		public virtual string NameEn { get; set; }
		[StringLength(MaxNameVnLength)]
		public virtual string NameVn { get; set; }
		[StringLength(MaxColorTypeLength)]
		public virtual string ColorType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DbSet&lt;MstCmmColor&gt; MstCmmColors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prod.Master.Cmm
{
	public class MstCmmColorConsts	
	{
		public const int MaxColorLength = 4;
		public const int MaxNameEnLength = 50;
		public const int MaxNameVnLength = 50;
		public const int MaxColorTypeLength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prod.Master.Cmm.Dto
{
	public class MstCmmColorDto : EntityDto&lt;long?&gt;	
	{
		public virtual string Color { get; set; }
		public virtual string NameEn { get; set; }
		public virtual string NameVn { get; set; }
		public virtual string ColorType { get; set; }
		public virtual string IsActive { get; set; }
	}
	public class CreateOrEditMstCmmColorDto : EntityDto&lt;long?&gt;	
	{
		[StringLength(MstCmmColorConsts.MaxColorLength)]
		public virtual string Color { get; set; }
		[StringLength(MstCmmColorConsts.MaxNameEnLength)]
		public virtual string NameEn { get; set; }
		[StringLength(MstCmmColorConsts.MaxNameVnLength)]
		public virtual string NameVn { get; set; }
		[StringLength(MstCmmColorConsts.MaxColorTypeLength)]
		public virtual string ColorType { get; set; }
		[StringLength(MstCmmColorConsts.MaxIsActiveLength)]
		public virtual string IsActive { get; set; }
	}
	public class GetMstCmmColorInput : PagedAndSortedResultRequestDto	
	{
		public virtual string Color { get; set; }
		public virtual string NameEn { get; set; }
		public virtual string NameVn { get; set; }
		public virtual string ColorType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perMstCmmColor = PARENTS.CreateChildPermission(AppPermissions.Pages_Master_Cmm_Color, L( "MasterCmmColor"), multiTenancySides: MultiTenancySides.Tenant);
		perMstCmmColor.CreateChildPermission(AppPermissions.Pages_Master_Cmm_Color_CreateEdit, L( "MasterCmmColorCreateEdit"), multiTenancySides: MultiTenancySides.Tenant);
		perMstCmmColor.CreateChildPermission(AppPermissions.Pages_Master_Cmm_Color_Delete, L( "MasterCmmColorDelete"),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Pages_Master_Cmm_Color = "Pages.Master.Cmm.Color";
		public const string Pages_Master_Cmm_Color_CreateEdit = "Pages.Master.Cmm.Color.CreateEdit";
		public const string Pages_Master_Cmm_Color_Delete = "Pages.Master.Cmm.Color.Delete";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IMstCmmColorAppService : IApplicationService
	{
		Task&lt;PagedResultDto&lt;MstCmmColorDto&gt;&gt; GetAll(GetMstCmmColorInput input);
		Task CreateOrEdit(CreateOrEditMstCmmColorDto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[AbpAuthorize(AppPermissions.Pages_Master_Cmm_Color)]
    public class MstCmmColorAppService : vovinaAppServiceBase, IMstCmmColorAppService
    {
        private readonly IDapperRepository&lt;MstCmmColor, long&gt; _dapperRepo;
        private readonly IRepository&lt;MstCmmColor, long&gt; _repo;
        private readonly IMstCmmColorExcelExporter _calendarListExcelExporter;
        public MstCmmColorAppService(IRepository&lt;MstCmmColor,long&gt; repo, 
                                         IDapperRepository&lt;MstCmmColor,long&gt; dapperRepo,
                                        IMstCmmColorExcelExporter calendarListExcelExporter
            )
        {
            _repo = repo;
            _dapperRepo = dapperRepo;
            _calendarListExcelExporter = calendarListExcelExporter;
        }
        [AbpAuthorize(AppPermissions.Pages_Master_Cmm_Color_CreateEdit)]
        public async Task CreateOrEdit(CreateOrEditMstCmmColorDto input)
        {
            if (input.Id == null) await Create(input);
            else await Update(input);
        }
        //CREATE
        private async Task Create(CreateOrEditMstCmmColorDto input)
        {          
            var mainObj = ObjectMapper.Map&lt;MstCmmColor&gt;(input);
            await CurrentUnitOfWork.GetDbContext&lt;vovinaDbContext&gt;().AddAsync(mainObj);
        }
        // EDIT
        private async Task Update(CreateOrEditMstCmmColorDto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[AbpAuthorize(AppPermissions.Pages_Master_Cmm_Color_Delete)]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Task&lt;PagedResultDto&lt;MstCmmColorDto&gt;&gt; GetAll(GetMstCmmColorInput input)
        {
            var filtered = _repo.GetAll()
				.WhereIf(!string.IsNullOrWhiteSpace(input.Color), e =&gt; e.Color.Contains(input.Color))
				.WhereIf(!string.IsNullOrWhiteSpace(input.NameEn), e =&gt; e.NameEn.Contains(input.NameEn))
				.WhereIf(!string.IsNullOrWhiteSpace(input.NameVn), e =&gt; e.NameVn.Contains(input.NameVn))
				.WhereIf(!string.IsNullOrWhiteSpace(input.ColorType), e =&gt; e.ColorType.Contains(input.ColorType))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MstCmmColorDto
                        {
							Id = o.Id,
							Color = o.Color,
							NameEn = o.NameEn,
							NameVn = o.NameVn,
							ColorType = o.ColorType,
							IsActive = o.IsActive,
                        };
            var totalCount = await filtered.CountAsync();
			var paged = system.PageBy(input);
            return new PagedResultDto&lt;MstCmmColorDto&gt;(
                totalCount,
                 await paged.ToListAsync()
            );
        }
        public async Task&lt;FileDto&gt; GetColorToExcel(MstCmmColorExportInput input)
        {
            var query = from o in _repo.GetAll()
                        select new MstCmmColorDto
                        {
							Id = o.Id,
							Color = o.Color,
							NameEn = o.NameEn,
							NameVn = o.NameVn,
							ColorType = o.ColorType,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_dapperRepo.ExecuteAsync(MstCmmColorConsts.SP_MST_WPT_CALENDAR_GENERATE);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prod.Master.Cmm.Dto
{
	public class MstCmmColorExportInput{
		public virtual string Color { get; set; }
		public virtual string NameEn { get; set; }
		public virtual string NameVn { get; set; }
		public virtual string ColorType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IMstCmmColorExcelExporter : IApplicationService
	{
		FileDto ExportToFile(List&lt;MstCmmColorDto&gt; mstcmmcolor);
	}
}
</v>
      </c>
      <c r="T7" s="26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MstCmmColorExcelExporter : NpoiExcelExporterBase, IMstCmmColorExcelExporter
    {
        public MstCmmColorExcelExporter(ITempFileCacheManager tempFileCacheManager) : base(tempFileCacheManager) { }
        public FileDto ExportToFile(List&lt;MstCmmColorDto&gt; color)
        {
            return CreateExcelPackage(
				"MasterCmmColor.xlsx",
				excelPackage =&gt;
				 {
					var sheet = excelPackage.CreateSheet("Color");
					AddHeader(
								sheet,
								("Color"),
								("NameEn"),
								("NameVn"),
								("ColorType"),
								("IsActive"),
							   );
					AddObjects(
						 sheet, 1, color,                                       
								_ =&gt; _.Color,
								_ =&gt; _.NameEn,
								_ =&gt; _.NameVn,
								_ =&gt; _.ColorType,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configuration.CreateMap&lt;MstCmmColorDto, MstCmmColor&gt;();
  configuration.CreateMap&lt;MstCmmColor, MstCmmColorDto&gt;();
  configuration.CreateMap&lt;CreateOrEditMstCmmColorDto, MstCmmColor&gt;();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356</v>
      </c>
      <c r="B9" s="28" t="s">
        <v>357</v>
      </c>
      <c r="C9" t="s">
        <v>1</v>
      </c>
      <c r="D9" t="str">
        <f t="shared" ref="D9" si="0">SUBSTITUTE(PROPER(A9),"_","")</f>
        <v>Color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MaxColorLength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[StringLength(MaxColorLength)]
		public virtual string Color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Color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[StringLength(MstCmmColorConsts.MaxColorLength)]
		public virtual string Color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Color { get; set; }
</v>
      </c>
      <c r="P9" t="str">
        <f t="shared" ref="P9" si="9">REPT(CHAR(9),7)&amp;D9&amp;" = o." &amp;D9 &amp;","</f>
        <v xml:space="preserve">							Color = o.Color,</v>
      </c>
      <c r="T9" s="63" t="str">
        <f t="shared" ref="T9" si="10">REPT(CHAR(9),8)&amp;"("""&amp;D9&amp;"""),"</f>
        <v xml:space="preserve">								("Color"),</v>
      </c>
      <c r="V9" s="64" t="str">
        <f t="shared" ref="V9" si="11">REPT(CHAR(9),8)&amp;"_ =&gt; _."&amp;D9&amp;","</f>
        <v xml:space="preserve">								_ =&gt; _.Color,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.WhereIf(!string.IsNullOrWhiteSpace(input.Color), e =&gt; e.Color.Contains(input.Color))</v>
      </c>
    </row>
    <row r="10" spans="1:23" customFormat="1" ht="18.75" customHeight="1" x14ac:dyDescent="0.25">
      <c r="A10" s="28" t="s">
        <v>358</v>
      </c>
      <c r="B10" s="28" t="s">
        <v>361</v>
      </c>
      <c r="C10" t="s">
        <v>1</v>
      </c>
      <c r="D10" t="str">
        <f t="shared" ref="D10:D11" si="13">SUBSTITUTE(PROPER(A10),"_","")</f>
        <v>NameEn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MaxNameEnLength = 50;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[StringLength(MaxNameEnLength)]
		public virtual string NameEn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NameEn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[StringLength(MstCmmColorConsts.MaxNameEnLength)]
		public virtual string NameEn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NameEn { get; set; }
</v>
      </c>
      <c r="P10" t="str">
        <f t="shared" ref="P10:P11" si="22">REPT(CHAR(9),7)&amp;D10&amp;" = o." &amp;D10 &amp;","</f>
        <v xml:space="preserve">							NameEn = o.NameEn,</v>
      </c>
      <c r="T10" s="63" t="str">
        <f t="shared" ref="T10:T11" si="23">REPT(CHAR(9),8)&amp;"("""&amp;D10&amp;"""),"</f>
        <v xml:space="preserve">								("NameEn"),</v>
      </c>
      <c r="V10" s="64" t="str">
        <f t="shared" ref="V10:V11" si="24">REPT(CHAR(9),8)&amp;"_ =&gt; _."&amp;D10&amp;","</f>
        <v xml:space="preserve">								_ =&gt; _.NameEn,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.WhereIf(!string.IsNullOrWhiteSpace(input.NameEn), e =&gt; e.NameEn.Contains(input.NameEn))</v>
      </c>
    </row>
    <row r="11" spans="1:23" customFormat="1" ht="18.75" customHeight="1" x14ac:dyDescent="0.25">
      <c r="A11" s="28" t="s">
        <v>359</v>
      </c>
      <c r="B11" s="28" t="s">
        <v>361</v>
      </c>
      <c r="C11" t="s">
        <v>1</v>
      </c>
      <c r="D11" t="str">
        <f t="shared" si="13"/>
        <v>NameVn</v>
      </c>
      <c r="E11" t="str">
        <f t="shared" si="14"/>
        <v>nvarchar</v>
      </c>
      <c r="F11" s="6"/>
      <c r="G11" t="str">
        <f t="shared" si="15"/>
        <v>50</v>
      </c>
      <c r="H11" t="str">
        <f>+VLOOKUP(E11,'Data Type Mapping'!A:B,2,)</f>
        <v>string</v>
      </c>
      <c r="I11" t="str">
        <f t="shared" si="16"/>
        <v xml:space="preserve">		public const int MaxNameVnLength = 50;
</v>
      </c>
      <c r="J11" t="str">
        <f t="shared" si="17"/>
        <v xml:space="preserve">		[StringLength(MaxNameVnLength)]
		public virtual string NameVn { get; set; }
</v>
      </c>
      <c r="K11" s="6"/>
      <c r="L11" t="str">
        <f t="shared" si="18"/>
        <v/>
      </c>
      <c r="M11" t="str">
        <f t="shared" si="19"/>
        <v xml:space="preserve">		public virtual string NameVn { get; set; }
</v>
      </c>
      <c r="N11" t="str">
        <f t="shared" si="20"/>
        <v xml:space="preserve">		[StringLength(MstCmmColorConsts.MaxNameVnLength)]
		public virtual string NameVn { get; set; }
</v>
      </c>
      <c r="O11" t="str">
        <f t="shared" si="21"/>
        <v xml:space="preserve">		public virtual string NameVn { get; set; }
</v>
      </c>
      <c r="P11" t="str">
        <f t="shared" si="22"/>
        <v xml:space="preserve">							NameVn = o.NameVn,</v>
      </c>
      <c r="T11" s="63" t="str">
        <f t="shared" si="23"/>
        <v xml:space="preserve">								("NameVn"),</v>
      </c>
      <c r="V11" s="64" t="str">
        <f t="shared" si="24"/>
        <v xml:space="preserve">								_ =&gt; _.NameVn,</v>
      </c>
      <c r="W11" s="63" t="str">
        <f t="shared" si="25"/>
        <v xml:space="preserve">				.WhereIf(!string.IsNullOrWhiteSpace(input.NameVn), e =&gt; e.NameVn.Contains(input.NameVn))</v>
      </c>
    </row>
    <row r="12" spans="1:23" customFormat="1" ht="18.75" customHeight="1" x14ac:dyDescent="0.25">
      <c r="A12" s="28" t="s">
        <v>360</v>
      </c>
      <c r="B12" s="28" t="s">
        <v>361</v>
      </c>
      <c r="C12" t="s">
        <v>1</v>
      </c>
      <c r="D12" t="str">
        <f t="shared" ref="D12" si="26">SUBSTITUTE(PROPER(A12),"_","")</f>
        <v>ColorType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MaxColorTypeLength = 50;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[StringLength(MaxColorTypeLength)]
		public virtual string ColorType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ColorType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[StringLength(MstCmmColorConsts.MaxColorTypeLength)]
		public virtual string ColorType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ColorType { get; set; }
</v>
      </c>
      <c r="P12" t="str">
        <f t="shared" ref="P12" si="35">REPT(CHAR(9),7)&amp;D12&amp;" = o." &amp;D12 &amp;","</f>
        <v xml:space="preserve">							ColorType = o.ColorType,</v>
      </c>
      <c r="T12" s="63" t="str">
        <f t="shared" ref="T12" si="36">REPT(CHAR(9),8)&amp;"("""&amp;D12&amp;"""),"</f>
        <v xml:space="preserve">								("ColorType"),</v>
      </c>
      <c r="V12" s="64" t="str">
        <f t="shared" ref="V12" si="37">REPT(CHAR(9),8)&amp;"_ =&gt; _."&amp;D12&amp;","</f>
        <v xml:space="preserve">								_ =&gt; _.ColorType,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.WhereIf(!string.IsNullOrWhiteSpace(input.ColorType), e =&gt; e.ColorType.Contains(input.ColorType))</v>
      </c>
    </row>
    <row r="13" spans="1:23" customFormat="1" ht="18.75" customHeight="1" x14ac:dyDescent="0.25">
      <c r="A13" s="28" t="s">
        <v>318</v>
      </c>
      <c r="B13" s="28" t="s">
        <v>355</v>
      </c>
      <c r="C13" t="s">
        <v>1</v>
      </c>
      <c r="D13" t="str">
        <f t="shared" ref="D13" si="39">SUBSTITUTE(PROPER(A13),"_","")</f>
        <v>IsActive</v>
      </c>
      <c r="E13" t="str">
        <f t="shared" ref="E13" si="40">IFERROR(LEFT(B13, FIND("(",B13)-1),B13)</f>
        <v>varchar</v>
      </c>
      <c r="F13" s="6"/>
      <c r="G13" t="str">
        <f t="shared" ref="G13" si="41">IFERROR(MID(B13,FIND("(",B13) +1, FIND(")",B13) - FIND("(",B13) - 1),"")</f>
        <v>1</v>
      </c>
      <c r="H13" t="str">
        <f>+VLOOKUP(E13,'Data Type Mapping'!A:B,2,)</f>
        <v>string</v>
      </c>
      <c r="I13" t="str">
        <f t="shared" ref="I13" si="42">IF(H13="string",REPT(CHAR(9),2)&amp;"public const int Max"&amp;D13&amp;"Length = "&amp;G13&amp;";"&amp;$E$3,"" )</f>
        <v xml:space="preserve">		public const int MaxIsActiveLength = 1;
</v>
      </c>
      <c r="J13" t="str">
        <f t="shared" ref="J13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[StringLength(MaxIsActiveLength)]
		public virtual string IsActive { get; set; }
</v>
      </c>
      <c r="K13" s="6"/>
      <c r="L13" t="str">
        <f t="shared" ref="L13" si="44">IF(K13="","",REPT(CHAR(9),1)&amp;"[Index(nameof("&amp;IF(D13="","",""&amp;D13)&amp;")"&amp;", Name="&amp;"""IX_"&amp;$B$7&amp;"_"&amp;D13&amp;""")]")</f>
        <v/>
      </c>
      <c r="M13" t="str">
        <f t="shared" ref="M13" si="45">REPT(CHAR(9),2)&amp;"public virtual "&amp;IF(OR(H13="DateTime",H13="TimeSpan"),H13&amp;"?",H13)&amp;IF(C13="?","? "," ")&amp;D13&amp;" { get; set; }" &amp; "
"</f>
        <v xml:space="preserve">		public virtual string IsActive { get; set; }
</v>
      </c>
      <c r="N13" t="str">
        <f t="shared" ref="N13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[StringLength(MstCmmColorConsts.MaxIsActiveLength)]
		public virtual string IsActive { get; set; }
</v>
      </c>
      <c r="O13" t="str">
        <f t="shared" ref="O13" si="47">IF(OR(H13="string",H13="DateTime",H13="int"),REPT(CHAR(9),2)&amp;"public virtual "&amp;IF(OR(H13="DateTime",H13="TimeSpan"),H13&amp;"?",H13)&amp;IF(C13="?","? "," ")&amp;D13&amp;" { get; set; }"&amp;$E$3,"")</f>
        <v xml:space="preserve">		public virtual string IsActive { get; set; }
</v>
      </c>
      <c r="P13" t="str">
        <f t="shared" ref="P13" si="48">REPT(CHAR(9),7)&amp;D13&amp;" = o." &amp;D13 &amp;","</f>
        <v xml:space="preserve">							IsActive = o.IsActive,</v>
      </c>
      <c r="T13" s="63" t="str">
        <f t="shared" ref="T13" si="49">REPT(CHAR(9),8)&amp;"("""&amp;D13&amp;"""),"</f>
        <v xml:space="preserve">								("IsActive"),</v>
      </c>
      <c r="V13" s="64" t="str">
        <f t="shared" ref="V13" si="50">REPT(CHAR(9),8)&amp;"_ =&gt; _."&amp;D13&amp;","</f>
        <v xml:space="preserve">								_ =&gt; _.IsActive,</v>
      </c>
      <c r="W13" s="63" t="str">
        <f t="shared" ref="W13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.WhereIf(!string.IsNullOrWhiteSpace(input.IsActive), e =&gt; e.IsActive.Contains(input.IsActive))</v>
      </c>
    </row>
    <row r="15" spans="1:23" ht="45.75" customHeight="1" x14ac:dyDescent="0.25">
      <c r="H15" s="11"/>
      <c r="I15" s="31" t="str">
        <f ca="1">TEXTJOIN2("
", TRUE,INDIRECT( $H$1):INDIRECT( $H$3))</f>
        <v xml:space="preserve">		public const int MaxColorLength = 4;
		public const int MaxNameEnLength = 50;
		public const int MaxNameVnLength = 50;
		public const int MaxColorTypeLength = 50;
		public const int MaxIsActiveLength = 1;
</v>
      </c>
      <c r="J15" s="30" t="str">
        <f ca="1">TEXTJOIN2("
", TRUE,INDIRECT( $F$1):INDIRECT( $F$3))</f>
        <v xml:space="preserve">		[StringLength(MaxColorLength)]
		public virtual string Color { get; set; }
		[StringLength(MaxNameEnLength)]
		public virtual string NameEn { get; set; }
		[StringLength(MaxNameVnLength)]
		public virtual string NameVn { get; set; }
		[StringLength(MaxColorTypeLength)]
		public virtual string ColorType { get; set; }
		[StringLength(MaxIsActiveLength)]
		public virtual string IsActive { get; set; }
</v>
      </c>
      <c r="K15" s="32" t="str">
        <f ca="1">TEXTJOIN2("
", TRUE,INDIRECT( $J$1):INDIRECT( $J$3))</f>
        <v/>
      </c>
      <c r="L15" s="12" t="s">
        <v>56</v>
      </c>
      <c r="M15" s="33" t="str">
        <f ca="1">TEXTJOIN2("
",TRUE,INDIRECT( $L$1):INDIRECT($L$3))</f>
        <v xml:space="preserve">		public virtual string Color { get; set; }
		public virtual string NameEn { get; set; }
		public virtual string NameVn { get; set; }
		public virtual string ColorType { get; set; }
		public virtual string IsActive { get; set; }
</v>
      </c>
      <c r="N15" s="30" t="str">
        <f ca="1">TEXTJOIN2("
",TRUE,INDIRECT( $M$1):INDIRECT($M$3))</f>
        <v xml:space="preserve">		[StringLength(MstCmmColorConsts.MaxColorLength)]
		public virtual string Color { get; set; }
		[StringLength(MstCmmColorConsts.MaxNameEnLength)]
		public virtual string NameEn { get; set; }
		[StringLength(MstCmmColorConsts.MaxNameVnLength)]
		public virtual string NameVn { get; set; }
		[StringLength(MstCmmColorConsts.MaxColorTypeLength)]
		public virtual string ColorType { get; set; }
		[StringLength(MstCmmColorConsts.MaxIsActiveLength)]
		public virtual string IsActive { get; set; }
</v>
      </c>
      <c r="O15" s="30" t="str">
        <f ca="1">TEXTJOIN2("
",TRUE,INDIRECT( $N$1):INDIRECT($N$3))</f>
        <v xml:space="preserve">		public virtual string Color { get; set; }
		public virtual string NameEn { get; set; }
		public virtual string NameVn { get; set; }
		public virtual string ColorType { get; set; }
		public virtual string IsActive { get; set; }
</v>
      </c>
      <c r="P15" s="8" t="str">
        <f ca="1">TEXTJOIN2("
",TRUE,INDIRECT( $O$1):INDIRECT($O$3))</f>
        <v xml:space="preserve">							Color = o.Color,
							NameEn = o.NameEn,
							NameVn = o.NameVn,
							ColorType = o.ColorType,
							IsActive = o.IsActive,</v>
      </c>
      <c r="T15" s="8" t="str">
        <f ca="1">TEXTJOIN2("
",TRUE,INDIRECT( $T$2):INDIRECT($T$3))</f>
        <v xml:space="preserve">								("Color"),
								("NameEn"),
								("NameVn"),
								("ColorType"),
								("IsActive"),</v>
      </c>
      <c r="V15" s="8" t="str">
        <f ca="1">TEXTJOIN2("
",TRUE,INDIRECT( $V$2):INDIRECT($V$3))</f>
        <v xml:space="preserve">								_ =&gt; _.Color,
								_ =&gt; _.NameEn,
								_ =&gt; _.NameVn,
								_ =&gt; _.ColorType,
								_ =&gt; _.IsActive,</v>
      </c>
      <c r="W15" s="8" t="str">
        <f ca="1">TEXTJOIN2("
",TRUE,INDIRECT( $W$2):INDIRECT($W$3))</f>
        <v xml:space="preserve">				.WhereIf(!string.IsNullOrWhiteSpace(input.Color), e =&gt; e.Color.Contains(input.Color))
				.WhereIf(!string.IsNullOrWhiteSpace(input.NameEn), e =&gt; e.NameEn.Contains(input.NameEn))
				.WhereIf(!string.IsNullOrWhiteSpace(input.NameVn), e =&gt; e.NameVn.Contains(input.NameVn))
				.WhereIf(!string.IsNullOrWhiteSpace(input.ColorType), e =&gt; e.ColorType.Contains(input.ColorType))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1"/>
  <sheetViews>
    <sheetView topLeftCell="A13" workbookViewId="0">
      <selection activeCell="B26" sqref="B2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MstCmmColor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Color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color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MstCmmColorDto, MstCmmColorServiceProxy } from '@shared/service-proxies/service-proxies';
import { finalize } from 'rxjs/internal/operators/finalize';
import { CreateOrEditColorModalComponent } from './create-or-edit-color-modal.component';
import { DatePipe } from '@angular/common';
import { FileDownloadService } from '@shared/utils/file-download.service';
import ceil from 'lodash-es/ceil';
import { Paginator } from 'primeng/paginator';
@Component({
    templateUrl: './color.component.html',
    styleUrls: ['./color.component.less'],
})
export class ColorComponent extends AppComponentBase implements OnInit {
    @ViewChild('createOrEditModalColor', { static: true }) createOrEditModalColor:| CreateOrEditColorModalComponent|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MstCmmColorDto = new MstCmmColorDto();
    saveSelectedRow: MstCmmColorDto = new MstCmmColorDto();
    datas: MstCmmColorDto = new MstCmmColorDto();
    isLoading: boolean = false;
    dataParams: GridParams | undefined;
    rowData: any[] = [];
    gridApi!: GridApi;
    rowSelection = 'multiple';
    filter: string = '';
	pipe = new DatePipe('en-US');
	frameworkComponents: FrameworkComponent;
    	color : string = '' ; 
	nameEn : string = '' ; 
	nameVn : string = '' ; 
	colorType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MstCmmColorServiceProxy,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this.l('Color'),headerTooltip: this.l('Color'),field: 'color',flex: 1},
			{headerName: this.l('Name En'),headerTooltip: this.l('Name En'),field: 'nameEn',flex: 1},
			{headerName: this.l('Name Vn'),headerTooltip: this.l('Name Vn'),field: 'nameVn',flex: 1},
			{headerName: this.l('Color Type'),headerTooltip: this.l('Color Type'),field: 'colorType',flex: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this.color,
			this.nameEn,
			this.nameVn,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color : string = '' ; 
	nameEn : string = '' ; 
	nameVn : string = '' ; 
	colorType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this.color,
			this.nameEn,
			this.nameVn,
			'',
            this.paginationParams.skipCount,
            this.paginationParams.pageSize
        );
    }
    onChangeRowSelection(params: { api: { getSelectedRows: () =&gt; MstCmmColorDto[] } }) {
        this.saveSelectedRow = params.api.getSelectedRows()[0] ?? new MstCmmColorDto();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MstCmmColorDto):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this._service.getColorToExcel(
			this.,
			this.color,
			this.nameEn,
			this.nameVn,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Color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[(ngModel)]='nameEn' name='nameEn'
									class='form-control' [placeholder]="l('Name En')"
									type='text' (keyup.enter)='searchDatas()'&gt;
								&lt;/div&gt;
								&lt;div class='input-search'&gt;
									&lt;input [(ngModel)]='nameVn' name='nameVn'
									class='form-control' [placeholder]="l('Name Vn')"
									type='text' (keyup.enter)='searchDatas()'&gt;
								&lt;/div&gt;
								&lt;div class='input-search'&gt;
									&lt;input [(ngModel)]='colorType' name='colorType'
									class='form-control' [placeholder]="l('Color Type')"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(click)="createOrEditModalColor.show()"&gt;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(click)="createOrEditModalColor.show(selectedRow)"&gt;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&lt;create-or-edit-color-modal
    #createOrEditModalColor
    (modalSave)="callBackDataGrid(dataParams)"
    (modalClose)="onChangeRowSelection(dataParams)"
&gt;
&lt;/create-or-edit-color-modal&gt;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#createOrEditModalColor="bs-modal"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Color')}}&lt;/h3&gt;
                    &lt;h3 *ngIf="!rowdata.id"&gt;{{('Create New Color')}}&lt;/h3&gt;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title'&gt;Name En&lt;/label&gt;
						&lt;input type='text' class='col-md-10 form-control input-text' name='NameEn' [(ngModel)]='rowdata.nameEn'&gt;
					&lt;/div&gt;
					&lt;div class='col-md-12 form-group row'&gt;
						&lt;label class='col-md-2 form-control title'&gt;Name Vn&lt;/label&gt;
						&lt;input type='text' class='col-md-10 form-control input-text' name='NameVn' [(ngModel)]='rowdata.nameVn'&gt;
					&lt;/div&gt;
					&lt;div class='col-md-12 form-group row'&gt;
						&lt;label class='col-md-2 form-control title'&gt;Color Type&lt;/label&gt;
						&lt;input type='text' class='col-md-10 form-control input-text' name='ColorType' [(ngModel)]='rowdata.colorType'&gt;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CreateOrEditMstCmmColorDto, MstCmmColorServiceProxy } from '@shared/service-proxies/service-proxies';
import { BsDatepickerDirective } from 'ngx-bootstrap/datepicker';
@Component({
    selector: 'create-or-edit-color-modal',
    templateUrl: './create-or-edit-color-modal.component.html',
    styleUrls: ['./create-or-edit-color-modal.component.less']
    })
export class CreateOrEditColorModalComponent extends AppComponentBase {
    @ViewChild('createOrEditModalColor',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CreateOrEditMstCmmColorDto = new CreateOrEditMstCmmColorDto();
    active: boolean = false;
    saving: boolean = false;
    _isActive: boolean;
    constructor(
        injector: Injector,
        private _mstwptColorService: MstCmmColorServiceProxy,
    ) 
    {
        super(injector);
    }
    show(rowdata?: CreateOrEditMstCmmColorDto): void {
        if (!rowdata) this.rowdata = new CreateOrEditMstCmmColorDto();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this._mstwptColorService.createOrEdit(this.rowdata)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ColorRoutingModule } from './color-routing.module';
import { ColorComponent } from './color.component';
import { CreateOrEditColorModalComponent } from './create-or-edit-color-modal.component';
@NgModule({
    declarations: [
       ColorComponent, 
        CreateOrEditColorModalComponent
    ],
    imports: [
        AppSharedModule, ColorRoutingModule]
})
export class ColorModule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ColorComponent } from './color.component';
const routes: Routes = [{
    path: '',
    component: ColorComponent,
    pathMatch: 'full'
}];
@NgModule({
    imports: [RouterModule.forChild(routes)],
    exports: [RouterModule],
})
export class ColorRoutingModule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AppMenuItem("Color", "Pages.Master.Cmm.Color", "flaticon-book",   "/app/main/master/cmm/color"),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'master/cmm/color',
    loadChildren: () =&gt; import('./master/cmm/color/color.module').then(m =&gt; m.ColorModule),
    data: { permission: 'Pages.Master.Cmm.Color' }
},</v>
      </c>
      <c r="R10" s="47" t="str">
        <f>SUBSTITUTE(R9,"MstWptCalendar",$B$6)</f>
        <v>ApiServiceProxies.MstCmmColorServiceProxy,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H19</v>
      </c>
      <c r="I12" s="28" t="str">
        <f>"I"&amp;COUNTA($A:$A)</f>
        <v>I19</v>
      </c>
      <c r="J12" s="28"/>
      <c r="K12" s="28" t="str">
        <f>"K"&amp;COUNTA($A:$A)</f>
        <v>K19</v>
      </c>
      <c r="L12" s="28" t="str">
        <f>"L"&amp;COUNTA($A:$A)</f>
        <v>L19</v>
      </c>
      <c r="M12" s="28"/>
      <c r="N12" s="28"/>
      <c r="O12" s="28"/>
      <c r="P12" s="28"/>
      <c r="Q12" s="28"/>
      <c r="R12" s="28"/>
      <c r="S12" s="28" t="str">
        <f>"S"&amp;COUNTA($A:$A)</f>
        <v>S19</v>
      </c>
      <c r="T12" s="28" t="str">
        <f>"T"&amp;COUNTA($A:$A)</f>
        <v>T19</v>
      </c>
      <c r="U12" s="28" t="str">
        <f>"U"&amp;COUNTA($A:$A)</f>
        <v>U19</v>
      </c>
      <c r="V12" s="28" t="str">
        <f>"V"&amp;COUNTA($A:$A)</f>
        <v>V19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this.l('Color'),headerTooltip: this.l('Color'),field: 'color',flex: 1},
			{headerName: this.l('Name En'),headerTooltip: this.l('Name En'),field: 'nameEn',flex: 1},
			{headerName: this.l('Name Vn'),headerTooltip: this.l('Name Vn'),field: 'nameVn',flex: 1},
			{headerName: this.l('Color Type'),headerTooltip: this.l('Color Type'),field: 'colorType',flex: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[(ngModel)]='nameEn' name='nameEn'
									class='form-control' [placeholder]="l('Name En')"
									type='text' (keyup.enter)='searchDatas()'&gt;
								&lt;/div&gt;
								&lt;div class='input-search'&gt;
									&lt;input [(ngModel)]='nameVn' name='nameVn'
									class='form-control' [placeholder]="l('Name Vn')"
									type='text' (keyup.enter)='searchDatas()'&gt;
								&lt;/div&gt;
								&lt;div class='input-search'&gt;
									&lt;input [(ngModel)]='colorType' name='colorType'
									class='form-control' [placeholder]="l('Color Type')"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title'&gt;Name En&lt;/label&gt;
						&lt;input type='text' class='col-md-10 form-control input-text' name='NameEn' [(ngModel)]='rowdata.nameEn'&gt;
					&lt;/div&gt;
					&lt;div class='col-md-12 form-group row'&gt;
						&lt;label class='col-md-2 form-control title'&gt;Name Vn&lt;/label&gt;
						&lt;input type='text' class='col-md-10 form-control input-text' name='NameVn' [(ngModel)]='rowdata.nameVn'&gt;
					&lt;/div&gt;
					&lt;div class='col-md-12 form-group row'&gt;
						&lt;label class='col-md-2 form-control title'&gt;Color Type&lt;/label&gt;
						&lt;input type='text' class='col-md-10 form-control input-text' name='ColorType' [(ngModel)]='rowdata.colorType'&gt;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color : string = '' ; 
	nameEn : string = '' ; 
	nameVn : string = '' ; 
	colorType : string = '' ; 
</v>
      </c>
      <c r="T13" s="62" t="str">
        <f ca="1">TEXTJOIN2("
",TRUE,INDIRECT(T11):INDIRECT(T12))</f>
        <v xml:space="preserve">			this.,
			this.color,
			this.nameEn,
			this.nameVn,
</v>
      </c>
      <c r="U13" s="62" t="str">
        <f ca="1">TEXTJOIN2("
",TRUE,INDIRECT(U11):INDIRECT(U12))</f>
        <v xml:space="preserve">	color : string = '' ; 
	nameEn : string = '' ; 
	nameVn : string = '' ; 
	colorType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color.component.ts</v>
      </c>
      <c r="I14" s="37" t="str">
        <f>B8&amp;".component.html"</f>
        <v>color.component.html</v>
      </c>
      <c r="J14" s="36" t="str">
        <f>B8&amp;".component.less"</f>
        <v>color.component.less</v>
      </c>
      <c r="K14" s="37" t="str">
        <f>"create-or-edit-"&amp;B8&amp;"-modal.component.html"</f>
        <v>create-or-edit-color-modal.component.html</v>
      </c>
      <c r="L14" s="37" t="str">
        <f>"create-or-edit-"&amp;B8&amp;"-modal.component.ts"</f>
        <v>create-or-edit-color-modal.component.ts</v>
      </c>
      <c r="M14" s="37" t="str">
        <f>"create-or-edit-"&amp;B8&amp;"-modal.component.less"</f>
        <v>create-or-edit-color-modal.component.less</v>
      </c>
      <c r="N14" s="37" t="str">
        <f>B8&amp;".module.ts"</f>
        <v>color.module.ts</v>
      </c>
      <c r="O14" s="37" t="str">
        <f>B8&amp;"-routing.module.ts"</f>
        <v>color-routing.module.ts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356</v>
      </c>
      <c r="B15" s="28" t="str">
        <f t="shared" ref="B15" si="0">SUBSTITUTE(PROPER(A15),"_","")</f>
        <v>Color</v>
      </c>
      <c r="C15" s="28" t="str">
        <f t="shared" ref="C15" si="1">SUBSTITUTE(PROPER(A15),"_"," ")</f>
        <v>Color</v>
      </c>
      <c r="D15" s="28" t="str">
        <f t="shared" ref="D15" si="2">LOWER(LEFT(B15,1))&amp;RIGHT(B15,LEN(B15) - 1)</f>
        <v>color</v>
      </c>
      <c r="E15" s="28" t="str">
        <f>A.Backend!H9</f>
        <v>string</v>
      </c>
      <c r="F15" s="28" t="str">
        <f>A.Backend!G9</f>
        <v>4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this.l('Color'),headerTooltip: this.l('Color'),field: 'color',flex: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color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color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358</v>
      </c>
      <c r="B16" s="28" t="str">
        <f t="shared" ref="B16:B19" si="8">SUBSTITUTE(PROPER(A16),"_","")</f>
        <v>NameEn</v>
      </c>
      <c r="C16" s="28" t="str">
        <f t="shared" ref="C16:C19" si="9">SUBSTITUTE(PROPER(A16),"_"," ")</f>
        <v>Name En</v>
      </c>
      <c r="D16" s="28" t="str">
        <f t="shared" ref="D16:D19" si="10">LOWER(LEFT(B16,1))&amp;RIGHT(B16,LEN(B16) - 1)</f>
        <v>nameEn</v>
      </c>
      <c r="E16" s="28" t="str">
        <f>A.Backend!H10</f>
        <v>string</v>
      </c>
      <c r="F16" s="28" t="str">
        <f>A.Backend!G10</f>
        <v>50</v>
      </c>
      <c r="G16" s="28" t="str">
        <f t="shared" ref="G16:G19" si="11">IF(E16="string"," : string = '' ; ",IF(OR(E16="DateTime",E16="TimeSpan")," : any ;",IF(E16="int"," : number = 0 ;","")))</f>
        <v xml:space="preserve"> : string = '' ; </v>
      </c>
      <c r="H16" s="35" t="str">
        <f t="shared" ref="H16:H19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 En'),headerTooltip: this.l('Name En'),field: 'nameEn',flex: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[(ngModel)]='nameEn' name='nameEn'
									class='form-control' [placeholder]="l('Name En')"
									type='text' (keyup.enter)='searchDatas()'&gt;
								&lt;/div&gt;</v>
      </c>
      <c r="J16" s="28"/>
      <c r="K16" s="35" t="str">
        <f t="shared" ref="K16:K19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 En&lt;/label&gt;
						&lt;input type='text' class='col-md-10 form-control input-text' name='NameEn' [(ngModel)]='rowdata.nameEn'&gt;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9" si="15">IF(AND(E16="string",F16 &lt;&gt;"1"),(REPT(CHAR(9),1)&amp;D16&amp;G16),"")</f>
        <v xml:space="preserve">	nameEn : string = '' ; </v>
      </c>
      <c r="T16" s="28" t="str">
        <f>IF(AND(E16="string",F16 &lt;&gt;"1"),(REPT(CHAR(9),3)&amp;"this."&amp;D15&amp;","),"")</f>
        <v xml:space="preserve">			this.color,</v>
      </c>
      <c r="U16" s="28" t="str">
        <f t="shared" ref="U16:U19" si="16">IF(AND(E16="string",F16 &lt;&gt;"1"),(REPT(CHAR(9),1)&amp;D16&amp;G16),"")</f>
        <v xml:space="preserve">	nameEn : string = '' ; </v>
      </c>
      <c r="V16" s="28" t="str">
        <f t="shared" ref="V16:V19" si="17">IF(AND(E16="string",F16="1"),D16,"")</f>
        <v/>
      </c>
    </row>
    <row r="17" spans="1:22" ht="18" customHeight="1" x14ac:dyDescent="0.25">
      <c r="A17" s="28" t="s">
        <v>359</v>
      </c>
      <c r="B17" s="28" t="str">
        <f t="shared" si="8"/>
        <v>NameVn</v>
      </c>
      <c r="C17" s="28" t="str">
        <f t="shared" si="9"/>
        <v>Name Vn</v>
      </c>
      <c r="D17" s="28" t="str">
        <f t="shared" si="10"/>
        <v>nameVn</v>
      </c>
      <c r="E17" s="28" t="str">
        <f>A.Backend!H11</f>
        <v>string</v>
      </c>
      <c r="F17" s="28" t="str">
        <f>A.Backend!G11</f>
        <v>50</v>
      </c>
      <c r="G17" s="28" t="str">
        <f t="shared" si="11"/>
        <v xml:space="preserve"> : string = '' ; </v>
      </c>
      <c r="H17" s="35" t="str">
        <f t="shared" si="12"/>
        <v xml:space="preserve">			{headerName: this.l('Name Vn'),headerTooltip: this.l('Name Vn'),field: 'nameVn',flex: 1},</v>
      </c>
      <c r="I17" s="35" t="str">
        <f t="shared" si="5"/>
        <v xml:space="preserve">								&lt;div class='input-search'&gt;
									&lt;input [(ngModel)]='nameVn' name='nameVn'
									class='form-control' [placeholder]="l('Name Vn')"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title'&gt;Name Vn&lt;/label&gt;
						&lt;input type='text' class='col-md-10 form-control input-text' name='NameVn' [(ngModel)]='rowdata.nameVn'&gt;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nameVn : string = '' ; </v>
      </c>
      <c r="T17" s="28" t="str">
        <f t="shared" ref="T17:T19" si="18">IF(AND(E17="string",F17 &lt;&gt;"1"),(REPT(CHAR(9),3)&amp;"this."&amp;D16&amp;","),"")</f>
        <v xml:space="preserve">			this.nameEn,</v>
      </c>
      <c r="U17" s="28" t="str">
        <f t="shared" si="16"/>
        <v xml:space="preserve">	nameVn : string = '' ; </v>
      </c>
      <c r="V17" s="28" t="str">
        <f t="shared" si="17"/>
        <v/>
      </c>
    </row>
    <row r="18" spans="1:22" ht="15" customHeight="1" x14ac:dyDescent="0.25">
      <c r="A18" s="28" t="s">
        <v>360</v>
      </c>
      <c r="B18" s="28" t="str">
        <f t="shared" si="8"/>
        <v>ColorType</v>
      </c>
      <c r="C18" s="28" t="str">
        <f t="shared" si="9"/>
        <v>Color Type</v>
      </c>
      <c r="D18" s="28" t="str">
        <f t="shared" si="10"/>
        <v>colorType</v>
      </c>
      <c r="E18" s="28" t="str">
        <f>A.Backend!H12</f>
        <v>string</v>
      </c>
      <c r="F18" s="28" t="str">
        <f>A.Backend!G12</f>
        <v>50</v>
      </c>
      <c r="G18" s="28" t="str">
        <f t="shared" si="11"/>
        <v xml:space="preserve"> : string = '' ; </v>
      </c>
      <c r="H18" s="35" t="str">
        <f t="shared" si="12"/>
        <v xml:space="preserve">			{headerName: this.l('Color Type'),headerTooltip: this.l('Color Type'),field: 'colorType',flex: 1},</v>
      </c>
      <c r="I18" s="35" t="str">
        <f t="shared" si="5"/>
        <v xml:space="preserve">								&lt;div class='input-search'&gt;
									&lt;input [(ngModel)]='colorType' name='colorType'
									class='form-control' [placeholder]="l('Color Type')"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title'&gt;Color Type&lt;/label&gt;
						&lt;input type='text' class='col-md-10 form-control input-text' name='ColorType' [(ngModel)]='rowdata.colorType'&gt;
					&lt;/div&gt;</v>
      </c>
      <c r="L18" s="56" t="str">
        <f t="shared" ref="L18:L1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colorType : string = '' ; </v>
      </c>
      <c r="T18" s="28" t="str">
        <f t="shared" si="18"/>
        <v xml:space="preserve">			this.nameVn,</v>
      </c>
      <c r="U18" s="28" t="str">
        <f t="shared" si="16"/>
        <v xml:space="preserve">	colorType : string = '' ; </v>
      </c>
      <c r="V18" s="28" t="str">
        <f t="shared" si="17"/>
        <v/>
      </c>
    </row>
    <row r="19" spans="1:22" ht="18" customHeight="1" x14ac:dyDescent="0.25">
      <c r="A19" s="28" t="s">
        <v>318</v>
      </c>
      <c r="B19" s="28" t="str">
        <f t="shared" si="8"/>
        <v>IsActive</v>
      </c>
      <c r="C19" s="28" t="str">
        <f t="shared" si="9"/>
        <v>Is Active</v>
      </c>
      <c r="D19" s="28" t="str">
        <f t="shared" si="10"/>
        <v>isActive</v>
      </c>
      <c r="E19" s="28" t="str">
        <f>A.Backend!H13</f>
        <v>string</v>
      </c>
      <c r="F19" s="28" t="str">
        <f>A.Backend!G13</f>
        <v>1</v>
      </c>
      <c r="G19" s="28" t="str">
        <f t="shared" si="11"/>
        <v xml:space="preserve"> : string = '' ; </v>
      </c>
      <c r="H19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/>
      </c>
      <c r="T19" s="28" t="str">
        <f t="shared" si="18"/>
        <v/>
      </c>
      <c r="U19" s="28" t="str">
        <f t="shared" si="16"/>
        <v/>
      </c>
      <c r="V19" s="28" t="str">
        <f t="shared" si="17"/>
        <v>isActive</v>
      </c>
    </row>
    <row r="2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2023-04-25T05:12:49Z</dcterms:modified>
</cp:coreProperties>
</file>
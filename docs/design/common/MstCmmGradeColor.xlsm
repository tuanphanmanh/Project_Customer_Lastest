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ProdNew\docs\design\common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5" l="1"/>
  <c r="D16" i="5" s="1"/>
  <c r="C16" i="5"/>
  <c r="B7" i="5" l="1"/>
  <c r="B6" i="5"/>
  <c r="B2" i="5"/>
  <c r="B8" i="5" l="1"/>
  <c r="B3" i="5"/>
  <c r="B6" i="1" l="1"/>
  <c r="C15" i="5" l="1"/>
  <c r="B15" i="5"/>
  <c r="D15" i="5" s="1"/>
  <c r="G9" i="1" l="1"/>
  <c r="F15" i="5" s="1"/>
  <c r="E9" i="1"/>
  <c r="H9" i="1" s="1"/>
  <c r="E15" i="5" s="1"/>
  <c r="D9" i="1"/>
  <c r="V9" i="1" s="1"/>
  <c r="T15" i="5" l="1"/>
  <c r="I15" i="5"/>
  <c r="K15" i="5"/>
  <c r="H15" i="5"/>
  <c r="G15" i="5"/>
  <c r="U15" i="5" s="1"/>
  <c r="V15" i="5"/>
  <c r="L15" i="5"/>
  <c r="W9" i="1"/>
  <c r="P9" i="1"/>
  <c r="T9" i="1"/>
  <c r="I9" i="1"/>
  <c r="M9" i="1"/>
  <c r="O9" i="1"/>
  <c r="S15" i="5" l="1"/>
  <c r="Q3" i="1"/>
  <c r="B4" i="5" s="1"/>
  <c r="B5" i="5" s="1"/>
  <c r="G10" i="1" l="1"/>
  <c r="F16" i="5" s="1"/>
  <c r="E10" i="1"/>
  <c r="H10" i="1" s="1"/>
  <c r="E16" i="5" s="1"/>
  <c r="G16" i="5" s="1"/>
  <c r="D10" i="1"/>
  <c r="T10" i="1" s="1"/>
  <c r="H16" i="5" l="1"/>
  <c r="V16" i="5"/>
  <c r="T16" i="5"/>
  <c r="K16" i="5"/>
  <c r="I16" i="5"/>
  <c r="U16" i="5"/>
  <c r="L16" i="5"/>
  <c r="P10" i="1"/>
  <c r="V10" i="1"/>
  <c r="W10" i="1"/>
  <c r="J10" i="1"/>
  <c r="I10" i="1"/>
  <c r="O10" i="1"/>
  <c r="N10" i="1"/>
  <c r="M10" i="1"/>
  <c r="S16" i="5" l="1"/>
  <c r="W3" i="1"/>
  <c r="V3" i="1"/>
  <c r="U7" i="1" l="1"/>
  <c r="N68" i="3" s="1"/>
  <c r="T3" i="1" l="1"/>
  <c r="F3" i="1"/>
  <c r="O7" i="1" l="1"/>
  <c r="N7" i="1"/>
  <c r="E68" i="3" s="1"/>
  <c r="K7" i="1"/>
  <c r="H6" i="1"/>
  <c r="R10" i="5" l="1"/>
  <c r="M75" i="3" s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2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13" i="5"/>
  <c r="T12" i="1"/>
  <c r="T7" i="1" l="1"/>
  <c r="W12" i="1"/>
  <c r="G6" i="1" l="1"/>
  <c r="U13" i="5"/>
  <c r="H13" i="5"/>
  <c r="L13" i="5"/>
  <c r="I13" i="5"/>
  <c r="K13" i="5"/>
  <c r="S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J9" i="1" l="1"/>
  <c r="N9" i="1"/>
  <c r="L9" i="1"/>
  <c r="L10" i="1"/>
  <c r="C7" i="1"/>
  <c r="O12" i="1"/>
  <c r="I12" i="1"/>
  <c r="N12" i="1"/>
  <c r="J12" i="1"/>
  <c r="P12" i="1"/>
  <c r="Q7" i="1" l="1"/>
  <c r="M68" i="3" s="1"/>
  <c r="L7" i="1"/>
  <c r="G68" i="3" s="1"/>
  <c r="K68" i="3"/>
  <c r="J68" i="3"/>
  <c r="M12" i="1"/>
  <c r="K12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<sst xmlns="http://schemas.openxmlformats.org/spreadsheetml/2006/main" count="439" uniqueCount="360">
  <si>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</si>
  <si>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</si>
  <si>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</si>
  <si>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</si>
  <si>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</si>
  <si>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</si>
  <si>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</si>
  <si>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</si>
  <si>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</si>
  <si>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</si>
  <si>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</si>
  <si>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</si>
  <si>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</si>
  <si>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</si>
  <si>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</si>
  <si>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</si>
  <si>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</si>
  <si>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</si>
  <si>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</si>
  <si>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</si>
  <si>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</si>
  <si>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</si>
  <si>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</si>
  <si>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</si>
  <si>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</si>
  <si>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</si>
  <si>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</si>
  <si>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</si>
  <si>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</si>
  <si>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</si>
  <si>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</si>
  <si>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</si>
  <si>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</si>
  <si>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</si>
  <si>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</si>
  <si>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</si>
  <si>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</si>
  <si>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</si>
  <si>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</si>
  <si>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</si>
  <si>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</si>
  <si>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</si>
  <si>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</si>
  <si>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</si>
  <si>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</si>
  <si>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</si>
  <si>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</si>
  <si>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</si>
  <si>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</si>
  <si>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</si>
  <si>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</si>
  <si>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</si>
  <si>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</si>
  <si>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</si>
  <si>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</si>
  <si>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</si>
  <si>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</si>
  <si>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</si>
  <si>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</si>
  <si>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</si>
  <si>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</si>
  <si>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</si>
  <si>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</si>
  <si>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</si>
  <si>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</si>
  <si>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</si>
  <si>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</si>
  <si>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</si>
  <si>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</si>
  <si>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</si>
  <si>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</si>
  <si>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</si>
  <si>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</si>
  <si>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</si>
  <si>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</si>
  <si>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</si>
  <si>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</si>
  <si>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</si>
  <si>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</si>
  <si>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</si>
  <si>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</si>
  <si>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</si>
  <si>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</si>
  <si>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</si>
  <si>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</si>
  <si>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</si>
  <si>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</si>
  <si>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</si>
  <si>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</si>
  <si>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</si>
  <si>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</si>
  <si>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</si>
  <si>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</si>
  <si>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</si>
  <si>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</si>
  <si>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</si>
  <si>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</si>
  <si>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</si>
  <si>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</si>
  <si>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</si>
  <si>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</si>
  <si>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</si>
  <si>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</si>
  <si>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</si>
  <si>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</si>
  <si>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</si>
  <si>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</si>
  <si>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</si>
  <si>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</si>
  <si>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</si>
  <si>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</si>
  <si>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</si>
  <si>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</si>
  <si>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</si>
  <si>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</si>
  <si>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</si>
  <si>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</si>
  <si>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</si>
  <si>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</si>
  <si>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</si>
  <si>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</si>
  <si>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</si>
  <si>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</si>
  <si>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</si>
  <si>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</si>
  <si>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</si>
  <si>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</si>
  <si>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</si>
  <si>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</si>
  <si>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</si>
  <si>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</si>
  <si>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</si>
  <si>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</si>
  <si>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</si>
  <si>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</si>
  <si>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</si>
  <si>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</si>
  <si>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</si>
  <si>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</si>
  <si>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</si>
  <si>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</si>
  <si>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</si>
  <si>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</si>
  <si>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</si>
  <si>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</si>
  <si>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</si>
  <si>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</si>
  <si>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</si>
  <si>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</si>
  <si>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</si>
  <si>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</si>
  <si>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</si>
  <si>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</si>
  <si>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</si>
  <si>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</si>
  <si>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</si>
  <si>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</si>
  <si>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</si>
  <si>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</si>
  <si>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</si>
  <si>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</si>
  <si>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</si>
  <si>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</si>
  <si>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</si>
  <si>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</si>
  <si>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</si>
  <si>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</si>
  <si>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</si>
  <si>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</si>
  <si>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</si>
  <si>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</si>
  <si>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</si>
  <si>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</si>
  <si>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</si>
  <si>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</si>
  <si>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</si>
  <si>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</si>
  <si>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</si>
  <si>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</si>
  <si>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</si>
  <si>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</si>
  <si>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</si>
  <si>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</si>
  <si>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</si>
  <si>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</si>
  <si>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</si>
  <si>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</si>
  <si>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</si>
  <si>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</si>
  <si>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</si>
  <si>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</si>
  <si>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</si>
  <si>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</si>
  <si>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</si>
  <si>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</si>
  <si>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</si>
  <si>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</si>
  <si>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</si>
  <si>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</si>
  <si>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</si>
  <si>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</si>
  <si>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</si>
  <si>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</si>
  <si>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</si>
  <si>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</si>
  <si>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</si>
  <si>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</si>
  <si>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</si>
  <si>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</si>
  <si>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</si>
  <si>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</si>
  <si>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</si>
  <si>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</si>
  <si>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</si>
  <si>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</si>
  <si>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</si>
  <si>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</si>
  <si>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</si>
  <si>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</si>
  <si>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</si>
  <si>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</si>
  <si>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</si>
  <si>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</si>
  <si>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</si>
  <si>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</si>
  <si>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</si>
  <si>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</si>
  <si>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</si>
  <si>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</si>
  <si>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</si>
  <si>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</si>
  <si>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</si>
  <si>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</si>
  <si>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</si>
  <si>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</si>
  <si>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</si>
  <si>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</si>
  <si>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</si>
  <si>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</si>
  <si>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</si>
  <si>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</si>
  <si>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</si>
  <si>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</si>
  <si>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</si>
  <si>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</si>
  <si>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</si>
  <si>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</si>
  <si>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</si>
  <si>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</si>
  <si>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</si>
  <si>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</si>
  <si>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</si>
  <si>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</si>
  <si>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</si>
  <si>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</si>
  <si>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</si>
  <si>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</si>
  <si>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</si>
  <si>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</si>
  <si>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</si>
  <si>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</si>
  <si>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</si>
  <si>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</si>
  <si>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</si>
  <si>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</si>
  <si>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</si>
  <si>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</si>
  <si>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</si>
  <si>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</si>
  <si>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</si>
  <si>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</si>
  <si>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</si>
  <si>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</si>
  <si>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</si>
  <si>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</si>
  <si>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</si>
  <si>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</si>
  <si>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</si>
  <si>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</si>
  <si>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</si>
  <si>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</si>
  <si>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</si>
  <si>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</si>
  <si>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</si>
  <si>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</si>
  <si>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</si>
  <si>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</si>
  <si>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</si>
  <si>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</si>
  <si>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</si>
  <si>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</si>
  <si>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</si>
  <si>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</si>
  <si>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</si>
  <si>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</si>
  <si>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</si>
  <si>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</si>
  <si>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</si>
  <si>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</si>
  <si>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</si>
  <si>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</si>
  <si>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</si>
  <si>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</si>
  <si>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</si>
  <si>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</si>
  <si>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</si>
  <si>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</si>
  <si>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</si>
  <si>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</si>
  <si>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</si>
  <si>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</si>
  <si>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</si>
  <si>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</si>
  <si>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</si>
  <si>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</si>
  <si>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</si>
  <si>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</si>
  <si>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</si>
  <si>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</si>
  <si>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</si>
  <si>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</si>
  <si>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</si>
  <si>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</si>
  <si>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</si>
  <si>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</si>
  <si>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</si>
  <si>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</si>
  <si>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</si>
  <si>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</si>
  <si>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</si>
  <si>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</si>
  <si>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</si>
  <si>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</si>
  <si>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</si>
  <si>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</si>
  <si>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</si>
  <si>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</si>
  <si>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</si>
  <si>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</si>
  <si>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</si>
  <si>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</si>
  <si>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</si>
  <si>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</si>
  <si>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</si>
  <si>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</si>
  <si>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</si>
  <si>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</si>
  <si>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</si>
  <si>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</si>
  <si>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</si>
  <si>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</si>
  <si>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</si>
  <si>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</si>
  <si>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</si>
  <si>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Master.Cmm</t>
  </si>
  <si>
    <t>Master Common Color</t>
  </si>
  <si>
    <t>MstCmmGradeColor</t>
  </si>
  <si>
    <t>GradeColor</t>
  </si>
  <si>
    <t>GRADE_ID</t>
  </si>
  <si>
    <t>COLOR_ID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</si>
</sst>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G58" zoomScaleNormal="100" workbookViewId="0">
      <selection activeCell="M75" sqref="M75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344</v>
      </c>
      <c r="F18" s="1" t="s">
        <v>346</v>
      </c>
      <c r="G18" t="s">
        <v>345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318</v>
      </c>
      <c r="F42" s="1" t="s">
        <v>331</v>
      </c>
      <c r="G42" t="s">
        <v>331</v>
      </c>
    </row>
    <row r="43" spans="1:8" x14ac:dyDescent="0.25">
      <c r="A43" s="1"/>
      <c r="D43" t="s">
        <v>319</v>
      </c>
      <c r="F43" s="1" t="s">
        <v>325</v>
      </c>
      <c r="G43" t="s">
        <v>332</v>
      </c>
    </row>
    <row r="44" spans="1:8" x14ac:dyDescent="0.25">
      <c r="A44" s="1"/>
      <c r="D44" t="s">
        <v>321</v>
      </c>
      <c r="F44" s="1" t="s">
        <v>326</v>
      </c>
      <c r="G44" t="s">
        <v>333</v>
      </c>
    </row>
    <row r="45" spans="1:8" x14ac:dyDescent="0.25">
      <c r="A45" s="1"/>
      <c r="D45" t="s">
        <v>320</v>
      </c>
      <c r="F45" s="1" t="s">
        <v>327</v>
      </c>
      <c r="G45" t="s">
        <v>334</v>
      </c>
    </row>
    <row r="46" spans="1:8" x14ac:dyDescent="0.25">
      <c r="A46" s="1"/>
      <c r="D46" t="s">
        <v>323</v>
      </c>
      <c r="F46" s="1" t="s">
        <v>328</v>
      </c>
      <c r="G46" t="s">
        <v>335</v>
      </c>
    </row>
    <row r="47" spans="1:8" x14ac:dyDescent="0.25">
      <c r="A47" s="1"/>
      <c r="D47" t="s">
        <v>341</v>
      </c>
      <c r="F47" s="1" t="s">
        <v>342</v>
      </c>
      <c r="G47" t="s">
        <v>343</v>
      </c>
    </row>
    <row r="48" spans="1:8" x14ac:dyDescent="0.25">
      <c r="A48" s="1"/>
      <c r="D48" t="s">
        <v>324</v>
      </c>
      <c r="F48" s="1" t="s">
        <v>329</v>
      </c>
      <c r="G48" t="s">
        <v>336</v>
      </c>
    </row>
    <row r="49" spans="1:7" x14ac:dyDescent="0.25">
      <c r="A49" s="1"/>
      <c r="D49" t="s">
        <v>322</v>
      </c>
      <c r="F49" s="1" t="s">
        <v>330</v>
      </c>
      <c r="G49" t="s">
        <v>337</v>
      </c>
    </row>
    <row r="50" spans="1:7" x14ac:dyDescent="0.25">
      <c r="A50" s="1"/>
      <c r="D50" t="s">
        <v>338</v>
      </c>
      <c r="F50" s="1" t="s">
        <v>339</v>
      </c>
      <c r="G50" t="s">
        <v>340</v>
      </c>
    </row>
    <row r="51" spans="1:7" x14ac:dyDescent="0.25">
      <c r="A51" s="1"/>
    </row>
    <row r="52" spans="1:7" x14ac:dyDescent="0.25">
      <c r="A52" s="1"/>
      <c r="B52" t="s">
        <v>82</v>
      </c>
    </row>
    <row r="53" spans="1:7" x14ac:dyDescent="0.25">
      <c r="A53" s="1"/>
      <c r="B53" t="s">
        <v>79</v>
      </c>
    </row>
    <row r="54" spans="1:7" x14ac:dyDescent="0.25">
      <c r="A54" s="1"/>
      <c r="C54" s="17" t="s">
        <v>76</v>
      </c>
    </row>
    <row r="55" spans="1:7" x14ac:dyDescent="0.25">
      <c r="A55" s="1"/>
      <c r="C55" s="16" t="s">
        <v>77</v>
      </c>
    </row>
    <row r="56" spans="1:7" x14ac:dyDescent="0.25">
      <c r="A56" s="1"/>
      <c r="C56" s="16" t="s">
        <v>78</v>
      </c>
    </row>
    <row r="57" spans="1:7" x14ac:dyDescent="0.25">
      <c r="A57" s="1"/>
      <c r="B57" t="s">
        <v>102</v>
      </c>
      <c r="C57" s="16"/>
    </row>
    <row r="58" spans="1:7" x14ac:dyDescent="0.25">
      <c r="A58" s="1"/>
      <c r="C58" s="16" t="s">
        <v>103</v>
      </c>
    </row>
    <row r="59" spans="1:7" x14ac:dyDescent="0.25">
      <c r="A59" s="1"/>
      <c r="C59" s="16" t="s">
        <v>104</v>
      </c>
    </row>
    <row r="60" spans="1:7" x14ac:dyDescent="0.25">
      <c r="A60" s="1"/>
      <c r="C60" s="16" t="s">
        <v>105</v>
      </c>
    </row>
    <row r="61" spans="1:7" x14ac:dyDescent="0.25">
      <c r="A61" s="1"/>
      <c r="C61" s="16" t="s">
        <v>107</v>
      </c>
    </row>
    <row r="62" spans="1:7" x14ac:dyDescent="0.25">
      <c r="A62" s="1"/>
      <c r="C62" s="16" t="s">
        <v>109</v>
      </c>
    </row>
    <row r="63" spans="1:7" x14ac:dyDescent="0.25">
      <c r="A63" s="1"/>
      <c r="C63" s="16" t="s">
        <v>108</v>
      </c>
    </row>
    <row r="64" spans="1:7" x14ac:dyDescent="0.25">
      <c r="A64" s="1"/>
      <c r="C64" s="16" t="s">
        <v>106</v>
      </c>
    </row>
    <row r="65" spans="2:14" ht="21" customHeight="1" x14ac:dyDescent="0.25">
      <c r="B65" s="19" t="s">
        <v>74</v>
      </c>
    </row>
    <row r="66" spans="2:14" ht="21" customHeight="1" x14ac:dyDescent="0.25">
      <c r="B66" s="59" t="s">
        <v>226</v>
      </c>
    </row>
    <row r="67" spans="2:14" ht="15.75" thickBot="1" x14ac:dyDescent="0.3">
      <c r="C67" s="1" t="s">
        <v>68</v>
      </c>
      <c r="D67" s="1" t="s">
        <v>202</v>
      </c>
      <c r="E67" s="1" t="s">
        <v>203</v>
      </c>
      <c r="F67" s="1" t="s">
        <v>194</v>
      </c>
      <c r="G67" s="1" t="s">
        <v>195</v>
      </c>
      <c r="H67" s="1" t="s">
        <v>196</v>
      </c>
      <c r="I67" s="1" t="s">
        <v>197</v>
      </c>
      <c r="J67" s="1" t="s">
        <v>201</v>
      </c>
      <c r="K67" s="1" t="s">
        <v>204</v>
      </c>
      <c r="L67" s="1" t="s">
        <v>205</v>
      </c>
      <c r="M67" s="1" t="s">
        <v>206</v>
      </c>
      <c r="N67" s="1" t="s">
        <v>222</v>
      </c>
    </row>
    <row r="68" spans="2:14" s="15" customFormat="1" ht="21.75" customHeight="1" thickBot="1" x14ac:dyDescent="0.3">
      <c r="B68" s="49" t="s">
        <v>221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[Table("MstCmmGradeColor")]
	public class MstCmmGradeColor: FullAuditedEntity&lt;long&gt;, IEntity&lt;long&gt;	
	{
		public virtual int? GradeId { get; set; }
		public virtual int? ColorId { get; set; }
	}
}
</v>
      </c>
      <c r="D68" s="48" t="str">
        <f>A.Backend!O7</f>
        <v xml:space="preserve">		public const string Pages_Master_Cmm_GradeColor = "Pages.Master.Cmm.GradeColor";
		public const string Pages_Master_Cmm_GradeColor_CreateEdit = "Pages.Master.Cmm.GradeColor.CreateEdit";
		public const string Pages_Master_Cmm_GradeColor_Delete = "Pages.Master.Cmm.GradeColor.Delete";
</v>
      </c>
      <c r="E68" s="48" t="str">
        <f>A.Backend!N7</f>
        <v xml:space="preserve">		var perMstCmmGradeColor = PARENTS.CreateChildPermission(AppPermissions.Pages_Master_Cmm_GradeColor, L( "MasterCmmGradeColor"), multiTenancySides: MultiTenancySides.Tenant);
		perMstCmmGradeColor.CreateChildPermission(AppPermissions.Pages_Master_Cmm_GradeColor_CreateEdit, L( "MasterCmmGradeColorCreateEdit"), multiTenancySides: MultiTenancySides.Tenant);
		perMstCmmGradeColor.CreateChildPermission(AppPermissions.Pages_Master_Cmm_GradeColor_Delete, L( "MasterCmmGradeColorDelete"), multiTenancySides: MultiTenancySides.Tenant);</v>
      </c>
      <c r="F68" s="48" t="str">
        <f>A.Backend!K7</f>
        <v>public virtual DbSet&lt;MstCmmGradeColor&gt; MstCmmGradeColors { get; set; }</v>
      </c>
      <c r="G68" s="48" t="str">
        <f ca="1">A.Backend!L7</f>
        <v xml:space="preserve">namespace prod.Master.Cmm
{
	public class MstCmmGradeColorConsts	
	{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prod.Master.Cmm.Dto
{
	public class MstCmmGradeColorDto : EntityDto&lt;long?&gt;	
	{
		public virtual int? GradeId { get; set; }
		public virtual int? ColorId { get; set; }
	}
	public class CreateOrEditMstCmmGradeColorDto : EntityDto&lt;long?&gt;	
	{
		public virtual int? GradeId { get; set; }
		public virtual int? ColorId { get; set; }
	}
	public class GetMstCmmGradeColorInput : PagedAndSortedResultRequestDto	
	{
	}
}
</v>
      </c>
      <c r="I68" s="48" t="str">
        <f ca="1">A.Backend!R7</f>
        <v xml:space="preserve">using Abp.Application.Services.Dto;
using System;
using System.ComponentModel.DataAnnotations;
namespace prod.Master.Cmm.Dto
{
	public class MstCmmGradeColorExportInput{
		public virtual int? GradeId { get; set; }
		public virtual int? ColorId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vovina.Master.Cmm.Dto;
namespace prod.Master.Cmm
{
	public interface IMstCmmGradeColorAppService : IApplicationService
	{
		Task&lt;PagedResultDto&lt;MstCmmGradeColorDto&gt;&gt; GetAll(GetMstCmmGradeColorInput input);
		Task CreateOrEdit(CreateOrEditMstCmmGradeColorDto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vovina.Master.Cmm.Dto;
namespace prod.Master.Cmm.Exporting
{
	public interface IMstCmmGradeColorExcelExporter : IApplicationService
	{
		FileDto ExportToFile(List&lt;MstCmmGradeColorDto&gt; mstcmmgradecolor);
	}
}
</v>
      </c>
      <c r="L68" s="48" t="str">
        <f ca="1">A.Backend!T7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MstCmmGradeColorExcelExporter : NpoiExcelExporterBase, IMstCmmGradeColorExcelExporter
    {
        public MstCmmGradeColorExcelExporter(ITempFileCacheManager tempFileCacheManager) : base(tempFileCacheManager) { }
        public FileDto ExportToFile(List&lt;MstCmmGradeColorDto&gt; gradecolor)
        {
            return CreateExcelPackage(
				"MasterCmmGradeColor.xlsx",
				excelPackage =&gt;
				 {
					var sheet = excelPackage.CreateSheet("GradeColor");
					AddHeader(
								sheet,
								("GradeId"),
								("ColorId"),
							   );
					AddObjects(
						 sheet, 1, gradecolor,                                       
								_ =&gt; _.GradeId,
								_ =&gt; _.ColorId,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[AbpAuthorize(AppPermissions.Pages_Master_Cmm_GradeColor)]
    public class MstCmmGradeColorAppService : vovinaAppServiceBase, IMstCmmGradeColorAppService
    {
        private readonly IDapperRepository&lt;MstCmmGradeColor, long&gt; _dapperRepo;
        private readonly IRepository&lt;MstCmmGradeColor, long&gt; _repo;
        private readonly IMstCmmGradeColorExcelExporter _calendarListExcelExporter;
        public MstCmmGradeColorAppService(IRepository&lt;MstCmmGradeColor,long&gt; repo, 
                                         IDapperRepository&lt;MstCmmGradeColor,long&gt; dapperRepo,
                                        IMstCmmGradeColorExcelExporter calendarListExcelExporter
            )
        {
            _repo = repo;
            _dapperRepo = dapperRepo;
            _calendarListExcelExporter = calendarListExcelExporter;
        }
        [AbpAuthorize(AppPermissions.Pages_Master_Cmm_GradeColor_CreateEdit)]
        public async Task CreateOrEdit(CreateOrEditMstCmmGradeColorDto input)
        {
            if (input.Id == null) await Create(input);
            else await Update(input);
        }
        //CREATE
        private async Task Create(CreateOrEditMstCmmGradeColorDto input)
        {          
            var mainObj = ObjectMapper.Map&lt;MstCmmGradeColor&gt;(input);
            await CurrentUnitOfWork.GetDbContext&lt;vovinaDbContext&gt;().AddAsync(mainObj);
        }
        // EDIT
        private async Task Update(CreateOrEditMstCmmGradeColorDto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[AbpAuthorize(AppPermissions.Pages_Master_Cmm_GradeColor_Delete)]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Task&lt;PagedResultDto&lt;MstCmmGradeColorDto&gt;&gt; GetAll(GetMstCmmGradeColorInput input)
        {
            var filtered = _repo.GetAll()
				;
            var pageAndFiltered = filtered.OrderBy(s =&gt; s.Id);
            var system = from o in pageAndFiltered
                         select new MstCmmGradeColorDto
                        {
							Id = o.Id,
							GradeId = o.GradeId,
							ColorId = o.ColorId,
                        };
            var totalCount = await filtered.CountAsync();
			var paged = system.PageBy(input);
            return new PagedResultDto&lt;MstCmmGradeColorDto&gt;(
                totalCount,
                 await paged.ToListAsync()
            );
        }
        public async Task&lt;FileDto&gt; GetGradeColorToExcel(MstCmmGradeColorExportInput input)
        {
            var query = from o in _repo.GetAll()
                        select new MstCmmGradeColorDto
                        {
							Id = o.Id,
							GradeId = o.GradeId,
							ColorId = o.ColorId,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_dapperRepo.ExecuteAsync(MstCmmGradeColorConsts.SP_MST_WPT_CALENDAR_GENERATE);
       // }
    }
}</v>
      </c>
      <c r="N68" s="58" t="str">
        <f>A.Backend!U7</f>
        <v xml:space="preserve">  configuration.CreateMap&lt;MstCmmGradeColorDto, MstCmmGradeColor&gt;();
  configuration.CreateMap&lt;MstCmmGradeColor, MstCmmGradeColorDto&gt;();
  configuration.CreateMap&lt;CreateOrEditMstCmmGradeColorDto, MstCmmGradeColor&gt;();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69</v>
      </c>
    </row>
    <row r="73" spans="2:14" ht="21" x14ac:dyDescent="0.35">
      <c r="B73" t="str">
        <f>B.Frontend!B8</f>
        <v>gradecolor</v>
      </c>
      <c r="C73" s="66" t="str">
        <f>"create folder " &amp;B73</f>
        <v>create folder gradecolor</v>
      </c>
      <c r="D73" s="66"/>
      <c r="E73" s="66"/>
      <c r="F73" s="66"/>
      <c r="G73" s="66"/>
      <c r="H73" s="66"/>
      <c r="I73" s="66"/>
      <c r="J73" s="66"/>
      <c r="K73" s="67" t="s">
        <v>223</v>
      </c>
      <c r="L73" s="67"/>
      <c r="M73" s="28"/>
    </row>
    <row r="74" spans="2:14" s="26" customFormat="1" ht="18" customHeight="1" x14ac:dyDescent="0.25">
      <c r="B74" s="56" t="s">
        <v>224</v>
      </c>
      <c r="C74" s="28" t="str">
        <f>B.Frontend!H14</f>
        <v>gradecolor.component.ts</v>
      </c>
      <c r="D74" s="28" t="str">
        <f>B.Frontend!I14</f>
        <v>gradecolor.component.html</v>
      </c>
      <c r="E74" s="28" t="str">
        <f>B.Frontend!J14</f>
        <v>gradecolor.component.less</v>
      </c>
      <c r="F74" s="28" t="str">
        <f>B.Frontend!K14</f>
        <v>create-or-edit-gradecolor-modal.component.html</v>
      </c>
      <c r="G74" s="28" t="str">
        <f>B.Frontend!L14</f>
        <v>create-or-edit-gradecolor-modal.component.ts</v>
      </c>
      <c r="H74" s="28" t="str">
        <f>B.Frontend!M14</f>
        <v>create-or-edit-gradecolor-modal.component.less</v>
      </c>
      <c r="I74" s="28" t="str">
        <f>B.Frontend!N14</f>
        <v>gradecolor.module.ts</v>
      </c>
      <c r="J74" s="28" t="str">
        <f>B.Frontend!O14</f>
        <v>gradecolor-routing.module.ts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227</v>
      </c>
    </row>
    <row r="75" spans="2:14" ht="21.75" customHeight="1" x14ac:dyDescent="0.25">
      <c r="B75" s="57" t="s">
        <v>221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MstCmmGradeColorDto, MstCmmGradeColorServiceProxy } from '@shared/service-proxies/service-proxies';
import { finalize } from 'rxjs/internal/operators/finalize';
import { CreateOrEditGradeColorModalComponent } from './create-or-edit-gradecolor-modal.component';
import { DatePipe } from '@angular/common';
import { FileDownloadService } from '@shared/utils/file-download.service';
import ceil from 'lodash-es/ceil';
import { Paginator } from 'primeng/paginator';
@Component({
    templateUrl: './gradecolor.component.html',
    styleUrls: ['./gradecolor.component.less'],
})
export class GradeColorComponent extends AppComponentBase implements OnInit {
    @ViewChild('createOrEditModalGradeColor', { static: true }) createOrEditModalGradeColor:| CreateOrEditGradeColorModalComponent|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MstCmmGradeColorDto = new MstCmmGradeColorDto();
    saveSelectedRow: MstCmmGradeColorDto = new MstCmmGradeColorDto();
    datas: MstCmmGradeColorDto = new MstCmmGradeColorDto();
    isLoading: boolean = false;
    dataParams: GridParams | undefined;
    rowData: any[] = [];
    gridApi!: GridApi;
    rowSelection = 'multiple';
    filter: string = '';
	pipe = new DatePipe('en-US');
	frameworkComponents: FrameworkComponent;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MstCmmGradeColorServiceProxy,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this.l('Grade Id'),headerTooltip: this.l('Grade Id'),field: 'gradeId',flex: 1},
			{headerName: this.l('Color Id'),headerTooltip: this.l('Color Id'),field: 'colorId',flex: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			'',
            this.paginationParams.skipCount,
            this.paginationParams.pageSize
        );
    }
    onChangeRowSelection(params: { api: { getSelectedRows: () =&gt; MstCmmGradeColorDto[] } }) {
        this.saveSelectedRow = params.api.getSelectedRows()[0] ?? new MstCmmGradeColorDto();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MstCmmGradeColorDto):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this._service.getGradeColorToExcel(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Common Color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(click)="createOrEditModalGradeColor.show()"&gt;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(click)="createOrEditModalGradeColor.show(selectedRow)"&gt;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&lt;create-or-edit-gradecolor-modal
    #createOrEditModalGradeColor
    (modalSave)="callBackDataGrid(dataParams)"
    (modalClose)="onChangeRowSelection(dataParams)"
&gt;
&lt;/create-or-edit-gradecolor-modal&gt;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#createOrEditModalGradeColor="bs-modal"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GradeColor')}}&lt;/h3&gt;
                    &lt;h3 *ngIf="!rowdata.id"&gt;{{('Create New GradeColor')}}&lt;/h3&gt;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title'&gt;Grade Id&lt;/label&gt;
						&lt;input type='number' class='col-md-10 form-control input-text' name='GradeId' [(ngModel)]='rowdata.gradeId'&gt;
					&lt;/div&gt;
					&lt;div class='col-md-12 form-group row'&gt;
						&lt;label class='col-md-2 form-control title'&gt;Color Id&lt;/label&gt;
						&lt;input type='number' class='col-md-10 form-control input-text' name='ColorId' [(ngModel)]='rowdata.colorId'&gt;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CreateOrEditMstCmmGradeColorDto, MstCmmGradeColorServiceProxy } from '@shared/service-proxies/service-proxies';
import { BsDatepickerDirective } from 'ngx-bootstrap/datepicker';
@Component({
    selector: 'create-or-edit-gradecolor-modal',
    templateUrl: './create-or-edit-gradecolor-modal.component.html',
    styleUrls: ['./create-or-edit-gradecolor-modal.component.less']
    })
export class CreateOrEditGradeColorModalComponent extends AppComponentBase {
    @ViewChild('createOrEditModalGradeColor',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CreateOrEditMstCmmGradeColorDto = new CreateOrEditMstCmmGradeColorDto();
    active: boolean = false;
    saving: boolean = false;
    _: boolean;
    constructor(
        injector: Injector,
        private _mstwptGradeColorService: MstCmmGradeColorServiceProxy,
    ) 
    {
        super(injector);
    }
    show(rowdata?: CreateOrEditMstCmmGradeColorDto): void {
        if (!rowdata) this.rowdata = new CreateOrEditMstCmmGradeColorDto();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this._mstwptGradeColorService.createOrEdit(this.rowdata)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GradeColorRoutingModule } from './gradecolor-routing.module';
import { GradeColorComponent } from './gradecolor.component';
import { CreateOrEditGradeColorModalComponent } from './create-or-edit-gradecolor-modal.component';
@NgModule({
    declarations: [
       GradeColorComponent, 
        CreateOrEditGradeColorModalComponent
    ],
    imports: [
        AppSharedModule, GradeColorRoutingModule]
})
export class GradeColorModule {}</v>
      </c>
      <c r="J75" s="46" t="str">
        <f>B.Frontend!O10</f>
        <v>import {NgModule} from '@angular/core';
import {RouterModule, Routes} from '@angular/router';
import { GradeColorComponent } from './gradecolor.component';
const routes: Routes = [{
    path: '',
    component: GradeColorComponent,
    pathMatch: 'full'
}];
@NgModule({
    imports: [RouterModule.forChild(routes)],
    exports: [RouterModule],
})
export class GradeColorRoutingModule {}</v>
      </c>
      <c r="K75" s="46" t="str">
        <f>B.Frontend!P10</f>
        <v xml:space="preserve"> new AppMenuItem("GradeColor", "Pages.Master.Cmm.GradeColor", "flaticon-book",   "/app/main/master/cmm/gradecolor"),</v>
      </c>
      <c r="L75" s="47" t="str">
        <f>B.Frontend!Q10</f>
        <v>{
    path: 'master/cmm/gradecolor',
    loadChildren: () =&gt; import('./master/cmm/gradecolor/gradecolor.module').then(m =&gt; m.GradeColorModule),
    data: { permission: 'Pages.Master.Cmm.GradeColor' }
},</v>
      </c>
      <c r="M75" s="45" t="str">
        <f>B.Frontend!R10</f>
        <v>ApiServiceProxies.MstCmmGradeColorServiceProxy,</v>
      </c>
    </row>
    <row r="77" spans="2:14" x14ac:dyDescent="0.25">
      <c r="B77" s="1" t="s">
        <v>71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2"/>
  <sheetViews>
    <sheetView tabSelected="1" workbookViewId="0">
      <pane xSplit="1" topLeftCell="B1" activePane="topRight" state="frozen"/>
      <selection pane="topRight" activeCell="C23" sqref="C23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vovina.Master.Cmm.Dto;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354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356</v>
      </c>
      <c r="C3" s="9" t="s">
        <v>40</v>
      </c>
      <c r="D3" s="9" t="s">
        <v>41</v>
      </c>
      <c r="E3" s="9" t="s">
        <v>36</v>
      </c>
      <c r="F3" s="10" t="str">
        <f>"J"&amp;COUNTA($A:$A)</f>
        <v>J10</v>
      </c>
      <c r="G3" s="4" t="s">
        <v>53</v>
      </c>
      <c r="H3" s="9" t="str">
        <f>"I"&amp;COUNTA($A:$A)</f>
        <v>I10</v>
      </c>
      <c r="I3" s="9" t="str">
        <f>REPT(CHAR(9),2)&amp;"[Required]"&amp;"
"</f>
        <v xml:space="preserve">		[Required]
</v>
      </c>
      <c r="J3" s="10" t="str">
        <f>"L"&amp;COUNTA($A:$A)</f>
        <v>L10</v>
      </c>
      <c r="K3" s="5" t="s">
        <v>52</v>
      </c>
      <c r="L3" s="10" t="str">
        <f>"M"&amp;COUNTA($A:$A)</f>
        <v>M10</v>
      </c>
      <c r="M3" s="10" t="str">
        <f>"N"&amp;COUNTA($A:$A)</f>
        <v>N10</v>
      </c>
      <c r="N3" s="10" t="str">
        <f>"O"&amp;COUNTA($A:$A)</f>
        <v>O10</v>
      </c>
      <c r="O3" s="10" t="str">
        <f>"P"&amp;COUNTA($A:$A)</f>
        <v>P10</v>
      </c>
      <c r="Q3" s="10" t="str">
        <f>RIGHT(B2,(LEN(B2)-FIND(".",B2,1)))</f>
        <v>Cmm</v>
      </c>
      <c r="R3" s="29" t="str">
        <f>REPT(CHAR(9),1)&amp;"public class "&amp;B3&amp;"ExportInput"&amp;C3</f>
        <v xml:space="preserve">	public class MstCmmGradeColorExportInput{
</v>
      </c>
      <c r="S3" s="10" t="str">
        <f>"namespace "&amp;$B$6&amp;".Exporting
"&amp;$C$3</f>
        <v xml:space="preserve">namespace prod.Master.Cmm.Exporting
{
</v>
      </c>
      <c r="T3" s="10" t="str">
        <f>"T"&amp;COUNTA($A:$A)</f>
        <v>T10</v>
      </c>
      <c r="V3" s="10" t="str">
        <f>"V"&amp;COUNTA($A:$A)</f>
        <v>V10</v>
      </c>
      <c r="W3" s="9" t="str">
        <f>"W"&amp;COUNTA($A:$A)</f>
        <v>W10</v>
      </c>
    </row>
    <row r="4" spans="1:23" s="10" customFormat="1" ht="33" customHeight="1" x14ac:dyDescent="0.25">
      <c r="A4" s="1" t="s">
        <v>232</v>
      </c>
      <c r="B4" s="65" t="s">
        <v>84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357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prod.Master.Cmm</v>
      </c>
      <c r="C6" s="10" t="str">
        <f>"namespace "&amp;$B$6&amp;"
"&amp;$C$3</f>
        <v xml:space="preserve">namespace prod.Master.Cmm
{
</v>
      </c>
      <c r="D6" s="10" t="str">
        <f>REPT(CHAR(9),1)&amp;"public class "&amp;B3&amp;G3&amp;REPT(CHAR(9),1)&amp;"
"&amp;REPT(CHAR(9),1)&amp;C3</f>
        <v xml:space="preserve">	public class MstCmmGradeColor: FullAuditedEntity&lt;long&gt;, IEntity&lt;long&gt;	
	{
</v>
      </c>
      <c r="E6" s="10" t="str">
        <f>REPT(CHAR(9),1)&amp;"public class "&amp;B3&amp;"Consts"&amp;REPT(CHAR(9),1)&amp;"
"&amp;REPT(CHAR(9),1)&amp;C3</f>
        <v xml:space="preserve">	public class MstCmmGradeColorConsts	
	{
</v>
      </c>
      <c r="F6" s="10" t="str">
        <f>REPT(CHAR(9),1)&amp;"public class "&amp;B3&amp;"Dto"&amp;K3&amp;REPT(CHAR(9),1)&amp;"
"&amp;REPT(CHAR(9),1)&amp;C3</f>
        <v xml:space="preserve">	public class MstCmmGradeColorDto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CreateOrEditMstCmmGradeColorDto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GetMstCmmGradeColorInput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MstCmmGradeColor</v>
      </c>
      <c r="C7" s="10" t="str">
        <f>REPT(CHAR(9),1)&amp;"[Table("""&amp;B7&amp;""")]"&amp;"
"</f>
        <v xml:space="preserve">	[Table("MstCmmGradeColor")]
</v>
      </c>
      <c r="D7" s="10"/>
      <c r="E7" s="10"/>
      <c r="F7" s="10"/>
      <c r="G7" s="10"/>
      <c r="H7" s="10"/>
      <c r="I7" s="10"/>
      <c r="J7" t="str">
        <f ca="1">SUBSTITUTE(SUBSTITUTE((B1&amp;C6&amp;C7&amp;K12&amp;D6&amp;I12&amp;E3&amp;J12&amp;""&amp;REPT(CHAR(9),1)&amp;D3&amp;D3),"WorkingPattern",$Q$3),"Master",$B$4)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prod.Master.Cmm
{
	[Table("MstCmmGradeColor")]
	public class MstCmmGradeColor: FullAuditedEntity&lt;long&gt;, IEntity&lt;long&gt;	
	{
		public virtual int? GradeId { get; set; }
		public virtual int? ColorId { get; set; }
	}
}
</v>
      </c>
      <c r="K7" t="str">
        <f>SUBSTITUTE(SUBSTITUTE(("public virtual DbSet&lt;"&amp;B3&amp;"&gt; "&amp;B3&amp;"s { get; set; }"),"WorkingPattern",$Q$3),"Master",$B$4)</f>
        <v>public virtual DbSet&lt;MstCmmGradeColor&gt; MstCmmGradeColors { get; set; }</v>
      </c>
      <c r="L7" t="str">
        <f ca="1">SUBSTITUTE(SUBSTITUTE((C6&amp;E6&amp;I12&amp;"
"&amp;REPT(CHAR(9),2)&amp;"// Define Store Name: Format SP_ + &lt;Store Name&gt; = &lt;Store Name&gt;
"&amp;E3&amp;REPT(CHAR(9),1)&amp;D3&amp;D3),"WorkingPattern",$Q$3),"Master",$B$4)</f>
        <v xml:space="preserve">namespace prod.Master.Cmm
{
	public class MstCmmGradeColorConsts	
	{
		// Define Store Name: Format SP_ + &lt;Store Name&gt; = &lt;Store Name&gt;
	}
}
</v>
      </c>
      <c r="M7" t="str">
        <f ca="1">SUBSTITUTE(SUBSTITUTE((C1&amp;"namespace "&amp;B6&amp;".Dto"&amp;E3&amp;C3&amp;F6&amp;M12&amp;E3&amp;REPT(CHAR(9),1)&amp;D3&amp;G6&amp;N12&amp;REPT(CHAR(9),1)&amp;D3&amp;H6&amp;O12&amp;"
"&amp;REPT(CHAR(9),1)&amp;D3&amp;D3),"WorkingPattern",$Q$3),"Master",$B$4)</f>
        <v xml:space="preserve">using Abp.Application.Services.Dto;
using System;
using System.ComponentModel.DataAnnotations;
namespace prod.Master.Cmm.Dto
{
	public class MstCmmGradeColorDto : EntityDto&lt;long?&gt;	
	{
		public virtual int? GradeId { get; set; }
		public virtual int? ColorId { get; set; }
	}
	public class CreateOrEditMstCmmGradeColorDto : EntityDto&lt;long?&gt;	
	{
		public virtual int? GradeId { get; set; }
		public virtual int? ColorId { get; set; }
	}
	public class GetMstCmmGradeColorInput : PagedAndSortedResultRequestDto	
	{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perMstCmmGradeColor = PARENTS.CreateChildPermission(AppPermissions.Pages_Master_Cmm_GradeColor, L( "MasterCmmGradeColor"), multiTenancySides: MultiTenancySides.Tenant);
		perMstCmmGradeColor.CreateChildPermission(AppPermissions.Pages_Master_Cmm_GradeColor_CreateEdit, L( "MasterCmmGradeColorCreateEdit"), multiTenancySides: MultiTenancySides.Tenant);
		perMstCmmGradeColor.CreateChildPermission(AppPermissions.Pages_Master_Cmm_GradeColor_Delete, L( "MasterCmmGradeColorDelete"),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Pages_Master_Cmm_GradeColor = "Pages.Master.Cmm.GradeColor";
		public const string Pages_Master_Cmm_GradeColor_CreateEdit = "Pages.Master.Cmm.GradeColor.CreateEdit";
		public const string Pages_Master_Cmm_GradeColor_Delete = "Pages.Master.Cmm.GradeColor.Delete";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
{
	public interface IMstCmmGradeColorAppService : IApplicationService
	{
		Task&lt;PagedResultDto&lt;MstCmmGradeColorDto&gt;&gt; GetAll(GetMstCmmGradeColorInput input);
		Task CreateOrEdit(CreateOrEditMstCmmGradeColorDto input);
		Task Delete(EntityDto input);
	}
}
</v>
      </c>
      <c r="Q7" t="str">
        <f ca="1">SUBSTITUTE(SUBSTITUTE(SUBSTITUTE(SUBSTITUTE(SUBSTITUTE(SUBSTITUTE(E1,"MstWptCalendar",$B$3),"&lt;PROPERTIES&gt;",P12),"Calendar",$B$5),"WorkingPattern",$Q$3),"Master",$B$4),"&lt;PARAMS_SEARCH&gt;",$W$12)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vovina.Master.Cmm.Dto;
using vovina.Master.Cmm.Exporting;
namespace vovina.Master.Cmm
{
    [AbpAuthorize(AppPermissions.Pages_Master_Cmm_GradeColor)]
    public class MstCmmGradeColorAppService : vovinaAppServiceBase, IMstCmmGradeColorAppService
    {
        private readonly IDapperRepository&lt;MstCmmGradeColor, long&gt; _dapperRepo;
        private readonly IRepository&lt;MstCmmGradeColor, long&gt; _repo;
        private readonly IMstCmmGradeColorExcelExporter _calendarListExcelExporter;
        public MstCmmGradeColorAppService(IRepository&lt;MstCmmGradeColor,long&gt; repo, 
                                         IDapperRepository&lt;MstCmmGradeColor,long&gt; dapperRepo,
                                        IMstCmmGradeColorExcelExporter calendarListExcelExporter
            )
        {
            _repo = repo;
            _dapperRepo = dapperRepo;
            _calendarListExcelExporter = calendarListExcelExporter;
        }
        [AbpAuthorize(AppPermissions.Pages_Master_Cmm_GradeColor_CreateEdit)]
        public async Task CreateOrEdit(CreateOrEditMstCmmGradeColorDto input)
        {
            if (input.Id == null) await Create(input);
            else await Update(input);
        }
        //CREATE
        private async Task Create(CreateOrEditMstCmmGradeColorDto input)
        {          
            var mainObj = ObjectMapper.Map&lt;MstCmmGradeColor&gt;(input);
            await CurrentUnitOfWork.GetDbContext&lt;vovinaDbContext&gt;().AddAsync(mainObj);
        }
        // EDIT
        private async Task Update(CreateOrEditMstCmmGradeColorDto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[AbpAuthorize(AppPermissions.Pages_Master_Cmm_GradeColor_Delete)]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Task&lt;PagedResultDto&lt;MstCmmGradeColorDto&gt;&gt; GetAll(GetMstCmmGradeColorInput input)
        {
            var filtered = _repo.GetAll()
				;
            var pageAndFiltered = filtered.OrderBy(s =&gt; s.Id);
            var system = from o in pageAndFiltered
                         select new MstCmmGradeColorDto
                        {
							Id = o.Id,
							GradeId = o.GradeId,
							ColorId = o.ColorId,
                        };
            var totalCount = await filtered.CountAsync();
			var paged = system.PageBy(input);
            return new PagedResultDto&lt;MstCmmGradeColorDto&gt;(
                totalCount,
                 await paged.ToListAsync()
            );
        }
        public async Task&lt;FileDto&gt; GetGradeColorToExcel(MstCmmGradeColorExportInput input)
        {
            var query = from o in _repo.GetAll()
                        select new MstCmmGradeColorDto
                        {
							Id = o.Id,
							GradeId = o.GradeId,
							ColorId = o.ColorId,
                        };
            var exportToExcel = await query.ToListAsync();
            return _calendarListExcelExporter.ExportToFile(exportToExcel);
        }
       // public async Task GenerateAsync()
      //  {
        //    await _dapperRepo.ExecuteAsync(MstCmmGradeColorConsts.SP_MST_WPT_CALENDAR_GENERATE);
       // }
    }
}</v>
      </c>
      <c r="R7" t="str">
        <f ca="1">SUBSTITUTE(SUBSTITUTE((C1&amp;"namespace "&amp;B6&amp;".Dto"&amp;E3&amp;C3&amp;R3&amp;M12&amp;E3&amp;REPT(CHAR(9),1)&amp;D3&amp;D3),"WorkingPattern",$Q$3),"Master",$B$4)</f>
        <v xml:space="preserve">using Abp.Application.Services.Dto;
using System;
using System.ComponentModel.DataAnnotations;
namespace prod.Master.Cmm.Dto
{
	public class MstCmmGradeColorExportInput{
		public virtual int? GradeId { get; set; }
		public virtual int? ColorId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vovina.Master.Cmm.Dto;
namespace prod.Master.Cmm.Exporting
{
	public interface IMstCmmGradeColorExcelExporter : IApplicationService
	{
		FileDto ExportToFile(List&lt;MstCmmGradeColorDto&gt; mstcmmgradecolor);
	}
}
</v>
      </c>
      <c r="T7" s="26" t="str">
        <f ca="1">SUBSTITUTE(SUBSTITUTE(SUBSTITUTE(SUBSTITUTE(SUBSTITUTE(SUBSTITUTE(SUBSTITUTE(T1,"MstWptCalendar",$B$3),"&lt;PROPERTIES1&gt;",V12),"&lt;PROPERTIES&gt;",T12),"Calendar",$B$5),"calendar",LOWER(B5)),"WorkingPattern",$Q$3),"Master",$B$4)</f>
        <v>using System.Collections.Generic;
using vovina.DataExporting.Excel.NPOI;
using vovina.Dto;
using vovina.Master.Cmm.Exporting;
using vovina.Master.Cmm.Dto;
using vovina.Storage;
using vovina.Master.Cmm.Dto;
namespace vovina.Master.Cmm.Exporting
{
    public class MstCmmGradeColorExcelExporter : NpoiExcelExporterBase, IMstCmmGradeColorExcelExporter
    {
        public MstCmmGradeColorExcelExporter(ITempFileCacheManager tempFileCacheManager) : base(tempFileCacheManager) { }
        public FileDto ExportToFile(List&lt;MstCmmGradeColorDto&gt; gradecolor)
        {
            return CreateExcelPackage(
				"MasterCmmGradeColor.xlsx",
				excelPackage =&gt;
				 {
					var sheet = excelPackage.CreateSheet("GradeColor");
					AddHeader(
								sheet,
								("GradeId"),
								("ColorId"),
							   );
					AddObjects(
						 sheet, 1, gradecolor,                                       
								_ =&gt; _.GradeId,
								_ =&gt; _.ColorId,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configuration.CreateMap&lt;MstCmmGradeColorDto, MstCmmGradeColor&gt;();
  configuration.CreateMap&lt;MstCmmGradeColor, MstCmmGradeColorDto&gt;();
  configuration.CreateMap&lt;CreateOrEditMstCmmGradeColorDto, MstCmmGradeColor&gt;();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358</v>
      </c>
      <c r="B9" s="28" t="s">
        <v>4</v>
      </c>
      <c r="C9" t="s">
        <v>1</v>
      </c>
      <c r="D9" t="str">
        <f t="shared" ref="D9" si="0">SUBSTITUTE(PROPER(A9),"_","")</f>
        <v>GradeId</v>
      </c>
      <c r="E9" t="str">
        <f t="shared" ref="E9" si="1">IFERROR(LEFT(B9, FIND("(",B9)-1),B9)</f>
        <v>int</v>
      </c>
      <c r="F9" s="6"/>
      <c r="G9" t="str">
        <f t="shared" ref="G9" si="2">IFERROR(MID(B9,FIND("(",B9) +1, FIND(")",B9) - FIND("(",B9) - 1),"")</f>
        <v/>
      </c>
      <c r="H9" t="str">
        <f>+VLOOKUP(E9,'Data Type Mapping'!A:B,2,)</f>
        <v>int?</v>
      </c>
      <c r="I9" t="str">
        <f t="shared" ref="I9" si="3">IF(H9="string",REPT(CHAR(9),2)&amp;"public const int Max"&amp;D9&amp;"Length = "&amp;G9&amp;";"&amp;$E$3,"" )</f>
        <v/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public virtual int? GradeId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int? GradeId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int? GradeId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" si="9">REPT(CHAR(9),7)&amp;D9&amp;" = o." &amp;D9 &amp;","</f>
        <v xml:space="preserve">							GradeId = o.GradeId,</v>
      </c>
      <c r="T9" s="63" t="str">
        <f t="shared" ref="T9" si="10">REPT(CHAR(9),8)&amp;"("""&amp;D9&amp;"""),"</f>
        <v xml:space="preserve">								("GradeId"),</v>
      </c>
      <c r="V9" s="64" t="str">
        <f t="shared" ref="V9" si="11">REPT(CHAR(9),8)&amp;"_ =&gt; _."&amp;D9&amp;","</f>
        <v xml:space="preserve">								_ =&gt; _.GradeId,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18.75" customHeight="1" x14ac:dyDescent="0.25">
      <c r="A10" s="28" t="s">
        <v>359</v>
      </c>
      <c r="B10" s="28" t="s">
        <v>4</v>
      </c>
      <c r="C10" t="s">
        <v>1</v>
      </c>
      <c r="D10" t="str">
        <f t="shared" ref="D10" si="13">SUBSTITUTE(PROPER(A10),"_","")</f>
        <v>ColorId</v>
      </c>
      <c r="E10" t="str">
        <f t="shared" ref="E10" si="14">IFERROR(LEFT(B10, FIND("(",B10)-1),B10)</f>
        <v>int</v>
      </c>
      <c r="F10" s="6"/>
      <c r="G10" t="str">
        <f t="shared" ref="G10" si="15">IFERROR(MID(B10,FIND("(",B10) +1, FIND(")",B10) - FIND("(",B10) - 1),"")</f>
        <v/>
      </c>
      <c r="H10" t="str">
        <f>+VLOOKUP(E10,'Data Type Mapping'!A:B,2,)</f>
        <v>int?</v>
      </c>
      <c r="I10" t="str">
        <f t="shared" ref="I10" si="16">IF(H10="string",REPT(CHAR(9),2)&amp;"public const int Max"&amp;D10&amp;"Length = "&amp;G10&amp;";"&amp;$E$3,"" )</f>
        <v/>
      </c>
      <c r="J10" t="str">
        <f t="shared" ref="J10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public virtual int? ColorId { get; set; }
</v>
      </c>
      <c r="K10" s="6"/>
      <c r="L10" t="str">
        <f t="shared" ref="L10" si="18">IF(K10="","",REPT(CHAR(9),1)&amp;"[Index(nameof("&amp;IF(D10="","",""&amp;D10)&amp;")"&amp;", Name="&amp;"""IX_"&amp;$B$7&amp;"_"&amp;D10&amp;""")]")</f>
        <v/>
      </c>
      <c r="M10" t="str">
        <f t="shared" ref="M10" si="19">REPT(CHAR(9),2)&amp;"public virtual "&amp;IF(OR(H10="DateTime",H10="TimeSpan"),H10&amp;"?",H10)&amp;IF(C10="?","? "," ")&amp;D10&amp;" { get; set; }" &amp; "
"</f>
        <v xml:space="preserve">		public virtual int? ColorId { get; set; }
</v>
      </c>
      <c r="N10" t="str">
        <f t="shared" ref="N10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public virtual int? ColorId { get; set; }
</v>
      </c>
      <c r="O10" t="str">
        <f t="shared" ref="O10" si="21">IF(OR(H10="string",H10="DateTime",H10="int"),REPT(CHAR(9),2)&amp;"public virtual "&amp;IF(OR(H10="DateTime",H10="TimeSpan"),H10&amp;"?",H10)&amp;IF(C10="?","? "," ")&amp;D10&amp;" { get; set; }"&amp;$E$3,"")</f>
        <v/>
      </c>
      <c r="P10" t="str">
        <f t="shared" ref="P10" si="22">REPT(CHAR(9),7)&amp;D10&amp;" = o." &amp;D10 &amp;","</f>
        <v xml:space="preserve">							ColorId = o.ColorId,</v>
      </c>
      <c r="T10" s="63" t="str">
        <f t="shared" ref="T10" si="23">REPT(CHAR(9),8)&amp;"("""&amp;D10&amp;"""),"</f>
        <v xml:space="preserve">								("ColorId"),</v>
      </c>
      <c r="V10" s="64" t="str">
        <f t="shared" ref="V10" si="24">REPT(CHAR(9),8)&amp;"_ =&gt; _."&amp;D10&amp;","</f>
        <v xml:space="preserve">								_ =&gt; _.ColorId,</v>
      </c>
      <c r="W10" s="63" t="str">
        <f t="shared" ref="W10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/>
      </c>
    </row>
    <row r="12" spans="1:23" ht="45.75" customHeight="1" x14ac:dyDescent="0.25">
      <c r="H12" s="11"/>
      <c r="I12" s="31" t="str">
        <f ca="1">TEXTJOIN2("
", TRUE,INDIRECT( $H$1):INDIRECT( $H$3))</f>
        <v/>
      </c>
      <c r="J12" s="30" t="str">
        <f ca="1">TEXTJOIN2("
", TRUE,INDIRECT( $F$1):INDIRECT( $F$3))</f>
        <v xml:space="preserve">		public virtual int? GradeId { get; set; }
		public virtual int? ColorId { get; set; }
</v>
      </c>
      <c r="K12" s="32" t="str">
        <f ca="1">TEXTJOIN2("
", TRUE,INDIRECT( $J$1):INDIRECT( $J$3))</f>
        <v/>
      </c>
      <c r="L12" s="12" t="s">
        <v>56</v>
      </c>
      <c r="M12" s="33" t="str">
        <f ca="1">TEXTJOIN2("
",TRUE,INDIRECT( $L$1):INDIRECT($L$3))</f>
        <v xml:space="preserve">		public virtual int? GradeId { get; set; }
		public virtual int? ColorId { get; set; }
</v>
      </c>
      <c r="N12" s="30" t="str">
        <f ca="1">TEXTJOIN2("
",TRUE,INDIRECT( $M$1):INDIRECT($M$3))</f>
        <v xml:space="preserve">		public virtual int? GradeId { get; set; }
		public virtual int? ColorId { get; set; }
</v>
      </c>
      <c r="O12" s="30" t="str">
        <f ca="1">TEXTJOIN2("
",TRUE,INDIRECT( $N$1):INDIRECT($N$3))</f>
        <v/>
      </c>
      <c r="P12" s="8" t="str">
        <f ca="1">TEXTJOIN2("
",TRUE,INDIRECT( $O$1):INDIRECT($O$3))</f>
        <v xml:space="preserve">							GradeId = o.GradeId,
							ColorId = o.ColorId,</v>
      </c>
      <c r="T12" s="8" t="str">
        <f ca="1">TEXTJOIN2("
",TRUE,INDIRECT( $T$2):INDIRECT($T$3))</f>
        <v xml:space="preserve">								("GradeId"),
								("ColorId"),</v>
      </c>
      <c r="V12" s="8" t="str">
        <f ca="1">TEXTJOIN2("
",TRUE,INDIRECT( $V$2):INDIRECT($V$3))</f>
        <v xml:space="preserve">								_ =&gt; _.GradeId,
								_ =&gt; _.ColorId,</v>
      </c>
      <c r="W12" s="8" t="str">
        <f ca="1">TEXTJOIN2("
",TRUE,INDIRECT( $W$2):INDIRECT($W$3))</f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8"/>
  <sheetViews>
    <sheetView workbookViewId="0">
      <selection activeCell="F29" sqref="F29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207</v>
      </c>
      <c r="B1" s="39" t="s">
        <v>355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Master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master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Cmm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cmm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MstCmmGradeColor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GradeColor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gradecolor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MstCmmGradeColorDto, MstCmmGradeColorServiceProxy } from '@shared/service-proxies/service-proxies';
import { finalize } from 'rxjs/internal/operators/finalize';
import { CreateOrEditGradeColorModalComponent } from './create-or-edit-gradecolor-modal.component';
import { DatePipe } from '@angular/common';
import { FileDownloadService } from '@shared/utils/file-download.service';
import ceil from 'lodash-es/ceil';
import { Paginator } from 'primeng/paginator';
@Component({
    templateUrl: './gradecolor.component.html',
    styleUrls: ['./gradecolor.component.less'],
})
export class GradeColorComponent extends AppComponentBase implements OnInit {
    @ViewChild('createOrEditModalGradeColor', { static: true }) createOrEditModalGradeColor:| CreateOrEditGradeColorModalComponent|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MstCmmGradeColorDto = new MstCmmGradeColorDto();
    saveSelectedRow: MstCmmGradeColorDto = new MstCmmGradeColorDto();
    datas: MstCmmGradeColorDto = new MstCmmGradeColorDto();
    isLoading: boolean = false;
    dataParams: GridParams | undefined;
    rowData: any[] = [];
    gridApi!: GridApi;
    rowSelection = 'multiple';
    filter: string = '';
	pipe = new DatePipe('en-US');
	frameworkComponents: FrameworkComponent;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MstCmmGradeColorServiceProxy,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this.l('Grade Id'),headerTooltip: this.l('Grade Id'),field: 'gradeId',flex: 1},
			{headerName: this.l('Color Id'),headerTooltip: this.l('Color Id'),field: 'colorId',flex: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			'',
            this.paginationParams.skipCount,
            this.paginationParams.pageSize
        );
    }
    onChangeRowSelection(params: { api: { getSelectedRows: () =&gt; MstCmmGradeColorDto[] } }) {
        this.saveSelectedRow = params.api.getSelectedRows()[0] ?? new MstCmmGradeColorDto();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MstCmmGradeColorDto):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this._service.getGradeColorToExcel(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Common Color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(click)="createOrEditModalGradeColor.show()"&gt;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(click)="createOrEditModalGradeColor.show(selectedRow)"&gt;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&lt;create-or-edit-gradecolor-modal
    #createOrEditModalGradeColor
    (modalSave)="callBackDataGrid(dataParams)"
    (modalClose)="onChangeRowSelection(dataParams)"
&gt;
&lt;/create-or-edit-gradecolor-modal&gt;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#createOrEditModalGradeColor="bs-modal"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GradeColor')}}&lt;/h3&gt;
                    &lt;h3 *ngIf="!rowdata.id"&gt;{{('Create New GradeColor')}}&lt;/h3&gt;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title'&gt;Grade Id&lt;/label&gt;
						&lt;input type='number' class='col-md-10 form-control input-text' name='GradeId' [(ngModel)]='rowdata.gradeId'&gt;
					&lt;/div&gt;
					&lt;div class='col-md-12 form-group row'&gt;
						&lt;label class='col-md-2 form-control title'&gt;Color Id&lt;/label&gt;
						&lt;input type='number' class='col-md-10 form-control input-text' name='ColorId' [(ngModel)]='rowdata.colorId'&gt;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CreateOrEditMstCmmGradeColorDto, MstCmmGradeColorServiceProxy } from '@shared/service-proxies/service-proxies';
import { BsDatepickerDirective } from 'ngx-bootstrap/datepicker';
@Component({
    selector: 'create-or-edit-gradecolor-modal',
    templateUrl: './create-or-edit-gradecolor-modal.component.html',
    styleUrls: ['./create-or-edit-gradecolor-modal.component.less']
    })
export class CreateOrEditGradeColorModalComponent extends AppComponentBase {
    @ViewChild('createOrEditModalGradeColor',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CreateOrEditMstCmmGradeColorDto = new CreateOrEditMstCmmGradeColorDto();
    active: boolean = false;
    saving: boolean = false;
    _: boolean;
    constructor(
        injector: Injector,
        private _mstwptGradeColorService: MstCmmGradeColorServiceProxy,
    ) 
    {
        super(injector);
    }
    show(rowdata?: CreateOrEditMstCmmGradeColorDto): void {
        if (!rowdata) this.rowdata = new CreateOrEditMstCmmGradeColorDto();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this._mstwptGradeColorService.createOrEdit(this.rowdata)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GradeColorRoutingModule } from './gradecolor-routing.module';
import { GradeColorComponent } from './gradecolor.component';
import { CreateOrEditGradeColorModalComponent } from './create-or-edit-gradecolor-modal.component';
@NgModule({
    declarations: [
       GradeColorComponent, 
        CreateOrEditGradeColorModalComponent
    ],
    imports: [
        AppSharedModule, GradeColorRoutingModule]
})
export class GradeColorModule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GradeColorComponent } from './gradecolor.component';
const routes: Routes = [{
    path: '',
    component: GradeColorComponent,
    pathMatch: 'full'
}];
@NgModule({
    imports: [RouterModule.forChild(routes)],
    exports: [RouterModule],
})
export class GradeColorRoutingModule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AppMenuItem("GradeColor", "Pages.Master.Cmm.GradeColor", "flaticon-book",   "/app/main/master/cmm/gradecolor"),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'master/cmm/gradecolor',
    loadChildren: () =&gt; import('./master/cmm/gradecolor/gradecolor.module').then(m =&gt; m.GradeColorModule),
    data: { permission: 'Pages.Master.Cmm.GradeColor' }
},</v>
      </c>
      <c r="R10" s="47" t="str">
        <f>SUBSTITUTE(R9,"MstWptCalendar",$B$6)</f>
        <v>ApiServiceProxies.MstCmmGradeColorServiceProxy,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H16</v>
      </c>
      <c r="I12" s="28" t="str">
        <f>"I"&amp;COUNTA($A:$A)</f>
        <v>I16</v>
      </c>
      <c r="J12" s="28"/>
      <c r="K12" s="28" t="str">
        <f>"K"&amp;COUNTA($A:$A)</f>
        <v>K16</v>
      </c>
      <c r="L12" s="28" t="str">
        <f>"L"&amp;COUNTA($A:$A)</f>
        <v>L16</v>
      </c>
      <c r="M12" s="28"/>
      <c r="N12" s="28"/>
      <c r="O12" s="28"/>
      <c r="P12" s="28"/>
      <c r="Q12" s="28"/>
      <c r="R12" s="28"/>
      <c r="S12" s="28" t="str">
        <f>"S"&amp;COUNTA($A:$A)</f>
        <v>S16</v>
      </c>
      <c r="T12" s="28" t="str">
        <f>"T"&amp;COUNTA($A:$A)</f>
        <v>T16</v>
      </c>
      <c r="U12" s="28" t="str">
        <f>"U"&amp;COUNTA($A:$A)</f>
        <v>U16</v>
      </c>
      <c r="V12" s="28" t="str">
        <f>"V"&amp;COUNTA($A:$A)</f>
        <v>V16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this.l('Grade Id'),headerTooltip: this.l('Grade Id'),field: 'gradeId',flex: 1},
			{headerName: this.l('Color Id'),headerTooltip: this.l('Color Id'),field: 'colorId',flex: 1},</v>
      </c>
      <c r="I13" s="35" t="str">
        <f ca="1">TEXTJOIN2("
",TRUE,INDIRECT(I11):INDIRECT(I12))</f>
        <v/>
      </c>
      <c r="J13" s="28"/>
      <c r="K13" s="35" t="str">
        <f ca="1">TEXTJOIN2("
",TRUE,INDIRECT(K11):INDIRECT(K12))</f>
        <v xml:space="preserve">					&lt;div class='col-md-12 form-group row'&gt;
						&lt;label class='col-md-2 form-control title'&gt;Grade Id&lt;/label&gt;
						&lt;input type='number' class='col-md-10 form-control input-text' name='GradeId' [(ngModel)]='rowdata.gradeId'&gt;
					&lt;/div&gt;
					&lt;div class='col-md-12 form-group row'&gt;
						&lt;label class='col-md-2 form-control title'&gt;Color Id&lt;/label&gt;
						&lt;input type='number' class='col-md-10 form-control input-text' name='ColorId' [(ngModel)]='rowdata.colorId'&gt;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/>
      </c>
      <c r="T13" s="62" t="str">
        <f ca="1">TEXTJOIN2("
",TRUE,INDIRECT(T11):INDIRECT(T12))</f>
        <v/>
      </c>
      <c r="U13" s="62" t="str">
        <f ca="1">TEXTJOIN2("
",TRUE,INDIRECT(U11):INDIRECT(U12))</f>
        <v/>
      </c>
      <c r="V13" s="28" t="str">
        <f ca="1">TEXTJOIN2("
",TRUE,INDIRECT(V11):INDIRECT(V12))</f>
        <v/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gradecolor.component.ts</v>
      </c>
      <c r="I14" s="37" t="str">
        <f>B8&amp;".component.html"</f>
        <v>gradecolor.component.html</v>
      </c>
      <c r="J14" s="36" t="str">
        <f>B8&amp;".component.less"</f>
        <v>gradecolor.component.less</v>
      </c>
      <c r="K14" s="37" t="str">
        <f>"create-or-edit-"&amp;B8&amp;"-modal.component.html"</f>
        <v>create-or-edit-gradecolor-modal.component.html</v>
      </c>
      <c r="L14" s="37" t="str">
        <f>"create-or-edit-"&amp;B8&amp;"-modal.component.ts"</f>
        <v>create-or-edit-gradecolor-modal.component.ts</v>
      </c>
      <c r="M14" s="37" t="str">
        <f>"create-or-edit-"&amp;B8&amp;"-modal.component.less"</f>
        <v>create-or-edit-gradecolor-modal.component.less</v>
      </c>
      <c r="N14" s="37" t="str">
        <f>B8&amp;".module.ts"</f>
        <v>gradecolor.module.ts</v>
      </c>
      <c r="O14" s="37" t="str">
        <f>B8&amp;"-routing.module.ts"</f>
        <v>gradecolor-routing.module.ts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s="28" t="s">
        <v>358</v>
      </c>
      <c r="B15" s="28" t="str">
        <f t="shared" ref="B15" si="0">SUBSTITUTE(PROPER(A15),"_","")</f>
        <v>GradeId</v>
      </c>
      <c r="C15" s="28" t="str">
        <f t="shared" ref="C15" si="1">SUBSTITUTE(PROPER(A15),"_"," ")</f>
        <v>Grade Id</v>
      </c>
      <c r="D15" s="28" t="str">
        <f t="shared" ref="D15" si="2">LOWER(LEFT(B15,1))&amp;RIGHT(B15,LEN(B15) - 1)</f>
        <v>gradeId</v>
      </c>
      <c r="E15" s="28" t="str">
        <f>A.Backend!H9</f>
        <v>int?</v>
      </c>
      <c r="F15" s="28" t="str">
        <f>A.Backend!G9</f>
        <v/>
      </c>
      <c r="G15" s="28" t="str">
        <f t="shared" ref="G15" si="3">IF(E15="string"," : string = '' ; ",IF(OR(E15="DateTime",E15="TimeSpan")," : any ;",IF(E15="int"," : number = 0 ;","")))</f>
        <v/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this.l('Grade Id'),headerTooltip: this.l('Grade Id'),field: 'gradeId',flex: 1},</v>
      </c>
      <c r="I15" s="35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title'&gt;Grade Id&lt;/label&gt;
						&lt;input type='number' class='col-md-10 form-control input-text' name='GradeId' [(ngModel)]='rowdata.gradeId'&gt;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/>
      </c>
      <c r="T15" s="28" t="str">
        <f>IF(AND(E15="string",F15 &lt;&gt;"1"),(REPT(CHAR(9),3)&amp;"this."&amp;D14&amp;","),"")</f>
        <v/>
      </c>
      <c r="U15" s="28" t="str">
        <f>IF(AND(E15="string",F15 &lt;&gt;"1"),(REPT(CHAR(9),1)&amp;D15&amp;G15),"")</f>
        <v/>
      </c>
      <c r="V15" s="28" t="str">
        <f t="shared" ref="V15" si="7">IF(AND(E15="string",F15="1"),D15,"")</f>
        <v/>
      </c>
    </row>
    <row r="16" spans="1:22" ht="18" customHeight="1" x14ac:dyDescent="0.25">
      <c r="A16" s="28" t="s">
        <v>359</v>
      </c>
      <c r="B16" s="28" t="str">
        <f t="shared" ref="B16" si="8">SUBSTITUTE(PROPER(A16),"_","")</f>
        <v>ColorId</v>
      </c>
      <c r="C16" s="28" t="str">
        <f t="shared" ref="C16" si="9">SUBSTITUTE(PROPER(A16),"_"," ")</f>
        <v>Color Id</v>
      </c>
      <c r="D16" s="28" t="str">
        <f t="shared" ref="D16" si="10">LOWER(LEFT(B16,1))&amp;RIGHT(B16,LEN(B16) - 1)</f>
        <v>colorId</v>
      </c>
      <c r="E16" s="28" t="str">
        <f>A.Backend!H10</f>
        <v>int?</v>
      </c>
      <c r="F16" s="28" t="str">
        <f>A.Backend!G10</f>
        <v/>
      </c>
      <c r="G16" s="28" t="str">
        <f t="shared" ref="G16" si="11">IF(E16="string"," : string = '' ; ",IF(OR(E16="DateTime",E16="TimeSpan")," : any ;",IF(E16="int"," : number = 0 ;","")))</f>
        <v/>
      </c>
      <c r="H16" s="35" t="str">
        <f t="shared" ref="H16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this.l('Color Id'),headerTooltip: this.l('Color Id'),field: 'colorId',flex: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/>
      </c>
      <c r="J16" s="28"/>
      <c r="K16" s="35" t="str">
        <f t="shared" ref="K16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title'&gt;Color Id&lt;/label&gt;
						&lt;input type='number' class='col-md-10 form-control input-text' name='ColorId' [(ngModel)]='rowdata.colorId'&gt;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" si="15">IF(AND(E16="string",F16 &lt;&gt;"1"),(REPT(CHAR(9),1)&amp;D16&amp;G16),"")</f>
        <v/>
      </c>
      <c r="T16" s="28" t="str">
        <f>IF(AND(E16="string",F16 &lt;&gt;"1"),(REPT(CHAR(9),3)&amp;"this."&amp;D15&amp;","),"")</f>
        <v/>
      </c>
      <c r="U16" s="28" t="str">
        <f t="shared" ref="U16" si="16">IF(AND(E16="string",F16 &lt;&gt;"1"),(REPT(CHAR(9),1)&amp;D16&amp;G16),"")</f>
        <v/>
      </c>
      <c r="V16" s="28" t="str">
        <f t="shared" ref="V16" si="17">IF(AND(E16="string",F16="1"),D16,"")</f>
        <v/>
      </c>
    </row>
    <row r="18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353</v>
      </c>
    </row>
    <row r="6" spans="1:2" x14ac:dyDescent="0.25">
      <c r="A6" t="s">
        <v>23</v>
      </c>
      <c r="B6" t="s">
        <v>352</v>
      </c>
    </row>
    <row r="7" spans="1:2" x14ac:dyDescent="0.25">
      <c r="A7" t="s">
        <v>24</v>
      </c>
      <c r="B7" t="s">
        <v>347</v>
      </c>
    </row>
    <row r="8" spans="1:2" x14ac:dyDescent="0.25">
      <c r="A8" t="s">
        <v>4</v>
      </c>
      <c r="B8" t="s">
        <v>347</v>
      </c>
    </row>
    <row r="9" spans="1:2" x14ac:dyDescent="0.25">
      <c r="A9" t="s">
        <v>0</v>
      </c>
      <c r="B9" t="s">
        <v>348</v>
      </c>
    </row>
    <row r="10" spans="1:2" x14ac:dyDescent="0.25">
      <c r="A10" t="s">
        <v>25</v>
      </c>
      <c r="B10" t="s">
        <v>351</v>
      </c>
    </row>
    <row r="11" spans="1:2" x14ac:dyDescent="0.25">
      <c r="A11" t="s">
        <v>26</v>
      </c>
      <c r="B11" t="s">
        <v>351</v>
      </c>
    </row>
    <row r="12" spans="1:2" x14ac:dyDescent="0.25">
      <c r="A12" t="s">
        <v>27</v>
      </c>
      <c r="B12" t="s">
        <v>351</v>
      </c>
    </row>
    <row r="13" spans="1:2" x14ac:dyDescent="0.25">
      <c r="A13" t="s">
        <v>28</v>
      </c>
      <c r="B13" t="s">
        <v>351</v>
      </c>
    </row>
    <row r="14" spans="1:2" x14ac:dyDescent="0.25">
      <c r="A14" t="s">
        <v>29</v>
      </c>
      <c r="B14" t="s">
        <v>351</v>
      </c>
    </row>
    <row r="15" spans="1:2" x14ac:dyDescent="0.25">
      <c r="A15" t="s">
        <v>30</v>
      </c>
      <c r="B15" t="s">
        <v>351</v>
      </c>
    </row>
    <row r="16" spans="1:2" x14ac:dyDescent="0.25">
      <c r="A16" t="s">
        <v>31</v>
      </c>
      <c r="B16" t="s">
        <v>349</v>
      </c>
    </row>
    <row r="17" spans="1:2" x14ac:dyDescent="0.25">
      <c r="A17" t="s">
        <v>3</v>
      </c>
      <c r="B17" t="s">
        <v>349</v>
      </c>
    </row>
    <row r="18" spans="1:2" x14ac:dyDescent="0.25">
      <c r="A18" t="s">
        <v>33</v>
      </c>
      <c r="B18" t="s">
        <v>349</v>
      </c>
    </row>
    <row r="19" spans="1:2" x14ac:dyDescent="0.25">
      <c r="A19" t="s">
        <v>2</v>
      </c>
      <c r="B19" t="s">
        <v>349</v>
      </c>
    </row>
    <row r="20" spans="1:2" x14ac:dyDescent="0.25">
      <c r="A20" t="s">
        <v>262</v>
      </c>
      <c r="B20" t="s">
        <v>350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2023-05-20T09:49:49Z</dcterms:modified>
</cp:coreProperties>
</file>
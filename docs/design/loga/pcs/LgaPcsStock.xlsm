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loga\pcs\"/>
    </mc:Choice>
  </mc:AlternateContent>
  <xr:revisionPtr revIDLastSave="0" documentId="13_ncr:1_{C5087AC8-6F97-43A5-B0AE-F77504B39DD3}" xr6:coauthVersionLast="36" xr6:coauthVersionMax="37" xr10:uidLastSave="{00000000-0000-0000-0000-000000000000}"/>
  <bookViews>
    <workbookView xWindow="2145" yWindow="2265" windowWidth="28800" windowHeight="16425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9" i="1" l="1"/>
  <c r="G19" i="1"/>
  <c r="E19" i="1"/>
  <c r="H19" i="1" s="1"/>
  <c r="D19" i="1"/>
  <c r="V19" i="1" s="1"/>
  <c r="W19" i="1" l="1"/>
  <c r="J19" i="1"/>
  <c r="M19" i="1"/>
  <c r="I19" i="1"/>
  <c r="O19" i="1"/>
  <c r="N19" i="1"/>
  <c r="P19" i="1"/>
  <c r="T19" i="1"/>
  <c r="C15" i="5" l="1"/>
  <c r="B15" i="5"/>
  <c r="D15" i="5" s="1"/>
  <c r="L9" i="1"/>
  <c r="G9" i="1"/>
  <c r="F15" i="5" s="1"/>
  <c r="E9" i="1"/>
  <c r="H9" i="1" s="1"/>
  <c r="W9" i="1" s="1"/>
  <c r="D9" i="1"/>
  <c r="V9" i="1" s="1"/>
  <c r="E15" i="5" l="1"/>
  <c r="V15" i="5" s="1"/>
  <c r="T15" i="5"/>
  <c r="K15" i="5"/>
  <c r="U15" i="5"/>
  <c r="I15" i="5"/>
  <c r="G15" i="5"/>
  <c r="S15" i="5" s="1"/>
  <c r="L15" i="5"/>
  <c r="P9" i="1"/>
  <c r="T9" i="1"/>
  <c r="M9" i="1"/>
  <c r="I9" i="1"/>
  <c r="N9" i="1"/>
  <c r="J9" i="1"/>
  <c r="O9" i="1"/>
  <c r="C23" i="5"/>
  <c r="B23" i="5"/>
  <c r="D23" i="5" s="1"/>
  <c r="L17" i="1"/>
  <c r="G17" i="1"/>
  <c r="F23" i="5" s="1"/>
  <c r="E17" i="1"/>
  <c r="H17" i="1" s="1"/>
  <c r="D17" i="1"/>
  <c r="T17" i="1" s="1"/>
  <c r="H15" i="5" l="1"/>
  <c r="W17" i="1"/>
  <c r="E23" i="5"/>
  <c r="V23" i="5" s="1"/>
  <c r="T23" i="5"/>
  <c r="P17" i="1"/>
  <c r="I17" i="1"/>
  <c r="N17" i="1"/>
  <c r="V17" i="1"/>
  <c r="M17" i="1"/>
  <c r="J17" i="1"/>
  <c r="O17" i="1"/>
  <c r="L14" i="1"/>
  <c r="G14" i="1"/>
  <c r="F20" i="5" s="1"/>
  <c r="E14" i="1"/>
  <c r="H14" i="1" s="1"/>
  <c r="D14" i="1"/>
  <c r="V14" i="1" s="1"/>
  <c r="C20" i="5"/>
  <c r="B20" i="5"/>
  <c r="D20" i="5" s="1"/>
  <c r="I23" i="5" l="1"/>
  <c r="L23" i="5"/>
  <c r="K23" i="5"/>
  <c r="G23" i="5"/>
  <c r="S23" i="5" s="1"/>
  <c r="U23" i="5"/>
  <c r="H23" i="5"/>
  <c r="W14" i="1"/>
  <c r="E20" i="5"/>
  <c r="P14" i="1"/>
  <c r="T14" i="1"/>
  <c r="I14" i="1"/>
  <c r="N14" i="1"/>
  <c r="M14" i="1"/>
  <c r="J14" i="1"/>
  <c r="O14" i="1"/>
  <c r="T20" i="5"/>
  <c r="C24" i="5" l="1"/>
  <c r="B24" i="5"/>
  <c r="D24" i="5" s="1"/>
  <c r="T24" i="5" s="1"/>
  <c r="C22" i="5"/>
  <c r="B22" i="5"/>
  <c r="D22" i="5" s="1"/>
  <c r="L15" i="1"/>
  <c r="G15" i="1"/>
  <c r="F21" i="5" s="1"/>
  <c r="E15" i="1"/>
  <c r="H15" i="1" s="1"/>
  <c r="E21" i="5" s="1"/>
  <c r="D15" i="1"/>
  <c r="V15" i="1" s="1"/>
  <c r="L16" i="1"/>
  <c r="G16" i="1"/>
  <c r="F22" i="5" s="1"/>
  <c r="E16" i="1"/>
  <c r="H16" i="1" s="1"/>
  <c r="E22" i="5" s="1"/>
  <c r="D16" i="1"/>
  <c r="V16" i="1" s="1"/>
  <c r="P15" i="1" l="1"/>
  <c r="T15" i="1"/>
  <c r="W15" i="1"/>
  <c r="I22" i="5"/>
  <c r="T22" i="5"/>
  <c r="K22" i="5"/>
  <c r="U22" i="5"/>
  <c r="G22" i="5"/>
  <c r="S22" i="5" s="1"/>
  <c r="L22" i="5"/>
  <c r="V22" i="5"/>
  <c r="H22" i="5"/>
  <c r="M15" i="1"/>
  <c r="I15" i="1"/>
  <c r="N15" i="1"/>
  <c r="J15" i="1"/>
  <c r="O15" i="1"/>
  <c r="W16" i="1"/>
  <c r="O16" i="1"/>
  <c r="J16" i="1"/>
  <c r="N16" i="1"/>
  <c r="I16" i="1"/>
  <c r="M16" i="1"/>
  <c r="P16" i="1"/>
  <c r="T16" i="1"/>
  <c r="Q3" i="1"/>
  <c r="U20" i="5" l="1"/>
  <c r="H20" i="5"/>
  <c r="G20" i="5"/>
  <c r="S20" i="5" s="1"/>
  <c r="I20" i="5"/>
  <c r="L20" i="5"/>
  <c r="K20" i="5"/>
  <c r="V20" i="5"/>
  <c r="B17" i="5"/>
  <c r="D17" i="5" s="1"/>
  <c r="C17" i="5"/>
  <c r="B18" i="5"/>
  <c r="D18" i="5" s="1"/>
  <c r="C18" i="5"/>
  <c r="B19" i="5"/>
  <c r="D19" i="5" s="1"/>
  <c r="C19" i="5"/>
  <c r="B21" i="5"/>
  <c r="D21" i="5" s="1"/>
  <c r="C21" i="5"/>
  <c r="C16" i="5"/>
  <c r="B16" i="5"/>
  <c r="D16" i="5" s="1"/>
  <c r="T16" i="5" s="1"/>
  <c r="G18" i="1"/>
  <c r="F24" i="5" s="1"/>
  <c r="E18" i="1"/>
  <c r="H18" i="1" s="1"/>
  <c r="E24" i="5" s="1"/>
  <c r="D18" i="1"/>
  <c r="V18" i="1" s="1"/>
  <c r="L13" i="1"/>
  <c r="G13" i="1"/>
  <c r="F19" i="5" s="1"/>
  <c r="E13" i="1"/>
  <c r="H13" i="1" s="1"/>
  <c r="E19" i="5" s="1"/>
  <c r="D13" i="1"/>
  <c r="V13" i="1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V11" i="1" s="1"/>
  <c r="G10" i="1"/>
  <c r="F16" i="5" s="1"/>
  <c r="E10" i="1"/>
  <c r="H10" i="1" s="1"/>
  <c r="E16" i="5" s="1"/>
  <c r="D10" i="1"/>
  <c r="T10" i="1" s="1"/>
  <c r="G24" i="5" l="1"/>
  <c r="S24" i="5" s="1"/>
  <c r="U24" i="5"/>
  <c r="K24" i="5"/>
  <c r="I24" i="5"/>
  <c r="V24" i="5"/>
  <c r="H24" i="5"/>
  <c r="L24" i="5"/>
  <c r="O18" i="1"/>
  <c r="G18" i="5"/>
  <c r="L18" i="5"/>
  <c r="O13" i="1"/>
  <c r="G17" i="5"/>
  <c r="V17" i="5"/>
  <c r="G19" i="5"/>
  <c r="S19" i="5" s="1"/>
  <c r="V19" i="5"/>
  <c r="H21" i="5"/>
  <c r="G16" i="5"/>
  <c r="S16" i="5" s="1"/>
  <c r="V16" i="5"/>
  <c r="P11" i="1"/>
  <c r="I21" i="5"/>
  <c r="I18" i="5"/>
  <c r="H18" i="5"/>
  <c r="I19" i="5"/>
  <c r="H19" i="5"/>
  <c r="H17" i="5"/>
  <c r="I17" i="5"/>
  <c r="L19" i="5"/>
  <c r="U19" i="5"/>
  <c r="U16" i="5"/>
  <c r="T21" i="5"/>
  <c r="T19" i="5"/>
  <c r="K19" i="5"/>
  <c r="H16" i="5"/>
  <c r="I16" i="5"/>
  <c r="K16" i="5"/>
  <c r="L17" i="5"/>
  <c r="L16" i="5"/>
  <c r="V18" i="5"/>
  <c r="P13" i="1"/>
  <c r="V10" i="1"/>
  <c r="T13" i="1"/>
  <c r="P18" i="1"/>
  <c r="T18" i="1"/>
  <c r="M12" i="1"/>
  <c r="W12" i="1"/>
  <c r="J12" i="1"/>
  <c r="I12" i="1"/>
  <c r="O12" i="1"/>
  <c r="N12" i="1"/>
  <c r="I10" i="1"/>
  <c r="O10" i="1"/>
  <c r="J10" i="1"/>
  <c r="N10" i="1"/>
  <c r="M10" i="1"/>
  <c r="W10" i="1"/>
  <c r="W11" i="1"/>
  <c r="J11" i="1"/>
  <c r="M11" i="1"/>
  <c r="I11" i="1"/>
  <c r="O11" i="1"/>
  <c r="N11" i="1"/>
  <c r="P12" i="1"/>
  <c r="I13" i="1"/>
  <c r="I18" i="1"/>
  <c r="T12" i="1"/>
  <c r="J13" i="1"/>
  <c r="W13" i="1"/>
  <c r="J18" i="1"/>
  <c r="W18" i="1"/>
  <c r="T11" i="1"/>
  <c r="M13" i="1"/>
  <c r="M18" i="1"/>
  <c r="P10" i="1"/>
  <c r="N13" i="1"/>
  <c r="N18" i="1"/>
  <c r="U21" i="5" l="1"/>
  <c r="L21" i="5"/>
  <c r="K21" i="5"/>
  <c r="G21" i="5"/>
  <c r="S21" i="5" s="1"/>
  <c r="V21" i="5"/>
  <c r="K18" i="5"/>
  <c r="U18" i="5"/>
  <c r="T18" i="5"/>
  <c r="S18" i="5"/>
  <c r="U17" i="5"/>
  <c r="K17" i="5"/>
  <c r="T17" i="5"/>
  <c r="S17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9" i="3" s="1"/>
  <c r="B4" i="5"/>
  <c r="K7" i="1"/>
  <c r="H6" i="1"/>
  <c r="R10" i="5" l="1"/>
  <c r="M66" i="3" s="1"/>
  <c r="N59" i="3" l="1"/>
  <c r="B8" i="5"/>
  <c r="B5" i="5"/>
  <c r="P10" i="5" l="1"/>
  <c r="K66" i="3" s="1"/>
  <c r="Q10" i="5"/>
  <c r="L66" i="3" s="1"/>
  <c r="B64" i="3"/>
  <c r="C64" i="3" s="1"/>
  <c r="M14" i="5"/>
  <c r="H65" i="3" s="1"/>
  <c r="L14" i="5"/>
  <c r="G65" i="3" s="1"/>
  <c r="K14" i="5"/>
  <c r="F65" i="3" s="1"/>
  <c r="L65" i="3"/>
  <c r="K65" i="3"/>
  <c r="O14" i="5"/>
  <c r="J65" i="3" s="1"/>
  <c r="N14" i="5"/>
  <c r="I65" i="3" s="1"/>
  <c r="J14" i="5"/>
  <c r="E65" i="3" s="1"/>
  <c r="I14" i="5"/>
  <c r="D65" i="3" s="1"/>
  <c r="H14" i="5"/>
  <c r="C65" i="3" s="1"/>
  <c r="O10" i="5"/>
  <c r="J66" i="3" s="1"/>
  <c r="N10" i="5"/>
  <c r="I66" i="3" s="1"/>
  <c r="M10" i="5"/>
  <c r="H66" i="3" s="1"/>
  <c r="J10" i="5"/>
  <c r="E66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1" i="1"/>
  <c r="T7" i="1" l="1"/>
  <c r="W21" i="1"/>
  <c r="G6" i="1" l="1"/>
  <c r="I13" i="5"/>
  <c r="L13" i="5"/>
  <c r="K13" i="5"/>
  <c r="V13" i="5"/>
  <c r="S13" i="5"/>
  <c r="U13" i="5"/>
  <c r="H13" i="5"/>
  <c r="K10" i="5" l="1"/>
  <c r="F66" i="3" s="1"/>
  <c r="I10" i="5"/>
  <c r="D66" i="3" s="1"/>
  <c r="H10" i="5"/>
  <c r="C66" i="3" s="1"/>
  <c r="L10" i="5"/>
  <c r="G66" i="3" s="1"/>
  <c r="L59" i="3"/>
  <c r="D59" i="3"/>
  <c r="D6" i="1"/>
  <c r="B6" i="1" l="1"/>
  <c r="L3" i="1"/>
  <c r="J3" i="1"/>
  <c r="H3" i="1"/>
  <c r="C6" i="1" l="1"/>
  <c r="P7" i="1" s="1"/>
  <c r="S3" i="1"/>
  <c r="S7" i="1" s="1"/>
  <c r="E6" i="1"/>
  <c r="F59" i="3"/>
  <c r="I3" i="1" l="1"/>
  <c r="B7" i="1"/>
  <c r="L11" i="1" l="1"/>
  <c r="L10" i="1"/>
  <c r="L18" i="1"/>
  <c r="C7" i="1"/>
  <c r="O21" i="1"/>
  <c r="J21" i="1"/>
  <c r="P21" i="1"/>
  <c r="N21" i="1"/>
  <c r="I21" i="1"/>
  <c r="Q7" i="1" l="1"/>
  <c r="M59" i="3" s="1"/>
  <c r="L7" i="1"/>
  <c r="G59" i="3" s="1"/>
  <c r="K59" i="3"/>
  <c r="J59" i="3"/>
  <c r="K21" i="1"/>
  <c r="M21" i="1"/>
  <c r="R7" i="1" l="1"/>
  <c r="I59" i="3" s="1"/>
  <c r="M7" i="1"/>
  <c r="H59" i="3" s="1"/>
  <c r="J7" i="1"/>
  <c r="C5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8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8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8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8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8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8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8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8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8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8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8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<sst xmlns="http://schemas.openxmlformats.org/spreadsheetml/2006/main" count="448" uniqueCount="343">
  <si>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</si>
  <si>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</si>
  <si>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</si>
  <si>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</si>
  <si>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</si>
  <si>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</si>
  <si>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</si>
  <si>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</si>
  <si>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</si>
  <si>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</si>
  <si>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</si>
  <si>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</si>
  <si>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</si>
  <si>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</si>
  <si>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</si>
  <si>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</si>
  <si>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</si>
  <si>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</si>
  <si>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</si>
  <si>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</si>
  <si>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</si>
  <si>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</si>
  <si>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</si>
  <si>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</si>
  <si>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</si>
  <si>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</si>
  <si>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</si>
  <si>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</si>
  <si>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</si>
  <si>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</si>
  <si>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</si>
  <si>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</si>
  <si>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</si>
  <si>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</si>
  <si>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</si>
  <si>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</si>
  <si>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</si>
  <si>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</si>
  <si>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</si>
  <si>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</si>
  <si>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</si>
  <si>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</si>
  <si>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</si>
  <si>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</si>
  <si>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</si>
  <si>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</si>
  <si>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</si>
  <si>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</si>
  <si>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</si>
  <si>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</si>
  <si>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</si>
  <si>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</si>
  <si>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</si>
  <si>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</si>
  <si>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</si>
  <si>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</si>
  <si>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</si>
  <si>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</si>
  <si>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</si>
  <si>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</si>
  <si>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</si>
  <si>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</si>
  <si>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</si>
  <si>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</si>
  <si>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</si>
  <si>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</si>
  <si>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</si>
  <si>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</si>
  <si>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</si>
  <si>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</si>
  <si>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</si>
  <si>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</si>
  <si>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</si>
  <si>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</si>
  <si>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</si>
  <si>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</si>
  <si>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</si>
  <si>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</si>
  <si>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</si>
  <si>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</si>
  <si>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</si>
  <si>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</si>
  <si>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</si>
  <si>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</si>
  <si>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</si>
  <si>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</si>
  <si>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</si>
  <si>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</si>
  <si>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</si>
  <si>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</si>
  <si>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</si>
  <si>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</si>
  <si>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</si>
  <si>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</si>
  <si>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</si>
  <si>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</si>
  <si>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</si>
  <si>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</si>
  <si>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</si>
  <si>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</si>
  <si>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</si>
  <si>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</si>
  <si>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</si>
  <si>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</si>
  <si>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</si>
  <si>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</si>
  <si>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</si>
  <si>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</si>
  <si>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</si>
  <si>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</si>
  <si>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</si>
  <si>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</si>
  <si>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</si>
  <si>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</si>
  <si>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</si>
  <si>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</si>
  <si>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</si>
  <si>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</si>
  <si>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</si>
  <si>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</si>
  <si>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</si>
  <si>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</si>
  <si>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</si>
  <si>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</si>
  <si>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</si>
  <si>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</si>
  <si>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</si>
  <si>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</si>
  <si>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</si>
  <si>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</si>
  <si>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</si>
  <si>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</si>
  <si>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</si>
  <si>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</si>
  <si>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</si>
  <si>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</si>
  <si>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</si>
  <si>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</si>
  <si>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</si>
  <si>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</si>
  <si>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</si>
  <si>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</si>
  <si>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</si>
  <si>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</si>
  <si>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</si>
  <si>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</si>
  <si>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</si>
  <si>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</si>
  <si>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</si>
  <si>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</si>
  <si>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</si>
  <si>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</si>
  <si>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</si>
  <si>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</si>
  <si>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</si>
  <si>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</si>
  <si>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</si>
  <si>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</si>
  <si>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</si>
  <si>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</si>
  <si>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</si>
  <si>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</si>
  <si>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</si>
  <si>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</si>
  <si>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</si>
  <si>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</si>
  <si>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</si>
  <si>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</si>
  <si>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</si>
  <si>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</si>
  <si>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</si>
  <si>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</si>
  <si>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</si>
  <si>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</si>
  <si>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</si>
  <si>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</si>
  <si>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</si>
  <si>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</si>
  <si>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</si>
  <si>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</si>
  <si>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</si>
  <si>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</si>
  <si>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</si>
  <si>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</si>
  <si>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</si>
  <si>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</si>
  <si>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</si>
  <si>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</si>
  <si>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</si>
  <si>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</si>
  <si>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</si>
  <si>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</si>
  <si>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</si>
  <si>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</si>
  <si>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</si>
  <si>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</si>
  <si>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</si>
  <si>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</si>
  <si>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</si>
  <si>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</si>
  <si>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</si>
  <si>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</si>
  <si>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</si>
  <si>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</si>
  <si>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</si>
  <si>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</si>
  <si>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</si>
  <si>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</si>
  <si>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</si>
  <si>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</si>
  <si>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</si>
  <si>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</si>
  <si>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</si>
  <si>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</si>
  <si>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</si>
  <si>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</si>
  <si>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</si>
  <si>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</si>
  <si>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</si>
  <si>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</si>
  <si>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</si>
  <si>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</si>
  <si>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</si>
  <si>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</si>
  <si>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</si>
  <si>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</si>
  <si>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</si>
  <si>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</si>
  <si>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</si>
  <si>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</si>
  <si>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</si>
  <si>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</si>
  <si>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</si>
  <si>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</si>
  <si>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</si>
  <si>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</si>
  <si>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</si>
  <si>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</si>
  <si>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</si>
  <si>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</si>
  <si>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</si>
  <si>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</si>
  <si>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</si>
  <si>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</si>
  <si>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</si>
  <si>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</si>
  <si>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</si>
  <si>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</si>
  <si>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</si>
  <si>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</si>
  <si>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</si>
  <si>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</si>
  <si>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</si>
  <si>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</si>
  <si>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</si>
  <si>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</si>
  <si>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</si>
  <si>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</si>
  <si>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</si>
  <si>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</si>
  <si>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</si>
  <si>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</si>
  <si>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</si>
  <si>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</si>
  <si>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</si>
  <si>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</si>
  <si>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</si>
  <si>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</si>
  <si>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</si>
  <si>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</si>
  <si>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</si>
  <si>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</si>
  <si>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</si>
  <si>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</si>
  <si>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</si>
  <si>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</si>
  <si>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</si>
  <si>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</si>
  <si>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</si>
  <si>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</si>
  <si>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</si>
  <si>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</si>
  <si>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</si>
  <si>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</si>
  <si>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</si>
  <si>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</si>
  <si>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</si>
  <si>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</si>
  <si>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</si>
  <si>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</si>
  <si>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</si>
  <si>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</si>
  <si>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</si>
  <si>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</si>
  <si>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</si>
  <si>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</si>
  <si>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</si>
  <si>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</si>
  <si>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</si>
  <si>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</si>
  <si>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</si>
  <si>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</si>
  <si>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</si>
  <si>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</si>
  <si>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</si>
  <si>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</si>
  <si>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</si>
  <si>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</si>
  <si>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</si>
  <si>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</si>
  <si>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</si>
  <si>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</si>
  <si>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</si>
  <si>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</si>
  <si>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</si>
  <si>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</si>
  <si>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</si>
  <si>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</si>
  <si>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</si>
  <si>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</si>
  <si>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</si>
  <si>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</si>
  <si>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PART_NAME</t>
  </si>
  <si>
    <t>varchar(500)</t>
  </si>
  <si>
    <t>LgaPcsStock</t>
  </si>
  <si>
    <t>PART_NO</t>
  </si>
  <si>
    <t>BACK_NO</t>
  </si>
  <si>
    <t>PC_RACK_ADDRESS</t>
  </si>
  <si>
    <t>USAGE_PER_HOUR</t>
  </si>
  <si>
    <t>RACK_CAP_BOX</t>
  </si>
  <si>
    <t>OUT_TYPE</t>
  </si>
  <si>
    <t>STOCK_QTY</t>
  </si>
  <si>
    <t>BOX_QTY</t>
  </si>
  <si>
    <t>LA PCS Stock</t>
  </si>
  <si>
    <t>SUPPLIER_NO</t>
  </si>
  <si>
    <t>Barcode</t>
  </si>
  <si>
    <t>Bar</t>
  </si>
  <si>
    <t>LgaBar</t>
  </si>
  <si>
    <t>LogA.Pcs</t>
  </si>
  <si>
    <t>Stock</t>
  </si>
  <si>
    <t>IS_ACTIVE</t>
  </si>
  <si>
    <t>varchar(1)</t>
  </si>
  <si>
    <t>varchar(200)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</si>
</sst>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3" xfId="0" applyFont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8"/>
  <sheetViews>
    <sheetView topLeftCell="A43" workbookViewId="0">
      <selection activeCell="C68" sqref="C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5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5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5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5">
      <c r="A38" s="1"/>
      <c r="B38" s="17"/>
      <c r="D38" t="s">
        <v>335</v>
      </c>
      <c r="F38" s="1" t="s">
        <v>336</v>
      </c>
      <c r="G38" s="17" t="s">
        <v>337</v>
      </c>
    </row>
    <row r="39" spans="1:8" x14ac:dyDescent="0.25">
      <c r="A39" s="1"/>
      <c r="B39" s="17"/>
      <c r="C39" t="s">
        <v>320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 t="s">
        <v>306</v>
      </c>
    </row>
    <row r="41" spans="1:8" x14ac:dyDescent="0.25">
      <c r="A41" s="1"/>
      <c r="B41" s="17"/>
      <c r="F41" s="1"/>
    </row>
    <row r="42" spans="1:8" x14ac:dyDescent="0.25">
      <c r="A42" s="1"/>
      <c r="B42" s="17"/>
    </row>
    <row r="43" spans="1:8" x14ac:dyDescent="0.25">
      <c r="A43" s="1"/>
      <c r="B43" s="17" t="s">
        <v>86</v>
      </c>
    </row>
    <row r="44" spans="1:8" x14ac:dyDescent="0.25">
      <c r="A44" s="1"/>
      <c r="B44" s="17" t="s">
        <v>83</v>
      </c>
    </row>
    <row r="45" spans="1:8" x14ac:dyDescent="0.25">
      <c r="A45" s="1"/>
      <c r="B45" s="17"/>
      <c r="C45" s="19" t="s">
        <v>80</v>
      </c>
    </row>
    <row r="46" spans="1:8" x14ac:dyDescent="0.25">
      <c r="A46" s="1"/>
      <c r="B46" s="17"/>
      <c r="C46" s="18" t="s">
        <v>81</v>
      </c>
    </row>
    <row r="47" spans="1:8" x14ac:dyDescent="0.25">
      <c r="A47" s="1"/>
      <c r="B47" s="17"/>
      <c r="C47" s="18" t="s">
        <v>82</v>
      </c>
    </row>
    <row r="48" spans="1:8" x14ac:dyDescent="0.25">
      <c r="A48" s="1"/>
      <c r="B48" s="17" t="s">
        <v>106</v>
      </c>
      <c r="C48" s="18"/>
    </row>
    <row r="49" spans="1:14" x14ac:dyDescent="0.25">
      <c r="A49" s="1"/>
      <c r="B49" s="17"/>
      <c r="C49" s="18" t="s">
        <v>107</v>
      </c>
    </row>
    <row r="50" spans="1:14" x14ac:dyDescent="0.25">
      <c r="A50" s="1"/>
      <c r="B50" s="17"/>
      <c r="C50" s="18" t="s">
        <v>108</v>
      </c>
    </row>
    <row r="51" spans="1:14" x14ac:dyDescent="0.25">
      <c r="A51" s="1"/>
      <c r="B51" s="17"/>
      <c r="C51" s="18" t="s">
        <v>109</v>
      </c>
    </row>
    <row r="52" spans="1:14" x14ac:dyDescent="0.25">
      <c r="A52" s="1"/>
      <c r="B52" s="17"/>
      <c r="C52" s="18" t="s">
        <v>111</v>
      </c>
    </row>
    <row r="53" spans="1:14" x14ac:dyDescent="0.25">
      <c r="A53" s="1"/>
      <c r="B53" s="17"/>
      <c r="C53" s="18" t="s">
        <v>113</v>
      </c>
    </row>
    <row r="54" spans="1:14" x14ac:dyDescent="0.25">
      <c r="A54" s="1"/>
      <c r="B54" s="17"/>
      <c r="C54" s="18" t="s">
        <v>112</v>
      </c>
    </row>
    <row r="55" spans="1:14" x14ac:dyDescent="0.25">
      <c r="A55" s="1"/>
      <c r="B55" s="17"/>
      <c r="C55" s="18" t="s">
        <v>110</v>
      </c>
    </row>
    <row r="56" spans="1:14" ht="21" customHeight="1" x14ac:dyDescent="0.25">
      <c r="B56" s="21" t="s">
        <v>78</v>
      </c>
    </row>
    <row r="57" spans="1:14" ht="21" customHeight="1" x14ac:dyDescent="0.25">
      <c r="B57" s="63" t="s">
        <v>231</v>
      </c>
    </row>
    <row r="58" spans="1:14" ht="15.75" thickBot="1" x14ac:dyDescent="0.3">
      <c r="C58" s="1" t="s">
        <v>72</v>
      </c>
      <c r="D58" s="1" t="s">
        <v>207</v>
      </c>
      <c r="E58" s="1" t="s">
        <v>208</v>
      </c>
      <c r="F58" s="1" t="s">
        <v>198</v>
      </c>
      <c r="G58" s="1" t="s">
        <v>199</v>
      </c>
      <c r="H58" s="1" t="s">
        <v>200</v>
      </c>
      <c r="I58" s="1" t="s">
        <v>201</v>
      </c>
      <c r="J58" s="1" t="s">
        <v>205</v>
      </c>
      <c r="K58" s="1" t="s">
        <v>209</v>
      </c>
      <c r="L58" s="1" t="s">
        <v>210</v>
      </c>
      <c r="M58" s="1" t="s">
        <v>211</v>
      </c>
      <c r="N58" s="1" t="s">
        <v>227</v>
      </c>
    </row>
    <row r="59" spans="1:14" s="16" customFormat="1" ht="21.75" customHeight="1" thickBot="1" x14ac:dyDescent="0.3">
      <c r="B59" s="52" t="s">
        <v>226</v>
      </c>
      <c r="C59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vovina.LogA.Pcs
{
	[Table("LgaPcsStock")]
	[Index(nameof(PartNo), Name="IX_LgaPcsStock_PartNo")]
	[Index(nameof(SupplierNo), Name="IX_LgaPcsStock_SupplierNo")]
	[Index(nameof(PcRackAddress), Name="IX_LgaPcsStock_PcRackAddress")]
	[Index(nameof(IsActive), Name="IX_LgaPcsStock_IsActive")]	public class LgaPcsStock: FullAuditedEntity&lt;long&gt;, IEntity&lt;long&gt;	
	{
		public const int MaxPartNoLength = 50;
		public const int MaxPartNameLength = 500;
		public const int MaxSupplierNoLength = 50;
		public const int MaxBackNoLength = 50;
		public const int MaxPcRackAddressLength = 200;
		public const int MaxOutTypeLength = 50;
		public const int MaxIsActiveLength = 1;
		[StringLength(MaxPartNoLength)]
		public virtual string PartNo { get; set; }
		[StringLength(MaxPartNameLength)]
		public virtual string PartName { get; set; }
		[StringLength(MaxSupplierNoLength)]
		public virtual string SupplierNo { get; set; }
		[StringLength(MaxBackNoLength)]
		public virtual string BackNo { get; set; }
		[StringLength(MaxPcRackAddressLength)]
		public virtual string PcRackAddress { get; set; }
		public virtual int UsagePerHour { get; set; }
		public virtual int RackCapBox { get; set; }
		[StringLength(MaxOutTypeLength)]
		public virtual string OutType { get; set; }
		public virtual int StockQty { get; set; }
		public virtual int BoxQty { get; set; }
		[StringLength(MaxIsActiveLength)]
		public virtual string IsActive { get; set; }
	}
}
</v>
      </c>
      <c r="D59" s="51" t="str">
        <f>A.Backend!O7</f>
        <v xml:space="preserve">		public const string Pages_LogA_Pcs_Stock = "Pages.LogA.Pcs.Stock";
		public const string Pages_LogA_Pcs_Stock_CreateEdit = "Pages.LogA.Pcs.Stock.CreateEdit";
		public const string Pages_LogA_Pcs_Stock_Delete = "Pages.LogA.Pcs.Stock.Delete";
</v>
      </c>
      <c r="E59" s="51" t="str">
        <f>A.Backend!N7</f>
        <v xml:space="preserve">		var perLgaPcsStock = PARENTS.CreateChildPermission(AppPermissions.Pages_LogA_Pcs_Stock, L( "LogAPcsStock"), multiTenancySides: MultiTenancySides.Tenant);
		perLgaPcsStock.CreateChildPermission(AppPermissions.Pages_LogA_Pcs_Stock_CreateEdit, L( "LogAPcsStockCreateEdit"), multiTenancySides: MultiTenancySides.Tenant);
		perLgaPcsStock.CreateChildPermission(AppPermissions.Pages_LogA_Pcs_Stock_Delete, L( "LogAPcsStockDelete"), multiTenancySides: MultiTenancySides.Tenant);</v>
      </c>
      <c r="F59" s="51" t="str">
        <f>A.Backend!K7</f>
        <v>public virtual DbSet&lt;LgaPcsStock&gt; LgaPcsStocks { get; set; }</v>
      </c>
      <c r="G59" s="51" t="str">
        <f ca="1">A.Backend!L7</f>
        <v xml:space="preserve">namespace vovina.LogA.Pcs
{
	public class LgaPcsStockConsts	
	{
		public const int MaxPartNoLength = 50;
		public const int MaxPartNameLength = 500;
		public const int MaxSupplierNoLength = 50;
		public const int MaxBackNoLength = 50;
		public const int MaxPcRackAddressLength = 200;
		public const int MaxOutTypeLength = 50;
		public const int MaxIsActiveLength = 1;
		// Define Store Name: Format SP_ + &lt;Store Name&gt; = &lt;Store Name&gt;
	}
}
</v>
      </c>
      <c r="H59" s="51" t="str">
        <f ca="1">A.Backend!M7</f>
        <v xml:space="preserve">using Abp.Application.Services.Dto;
using System;
using System.ComponentModel.DataAnnotations;
namespace vovina.LogA.Pcs.Dto
{
	public class LgaPcsStockDto : EntityDto&lt;long?&gt;	
	{
		public virtual string PartNo { get; set; }
		public virtual string PartName { get; set; }
		public virtual string SupplierNo { get; set; }
		public virtual string BackNo { get; set; }
		public virtual string PcRackAddress { get; set; }
		public virtual int UsagePerHour { get; set; }
		public virtual int RackCapBox { get; set; }
		public virtual string OutType { get; set; }
		public virtual int StockQty { get; set; }
		public virtual int BoxQty { get; set; }
		public virtual string IsActive { get; set; }
	}
	public class CreateOrEditLgaPcsStockDto : EntityDto&lt;long?&gt;	
	{
		[StringLength(LgaPcsStockConsts.MaxPartNoLength)]
		public virtual string PartNo { get; set; }
		[StringLength(LgaPcsStockConsts.MaxPartNameLength)]
		public virtual string PartName { get; set; }
		[StringLength(LgaPcsStockConsts.MaxSupplierNoLength)]
		public virtual string SupplierNo { get; set; }
		[StringLength(LgaPcsStockConsts.MaxBackNoLength)]
		public virtual string BackNo { get; set; }
		[StringLength(LgaPcsStockConsts.MaxPcRackAddressLength)]
		public virtual string PcRackAddress { get; set; }
		public virtual int UsagePerHour { get; set; }
		public virtual int RackCapBox { get; set; }
		[StringLength(LgaPcsStockConsts.MaxOutTypeLength)]
		public virtual string OutType { get; set; }
		public virtual int StockQty { get; set; }
		public virtual int BoxQty { get; set; }
		[StringLength(LgaPcsStockConsts.MaxIsActiveLength)]
		public virtual string IsActive { get; set; }
	}
	public class GetLgaPcsStockInput : PagedAndSortedResultRequestDto	
	{
		public virtual string PartNo { get; set; }
		public virtual string PartName { get; set; }
		public virtual string SupplierNo { get; set; }
		public virtual string BackNo { get; set; }
		public virtual string PcRackAddress { get; set; }
		public virtual int UsagePerHour { get; set; }
		public virtual int RackCapBox { get; set; }
		public virtual string OutType { get; set; }
		public virtual int StockQty { get; set; }
		public virtual int BoxQty { get; set; }
		public virtual string IsActive { get; set; }
	}
}
</v>
      </c>
      <c r="I59" s="51" t="str">
        <f ca="1">A.Backend!R7</f>
        <v xml:space="preserve">using Abp.Application.Services.Dto;
using System;
using System.ComponentModel.DataAnnotations;
namespace vovina.LogA.Pcs.Dto
{
	public class LgaPcsStockExportInput{
		public virtual string PartNo { get; set; }
		public virtual string PartName { get; set; }
		public virtual string SupplierNo { get; set; }
		public virtual string BackNo { get; set; }
		public virtual string PcRackAddress { get; set; }
		public virtual int UsagePerHour { get; set; }
		public virtual int RackCapBox { get; set; }
		public virtual string OutType { get; set; }
		public virtual int StockQty { get; set; }
		public virtual int BoxQty { get; set; }
		public virtual string IsActive { get; set; }
	}
}
</v>
      </c>
      <c r="J59" s="51" t="str">
        <f>A.Backend!P7</f>
        <v xml:space="preserve">using Abp.Application.Services;
using Abp.Application.Services.Dto;
using System.Collections.Generic;using vovina.Dto;
using System.Threading.Tasks;
using vovina.LogA.Pcs.Dto;
namespace vovina.LogA.Pcs
{
	public interface ILgaPcsStockAppService : IApplicationService
	{
		Task&lt;PagedResultDto&lt;LgaPcsStockDto&gt;&gt; GetAll(GetLgaPcsStockInput input);
		Task CreateOrEdit(CreateOrEditLgaPcsStockDto input);
		Task Delete(EntityDto input);
	}
}
</v>
      </c>
      <c r="K59" s="51" t="str">
        <f>A.Backend!S7</f>
        <v xml:space="preserve">using Abp.Application.Services;
using Abp.Application.Services.Dto;
using System.Collections.Generic;using vovina.Dto;
using System.Threading.Tasks;
using vovina.LogA.Pcs.Dto;
namespace vovina.LogA.Pcs.Exporting
{
	public interface ILgaPcsStockExcelExporter : IApplicationService
	{
		FileDto ExportToFile(List&lt;LgaPcsStockDto&gt; lgapcsstock);
	}
}
</v>
      </c>
      <c r="L59" s="51" t="str">
        <f ca="1">A.Backend!T7</f>
        <v>using System.Collections.Generic;
using vovina.DataExporting.Excel.NPOI;
using vovina.Dto;
using vovina.LogA.Pcs.Exporting;
using vovina.LogA.Pcs.Dto;
using vovina.Storage;
using vovina.LogA.Pcs.Dto;
namespace vovina.LogA.Pcs.Exporting
{
    public class LgaPcsStockExcelExporter : NpoiExcelExporterBase, ILgaPcsStockExcelExporter
    {
        public LgaPcsStockExcelExporter(ITempFileCacheManager tempFileCacheManager) : base(tempFileCacheManager) { }
        public FileDto ExportToFile(List&lt;LgaPcsStockDto&gt; stock)
        {
            return CreateExcelPackage(
				"LogAPcsStock.xlsx",
				excelPackage =&gt;
				 {
					var sheet = excelPackage.CreateSheet("Stock");
					AddHeader(
								sheet,
								("PartNo"),
								("PartName"),
								("SupplierNo"),
								("BackNo"),
								("PcRackAddress"),
								("UsagePerHour"),
								("RackCapBox"),
								("OutType"),
								("StockQty"),
								("BoxQty"),
								("IsActive"),
							   );
					AddObjects(
						 sheet, 1, stock,                                       
								_ =&gt; _.PartNo,
								_ =&gt; _.PartName,
								_ =&gt; _.SupplierNo,
								_ =&gt; _.BackNo,
								_ =&gt; _.PcRackAddress,
								_ =&gt; _.UsagePerHour,
								_ =&gt; _.RackCapBox,
								_ =&gt; _.OutType,
								_ =&gt; _.StockQty,
								_ =&gt; _.BoxQty,
								_ =&gt; _.IsActive,
								);
			for (var i = 0; i &lt; 8; i++)
				{
					sheet.AutoSizeColumn(i);
				}
			});
        }
    }
}</v>
      </c>
      <c r="M59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vovina.LogA.Pcs.Dto;
using vovina.LogA.Pcs.Exporting;
namespace vovina.LogA.Pcs
{
    [AbpAuthorize(AppPermissions.Pages_LogA_Pcs_Stock)]
    public class LgaPcsStockAppService : vovinaAppServiceBase, ILgaPcsStockAppService
    {
        private readonly IDapperRepository&lt;LgaPcsStock, long&gt; _dapperRepo;
        private readonly IRepository&lt;LgaPcsStock, long&gt; _repo;
        private readonly ILgaPcsStockExcelExporter _calendarListExcelExporter;
        public LgaPcsStockAppService(IRepository&lt;LgaPcsStock,long&gt; repo, 
                                         IDapperRepository&lt;LgaPcsStock,long&gt; dapperRepo,
                                        ILgaPcsStockExcelExporter calendarListExcelExporter
            )
        {
            _repo = repo;
            _dapperRepo = dapperRepo;
            _calendarListExcelExporter = calendarListExcelExporter;
        }
        [AbpAuthorize(AppPermissions.Pages_LogA_Pcs_Stock_CreateEdit)]
        public async Task CreateOrEdit(CreateOrEditLgaPcsStockDto input)
        {
            if (input.Id == null) await Create(input);
            else await Update(input);
        }
        //CREATE
        private async Task Create(CreateOrEditLgaPcsStockDto input)
        {          
            var mainObj = ObjectMapper.Map&lt;LgaPcsStock&gt;(input);
            await CurrentUnitOfWork.GetDbContext&lt;vovinaDbContext&gt;().AddAsync(mainObj);
        }
        // EDIT
        private async Task Update(CreateOrEditLgaPcsStockDto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[AbpAuthorize(AppPermissions.Pages_LogA_Pcs_Stock_Delete)]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Task&lt;PagedResultDto&lt;LgaPcsStockDto&gt;&gt; GetAll(GetLgaPcsStockInput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.WhereIf(!string.IsNullOrWhiteSpace(input.SupplierNo), e =&gt; e.SupplierNo.Contains(input.SupplierNo))
				.WhereIf(!string.IsNullOrWhiteSpace(input.BackNo), e =&gt; e.BackNo.Contains(input.BackNo))
				.WhereIf(!string.IsNullOrWhiteSpace(input.PcRackAddress), e =&gt; e.PcRackAddress.Contains(input.PcRackAddress))
				.WhereIf(!string.IsNullOrWhiteSpace(input.OutType), e =&gt; e.OutType.Contains(input.OutType))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LgaPcsStockDto
                        {
							Id = o.Id,
							PartNo = o.PartNo,
							PartName = o.PartName,
							SupplierNo = o.SupplierNo,
							BackNo = o.BackNo,
							PcRackAddress = o.PcRackAddress,
							UsagePerHour = o.UsagePerHour,
							RackCapBox = o.RackCapBox,
							OutType = o.OutType,
							StockQty = o.StockQty,
							BoxQty = o.BoxQty,
							IsActive = o.IsActive,
                        };
            var totalCount = await filtered.CountAsync();
			var paged = system.PageBy(input);
            return new PagedResultDto&lt;LgaPcsStockDto&gt;(
                totalCount,
                 await paged.ToListAsync()
            );
        }
        public async Task&lt;FileDto&gt; GetStockToExcel(LgaPcsStockExportInput input)
        {
            var query = from o in _repo.GetAll()
                        select new LgaPcsStockDto
                        {
							Id = o.Id,
							PartNo = o.PartNo,
							PartName = o.PartName,
							SupplierNo = o.SupplierNo,
							BackNo = o.BackNo,
							PcRackAddress = o.PcRackAddress,
							UsagePerHour = o.UsagePerHour,
							RackCapBox = o.RackCapBox,
							OutType = o.OutType,
							StockQty = o.StockQty,
							BoxQty = o.BoxQty,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_dapperRepo.ExecuteAsync(LgaPcsStockConsts.SP_MST_WPT_CALENDAR_GENERATE);
       // }
    }
}</v>
      </c>
      <c r="N59" s="62" t="str">
        <f>A.Backend!U7</f>
        <v xml:space="preserve">  configuration.CreateMap&lt;LgaPcsStockDto, LgaPcsStock&gt;();
  configuration.CreateMap&lt;LgaPcsStock, LgaPcsStockDto&gt;();
  configuration.CreateMap&lt;CreateOrEditLgaPcsStockDto, LgaPcsStock&gt;();</v>
      </c>
    </row>
    <row r="60" spans="1:14" s="16" customFormat="1" ht="21.75" customHeight="1" x14ac:dyDescent="0.25">
      <c r="C60" s="65"/>
      <c r="D60" s="29"/>
      <c r="E60" s="29"/>
      <c r="F60" s="29"/>
      <c r="G60" s="29"/>
      <c r="H60" s="66"/>
      <c r="I60" s="67"/>
      <c r="J60" s="29"/>
      <c r="K60" s="29"/>
      <c r="M60" s="66"/>
    </row>
    <row r="61" spans="1:14" s="16" customFormat="1" ht="21.75" customHeight="1" x14ac:dyDescent="0.25">
      <c r="C61" s="29"/>
      <c r="D61" s="29"/>
      <c r="E61" s="29"/>
      <c r="F61" s="29"/>
      <c r="G61" s="29"/>
      <c r="H61" s="29"/>
      <c r="J61" s="29"/>
      <c r="K61" s="29"/>
      <c r="M61" s="29"/>
    </row>
    <row r="62" spans="1:14" s="16" customFormat="1" ht="21.75" customHeight="1" x14ac:dyDescent="0.25">
      <c r="C62" s="29"/>
      <c r="D62" s="29"/>
      <c r="E62" s="29"/>
      <c r="G62" s="29"/>
      <c r="H62" s="29"/>
    </row>
    <row r="63" spans="1:14" x14ac:dyDescent="0.25">
      <c r="B63" s="1" t="s">
        <v>73</v>
      </c>
    </row>
    <row r="64" spans="1:14" ht="21" x14ac:dyDescent="0.35">
      <c r="B64" t="str">
        <f>B.Frontend!B8</f>
        <v>stock</v>
      </c>
      <c r="C64" s="73" t="str">
        <f>"create folder " &amp;B64</f>
        <v>create folder stock</v>
      </c>
      <c r="D64" s="73"/>
      <c r="E64" s="73"/>
      <c r="F64" s="73"/>
      <c r="G64" s="73"/>
      <c r="H64" s="73"/>
      <c r="I64" s="73"/>
      <c r="J64" s="73"/>
      <c r="K64" s="74" t="s">
        <v>228</v>
      </c>
      <c r="L64" s="74"/>
      <c r="M64" s="31"/>
    </row>
    <row r="65" spans="2:13" s="28" customFormat="1" ht="18" customHeight="1" x14ac:dyDescent="0.25">
      <c r="B65" s="60" t="s">
        <v>229</v>
      </c>
      <c r="C65" s="31" t="str">
        <f>B.Frontend!H14</f>
        <v>stock.component.ts</v>
      </c>
      <c r="D65" s="31" t="str">
        <f>B.Frontend!I14</f>
        <v>stock.component.html</v>
      </c>
      <c r="E65" s="31" t="str">
        <f>B.Frontend!J14</f>
        <v>stock.component.less</v>
      </c>
      <c r="F65" s="31" t="str">
        <f>B.Frontend!K14</f>
        <v>create-or-edit-stock-modal.component.html</v>
      </c>
      <c r="G65" s="31" t="str">
        <f>B.Frontend!L14</f>
        <v>create-or-edit-stock-modal.component.ts</v>
      </c>
      <c r="H65" s="31" t="str">
        <f>B.Frontend!M14</f>
        <v>create-or-edit-stock-modal.component.less</v>
      </c>
      <c r="I65" s="31" t="str">
        <f>B.Frontend!N14</f>
        <v>stock.module.ts</v>
      </c>
      <c r="J65" s="31" t="str">
        <f>B.Frontend!O14</f>
        <v>stock-routing.module.ts</v>
      </c>
      <c r="K65" s="31" t="str">
        <f>B.Frontend!P14</f>
        <v>app.navigation.service.ts</v>
      </c>
      <c r="L65" s="31" t="str">
        <f>B.Frontend!Q14</f>
        <v>main.routing.module.ts</v>
      </c>
      <c r="M65" s="60" t="s">
        <v>232</v>
      </c>
    </row>
    <row r="66" spans="2:13" ht="21.75" customHeight="1" x14ac:dyDescent="0.25">
      <c r="B66" s="61" t="s">
        <v>226</v>
      </c>
      <c r="C66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LgaPcsStockDto, LgaPcsStockServiceProxy } from '@shared/service-proxies/service-proxies';
import { finalize } from 'rxjs/internal/operators/finalize';
import { CreateOrEditStockModalComponent } from './create-or-edit-stock-modal.component';
import { DatePipe } from '@angular/common';
import { FileDownloadService } from '@shared/utils/file-download.service';
import ceil from 'lodash-es/ceil';
import { Paginator } from 'primeng/paginator';
@Component({
    templateUrl: './stock.component.html',
    styleUrls: ['./stock.component.less'],
})
export class StockComponent extends AppComponentBase implements OnInit {
    @ViewChild('createOrEditModalStock', { static: true }) createOrEditModalStock:| CreateOrEditStockModalComponent|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LgaPcsStockDto = new LgaPcsStockDto();
    saveSelectedRow: LgaPcsStockDto = new LgaPcsStockDto();
    datas: LgaPcsStockDto = new LgaPcsStockDto();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partName : string = '' ; 
	supplierNo : string = '' ; 
	backNo : string = '' ; 
	pcRackAddress : string = '' ; 
	usagePerHour : number = 0 ;
	rackCapBox : number = 0 ;
	outType : string = '' ; 
	stockQty : number = 0 ;
	boxQty : number = 0 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LgaPcsStockServiceProxy,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this.l('Supplier No'),headerTooltip: this.l('Supplier No'),field: 'supplierNo',flex: 1},
			{headerName: this.l('Back No'),headerTooltip: this.l('Back No'),field: 'backNo',flex: 1},
			{headerName: this.l('Pc Rack Address'),headerTooltip: this.l('Pc Rack Address'),field: 'pcRackAddress',flex: 1},
			{headerName: this.l('Usage Per Hour'),headerTooltip: this.l('Usage Per Hour'),field: 'usagePerHour',flex: 1},
			{headerName: this.l('Rack Cap Box'),headerTooltip: this.l('Rack Cap Box'),field: 'rackCapBox',flex: 1},
			{headerName: this.l('Out Type'),headerTooltip: this.l('Out Type'),field: 'outType',flex: 1},
			{headerName: this.l('Stock Qty'),headerTooltip: this.l('Stock Qty'),field: 'stockQty',flex: 1},
			{headerName: this.l('Box Qty'),headerTooltip: this.l('Box Qty'),field: 'boxQty',flex: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this.supplierNo,
			this.backNo,
			this.pcRackAddress,
			this.usagePerHour,
			this.rackCapBox,
			this.outType,
			this.stockQty,
			this.boxQty,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this.partName = '',
		this.supplierNo = '',
		this.backNo = '',
		this.pcRackAddress = '',
		this.usagePerHour = 0,
		this.rackCapBox = 0,
		this.outType = '',
		this.stockQty = 0,
		this.boxQty = 0,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this.supplierNo,
			this.backNo,
			this.pcRackAddress,
			this.usagePerHour,
			this.rackCapBox,
			this.outType,
			this.stockQty,
			this.boxQty,
			'',
            this.paginationParams.skipCount,
            this.paginationParams.pageSize
        );
    }
    onChangeRowSelection(params: { api: { getSelectedRows: () =&gt; LgaPcsStockDto[] } }) {
        this.saveSelectedRow = params.api.getSelectedRows()[0] ?? new LgaPcsStockDto();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LgaPcsStockDto):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this._service.getStockToExcel(
			this.partNo,
			this.partName,
			this.supplierNo,
			this.backNo,
			this.pcRackAddress,
			this.usagePerHour,
			this.rackCapBox,
			this.outType,
			this.stockQty,
			this.boxQty,
            )
            .subscribe((result) =&gt; {
                this._fileDownloadService.downloadTempFile(result);
        });
    }
}</v>
      </c>
      <c r="D66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PCS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[(ngModel)]='pcRackAddress' name='pcRackAddress'
									class='form-control' [placeholder]="l('Pc Rack Address')"
									type='text' (keyup.enter)='searchDatas()'&gt;
								&lt;/div&gt;
								&lt;div class='input-search'&gt;
									&lt;input [(ngModel)]='outType' name='outType'
									class='form-control' [placeholder]="l('Out Type')"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&lt;create-or-edit-stock-modal
    #createOrEditModalStock
    (modalSave)="callBackDataGrid(dataParams)"
    (modalClose)="onChangeRowSelection(dataParams)"
&gt;
&lt;/create-or-edit-stock-modal&gt;</v>
      </c>
      <c r="E66" s="49" t="str">
        <f>B.Frontend!J10</f>
        <v>.input-search{
    width: 250px;
    border-radius: 10px;
    margin-left: 10px;
}
.btn-search{
    width: 50px;
    margin-left: 10px;
}</v>
      </c>
      <c r="F66" s="49" t="str">
        <f ca="1">B.Frontend!K10</f>
        <v>&lt;div bsModal #createOrEditModalStock="bs-modal"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Stock')}}&lt;/h3&gt;
                    &lt;h3 *ngIf="!rowdata.id"&gt;{{('Create New 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title'&gt;Pc Rack Address&lt;/label&gt;
						&lt;input type='text' class='col-md-10 form-control input-text' name='PcRackAddress' [(ngModel)]='rowdata.pcRackAddress'&gt;
					&lt;/div&gt;
					&lt;div class='col-md-12 form-group row'&gt;
						&lt;label class='col-md-2 form-control title'&gt;Usage Per Hour&lt;/label&gt;
						&lt;input type='number' class='col-md-10 form-control input-text' name='UsagePerHour' [(ngModel)]='rowdata.usagePerHour'&gt;
					&lt;/div&gt;
					&lt;div class='col-md-12 form-group row'&gt;
						&lt;label class='col-md-2 form-control title'&gt;Rack Cap Box&lt;/label&gt;
						&lt;input type='number' class='col-md-10 form-control input-text' name='RackCapBox' [(ngModel)]='rowdata.rackCapBox'&gt;
					&lt;/div&gt;
					&lt;div class='col-md-12 form-group row'&gt;
						&lt;label class='col-md-2 form-control title'&gt;Out Type&lt;/label&gt;
						&lt;input type='text' class='col-md-10 form-control input-text' name='OutType' [(ngModel)]='rowdata.outType'&gt;
					&lt;/div&gt;
					&lt;div class='col-md-12 form-group row'&gt;
						&lt;label class='col-md-2 form-control title'&gt;Stock Qty&lt;/label&gt;
						&lt;input type='number' class='col-md-10 form-control input-text' name='StockQty' [(ngModel)]='rowdata.stockQty'&gt;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6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CreateOrEditLgaPcsStockDto, LgaPcsStockServiceProxy } from '@shared/service-proxies/service-proxies';
import { BsDatepickerDirective } from 'ngx-bootstrap/datepicker';
@Component({
    selector: 'create-or-edit-stock-modal',
    templateUrl: './create-or-edit-stock-modal.component.html',
    styleUrls: ['./create-or-edit-stock-modal.component.less']
    })
export class CreateOrEditStockModalComponent extends AppComponentBase {
    @ViewChild('createOrEditModalStock',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CreateOrEditLgaPcsStockDto = new CreateOrEditLgaPcsStockDto();
    active: boolean = false;
    saving: boolean = false;
    _: boolean;
    constructor(
        injector: Injector,
        private _mstwptStockService: LgaPcsStockServiceProxy,
    ) 
    {
        super(injector);
    }
    show(rowdata?: CreateOrEditLgaPcsStockDto): void {
        if (!rowdata) this.rowdata = new CreateOrEditLgaPcsStockDto();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6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6" s="49" t="str">
        <f>B.Frontend!N10</f>
        <v>import {NgModule} from '@angular/core';
import {AppSharedModule} from '@app/shared/app-shared.module';
import { StockRoutingModule } from './stock-routing.module';
import { StockComponent } from './stock.component';
import { CreateOrEditStockModalComponent } from './create-or-edit-stock-modal.component';
@NgModule({
    declarations: [
       StockComponent, 
        CreateOrEditStockModalComponent
    ],
    imports: [
        AppSharedModule, StockRoutingModule]
})
export class StockModule {}</v>
      </c>
      <c r="J66" s="49" t="str">
        <f>B.Frontend!O10</f>
        <v>import {NgModule} from '@angular/core';
import {RouterModule, Routes} from '@angular/router';
import { StockComponent } from './stock.component';
const routes: Routes = [{
    path: '',
    component: StockComponent,
    pathMatch: 'full'
}];
@NgModule({
    imports: [RouterModule.forChild(routes)],
    exports: [RouterModule],
})
export class StockRoutingModule {}</v>
      </c>
      <c r="K66" s="49" t="str">
        <f>B.Frontend!P10</f>
        <v xml:space="preserve"> new AppMenuItem("Stock", "Pages.LogA.Pcs.Stock", "flaticon-book",   "/app/main/loga/pcs/stock"),</v>
      </c>
      <c r="L66" s="50" t="str">
        <f>B.Frontend!Q10</f>
        <v>{
    path: 'loga/pcs/stock',
    loadChildren: () =&gt; import('./loga/pcs/stock/stock.module').then(m =&gt; m.StockModule),
    data: { permission: 'Pages.LogA.Pcs.Stock' }
},</v>
      </c>
      <c r="M66" s="48" t="str">
        <f>B.Frontend!R10</f>
        <v>ApiServiceProxies.LgaPcsStockServiceProxy,</v>
      </c>
    </row>
    <row r="68" spans="2:13" x14ac:dyDescent="0.25">
      <c r="B68" s="1" t="s">
        <v>75</v>
      </c>
    </row>
  </sheetData>
  <mergeCells count="2">
    <mergeCell ref="C64:J64"/>
    <mergeCell ref="K64:L6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1"/>
  <sheetViews>
    <sheetView tabSelected="1" workbookViewId="0">
      <pane xSplit="1" topLeftCell="G1" activePane="topRight" state="frozen"/>
      <selection pane="topRight" activeCell="K23" sqref="K2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vovina.LogA.Pcs.Dto;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338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324</v>
      </c>
      <c r="C3" s="10" t="s">
        <v>43</v>
      </c>
      <c r="D3" s="10" t="s">
        <v>44</v>
      </c>
      <c r="E3" s="10" t="s">
        <v>39</v>
      </c>
      <c r="F3" s="11" t="str">
        <f>"J"&amp;COUNTA($A:$A)</f>
        <v>J19</v>
      </c>
      <c r="G3" s="4" t="s">
        <v>57</v>
      </c>
      <c r="H3" s="10" t="str">
        <f>"I"&amp;COUNTA($A:$A)</f>
        <v>I19</v>
      </c>
      <c r="I3" s="10" t="str">
        <f>REPT(CHAR(9),2)&amp;"[Required]"&amp;"
"</f>
        <v xml:space="preserve">		[Required]
</v>
      </c>
      <c r="J3" s="11" t="str">
        <f>"L"&amp;COUNTA($A:$A)</f>
        <v>L19</v>
      </c>
      <c r="K3" s="5" t="s">
        <v>56</v>
      </c>
      <c r="L3" s="11" t="str">
        <f>"M"&amp;COUNTA($A:$A)</f>
        <v>M19</v>
      </c>
      <c r="M3" s="11" t="str">
        <f>"N"&amp;COUNTA($A:$A)</f>
        <v>N19</v>
      </c>
      <c r="N3" s="11" t="str">
        <f>"O"&amp;COUNTA($A:$A)</f>
        <v>O19</v>
      </c>
      <c r="O3" s="11" t="str">
        <f>"P"&amp;COUNTA($A:$A)</f>
        <v>P19</v>
      </c>
      <c r="Q3" s="11" t="str">
        <f>RIGHT(B2,(LEN(B2)-FIND(".",B2,1)))</f>
        <v>Pcs</v>
      </c>
      <c r="R3" s="32" t="str">
        <f>REPT(CHAR(9),1)&amp;"public class "&amp;B3&amp;"ExportInput"&amp;C3</f>
        <v xml:space="preserve">	public class LgaPcsStockExportInput{
</v>
      </c>
      <c r="S3" s="11" t="str">
        <f>"namespace "&amp;$B$6&amp;".Exporting
"&amp;$C$3</f>
        <v xml:space="preserve">namespace vovina.LogA.Pcs.Exporting
{
</v>
      </c>
      <c r="T3" s="11" t="str">
        <f>"T"&amp;COUNTA($A:$A)</f>
        <v>T19</v>
      </c>
      <c r="V3" s="11" t="str">
        <f>"V"&amp;COUNTA($A:$A)</f>
        <v>V19</v>
      </c>
      <c r="W3" s="10" t="str">
        <f>"W"&amp;COUNTA($A:$A)</f>
        <v>W19</v>
      </c>
    </row>
    <row r="4" spans="1:23" s="11" customFormat="1" ht="33" customHeight="1" x14ac:dyDescent="0.25">
      <c r="A4" s="1" t="s">
        <v>237</v>
      </c>
      <c r="B4" s="64" t="s">
        <v>307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vovina.LogA.Pcs</v>
      </c>
      <c r="C6" s="11" t="str">
        <f>"namespace "&amp;$B$6&amp;"
"&amp;$C$3</f>
        <v xml:space="preserve">namespace vovina.LogA.Pcs
{
</v>
      </c>
      <c r="D6" s="11" t="str">
        <f>REPT(CHAR(9),1)&amp;"public class "&amp;B3&amp;G3&amp;REPT(CHAR(9),1)&amp;"
"&amp;REPT(CHAR(9),1)&amp;C3</f>
        <v xml:space="preserve">	public class LgaPcsStock: FullAuditedEntity&lt;long&gt;, IEntity&lt;long&gt;	
	{
</v>
      </c>
      <c r="E6" s="11" t="str">
        <f>REPT(CHAR(9),1)&amp;"public class "&amp;B3&amp;"Consts"&amp;REPT(CHAR(9),1)&amp;"
"&amp;REPT(CHAR(9),1)&amp;C3</f>
        <v xml:space="preserve">	public class LgaPcsStockConsts	
	{
</v>
      </c>
      <c r="F6" s="11" t="str">
        <f>REPT(CHAR(9),1)&amp;"public class "&amp;B3&amp;"Dto"&amp;K3&amp;REPT(CHAR(9),1)&amp;"
"&amp;REPT(CHAR(9),1)&amp;C3</f>
        <v xml:space="preserve">	public class LgaPcsStockDto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CreateOrEditLgaPcsStockDto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GetLgaPcsStockInput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LgaPcsStock</v>
      </c>
      <c r="C7" s="11" t="str">
        <f>REPT(CHAR(9),1)&amp;"[Table("""&amp;B7&amp;""")]"&amp;"
"</f>
        <v xml:space="preserve">	[Table("LgaPcsStock")]
</v>
      </c>
      <c r="D7" s="11"/>
      <c r="E7" s="11"/>
      <c r="F7" s="11"/>
      <c r="G7" s="11"/>
      <c r="H7" s="11"/>
      <c r="I7" s="11"/>
      <c r="J7" s="6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vovina.LogA.Pcs
{
	[Table("LgaPcsStock")]
	[Index(nameof(PartNo), Name="IX_LgaPcsStock_PartNo")]
	[Index(nameof(SupplierNo), Name="IX_LgaPcsStock_SupplierNo")]
	[Index(nameof(PcRackAddress), Name="IX_LgaPcsStock_PcRackAddress")]
	[Index(nameof(IsActive), Name="IX_LgaPcsStock_IsActive")]	public class LgaPcsStock: FullAuditedEntity&lt;long&gt;, IEntity&lt;long&gt;	
	{
		public const int MaxPartNoLength = 50;
		public const int MaxPartNameLength = 500;
		public const int MaxSupplierNoLength = 50;
		public const int MaxBackNoLength = 50;
		public const int MaxPcRackAddressLength = 200;
		public const int MaxOutTypeLength = 50;
		public const int MaxIsActiveLength = 1;
		[StringLength(MaxPartNoLength)]
		public virtual string PartNo { get; set; }
		[StringLength(MaxPartNameLength)]
		public virtual string PartName { get; set; }
		[StringLength(MaxSupplierNoLength)]
		public virtual string SupplierNo { get; set; }
		[StringLength(MaxBackNoLength)]
		public virtual string BackNo { get; set; }
		[StringLength(MaxPcRackAddressLength)]
		public virtual string PcRackAddress { get; set; }
		public virtual int UsagePerHour { get; set; }
		public virtual int RackCapBox { get; set; }
		[StringLength(MaxOutTypeLength)]
		public virtual string OutType { get; set; }
		public virtual int StockQty { get; set; }
		public virtual int BoxQty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DbSet&lt;LgaPcsStock&gt; LgaPcsStocks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vovina.LogA.Pcs
{
	public class LgaPcsStockConsts	
	{
		public const int MaxPartNoLength = 50;
		public const int MaxPartNameLength = 500;
		public const int MaxSupplierNoLength = 50;
		public const int MaxBackNoLength = 50;
		public const int MaxPcRackAddressLength = 200;
		public const int MaxOutTypeLength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vovina.LogA.Pcs.Dto
{
	public class LgaPcsStockDto : EntityDto&lt;long?&gt;	
	{
		public virtual string PartNo { get; set; }
		public virtual string PartName { get; set; }
		public virtual string SupplierNo { get; set; }
		public virtual string BackNo { get; set; }
		public virtual string PcRackAddress { get; set; }
		public virtual int UsagePerHour { get; set; }
		public virtual int RackCapBox { get; set; }
		public virtual string OutType { get; set; }
		public virtual int StockQty { get; set; }
		public virtual int BoxQty { get; set; }
		public virtual string IsActive { get; set; }
	}
	public class CreateOrEditLgaPcsStockDto : EntityDto&lt;long?&gt;	
	{
		[StringLength(LgaPcsStockConsts.MaxPartNoLength)]
		public virtual string PartNo { get; set; }
		[StringLength(LgaPcsStockConsts.MaxPartNameLength)]
		public virtual string PartName { get; set; }
		[StringLength(LgaPcsStockConsts.MaxSupplierNoLength)]
		public virtual string SupplierNo { get; set; }
		[StringLength(LgaPcsStockConsts.MaxBackNoLength)]
		public virtual string BackNo { get; set; }
		[StringLength(LgaPcsStockConsts.MaxPcRackAddressLength)]
		public virtual string PcRackAddress { get; set; }
		public virtual int UsagePerHour { get; set; }
		public virtual int RackCapBox { get; set; }
		[StringLength(LgaPcsStockConsts.MaxOutTypeLength)]
		public virtual string OutType { get; set; }
		public virtual int StockQty { get; set; }
		public virtual int BoxQty { get; set; }
		[StringLength(LgaPcsStockConsts.MaxIsActiveLength)]
		public virtual string IsActive { get; set; }
	}
	public class GetLgaPcsStockInput : PagedAndSortedResultRequestDto	
	{
		public virtual string PartNo { get; set; }
		public virtual string PartName { get; set; }
		public virtual string SupplierNo { get; set; }
		public virtual string BackNo { get; set; }
		public virtual string PcRackAddress { get; set; }
		public virtual int UsagePerHour { get; set; }
		public virtual int RackCapBox { get; set; }
		public virtual string OutType { get; set; }
		public virtual int StockQty { get; set; }
		public virtual int BoxQty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perLgaPcsStock = PARENTS.CreateChildPermission(AppPermissions.Pages_LogA_Pcs_Stock, L( "LogAPcsStock"), multiTenancySides: MultiTenancySides.Tenant);
		perLgaPcsStock.CreateChildPermission(AppPermissions.Pages_LogA_Pcs_Stock_CreateEdit, L( "LogAPcsStockCreateEdit"), multiTenancySides: MultiTenancySides.Tenant);
		perLgaPcsStock.CreateChildPermission(AppPermissions.Pages_LogA_Pcs_Stock_Delete, L( "LogAPcsStockDelete"),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Pages_LogA_Pcs_Stock = "Pages.LogA.Pcs.Stock";
		public const string Pages_LogA_Pcs_Stock_CreateEdit = "Pages.LogA.Pcs.Stock.CreateEdit";
		public const string Pages_LogA_Pcs_Stock_Delete = "Pages.LogA.Pcs.Stock.Delete";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vovina.LogA.Pcs.Dto;
namespace vovina.LogA.Pcs
{
	public interface ILgaPcsStockAppService : IApplicationService
	{
		Task&lt;PagedResultDto&lt;LgaPcsStockDto&gt;&gt; GetAll(GetLgaPcsStockInput input);
		Task CreateOrEdit(CreateOrEditLgaPcsStockDto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vovina.LogA.Pcs.Dto;
using vovina.LogA.Pcs.Exporting;
namespace vovina.LogA.Pcs
{
    [AbpAuthorize(AppPermissions.Pages_LogA_Pcs_Stock)]
    public class LgaPcsStockAppService : vovinaAppServiceBase, ILgaPcsStockAppService
    {
        private readonly IDapperRepository&lt;LgaPcsStock, long&gt; _dapperRepo;
        private readonly IRepository&lt;LgaPcsStock, long&gt; _repo;
        private readonly ILgaPcsStockExcelExporter _calendarListExcelExporter;
        public LgaPcsStockAppService(IRepository&lt;LgaPcsStock,long&gt; repo, 
                                         IDapperRepository&lt;LgaPcsStock,long&gt; dapperRepo,
                                        ILgaPcsStockExcelExporter calendarListExcelExporter
            )
        {
            _repo = repo;
            _dapperRepo = dapperRepo;
            _calendarListExcelExporter = calendarListExcelExporter;
        }
        [AbpAuthorize(AppPermissions.Pages_LogA_Pcs_Stock_CreateEdit)]
        public async Task CreateOrEdit(CreateOrEditLgaPcsStockDto input)
        {
            if (input.Id == null) await Create(input);
            else await Update(input);
        }
        //CREATE
        private async Task Create(CreateOrEditLgaPcsStockDto input)
        {          
            var mainObj = ObjectMapper.Map&lt;LgaPcsStock&gt;(input);
            await CurrentUnitOfWork.GetDbContext&lt;vovinaDbContext&gt;().AddAsync(mainObj);
        }
        // EDIT
        private async Task Update(CreateOrEditLgaPcsStockDto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[AbpAuthorize(AppPermissions.Pages_LogA_Pcs_Stock_Delete)]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Task&lt;PagedResultDto&lt;LgaPcsStockDto&gt;&gt; GetAll(GetLgaPcsStockInput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.WhereIf(!string.IsNullOrWhiteSpace(input.SupplierNo), e =&gt; e.SupplierNo.Contains(input.SupplierNo))
				.WhereIf(!string.IsNullOrWhiteSpace(input.BackNo), e =&gt; e.BackNo.Contains(input.BackNo))
				.WhereIf(!string.IsNullOrWhiteSpace(input.PcRackAddress), e =&gt; e.PcRackAddress.Contains(input.PcRackAddress))
				.WhereIf(!string.IsNullOrWhiteSpace(input.OutType), e =&gt; e.OutType.Contains(input.OutType))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LgaPcsStockDto
                        {
							Id = o.Id,
							PartNo = o.PartNo,
							PartName = o.PartName,
							SupplierNo = o.SupplierNo,
							BackNo = o.BackNo,
							PcRackAddress = o.PcRackAddress,
							UsagePerHour = o.UsagePerHour,
							RackCapBox = o.RackCapBox,
							OutType = o.OutType,
							StockQty = o.StockQty,
							BoxQty = o.BoxQty,
							IsActive = o.IsActive,
                        };
            var totalCount = await filtered.CountAsync();
			var paged = system.PageBy(input);
            return new PagedResultDto&lt;LgaPcsStockDto&gt;(
                totalCount,
                 await paged.ToListAsync()
            );
        }
        public async Task&lt;FileDto&gt; GetStockToExcel(LgaPcsStockExportInput input)
        {
            var query = from o in _repo.GetAll()
                        select new LgaPcsStockDto
                        {
							Id = o.Id,
							PartNo = o.PartNo,
							PartName = o.PartName,
							SupplierNo = o.SupplierNo,
							BackNo = o.BackNo,
							PcRackAddress = o.PcRackAddress,
							UsagePerHour = o.UsagePerHour,
							RackCapBox = o.RackCapBox,
							OutType = o.OutType,
							StockQty = o.StockQty,
							BoxQty = o.BoxQty,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_dapperRepo.ExecuteAsync(LgaPcsStockConsts.SP_MST_WPT_CALENDAR_GENERATE);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vovina.LogA.Pcs.Dto
{
	public class LgaPcsStockExportInput{
		public virtual string PartNo { get; set; }
		public virtual string PartName { get; set; }
		public virtual string SupplierNo { get; set; }
		public virtual string BackNo { get; set; }
		public virtual string PcRackAddress { get; set; }
		public virtual int UsagePerHour { get; set; }
		public virtual int RackCapBox { get; set; }
		public virtual string OutType { get; set; }
		public virtual int StockQty { get; set; }
		public virtual int BoxQty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vovina.LogA.Pcs.Dto;
namespace vovina.LogA.Pcs.Exporting
{
	public interface ILgaPcsStockExcelExporter : IApplicationService
	{
		FileDto ExportToFile(List&lt;LgaPcsStockDto&gt; lgapcsstock);
	}
}
</v>
      </c>
      <c r="T7" s="28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vovina.LogA.Pcs.Exporting;
using vovina.LogA.Pcs.Dto;
using vovina.Storage;
using vovina.LogA.Pcs.Dto;
namespace vovina.LogA.Pcs.Exporting
{
    public class LgaPcsStockExcelExporter : NpoiExcelExporterBase, ILgaPcsStockExcelExporter
    {
        public LgaPcsStockExcelExporter(ITempFileCacheManager tempFileCacheManager) : base(tempFileCacheManager) { }
        public FileDto ExportToFile(List&lt;LgaPcsStockDto&gt; stock)
        {
            return CreateExcelPackage(
				"LogAPcsStock.xlsx",
				excelPackage =&gt;
				 {
					var sheet = excelPackage.CreateSheet("Stock");
					AddHeader(
								sheet,
								("PartNo"),
								("PartName"),
								("SupplierNo"),
								("BackNo"),
								("PcRackAddress"),
								("UsagePerHour"),
								("RackCapBox"),
								("OutType"),
								("StockQty"),
								("BoxQty"),
								("IsActive"),
							   );
					AddObjects(
						 sheet, 1, stock,                                       
								_ =&gt; _.PartNo,
								_ =&gt; _.PartName,
								_ =&gt; _.SupplierNo,
								_ =&gt; _.BackNo,
								_ =&gt; _.PcRackAddress,
								_ =&gt; _.UsagePerHour,
								_ =&gt; _.RackCapBox,
								_ =&gt; _.OutType,
								_ =&gt; _.StockQty,
								_ =&gt; _.BoxQty,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configuration.CreateMap&lt;LgaPcsStockDto, LgaPcsStock&gt;();
  configuration.CreateMap&lt;LgaPcsStock, LgaPcsStockDto&gt;();
  configuration.CreateMap&lt;CreateOrEditLgaPcsStockDto, LgaPcsStock&gt;();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325</v>
      </c>
      <c r="B9" t="s">
        <v>321</v>
      </c>
      <c r="C9" t="s">
        <v>1</v>
      </c>
      <c r="D9" t="str">
        <f>SUBSTITUTE(PROPER(A9),"_","")</f>
        <v>PartNo</v>
      </c>
      <c r="E9" t="str">
        <f t="shared" ref="E9" si="0">IFERROR(LEFT(B9, FIND("(",B9)-1),B9)</f>
        <v>varchar</v>
      </c>
      <c r="F9" s="7"/>
      <c r="G9" t="str">
        <f t="shared" ref="G9" si="1">IFERROR(MID(B9,FIND("(",B9) +1, FIND(")",B9) - FIND("(",B9) - 1),"")</f>
        <v>50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MaxPartNoLength = 50;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[Index(nameof(PartNo), Name="IX_LgaPcsStock_PartNo")]</v>
      </c>
      <c r="M9" t="str">
        <f t="shared" ref="M9" si="4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5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[StringLength(LgaPcsStockConsts.MaxPartNoLength)]
		public virtual string PartNo { get; set; }
</v>
      </c>
      <c r="O9" t="str">
        <f t="shared" ref="O9" si="6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7">REPT(CHAR(9),7)&amp;D9&amp;" = o." &amp;D9 &amp;","</f>
        <v xml:space="preserve">							PartNo = o.PartNo,</v>
      </c>
      <c r="T9" s="69" t="str">
        <f t="shared" ref="T9" si="8">REPT(CHAR(9),8)&amp;"("""&amp;D9&amp;"""),"</f>
        <v xml:space="preserve">								("PartNo"),</v>
      </c>
      <c r="V9" s="70" t="str">
        <f t="shared" ref="V9" si="9">REPT(CHAR(9),8)&amp;"_ =&gt; _."&amp;D9&amp;","</f>
        <v xml:space="preserve">								_ =&gt; _.PartNo,</v>
      </c>
      <c r="W9" s="69" t="str">
        <f t="shared" ref="W9" si="10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22.5" customHeight="1" x14ac:dyDescent="0.25">
      <c r="A10" s="17" t="s">
        <v>322</v>
      </c>
      <c r="B10" t="s">
        <v>323</v>
      </c>
      <c r="C10" t="s">
        <v>1</v>
      </c>
      <c r="D10" t="str">
        <f>SUBSTITUTE(PROPER(A10),"_","")</f>
        <v>PartName</v>
      </c>
      <c r="E10" t="str">
        <f t="shared" ref="E10:E19" si="11">IFERROR(LEFT(B10, FIND("(",B10)-1),B10)</f>
        <v>varchar</v>
      </c>
      <c r="F10" s="7"/>
      <c r="G10" t="str">
        <f t="shared" ref="G10:G19" si="12">IFERROR(MID(B10,FIND("(",B10) +1, FIND(")",B10) - FIND("(",B10) - 1),"")</f>
        <v>500</v>
      </c>
      <c r="H10" t="str">
        <f>+VLOOKUP(E10,'Data Type Mapping'!A:B,2,)</f>
        <v>string</v>
      </c>
      <c r="I10" t="str">
        <f t="shared" ref="I10:I19" si="13">IF(H10="string",REPT(CHAR(9),2)&amp;"public const int Max"&amp;D10&amp;"Length = "&amp;G10&amp;";"&amp;$E$3,"" )</f>
        <v xml:space="preserve">		public const int MaxPartNameLength = 500;
</v>
      </c>
      <c r="J10" t="str">
        <f t="shared" ref="J10:J19" si="14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:M19" si="15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9" si="16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[StringLength(LgaPcsStockConsts.MaxPartNameLength)]
		public virtual string PartName { get; set; }
</v>
      </c>
      <c r="O10" t="str">
        <f t="shared" ref="O10:O19" si="17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9" si="18">REPT(CHAR(9),7)&amp;D10&amp;" = o." &amp;D10 &amp;","</f>
        <v xml:space="preserve">							PartName = o.PartName,</v>
      </c>
      <c r="T10" s="69" t="str">
        <f t="shared" ref="T10:T19" si="19">REPT(CHAR(9),8)&amp;"("""&amp;D10&amp;"""),"</f>
        <v xml:space="preserve">								("PartName"),</v>
      </c>
      <c r="V10" s="70" t="str">
        <f t="shared" ref="V10:V19" si="20">REPT(CHAR(9),8)&amp;"_ =&gt; _."&amp;D10&amp;","</f>
        <v xml:space="preserve">								_ =&gt; _.PartName,</v>
      </c>
      <c r="W10" s="69" t="str">
        <f t="shared" ref="W10:W19" si="21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22.5" customHeight="1" x14ac:dyDescent="0.25">
      <c r="A11" t="s">
        <v>334</v>
      </c>
      <c r="B11" t="s">
        <v>321</v>
      </c>
      <c r="C11" t="s">
        <v>1</v>
      </c>
      <c r="D11" t="str">
        <f>SUBSTITUTE(PROPER(A11),"_","")</f>
        <v>SupplierNo</v>
      </c>
      <c r="E11" t="str">
        <f t="shared" si="11"/>
        <v>varchar</v>
      </c>
      <c r="F11" s="7"/>
      <c r="G11" t="str">
        <f t="shared" si="12"/>
        <v>50</v>
      </c>
      <c r="H11" t="str">
        <f>+VLOOKUP(E11,'Data Type Mapping'!A:B,2,)</f>
        <v>string</v>
      </c>
      <c r="I11" t="str">
        <f t="shared" si="13"/>
        <v xml:space="preserve">		public const int MaxSupplierNoLength = 50;
</v>
      </c>
      <c r="J11" t="str">
        <f t="shared" si="14"/>
        <v xml:space="preserve">		[StringLength(MaxSupplierNoLength)]
		public virtual string SupplierNo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[Index(nameof(SupplierNo), Name="IX_LgaPcsStock_SupplierNo")]</v>
      </c>
      <c r="M11" t="str">
        <f t="shared" si="15"/>
        <v xml:space="preserve">		public virtual string SupplierNo { get; set; }
</v>
      </c>
      <c r="N11" t="str">
        <f t="shared" si="16"/>
        <v xml:space="preserve">		[StringLength(LgaPcsStockConsts.MaxSupplierNoLength)]
		public virtual string SupplierNo { get; set; }
</v>
      </c>
      <c r="O11" t="str">
        <f t="shared" si="17"/>
        <v xml:space="preserve">		public virtual string SupplierNo { get; set; }
</v>
      </c>
      <c r="P11" t="str">
        <f t="shared" si="18"/>
        <v xml:space="preserve">							SupplierNo = o.SupplierNo,</v>
      </c>
      <c r="T11" s="69" t="str">
        <f t="shared" si="19"/>
        <v xml:space="preserve">								("SupplierNo"),</v>
      </c>
      <c r="V11" s="70" t="str">
        <f t="shared" si="20"/>
        <v xml:space="preserve">								_ =&gt; _.SupplierNo,</v>
      </c>
      <c r="W11" s="69" t="str">
        <f t="shared" si="21"/>
        <v xml:space="preserve">				.WhereIf(!string.IsNullOrWhiteSpace(input.SupplierNo), e =&gt; e.SupplierNo.Contains(input.SupplierNo))</v>
      </c>
    </row>
    <row r="12" spans="1:23" customFormat="1" ht="21" customHeight="1" x14ac:dyDescent="0.25">
      <c r="A12" t="s">
        <v>326</v>
      </c>
      <c r="B12" t="s">
        <v>321</v>
      </c>
      <c r="C12" t="s">
        <v>1</v>
      </c>
      <c r="D12" t="str">
        <f t="shared" ref="D12:D14" si="22">SUBSTITUTE(PROPER(A12),"_","")</f>
        <v>BackNo</v>
      </c>
      <c r="E12" t="str">
        <f t="shared" si="11"/>
        <v>varchar</v>
      </c>
      <c r="F12" s="7"/>
      <c r="G12" t="str">
        <f t="shared" si="12"/>
        <v>50</v>
      </c>
      <c r="H12" t="str">
        <f>+VLOOKUP(E12,'Data Type Mapping'!A:B,2,)</f>
        <v>string</v>
      </c>
      <c r="I12" t="str">
        <f t="shared" si="13"/>
        <v xml:space="preserve">		public const int MaxBackNoLength = 50;
</v>
      </c>
      <c r="J12" t="str">
        <f t="shared" si="14"/>
        <v xml:space="preserve">		[StringLength(MaxBackNoLength)]
		public virtual string BackNo { get; set; }
</v>
      </c>
      <c r="K12" s="7"/>
      <c r="L12" t="str">
        <f t="shared" ref="L12:L14" si="23">IF(K12="","",REPT(CHAR(9),1)&amp;"[Index(nameof("&amp;IF(D12="","",""&amp;D12)&amp;")"&amp;", Name="&amp;"""IX_"&amp;$B$7&amp;"_"&amp;D12&amp;""")]")</f>
        <v/>
      </c>
      <c r="M12" t="str">
        <f t="shared" si="15"/>
        <v xml:space="preserve">		public virtual string BackNo { get; set; }
</v>
      </c>
      <c r="N12" t="str">
        <f t="shared" si="16"/>
        <v xml:space="preserve">		[StringLength(LgaPcsStockConsts.MaxBackNoLength)]
		public virtual string BackNo { get; set; }
</v>
      </c>
      <c r="O12" t="str">
        <f t="shared" si="17"/>
        <v xml:space="preserve">		public virtual string BackNo { get; set; }
</v>
      </c>
      <c r="P12" t="str">
        <f t="shared" si="18"/>
        <v xml:space="preserve">							BackNo = o.BackNo,</v>
      </c>
      <c r="T12" s="69" t="str">
        <f t="shared" si="19"/>
        <v xml:space="preserve">								("BackNo"),</v>
      </c>
      <c r="V12" s="70" t="str">
        <f t="shared" si="20"/>
        <v xml:space="preserve">								_ =&gt; _.BackNo,</v>
      </c>
      <c r="W12" s="69" t="str">
        <f t="shared" si="21"/>
        <v xml:space="preserve">				.WhereIf(!string.IsNullOrWhiteSpace(input.BackNo), e =&gt; e.BackNo.Contains(input.BackNo))</v>
      </c>
    </row>
    <row r="13" spans="1:23" customFormat="1" ht="18.75" customHeight="1" x14ac:dyDescent="0.25">
      <c r="A13" t="s">
        <v>327</v>
      </c>
      <c r="B13" t="s">
        <v>342</v>
      </c>
      <c r="C13" t="s">
        <v>1</v>
      </c>
      <c r="D13" t="str">
        <f t="shared" si="22"/>
        <v>PcRackAddress</v>
      </c>
      <c r="E13" t="str">
        <f t="shared" si="11"/>
        <v>varchar</v>
      </c>
      <c r="F13" s="7"/>
      <c r="G13" t="str">
        <f t="shared" si="12"/>
        <v>200</v>
      </c>
      <c r="H13" t="str">
        <f>+VLOOKUP(E13,'Data Type Mapping'!A:B,2,)</f>
        <v>string</v>
      </c>
      <c r="I13" t="str">
        <f t="shared" si="13"/>
        <v xml:space="preserve">		public const int MaxPcRackAddressLength = 200;
</v>
      </c>
      <c r="J13" t="str">
        <f t="shared" si="14"/>
        <v xml:space="preserve">		[StringLength(MaxPcRackAddressLength)]
		public virtual string PcRackAddress { get; set; }
</v>
      </c>
      <c r="K13" s="7" t="s">
        <v>206</v>
      </c>
      <c r="L13" t="str">
        <f t="shared" si="23"/>
        <v xml:space="preserve">	[Index(nameof(PcRackAddress), Name="IX_LgaPcsStock_PcRackAddress")]</v>
      </c>
      <c r="M13" t="str">
        <f t="shared" si="15"/>
        <v xml:space="preserve">		public virtual string PcRackAddress { get; set; }
</v>
      </c>
      <c r="N13" t="str">
        <f t="shared" si="16"/>
        <v xml:space="preserve">		[StringLength(LgaPcsStockConsts.MaxPcRackAddressLength)]
		public virtual string PcRackAddress { get; set; }
</v>
      </c>
      <c r="O13" t="str">
        <f t="shared" si="17"/>
        <v xml:space="preserve">		public virtual string PcRackAddress { get; set; }
</v>
      </c>
      <c r="P13" t="str">
        <f t="shared" si="18"/>
        <v xml:space="preserve">							PcRackAddress = o.PcRackAddress,</v>
      </c>
      <c r="T13" s="69" t="str">
        <f t="shared" si="19"/>
        <v xml:space="preserve">								("PcRackAddress"),</v>
      </c>
      <c r="V13" s="70" t="str">
        <f t="shared" si="20"/>
        <v xml:space="preserve">								_ =&gt; _.PcRackAddress,</v>
      </c>
      <c r="W13" s="69" t="str">
        <f t="shared" si="21"/>
        <v xml:space="preserve">				.WhereIf(!string.IsNullOrWhiteSpace(input.PcRackAddress), e =&gt; e.PcRackAddress.Contains(input.PcRackAddress))</v>
      </c>
    </row>
    <row r="14" spans="1:23" customFormat="1" ht="18.75" customHeight="1" x14ac:dyDescent="0.25">
      <c r="A14" t="s">
        <v>328</v>
      </c>
      <c r="B14" t="s">
        <v>4</v>
      </c>
      <c r="C14" t="s">
        <v>1</v>
      </c>
      <c r="D14" t="str">
        <f t="shared" si="22"/>
        <v>UsagePerHour</v>
      </c>
      <c r="E14" t="str">
        <f t="shared" si="11"/>
        <v>int</v>
      </c>
      <c r="F14" s="7"/>
      <c r="G14" t="str">
        <f t="shared" si="12"/>
        <v/>
      </c>
      <c r="H14" t="str">
        <f>+VLOOKUP(E14,'Data Type Mapping'!A:B,2,)</f>
        <v>int</v>
      </c>
      <c r="I14" t="str">
        <f t="shared" si="13"/>
        <v/>
      </c>
      <c r="J14" t="str">
        <f t="shared" si="14"/>
        <v xml:space="preserve">		public virtual int UsagePerHour { get; set; }
</v>
      </c>
      <c r="K14" s="7"/>
      <c r="L14" t="str">
        <f t="shared" si="23"/>
        <v/>
      </c>
      <c r="M14" t="str">
        <f t="shared" si="15"/>
        <v xml:space="preserve">		public virtual int UsagePerHour { get; set; }
</v>
      </c>
      <c r="N14" t="str">
        <f t="shared" si="16"/>
        <v xml:space="preserve">		public virtual int UsagePerHour { get; set; }
</v>
      </c>
      <c r="O14" t="str">
        <f t="shared" si="17"/>
        <v xml:space="preserve">		public virtual int UsagePerHour { get; set; }
</v>
      </c>
      <c r="P14" t="str">
        <f t="shared" si="18"/>
        <v xml:space="preserve">							UsagePerHour = o.UsagePerHour,</v>
      </c>
      <c r="T14" s="69" t="str">
        <f t="shared" si="19"/>
        <v xml:space="preserve">								("UsagePerHour"),</v>
      </c>
      <c r="V14" s="70" t="str">
        <f t="shared" si="20"/>
        <v xml:space="preserve">								_ =&gt; _.UsagePerHour,</v>
      </c>
      <c r="W14" s="69" t="str">
        <f t="shared" si="21"/>
        <v/>
      </c>
    </row>
    <row r="15" spans="1:23" customFormat="1" ht="18.75" customHeight="1" x14ac:dyDescent="0.25">
      <c r="A15" t="s">
        <v>329</v>
      </c>
      <c r="B15" t="s">
        <v>4</v>
      </c>
      <c r="C15" t="s">
        <v>1</v>
      </c>
      <c r="D15" t="str">
        <f t="shared" ref="D15" si="24">SUBSTITUTE(PROPER(A15),"_","")</f>
        <v>RackCapBox</v>
      </c>
      <c r="E15" t="str">
        <f t="shared" ref="E15" si="25">IFERROR(LEFT(B15, FIND("(",B15)-1),B15)</f>
        <v>int</v>
      </c>
      <c r="F15" s="7"/>
      <c r="G15" t="str">
        <f t="shared" ref="G15" si="26">IFERROR(MID(B15,FIND("(",B15) +1, FIND(")",B15) - FIND("(",B15) - 1),"")</f>
        <v/>
      </c>
      <c r="H15" t="str">
        <f>+VLOOKUP(E15,'Data Type Mapping'!A:B,2,)</f>
        <v>int</v>
      </c>
      <c r="I15" t="str">
        <f t="shared" ref="I15" si="27">IF(H15="string",REPT(CHAR(9),2)&amp;"public const int Max"&amp;D15&amp;"Length = "&amp;G15&amp;";"&amp;$E$3,"" )</f>
        <v/>
      </c>
      <c r="J15" t="str">
        <f t="shared" ref="J15" si="28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int RackCapBox { get; set; }
</v>
      </c>
      <c r="K15" s="7"/>
      <c r="L15" t="str">
        <f t="shared" ref="L15" si="29">IF(K15="","",REPT(CHAR(9),1)&amp;"[Index(nameof("&amp;IF(D15="","",""&amp;D15)&amp;")"&amp;", Name="&amp;"""IX_"&amp;$B$7&amp;"_"&amp;D15&amp;""")]")</f>
        <v/>
      </c>
      <c r="M15" t="str">
        <f t="shared" ref="M15" si="30">REPT(CHAR(9),2)&amp;"public virtual "&amp;IF(OR(H15="DateTime",H15="TimeSpan"),H15&amp;"?",H15)&amp;IF(C15="?","? "," ")&amp;D15&amp;" { get; set; }" &amp; "
"</f>
        <v xml:space="preserve">		public virtual int RackCapBox { get; set; }
</v>
      </c>
      <c r="N15" t="str">
        <f t="shared" ref="N15" si="31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int RackCapBox { get; set; }
</v>
      </c>
      <c r="O15" t="str">
        <f t="shared" ref="O15" si="32">IF(OR(H15="string",H15="DateTime",H15="int"),REPT(CHAR(9),2)&amp;"public virtual "&amp;IF(OR(H15="DateTime",H15="TimeSpan"),H15&amp;"?",H15)&amp;IF(C15="?","? "," ")&amp;D15&amp;" { get; set; }"&amp;$E$3,"")</f>
        <v xml:space="preserve">		public virtual int RackCapBox { get; set; }
</v>
      </c>
      <c r="P15" t="str">
        <f t="shared" ref="P15" si="33">REPT(CHAR(9),7)&amp;D15&amp;" = o." &amp;D15 &amp;","</f>
        <v xml:space="preserve">							RackCapBox = o.RackCapBox,</v>
      </c>
      <c r="T15" s="69" t="str">
        <f t="shared" ref="T15" si="34">REPT(CHAR(9),8)&amp;"("""&amp;D15&amp;"""),"</f>
        <v xml:space="preserve">								("RackCapBox"),</v>
      </c>
      <c r="V15" s="70" t="str">
        <f t="shared" ref="V15" si="35">REPT(CHAR(9),8)&amp;"_ =&gt; _."&amp;D15&amp;","</f>
        <v xml:space="preserve">								_ =&gt; _.RackCapBox,</v>
      </c>
      <c r="W15" s="69" t="str">
        <f t="shared" ref="W15" si="36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t="s">
        <v>330</v>
      </c>
      <c r="B16" t="s">
        <v>321</v>
      </c>
      <c r="C16" t="s">
        <v>1</v>
      </c>
      <c r="D16" t="str">
        <f t="shared" ref="D16:D17" si="37">SUBSTITUTE(PROPER(A16),"_","")</f>
        <v>OutType</v>
      </c>
      <c r="E16" t="str">
        <f t="shared" ref="E16:E17" si="38">IFERROR(LEFT(B16, FIND("(",B16)-1),B16)</f>
        <v>varchar</v>
      </c>
      <c r="F16" s="7"/>
      <c r="G16" t="str">
        <f t="shared" ref="G16:G17" si="39">IFERROR(MID(B16,FIND("(",B16) +1, FIND(")",B16) - FIND("(",B16) - 1),"")</f>
        <v>50</v>
      </c>
      <c r="H16" t="str">
        <f>+VLOOKUP(E16,'Data Type Mapping'!A:B,2,)</f>
        <v>string</v>
      </c>
      <c r="I16" t="str">
        <f t="shared" ref="I16:I17" si="40">IF(H16="string",REPT(CHAR(9),2)&amp;"public const int Max"&amp;D16&amp;"Length = "&amp;G16&amp;";"&amp;$E$3,"" )</f>
        <v xml:space="preserve">		public const int MaxOutTypeLength = 50;
</v>
      </c>
      <c r="J16" t="str">
        <f t="shared" ref="J16:J17" si="41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[StringLength(MaxOutTypeLength)]
		public virtual string OutType { get; set; }
</v>
      </c>
      <c r="K16" s="7"/>
      <c r="L16" t="str">
        <f t="shared" ref="L16:L17" si="42">IF(K16="","",REPT(CHAR(9),1)&amp;"[Index(nameof("&amp;IF(D16="","",""&amp;D16)&amp;")"&amp;", Name="&amp;"""IX_"&amp;$B$7&amp;"_"&amp;D16&amp;""")]")</f>
        <v/>
      </c>
      <c r="M16" t="str">
        <f t="shared" ref="M16:M17" si="43">REPT(CHAR(9),2)&amp;"public virtual "&amp;IF(OR(H16="DateTime",H16="TimeSpan"),H16&amp;"?",H16)&amp;IF(C16="?","? "," ")&amp;D16&amp;" { get; set; }" &amp; "
"</f>
        <v xml:space="preserve">		public virtual string OutType { get; set; }
</v>
      </c>
      <c r="N16" t="str">
        <f t="shared" ref="N16:N17" si="44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[StringLength(LgaPcsStockConsts.MaxOutTypeLength)]
		public virtual string OutType { get; set; }
</v>
      </c>
      <c r="O16" t="str">
        <f t="shared" ref="O16:O17" si="45">IF(OR(H16="string",H16="DateTime",H16="int"),REPT(CHAR(9),2)&amp;"public virtual "&amp;IF(OR(H16="DateTime",H16="TimeSpan"),H16&amp;"?",H16)&amp;IF(C16="?","? "," ")&amp;D16&amp;" { get; set; }"&amp;$E$3,"")</f>
        <v xml:space="preserve">		public virtual string OutType { get; set; }
</v>
      </c>
      <c r="P16" t="str">
        <f t="shared" ref="P16:P17" si="46">REPT(CHAR(9),7)&amp;D16&amp;" = o." &amp;D16 &amp;","</f>
        <v xml:space="preserve">							OutType = o.OutType,</v>
      </c>
      <c r="T16" s="69" t="str">
        <f t="shared" ref="T16:T17" si="47">REPT(CHAR(9),8)&amp;"("""&amp;D16&amp;"""),"</f>
        <v xml:space="preserve">								("OutType"),</v>
      </c>
      <c r="V16" s="70" t="str">
        <f t="shared" ref="V16:V17" si="48">REPT(CHAR(9),8)&amp;"_ =&gt; _."&amp;D16&amp;","</f>
        <v xml:space="preserve">								_ =&gt; _.OutType,</v>
      </c>
      <c r="W16" s="69" t="str">
        <f t="shared" ref="W16:W17" si="49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.WhereIf(!string.IsNullOrWhiteSpace(input.OutType), e =&gt; e.OutType.Contains(input.OutType))</v>
      </c>
    </row>
    <row r="17" spans="1:23" customFormat="1" ht="18.75" customHeight="1" x14ac:dyDescent="0.25">
      <c r="A17" t="s">
        <v>331</v>
      </c>
      <c r="B17" t="s">
        <v>4</v>
      </c>
      <c r="C17" t="s">
        <v>1</v>
      </c>
      <c r="D17" t="str">
        <f t="shared" si="37"/>
        <v>StockQty</v>
      </c>
      <c r="E17" t="str">
        <f t="shared" si="38"/>
        <v>int</v>
      </c>
      <c r="F17" s="7"/>
      <c r="G17" t="str">
        <f t="shared" si="39"/>
        <v/>
      </c>
      <c r="H17" t="str">
        <f>+VLOOKUP(E17,'Data Type Mapping'!A:B,2,)</f>
        <v>int</v>
      </c>
      <c r="I17" t="str">
        <f t="shared" si="40"/>
        <v/>
      </c>
      <c r="J17" t="str">
        <f t="shared" si="41"/>
        <v xml:space="preserve">		public virtual int StockQty { get; set; }
</v>
      </c>
      <c r="K17" s="7"/>
      <c r="L17" t="str">
        <f t="shared" si="42"/>
        <v/>
      </c>
      <c r="M17" t="str">
        <f t="shared" si="43"/>
        <v xml:space="preserve">		public virtual int StockQty { get; set; }
</v>
      </c>
      <c r="N17" t="str">
        <f t="shared" si="44"/>
        <v xml:space="preserve">		public virtual int StockQty { get; set; }
</v>
      </c>
      <c r="O17" t="str">
        <f t="shared" si="45"/>
        <v xml:space="preserve">		public virtual int StockQty { get; set; }
</v>
      </c>
      <c r="P17" t="str">
        <f t="shared" si="46"/>
        <v xml:space="preserve">							StockQty = o.StockQty,</v>
      </c>
      <c r="T17" s="69" t="str">
        <f t="shared" si="47"/>
        <v xml:space="preserve">								("StockQty"),</v>
      </c>
      <c r="V17" s="70" t="str">
        <f t="shared" si="48"/>
        <v xml:space="preserve">								_ =&gt; _.StockQty,</v>
      </c>
      <c r="W17" s="69" t="str">
        <f t="shared" si="49"/>
        <v/>
      </c>
    </row>
    <row r="18" spans="1:23" customFormat="1" ht="22.5" customHeight="1" x14ac:dyDescent="0.25">
      <c r="A18" t="s">
        <v>332</v>
      </c>
      <c r="B18" t="s">
        <v>4</v>
      </c>
      <c r="C18" t="s">
        <v>1</v>
      </c>
      <c r="D18" t="str">
        <f>SUBSTITUTE(PROPER(A18),"_","")</f>
        <v>BoxQty</v>
      </c>
      <c r="E18" t="str">
        <f t="shared" si="11"/>
        <v>int</v>
      </c>
      <c r="F18" s="7"/>
      <c r="G18" t="str">
        <f t="shared" si="12"/>
        <v/>
      </c>
      <c r="H18" t="str">
        <f>+VLOOKUP(E18,'Data Type Mapping'!A:B,2,)</f>
        <v>int</v>
      </c>
      <c r="I18" t="str">
        <f t="shared" si="13"/>
        <v/>
      </c>
      <c r="J18" t="str">
        <f t="shared" si="14"/>
        <v xml:space="preserve">		public virtual int BoxQty { get; set; }
</v>
      </c>
      <c r="K18" s="7"/>
      <c r="L18" t="str">
        <f>IF(K18="","",REPT(CHAR(9),1)&amp;"[Index(nameof("&amp;IF(D18="","",""&amp;D18)&amp;")"&amp;", Name="&amp;"""IX_"&amp;$B$7&amp;"_"&amp;D18&amp;""")]")</f>
        <v/>
      </c>
      <c r="M18" t="str">
        <f t="shared" si="15"/>
        <v xml:space="preserve">		public virtual int BoxQty { get; set; }
</v>
      </c>
      <c r="N18" t="str">
        <f t="shared" si="16"/>
        <v xml:space="preserve">		public virtual int BoxQty { get; set; }
</v>
      </c>
      <c r="O18" t="str">
        <f t="shared" si="17"/>
        <v xml:space="preserve">		public virtual int BoxQty { get; set; }
</v>
      </c>
      <c r="P18" t="str">
        <f t="shared" si="18"/>
        <v xml:space="preserve">							BoxQty = o.BoxQty,</v>
      </c>
      <c r="T18" s="69" t="str">
        <f t="shared" si="19"/>
        <v xml:space="preserve">								("BoxQty"),</v>
      </c>
      <c r="V18" s="70" t="str">
        <f t="shared" si="20"/>
        <v xml:space="preserve">								_ =&gt; _.BoxQty,</v>
      </c>
      <c r="W18" s="69" t="str">
        <f t="shared" si="21"/>
        <v/>
      </c>
    </row>
    <row r="19" spans="1:23" customFormat="1" ht="22.5" customHeight="1" x14ac:dyDescent="0.25">
      <c r="A19" t="s">
        <v>340</v>
      </c>
      <c r="B19" t="s">
        <v>341</v>
      </c>
      <c r="C19" t="s">
        <v>1</v>
      </c>
      <c r="D19" t="str">
        <f>SUBSTITUTE(PROPER(A19),"_","")</f>
        <v>IsActive</v>
      </c>
      <c r="E19" t="str">
        <f t="shared" si="11"/>
        <v>varchar</v>
      </c>
      <c r="F19" s="7"/>
      <c r="G19" t="str">
        <f t="shared" si="12"/>
        <v>1</v>
      </c>
      <c r="H19" t="str">
        <f>+VLOOKUP(E19,'[1]Data Type Mapping'!A:B,2,)</f>
        <v>string</v>
      </c>
      <c r="I19" t="str">
        <f t="shared" si="13"/>
        <v xml:space="preserve">		public const int MaxIsActiveLength = 1;
</v>
      </c>
      <c r="J19" t="str">
        <f t="shared" si="14"/>
        <v xml:space="preserve">		[StringLength(MaxIsActiveLength)]
		public virtual string IsActive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[Index(nameof(IsActive), Name="IX_LgaPcsStock_IsActive")]</v>
      </c>
      <c r="M19" t="str">
        <f t="shared" si="15"/>
        <v xml:space="preserve">		public virtual string IsActive { get; set; }
</v>
      </c>
      <c r="N19" t="str">
        <f t="shared" si="16"/>
        <v xml:space="preserve">		[StringLength(LgaPcsStockConsts.MaxIsActiveLength)]
		public virtual string IsActive { get; set; }
</v>
      </c>
      <c r="O19" t="str">
        <f t="shared" si="17"/>
        <v xml:space="preserve">		public virtual string IsActive { get; set; }
</v>
      </c>
      <c r="P19" t="str">
        <f t="shared" si="18"/>
        <v xml:space="preserve">							IsActive = o.IsActive,</v>
      </c>
      <c r="T19" s="69" t="str">
        <f t="shared" si="19"/>
        <v xml:space="preserve">								("IsActive"),</v>
      </c>
      <c r="V19" s="70" t="str">
        <f t="shared" si="20"/>
        <v xml:space="preserve">								_ =&gt; _.IsActive,</v>
      </c>
      <c r="W19" s="69" t="str">
        <f t="shared" si="21"/>
        <v xml:space="preserve">				.WhereIf(!string.IsNullOrWhiteSpace(input.IsActive), e =&gt; e.IsActive.Contains(input.IsActive))</v>
      </c>
    </row>
    <row r="21" spans="1:23" ht="45.75" customHeight="1" x14ac:dyDescent="0.25">
      <c r="H21" s="12"/>
      <c r="I21" s="34" t="str">
        <f ca="1">TEXTJOIN2("
", TRUE,INDIRECT( $H$1):INDIRECT( $H$3))</f>
        <v xml:space="preserve">		public const int MaxPartNoLength = 50;
		public const int MaxPartNameLength = 500;
		public const int MaxSupplierNoLength = 50;
		public const int MaxBackNoLength = 50;
		public const int MaxPcRackAddressLength = 200;
		public const int MaxOutTypeLength = 50;
		public const int MaxIsActiveLength = 1;
</v>
      </c>
      <c r="J21" s="33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[StringLength(MaxSupplierNoLength)]
		public virtual string SupplierNo { get; set; }
		[StringLength(MaxBackNoLength)]
		public virtual string BackNo { get; set; }
		[StringLength(MaxPcRackAddressLength)]
		public virtual string PcRackAddress { get; set; }
		public virtual int UsagePerHour { get; set; }
		public virtual int RackCapBox { get; set; }
		[StringLength(MaxOutTypeLength)]
		public virtual string OutType { get; set; }
		public virtual int StockQty { get; set; }
		public virtual int BoxQty { get; set; }
		[StringLength(MaxIsActiveLength)]
		public virtual string IsActive { get; set; }
</v>
      </c>
      <c r="K21" s="35" t="str">
        <f ca="1">TEXTJOIN2("
", TRUE,INDIRECT( $J$1):INDIRECT( $J$3))</f>
        <v xml:space="preserve">	[Index(nameof(PartNo), Name="IX_LgaPcsStock_PartNo")]
	[Index(nameof(SupplierNo), Name="IX_LgaPcsStock_SupplierNo")]
	[Index(nameof(PcRackAddress), Name="IX_LgaPcsStock_PcRackAddress")]
	[Index(nameof(IsActive), Name="IX_LgaPcsStock_IsActive")]</v>
      </c>
      <c r="L21" s="13" t="s">
        <v>60</v>
      </c>
      <c r="M21" s="36" t="str">
        <f ca="1">TEXTJOIN2("
",TRUE,INDIRECT( $L$1):INDIRECT($L$3))</f>
        <v xml:space="preserve">		public virtual string PartNo { get; set; }
		public virtual string PartName { get; set; }
		public virtual string SupplierNo { get; set; }
		public virtual string BackNo { get; set; }
		public virtual string PcRackAddress { get; set; }
		public virtual int UsagePerHour { get; set; }
		public virtual int RackCapBox { get; set; }
		public virtual string OutType { get; set; }
		public virtual int StockQty { get; set; }
		public virtual int BoxQty { get; set; }
		public virtual string IsActive { get; set; }
</v>
      </c>
      <c r="N21" s="33" t="str">
        <f ca="1">TEXTJOIN2("
",TRUE,INDIRECT( $M$1):INDIRECT($M$3))</f>
        <v xml:space="preserve">		[StringLength(LgaPcsStockConsts.MaxPartNoLength)]
		public virtual string PartNo { get; set; }
		[StringLength(LgaPcsStockConsts.MaxPartNameLength)]
		public virtual string PartName { get; set; }
		[StringLength(LgaPcsStockConsts.MaxSupplierNoLength)]
		public virtual string SupplierNo { get; set; }
		[StringLength(LgaPcsStockConsts.MaxBackNoLength)]
		public virtual string BackNo { get; set; }
		[StringLength(LgaPcsStockConsts.MaxPcRackAddressLength)]
		public virtual string PcRackAddress { get; set; }
		public virtual int UsagePerHour { get; set; }
		public virtual int RackCapBox { get; set; }
		[StringLength(LgaPcsStockConsts.MaxOutTypeLength)]
		public virtual string OutType { get; set; }
		public virtual int StockQty { get; set; }
		public virtual int BoxQty { get; set; }
		[StringLength(LgaPcsStockConsts.MaxIsActiveLength)]
		public virtual string IsActive { get; set; }
</v>
      </c>
      <c r="O21" s="33" t="str">
        <f ca="1">TEXTJOIN2("
",TRUE,INDIRECT( $N$1):INDIRECT($N$3))</f>
        <v xml:space="preserve">		public virtual string PartNo { get; set; }
		public virtual string PartName { get; set; }
		public virtual string SupplierNo { get; set; }
		public virtual string BackNo { get; set; }
		public virtual string PcRackAddress { get; set; }
		public virtual int UsagePerHour { get; set; }
		public virtual int RackCapBox { get; set; }
		public virtual string OutType { get; set; }
		public virtual int StockQty { get; set; }
		public virtual int BoxQty { get; set; }
		public virtual string IsActive { get; set; }
</v>
      </c>
      <c r="P21" s="9" t="str">
        <f ca="1">TEXTJOIN2("
",TRUE,INDIRECT( $O$1):INDIRECT($O$3))</f>
        <v xml:space="preserve">							PartNo = o.PartNo,
							PartName = o.PartName,
							SupplierNo = o.SupplierNo,
							BackNo = o.BackNo,
							PcRackAddress = o.PcRackAddress,
							UsagePerHour = o.UsagePerHour,
							RackCapBox = o.RackCapBox,
							OutType = o.OutType,
							StockQty = o.StockQty,
							BoxQty = o.BoxQty,
							IsActive = o.IsActive,</v>
      </c>
      <c r="T21" s="9" t="str">
        <f ca="1">TEXTJOIN2("
",TRUE,INDIRECT( $T$2):INDIRECT($T$3))</f>
        <v xml:space="preserve">								("PartNo"),
								("PartName"),
								("SupplierNo"),
								("BackNo"),
								("PcRackAddress"),
								("UsagePerHour"),
								("RackCapBox"),
								("OutType"),
								("StockQty"),
								("BoxQty"),
								("IsActive"),</v>
      </c>
      <c r="V21" s="9" t="str">
        <f ca="1">TEXTJOIN2("
",TRUE,INDIRECT( $V$2):INDIRECT($V$3))</f>
        <v xml:space="preserve">								_ =&gt; _.PartNo,
								_ =&gt; _.PartName,
								_ =&gt; _.SupplierNo,
								_ =&gt; _.BackNo,
								_ =&gt; _.PcRackAddress,
								_ =&gt; _.UsagePerHour,
								_ =&gt; _.RackCapBox,
								_ =&gt; _.OutType,
								_ =&gt; _.StockQty,
								_ =&gt; _.BoxQty,
								_ =&gt; _.IsActive,</v>
      </c>
      <c r="W21" s="9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				.WhereIf(!string.IsNullOrWhiteSpace(input.SupplierNo), e =&gt; e.SupplierNo.Contains(input.SupplierNo))
				.WhereIf(!string.IsNullOrWhiteSpace(input.BackNo), e =&gt; e.BackNo.Contains(input.BackNo))
				.WhereIf(!string.IsNullOrWhiteSpace(input.PcRackAddress), e =&gt; e.PcRackAddress.Contains(input.PcRackAddress))
				.WhereIf(!string.IsNullOrWhiteSpace(input.OutType), e =&gt; e.OutType.Contains(input.OutType))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7"/>
  <sheetViews>
    <sheetView zoomScaleNormal="100" workbookViewId="0">
      <selection activeCell="B2" sqref="B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41" t="s">
        <v>212</v>
      </c>
      <c r="B1" s="42" t="s">
        <v>333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Pcs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pcs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LgaPcsStock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Stock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stock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LgaPcsStockDto, LgaPcsStockServiceProxy } from '@shared/service-proxies/service-proxies';
import { finalize } from 'rxjs/internal/operators/finalize';
import { CreateOrEditStockModalComponent } from './create-or-edit-stock-modal.component';
import { DatePipe } from '@angular/common';
import { FileDownloadService } from '@shared/utils/file-download.service';
import ceil from 'lodash-es/ceil';
import { Paginator } from 'primeng/paginator';
@Component({
    templateUrl: './stock.component.html',
    styleUrls: ['./stock.component.less'],
})
export class StockComponent extends AppComponentBase implements OnInit {
    @ViewChild('createOrEditModalStock', { static: true }) createOrEditModalStock:| CreateOrEditStockModalComponent|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LgaPcsStockDto = new LgaPcsStockDto();
    saveSelectedRow: LgaPcsStockDto = new LgaPcsStockDto();
    datas: LgaPcsStockDto = new LgaPcsStockDto();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partName : string = '' ; 
	supplierNo : string = '' ; 
	backNo : string = '' ; 
	pcRackAddress : string = '' ; 
	usagePerHour : number = 0 ;
	rackCapBox : number = 0 ;
	outType : string = '' ; 
	stockQty : number = 0 ;
	boxQty : number = 0 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LgaPcsStockServiceProxy,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this.l('Supplier No'),headerTooltip: this.l('Supplier No'),field: 'supplierNo',flex: 1},
			{headerName: this.l('Back No'),headerTooltip: this.l('Back No'),field: 'backNo',flex: 1},
			{headerName: this.l('Pc Rack Address'),headerTooltip: this.l('Pc Rack Address'),field: 'pcRackAddress',flex: 1},
			{headerName: this.l('Usage Per Hour'),headerTooltip: this.l('Usage Per Hour'),field: 'usagePerHour',flex: 1},
			{headerName: this.l('Rack Cap Box'),headerTooltip: this.l('Rack Cap Box'),field: 'rackCapBox',flex: 1},
			{headerName: this.l('Out Type'),headerTooltip: this.l('Out Type'),field: 'outType',flex: 1},
			{headerName: this.l('Stock Qty'),headerTooltip: this.l('Stock Qty'),field: 'stockQty',flex: 1},
			{headerName: this.l('Box Qty'),headerTooltip: this.l('Box Qty'),field: 'boxQty',flex: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this.supplierNo,
			this.backNo,
			this.pcRackAddress,
			this.usagePerHour,
			this.rackCapBox,
			this.outType,
			this.stockQty,
			this.boxQty,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this.partName = '',
		this.supplierNo = '',
		this.backNo = '',
		this.pcRackAddress = '',
		this.usagePerHour = 0,
		this.rackCapBox = 0,
		this.outType = '',
		this.stockQty = 0,
		this.boxQty = 0,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this.supplierNo,
			this.backNo,
			this.pcRackAddress,
			this.usagePerHour,
			this.rackCapBox,
			this.outType,
			this.stockQty,
			this.boxQty,
			'',
            this.paginationParams.skipCount,
            this.paginationParams.pageSize
        );
    }
    onChangeRowSelection(params: { api: { getSelectedRows: () =&gt; LgaPcsStockDto[] } }) {
        this.saveSelectedRow = params.api.getSelectedRows()[0] ?? new LgaPcsStockDto();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LgaPcsStockDto):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this._service.getStockToExcel(
			this.partNo,
			this.partName,
			this.supplierNo,
			this.backNo,
			this.pcRackAddress,
			this.usagePerHour,
			this.rackCapBox,
			this.outType,
			this.stockQty,
			this.boxQty,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PCS Stock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[(ngModel)]='pcRackAddress' name='pcRackAddress'
									class='form-control' [placeholder]="l('Pc Rack Address')"
									type='text' (keyup.enter)='searchDatas()'&gt;
								&lt;/div&gt;
								&lt;div class='input-search'&gt;
									&lt;input [(ngModel)]='outType' name='outType'
									class='form-control' [placeholder]="l('Out Type')"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&lt;create-or-edit-stock-modal
    #createOrEditModalStock
    (modalSave)="callBackDataGrid(dataParams)"
    (modalClose)="onChangeRowSelection(dataParams)"
&gt;
&lt;/create-or-edit-stock-modal&gt;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Stock')}}&lt;/h3&gt;
                    &lt;h3 *ngIf="!rowdata.id"&gt;{{('Create New 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title'&gt;Pc Rack Address&lt;/label&gt;
						&lt;input type='text' class='col-md-10 form-control input-text' name='PcRackAddress' [(ngModel)]='rowdata.pcRackAddress'&gt;
					&lt;/div&gt;
					&lt;div class='col-md-12 form-group row'&gt;
						&lt;label class='col-md-2 form-control title'&gt;Usage Per Hour&lt;/label&gt;
						&lt;input type='number' class='col-md-10 form-control input-text' name='UsagePerHour' [(ngModel)]='rowdata.usagePerHour'&gt;
					&lt;/div&gt;
					&lt;div class='col-md-12 form-group row'&gt;
						&lt;label class='col-md-2 form-control title'&gt;Rack Cap Box&lt;/label&gt;
						&lt;input type='number' class='col-md-10 form-control input-text' name='RackCapBox' [(ngModel)]='rowdata.rackCapBox'&gt;
					&lt;/div&gt;
					&lt;div class='col-md-12 form-group row'&gt;
						&lt;label class='col-md-2 form-control title'&gt;Out Type&lt;/label&gt;
						&lt;input type='text' class='col-md-10 form-control input-text' name='OutType' [(ngModel)]='rowdata.outType'&gt;
					&lt;/div&gt;
					&lt;div class='col-md-12 form-group row'&gt;
						&lt;label class='col-md-2 form-control title'&gt;Stock Qty&lt;/label&gt;
						&lt;input type='number' class='col-md-10 form-control input-text' name='StockQty' [(ngModel)]='rowdata.stockQty'&gt;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CreateOrEditLgaPcsStockDto, LgaPcsStockServiceProxy } from '@shared/service-proxies/service-proxies';
import { BsDatepickerDirective } from 'ngx-bootstrap/datepicker';
@Component({
    selector: 'create-or-edit-stock-modal',
    templateUrl: './create-or-edit-stock-modal.component.html',
    styleUrls: ['./create-or-edit-stock-modal.component.less']
    })
export class CreateOrEditStockModalComponent extends AppComponentBase {
    @ViewChild('createOrEditModalStock',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CreateOrEditLgaPcsStockDto = new CreateOrEditLgaPcsStockDto();
    active: boolean = false;
    saving: boolean = false;
    _: boolean;
    constructor(
        injector: Injector,
        private _mstwptStockService: LgaPcsStockServiceProxy,
    ) 
    {
        super(injector);
    }
    show(rowdata?: CreateOrEditLgaPcsStockDto): void {
        if (!rowdata) this.rowdata = new CreateOrEditLgaPcsStockDto();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StockRoutingModule } from './stock-routing.module';
import { StockComponent } from './stock.component';
import { CreateOrEditStockModalComponent } from './create-or-edit-stock-modal.component';
@NgModule({
    declarations: [
       StockComponent, 
        CreateOrEditStockModalComponent
    ],
    imports: [
        AppSharedModule, StockRoutingModule]
})
export class StockModule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StockComponent } from './stock.component';
const routes: Routes = [{
    path: '',
    component: StockComponent,
    pathMatch: 'full'
}];
@NgModule({
    imports: [RouterModule.forChild(routes)],
    exports: [RouterModule],
})
export class StockRoutingModule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AppMenuItem("Stock", "Pages.LogA.Pcs.Stock", "flaticon-book",   "/app/main/loga/pcs/stock"),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'loga/pcs/stock',
    loadChildren: () =&gt; import('./loga/pcs/stock/stock.module').then(m =&gt; m.StockModule),
    data: { permission: 'Pages.LogA.Pcs.Stock' }
},</v>
      </c>
      <c r="R10" s="50" t="str">
        <f>SUBSTITUTE(R9,"MstWptCalendar",$B$6)</f>
        <v>ApiServiceProxies.LgaPcsStockServiceProxy,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H24</v>
      </c>
      <c r="I12" s="31" t="str">
        <f>"I"&amp;COUNTA($A:$A)</f>
        <v>I24</v>
      </c>
      <c r="J12" s="31"/>
      <c r="K12" s="31" t="str">
        <f>"K"&amp;COUNTA($A:$A)</f>
        <v>K24</v>
      </c>
      <c r="L12" s="31" t="str">
        <f>"L"&amp;COUNTA($A:$A)</f>
        <v>L24</v>
      </c>
      <c r="M12" s="31"/>
      <c r="N12" s="31"/>
      <c r="O12" s="31"/>
      <c r="P12" s="31"/>
      <c r="Q12" s="31"/>
      <c r="R12" s="31"/>
      <c r="S12" s="31" t="str">
        <f>"S"&amp;COUNTA($A:$A)</f>
        <v>S24</v>
      </c>
      <c r="T12" s="31" t="str">
        <f>"T"&amp;COUNTA($A:$A)</f>
        <v>T24</v>
      </c>
      <c r="U12" s="31" t="str">
        <f>"U"&amp;COUNTA($A:$A)</f>
        <v>U24</v>
      </c>
      <c r="V12" s="31" t="str">
        <f>"V"&amp;COUNTA($A:$A)</f>
        <v>V24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this.l('Supplier No'),headerTooltip: this.l('Supplier No'),field: 'supplierNo',flex: 1},
			{headerName: this.l('Back No'),headerTooltip: this.l('Back No'),field: 'backNo',flex: 1},
			{headerName: this.l('Pc Rack Address'),headerTooltip: this.l('Pc Rack Address'),field: 'pcRackAddress',flex: 1},
			{headerName: this.l('Usage Per Hour'),headerTooltip: this.l('Usage Per Hour'),field: 'usagePerHour',flex: 1},
			{headerName: this.l('Rack Cap Box'),headerTooltip: this.l('Rack Cap Box'),field: 'rackCapBox',flex: 1},
			{headerName: this.l('Out Type'),headerTooltip: this.l('Out Type'),field: 'outType',flex: 1},
			{headerName: this.l('Stock Qty'),headerTooltip: this.l('Stock Qty'),field: 'stockQty',flex: 1},
			{headerName: this.l('Box Qty'),headerTooltip: this.l('Box Qty'),field: 'boxQty',flex: 1},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[(ngModel)]='backNo' name='backNo'
									class='form-control' [placeholder]="l('Back No')"
									type='text' (keyup.enter)='searchDatas()'&gt;
								&lt;/div&gt;
								&lt;div class='input-search'&gt;
									&lt;input [(ngModel)]='pcRackAddress' name='pcRackAddress'
									class='form-control' [placeholder]="l('Pc Rack Address')"
									type='text' (keyup.enter)='searchDatas()'&gt;
								&lt;/div&gt;
								&lt;div class='input-search'&gt;
									&lt;input [(ngModel)]='outType' name='outType'
									class='form-control' [placeholder]="l('Out Type')"
									type='text' (keyup.enter)='searchDatas()'&gt;
								&lt;/div&gt;
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title'&gt;Back No&lt;/label&gt;
						&lt;input type='text' class='col-md-10 form-control input-text' name='BackNo' [(ngModel)]='rowdata.backNo'&gt;
					&lt;/div&gt;
					&lt;div class='col-md-12 form-group row'&gt;
						&lt;label class='col-md-2 form-control title'&gt;Pc Rack Address&lt;/label&gt;
						&lt;input type='text' class='col-md-10 form-control input-text' name='PcRackAddress' [(ngModel)]='rowdata.pcRackAddress'&gt;
					&lt;/div&gt;
					&lt;div class='col-md-12 form-group row'&gt;
						&lt;label class='col-md-2 form-control title'&gt;Usage Per Hour&lt;/label&gt;
						&lt;input type='number' class='col-md-10 form-control input-text' name='UsagePerHour' [(ngModel)]='rowdata.usagePerHour'&gt;
					&lt;/div&gt;
					&lt;div class='col-md-12 form-group row'&gt;
						&lt;label class='col-md-2 form-control title'&gt;Rack Cap Box&lt;/label&gt;
						&lt;input type='number' class='col-md-10 form-control input-text' name='RackCapBox' [(ngModel)]='rowdata.rackCapBox'&gt;
					&lt;/div&gt;
					&lt;div class='col-md-12 form-group row'&gt;
						&lt;label class='col-md-2 form-control title'&gt;Out Type&lt;/label&gt;
						&lt;input type='text' class='col-md-10 form-control input-text' name='OutType' [(ngModel)]='rowdata.outType'&gt;
					&lt;/div&gt;
					&lt;div class='col-md-12 form-group row'&gt;
						&lt;label class='col-md-2 form-control title'&gt;Stock Qty&lt;/label&gt;
						&lt;input type='number' class='col-md-10 form-control input-text' name='StockQty' [(ngModel)]='rowdata.stockQty'&gt;
					&lt;/div&gt;
					&lt;div class='col-md-12 form-group row'&gt;
						&lt;label class='col-md-2 form-control title'&gt;Box Qty&lt;/label&gt;
						&lt;input type='number' class='col-md-10 form-control input-text' name='BoxQty' [(ngModel)]='rowdata.boxQty'&gt;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partNo : string = '' ; 
partName : string = '' ; 
	supplierNo : string = '' ; 
	backNo : string = '' ; 
	pcRackAddress : string = '' ; 
	usagePerHour : number = 0 ;
	rackCapBox : number = 0 ;
	outType : string = '' ; 
	stockQty : number = 0 ;
	boxQty : number = 0 ;</v>
      </c>
      <c r="T13" s="68" t="str">
        <f ca="1">TEXTJOIN2("
",TRUE,INDIRECT(T11):INDIRECT(T12))</f>
        <v xml:space="preserve">			this.partNo,
			this.partName,
			this.supplierNo,
			this.backNo,
			this.pcRackAddress,
			this.usagePerHour,
			this.rackCapBox,
			this.outType,
			this.stockQty,
			this.boxQty,</v>
      </c>
      <c r="U13" s="68" t="str">
        <f ca="1">TEXTJOIN2("
",TRUE,INDIRECT(U11):INDIRECT(U12))</f>
        <v xml:space="preserve">		this.partNo = '',
this.partName = '',
		this.supplierNo = '',
		this.backNo = '',
		this.pcRackAddress = '',
		this.usagePerHour = 0,
		this.rackCapBox = 0,
		this.outType = '',
		this.stockQty = 0,
		this.boxQty = 0,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stock.component.ts</v>
      </c>
      <c r="I14" s="40" t="str">
        <f>B8&amp;".component.html"</f>
        <v>stock.component.html</v>
      </c>
      <c r="J14" s="39" t="str">
        <f>B8&amp;".component.less"</f>
        <v>stock.component.less</v>
      </c>
      <c r="K14" s="40" t="str">
        <f>"create-or-edit-"&amp;B8&amp;"-modal.component.html"</f>
        <v>create-or-edit-stock-modal.component.html</v>
      </c>
      <c r="L14" s="40" t="str">
        <f>"create-or-edit-"&amp;B8&amp;"-modal.component.ts"</f>
        <v>create-or-edit-stock-modal.component.ts</v>
      </c>
      <c r="M14" s="40" t="str">
        <f>"create-or-edit-"&amp;B8&amp;"-modal.component.less"</f>
        <v>create-or-edit-stock-modal.component.less</v>
      </c>
      <c r="N14" s="40" t="str">
        <f>B8&amp;".module.ts"</f>
        <v>stock.module.ts</v>
      </c>
      <c r="O14" s="40" t="str">
        <f>B8&amp;"-routing.module.ts"</f>
        <v>stock-routing.module.ts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25">
      <c r="A15" s="31" t="s">
        <v>325</v>
      </c>
      <c r="B15" s="31" t="str">
        <f>SUBSTITUTE(PROPER(A15),"_","")</f>
        <v>PartNo</v>
      </c>
      <c r="C15" s="31" t="str">
        <f>SUBSTITUTE(PROPER(A15),"_"," ")</f>
        <v>Part No</v>
      </c>
      <c r="D15" s="31" t="str">
        <f>LOWER(LEFT(B15,1))&amp;RIGHT(B15,LEN(B15) - 1)</f>
        <v>partNo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partNo : string = '' ; </v>
      </c>
      <c r="T15" s="31" t="str">
        <f>REPT(CHAR(9),3)&amp;"this."&amp;D15&amp;","</f>
        <v xml:space="preserve">			this.partNo,</v>
      </c>
      <c r="U15" s="31" t="str">
        <f>IF(E15="int",REPT(CHAR(9),2)&amp;"this."&amp;D15&amp;" = 0,",REPT(CHAR(9),2)&amp;"this."&amp;D15&amp;" = '',")</f>
        <v xml:space="preserve">		this.partNo = '',</v>
      </c>
      <c r="V15" s="31" t="str">
        <f>IF(AND(E15="string",F15="1"),D15,"")</f>
        <v/>
      </c>
    </row>
    <row r="16" spans="1:22" ht="18" customHeight="1" x14ac:dyDescent="0.25">
      <c r="A16" s="72" t="s">
        <v>322</v>
      </c>
      <c r="B16" s="31" t="str">
        <f>SUBSTITUTE(PROPER(A16),"_","")</f>
        <v>PartName</v>
      </c>
      <c r="C16" s="31" t="str">
        <f>SUBSTITUTE(PROPER(A16),"_"," ")</f>
        <v>Part Name</v>
      </c>
      <c r="D16" s="31" t="str">
        <f>LOWER(LEFT(B16,1))&amp;RIGHT(B16,LEN(B16) - 1)</f>
        <v>partName</v>
      </c>
      <c r="E16" s="31" t="str">
        <f>A.Backend!H10</f>
        <v>string</v>
      </c>
      <c r="F16" s="31" t="str">
        <f>A.Backend!G10</f>
        <v>500</v>
      </c>
      <c r="G16" s="31" t="str">
        <f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Name'),headerTooltip: this.l('Part Name'),field: 'partName',flex: 1},</v>
      </c>
      <c r="I16" s="38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31"/>
      <c r="K16" s="38" t="str">
        <f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 xml:space="preserve">partName : string = '' ; </v>
      </c>
      <c r="T16" s="31" t="str">
        <f>REPT(CHAR(9),3)&amp;"this."&amp;D16&amp;","</f>
        <v xml:space="preserve">			this.partName,</v>
      </c>
      <c r="U16" s="31" t="str">
        <f>IF(E16="int","this."&amp;D16&amp;" = 0,","this."&amp;D16&amp;" = '',")</f>
        <v>this.partName = '',</v>
      </c>
      <c r="V16" s="31" t="str">
        <f>IF(AND(E16="string",F16="1"),D16,"")</f>
        <v/>
      </c>
    </row>
    <row r="17" spans="1:22" ht="15" customHeight="1" x14ac:dyDescent="0.25">
      <c r="A17" s="31" t="s">
        <v>334</v>
      </c>
      <c r="B17" s="31" t="str">
        <f t="shared" ref="B17:B21" si="0">SUBSTITUTE(PROPER(A17),"_","")</f>
        <v>SupplierNo</v>
      </c>
      <c r="C17" s="31" t="str">
        <f t="shared" ref="C17:C21" si="1">SUBSTITUTE(PROPER(A17),"_"," ")</f>
        <v>Supplier No</v>
      </c>
      <c r="D17" s="31" t="str">
        <f t="shared" ref="D17:D21" si="2">LOWER(LEFT(B17,1))&amp;RIGHT(B17,LEN(B17) - 1)</f>
        <v>supplierNo</v>
      </c>
      <c r="E17" s="31" t="str">
        <f>A.Backend!H11</f>
        <v>string</v>
      </c>
      <c r="F17" s="31" t="str">
        <f>A.Backend!G11</f>
        <v>50</v>
      </c>
      <c r="G17" s="31" t="str">
        <f t="shared" ref="G17:G21" si="3">IF(E17="string"," : string = '' ; ",IF(OR(E17="DateTime",E17="TimeSpan")," : any ;",IF(E17="int"," : number = 0 ;","")))</f>
        <v xml:space="preserve"> : string = '' ; </v>
      </c>
      <c r="H17" s="38" t="str">
        <f t="shared" ref="H17:H21" si="4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this.l('Supplier No'),headerTooltip: this.l('Supplier No'),field: 'supplierNo',flex: 1},</v>
      </c>
      <c r="I17" s="38" t="str">
        <f t="shared" ref="I17:I21" si="5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 t="shared" ref="K17:K21" si="6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 t="shared" ref="L17:L21" si="7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REPT(CHAR(9),1)&amp;D17&amp;G17</f>
        <v xml:space="preserve">	supplierNo : string = '' ; </v>
      </c>
      <c r="T17" s="31" t="str">
        <f>REPT(CHAR(9),3)&amp;"this."&amp;D17&amp;","</f>
        <v xml:space="preserve">			this.supplierNo,</v>
      </c>
      <c r="U17" s="31" t="str">
        <f>IF(E17="int",REPT(CHAR(9),2)&amp;"this."&amp;D17&amp;" = 0,",REPT(CHAR(9),2)&amp;"this."&amp;D17&amp;" = '',")</f>
        <v xml:space="preserve">		this.supplierNo = '',</v>
      </c>
      <c r="V17" s="31" t="str">
        <f t="shared" ref="V17:V21" si="8">IF(AND(E17="string",F17="1"),D17,"")</f>
        <v/>
      </c>
    </row>
    <row r="18" spans="1:22" ht="18" customHeight="1" x14ac:dyDescent="0.25">
      <c r="A18" s="31" t="s">
        <v>326</v>
      </c>
      <c r="B18" s="31" t="str">
        <f t="shared" si="0"/>
        <v>BackNo</v>
      </c>
      <c r="C18" s="31" t="str">
        <f t="shared" si="1"/>
        <v>Back No</v>
      </c>
      <c r="D18" s="31" t="str">
        <f t="shared" si="2"/>
        <v>backNo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this.l('Back No'),headerTooltip: this.l('Back No'),field: 'backNo',flex: 1},</v>
      </c>
      <c r="I18" s="38" t="str">
        <f t="shared" si="5"/>
        <v xml:space="preserve">								&lt;div class='input-search'&gt;
									&lt;input [(ngModel)]='backNo' name='backNo'
									class='form-control' [placeholder]="l('Back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title'&gt;Back No&lt;/label&gt;
						&lt;input type='text' class='col-md-10 form-control input-text' name='BackNo' [(ngModel)]='rowdata.backNo'&gt;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ref="S18:S21" si="9">REPT(CHAR(9),1)&amp;D18&amp;G18</f>
        <v xml:space="preserve">	backNo : string = '' ; </v>
      </c>
      <c r="T18" s="31" t="str">
        <f t="shared" ref="T18:T21" si="10">REPT(CHAR(9),3)&amp;"this."&amp;D18&amp;","</f>
        <v xml:space="preserve">			this.backNo,</v>
      </c>
      <c r="U18" s="31" t="str">
        <f t="shared" ref="U18:U21" si="11">IF(E18="int",REPT(CHAR(9),2)&amp;"this."&amp;D18&amp;" = 0,",REPT(CHAR(9),2)&amp;"this."&amp;D18&amp;" = '',")</f>
        <v xml:space="preserve">		this.backNo = '',</v>
      </c>
      <c r="V18" s="31" t="str">
        <f t="shared" si="8"/>
        <v/>
      </c>
    </row>
    <row r="19" spans="1:22" ht="18" customHeight="1" x14ac:dyDescent="0.25">
      <c r="A19" s="31" t="s">
        <v>327</v>
      </c>
      <c r="B19" s="31" t="str">
        <f t="shared" si="0"/>
        <v>PcRackAddress</v>
      </c>
      <c r="C19" s="31" t="str">
        <f t="shared" si="1"/>
        <v>Pc Rack Address</v>
      </c>
      <c r="D19" s="31" t="str">
        <f t="shared" si="2"/>
        <v>pcRackAddress</v>
      </c>
      <c r="E19" s="31" t="str">
        <f>A.Backend!H13</f>
        <v>string</v>
      </c>
      <c r="F19" s="31" t="str">
        <f>A.Backend!G13</f>
        <v>200</v>
      </c>
      <c r="G19" s="31" t="str">
        <f t="shared" si="3"/>
        <v xml:space="preserve"> : string = '' ; </v>
      </c>
      <c r="H19" s="38" t="str">
        <f t="shared" si="4"/>
        <v xml:space="preserve">			{headerName: this.l('Pc Rack Address'),headerTooltip: this.l('Pc Rack Address'),field: 'pcRackAddress',flex: 1},</v>
      </c>
      <c r="I19" s="38" t="str">
        <f t="shared" si="5"/>
        <v xml:space="preserve">								&lt;div class='input-search'&gt;
									&lt;input [(ngModel)]='pcRackAddress' name='pcRackAddress'
									class='form-control' [placeholder]="l('Pc Rack Address')"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title'&gt;Pc Rack Address&lt;/label&gt;
						&lt;input type='text' class='col-md-10 form-control input-text' name='PcRackAddress' [(ngModel)]='rowdata.pcRackAddress'&gt;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pcRackAddress : string = '' ; </v>
      </c>
      <c r="T19" s="31" t="str">
        <f t="shared" si="10"/>
        <v xml:space="preserve">			this.pcRackAddress,</v>
      </c>
      <c r="U19" s="31" t="str">
        <f t="shared" si="11"/>
        <v xml:space="preserve">		this.pcRackAddress = '',</v>
      </c>
      <c r="V19" s="31" t="str">
        <f t="shared" si="8"/>
        <v/>
      </c>
    </row>
    <row r="20" spans="1:22" ht="15" customHeight="1" x14ac:dyDescent="0.25">
      <c r="A20" s="31" t="s">
        <v>328</v>
      </c>
      <c r="B20" s="31" t="str">
        <f>SUBSTITUTE(PROPER(A20),"_","")</f>
        <v>UsagePerHour</v>
      </c>
      <c r="C20" s="31" t="str">
        <f>SUBSTITUTE(PROPER(A20),"_"," ")</f>
        <v>Usage Per Hour</v>
      </c>
      <c r="D20" s="31" t="str">
        <f>LOWER(LEFT(B20,1))&amp;RIGHT(B20,LEN(B20) - 1)</f>
        <v>usagePerHour</v>
      </c>
      <c r="E20" s="31" t="str">
        <f>A.Backend!H14</f>
        <v>int</v>
      </c>
      <c r="F20" s="31" t="str">
        <f>A.Backend!G14</f>
        <v/>
      </c>
      <c r="G20" s="31" t="str">
        <f>IF(E20="string"," : string = '' ; ",IF(OR(E20="DateTime",E20="TimeSpan")," : any ;",IF(E20="int"," : number = 0 ;","")))</f>
        <v xml:space="preserve"> : number = 0 ;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this.l('Usage Per Hour'),headerTooltip: this.l('Usage Per Hour'),field: 'usagePerHour',flex: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title'&gt;Usage Per Hour&lt;/label&gt;
						&lt;input type='number' class='col-md-10 form-control input-text' name='UsagePerHour' [(ngModel)]='rowdata.usagePerHour'&gt;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usagePerHour : number = 0 ;</v>
      </c>
      <c r="T20" s="31" t="str">
        <f>REPT(CHAR(9),3)&amp;"this."&amp;D20&amp;","</f>
        <v xml:space="preserve">			this.usagePerHour,</v>
      </c>
      <c r="U20" s="31" t="str">
        <f>IF(E20="int",REPT(CHAR(9),2)&amp;"this."&amp;D20&amp;" = 0,",REPT(CHAR(9),2)&amp;"this."&amp;D20&amp;" = '',")</f>
        <v xml:space="preserve">		this.usagePerHour = 0,</v>
      </c>
      <c r="V20" s="31" t="str">
        <f>IF(AND(E20="string",F20="1"),D20,"")</f>
        <v/>
      </c>
    </row>
    <row r="21" spans="1:22" ht="15" customHeight="1" x14ac:dyDescent="0.25">
      <c r="A21" s="31" t="s">
        <v>329</v>
      </c>
      <c r="B21" s="31" t="str">
        <f t="shared" si="0"/>
        <v>RackCapBox</v>
      </c>
      <c r="C21" s="31" t="str">
        <f t="shared" si="1"/>
        <v>Rack Cap Box</v>
      </c>
      <c r="D21" s="31" t="str">
        <f t="shared" si="2"/>
        <v>rackCapBox</v>
      </c>
      <c r="E21" s="31" t="str">
        <f>A.Backend!H15</f>
        <v>int</v>
      </c>
      <c r="F21" s="31" t="str">
        <f>A.Backend!G15</f>
        <v/>
      </c>
      <c r="G21" s="31" t="str">
        <f t="shared" si="3"/>
        <v xml:space="preserve"> : number = 0 ;</v>
      </c>
      <c r="H21" s="38" t="str">
        <f t="shared" si="4"/>
        <v xml:space="preserve">			{headerName: this.l('Rack Cap Box'),headerTooltip: this.l('Rack Cap Box'),field: 'rackCapBox',flex: 1},</v>
      </c>
      <c r="I21" s="38" t="str">
        <f t="shared" si="5"/>
        <v/>
      </c>
      <c r="J21" s="31"/>
      <c r="K21" s="38" t="str">
        <f t="shared" si="6"/>
        <v xml:space="preserve">					&lt;div class='col-md-12 form-group row'&gt;
						&lt;label class='col-md-2 form-control title'&gt;Rack Cap Box&lt;/label&gt;
						&lt;input type='number' class='col-md-10 form-control input-text' name='RackCapBox' [(ngModel)]='rowdata.rackCapBox'&gt;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9"/>
        <v xml:space="preserve">	rackCapBox : number = 0 ;</v>
      </c>
      <c r="T21" s="31" t="str">
        <f t="shared" si="10"/>
        <v xml:space="preserve">			this.rackCapBox,</v>
      </c>
      <c r="U21" s="31" t="str">
        <f t="shared" si="11"/>
        <v xml:space="preserve">		this.rackCapBox = 0,</v>
      </c>
      <c r="V21" s="31" t="str">
        <f t="shared" si="8"/>
        <v/>
      </c>
    </row>
    <row r="22" spans="1:22" ht="15" customHeight="1" x14ac:dyDescent="0.25">
      <c r="A22" s="31" t="s">
        <v>330</v>
      </c>
      <c r="B22" s="31" t="str">
        <f t="shared" ref="B22:B24" si="12">SUBSTITUTE(PROPER(A22),"_","")</f>
        <v>OutType</v>
      </c>
      <c r="C22" s="31" t="str">
        <f t="shared" ref="C22:C24" si="13">SUBSTITUTE(PROPER(A22),"_"," ")</f>
        <v>Out Type</v>
      </c>
      <c r="D22" s="31" t="str">
        <f t="shared" ref="D22:D24" si="14">LOWER(LEFT(B22,1))&amp;RIGHT(B22,LEN(B22) - 1)</f>
        <v>outType</v>
      </c>
      <c r="E22" s="31" t="str">
        <f>A.Backend!H16</f>
        <v>string</v>
      </c>
      <c r="F22" s="31" t="str">
        <f>A.Backend!G16</f>
        <v>50</v>
      </c>
      <c r="G22" s="31" t="str">
        <f t="shared" ref="G22:G24" si="15">IF(E22="string"," : string = '' ; ",IF(OR(E22="DateTime",E22="TimeSpan")," : any ;",IF(E22="int"," : number = 0 ;","")))</f>
        <v xml:space="preserve"> : string = '' ; </v>
      </c>
      <c r="H22" s="38" t="str">
        <f t="shared" ref="H22:H24" si="16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this.l('Out Type'),headerTooltip: this.l('Out Type'),field: 'outType',flex: 1},</v>
      </c>
      <c r="I22" s="38" t="str">
        <f t="shared" ref="I22:I24" si="17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[(ngModel)]='outType' name='outType'
									class='form-control' [placeholder]="l('Out Type')"
									type='text' (keyup.enter)='searchDatas()'&gt;
								&lt;/div&gt;</v>
      </c>
      <c r="J22" s="31"/>
      <c r="K22" s="38" t="str">
        <f t="shared" ref="K22:K24" si="18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title'&gt;Out Type&lt;/label&gt;
						&lt;input type='text' class='col-md-10 form-control input-text' name='OutType' [(ngModel)]='rowdata.outType'&gt;
					&lt;/div&gt;</v>
      </c>
      <c r="L22" s="60" t="str">
        <f t="shared" ref="L22:L24" si="19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outType : string = '' ; </v>
      </c>
      <c r="T22" s="31" t="str">
        <f>REPT(CHAR(9),3)&amp;"this."&amp;D22&amp;","</f>
        <v xml:space="preserve">			this.outType,</v>
      </c>
      <c r="U22" s="31" t="str">
        <f>IF(E22="int",REPT(CHAR(9),2)&amp;"this."&amp;D22&amp;" = 0,",REPT(CHAR(9),2)&amp;"this."&amp;D22&amp;" = '',")</f>
        <v xml:space="preserve">		this.outType = '',</v>
      </c>
      <c r="V22" s="31" t="str">
        <f t="shared" ref="V22:V24" si="20">IF(AND(E22="string",F22="1"),D22,"")</f>
        <v/>
      </c>
    </row>
    <row r="23" spans="1:22" ht="15" customHeight="1" x14ac:dyDescent="0.25">
      <c r="A23" s="31" t="s">
        <v>331</v>
      </c>
      <c r="B23" s="31" t="str">
        <f t="shared" si="12"/>
        <v>StockQty</v>
      </c>
      <c r="C23" s="31" t="str">
        <f t="shared" si="13"/>
        <v>Stock Qty</v>
      </c>
      <c r="D23" s="31" t="str">
        <f t="shared" si="14"/>
        <v>stockQty</v>
      </c>
      <c r="E23" s="31" t="str">
        <f>A.Backend!H17</f>
        <v>int</v>
      </c>
      <c r="F23" s="31" t="str">
        <f>A.Backend!G17</f>
        <v/>
      </c>
      <c r="G23" s="31" t="str">
        <f t="shared" si="15"/>
        <v xml:space="preserve"> : number = 0 ;</v>
      </c>
      <c r="H23" s="38" t="str">
        <f t="shared" si="16"/>
        <v xml:space="preserve">			{headerName: this.l('Stock Qty'),headerTooltip: this.l('Stock Qty'),field: 'stockQty',flex: 1},</v>
      </c>
      <c r="I23" s="38" t="str">
        <f t="shared" si="17"/>
        <v/>
      </c>
      <c r="J23" s="31"/>
      <c r="K23" s="38" t="str">
        <f t="shared" si="18"/>
        <v xml:space="preserve">					&lt;div class='col-md-12 form-group row'&gt;
						&lt;label class='col-md-2 form-control title'&gt;Stock Qty&lt;/label&gt;
						&lt;input type='number' class='col-md-10 form-control input-text' name='StockQty' [(ngModel)]='rowdata.stockQty'&gt;
					&lt;/div&gt;</v>
      </c>
      <c r="L23" s="60" t="str">
        <f t="shared" si="19"/>
        <v/>
      </c>
      <c r="M23" s="31"/>
      <c r="N23" s="31"/>
      <c r="O23" s="31"/>
      <c r="P23" s="31"/>
      <c r="Q23" s="31"/>
      <c r="R23" s="31"/>
      <c r="S23" s="31" t="str">
        <f t="shared" ref="S23" si="21">REPT(CHAR(9),1)&amp;D23&amp;G23</f>
        <v xml:space="preserve">	stockQty : number = 0 ;</v>
      </c>
      <c r="T23" s="31" t="str">
        <f t="shared" ref="T23" si="22">REPT(CHAR(9),3)&amp;"this."&amp;D23&amp;","</f>
        <v xml:space="preserve">			this.stockQty,</v>
      </c>
      <c r="U23" s="31" t="str">
        <f t="shared" ref="U23" si="23">IF(E23="int",REPT(CHAR(9),2)&amp;"this."&amp;D23&amp;" = 0,",REPT(CHAR(9),2)&amp;"this."&amp;D23&amp;" = '',")</f>
        <v xml:space="preserve">		this.stockQty = 0,</v>
      </c>
      <c r="V23" s="31" t="str">
        <f t="shared" si="20"/>
        <v/>
      </c>
    </row>
    <row r="24" spans="1:22" ht="18" customHeight="1" x14ac:dyDescent="0.25">
      <c r="A24" s="31" t="s">
        <v>332</v>
      </c>
      <c r="B24" s="31" t="str">
        <f t="shared" si="12"/>
        <v>BoxQty</v>
      </c>
      <c r="C24" s="31" t="str">
        <f t="shared" si="13"/>
        <v>Box Qty</v>
      </c>
      <c r="D24" s="31" t="str">
        <f t="shared" si="14"/>
        <v>boxQty</v>
      </c>
      <c r="E24" s="31" t="str">
        <f>A.Backend!H18</f>
        <v>int</v>
      </c>
      <c r="F24" s="31" t="str">
        <f>A.Backend!G18</f>
        <v/>
      </c>
      <c r="G24" s="31" t="str">
        <f t="shared" si="15"/>
        <v xml:space="preserve"> : number = 0 ;</v>
      </c>
      <c r="H24" s="38" t="str">
        <f t="shared" si="16"/>
        <v xml:space="preserve">			{headerName: this.l('Box Qty'),headerTooltip: this.l('Box Qty'),field: 'boxQty',flex: 1},</v>
      </c>
      <c r="I24" s="38" t="str">
        <f t="shared" si="17"/>
        <v/>
      </c>
      <c r="J24" s="31"/>
      <c r="K24" s="38" t="str">
        <f t="shared" si="18"/>
        <v xml:space="preserve">					&lt;div class='col-md-12 form-group row'&gt;
						&lt;label class='col-md-2 form-control title'&gt;Box Qty&lt;/label&gt;
						&lt;input type='number' class='col-md-10 form-control input-text' name='BoxQty' [(ngModel)]='rowdata.boxQty'&gt;
					&lt;/div&gt;</v>
      </c>
      <c r="L24" s="60" t="str">
        <f t="shared" si="19"/>
        <v/>
      </c>
      <c r="M24" s="31"/>
      <c r="N24" s="31"/>
      <c r="O24" s="31"/>
      <c r="P24" s="31"/>
      <c r="Q24" s="31"/>
      <c r="R24" s="31"/>
      <c r="S24" s="31" t="str">
        <f t="shared" ref="S24" si="24">REPT(CHAR(9),1)&amp;D24&amp;G24</f>
        <v xml:space="preserve">	boxQty : number = 0 ;</v>
      </c>
      <c r="T24" s="31" t="str">
        <f t="shared" ref="T24" si="25">REPT(CHAR(9),3)&amp;"this."&amp;D24&amp;","</f>
        <v xml:space="preserve">			this.boxQty,</v>
      </c>
      <c r="U24" s="31" t="str">
        <f t="shared" ref="U24" si="26">IF(E24="int",REPT(CHAR(9),2)&amp;"this."&amp;D24&amp;" = 0,",REPT(CHAR(9),2)&amp;"this."&amp;D24&amp;" = '',")</f>
        <v xml:space="preserve">		this.boxQty = 0,</v>
      </c>
      <c r="V24" s="31" t="str">
        <f t="shared" si="20"/>
        <v/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7" workbookViewId="0">
      <selection activeCell="A41" sqref="A41:A42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2023-03-08T10:25:03Z</dcterms:modified>
</cp:coreProperties>
</file>
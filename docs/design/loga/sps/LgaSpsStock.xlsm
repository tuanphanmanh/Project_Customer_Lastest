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loga\sps\"/>
    </mc:Choice>
  </mc:AlternateContent>
  <xr:revisionPtr revIDLastSave="0" documentId="13_ncr:1_{C281FA72-7E69-447C-9A6D-6EFDC9E0208D}" xr6:coauthVersionLast="36" xr6:coauthVersionMax="37" xr10:uidLastSave="{00000000-0000-0000-0000-000000000000}"/>
  <bookViews>
    <workbookView xWindow="3015" yWindow="495" windowWidth="28800" windowHeight="1642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7" i="5" l="1"/>
  <c r="L27" i="5"/>
  <c r="K27" i="5"/>
  <c r="I27" i="5"/>
  <c r="F27" i="5"/>
  <c r="V27" i="5"/>
  <c r="C27" i="5"/>
  <c r="B27" i="5"/>
  <c r="D27" i="5" s="1"/>
  <c r="G21" i="1"/>
  <c r="L21" i="1"/>
  <c r="E21" i="1"/>
  <c r="H21" i="1" s="1"/>
  <c r="D21" i="1"/>
  <c r="V21" i="1" s="1"/>
  <c r="G13" i="1"/>
  <c r="T27" i="5" l="1"/>
  <c r="H27" i="5"/>
  <c r="U27" i="5"/>
  <c r="G27" i="5"/>
  <c r="S27" i="5" s="1"/>
  <c r="W21" i="1"/>
  <c r="J21" i="1"/>
  <c r="I21" i="1"/>
  <c r="N21" i="1"/>
  <c r="O21" i="1"/>
  <c r="M21" i="1"/>
  <c r="P21" i="1"/>
  <c r="T21" i="1"/>
  <c r="C24" i="5"/>
  <c r="B24" i="5"/>
  <c r="D24" i="5" s="1"/>
  <c r="T24" i="5" s="1"/>
  <c r="C23" i="5"/>
  <c r="B23" i="5"/>
  <c r="D23" i="5" s="1"/>
  <c r="T23" i="5" s="1"/>
  <c r="L15" i="1"/>
  <c r="G15" i="1"/>
  <c r="E15" i="1"/>
  <c r="H15" i="1" s="1"/>
  <c r="W15" i="1" s="1"/>
  <c r="D15" i="1"/>
  <c r="T15" i="1" s="1"/>
  <c r="L13" i="1"/>
  <c r="H13" i="1"/>
  <c r="W13" i="1" s="1"/>
  <c r="E13" i="1"/>
  <c r="D13" i="1"/>
  <c r="V13" i="1" s="1"/>
  <c r="P15" i="1" l="1"/>
  <c r="I15" i="1"/>
  <c r="N15" i="1"/>
  <c r="V15" i="1"/>
  <c r="M15" i="1"/>
  <c r="J15" i="1"/>
  <c r="O15" i="1"/>
  <c r="P13" i="1"/>
  <c r="T13" i="1"/>
  <c r="M13" i="1"/>
  <c r="I13" i="1"/>
  <c r="N13" i="1"/>
  <c r="J13" i="1"/>
  <c r="O13" i="1"/>
  <c r="C15" i="5"/>
  <c r="B15" i="5"/>
  <c r="D15" i="5" s="1"/>
  <c r="L9" i="1"/>
  <c r="G9" i="1"/>
  <c r="F15" i="5" s="1"/>
  <c r="E9" i="1"/>
  <c r="H9" i="1" s="1"/>
  <c r="D9" i="1"/>
  <c r="V9" i="1" s="1"/>
  <c r="W9" i="1" l="1"/>
  <c r="E15" i="5"/>
  <c r="V15" i="5" s="1"/>
  <c r="T15" i="5"/>
  <c r="P9" i="1"/>
  <c r="T9" i="1"/>
  <c r="M9" i="1"/>
  <c r="I9" i="1"/>
  <c r="N9" i="1"/>
  <c r="J9" i="1"/>
  <c r="O9" i="1"/>
  <c r="C25" i="5"/>
  <c r="B25" i="5"/>
  <c r="D25" i="5" s="1"/>
  <c r="L18" i="1"/>
  <c r="G18" i="1"/>
  <c r="F25" i="5" s="1"/>
  <c r="E18" i="1"/>
  <c r="H18" i="1" s="1"/>
  <c r="D18" i="1"/>
  <c r="T18" i="1" s="1"/>
  <c r="I15" i="5" l="1"/>
  <c r="L15" i="5"/>
  <c r="K15" i="5"/>
  <c r="G15" i="5"/>
  <c r="S15" i="5" s="1"/>
  <c r="U15" i="5"/>
  <c r="H15" i="5"/>
  <c r="W18" i="1"/>
  <c r="E25" i="5"/>
  <c r="V25" i="5" s="1"/>
  <c r="T25" i="5"/>
  <c r="P18" i="1"/>
  <c r="I18" i="1"/>
  <c r="N18" i="1"/>
  <c r="V18" i="1"/>
  <c r="M18" i="1"/>
  <c r="J18" i="1"/>
  <c r="O18" i="1"/>
  <c r="L16" i="1"/>
  <c r="G16" i="1"/>
  <c r="F20" i="5" s="1"/>
  <c r="E16" i="1"/>
  <c r="H16" i="1" s="1"/>
  <c r="D16" i="1"/>
  <c r="V16" i="1" s="1"/>
  <c r="C20" i="5"/>
  <c r="B20" i="5"/>
  <c r="D20" i="5" s="1"/>
  <c r="I25" i="5" l="1"/>
  <c r="L25" i="5"/>
  <c r="K25" i="5"/>
  <c r="G25" i="5"/>
  <c r="S25" i="5" s="1"/>
  <c r="U25" i="5"/>
  <c r="H25" i="5"/>
  <c r="W16" i="1"/>
  <c r="E20" i="5"/>
  <c r="P16" i="1"/>
  <c r="T16" i="1"/>
  <c r="I16" i="1"/>
  <c r="N16" i="1"/>
  <c r="M16" i="1"/>
  <c r="J16" i="1"/>
  <c r="O16" i="1"/>
  <c r="T20" i="5"/>
  <c r="C26" i="5" l="1"/>
  <c r="B26" i="5"/>
  <c r="D26" i="5" s="1"/>
  <c r="T26" i="5" s="1"/>
  <c r="C22" i="5"/>
  <c r="B22" i="5"/>
  <c r="D22" i="5" s="1"/>
  <c r="L17" i="1"/>
  <c r="G17" i="1"/>
  <c r="E17" i="1"/>
  <c r="H17" i="1" s="1"/>
  <c r="D17" i="1"/>
  <c r="V17" i="1" s="1"/>
  <c r="L20" i="1"/>
  <c r="G20" i="1"/>
  <c r="F22" i="5" s="1"/>
  <c r="E20" i="1"/>
  <c r="H20" i="1" s="1"/>
  <c r="E22" i="5" s="1"/>
  <c r="D20" i="1"/>
  <c r="V20" i="1" s="1"/>
  <c r="E21" i="5" l="1"/>
  <c r="E24" i="5"/>
  <c r="E23" i="5"/>
  <c r="F21" i="5"/>
  <c r="F24" i="5"/>
  <c r="F23" i="5"/>
  <c r="P17" i="1"/>
  <c r="T17" i="1"/>
  <c r="W17" i="1"/>
  <c r="I22" i="5"/>
  <c r="T22" i="5"/>
  <c r="K22" i="5"/>
  <c r="U22" i="5"/>
  <c r="G22" i="5"/>
  <c r="S22" i="5" s="1"/>
  <c r="L22" i="5"/>
  <c r="V22" i="5"/>
  <c r="H22" i="5"/>
  <c r="M17" i="1"/>
  <c r="I17" i="1"/>
  <c r="N17" i="1"/>
  <c r="J17" i="1"/>
  <c r="O17" i="1"/>
  <c r="W20" i="1"/>
  <c r="O20" i="1"/>
  <c r="J20" i="1"/>
  <c r="N20" i="1"/>
  <c r="I20" i="1"/>
  <c r="M20" i="1"/>
  <c r="P20" i="1"/>
  <c r="T20" i="1"/>
  <c r="Q3" i="1"/>
  <c r="V23" i="5" l="1"/>
  <c r="K23" i="5"/>
  <c r="L23" i="5"/>
  <c r="I23" i="5"/>
  <c r="U23" i="5"/>
  <c r="G23" i="5"/>
  <c r="S23" i="5" s="1"/>
  <c r="H23" i="5"/>
  <c r="V24" i="5"/>
  <c r="H24" i="5"/>
  <c r="U24" i="5"/>
  <c r="L24" i="5"/>
  <c r="I24" i="5"/>
  <c r="K24" i="5"/>
  <c r="G24" i="5"/>
  <c r="S24" i="5" s="1"/>
  <c r="U20" i="5"/>
  <c r="H20" i="5"/>
  <c r="G20" i="5"/>
  <c r="S20" i="5" s="1"/>
  <c r="I20" i="5"/>
  <c r="L20" i="5"/>
  <c r="K20" i="5"/>
  <c r="V20" i="5"/>
  <c r="B17" i="5"/>
  <c r="D17" i="5" s="1"/>
  <c r="C17" i="5"/>
  <c r="B18" i="5"/>
  <c r="D18" i="5" s="1"/>
  <c r="C18" i="5"/>
  <c r="B19" i="5"/>
  <c r="D19" i="5" s="1"/>
  <c r="C19" i="5"/>
  <c r="B21" i="5"/>
  <c r="D21" i="5" s="1"/>
  <c r="C21" i="5"/>
  <c r="C16" i="5"/>
  <c r="B16" i="5"/>
  <c r="D16" i="5" s="1"/>
  <c r="T16" i="5" s="1"/>
  <c r="G19" i="1"/>
  <c r="F26" i="5" s="1"/>
  <c r="E19" i="1"/>
  <c r="H19" i="1" s="1"/>
  <c r="E26" i="5" s="1"/>
  <c r="D19" i="1"/>
  <c r="V19" i="1" s="1"/>
  <c r="L14" i="1"/>
  <c r="G14" i="1"/>
  <c r="F19" i="5" s="1"/>
  <c r="E14" i="1"/>
  <c r="H14" i="1" s="1"/>
  <c r="E19" i="5" s="1"/>
  <c r="D14" i="1"/>
  <c r="V14" i="1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V11" i="1" s="1"/>
  <c r="G10" i="1"/>
  <c r="F16" i="5" s="1"/>
  <c r="E10" i="1"/>
  <c r="H10" i="1" s="1"/>
  <c r="E16" i="5" s="1"/>
  <c r="D10" i="1"/>
  <c r="T10" i="1" s="1"/>
  <c r="G26" i="5" l="1"/>
  <c r="S26" i="5" s="1"/>
  <c r="U26" i="5"/>
  <c r="K26" i="5"/>
  <c r="I26" i="5"/>
  <c r="V26" i="5"/>
  <c r="H26" i="5"/>
  <c r="L26" i="5"/>
  <c r="O19" i="1"/>
  <c r="G18" i="5"/>
  <c r="L18" i="5"/>
  <c r="O14" i="1"/>
  <c r="G17" i="5"/>
  <c r="V17" i="5"/>
  <c r="G19" i="5"/>
  <c r="S19" i="5" s="1"/>
  <c r="V19" i="5"/>
  <c r="H21" i="5"/>
  <c r="G16" i="5"/>
  <c r="S16" i="5" s="1"/>
  <c r="V16" i="5"/>
  <c r="P11" i="1"/>
  <c r="I21" i="5"/>
  <c r="I18" i="5"/>
  <c r="H18" i="5"/>
  <c r="I19" i="5"/>
  <c r="H19" i="5"/>
  <c r="H17" i="5"/>
  <c r="I17" i="5"/>
  <c r="L19" i="5"/>
  <c r="U19" i="5"/>
  <c r="U16" i="5"/>
  <c r="T21" i="5"/>
  <c r="T19" i="5"/>
  <c r="K19" i="5"/>
  <c r="H16" i="5"/>
  <c r="I16" i="5"/>
  <c r="K16" i="5"/>
  <c r="L17" i="5"/>
  <c r="L16" i="5"/>
  <c r="V18" i="5"/>
  <c r="P14" i="1"/>
  <c r="V10" i="1"/>
  <c r="T14" i="1"/>
  <c r="P19" i="1"/>
  <c r="T19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14" i="1"/>
  <c r="I19" i="1"/>
  <c r="T12" i="1"/>
  <c r="J14" i="1"/>
  <c r="W14" i="1"/>
  <c r="J19" i="1"/>
  <c r="W19" i="1"/>
  <c r="T11" i="1"/>
  <c r="M14" i="1"/>
  <c r="M19" i="1"/>
  <c r="P10" i="1"/>
  <c r="N14" i="1"/>
  <c r="N19" i="1"/>
  <c r="U21" i="5" l="1"/>
  <c r="L21" i="5"/>
  <c r="K21" i="5"/>
  <c r="G21" i="5"/>
  <c r="S21" i="5" s="1"/>
  <c r="V21" i="5"/>
  <c r="K18" i="5"/>
  <c r="U18" i="5"/>
  <c r="T18" i="5"/>
  <c r="S18" i="5"/>
  <c r="U17" i="5"/>
  <c r="K17" i="5"/>
  <c r="T17" i="5"/>
  <c r="S17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2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3" i="1"/>
  <c r="T7" i="1" l="1"/>
  <c r="W23" i="1"/>
  <c r="G6" i="1" l="1"/>
  <c r="I13" i="5"/>
  <c r="H13" i="5"/>
  <c r="U13" i="5"/>
  <c r="S13" i="5"/>
  <c r="V13" i="5"/>
  <c r="K13" i="5"/>
  <c r="L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11" i="1" l="1"/>
  <c r="L10" i="1"/>
  <c r="L19" i="1"/>
  <c r="C7" i="1"/>
  <c r="O23" i="1"/>
  <c r="N23" i="1"/>
  <c r="J23" i="1"/>
  <c r="I23" i="1"/>
  <c r="P23" i="1"/>
  <c r="Q7" i="1" l="1"/>
  <c r="M59" i="3" s="1"/>
  <c r="L7" i="1"/>
  <c r="G59" i="3" s="1"/>
  <c r="K59" i="3"/>
  <c r="J59" i="3"/>
  <c r="M23" i="1"/>
  <c r="K23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<sst xmlns="http://schemas.openxmlformats.org/spreadsheetml/2006/main" count="457" uniqueCount="344">
  <si>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</si>
  <si>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</si>
  <si>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</si>
  <si>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</si>
  <si>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</si>
  <si>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</si>
  <si>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</si>
  <si>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</si>
  <si>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</si>
  <si>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</si>
  <si>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</si>
  <si>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</si>
  <si>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</si>
  <si>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</si>
  <si>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</si>
  <si>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</si>
  <si>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</si>
  <si>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</si>
  <si>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</si>
  <si>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</si>
  <si>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</si>
  <si>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</si>
  <si>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</si>
  <si>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</si>
  <si>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</si>
  <si>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</si>
  <si>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</si>
  <si>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</si>
  <si>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</si>
  <si>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</si>
  <si>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</si>
  <si>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</si>
  <si>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</si>
  <si>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</si>
  <si>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</si>
  <si>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</si>
  <si>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</si>
  <si>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</si>
  <si>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</si>
  <si>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</si>
  <si>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</si>
  <si>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</si>
  <si>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</si>
  <si>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</si>
  <si>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</si>
  <si>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</si>
  <si>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</si>
  <si>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</si>
  <si>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</si>
  <si>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</si>
  <si>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</si>
  <si>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</si>
  <si>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</si>
  <si>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</si>
  <si>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</si>
  <si>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</si>
  <si>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</si>
  <si>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</si>
  <si>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</si>
  <si>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</si>
  <si>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</si>
  <si>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</si>
  <si>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</si>
  <si>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</si>
  <si>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</si>
  <si>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</si>
  <si>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</si>
  <si>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</si>
  <si>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</si>
  <si>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</si>
  <si>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</si>
  <si>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</si>
  <si>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</si>
  <si>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</si>
  <si>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</si>
  <si>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</si>
  <si>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</si>
  <si>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</si>
  <si>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</si>
  <si>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</si>
  <si>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</si>
  <si>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</si>
  <si>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</si>
  <si>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</si>
  <si>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</si>
  <si>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</si>
  <si>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</si>
  <si>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</si>
  <si>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</si>
  <si>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</si>
  <si>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</si>
  <si>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</si>
  <si>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</si>
  <si>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</si>
  <si>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</si>
  <si>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</si>
  <si>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</si>
  <si>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</si>
  <si>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</si>
  <si>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</si>
  <si>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</si>
  <si>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</si>
  <si>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</si>
  <si>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</si>
  <si>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</si>
  <si>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</si>
  <si>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</si>
  <si>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</si>
  <si>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</si>
  <si>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</si>
  <si>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</si>
  <si>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</si>
  <si>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</si>
  <si>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</si>
  <si>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</si>
  <si>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</si>
  <si>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</si>
  <si>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</si>
  <si>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</si>
  <si>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</si>
  <si>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</si>
  <si>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</si>
  <si>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</si>
  <si>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</si>
  <si>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</si>
  <si>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</si>
  <si>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</si>
  <si>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</si>
  <si>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</si>
  <si>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</si>
  <si>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</si>
  <si>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</si>
  <si>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</si>
  <si>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</si>
  <si>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</si>
  <si>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</si>
  <si>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</si>
  <si>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</si>
  <si>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</si>
  <si>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</si>
  <si>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</si>
  <si>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</si>
  <si>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</si>
  <si>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</si>
  <si>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</si>
  <si>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</si>
  <si>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</si>
  <si>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</si>
  <si>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</si>
  <si>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</si>
  <si>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</si>
  <si>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</si>
  <si>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</si>
  <si>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</si>
  <si>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</si>
  <si>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</si>
  <si>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</si>
  <si>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</si>
  <si>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</si>
  <si>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</si>
  <si>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</si>
  <si>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</si>
  <si>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</si>
  <si>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</si>
  <si>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</si>
  <si>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</si>
  <si>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</si>
  <si>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</si>
  <si>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</si>
  <si>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</si>
  <si>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</si>
  <si>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</si>
  <si>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</si>
  <si>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</si>
  <si>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</si>
  <si>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</si>
  <si>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</si>
  <si>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</si>
  <si>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</si>
  <si>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</si>
  <si>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</si>
  <si>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</si>
  <si>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</si>
  <si>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</si>
  <si>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</si>
  <si>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</si>
  <si>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</si>
  <si>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</si>
  <si>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</si>
  <si>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</si>
  <si>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</si>
  <si>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</si>
  <si>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</si>
  <si>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</si>
  <si>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</si>
  <si>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</si>
  <si>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</si>
  <si>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</si>
  <si>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</si>
  <si>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</si>
  <si>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</si>
  <si>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</si>
  <si>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</si>
  <si>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</si>
  <si>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</si>
  <si>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</si>
  <si>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</si>
  <si>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</si>
  <si>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</si>
  <si>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</si>
  <si>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</si>
  <si>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</si>
  <si>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</si>
  <si>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</si>
  <si>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</si>
  <si>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</si>
  <si>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</si>
  <si>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</si>
  <si>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</si>
  <si>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</si>
  <si>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</si>
  <si>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</si>
  <si>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</si>
  <si>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</si>
  <si>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</si>
  <si>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</si>
  <si>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</si>
  <si>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</si>
  <si>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</si>
  <si>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</si>
  <si>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</si>
  <si>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</si>
  <si>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</si>
  <si>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</si>
  <si>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</si>
  <si>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</si>
  <si>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</si>
  <si>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</si>
  <si>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</si>
  <si>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</si>
  <si>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</si>
  <si>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</si>
  <si>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</si>
  <si>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</si>
  <si>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</si>
  <si>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</si>
  <si>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</si>
  <si>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</si>
  <si>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</si>
  <si>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</si>
  <si>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</si>
  <si>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</si>
  <si>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</si>
  <si>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</si>
  <si>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</si>
  <si>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</si>
  <si>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</si>
  <si>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</si>
  <si>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</si>
  <si>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</si>
  <si>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</si>
  <si>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</si>
  <si>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</si>
  <si>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</si>
  <si>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</si>
  <si>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</si>
  <si>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</si>
  <si>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</si>
  <si>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</si>
  <si>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</si>
  <si>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</si>
  <si>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</si>
  <si>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</si>
  <si>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</si>
  <si>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</si>
  <si>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</si>
  <si>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</si>
  <si>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</si>
  <si>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</si>
  <si>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</si>
  <si>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</si>
  <si>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</si>
  <si>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</si>
  <si>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</si>
  <si>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</si>
  <si>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</si>
  <si>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</si>
  <si>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</si>
  <si>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</si>
  <si>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</si>
  <si>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</si>
  <si>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</si>
  <si>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</si>
  <si>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</si>
  <si>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</si>
  <si>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</si>
  <si>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</si>
  <si>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</si>
  <si>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</si>
  <si>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</si>
  <si>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</si>
  <si>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</si>
  <si>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</si>
  <si>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</si>
  <si>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</si>
  <si>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</si>
  <si>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</si>
  <si>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</si>
  <si>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</si>
  <si>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</si>
  <si>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</si>
  <si>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</si>
  <si>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</si>
  <si>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</si>
  <si>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</si>
  <si>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</si>
  <si>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</si>
  <si>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</si>
  <si>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</si>
  <si>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</si>
  <si>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</si>
  <si>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</si>
  <si>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PART_NAME</t>
  </si>
  <si>
    <t>varchar(500)</t>
  </si>
  <si>
    <t>PART_NO</t>
  </si>
  <si>
    <t>BACK_NO</t>
  </si>
  <si>
    <t>PC_RACK_ADDRESS</t>
  </si>
  <si>
    <t>RACK_CAP_BOX</t>
  </si>
  <si>
    <t>STOCK_QTY</t>
  </si>
  <si>
    <t>BOX_QTY</t>
  </si>
  <si>
    <t>LgaSpsStock</t>
  </si>
  <si>
    <t>SPS_RACK_ADDRESS</t>
  </si>
  <si>
    <t>PC_PIKING_MEMBER</t>
  </si>
  <si>
    <t>EKB_QTY</t>
  </si>
  <si>
    <t>PROCESS</t>
  </si>
  <si>
    <t>LA SPS Stock</t>
  </si>
  <si>
    <t>SUPPLIER_NO</t>
  </si>
  <si>
    <t>Barcode</t>
  </si>
  <si>
    <t>Bar</t>
  </si>
  <si>
    <t>LgaBar</t>
  </si>
  <si>
    <t>LogA.Sps</t>
  </si>
  <si>
    <t>Stock</t>
  </si>
  <si>
    <t>IS_ACTIVE</t>
  </si>
  <si>
    <t>varchar(1)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</si>
</sst>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8"/>
  <sheetViews>
    <sheetView topLeftCell="A37" workbookViewId="0">
      <selection activeCell="D48" sqref="D4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D38" t="s">
        <v>337</v>
      </c>
      <c r="F38" s="1" t="s">
        <v>338</v>
      </c>
      <c r="G38" s="17" t="s">
        <v>339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vovina.LogA.Sps
{
	[Table("LgaSpsStock")]
	[Index(nameof(PartNo), Name="IX_LgaSpsStock_PartNo")]
	[Index(nameof(SupplierNo), Name="IX_LgaSpsStock_SupplierNo")]
	[Index(nameof(SpsRackAddress), Name="IX_LgaSpsStock_SpsRackAddress")]
	[Index(nameof(IsActive), Name="IX_LgaSpsStock_IsActive")]	public class LgaSpsStock: FullAuditedEntity&lt;long&gt;, IEntity&lt;long&gt;	
	{
		public const int MaxPartNoLength = 50;
		public const int MaxPartNameLength = 500;
		public const int MaxSupplierNoLength = 50;
		public const int MaxBackNoLength = 50;
		public const int MaxSpsRackAddressLength = 500;
		public const int MaxPcRackAddressLength = 500;
		public const int MaxProcessLength = 50;
		public const int MaxIsActiveLength = 1;
		[StringLength(MaxPartNoLength)]
		public virtual string PartNo { get; set; }
		[StringLength(MaxPartNameLength)]
		public virtual string PartName { get; set; }
		[StringLength(MaxSupplierNoLength)]
		public virtual string SupplierNo { get; set; }
		[StringLength(MaxBackNoLength)]
		public virtual string BackNo { get; set; }
		[StringLength(MaxSpsRackAddressLength)]
		public virtual string SpsRackAddress { get; set; }
		[StringLength(MaxPcRackAddressLength)]
		public virtual string PcRackAddress { get; set; }
		public virtual int RackCapBox { get; set; }
		public virtual int PcPikingMember { get; set; }
		public virtual int EkbQty { get; set; }
		public virtual int StockQty { get; set; }
		public virtual int BoxQty { get; set; }
		[StringLength(MaxProcessLength)]
		public virtual string Process { get; set; }
		[StringLength(MaxIsActiveLength)]
		public virtual string IsActive { get; set; }
	}
}
</v>
      </c>
      <c r="D59" s="51" t="str">
        <f>A.Backend!O7</f>
        <v xml:space="preserve">		public const string Pages_LogA_Sps_Stock = "Pages.LogA.Sps.Stock";
		public const string Pages_LogA_Sps_Stock_CreateEdit = "Pages.LogA.Sps.Stock.CreateEdit";
		public const string Pages_LogA_Sps_Stock_Delete = "Pages.LogA.Sps.Stock.Delete";
</v>
      </c>
      <c r="E59" s="51" t="str">
        <f>A.Backend!N7</f>
        <v xml:space="preserve">		var perLgaSpsStock = PARENTS.CreateChildPermission(AppPermissions.Pages_LogA_Sps_Stock, L( "LogASpsStock"), multiTenancySides: MultiTenancySides.Tenant);
		perLgaSpsStock.CreateChildPermission(AppPermissions.Pages_LogA_Sps_Stock_CreateEdit, L( "LogASpsStockCreateEdit"), multiTenancySides: MultiTenancySides.Tenant);
		perLgaSpsStock.CreateChildPermission(AppPermissions.Pages_LogA_Sps_Stock_Delete, L( "LogASpsStockDelete"), multiTenancySides: MultiTenancySides.Tenant);</v>
      </c>
      <c r="F59" s="51" t="str">
        <f>A.Backend!K7</f>
        <v>public virtual DbSet&lt;LgaSpsStock&gt; LgaSpsStocks { get; set; }</v>
      </c>
      <c r="G59" s="51" t="str">
        <f ca="1">A.Backend!L7</f>
        <v xml:space="preserve">namespace vovina.LogA.Sps
{
	public class LgaSpsStockConsts	
	{
		public const int MaxPartNoLength = 50;
		public const int MaxPartNameLength = 500;
		public const int MaxSupplierNoLength = 50;
		public const int MaxBackNoLength = 50;
		public const int MaxSpsRackAddressLength = 500;
		public const int MaxPcRackAddressLength = 500;
		public const int MaxProcessLength = 50;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vovina.LogA.Sps.Dto
{
	public class LgaSpsStockDto : EntityDto&lt;long?&gt;	
	{
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	}
	public class CreateOrEditLgaSpsStockDto : EntityDto&lt;long?&gt;	
	{
		[StringLength(LgaSpsStockConsts.MaxPartNoLength)]
		public virtual string PartNo { get; set; }
		[StringLength(LgaSpsStockConsts.MaxPartNameLength)]
		public virtual string PartName { get; set; }
		[StringLength(LgaSpsStockConsts.MaxSupplierNoLength)]
		public virtual string SupplierNo { get; set; }
		[StringLength(LgaSpsStockConsts.MaxBackNoLength)]
		public virtual string BackNo { get; set; }
		[StringLength(LgaSpsStockConsts.MaxSpsRackAddressLength)]
		public virtual string SpsRackAddress { get; set; }
		[StringLength(LgaSpsStockConsts.MaxPcRackAddressLength)]
		public virtual string PcRackAddress { get; set; }
		public virtual int RackCapBox { get; set; }
		public virtual int PcPikingMember { get; set; }
		public virtual int EkbQty { get; set; }
		public virtual int StockQty { get; set; }
		public virtual int BoxQty { get; set; }
		[StringLength(LgaSpsStockConsts.MaxProcessLength)]
		public virtual string Process { get; set; }
		[StringLength(LgaSpsStockConsts.MaxIsActiveLength)]
		public virtual string IsActive { get; set; }
	}
	public class GetLgaSpsStockInput : PagedAndSortedResultRequestDto	
	{
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vovina.LogA.Sps.Dto
{
	public class LgaSpsStockExportInput{
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vovina.LogA.Sps.Dto;
namespace vovina.LogA.Sps
{
	public interface ILgaSpsStockAppService : IApplicationService
	{
		Task&lt;PagedResultDto&lt;LgaSpsStockDto&gt;&gt; GetAll(GetLgaSpsStockInput input);
		Task CreateOrEdit(CreateOrEditLgaSpsStockDto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vovina.LogA.Sps.Dto;
namespace vovina.LogA.Sps.Exporting
{
	public interface ILgaSpsStockExcelExporter : IApplicationService
	{
		FileDto ExportToFile(List&lt;LgaSpsStockDto&gt; lgaspsstock);
	}
}
</v>
      </c>
      <c r="L59" s="51" t="str">
        <f ca="1">A.Backend!T7</f>
        <v>using System.Collections.Generic;
using vovina.DataExporting.Excel.NPOI;
using vovina.Dto;
using vovina.LogA.Sps.Exporting;
using vovina.LogA.Sps.Dto;
using vovina.Storage;
using vovina.LogA.Sps.Dto;
namespace vovina.LogA.Sps.Exporting
{
    public class LgaSpsStockExcelExporter : NpoiExcelExporterBase, ILgaSpsStockExcelExporter
    {
        public LgaSpsStockExcelExporter(ITempFileCacheManager tempFileCacheManager) : base(tempFileCacheManager) { }
        public FileDto ExportToFile(List&lt;LgaSpsStockDto&gt; stock)
        {
            return CreateExcelPackage(
				"LogASpsStock.xlsx",
				excelPackage =&gt;
				 {
					var sheet = excelPackage.CreateSheet("Stock");
					AddHeader(
								sheet,
								("PartNo"),
								("PartName"),
								("SupplierNo"),
								("BackNo"),
								("SpsRackAddress"),
								("PcRackAddress"),
								("RackCapBox"),
								("PcPikingMember"),
								("EkbQty"),
								("StockQty"),
								("BoxQty"),
								("Process"),
								("IsActive"),
							   );
					AddObjects(
						 sheet, 1, stock,                                       
								_ =&gt; _.PartNo,
								_ =&gt; _.PartName,
								_ =&gt; _.SupplierNo,
								_ =&gt; _.BackNo,
								_ =&gt; _.SpsRackAddress,
								_ =&gt; _.PcRackAddress,
								_ =&gt; _.RackCapBox,
								_ =&gt; _.PcPikingMember,
								_ =&gt; _.EkbQty,
								_ =&gt; _.StockQty,
								_ =&gt; _.BoxQty,
								_ =&gt; _.Process,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vovina.LogA.Sps.Dto;
using vovina.LogA.Sps.Exporting;
namespace vovina.LogA.Sps
{
    [AbpAuthorize(AppPermissions.Pages_LogA_Sps_Stock)]
    public class LgaSpsStockAppService : vovinaAppServiceBase, ILgaSpsStockAppService
    {
        private readonly IDapperRepository&lt;LgaSpsStock, long&gt; _dapperRepo;
        private readonly IRepository&lt;LgaSpsStock, long&gt; _repo;
        private readonly ILgaSpsStockExcelExporter _calendarListExcelExporter;
        public LgaSpsStockAppService(IRepository&lt;LgaSpsStock,long&gt; repo, 
                                         IDapperRepository&lt;LgaSpsStock,long&gt; dapperRepo,
                                        ILgaSpsStockExcelExporter calendarListExcelExporter
            )
        {
            _repo = repo;
            _dapperRepo = dapperRepo;
            _calendarListExcelExporter = calendarListExcelExporter;
        }
        [AbpAuthorize(AppPermissions.Pages_LogA_Sps_Stock_CreateEdit)]
        public async Task CreateOrEdit(CreateOrEditLgaSpsStockDto input)
        {
            if (input.Id == null) await Create(input);
            else await Update(input);
        }
        //CREATE
        private async Task Create(CreateOrEditLgaSpsStockDto input)
        {          
            var mainObj = ObjectMapper.Map&lt;LgaSpsStock&gt;(input);
            await CurrentUnitOfWork.GetDbContext&lt;vovinaDbContext&gt;().AddAsync(mainObj);
        }
        // EDIT
        private async Task Update(CreateOrEditLgaSpsStockDto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[AbpAuthorize(AppPermissions.Pages_LogA_Sps_Stock_Delete)]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Task&lt;PagedResultDto&lt;LgaSpsStockDto&gt;&gt; GetAll(GetLgaSpsStockInput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.WhereIf(!string.IsNullOrWhiteSpace(input.SupplierNo), e =&gt; e.SupplierNo.Contains(input.SupplierNo))
				.WhereIf(!string.IsNullOrWhiteSpace(input.BackNo), e =&gt; e.BackNo.Contains(input.BackNo))
				.WhereIf(!string.IsNullOrWhiteSpace(input.SpsRackAddress), e =&gt; e.SpsRackAddress.Contains(input.SpsRackAddress))
				.WhereIf(!string.IsNullOrWhiteSpace(input.PcRackAddress), e =&gt; e.PcRackAddress.Contains(input.PcRackAddress))
				.WhereIf(!string.IsNullOrWhiteSpace(input.Process), e =&gt; e.Process.Contains(input.Process))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LgaSpsStockDto
                        {
							Id = o.Id,
							PartNo = o.PartNo,
							PartName = o.PartName,
							SupplierNo = o.SupplierNo,
							BackNo = o.BackNo,
							SpsRackAddress = o.SpsRackAddress,
							PcRackAddress = o.PcRackAddress,
							RackCapBox = o.RackCapBox,
							PcPikingMember = o.PcPikingMember,
							EkbQty = o.EkbQty,
							StockQty = o.StockQty,
							BoxQty = o.BoxQty,
							Process = o.Process,
							IsActive = o.IsActive,
                        };
            var totalCount = await filtered.CountAsync();
			var paged = system.PageBy(input);
            return new PagedResultDto&lt;LgaSpsStockDto&gt;(
                totalCount,
                 await paged.ToListAsync()
            );
        }
        public async Task&lt;FileDto&gt; GetStockToExcel(LgaSpsStockExportInput input)
        {
            var query = from o in _repo.GetAll()
                        select new LgaSpsStockDto
                        {
							Id = o.Id,
							PartNo = o.PartNo,
							PartName = o.PartName,
							SupplierNo = o.SupplierNo,
							BackNo = o.BackNo,
							SpsRackAddress = o.SpsRackAddress,
							PcRackAddress = o.PcRackAddress,
							RackCapBox = o.RackCapBox,
							PcPikingMember = o.PcPikingMember,
							EkbQty = o.EkbQty,
							StockQty = o.StockQty,
							BoxQty = o.BoxQty,
							Process = o.Process,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_dapperRepo.ExecuteAsync(LgaSpsStockConsts.SP_MST_WPT_CALENDAR_GENERATE);
       // }
    }
}</v>
      </c>
      <c r="N59" s="62" t="str">
        <f>A.Backend!U7</f>
        <v xml:space="preserve">  configuration.CreateMap&lt;LgaSpsStockDto, LgaSpsStock&gt;();
  configuration.CreateMap&lt;LgaSpsStock, LgaSpsStockDto&gt;();
  configuration.CreateMap&lt;CreateOrEditLgaSpsStockDto, LgaSpsStock&gt;();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stock</v>
      </c>
      <c r="C64" s="72" t="str">
        <f>"create folder " &amp;B64</f>
        <v>create folder stock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stock.component.ts</v>
      </c>
      <c r="D65" s="31" t="str">
        <f>B.Frontend!I14</f>
        <v>stock.component.html</v>
      </c>
      <c r="E65" s="31" t="str">
        <f>B.Frontend!J14</f>
        <v>stock.component.less</v>
      </c>
      <c r="F65" s="31" t="str">
        <f>B.Frontend!K14</f>
        <v>create-or-edit-stock-modal.component.html</v>
      </c>
      <c r="G65" s="31" t="str">
        <f>B.Frontend!L14</f>
        <v>create-or-edit-stock-modal.component.ts</v>
      </c>
      <c r="H65" s="31" t="str">
        <f>B.Frontend!M14</f>
        <v>create-or-edit-stock-modal.component.less</v>
      </c>
      <c r="I65" s="31" t="str">
        <f>B.Frontend!N14</f>
        <v>stock.module.ts</v>
      </c>
      <c r="J65" s="31" t="str">
        <f>B.Frontend!O14</f>
        <v>stock-routing.module.ts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LgaSpsStockDto, LgaSpsStockServiceProxy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LgaSpsStockDto = new LgaSpsStockDto();
    saveSelectedRow: LgaSpsStockDto = new LgaSpsStockDto();
    datas: LgaSpsStockDto = new LgaSpsStockDto();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partName : string = '' ; 
	supplierNo : string = '' ; 
	backNo : string = '' ; 
	spsRackAddress : string = '' ; 
	pcRackAddress : number = 0 ;
	rackCapBox : number = 0 ;
	pcPikingMember : string = '' ; 
	ekbQty : number = 0 ;
	stockQty : number = 0 ;
	boxQty : number = 0 ;
	process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LgaSpsStockServiceProxy,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this.l('Supplier No'),headerTooltip: this.l('Supplier No'),field: 'supplierNo',flex: 1},
			{headerName: this.l('Back No'),headerTooltip: this.l('Back No'),field: 'backNo',flex: 1},
			{headerName: this.l('Sps Rack Address'),headerTooltip: this.l('Sps Rack Address'),field: 'spsRackAddress',flex: 1},
			{headerName: this.l('Pc Rack Address'),headerTooltip: this.l('Pc Rack Address'),field: 'pcRackAddress',flex: 1},
			{headerName: this.l('Rack Cap Box'),headerTooltip: this.l('Rack Cap Box'),field: 'rackCapBox',flex: 1},
			{headerName: this.l('Pc Piking Member'),headerTooltip: this.l('Pc Piking Member'),field: 'pcPikingMember',flex: 1},
			{headerName: this.l('Ekb Qty'),headerTooltip: this.l('Ekb Qty'),field: 'ekbQty',flex: 1},
			{headerName: this.l('Stock Qty'),headerTooltip: this.l('Stock Qty'),field: 'stockQty',flex: 1},
			{headerName: this.l('Box Qty'),headerTooltip: this.l('Box Qty'),field: 'boxQty',flex: 1},
			{headerName: this.l('Process'),headerTooltip: this.l('Process'),field: 'process',flex: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this.supplierNo,
			this.backNo,
			this.spsRackAddress,
			this.pcRackAddress,
			this.rackCapBox,
			this.pcPikingMember,
			this.ekbQty,
			this.stockQty,
			this.boxQty,
			this.process,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this.partName = '',
		this.supplierNo = '',
		this.backNo = '',
		this.spsRackAddress = '',
		this.pcRackAddress = 0,
		this.rackCapBox = 0,
		this.pcPikingMember = '',
		this.ekbQty = 0,
		this.stockQty = 0,
		this.boxQty = 0,
		this.process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this.supplierNo,
			this.backNo,
			this.spsRackAddress,
			this.pcRackAddress,
			this.rackCapBox,
			this.pcPikingMember,
			this.ekbQty,
			this.stockQty,
			this.boxQty,
			this.process,
			this.isActive,
			'',
            this.paginationParams.skipCount,
            this.paginationParams.pageSize
        );
    }
    onChangeRowSelection(params: { api: { getSelectedRows: () =&gt; LgaSpsStockDto[] } }) {
        this.saveSelectedRow = params.api.getSelectedRows()[0] ?? new LgaSpsStockDto();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LgaSpsStockDto):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this.partNo,
			this.partName,
			this.supplierNo,
			this.backNo,
			this.spsRackAddress,
			this.pcRackAddress,
			this.rackCapBox,
			this.pcPikingMember,
			this.ekbQty,
			this.stockQty,
			this.boxQty,
			this.process,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SPS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[(ngModel)]='spsRackAddress' name='spsRackAddress'
									class='form-control' [placeholder]="l('Sps Rack Address')"
									type='text' (keyup.enter)='searchDatas()'&gt;
								&lt;/div&gt;
								&lt;div class='input-search'&gt;
									&lt;input [(ngModel)]='pcPikingMember' name='pcPikingMember'
									class='form-control' [placeholder]="l('Pc Piking Member')"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title'&gt;Sps Rack Address&lt;/label&gt;
						&lt;input type='text' class='col-md-10 form-control input-text' name='SpsRackAddress' [(ngModel)]='rowdata.spsRackAddress'&gt;
					&lt;/div&gt;
					&lt;div class='col-md-12 form-group row'&gt;
						&lt;label class='col-md-2 form-control title'&gt;Pc Rack Address&lt;/label&gt;
						&lt;input type='number' class='col-md-10 form-control input-text' name='PcRackAddress' [(ngModel)]='rowdata.pcRackAddress'&gt;
					&lt;/div&gt;
					&lt;div class='col-md-12 form-group row'&gt;
						&lt;label class='col-md-2 form-control title'&gt;Rack Cap Box&lt;/label&gt;
						&lt;input type='number' class='col-md-10 form-control input-text' name='RackCapBox' [(ngModel)]='rowdata.rackCapBox'&gt;
					&lt;/div&gt;
					&lt;div class='col-md-12 form-group row'&gt;
						&lt;label class='col-md-2 form-control title'&gt;Pc Piking Member&lt;/label&gt;
						&lt;input type='text' class='col-md-10 form-control input-text' name='PcPikingMember' [(ngModel)]='rowdata.pcPikingMember'&gt;
					&lt;/div&gt;
					&lt;div class='col-md-12 form-group row'&gt;
						&lt;label class='col-md-2 form-control title'&gt;Ekb Qty&lt;/label&gt;
						&lt;input type='number' class='col-md-10 form-control input-text' name='EkbQty' [(ngModel)]='rowdata.ekbQty'&gt;
					&lt;/div&gt;
					&lt;div class='col-md-12 form-group row'&gt;
						&lt;label class='col-md-2 form-control title'&gt;Stock Qty&lt;/label&gt;
						&lt;input type='number' class='col-md-10 form-control input-text' name='StockQty' [(ngModel)]='rowdata.stockQty'&gt;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title'&gt;Process&lt;/label&gt;
						&lt;input type='number' class='col-md-10 form-control input-text' name='Process' [(ngModel)]='rowdata.process'&gt;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CreateOrEditLgaSpsStockDto, LgaSpsStockServiceProxy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CreateOrEditLgaSpsStockDto = new CreateOrEditLgaSpsStockDto();
    active: boolean = false;
    saving: boolean = false;
    _: boolean;
    constructor(
        injector: Injector,
        private _mstwptStockService: LgaSpsStockServiceProxy,
    ) 
    {
        super(injector);
    }
    show(rowdata?: CreateOrEditLgaSpsStockDto): void {
        if (!rowdata) this.rowdata = new CreateOrEditLgaSpsStockDto();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J66" s="49" t="str">
        <f>B.Frontend!O10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K66" s="49" t="str">
        <f>B.Frontend!P10</f>
        <v xml:space="preserve"> new AppMenuItem("Stock", "Pages.LogA.Sps.Stock", "flaticon-book",   "/app/main/loga/sps/stock"),</v>
      </c>
      <c r="L66" s="50" t="str">
        <f>B.Frontend!Q10</f>
        <v>{
    path: 'loga/sps/stock',
    loadChildren: () =&gt; import('./loga/sps/stock/stock.module').then(m =&gt; m.StockModule),
    data: { permission: 'Pages.LogA.Sps.Stock' }
},</v>
      </c>
      <c r="M66" s="48" t="str">
        <f>B.Frontend!R10</f>
        <v>ApiServiceProxies.LgaSpsStockServiceProxy,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3"/>
  <sheetViews>
    <sheetView tabSelected="1" workbookViewId="0">
      <pane xSplit="1" topLeftCell="B1" activePane="topRight" state="frozen"/>
      <selection pane="topRight" activeCell="F16" sqref="F16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vovina.LogA.Sps.Dto;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340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330</v>
      </c>
      <c r="C3" s="10" t="s">
        <v>43</v>
      </c>
      <c r="D3" s="10" t="s">
        <v>44</v>
      </c>
      <c r="E3" s="10" t="s">
        <v>39</v>
      </c>
      <c r="F3" s="11" t="str">
        <f>"J"&amp;COUNTA($A:$A)</f>
        <v>J21</v>
      </c>
      <c r="G3" s="4" t="s">
        <v>57</v>
      </c>
      <c r="H3" s="10" t="str">
        <f>"I"&amp;COUNTA($A:$A)</f>
        <v>I21</v>
      </c>
      <c r="I3" s="10" t="str">
        <f>REPT(CHAR(9),2)&amp;"[Required]"&amp;"
"</f>
        <v xml:space="preserve">		[Required]
</v>
      </c>
      <c r="J3" s="11" t="str">
        <f>"L"&amp;COUNTA($A:$A)</f>
        <v>L21</v>
      </c>
      <c r="K3" s="5" t="s">
        <v>56</v>
      </c>
      <c r="L3" s="11" t="str">
        <f>"M"&amp;COUNTA($A:$A)</f>
        <v>M21</v>
      </c>
      <c r="M3" s="11" t="str">
        <f>"N"&amp;COUNTA($A:$A)</f>
        <v>N21</v>
      </c>
      <c r="N3" s="11" t="str">
        <f>"O"&amp;COUNTA($A:$A)</f>
        <v>O21</v>
      </c>
      <c r="O3" s="11" t="str">
        <f>"P"&amp;COUNTA($A:$A)</f>
        <v>P21</v>
      </c>
      <c r="Q3" s="11" t="str">
        <f>RIGHT(B2,(LEN(B2)-FIND(".",B2,1)))</f>
        <v>Sps</v>
      </c>
      <c r="R3" s="32" t="str">
        <f>REPT(CHAR(9),1)&amp;"public class "&amp;B3&amp;"ExportInput"&amp;C3</f>
        <v xml:space="preserve">	public class LgaSpsStockExportInput{
</v>
      </c>
      <c r="S3" s="11" t="str">
        <f>"namespace "&amp;$B$6&amp;".Exporting
"&amp;$C$3</f>
        <v xml:space="preserve">namespace vovina.LogA.Sps.Exporting
{
</v>
      </c>
      <c r="T3" s="11" t="str">
        <f>"T"&amp;COUNTA($A:$A)</f>
        <v>T21</v>
      </c>
      <c r="V3" s="11" t="str">
        <f>"V"&amp;COUNTA($A:$A)</f>
        <v>V21</v>
      </c>
      <c r="W3" s="10" t="str">
        <f>"W"&amp;COUNTA($A:$A)</f>
        <v>W21</v>
      </c>
    </row>
    <row r="4" spans="1:23" s="11" customFormat="1" ht="33" customHeight="1" x14ac:dyDescent="0.25">
      <c r="A4" s="1" t="s">
        <v>237</v>
      </c>
      <c r="B4" s="64" t="s">
        <v>307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vovina.LogA.Sps</v>
      </c>
      <c r="C6" s="11" t="str">
        <f>"namespace "&amp;$B$6&amp;"
"&amp;$C$3</f>
        <v xml:space="preserve">namespace vovina.LogA.Sps
{
</v>
      </c>
      <c r="D6" s="11" t="str">
        <f>REPT(CHAR(9),1)&amp;"public class "&amp;B3&amp;G3&amp;REPT(CHAR(9),1)&amp;"
"&amp;REPT(CHAR(9),1)&amp;C3</f>
        <v xml:space="preserve">	public class LgaSpsStock: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LgaSpsStockConsts	
	{
</v>
      </c>
      <c r="F6" s="11" t="str">
        <f>REPT(CHAR(9),1)&amp;"public class "&amp;B3&amp;"Dto"&amp;K3&amp;REPT(CHAR(9),1)&amp;"
"&amp;REPT(CHAR(9),1)&amp;C3</f>
        <v xml:space="preserve">	public class LgaSpsStockDto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CreateOrEditLgaSpsStockDto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GetLgaSpsStockInput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LgaSpsStock</v>
      </c>
      <c r="C7" s="11" t="str">
        <f>REPT(CHAR(9),1)&amp;"[Table("""&amp;B7&amp;""")]"&amp;"
"</f>
        <v xml:space="preserve">	[Table("LgaSpsStock")]
</v>
      </c>
      <c r="D7" s="11"/>
      <c r="E7" s="11"/>
      <c r="F7" s="11"/>
      <c r="G7" s="11"/>
      <c r="H7" s="11"/>
      <c r="I7" s="11"/>
      <c r="J7" s="6" t="str">
        <f ca="1">SUBSTITUTE(SUBSTITUTE((B1&amp;C6&amp;C7&amp;K23&amp;D6&amp;I23&amp;E3&amp;J23&amp;""&amp;REPT(CHAR(9),1)&amp;D3&amp;D3),"WorkingPattern",$Q$3),"Master",$B$4)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vovina.LogA.Sps
{
	[Table("LgaSpsStock")]
	[Index(nameof(PartNo), Name="IX_LgaSpsStock_PartNo")]
	[Index(nameof(SupplierNo), Name="IX_LgaSpsStock_SupplierNo")]
	[Index(nameof(SpsRackAddress), Name="IX_LgaSpsStock_SpsRackAddress")]
	[Index(nameof(IsActive), Name="IX_LgaSpsStock_IsActive")]	public class LgaSpsStock: FullAuditedEntity&lt;long&gt;, IEntity&lt;long&gt;	
	{
		public const int MaxPartNoLength = 50;
		public const int MaxPartNameLength = 500;
		public const int MaxSupplierNoLength = 50;
		public const int MaxBackNoLength = 50;
		public const int MaxSpsRackAddressLength = 500;
		public const int MaxPcRackAddressLength = 500;
		public const int MaxProcessLength = 50;
		public const int MaxIsActiveLength = 1;
		[StringLength(MaxPartNoLength)]
		public virtual string PartNo { get; set; }
		[StringLength(MaxPartNameLength)]
		public virtual string PartName { get; set; }
		[StringLength(MaxSupplierNoLength)]
		public virtual string SupplierNo { get; set; }
		[StringLength(MaxBackNoLength)]
		public virtual string BackNo { get; set; }
		[StringLength(MaxSpsRackAddressLength)]
		public virtual string SpsRackAddress { get; set; }
		[StringLength(MaxPcRackAddressLength)]
		public virtual string PcRackAddress { get; set; }
		public virtual int RackCapBox { get; set; }
		public virtual int PcPikingMember { get; set; }
		public virtual int EkbQty { get; set; }
		public virtual int StockQty { get; set; }
		public virtual int BoxQty { get; set; }
		[StringLength(MaxProcessLength)]
		public virtual string Process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DbSet&lt;LgaSpsStock&gt; LgaSpsStocks { get; set; }</v>
      </c>
      <c r="L7" t="str">
        <f ca="1">SUBSTITUTE(SUBSTITUTE((C6&amp;E6&amp;I23&amp;"
"&amp;REPT(CHAR(9),2)&amp;"// Define Store Name: Format SP_ + &lt;Store Name&gt; = &lt;Store Name&gt;
"&amp;E3&amp;REPT(CHAR(9),1)&amp;D3&amp;D3),"WorkingPattern",$Q$3),"Master",$B$4)</f>
        <v xml:space="preserve">namespace vovina.LogA.Sps
{
	public class LgaSpsStockConsts	
	{
		public const int MaxPartNoLength = 50;
		public const int MaxPartNameLength = 500;
		public const int MaxSupplierNoLength = 50;
		public const int MaxBackNoLength = 50;
		public const int MaxSpsRackAddressLength = 500;
		public const int MaxPcRackAddressLength = 500;
		public const int MaxProcessLength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"&amp;B6&amp;".Dto"&amp;E3&amp;C3&amp;F6&amp;M23&amp;E3&amp;REPT(CHAR(9),1)&amp;D3&amp;G6&amp;N23&amp;REPT(CHAR(9),1)&amp;D3&amp;H6&amp;O23&amp;"
"&amp;REPT(CHAR(9),1)&amp;D3&amp;D3),"WorkingPattern",$Q$3),"Master",$B$4)</f>
        <v xml:space="preserve">using Abp.Application.Services.Dto;
using System;
using System.ComponentModel.DataAnnotations;
namespace vovina.LogA.Sps.Dto
{
	public class LgaSpsStockDto : EntityDto&lt;long?&gt;	
	{
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	}
	public class CreateOrEditLgaSpsStockDto : EntityDto&lt;long?&gt;	
	{
		[StringLength(LgaSpsStockConsts.MaxPartNoLength)]
		public virtual string PartNo { get; set; }
		[StringLength(LgaSpsStockConsts.MaxPartNameLength)]
		public virtual string PartName { get; set; }
		[StringLength(LgaSpsStockConsts.MaxSupplierNoLength)]
		public virtual string SupplierNo { get; set; }
		[StringLength(LgaSpsStockConsts.MaxBackNoLength)]
		public virtual string BackNo { get; set; }
		[StringLength(LgaSpsStockConsts.MaxSpsRackAddressLength)]
		public virtual string SpsRackAddress { get; set; }
		[StringLength(LgaSpsStockConsts.MaxPcRackAddressLength)]
		public virtual string PcRackAddress { get; set; }
		public virtual int RackCapBox { get; set; }
		public virtual int PcPikingMember { get; set; }
		public virtual int EkbQty { get; set; }
		public virtual int StockQty { get; set; }
		public virtual int BoxQty { get; set; }
		[StringLength(LgaSpsStockConsts.MaxProcessLength)]
		public virtual string Process { get; set; }
		[StringLength(LgaSpsStockConsts.MaxIsActiveLength)]
		public virtual string IsActive { get; set; }
	}
	public class GetLgaSpsStockInput : PagedAndSortedResultRequestDto	
	{
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perLgaSpsStock = PARENTS.CreateChildPermission(AppPermissions.Pages_LogA_Sps_Stock, L( "LogASpsStock"), multiTenancySides: MultiTenancySides.Tenant);
		perLgaSpsStock.CreateChildPermission(AppPermissions.Pages_LogA_Sps_Stock_CreateEdit, L( "LogASpsStockCreateEdit"), multiTenancySides: MultiTenancySides.Tenant);
		perLgaSpsStock.CreateChildPermission(AppPermissions.Pages_LogA_Sps_Stock_Delete, L( "LogASpsStockDelete"),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Pages_LogA_Sps_Stock = "Pages.LogA.Sps.Stock";
		public const string Pages_LogA_Sps_Stock_CreateEdit = "Pages.LogA.Sps.Stock.CreateEdit";
		public const string Pages_LogA_Sps_Stock_Delete = "Pages.LogA.Sps.Stock.Delete";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vovina.LogA.Sps.Dto;
namespace vovina.LogA.Sps
{
	public interface ILgaSpsStockAppService : IApplicationService
	{
		Task&lt;PagedResultDto&lt;LgaSpsStockDto&gt;&gt; GetAll(GetLgaSpsStockInput input);
		Task CreateOrEdit(CreateOrEditLgaSpsStockDto input);
		Task Delete(EntityDto input);
	}
}
</v>
      </c>
      <c r="Q7" t="str">
        <f ca="1">SUBSTITUTE(SUBSTITUTE(SUBSTITUTE(SUBSTITUTE(SUBSTITUTE(SUBSTITUTE(E1,"MstWptCalendar",$B$3),"&lt;PROPERTIES&gt;",P23),"Calendar",$B$5),"WorkingPattern",$Q$3),"Master",$B$4),"&lt;PARAMS_SEARCH&gt;",$W$23)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vovina.LogA.Sps.Dto;
using vovina.LogA.Sps.Exporting;
namespace vovina.LogA.Sps
{
    [AbpAuthorize(AppPermissions.Pages_LogA_Sps_Stock)]
    public class LgaSpsStockAppService : vovinaAppServiceBase, ILgaSpsStockAppService
    {
        private readonly IDapperRepository&lt;LgaSpsStock, long&gt; _dapperRepo;
        private readonly IRepository&lt;LgaSpsStock, long&gt; _repo;
        private readonly ILgaSpsStockExcelExporter _calendarListExcelExporter;
        public LgaSpsStockAppService(IRepository&lt;LgaSpsStock,long&gt; repo, 
                                         IDapperRepository&lt;LgaSpsStock,long&gt; dapperRepo,
                                        ILgaSpsStockExcelExporter calendarListExcelExporter
            )
        {
            _repo = repo;
            _dapperRepo = dapperRepo;
            _calendarListExcelExporter = calendarListExcelExporter;
        }
        [AbpAuthorize(AppPermissions.Pages_LogA_Sps_Stock_CreateEdit)]
        public async Task CreateOrEdit(CreateOrEditLgaSpsStockDto input)
        {
            if (input.Id == null) await Create(input);
            else await Update(input);
        }
        //CREATE
        private async Task Create(CreateOrEditLgaSpsStockDto input)
        {          
            var mainObj = ObjectMapper.Map&lt;LgaSpsStock&gt;(input);
            await CurrentUnitOfWork.GetDbContext&lt;vovinaDbContext&gt;().AddAsync(mainObj);
        }
        // EDIT
        private async Task Update(CreateOrEditLgaSpsStockDto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[AbpAuthorize(AppPermissions.Pages_LogA_Sps_Stock_Delete)]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Task&lt;PagedResultDto&lt;LgaSpsStockDto&gt;&gt; GetAll(GetLgaSpsStockInput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.WhereIf(!string.IsNullOrWhiteSpace(input.SupplierNo), e =&gt; e.SupplierNo.Contains(input.SupplierNo))
				.WhereIf(!string.IsNullOrWhiteSpace(input.BackNo), e =&gt; e.BackNo.Contains(input.BackNo))
				.WhereIf(!string.IsNullOrWhiteSpace(input.SpsRackAddress), e =&gt; e.SpsRackAddress.Contains(input.SpsRackAddress))
				.WhereIf(!string.IsNullOrWhiteSpace(input.PcRackAddress), e =&gt; e.PcRackAddress.Contains(input.PcRackAddress))
				.WhereIf(!string.IsNullOrWhiteSpace(input.Process), e =&gt; e.Process.Contains(input.Process))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LgaSpsStockDto
                        {
							Id = o.Id,
							PartNo = o.PartNo,
							PartName = o.PartName,
							SupplierNo = o.SupplierNo,
							BackNo = o.BackNo,
							SpsRackAddress = o.SpsRackAddress,
							PcRackAddress = o.PcRackAddress,
							RackCapBox = o.RackCapBox,
							PcPikingMember = o.PcPikingMember,
							EkbQty = o.EkbQty,
							StockQty = o.StockQty,
							BoxQty = o.BoxQty,
							Process = o.Process,
							IsActive = o.IsActive,
                        };
            var totalCount = await filtered.CountAsync();
			var paged = system.PageBy(input);
            return new PagedResultDto&lt;LgaSpsStockDto&gt;(
                totalCount,
                 await paged.ToListAsync()
            );
        }
        public async Task&lt;FileDto&gt; GetStockToExcel(LgaSpsStockExportInput input)
        {
            var query = from o in _repo.GetAll()
                        select new LgaSpsStockDto
                        {
							Id = o.Id,
							PartNo = o.PartNo,
							PartName = o.PartName,
							SupplierNo = o.SupplierNo,
							BackNo = o.BackNo,
							SpsRackAddress = o.SpsRackAddress,
							PcRackAddress = o.PcRackAddress,
							RackCapBox = o.RackCapBox,
							PcPikingMember = o.PcPikingMember,
							EkbQty = o.EkbQty,
							StockQty = o.StockQty,
							BoxQty = o.BoxQty,
							Process = o.Process,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_dapperRepo.ExecuteAsync(LgaSpsStockConsts.SP_MST_WPT_CALENDAR_GENERATE);
       // }
    }
}</v>
      </c>
      <c r="R7" t="str">
        <f ca="1">SUBSTITUTE(SUBSTITUTE((C1&amp;"namespace "&amp;B6&amp;".Dto"&amp;E3&amp;C3&amp;R3&amp;M23&amp;E3&amp;REPT(CHAR(9),1)&amp;D3&amp;D3),"WorkingPattern",$Q$3),"Master",$B$4)</f>
        <v xml:space="preserve">using Abp.Application.Services.Dto;
using System;
using System.ComponentModel.DataAnnotations;
namespace vovina.LogA.Sps.Dto
{
	public class LgaSpsStockExportInput{
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vovina.LogA.Sps.Dto;
namespace vovina.LogA.Sps.Exporting
{
	public interface ILgaSpsStockExcelExporter : IApplicationService
	{
		FileDto ExportToFile(List&lt;LgaSpsStockDto&gt; lgaspsstock);
	}
}
</v>
      </c>
      <c r="T7" s="28" t="str">
        <f ca="1">SUBSTITUTE(SUBSTITUTE(SUBSTITUTE(SUBSTITUTE(SUBSTITUTE(SUBSTITUTE(SUBSTITUTE(T1,"MstWptCalendar",$B$3),"&lt;PROPERTIES1&gt;",V23),"&lt;PROPERTIES&gt;",T23),"Calendar",$B$5),"calendar",LOWER(B5)),"WorkingPattern",$Q$3),"Master",$B$4)</f>
        <v>using System.Collections.Generic;
using vovina.DataExporting.Excel.NPOI;
using vovina.Dto;
using vovina.LogA.Sps.Exporting;
using vovina.LogA.Sps.Dto;
using vovina.Storage;
using vovina.LogA.Sps.Dto;
namespace vovina.LogA.Sps.Exporting
{
    public class LgaSpsStockExcelExporter : NpoiExcelExporterBase, ILgaSpsStockExcelExporter
    {
        public LgaSpsStockExcelExporter(ITempFileCacheManager tempFileCacheManager) : base(tempFileCacheManager) { }
        public FileDto ExportToFile(List&lt;LgaSpsStockDto&gt; stock)
        {
            return CreateExcelPackage(
				"LogASpsStock.xlsx",
				excelPackage =&gt;
				 {
					var sheet = excelPackage.CreateSheet("Stock");
					AddHeader(
								sheet,
								("PartNo"),
								("PartName"),
								("SupplierNo"),
								("BackNo"),
								("SpsRackAddress"),
								("PcRackAddress"),
								("RackCapBox"),
								("PcPikingMember"),
								("EkbQty"),
								("StockQty"),
								("BoxQty"),
								("Process"),
								("IsActive"),
							   );
					AddObjects(
						 sheet, 1, stock,                                       
								_ =&gt; _.PartNo,
								_ =&gt; _.PartName,
								_ =&gt; _.SupplierNo,
								_ =&gt; _.BackNo,
								_ =&gt; _.SpsRackAddress,
								_ =&gt; _.PcRackAddress,
								_ =&gt; _.RackCapBox,
								_ =&gt; _.PcPikingMember,
								_ =&gt; _.EkbQty,
								_ =&gt; _.StockQty,
								_ =&gt; _.BoxQty,
								_ =&gt; _.Process,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configuration.CreateMap&lt;LgaSpsStockDto, LgaSpsStock&gt;();
  configuration.CreateMap&lt;LgaSpsStock, LgaSpsStockDto&gt;();
  configuration.CreateMap&lt;CreateOrEditLgaSpsStockDto, LgaSpsStock&gt;();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324</v>
      </c>
      <c r="B9" t="s">
        <v>321</v>
      </c>
      <c r="C9" t="s">
        <v>1</v>
      </c>
      <c r="D9" t="str">
        <f>SUBSTITUTE(PROPER(A9),"_","")</f>
        <v>PartNo</v>
      </c>
      <c r="E9" t="str">
        <f t="shared" ref="E9" si="0">IFERROR(LEFT(B9, FIND("(",B9)-1),B9)</f>
        <v>varchar</v>
      </c>
      <c r="F9" s="7"/>
      <c r="G9" t="str">
        <f t="shared" ref="G9" si="1">IFERROR(MID(B9,FIND("(",B9) +1, FIND(")",B9) - FIND("(",B9) - 1),"")</f>
        <v>50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MaxPartNoLength = 50;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[Index(nameof(PartNo), Name="IX_LgaSpsStock_PartNo")]</v>
      </c>
      <c r="M9" t="str">
        <f t="shared" ref="M9" si="4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[StringLength(LgaSpsStockConsts.MaxPartNoLength)]
		public virtual string PartNo { get; set; }
</v>
      </c>
      <c r="O9" t="str">
        <f t="shared" ref="O9" si="6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7">REPT(CHAR(9),7)&amp;D9&amp;" = o." &amp;D9 &amp;","</f>
        <v xml:space="preserve">							PartNo = o.PartNo,</v>
      </c>
      <c r="T9" s="69" t="str">
        <f t="shared" ref="T9" si="8">REPT(CHAR(9),8)&amp;"("""&amp;D9&amp;"""),"</f>
        <v xml:space="preserve">								("PartNo"),</v>
      </c>
      <c r="V9" s="70" t="str">
        <f t="shared" ref="V9" si="9">REPT(CHAR(9),8)&amp;"_ =&gt; _."&amp;D9&amp;","</f>
        <v xml:space="preserve">								_ =&gt; _.PartNo,</v>
      </c>
      <c r="W9" s="69" t="str">
        <f t="shared" ref="W9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22.5" customHeight="1" x14ac:dyDescent="0.25">
      <c r="A10" s="17" t="s">
        <v>322</v>
      </c>
      <c r="B10" t="s">
        <v>323</v>
      </c>
      <c r="C10" t="s">
        <v>1</v>
      </c>
      <c r="D10" t="str">
        <f>SUBSTITUTE(PROPER(A10),"_","")</f>
        <v>PartName</v>
      </c>
      <c r="E10" t="str">
        <f t="shared" ref="E10:E16" si="11">IFERROR(LEFT(B10, FIND("(",B10)-1),B10)</f>
        <v>varchar</v>
      </c>
      <c r="F10" s="7"/>
      <c r="G10" t="str">
        <f t="shared" ref="G10:G16" si="12">IFERROR(MID(B10,FIND("(",B10) +1, FIND(")",B10) - FIND("(",B10) - 1),"")</f>
        <v>500</v>
      </c>
      <c r="H10" t="str">
        <f>+VLOOKUP(E10,'Data Type Mapping'!A:B,2,)</f>
        <v>string</v>
      </c>
      <c r="I10" t="str">
        <f t="shared" ref="I10:I16" si="13">IF(H10="string",REPT(CHAR(9),2)&amp;"public const int Max"&amp;D10&amp;"Length = "&amp;G10&amp;";"&amp;$E$3,"" )</f>
        <v xml:space="preserve">		public const int MaxPartNameLength = 500;
</v>
      </c>
      <c r="J10" t="str">
        <f t="shared" ref="J10:J16" si="14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16" si="15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6" si="16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[StringLength(LgaSpsStockConsts.MaxPartNameLength)]
		public virtual string PartName { get; set; }
</v>
      </c>
      <c r="O10" t="str">
        <f t="shared" ref="O10:O16" si="17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6" si="18">REPT(CHAR(9),7)&amp;D10&amp;" = o." &amp;D10 &amp;","</f>
        <v xml:space="preserve">							PartName = o.PartName,</v>
      </c>
      <c r="T10" s="69" t="str">
        <f t="shared" ref="T10:T16" si="19">REPT(CHAR(9),8)&amp;"("""&amp;D10&amp;"""),"</f>
        <v xml:space="preserve">								("PartName"),</v>
      </c>
      <c r="V10" s="70" t="str">
        <f t="shared" ref="V10:V16" si="20">REPT(CHAR(9),8)&amp;"_ =&gt; _."&amp;D10&amp;","</f>
        <v xml:space="preserve">								_ =&gt; _.PartName,</v>
      </c>
      <c r="W10" s="69" t="str">
        <f t="shared" ref="W10:W16" si="21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22.5" customHeight="1" x14ac:dyDescent="0.25">
      <c r="A11" t="s">
        <v>336</v>
      </c>
      <c r="B11" t="s">
        <v>321</v>
      </c>
      <c r="C11" t="s">
        <v>1</v>
      </c>
      <c r="D11" t="str">
        <f>SUBSTITUTE(PROPER(A11),"_","")</f>
        <v>SupplierNo</v>
      </c>
      <c r="E11" t="str">
        <f t="shared" si="11"/>
        <v>varchar</v>
      </c>
      <c r="F11" s="7"/>
      <c r="G11" t="str">
        <f t="shared" si="12"/>
        <v>50</v>
      </c>
      <c r="H11" t="str">
        <f>+VLOOKUP(E11,'Data Type Mapping'!A:B,2,)</f>
        <v>string</v>
      </c>
      <c r="I11" t="str">
        <f t="shared" si="13"/>
        <v xml:space="preserve">		public const int MaxSupplierNoLength = 50;
</v>
      </c>
      <c r="J11" t="str">
        <f t="shared" si="14"/>
        <v xml:space="preserve">		[StringLength(MaxSupplierNoLength)]
		public virtual string SupplierNo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[Index(nameof(SupplierNo), Name="IX_LgaSpsStock_SupplierNo")]</v>
      </c>
      <c r="M11" t="str">
        <f t="shared" si="15"/>
        <v xml:space="preserve">		public virtual string SupplierNo { get; set; }
</v>
      </c>
      <c r="N11" t="str">
        <f t="shared" si="16"/>
        <v xml:space="preserve">		[StringLength(LgaSpsStockConsts.MaxSupplierNoLength)]
		public virtual string SupplierNo { get; set; }
</v>
      </c>
      <c r="O11" t="str">
        <f t="shared" si="17"/>
        <v xml:space="preserve">		public virtual string SupplierNo { get; set; }
</v>
      </c>
      <c r="P11" t="str">
        <f t="shared" si="18"/>
        <v xml:space="preserve">							SupplierNo = o.SupplierNo,</v>
      </c>
      <c r="T11" s="69" t="str">
        <f t="shared" si="19"/>
        <v xml:space="preserve">								("SupplierNo"),</v>
      </c>
      <c r="V11" s="70" t="str">
        <f t="shared" si="20"/>
        <v xml:space="preserve">								_ =&gt; _.SupplierNo,</v>
      </c>
      <c r="W11" s="69" t="str">
        <f t="shared" si="21"/>
        <v xml:space="preserve">				.WhereIf(!string.IsNullOrWhiteSpace(input.SupplierNo), e =&gt; e.SupplierNo.Contains(input.SupplierNo))</v>
      </c>
    </row>
    <row r="12" spans="1:23" customFormat="1" ht="21" customHeight="1" x14ac:dyDescent="0.25">
      <c r="A12" t="s">
        <v>325</v>
      </c>
      <c r="B12" t="s">
        <v>321</v>
      </c>
      <c r="C12" t="s">
        <v>1</v>
      </c>
      <c r="D12" t="str">
        <f t="shared" ref="D12:D16" si="22">SUBSTITUTE(PROPER(A12),"_","")</f>
        <v>BackNo</v>
      </c>
      <c r="E12" t="str">
        <f t="shared" si="11"/>
        <v>varchar</v>
      </c>
      <c r="F12" s="7"/>
      <c r="G12" t="str">
        <f t="shared" si="12"/>
        <v>50</v>
      </c>
      <c r="H12" t="str">
        <f>+VLOOKUP(E12,'Data Type Mapping'!A:B,2,)</f>
        <v>string</v>
      </c>
      <c r="I12" t="str">
        <f t="shared" si="13"/>
        <v xml:space="preserve">		public const int MaxBackNoLength = 50;
</v>
      </c>
      <c r="J12" t="str">
        <f t="shared" si="14"/>
        <v xml:space="preserve">		[StringLength(MaxBackNoLength)]
		public virtual string BackNo { get; set; }
</v>
      </c>
      <c r="K12" s="7"/>
      <c r="L12" t="str">
        <f t="shared" ref="L12:L16" si="23">IF(K12="","",REPT(CHAR(9),1)&amp;"[Index(nameof("&amp;IF(D12="","",""&amp;D12)&amp;")"&amp;", Name="&amp;"""IX_"&amp;$B$7&amp;"_"&amp;D12&amp;""")]")</f>
        <v/>
      </c>
      <c r="M12" t="str">
        <f t="shared" si="15"/>
        <v xml:space="preserve">		public virtual string BackNo { get; set; }
</v>
      </c>
      <c r="N12" t="str">
        <f t="shared" si="16"/>
        <v xml:space="preserve">		[StringLength(LgaSpsStockConsts.MaxBackNoLength)]
		public virtual string BackNo { get; set; }
</v>
      </c>
      <c r="O12" t="str">
        <f t="shared" si="17"/>
        <v xml:space="preserve">		public virtual string BackNo { get; set; }
</v>
      </c>
      <c r="P12" t="str">
        <f t="shared" si="18"/>
        <v xml:space="preserve">							BackNo = o.BackNo,</v>
      </c>
      <c r="T12" s="69" t="str">
        <f t="shared" si="19"/>
        <v xml:space="preserve">								("BackNo"),</v>
      </c>
      <c r="V12" s="70" t="str">
        <f t="shared" si="20"/>
        <v xml:space="preserve">								_ =&gt; _.BackNo,</v>
      </c>
      <c r="W12" s="69" t="str">
        <f t="shared" si="21"/>
        <v xml:space="preserve">				.WhereIf(!string.IsNullOrWhiteSpace(input.BackNo), e =&gt; e.BackNo.Contains(input.BackNo))</v>
      </c>
    </row>
    <row r="13" spans="1:23" customFormat="1" ht="18.75" customHeight="1" x14ac:dyDescent="0.25">
      <c r="A13" t="s">
        <v>331</v>
      </c>
      <c r="B13" t="s">
        <v>323</v>
      </c>
      <c r="C13" t="s">
        <v>1</v>
      </c>
      <c r="D13" t="str">
        <f t="shared" ref="D13" si="24">SUBSTITUTE(PROPER(A13),"_","")</f>
        <v>SpsRackAddress</v>
      </c>
      <c r="E13" t="str">
        <f t="shared" ref="E13" si="25">IFERROR(LEFT(B13, FIND("(",B13)-1),B13)</f>
        <v>varchar</v>
      </c>
      <c r="F13" s="7"/>
      <c r="G13" t="str">
        <f>IFERROR(MID(B13,FIND("(",B13) +1, FIND(")",B13) - FIND("(",B13) - 1),"")</f>
        <v>500</v>
      </c>
      <c r="H13" t="str">
        <f>+VLOOKUP(E13,'Data Type Mapping'!A:B,2,)</f>
        <v>string</v>
      </c>
      <c r="I13" t="str">
        <f t="shared" ref="I13" si="26">IF(H13="string",REPT(CHAR(9),2)&amp;"public const int Max"&amp;D13&amp;"Length = "&amp;G13&amp;";"&amp;$E$3,"" )</f>
        <v xml:space="preserve">		public const int MaxSpsRackAddressLength = 500;
</v>
      </c>
      <c r="J13" t="str">
        <f t="shared" ref="J13" si="27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[StringLength(MaxSpsRackAddressLength)]
		public virtual string SpsRackAddress { get; set; }
</v>
      </c>
      <c r="K13" s="7" t="s">
        <v>206</v>
      </c>
      <c r="L13" t="str">
        <f t="shared" ref="L13" si="28">IF(K13="","",REPT(CHAR(9),1)&amp;"[Index(nameof("&amp;IF(D13="","",""&amp;D13)&amp;")"&amp;", Name="&amp;"""IX_"&amp;$B$7&amp;"_"&amp;D13&amp;""")]")</f>
        <v xml:space="preserve">	[Index(nameof(SpsRackAddress), Name="IX_LgaSpsStock_SpsRackAddress")]</v>
      </c>
      <c r="M13" t="str">
        <f t="shared" ref="M13" si="29">REPT(CHAR(9),2)&amp;"public virtual "&amp;IF(OR(H13="DateTime",H13="TimeSpan"),H13&amp;"?",H13)&amp;IF(C13="?","? "," ")&amp;D13&amp;" { get; set; }" &amp; "
"</f>
        <v xml:space="preserve">		public virtual string SpsRackAddress { get; set; }
</v>
      </c>
      <c r="N13" t="str">
        <f t="shared" ref="N13" si="30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[StringLength(LgaSpsStockConsts.MaxSpsRackAddressLength)]
		public virtual string SpsRackAddress { get; set; }
</v>
      </c>
      <c r="O13" t="str">
        <f t="shared" ref="O13" si="31">IF(OR(H13="string",H13="DateTime",H13="int"),REPT(CHAR(9),2)&amp;"public virtual "&amp;IF(OR(H13="DateTime",H13="TimeSpan"),H13&amp;"?",H13)&amp;IF(C13="?","? "," ")&amp;D13&amp;" { get; set; }"&amp;$E$3,"")</f>
        <v xml:space="preserve">		public virtual string SpsRackAddress { get; set; }
</v>
      </c>
      <c r="P13" t="str">
        <f t="shared" ref="P13" si="32">REPT(CHAR(9),7)&amp;D13&amp;" = o." &amp;D13 &amp;","</f>
        <v xml:space="preserve">							SpsRackAddress = o.SpsRackAddress,</v>
      </c>
      <c r="T13" s="69" t="str">
        <f t="shared" ref="T13" si="33">REPT(CHAR(9),8)&amp;"("""&amp;D13&amp;"""),"</f>
        <v xml:space="preserve">								("SpsRackAddress"),</v>
      </c>
      <c r="V13" s="70" t="str">
        <f t="shared" ref="V13" si="34">REPT(CHAR(9),8)&amp;"_ =&gt; _."&amp;D13&amp;","</f>
        <v xml:space="preserve">								_ =&gt; _.SpsRackAddress,</v>
      </c>
      <c r="W13" s="69" t="str">
        <f t="shared" ref="W13" si="35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.WhereIf(!string.IsNullOrWhiteSpace(input.SpsRackAddress), e =&gt; e.SpsRackAddress.Contains(input.SpsRackAddress))</v>
      </c>
    </row>
    <row r="14" spans="1:23" customFormat="1" ht="18.75" customHeight="1" x14ac:dyDescent="0.25">
      <c r="A14" t="s">
        <v>326</v>
      </c>
      <c r="B14" t="s">
        <v>323</v>
      </c>
      <c r="C14" t="s">
        <v>1</v>
      </c>
      <c r="D14" t="str">
        <f t="shared" si="22"/>
        <v>PcRackAddress</v>
      </c>
      <c r="E14" t="str">
        <f t="shared" si="11"/>
        <v>varchar</v>
      </c>
      <c r="F14" s="7"/>
      <c r="G14" t="str">
        <f t="shared" si="12"/>
        <v>500</v>
      </c>
      <c r="H14" t="str">
        <f>+VLOOKUP(E14,'Data Type Mapping'!A:B,2,)</f>
        <v>string</v>
      </c>
      <c r="I14" t="str">
        <f t="shared" si="13"/>
        <v xml:space="preserve">		public const int MaxPcRackAddressLength = 500;
</v>
      </c>
      <c r="J14" t="str">
        <f t="shared" si="14"/>
        <v xml:space="preserve">		[StringLength(MaxPcRackAddressLength)]
		public virtual string PcRackAddress { get; set; }
</v>
      </c>
      <c r="K14" s="7"/>
      <c r="L14" t="str">
        <f t="shared" si="23"/>
        <v/>
      </c>
      <c r="M14" t="str">
        <f t="shared" si="15"/>
        <v xml:space="preserve">		public virtual string PcRackAddress { get; set; }
</v>
      </c>
      <c r="N14" t="str">
        <f t="shared" si="16"/>
        <v xml:space="preserve">		[StringLength(LgaSpsStockConsts.MaxPcRackAddressLength)]
		public virtual string PcRackAddress { get; set; }
</v>
      </c>
      <c r="O14" t="str">
        <f t="shared" si="17"/>
        <v xml:space="preserve">		public virtual string PcRackAddress { get; set; }
</v>
      </c>
      <c r="P14" t="str">
        <f t="shared" si="18"/>
        <v xml:space="preserve">							PcRackAddress = o.PcRackAddress,</v>
      </c>
      <c r="T14" s="69" t="str">
        <f t="shared" si="19"/>
        <v xml:space="preserve">								("PcRackAddress"),</v>
      </c>
      <c r="V14" s="70" t="str">
        <f t="shared" si="20"/>
        <v xml:space="preserve">								_ =&gt; _.PcRackAddress,</v>
      </c>
      <c r="W14" s="69" t="str">
        <f t="shared" si="21"/>
        <v xml:space="preserve">				.WhereIf(!string.IsNullOrWhiteSpace(input.PcRackAddress), e =&gt; e.PcRackAddress.Contains(input.PcRackAddress))</v>
      </c>
    </row>
    <row r="15" spans="1:23" customFormat="1" ht="18.75" customHeight="1" x14ac:dyDescent="0.25">
      <c r="A15" t="s">
        <v>327</v>
      </c>
      <c r="B15" t="s">
        <v>4</v>
      </c>
      <c r="C15" t="s">
        <v>1</v>
      </c>
      <c r="D15" t="str">
        <f t="shared" si="22"/>
        <v>RackCapBox</v>
      </c>
      <c r="E15" t="str">
        <f t="shared" si="11"/>
        <v>int</v>
      </c>
      <c r="F15" s="7"/>
      <c r="G15" t="str">
        <f t="shared" si="12"/>
        <v/>
      </c>
      <c r="H15" t="str">
        <f>+VLOOKUP(E15,'Data Type Mapping'!A:B,2,)</f>
        <v>int</v>
      </c>
      <c r="I15" t="str">
        <f t="shared" si="13"/>
        <v/>
      </c>
      <c r="J15" t="str">
        <f t="shared" si="14"/>
        <v xml:space="preserve">		public virtual int RackCapBox { get; set; }
</v>
      </c>
      <c r="K15" s="7"/>
      <c r="L15" t="str">
        <f t="shared" si="23"/>
        <v/>
      </c>
      <c r="M15" t="str">
        <f t="shared" si="15"/>
        <v xml:space="preserve">		public virtual int RackCapBox { get; set; }
</v>
      </c>
      <c r="N15" t="str">
        <f t="shared" si="16"/>
        <v xml:space="preserve">		public virtual int RackCapBox { get; set; }
</v>
      </c>
      <c r="O15" t="str">
        <f t="shared" si="17"/>
        <v xml:space="preserve">		public virtual int RackCapBox { get; set; }
</v>
      </c>
      <c r="P15" t="str">
        <f t="shared" si="18"/>
        <v xml:space="preserve">							RackCapBox = o.RackCapBox,</v>
      </c>
      <c r="T15" s="69" t="str">
        <f t="shared" si="19"/>
        <v xml:space="preserve">								("RackCapBox"),</v>
      </c>
      <c r="V15" s="70" t="str">
        <f t="shared" si="20"/>
        <v xml:space="preserve">								_ =&gt; _.RackCapBox,</v>
      </c>
      <c r="W15" s="69" t="str">
        <f t="shared" si="21"/>
        <v/>
      </c>
    </row>
    <row r="16" spans="1:23" customFormat="1" ht="18.75" customHeight="1" x14ac:dyDescent="0.25">
      <c r="A16" t="s">
        <v>332</v>
      </c>
      <c r="B16" t="s">
        <v>4</v>
      </c>
      <c r="C16" t="s">
        <v>1</v>
      </c>
      <c r="D16" t="str">
        <f t="shared" si="22"/>
        <v>PcPikingMember</v>
      </c>
      <c r="E16" t="str">
        <f t="shared" si="11"/>
        <v>int</v>
      </c>
      <c r="F16" s="7"/>
      <c r="G16" t="str">
        <f t="shared" si="12"/>
        <v/>
      </c>
      <c r="H16" t="str">
        <f>+VLOOKUP(E16,'Data Type Mapping'!A:B,2,)</f>
        <v>int</v>
      </c>
      <c r="I16" t="str">
        <f t="shared" si="13"/>
        <v/>
      </c>
      <c r="J16" t="str">
        <f t="shared" si="14"/>
        <v xml:space="preserve">		public virtual int PcPikingMember { get; set; }
</v>
      </c>
      <c r="K16" s="7"/>
      <c r="L16" t="str">
        <f t="shared" si="23"/>
        <v/>
      </c>
      <c r="M16" t="str">
        <f t="shared" si="15"/>
        <v xml:space="preserve">		public virtual int PcPikingMember { get; set; }
</v>
      </c>
      <c r="N16" t="str">
        <f t="shared" si="16"/>
        <v xml:space="preserve">		public virtual int PcPikingMember { get; set; }
</v>
      </c>
      <c r="O16" t="str">
        <f t="shared" si="17"/>
        <v xml:space="preserve">		public virtual int PcPikingMember { get; set; }
</v>
      </c>
      <c r="P16" t="str">
        <f t="shared" si="18"/>
        <v xml:space="preserve">							PcPikingMember = o.PcPikingMember,</v>
      </c>
      <c r="T16" s="69" t="str">
        <f t="shared" si="19"/>
        <v xml:space="preserve">								("PcPikingMember"),</v>
      </c>
      <c r="V16" s="70" t="str">
        <f t="shared" si="20"/>
        <v xml:space="preserve">								_ =&gt; _.PcPikingMember,</v>
      </c>
      <c r="W16" s="69" t="str">
        <f t="shared" si="21"/>
        <v/>
      </c>
    </row>
    <row r="17" spans="1:23" customFormat="1" ht="18.75" customHeight="1" x14ac:dyDescent="0.25">
      <c r="A17" t="s">
        <v>333</v>
      </c>
      <c r="B17" t="s">
        <v>4</v>
      </c>
      <c r="C17" t="s">
        <v>1</v>
      </c>
      <c r="D17" t="str">
        <f t="shared" ref="D17" si="36">SUBSTITUTE(PROPER(A17),"_","")</f>
        <v>EkbQty</v>
      </c>
      <c r="E17" t="str">
        <f t="shared" ref="E17" si="37">IFERROR(LEFT(B17, FIND("(",B17)-1),B17)</f>
        <v>int</v>
      </c>
      <c r="F17" s="7"/>
      <c r="G17" t="str">
        <f t="shared" ref="G17" si="38">IFERROR(MID(B17,FIND("(",B17) +1, FIND(")",B17) - FIND("(",B17) - 1),"")</f>
        <v/>
      </c>
      <c r="H17" t="str">
        <f>+VLOOKUP(E17,'Data Type Mapping'!A:B,2,)</f>
        <v>int</v>
      </c>
      <c r="I17" t="str">
        <f t="shared" ref="I17" si="39">IF(H17="string",REPT(CHAR(9),2)&amp;"public const int Max"&amp;D17&amp;"Length = "&amp;G17&amp;";"&amp;$E$3,"" )</f>
        <v/>
      </c>
      <c r="J17" t="str">
        <f t="shared" ref="J17" si="4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int EkbQty { get; set; }
</v>
      </c>
      <c r="K17" s="7"/>
      <c r="L17" t="str">
        <f t="shared" ref="L17" si="41">IF(K17="","",REPT(CHAR(9),1)&amp;"[Index(nameof("&amp;IF(D17="","",""&amp;D17)&amp;")"&amp;", Name="&amp;"""IX_"&amp;$B$7&amp;"_"&amp;D17&amp;""")]")</f>
        <v/>
      </c>
      <c r="M17" t="str">
        <f t="shared" ref="M17" si="42">REPT(CHAR(9),2)&amp;"public virtual "&amp;IF(OR(H17="DateTime",H17="TimeSpan"),H17&amp;"?",H17)&amp;IF(C17="?","? "," ")&amp;D17&amp;" { get; set; }" &amp; "
"</f>
        <v xml:space="preserve">		public virtual int EkbQty { get; set; }
</v>
      </c>
      <c r="N17" t="str">
        <f t="shared" ref="N17" si="4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int EkbQty { get; set; }
</v>
      </c>
      <c r="O17" t="str">
        <f t="shared" ref="O17" si="44">IF(OR(H17="string",H17="DateTime",H17="int"),REPT(CHAR(9),2)&amp;"public virtual "&amp;IF(OR(H17="DateTime",H17="TimeSpan"),H17&amp;"?",H17)&amp;IF(C17="?","? "," ")&amp;D17&amp;" { get; set; }"&amp;$E$3,"")</f>
        <v xml:space="preserve">		public virtual int EkbQty { get; set; }
</v>
      </c>
      <c r="P17" t="str">
        <f t="shared" ref="P17" si="45">REPT(CHAR(9),7)&amp;D17&amp;" = o." &amp;D17 &amp;","</f>
        <v xml:space="preserve">							EkbQty = o.EkbQty,</v>
      </c>
      <c r="T17" s="69" t="str">
        <f t="shared" ref="T17" si="46">REPT(CHAR(9),8)&amp;"("""&amp;D17&amp;"""),"</f>
        <v xml:space="preserve">								("EkbQty"),</v>
      </c>
      <c r="V17" s="70" t="str">
        <f t="shared" ref="V17" si="47">REPT(CHAR(9),8)&amp;"_ =&gt; _."&amp;D17&amp;","</f>
        <v xml:space="preserve">								_ =&gt; _.EkbQty,</v>
      </c>
      <c r="W17" s="69" t="str">
        <f t="shared" ref="W17" si="4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t="s">
        <v>328</v>
      </c>
      <c r="B18" t="s">
        <v>4</v>
      </c>
      <c r="C18" t="s">
        <v>1</v>
      </c>
      <c r="D18" t="str">
        <f>SUBSTITUTE(PROPER(A18),"_","")</f>
        <v>StockQty</v>
      </c>
      <c r="E18" t="str">
        <f>IFERROR(LEFT(B18, FIND("(",B18)-1),B18)</f>
        <v>int</v>
      </c>
      <c r="F18" s="7"/>
      <c r="G18" t="str">
        <f>IFERROR(MID(B18,FIND("(",B18) +1, FIND(")",B18) - FIND("(",B18) - 1),"")</f>
        <v/>
      </c>
      <c r="H18" t="str">
        <f>+VLOOKUP(E18,'Data Type Mapping'!A:B,2,)</f>
        <v>int</v>
      </c>
      <c r="I18" t="str">
        <f>IF(H18="string",REPT(CHAR(9),2)&amp;"public const int Max"&amp;D18&amp;"Length = "&amp;G18&amp;";"&amp;$E$3,"" )</f>
        <v/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 StockQty { get; set; }
</v>
      </c>
      <c r="K18" s="7"/>
      <c r="L18" t="str">
        <f>IF(K18="","",REPT(CHAR(9),1)&amp;"[Index(nameof("&amp;IF(D18="","",""&amp;D18)&amp;")"&amp;", Name="&amp;"""IX_"&amp;$B$7&amp;"_"&amp;D18&amp;""")]")</f>
        <v/>
      </c>
      <c r="M18" t="str">
        <f>REPT(CHAR(9),2)&amp;"public virtual "&amp;IF(OR(H18="DateTime",H18="TimeSpan"),H18&amp;"?",H18)&amp;IF(C18="?","? "," ")&amp;D18&amp;" { get; set; }" &amp; "
"</f>
        <v xml:space="preserve">		public virtual int StockQty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 StockQty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 xml:space="preserve">		public virtual int StockQty { get; set; }
</v>
      </c>
      <c r="P18" t="str">
        <f>REPT(CHAR(9),7)&amp;D18&amp;" = o." &amp;D18 &amp;","</f>
        <v xml:space="preserve">							StockQty = o.StockQty,</v>
      </c>
      <c r="T18" s="69" t="str">
        <f>REPT(CHAR(9),8)&amp;"("""&amp;D18&amp;"""),"</f>
        <v xml:space="preserve">								("StockQty"),</v>
      </c>
      <c r="V18" s="70" t="str">
        <f>REPT(CHAR(9),8)&amp;"_ =&gt; _."&amp;D18&amp;","</f>
        <v xml:space="preserve">								_ =&gt; _.StockQty,</v>
      </c>
      <c r="W18" s="69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22.5" customHeight="1" x14ac:dyDescent="0.25">
      <c r="A19" t="s">
        <v>329</v>
      </c>
      <c r="B19" t="s">
        <v>4</v>
      </c>
      <c r="C19" t="s">
        <v>1</v>
      </c>
      <c r="D19" t="str">
        <f>SUBSTITUTE(PROPER(A19),"_","")</f>
        <v>BoxQty</v>
      </c>
      <c r="E19" t="str">
        <f>IFERROR(LEFT(B19, FIND("(",B19)-1),B19)</f>
        <v>int</v>
      </c>
      <c r="F19" s="7"/>
      <c r="G19" t="str">
        <f>IFERROR(MID(B19,FIND("(",B19) +1, FIND(")",B19) - FIND("(",B19) - 1),"")</f>
        <v/>
      </c>
      <c r="H19" t="str">
        <f>+VLOOKUP(E19,'Data Type Mapping'!A:B,2,)</f>
        <v>int</v>
      </c>
      <c r="I19" t="str">
        <f>IF(H19="string",REPT(CHAR(9),2)&amp;"public const int Max"&amp;D19&amp;"Length = "&amp;G19&amp;";"&amp;$E$3,"" )</f>
        <v/>
      </c>
      <c r="J19" t="str">
        <f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int BoxQty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>REPT(CHAR(9),2)&amp;"public virtual "&amp;IF(OR(H19="DateTime",H19="TimeSpan"),H19&amp;"?",H19)&amp;IF(C19="?","? "," ")&amp;D19&amp;" { get; set; }" &amp; "
"</f>
        <v xml:space="preserve">		public virtual int BoxQty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int BoxQty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int BoxQty { get; set; }
</v>
      </c>
      <c r="P19" t="str">
        <f>REPT(CHAR(9),7)&amp;D19&amp;" = o." &amp;D19 &amp;","</f>
        <v xml:space="preserve">							BoxQty = o.BoxQty,</v>
      </c>
      <c r="T19" s="69" t="str">
        <f>REPT(CHAR(9),8)&amp;"("""&amp;D19&amp;"""),"</f>
        <v xml:space="preserve">								("BoxQty"),</v>
      </c>
      <c r="V19" s="70" t="str">
        <f>REPT(CHAR(9),8)&amp;"_ =&gt; _."&amp;D19&amp;","</f>
        <v xml:space="preserve">								_ =&gt; _.BoxQty,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t="s">
        <v>334</v>
      </c>
      <c r="B20" t="s">
        <v>321</v>
      </c>
      <c r="C20" t="s">
        <v>1</v>
      </c>
      <c r="D20" t="str">
        <f t="shared" ref="D20" si="49">SUBSTITUTE(PROPER(A20),"_","")</f>
        <v>Process</v>
      </c>
      <c r="E20" t="str">
        <f t="shared" ref="E20:E21" si="50">IFERROR(LEFT(B20, FIND("(",B20)-1),B20)</f>
        <v>varchar</v>
      </c>
      <c r="F20" s="7"/>
      <c r="G20" t="str">
        <f t="shared" ref="G20" si="51">IFERROR(MID(B20,FIND("(",B20) +1, FIND(")",B20) - FIND("(",B20) - 1),"")</f>
        <v>50</v>
      </c>
      <c r="H20" t="str">
        <f>+VLOOKUP(E20,'Data Type Mapping'!A:B,2,)</f>
        <v>string</v>
      </c>
      <c r="I20" t="str">
        <f t="shared" ref="I20:I21" si="52">IF(H20="string",REPT(CHAR(9),2)&amp;"public const int Max"&amp;D20&amp;"Length = "&amp;G20&amp;";"&amp;$E$3,"" )</f>
        <v xml:space="preserve">		public const int MaxProcessLength = 50;
</v>
      </c>
      <c r="J20" t="str">
        <f t="shared" ref="J20:J21" si="53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[StringLength(MaxProcessLength)]
		public virtual string Process { get; set; }
</v>
      </c>
      <c r="K20" s="7"/>
      <c r="L20" t="str">
        <f t="shared" ref="L20" si="54">IF(K20="","",REPT(CHAR(9),1)&amp;"[Index(nameof("&amp;IF(D20="","",""&amp;D20)&amp;")"&amp;", Name="&amp;"""IX_"&amp;$B$7&amp;"_"&amp;D20&amp;""")]")</f>
        <v/>
      </c>
      <c r="M20" t="str">
        <f t="shared" ref="M20:M21" si="55">REPT(CHAR(9),2)&amp;"public virtual "&amp;IF(OR(H20="DateTime",H20="TimeSpan"),H20&amp;"?",H20)&amp;IF(C20="?","? "," ")&amp;D20&amp;" { get; set; }" &amp; "
"</f>
        <v xml:space="preserve">		public virtual string Process { get; set; }
</v>
      </c>
      <c r="N20" t="str">
        <f t="shared" ref="N20:N21" si="56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[StringLength(LgaSpsStockConsts.MaxProcessLength)]
		public virtual string Process { get; set; }
</v>
      </c>
      <c r="O20" t="str">
        <f t="shared" ref="O20:O21" si="57">IF(OR(H20="string",H20="DateTime",H20="int"),REPT(CHAR(9),2)&amp;"public virtual "&amp;IF(OR(H20="DateTime",H20="TimeSpan"),H20&amp;"?",H20)&amp;IF(C20="?","? "," ")&amp;D20&amp;" { get; set; }"&amp;$E$3,"")</f>
        <v xml:space="preserve">		public virtual string Process { get; set; }
</v>
      </c>
      <c r="P20" t="str">
        <f t="shared" ref="P20:P21" si="58">REPT(CHAR(9),7)&amp;D20&amp;" = o." &amp;D20 &amp;","</f>
        <v xml:space="preserve">							Process = o.Process,</v>
      </c>
      <c r="T20" s="69" t="str">
        <f t="shared" ref="T20:T21" si="59">REPT(CHAR(9),8)&amp;"("""&amp;D20&amp;"""),"</f>
        <v xml:space="preserve">								("Process"),</v>
      </c>
      <c r="V20" s="70" t="str">
        <f t="shared" ref="V20:V21" si="60">REPT(CHAR(9),8)&amp;"_ =&gt; _."&amp;D20&amp;","</f>
        <v xml:space="preserve">								_ =&gt; _.Process,</v>
      </c>
      <c r="W20" s="69" t="str">
        <f t="shared" ref="W20:W21" si="61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.WhereIf(!string.IsNullOrWhiteSpace(input.Process), e =&gt; e.Process.Contains(input.Process))</v>
      </c>
    </row>
    <row r="21" spans="1:23" customFormat="1" ht="22.5" customHeight="1" x14ac:dyDescent="0.25">
      <c r="A21" t="s">
        <v>342</v>
      </c>
      <c r="B21" t="s">
        <v>343</v>
      </c>
      <c r="C21" t="s">
        <v>1</v>
      </c>
      <c r="D21" t="str">
        <f>SUBSTITUTE(PROPER(A21),"_","")</f>
        <v>IsActive</v>
      </c>
      <c r="E21" t="str">
        <f t="shared" si="50"/>
        <v>varchar</v>
      </c>
      <c r="F21" s="7"/>
      <c r="G21" t="str">
        <f>IFERROR(MID(B21,FIND("(",B21) +1, FIND(")",B21) - FIND("(",B21) - 1),"")</f>
        <v>1</v>
      </c>
      <c r="H21" t="str">
        <f>+VLOOKUP(E21,'[1]Data Type Mapping'!A:B,2,)</f>
        <v>string</v>
      </c>
      <c r="I21" t="str">
        <f t="shared" si="52"/>
        <v xml:space="preserve">		public const int MaxIsActiveLength = 1;
</v>
      </c>
      <c r="J21" t="str">
        <f t="shared" si="53"/>
        <v xml:space="preserve">		[StringLength(MaxIsActiveLength)]
		public virtual string IsActive { get; set; }
</v>
      </c>
      <c r="K21" s="7" t="s">
        <v>206</v>
      </c>
      <c r="L21" t="str">
        <f>IF(K21="","",REPT(CHAR(9),1)&amp;"[Index(nameof("&amp;IF(D21="","",""&amp;D21)&amp;")"&amp;", Name="&amp;"""IX_"&amp;$B$7&amp;"_"&amp;D21&amp;""")]")</f>
        <v xml:space="preserve">	[Index(nameof(IsActive), Name="IX_LgaSpsStock_IsActive")]</v>
      </c>
      <c r="M21" t="str">
        <f t="shared" si="55"/>
        <v xml:space="preserve">		public virtual string IsActive { get; set; }
</v>
      </c>
      <c r="N21" t="str">
        <f t="shared" si="56"/>
        <v xml:space="preserve">		[StringLength(LgaSpsStockConsts.MaxIsActiveLength)]
		public virtual string IsActive { get; set; }
</v>
      </c>
      <c r="O21" t="str">
        <f t="shared" si="57"/>
        <v xml:space="preserve">		public virtual string IsActive { get; set; }
</v>
      </c>
      <c r="P21" t="str">
        <f t="shared" si="58"/>
        <v xml:space="preserve">							IsActive = o.IsActive,</v>
      </c>
      <c r="T21" s="69" t="str">
        <f t="shared" si="59"/>
        <v xml:space="preserve">								("IsActive"),</v>
      </c>
      <c r="V21" s="70" t="str">
        <f t="shared" si="60"/>
        <v xml:space="preserve">								_ =&gt; _.IsActive,</v>
      </c>
      <c r="W21" s="69" t="str">
        <f t="shared" si="61"/>
        <v xml:space="preserve">				.WhereIf(!string.IsNullOrWhiteSpace(input.IsActive), e =&gt; e.IsActive.Contains(input.IsActive))</v>
      </c>
    </row>
    <row r="23" spans="1:23" ht="45.75" customHeight="1" x14ac:dyDescent="0.25">
      <c r="H23" s="12"/>
      <c r="I23" s="34" t="str">
        <f ca="1">TEXTJOIN2("
", TRUE,INDIRECT( $H$1):INDIRECT( $H$3))</f>
        <v xml:space="preserve">		public const int MaxPartNoLength = 50;
		public const int MaxPartNameLength = 500;
		public const int MaxSupplierNoLength = 50;
		public const int MaxBackNoLength = 50;
		public const int MaxSpsRackAddressLength = 500;
		public const int MaxPcRackAddressLength = 500;
		public const int MaxProcessLength = 50;
		public const int MaxIsActiveLength = 1;
</v>
      </c>
      <c r="J23" s="33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[StringLength(MaxSupplierNoLength)]
		public virtual string SupplierNo { get; set; }
		[StringLength(MaxBackNoLength)]
		public virtual string BackNo { get; set; }
		[StringLength(MaxSpsRackAddressLength)]
		public virtual string SpsRackAddress { get; set; }
		[StringLength(MaxPcRackAddressLength)]
		public virtual string PcRackAddress { get; set; }
		public virtual int RackCapBox { get; set; }
		public virtual int PcPikingMember { get; set; }
		public virtual int EkbQty { get; set; }
		public virtual int StockQty { get; set; }
		public virtual int BoxQty { get; set; }
		[StringLength(MaxProcessLength)]
		public virtual string Process { get; set; }
		[StringLength(MaxIsActiveLength)]
		public virtual string IsActive { get; set; }
</v>
      </c>
      <c r="K23" s="35" t="str">
        <f ca="1">TEXTJOIN2("
", TRUE,INDIRECT( $J$1):INDIRECT( $J$3))</f>
        <v xml:space="preserve">	[Index(nameof(PartNo), Name="IX_LgaSpsStock_PartNo")]
	[Index(nameof(SupplierNo), Name="IX_LgaSpsStock_SupplierNo")]
	[Index(nameof(SpsRackAddress), Name="IX_LgaSpsStock_SpsRackAddress")]
	[Index(nameof(IsActive), Name="IX_LgaSpsStock_IsActive")]</v>
      </c>
      <c r="L23" s="13" t="s">
        <v>60</v>
      </c>
      <c r="M23" s="36" t="str">
        <f ca="1">TEXTJOIN2("
",TRUE,INDIRECT( $L$1):INDIRECT($L$3))</f>
        <v xml:space="preserve">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</v>
      </c>
      <c r="N23" s="33" t="str">
        <f ca="1">TEXTJOIN2("
",TRUE,INDIRECT( $M$1):INDIRECT($M$3))</f>
        <v xml:space="preserve">		[StringLength(LgaSpsStockConsts.MaxPartNoLength)]
		public virtual string PartNo { get; set; }
		[StringLength(LgaSpsStockConsts.MaxPartNameLength)]
		public virtual string PartName { get; set; }
		[StringLength(LgaSpsStockConsts.MaxSupplierNoLength)]
		public virtual string SupplierNo { get; set; }
		[StringLength(LgaSpsStockConsts.MaxBackNoLength)]
		public virtual string BackNo { get; set; }
		[StringLength(LgaSpsStockConsts.MaxSpsRackAddressLength)]
		public virtual string SpsRackAddress { get; set; }
		[StringLength(LgaSpsStockConsts.MaxPcRackAddressLength)]
		public virtual string PcRackAddress { get; set; }
		public virtual int RackCapBox { get; set; }
		public virtual int PcPikingMember { get; set; }
		public virtual int EkbQty { get; set; }
		public virtual int StockQty { get; set; }
		public virtual int BoxQty { get; set; }
		[StringLength(LgaSpsStockConsts.MaxProcessLength)]
		public virtual string Process { get; set; }
		[StringLength(LgaSpsStockConsts.MaxIsActiveLength)]
		public virtual string IsActive { get; set; }
</v>
      </c>
      <c r="O23" s="33" t="str">
        <f ca="1">TEXTJOIN2("
",TRUE,INDIRECT( $N$1):INDIRECT($N$3))</f>
        <v xml:space="preserve">		public virtual string PartNo { get; set; }
		public virtual string PartName { get; set; }
		public virtual string SupplierNo { get; set; }
		public virtual string BackNo { get; set; }
		public virtual string SpsRackAddress { get; set; }
		public virtual string PcRackAddress { get; set; }
		public virtual int RackCapBox { get; set; }
		public virtual int PcPikingMember { get; set; }
		public virtual int EkbQty { get; set; }
		public virtual int StockQty { get; set; }
		public virtual int BoxQty { get; set; }
		public virtual string Process { get; set; }
		public virtual string IsActive { get; set; }
</v>
      </c>
      <c r="P23" s="9" t="str">
        <f ca="1">TEXTJOIN2("
",TRUE,INDIRECT( $O$1):INDIRECT($O$3))</f>
        <v xml:space="preserve">							PartNo = o.PartNo,
							PartName = o.PartName,
							SupplierNo = o.SupplierNo,
							BackNo = o.BackNo,
							SpsRackAddress = o.SpsRackAddress,
							PcRackAddress = o.PcRackAddress,
							RackCapBox = o.RackCapBox,
							PcPikingMember = o.PcPikingMember,
							EkbQty = o.EkbQty,
							StockQty = o.StockQty,
							BoxQty = o.BoxQty,
							Process = o.Process,
							IsActive = o.IsActive,</v>
      </c>
      <c r="T23" s="9" t="str">
        <f ca="1">TEXTJOIN2("
",TRUE,INDIRECT( $T$2):INDIRECT($T$3))</f>
        <v xml:space="preserve">								("PartNo"),
								("PartName"),
								("SupplierNo"),
								("BackNo"),
								("SpsRackAddress"),
								("PcRackAddress"),
								("RackCapBox"),
								("PcPikingMember"),
								("EkbQty"),
								("StockQty"),
								("BoxQty"),
								("Process"),
								("IsActive"),</v>
      </c>
      <c r="V23" s="9" t="str">
        <f ca="1">TEXTJOIN2("
",TRUE,INDIRECT( $V$2):INDIRECT($V$3))</f>
        <v xml:space="preserve">								_ =&gt; _.PartNo,
								_ =&gt; _.PartName,
								_ =&gt; _.SupplierNo,
								_ =&gt; _.BackNo,
								_ =&gt; _.SpsRackAddress,
								_ =&gt; _.PcRackAddress,
								_ =&gt; _.RackCapBox,
								_ =&gt; _.PcPikingMember,
								_ =&gt; _.EkbQty,
								_ =&gt; _.StockQty,
								_ =&gt; _.BoxQty,
								_ =&gt; _.Process,
								_ =&gt; _.IsActive,</v>
      </c>
      <c r="W23" s="9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.WhereIf(!string.IsNullOrWhiteSpace(input.SupplierNo), e =&gt; e.SupplierNo.Contains(input.SupplierNo))
				.WhereIf(!string.IsNullOrWhiteSpace(input.BackNo), e =&gt; e.BackNo.Contains(input.BackNo))
				.WhereIf(!string.IsNullOrWhiteSpace(input.SpsRackAddress), e =&gt; e.SpsRackAddress.Contains(input.SpsRackAddress))
				.WhereIf(!string.IsNullOrWhiteSpace(input.PcRackAddress), e =&gt; e.PcRackAddress.Contains(input.PcRackAddress))
				.WhereIf(!string.IsNullOrWhiteSpace(input.Process), e =&gt; e.Process.Contains(input.Process))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0"/>
  <sheetViews>
    <sheetView zoomScaleNormal="100" workbookViewId="0">
      <selection activeCell="B3" sqref="B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41" t="s">
        <v>212</v>
      </c>
      <c r="B1" s="42" t="s">
        <v>335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Sps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sps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LgaSpsStock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Stock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stock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LgaSpsStockDto, LgaSpsStockServiceProxy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LgaSpsStockDto = new LgaSpsStockDto();
    saveSelectedRow: LgaSpsStockDto = new LgaSpsStockDto();
    datas: LgaSpsStockDto = new LgaSpsStockDto();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partName : string = '' ; 
	supplierNo : string = '' ; 
	backNo : string = '' ; 
	spsRackAddress : string = '' ; 
	pcRackAddress : number = 0 ;
	rackCapBox : number = 0 ;
	pcPikingMember : string = '' ; 
	ekbQty : number = 0 ;
	stockQty : number = 0 ;
	boxQty : number = 0 ;
	process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LgaSpsStockServiceProxy,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this.l('Supplier No'),headerTooltip: this.l('Supplier No'),field: 'supplierNo',flex: 1},
			{headerName: this.l('Back No'),headerTooltip: this.l('Back No'),field: 'backNo',flex: 1},
			{headerName: this.l('Sps Rack Address'),headerTooltip: this.l('Sps Rack Address'),field: 'spsRackAddress',flex: 1},
			{headerName: this.l('Pc Rack Address'),headerTooltip: this.l('Pc Rack Address'),field: 'pcRackAddress',flex: 1},
			{headerName: this.l('Rack Cap Box'),headerTooltip: this.l('Rack Cap Box'),field: 'rackCapBox',flex: 1},
			{headerName: this.l('Pc Piking Member'),headerTooltip: this.l('Pc Piking Member'),field: 'pcPikingMember',flex: 1},
			{headerName: this.l('Ekb Qty'),headerTooltip: this.l('Ekb Qty'),field: 'ekbQty',flex: 1},
			{headerName: this.l('Stock Qty'),headerTooltip: this.l('Stock Qty'),field: 'stockQty',flex: 1},
			{headerName: this.l('Box Qty'),headerTooltip: this.l('Box Qty'),field: 'boxQty',flex: 1},
			{headerName: this.l('Process'),headerTooltip: this.l('Process'),field: 'process',flex: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this.supplierNo,
			this.backNo,
			this.spsRackAddress,
			this.pcRackAddress,
			this.rackCapBox,
			this.pcPikingMember,
			this.ekbQty,
			this.stockQty,
			this.boxQty,
			this.process,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this.partName = '',
		this.supplierNo = '',
		this.backNo = '',
		this.spsRackAddress = '',
		this.pcRackAddress = 0,
		this.rackCapBox = 0,
		this.pcPikingMember = '',
		this.ekbQty = 0,
		this.stockQty = 0,
		this.boxQty = 0,
		this.process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this.supplierNo,
			this.backNo,
			this.spsRackAddress,
			this.pcRackAddress,
			this.rackCapBox,
			this.pcPikingMember,
			this.ekbQty,
			this.stockQty,
			this.boxQty,
			this.process,
			this.isActive,
			'',
            this.paginationParams.skipCount,
            this.paginationParams.pageSize
        );
    }
    onChangeRowSelection(params: { api: { getSelectedRows: () =&gt; LgaSpsStockDto[] } }) {
        this.saveSelectedRow = params.api.getSelectedRows()[0] ?? new LgaSpsStockDto();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LgaSpsStockDto):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this.partNo,
			this.partName,
			this.supplierNo,
			this.backNo,
			this.spsRackAddress,
			this.pcRackAddress,
			this.rackCapBox,
			this.pcPikingMember,
			this.ekbQty,
			this.stockQty,
			this.boxQty,
			this.process,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SPS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[(ngModel)]='spsRackAddress' name='spsRackAddress'
									class='form-control' [placeholder]="l('Sps Rack Address')"
									type='text' (keyup.enter)='searchDatas()'&gt;
								&lt;/div&gt;
								&lt;div class='input-search'&gt;
									&lt;input [(ngModel)]='pcPikingMember' name='pcPikingMember'
									class='form-control' [placeholder]="l('Pc Piking Member')"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title'&gt;Sps Rack Address&lt;/label&gt;
						&lt;input type='text' class='col-md-10 form-control input-text' name='SpsRackAddress' [(ngModel)]='rowdata.spsRackAddress'&gt;
					&lt;/div&gt;
					&lt;div class='col-md-12 form-group row'&gt;
						&lt;label class='col-md-2 form-control title'&gt;Pc Rack Address&lt;/label&gt;
						&lt;input type='number' class='col-md-10 form-control input-text' name='PcRackAddress' [(ngModel)]='rowdata.pcRackAddress'&gt;
					&lt;/div&gt;
					&lt;div class='col-md-12 form-group row'&gt;
						&lt;label class='col-md-2 form-control title'&gt;Rack Cap Box&lt;/label&gt;
						&lt;input type='number' class='col-md-10 form-control input-text' name='RackCapBox' [(ngModel)]='rowdata.rackCapBox'&gt;
					&lt;/div&gt;
					&lt;div class='col-md-12 form-group row'&gt;
						&lt;label class='col-md-2 form-control title'&gt;Pc Piking Member&lt;/label&gt;
						&lt;input type='text' class='col-md-10 form-control input-text' name='PcPikingMember' [(ngModel)]='rowdata.pcPikingMember'&gt;
					&lt;/div&gt;
					&lt;div class='col-md-12 form-group row'&gt;
						&lt;label class='col-md-2 form-control title'&gt;Ekb Qty&lt;/label&gt;
						&lt;input type='number' class='col-md-10 form-control input-text' name='EkbQty' [(ngModel)]='rowdata.ekbQty'&gt;
					&lt;/div&gt;
					&lt;div class='col-md-12 form-group row'&gt;
						&lt;label class='col-md-2 form-control title'&gt;Stock Qty&lt;/label&gt;
						&lt;input type='number' class='col-md-10 form-control input-text' name='StockQty' [(ngModel)]='rowdata.stockQty'&gt;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title'&gt;Process&lt;/label&gt;
						&lt;input type='number' class='col-md-10 form-control input-text' name='Process' [(ngModel)]='rowdata.process'&gt;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CreateOrEditLgaSpsStockDto, LgaSpsStockServiceProxy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CreateOrEditLgaSpsStockDto = new CreateOrEditLgaSpsStockDto();
    active: boolean = false;
    saving: boolean = false;
    _: boolean;
    constructor(
        injector: Injector,
        private _mstwptStockService: LgaSpsStockServiceProxy,
    ) 
    {
        super(injector);
    }
    show(rowdata?: CreateOrEditLgaSpsStockDto): void {
        if (!rowdata) this.rowdata = new CreateOrEditLgaSpsStockDto();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AppMenuItem("Stock", "Pages.LogA.Sps.Stock", "flaticon-book",   "/app/main/loga/sps/stock"),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'loga/sps/stock',
    loadChildren: () =&gt; import('./loga/sps/stock/stock.module').then(m =&gt; m.StockModule),
    data: { permission: 'Pages.LogA.Sps.Stock' }
},</v>
      </c>
      <c r="R10" s="50" t="str">
        <f>SUBSTITUTE(R9,"MstWptCalendar",$B$6)</f>
        <v>ApiServiceProxies.LgaSpsStockServiceProxy,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H27</v>
      </c>
      <c r="I12" s="31" t="str">
        <f>"I"&amp;COUNTA($A:$A)</f>
        <v>I27</v>
      </c>
      <c r="J12" s="31"/>
      <c r="K12" s="31" t="str">
        <f>"K"&amp;COUNTA($A:$A)</f>
        <v>K27</v>
      </c>
      <c r="L12" s="31" t="str">
        <f>"L"&amp;COUNTA($A:$A)</f>
        <v>L27</v>
      </c>
      <c r="M12" s="31"/>
      <c r="N12" s="31"/>
      <c r="O12" s="31"/>
      <c r="P12" s="31"/>
      <c r="Q12" s="31"/>
      <c r="R12" s="31"/>
      <c r="S12" s="31" t="str">
        <f>"S"&amp;COUNTA($A:$A)</f>
        <v>S27</v>
      </c>
      <c r="T12" s="31" t="str">
        <f>"T"&amp;COUNTA($A:$A)</f>
        <v>T27</v>
      </c>
      <c r="U12" s="31" t="str">
        <f>"U"&amp;COUNTA($A:$A)</f>
        <v>U27</v>
      </c>
      <c r="V12" s="31" t="str">
        <f>"V"&amp;COUNTA($A:$A)</f>
        <v>V27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this.l('Supplier No'),headerTooltip: this.l('Supplier No'),field: 'supplierNo',flex: 1},
			{headerName: this.l('Back No'),headerTooltip: this.l('Back No'),field: 'backNo',flex: 1},
			{headerName: this.l('Sps Rack Address'),headerTooltip: this.l('Sps Rack Address'),field: 'spsRackAddress',flex: 1},
			{headerName: this.l('Pc Rack Address'),headerTooltip: this.l('Pc Rack Address'),field: 'pcRackAddress',flex: 1},
			{headerName: this.l('Rack Cap Box'),headerTooltip: this.l('Rack Cap Box'),field: 'rackCapBox',flex: 1},
			{headerName: this.l('Pc Piking Member'),headerTooltip: this.l('Pc Piking Member'),field: 'pcPikingMember',flex: 1},
			{headerName: this.l('Ekb Qty'),headerTooltip: this.l('Ekb Qty'),field: 'ekbQty',flex: 1},
			{headerName: this.l('Stock Qty'),headerTooltip: this.l('Stock Qty'),field: 'stockQty',flex: 1},
			{headerName: this.l('Box Qty'),headerTooltip: this.l('Box Qty'),field: 'boxQty',flex: 1},
			{headerName: this.l('Process'),headerTooltip: this.l('Process'),field: 'process',flex: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[(ngModel)]='spsRackAddress' name='spsRackAddress'
									class='form-control' [placeholder]="l('Sps Rack Address')"
									type='text' (keyup.enter)='searchDatas()'&gt;
								&lt;/div&gt;
								&lt;div class='input-search'&gt;
									&lt;input [(ngModel)]='pcPikingMember' name='pcPikingMember'
									class='form-control' [placeholder]="l('Pc Piking Member')"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title'&gt;Sps Rack Address&lt;/label&gt;
						&lt;input type='text' class='col-md-10 form-control input-text' name='SpsRackAddress' [(ngModel)]='rowdata.spsRackAddress'&gt;
					&lt;/div&gt;
					&lt;div class='col-md-12 form-group row'&gt;
						&lt;label class='col-md-2 form-control title'&gt;Pc Rack Address&lt;/label&gt;
						&lt;input type='number' class='col-md-10 form-control input-text' name='PcRackAddress' [(ngModel)]='rowdata.pcRackAddress'&gt;
					&lt;/div&gt;
					&lt;div class='col-md-12 form-group row'&gt;
						&lt;label class='col-md-2 form-control title'&gt;Rack Cap Box&lt;/label&gt;
						&lt;input type='number' class='col-md-10 form-control input-text' name='RackCapBox' [(ngModel)]='rowdata.rackCapBox'&gt;
					&lt;/div&gt;
					&lt;div class='col-md-12 form-group row'&gt;
						&lt;label class='col-md-2 form-control title'&gt;Pc Piking Member&lt;/label&gt;
						&lt;input type='text' class='col-md-10 form-control input-text' name='PcPikingMember' [(ngModel)]='rowdata.pcPikingMember'&gt;
					&lt;/div&gt;
					&lt;div class='col-md-12 form-group row'&gt;
						&lt;label class='col-md-2 form-control title'&gt;Ekb Qty&lt;/label&gt;
						&lt;input type='number' class='col-md-10 form-control input-text' name='EkbQty' [(ngModel)]='rowdata.ekbQty'&gt;
					&lt;/div&gt;
					&lt;div class='col-md-12 form-group row'&gt;
						&lt;label class='col-md-2 form-control title'&gt;Stock Qty&lt;/label&gt;
						&lt;input type='number' class='col-md-10 form-control input-text' name='StockQty' [(ngModel)]='rowdata.stockQty'&gt;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
					&lt;div class='col-md-12 form-group row'&gt;
						&lt;label class='col-md-2 form-control title'&gt;Process&lt;/label&gt;
						&lt;input type='number' class='col-md-10 form-control input-text' name='Process' [(ngModel)]='rowdata.process'&gt;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partNo : string = '' ; 
partName : string = '' ; 
	supplierNo : string = '' ; 
	backNo : string = '' ; 
	spsRackAddress : string = '' ; 
	pcRackAddress : number = 0 ;
	rackCapBox : number = 0 ;
	pcPikingMember : string = '' ; 
	ekbQty : number = 0 ;
	stockQty : number = 0 ;
	boxQty : number = 0 ;
	process : number = 0 ;
	isActive : string = '' ; </v>
      </c>
      <c r="T13" s="68" t="str">
        <f ca="1">TEXTJOIN2("
",TRUE,INDIRECT(T11):INDIRECT(T12))</f>
        <v xml:space="preserve">			this.partNo,
			this.partName,
			this.supplierNo,
			this.backNo,
			this.spsRackAddress,
			this.pcRackAddress,
			this.rackCapBox,
			this.pcPikingMember,
			this.ekbQty,
			this.stockQty,
			this.boxQty,
			this.process,
			this.isActive,</v>
      </c>
      <c r="U13" s="68" t="str">
        <f ca="1">TEXTJOIN2("
",TRUE,INDIRECT(U11):INDIRECT(U12))</f>
        <v xml:space="preserve">		this.partNo = '',
this.partName = '',
		this.supplierNo = '',
		this.backNo = '',
		this.spsRackAddress = '',
		this.pcRackAddress = 0,
		this.rackCapBox = 0,
		this.pcPikingMember = '',
		this.ekbQty = 0,
		this.stockQty = 0,
		this.boxQty = 0,
		this.process = 0,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stock.component.ts</v>
      </c>
      <c r="I14" s="40" t="str">
        <f>B8&amp;".component.html"</f>
        <v>stock.component.html</v>
      </c>
      <c r="J14" s="39" t="str">
        <f>B8&amp;".component.less"</f>
        <v>stock.component.less</v>
      </c>
      <c r="K14" s="40" t="str">
        <f>"create-or-edit-"&amp;B8&amp;"-modal.component.html"</f>
        <v>create-or-edit-stock-modal.component.html</v>
      </c>
      <c r="L14" s="40" t="str">
        <f>"create-or-edit-"&amp;B8&amp;"-modal.component.ts"</f>
        <v>create-or-edit-stock-modal.component.ts</v>
      </c>
      <c r="M14" s="40" t="str">
        <f>"create-or-edit-"&amp;B8&amp;"-modal.component.less"</f>
        <v>create-or-edit-stock-modal.component.less</v>
      </c>
      <c r="N14" s="40" t="str">
        <f>B8&amp;".module.ts"</f>
        <v>stock.module.ts</v>
      </c>
      <c r="O14" s="40" t="str">
        <f>B8&amp;"-routing.module.ts"</f>
        <v>stock-routing.module.ts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25">
      <c r="A15" t="s">
        <v>324</v>
      </c>
      <c r="B15" s="31" t="str">
        <f>SUBSTITUTE(PROPER(A15),"_","")</f>
        <v>PartNo</v>
      </c>
      <c r="C15" s="31" t="str">
        <f>SUBSTITUTE(PROPER(A15),"_"," ")</f>
        <v>Part No</v>
      </c>
      <c r="D15" s="31" t="str">
        <f>LOWER(LEFT(B15,1))&amp;RIGHT(B15,LEN(B15) - 1)</f>
        <v>partNo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partNo : string = '' ; </v>
      </c>
      <c r="T15" s="31" t="str">
        <f>REPT(CHAR(9),3)&amp;"this."&amp;D15&amp;","</f>
        <v xml:space="preserve">			this.partNo,</v>
      </c>
      <c r="U15" s="31" t="str">
        <f>IF(E15="int",REPT(CHAR(9),2)&amp;"this."&amp;D15&amp;" = 0,",REPT(CHAR(9),2)&amp;"this."&amp;D15&amp;" = '',")</f>
        <v xml:space="preserve">		this.partNo = '',</v>
      </c>
      <c r="V15" s="31" t="str">
        <f>IF(AND(E15="string",F15="1"),D15,"")</f>
        <v/>
      </c>
    </row>
    <row r="16" spans="1:22" ht="18" customHeight="1" x14ac:dyDescent="0.25">
      <c r="A16" s="17" t="s">
        <v>322</v>
      </c>
      <c r="B16" s="31" t="str">
        <f>SUBSTITUTE(PROPER(A16),"_","")</f>
        <v>PartName</v>
      </c>
      <c r="C16" s="31" t="str">
        <f>SUBSTITUTE(PROPER(A16),"_"," ")</f>
        <v>Part Name</v>
      </c>
      <c r="D16" s="31" t="str">
        <f>LOWER(LEFT(B16,1))&amp;RIGHT(B16,LEN(B16) - 1)</f>
        <v>partName</v>
      </c>
      <c r="E16" s="31" t="str">
        <f>A.Backend!H10</f>
        <v>string</v>
      </c>
      <c r="F16" s="31" t="str">
        <f>A.Backend!G10</f>
        <v>500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partName : string = '' ; </v>
      </c>
      <c r="T16" s="31" t="str">
        <f>REPT(CHAR(9),3)&amp;"this."&amp;D16&amp;","</f>
        <v xml:space="preserve">			this.partName,</v>
      </c>
      <c r="U16" s="31" t="str">
        <f>IF(E16="int","this."&amp;D16&amp;" = 0,","this."&amp;D16&amp;" = '',")</f>
        <v>this.partName = '',</v>
      </c>
      <c r="V16" s="31" t="str">
        <f>IF(AND(E16="string",F16="1"),D16,"")</f>
        <v/>
      </c>
    </row>
    <row r="17" spans="1:22" ht="15" customHeight="1" x14ac:dyDescent="0.25">
      <c r="A17" t="s">
        <v>336</v>
      </c>
      <c r="B17" s="31" t="str">
        <f t="shared" ref="B17:B21" si="0">SUBSTITUTE(PROPER(A17),"_","")</f>
        <v>SupplierNo</v>
      </c>
      <c r="C17" s="31" t="str">
        <f t="shared" ref="C17:C21" si="1">SUBSTITUTE(PROPER(A17),"_"," ")</f>
        <v>Supplier No</v>
      </c>
      <c r="D17" s="31" t="str">
        <f t="shared" ref="D17:D21" si="2">LOWER(LEFT(B17,1))&amp;RIGHT(B17,LEN(B17) - 1)</f>
        <v>supplierNo</v>
      </c>
      <c r="E17" s="31" t="str">
        <f>A.Backend!H11</f>
        <v>string</v>
      </c>
      <c r="F17" s="31" t="str">
        <f>A.Backend!G11</f>
        <v>50</v>
      </c>
      <c r="G17" s="31" t="str">
        <f t="shared" ref="G17:G21" si="3">IF(E17="string"," : string = '' ; ",IF(OR(E17="DateTime",E17="TimeSpan")," : any ;",IF(E17="int"," : number = 0 ;","")))</f>
        <v xml:space="preserve"> : string = '' ; </v>
      </c>
      <c r="H17" s="38" t="str">
        <f t="shared" ref="H17:H21" si="4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this.l('Supplier No'),headerTooltip: this.l('Supplier No'),field: 'supplierNo',flex: 1},</v>
      </c>
      <c r="I17" s="38" t="str">
        <f t="shared" ref="I17:I21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ref="K17:K21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ref="L17:L21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supplierNo : string = '' ; </v>
      </c>
      <c r="T17" s="31" t="str">
        <f>REPT(CHAR(9),3)&amp;"this."&amp;D17&amp;","</f>
        <v xml:space="preserve">			this.supplierNo,</v>
      </c>
      <c r="U17" s="31" t="str">
        <f>IF(E17="int",REPT(CHAR(9),2)&amp;"this."&amp;D17&amp;" = 0,",REPT(CHAR(9),2)&amp;"this."&amp;D17&amp;" = '',")</f>
        <v xml:space="preserve">		this.supplierNo = '',</v>
      </c>
      <c r="V17" s="31" t="str">
        <f t="shared" ref="V17:V21" si="8">IF(AND(E17="string",F17="1"),D17,"")</f>
        <v/>
      </c>
    </row>
    <row r="18" spans="1:22" ht="18" customHeight="1" x14ac:dyDescent="0.25">
      <c r="A18" t="s">
        <v>325</v>
      </c>
      <c r="B18" s="31" t="str">
        <f t="shared" si="0"/>
        <v>BackNo</v>
      </c>
      <c r="C18" s="31" t="str">
        <f t="shared" si="1"/>
        <v>Back No</v>
      </c>
      <c r="D18" s="31" t="str">
        <f t="shared" si="2"/>
        <v>backNo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this.l('Back No'),headerTooltip: this.l('Back No'),field: 'backNo',flex: 1},</v>
      </c>
      <c r="I18" s="38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:S21" si="9">REPT(CHAR(9),1)&amp;D18&amp;G18</f>
        <v xml:space="preserve">	backNo : string = '' ; </v>
      </c>
      <c r="T18" s="31" t="str">
        <f t="shared" ref="T18:T21" si="10">REPT(CHAR(9),3)&amp;"this."&amp;D18&amp;","</f>
        <v xml:space="preserve">			this.backNo,</v>
      </c>
      <c r="U18" s="31" t="str">
        <f t="shared" ref="U18:U21" si="11">IF(E18="int",REPT(CHAR(9),2)&amp;"this."&amp;D18&amp;" = 0,",REPT(CHAR(9),2)&amp;"this."&amp;D18&amp;" = '',")</f>
        <v xml:space="preserve">		this.backNo = '',</v>
      </c>
      <c r="V18" s="31" t="str">
        <f t="shared" si="8"/>
        <v/>
      </c>
    </row>
    <row r="19" spans="1:22" ht="18" customHeight="1" x14ac:dyDescent="0.25">
      <c r="A19" t="s">
        <v>331</v>
      </c>
      <c r="B19" s="31" t="str">
        <f t="shared" si="0"/>
        <v>SpsRackAddress</v>
      </c>
      <c r="C19" s="31" t="str">
        <f t="shared" si="1"/>
        <v>Sps Rack Address</v>
      </c>
      <c r="D19" s="31" t="str">
        <f t="shared" si="2"/>
        <v>spsRackAddress</v>
      </c>
      <c r="E19" s="31" t="str">
        <f>A.Backend!H14</f>
        <v>string</v>
      </c>
      <c r="F19" s="31" t="str">
        <f>A.Backend!G14</f>
        <v>500</v>
      </c>
      <c r="G19" s="31" t="str">
        <f t="shared" si="3"/>
        <v xml:space="preserve"> : string = '' ; </v>
      </c>
      <c r="H19" s="38" t="str">
        <f t="shared" si="4"/>
        <v xml:space="preserve">			{headerName: this.l('Sps Rack Address'),headerTooltip: this.l('Sps Rack Address'),field: 'spsRackAddress',flex: 1},</v>
      </c>
      <c r="I19" s="38" t="str">
        <f t="shared" si="5"/>
        <v xml:space="preserve">								&lt;div class='input-search'&gt;
									&lt;input [(ngModel)]='spsRackAddress' name='spsRackAddress'
									class='form-control' [placeholder]="l('Sps Rack Address')"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title'&gt;Sps Rack Address&lt;/label&gt;
						&lt;input type='text' class='col-md-10 form-control input-text' name='SpsRackAddress' [(ngModel)]='rowdata.spsRackAddress'&gt;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spsRackAddress : string = '' ; </v>
      </c>
      <c r="T19" s="31" t="str">
        <f t="shared" si="10"/>
        <v xml:space="preserve">			this.spsRackAddress,</v>
      </c>
      <c r="U19" s="31" t="str">
        <f t="shared" si="11"/>
        <v xml:space="preserve">		this.spsRackAddress = '',</v>
      </c>
      <c r="V19" s="31" t="str">
        <f t="shared" si="8"/>
        <v/>
      </c>
    </row>
    <row r="20" spans="1:22" ht="15" customHeight="1" x14ac:dyDescent="0.25">
      <c r="A20" t="s">
        <v>326</v>
      </c>
      <c r="B20" s="31" t="str">
        <f>SUBSTITUTE(PROPER(A20),"_","")</f>
        <v>PcRackAddress</v>
      </c>
      <c r="C20" s="31" t="str">
        <f>SUBSTITUTE(PROPER(A20),"_"," ")</f>
        <v>Pc Rack Address</v>
      </c>
      <c r="D20" s="31" t="str">
        <f>LOWER(LEFT(B20,1))&amp;RIGHT(B20,LEN(B20) - 1)</f>
        <v>pcRackAddress</v>
      </c>
      <c r="E20" s="31" t="str">
        <f>A.Backend!H16</f>
        <v>int</v>
      </c>
      <c r="F20" s="31" t="str">
        <f>A.Backend!G16</f>
        <v/>
      </c>
      <c r="G20" s="31" t="str">
        <f>IF(E20="string"," : string = '' ; ",IF(OR(E20="DateTime",E20="TimeSpan")," : any ;",IF(E20="int"," : number = 0 ;","")))</f>
        <v xml:space="preserve"> : number = 0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this.l('Pc Rack Address'),headerTooltip: this.l('Pc Rack Address'),field: 'pcRackAddress',flex: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title'&gt;Pc Rack Address&lt;/label&gt;
						&lt;input type='number' class='col-md-10 form-control input-text' name='PcRackAddress' [(ngModel)]='rowdata.pcRackAddress'&gt;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pcRackAddress : number = 0 ;</v>
      </c>
      <c r="T20" s="31" t="str">
        <f>REPT(CHAR(9),3)&amp;"this."&amp;D20&amp;","</f>
        <v xml:space="preserve">			this.pcRackAddress,</v>
      </c>
      <c r="U20" s="31" t="str">
        <f>IF(E20="int",REPT(CHAR(9),2)&amp;"this."&amp;D20&amp;" = 0,",REPT(CHAR(9),2)&amp;"this."&amp;D20&amp;" = '',")</f>
        <v xml:space="preserve">		this.pcRackAddress = 0,</v>
      </c>
      <c r="V20" s="31" t="str">
        <f>IF(AND(E20="string",F20="1"),D20,"")</f>
        <v/>
      </c>
    </row>
    <row r="21" spans="1:22" ht="15" customHeight="1" x14ac:dyDescent="0.25">
      <c r="A21" t="s">
        <v>327</v>
      </c>
      <c r="B21" s="31" t="str">
        <f t="shared" si="0"/>
        <v>RackCapBox</v>
      </c>
      <c r="C21" s="31" t="str">
        <f t="shared" si="1"/>
        <v>Rack Cap Box</v>
      </c>
      <c r="D21" s="31" t="str">
        <f t="shared" si="2"/>
        <v>rackCapBox</v>
      </c>
      <c r="E21" s="31" t="str">
        <f>A.Backend!H17</f>
        <v>int</v>
      </c>
      <c r="F21" s="31" t="str">
        <f>A.Backend!G17</f>
        <v/>
      </c>
      <c r="G21" s="31" t="str">
        <f t="shared" si="3"/>
        <v xml:space="preserve"> : number = 0 ;</v>
      </c>
      <c r="H21" s="38" t="str">
        <f t="shared" si="4"/>
        <v xml:space="preserve">			{headerName: this.l('Rack Cap Box'),headerTooltip: this.l('Rack Cap Box'),field: 'rackCapBox',flex: 1},</v>
      </c>
      <c r="I21" s="38" t="str">
        <f t="shared" si="5"/>
        <v/>
      </c>
      <c r="J21" s="31"/>
      <c r="K21" s="38" t="str">
        <f t="shared" si="6"/>
        <v xml:space="preserve">					&lt;div class='col-md-12 form-group row'&gt;
						&lt;label class='col-md-2 form-control title'&gt;Rack Cap Box&lt;/label&gt;
						&lt;input type='number' class='col-md-10 form-control input-text' name='RackCapBox' [(ngModel)]='rowdata.rackCapBox'&gt;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9"/>
        <v xml:space="preserve">	rackCapBox : number = 0 ;</v>
      </c>
      <c r="T21" s="31" t="str">
        <f t="shared" si="10"/>
        <v xml:space="preserve">			this.rackCapBox,</v>
      </c>
      <c r="U21" s="31" t="str">
        <f t="shared" si="11"/>
        <v xml:space="preserve">		this.rackCapBox = 0,</v>
      </c>
      <c r="V21" s="31" t="str">
        <f t="shared" si="8"/>
        <v/>
      </c>
    </row>
    <row r="22" spans="1:22" ht="15" customHeight="1" x14ac:dyDescent="0.25">
      <c r="A22" t="s">
        <v>332</v>
      </c>
      <c r="B22" s="31" t="str">
        <f t="shared" ref="B22:B27" si="12">SUBSTITUTE(PROPER(A22),"_","")</f>
        <v>PcPikingMember</v>
      </c>
      <c r="C22" s="31" t="str">
        <f t="shared" ref="C22:C27" si="13">SUBSTITUTE(PROPER(A22),"_"," ")</f>
        <v>Pc Piking Member</v>
      </c>
      <c r="D22" s="31" t="str">
        <f t="shared" ref="D22:D27" si="14">LOWER(LEFT(B22,1))&amp;RIGHT(B22,LEN(B22) - 1)</f>
        <v>pcPikingMember</v>
      </c>
      <c r="E22" s="31" t="str">
        <f>A.Backend!H20</f>
        <v>string</v>
      </c>
      <c r="F22" s="31" t="str">
        <f>A.Backend!G20</f>
        <v>50</v>
      </c>
      <c r="G22" s="31" t="str">
        <f t="shared" ref="G22:G27" si="15">IF(E22="string"," : string = '' ; ",IF(OR(E22="DateTime",E22="TimeSpan")," : any ;",IF(E22="int"," : number = 0 ;","")))</f>
        <v xml:space="preserve"> : string = '' ; </v>
      </c>
      <c r="H22" s="38" t="str">
        <f t="shared" ref="H22:H27" si="16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this.l('Pc Piking Member'),headerTooltip: this.l('Pc Piking Member'),field: 'pcPikingMember',flex: 1},</v>
      </c>
      <c r="I22" s="38" t="str">
        <f t="shared" ref="I22:I27" si="17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[(ngModel)]='pcPikingMember' name='pcPikingMember'
									class='form-control' [placeholder]="l('Pc Piking Member')"
									type='text' (keyup.enter)='searchDatas()'&gt;
								&lt;/div&gt;</v>
      </c>
      <c r="J22" s="31"/>
      <c r="K22" s="38" t="str">
        <f t="shared" ref="K22:K27" si="18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title'&gt;Pc Piking Member&lt;/label&gt;
						&lt;input type='text' class='col-md-10 form-control input-text' name='PcPikingMember' [(ngModel)]='rowdata.pcPikingMember'&gt;
					&lt;/div&gt;</v>
      </c>
      <c r="L22" s="60" t="str">
        <f t="shared" ref="L22:L27" si="1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pcPikingMember : string = '' ; </v>
      </c>
      <c r="T22" s="31" t="str">
        <f>REPT(CHAR(9),3)&amp;"this."&amp;D22&amp;","</f>
        <v xml:space="preserve">			this.pcPikingMember,</v>
      </c>
      <c r="U22" s="31" t="str">
        <f>IF(E22="int",REPT(CHAR(9),2)&amp;"this."&amp;D22&amp;" = 0,",REPT(CHAR(9),2)&amp;"this."&amp;D22&amp;" = '',")</f>
        <v xml:space="preserve">		this.pcPikingMember = '',</v>
      </c>
      <c r="V22" s="31" t="str">
        <f t="shared" ref="V22:V27" si="20">IF(AND(E22="string",F22="1"),D22,"")</f>
        <v/>
      </c>
    </row>
    <row r="23" spans="1:22" ht="18" customHeight="1" x14ac:dyDescent="0.25">
      <c r="A23" t="s">
        <v>333</v>
      </c>
      <c r="B23" s="31" t="str">
        <f t="shared" ref="B23:B24" si="21">SUBSTITUTE(PROPER(A23),"_","")</f>
        <v>EkbQty</v>
      </c>
      <c r="C23" s="31" t="str">
        <f t="shared" ref="C23:C24" si="22">SUBSTITUTE(PROPER(A23),"_"," ")</f>
        <v>Ekb Qty</v>
      </c>
      <c r="D23" s="31" t="str">
        <f t="shared" ref="D23:D24" si="23">LOWER(LEFT(B23,1))&amp;RIGHT(B23,LEN(B23) - 1)</f>
        <v>ekbQty</v>
      </c>
      <c r="E23" s="31" t="str">
        <f>A.Backend!H17</f>
        <v>int</v>
      </c>
      <c r="F23" s="31" t="str">
        <f>A.Backend!G17</f>
        <v/>
      </c>
      <c r="G23" s="31" t="str">
        <f t="shared" ref="G23:G24" si="24">IF(E23="string"," : string = '' ; ",IF(OR(E23="DateTime",E23="TimeSpan")," : any ;",IF(E23="int"," : number = 0 ;","")))</f>
        <v xml:space="preserve"> : number = 0 ;</v>
      </c>
      <c r="H23" s="38" t="str">
        <f t="shared" ref="H23:H24" si="25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this.l('Ekb Qty'),headerTooltip: this.l('Ekb Qty'),field: 'ekbQty',flex: 1},</v>
      </c>
      <c r="I23" s="38" t="str">
        <f t="shared" ref="I23:I24" si="26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31"/>
      <c r="K23" s="38" t="str">
        <f t="shared" ref="K23:K24" si="27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title'&gt;Ekb Qty&lt;/label&gt;
						&lt;input type='number' class='col-md-10 form-control input-text' name='EkbQty' [(ngModel)]='rowdata.ekbQty'&gt;
					&lt;/div&gt;</v>
      </c>
      <c r="L23" s="60" t="str">
        <f t="shared" ref="L23:L24" si="2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 t="shared" ref="S23:S24" si="29">REPT(CHAR(9),1)&amp;D23&amp;G23</f>
        <v xml:space="preserve">	ekbQty : number = 0 ;</v>
      </c>
      <c r="T23" s="31" t="str">
        <f t="shared" ref="T23:T24" si="30">REPT(CHAR(9),3)&amp;"this."&amp;D23&amp;","</f>
        <v xml:space="preserve">			this.ekbQty,</v>
      </c>
      <c r="U23" s="31" t="str">
        <f t="shared" ref="U23:U24" si="31">IF(E23="int",REPT(CHAR(9),2)&amp;"this."&amp;D23&amp;" = 0,",REPT(CHAR(9),2)&amp;"this."&amp;D23&amp;" = '',")</f>
        <v xml:space="preserve">		this.ekbQty = 0,</v>
      </c>
      <c r="V23" s="31" t="str">
        <f t="shared" ref="V23:V24" si="32">IF(AND(E23="string",F23="1"),D23,"")</f>
        <v/>
      </c>
    </row>
    <row r="24" spans="1:22" ht="15" customHeight="1" x14ac:dyDescent="0.25">
      <c r="A24" t="s">
        <v>328</v>
      </c>
      <c r="B24" s="31" t="str">
        <f t="shared" si="21"/>
        <v>StockQty</v>
      </c>
      <c r="C24" s="31" t="str">
        <f t="shared" si="22"/>
        <v>Stock Qty</v>
      </c>
      <c r="D24" s="31" t="str">
        <f t="shared" si="23"/>
        <v>stockQty</v>
      </c>
      <c r="E24" s="31" t="str">
        <f>A.Backend!H17</f>
        <v>int</v>
      </c>
      <c r="F24" s="31" t="str">
        <f>A.Backend!G17</f>
        <v/>
      </c>
      <c r="G24" s="31" t="str">
        <f t="shared" si="24"/>
        <v xml:space="preserve"> : number = 0 ;</v>
      </c>
      <c r="H24" s="38" t="str">
        <f t="shared" si="25"/>
        <v xml:space="preserve">			{headerName: this.l('Stock Qty'),headerTooltip: this.l('Stock Qty'),field: 'stockQty',flex: 1},</v>
      </c>
      <c r="I24" s="38" t="str">
        <f t="shared" si="26"/>
        <v/>
      </c>
      <c r="J24" s="31"/>
      <c r="K24" s="38" t="str">
        <f t="shared" si="27"/>
        <v xml:space="preserve">					&lt;div class='col-md-12 form-group row'&gt;
						&lt;label class='col-md-2 form-control title'&gt;Stock Qty&lt;/label&gt;
						&lt;input type='number' class='col-md-10 form-control input-text' name='StockQty' [(ngModel)]='rowdata.stockQty'&gt;
					&lt;/div&gt;</v>
      </c>
      <c r="L24" s="60" t="str">
        <f t="shared" si="28"/>
        <v/>
      </c>
      <c r="M24" s="31"/>
      <c r="N24" s="31"/>
      <c r="O24" s="31"/>
      <c r="P24" s="31"/>
      <c r="Q24" s="31"/>
      <c r="R24" s="31"/>
      <c r="S24" s="31" t="str">
        <f t="shared" si="29"/>
        <v xml:space="preserve">	stockQty : number = 0 ;</v>
      </c>
      <c r="T24" s="31" t="str">
        <f t="shared" si="30"/>
        <v xml:space="preserve">			this.stockQty,</v>
      </c>
      <c r="U24" s="31" t="str">
        <f t="shared" si="31"/>
        <v xml:space="preserve">		this.stockQty = 0,</v>
      </c>
      <c r="V24" s="31" t="str">
        <f t="shared" si="32"/>
        <v/>
      </c>
    </row>
    <row r="25" spans="1:22" ht="15" customHeight="1" x14ac:dyDescent="0.25">
      <c r="A25" t="s">
        <v>329</v>
      </c>
      <c r="B25" s="31" t="str">
        <f t="shared" si="12"/>
        <v>BoxQty</v>
      </c>
      <c r="C25" s="31" t="str">
        <f t="shared" si="13"/>
        <v>Box Qty</v>
      </c>
      <c r="D25" s="31" t="str">
        <f t="shared" si="14"/>
        <v>boxQty</v>
      </c>
      <c r="E25" s="31" t="str">
        <f>A.Backend!H18</f>
        <v>int</v>
      </c>
      <c r="F25" s="31" t="str">
        <f>A.Backend!G18</f>
        <v/>
      </c>
      <c r="G25" s="31" t="str">
        <f t="shared" si="15"/>
        <v xml:space="preserve"> : number = 0 ;</v>
      </c>
      <c r="H25" s="38" t="str">
        <f t="shared" si="16"/>
        <v xml:space="preserve">			{headerName: this.l('Box Qty'),headerTooltip: this.l('Box Qty'),field: 'boxQty',flex: 1},</v>
      </c>
      <c r="I25" s="38" t="str">
        <f t="shared" si="17"/>
        <v/>
      </c>
      <c r="J25" s="31"/>
      <c r="K25" s="38" t="str">
        <f t="shared" si="18"/>
        <v xml:space="preserve">					&lt;div class='col-md-12 form-group row'&gt;
						&lt;label class='col-md-2 form-control title'&gt;Box Qty&lt;/label&gt;
						&lt;input type='number' class='col-md-10 form-control input-text' name='BoxQty' [(ngModel)]='rowdata.boxQty'&gt;
					&lt;/div&gt;</v>
      </c>
      <c r="L25" s="60" t="str">
        <f t="shared" si="19"/>
        <v/>
      </c>
      <c r="M25" s="31"/>
      <c r="N25" s="31"/>
      <c r="O25" s="31"/>
      <c r="P25" s="31"/>
      <c r="Q25" s="31"/>
      <c r="R25" s="31"/>
      <c r="S25" s="31" t="str">
        <f t="shared" ref="S25" si="33">REPT(CHAR(9),1)&amp;D25&amp;G25</f>
        <v xml:space="preserve">	boxQty : number = 0 ;</v>
      </c>
      <c r="T25" s="31" t="str">
        <f t="shared" ref="T25" si="34">REPT(CHAR(9),3)&amp;"this."&amp;D25&amp;","</f>
        <v xml:space="preserve">			this.boxQty,</v>
      </c>
      <c r="U25" s="31" t="str">
        <f t="shared" ref="U25" si="35">IF(E25="int",REPT(CHAR(9),2)&amp;"this."&amp;D25&amp;" = 0,",REPT(CHAR(9),2)&amp;"this."&amp;D25&amp;" = '',")</f>
        <v xml:space="preserve">		this.boxQty = 0,</v>
      </c>
      <c r="V25" s="31" t="str">
        <f t="shared" si="20"/>
        <v/>
      </c>
    </row>
    <row r="26" spans="1:22" ht="16.5" customHeight="1" x14ac:dyDescent="0.25">
      <c r="A26" t="s">
        <v>334</v>
      </c>
      <c r="B26" s="31" t="str">
        <f t="shared" si="12"/>
        <v>Process</v>
      </c>
      <c r="C26" s="31" t="str">
        <f t="shared" si="13"/>
        <v>Process</v>
      </c>
      <c r="D26" s="31" t="str">
        <f t="shared" si="14"/>
        <v>process</v>
      </c>
      <c r="E26" s="31" t="str">
        <f>A.Backend!H19</f>
        <v>int</v>
      </c>
      <c r="F26" s="31" t="str">
        <f>A.Backend!G19</f>
        <v/>
      </c>
      <c r="G26" s="31" t="str">
        <f t="shared" si="15"/>
        <v xml:space="preserve"> : number = 0 ;</v>
      </c>
      <c r="H26" s="38" t="str">
        <f t="shared" si="16"/>
        <v xml:space="preserve">			{headerName: this.l('Process'),headerTooltip: this.l('Process'),field: 'process',flex: 1},</v>
      </c>
      <c r="I26" s="38" t="str">
        <f t="shared" si="17"/>
        <v/>
      </c>
      <c r="J26" s="31"/>
      <c r="K26" s="38" t="str">
        <f t="shared" si="18"/>
        <v xml:space="preserve">					&lt;div class='col-md-12 form-group row'&gt;
						&lt;label class='col-md-2 form-control title'&gt;Process&lt;/label&gt;
						&lt;input type='number' class='col-md-10 form-control input-text' name='Process' [(ngModel)]='rowdata.process'&gt;
					&lt;/div&gt;</v>
      </c>
      <c r="L26" s="60" t="str">
        <f t="shared" si="19"/>
        <v/>
      </c>
      <c r="M26" s="31"/>
      <c r="N26" s="31"/>
      <c r="O26" s="31"/>
      <c r="P26" s="31"/>
      <c r="Q26" s="31"/>
      <c r="R26" s="31"/>
      <c r="S26" s="31" t="str">
        <f t="shared" ref="S26:S27" si="36">REPT(CHAR(9),1)&amp;D26&amp;G26</f>
        <v xml:space="preserve">	process : number = 0 ;</v>
      </c>
      <c r="T26" s="31" t="str">
        <f t="shared" ref="T26:T27" si="37">REPT(CHAR(9),3)&amp;"this."&amp;D26&amp;","</f>
        <v xml:space="preserve">			this.process,</v>
      </c>
      <c r="U26" s="31" t="str">
        <f t="shared" ref="U26:U27" si="38">IF(E26="int",REPT(CHAR(9),2)&amp;"this."&amp;D26&amp;" = 0,",REPT(CHAR(9),2)&amp;"this."&amp;D26&amp;" = '',")</f>
        <v xml:space="preserve">		this.process = 0,</v>
      </c>
      <c r="V26" s="31" t="str">
        <f t="shared" si="20"/>
        <v/>
      </c>
    </row>
    <row r="27" spans="1:22" ht="18" customHeight="1" x14ac:dyDescent="0.25">
      <c r="A27" s="31" t="s">
        <v>342</v>
      </c>
      <c r="B27" s="31" t="str">
        <f t="shared" si="12"/>
        <v>IsActive</v>
      </c>
      <c r="C27" s="31" t="str">
        <f t="shared" si="13"/>
        <v>Is Active</v>
      </c>
      <c r="D27" s="31" t="str">
        <f t="shared" si="14"/>
        <v>isActive</v>
      </c>
      <c r="E27" s="31" t="str">
        <f>A.Backend!H20</f>
        <v>string</v>
      </c>
      <c r="F27" s="31">
        <f>[1]A.Backend!G21</f>
        <v>0</v>
      </c>
      <c r="G27" s="31" t="str">
        <f t="shared" si="15"/>
        <v xml:space="preserve"> : string = '' ; </v>
      </c>
      <c r="H27" s="38" t="str">
        <f t="shared" si="16"/>
        <v xml:space="preserve">			{headerName: this.l('Is Active'),headerTooltip: this.l('Is Active'),field: 'isActive',flex: 1},</v>
      </c>
      <c r="I27" s="38" t="str">
        <f t="shared" si="17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7" s="31"/>
      <c r="K27" s="38" t="str">
        <f t="shared" si="18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27" s="60" t="str">
        <f t="shared" si="19"/>
        <v/>
      </c>
      <c r="M27" s="31"/>
      <c r="N27" s="31"/>
      <c r="O27" s="31"/>
      <c r="P27" s="31"/>
      <c r="Q27" s="31"/>
      <c r="R27" s="31"/>
      <c r="S27" s="31" t="str">
        <f t="shared" si="36"/>
        <v xml:space="preserve">	isActive : string = '' ; </v>
      </c>
      <c r="T27" s="31" t="str">
        <f t="shared" si="37"/>
        <v xml:space="preserve">			this.isActive,</v>
      </c>
      <c r="U27" s="31" t="str">
        <f t="shared" si="38"/>
        <v xml:space="preserve">		this.isActive = '',</v>
      </c>
      <c r="V27" s="31" t="str">
        <f t="shared" si="20"/>
        <v/>
      </c>
    </row>
    <row r="3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2023-03-08T10:26:58Z</dcterms:modified>
</cp:coreProperties>
</file>
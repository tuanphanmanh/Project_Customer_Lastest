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loga\bp2\"/>
    </mc:Choice>
  </mc:AlternateContent>
  <bookViews>
    <workbookView xWindow="0" yWindow="495" windowWidth="28800" windowHeight="1642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V19" i="5" s="1"/>
  <c r="F19" i="5"/>
  <c r="E20" i="5"/>
  <c r="F20" i="5"/>
  <c r="E21" i="5"/>
  <c r="V21" i="5" s="1"/>
  <c r="F21" i="5"/>
  <c r="E22" i="5"/>
  <c r="F22" i="5"/>
  <c r="E23" i="5"/>
  <c r="F23" i="5"/>
  <c r="D21" i="5"/>
  <c r="C21" i="5"/>
  <c r="B21" i="5"/>
  <c r="G20" i="5"/>
  <c r="V20" i="5"/>
  <c r="I20" i="5"/>
  <c r="C20" i="5"/>
  <c r="B20" i="5"/>
  <c r="D20" i="5" s="1"/>
  <c r="D19" i="5"/>
  <c r="T19" i="5" s="1"/>
  <c r="C19" i="5"/>
  <c r="B19" i="5"/>
  <c r="T13" i="1"/>
  <c r="P13" i="1"/>
  <c r="L13" i="1"/>
  <c r="H13" i="1"/>
  <c r="W13" i="1" s="1"/>
  <c r="G13" i="1"/>
  <c r="E13" i="1"/>
  <c r="D13" i="1"/>
  <c r="V13" i="1" s="1"/>
  <c r="L16" i="1"/>
  <c r="G16" i="1"/>
  <c r="E16" i="1"/>
  <c r="H16" i="1" s="1"/>
  <c r="D16" i="1"/>
  <c r="V16" i="1" s="1"/>
  <c r="H21" i="5" l="1"/>
  <c r="T20" i="5"/>
  <c r="L20" i="5"/>
  <c r="U20" i="5"/>
  <c r="K20" i="5"/>
  <c r="S20" i="5"/>
  <c r="H19" i="5"/>
  <c r="S19" i="5"/>
  <c r="I19" i="5"/>
  <c r="T21" i="5"/>
  <c r="K19" i="5"/>
  <c r="U19" i="5"/>
  <c r="H20" i="5"/>
  <c r="K21" i="5"/>
  <c r="U21" i="5"/>
  <c r="I21" i="5"/>
  <c r="G19" i="5"/>
  <c r="L19" i="5"/>
  <c r="G21" i="5"/>
  <c r="S21" i="5" s="1"/>
  <c r="L21" i="5"/>
  <c r="M13" i="1"/>
  <c r="I13" i="1"/>
  <c r="N13" i="1"/>
  <c r="J13" i="1"/>
  <c r="O13" i="1"/>
  <c r="W16" i="1"/>
  <c r="O16" i="1"/>
  <c r="J16" i="1"/>
  <c r="N16" i="1"/>
  <c r="I16" i="1"/>
  <c r="M16" i="1"/>
  <c r="P16" i="1"/>
  <c r="T16" i="1"/>
  <c r="C23" i="5" l="1"/>
  <c r="B23" i="5"/>
  <c r="D23" i="5" s="1"/>
  <c r="C22" i="5"/>
  <c r="B22" i="5"/>
  <c r="D22" i="5" s="1"/>
  <c r="T22" i="5" l="1"/>
  <c r="T23" i="5"/>
  <c r="L15" i="1" l="1"/>
  <c r="G15" i="1"/>
  <c r="E15" i="1"/>
  <c r="H15" i="1" s="1"/>
  <c r="D15" i="1"/>
  <c r="V15" i="1" s="1"/>
  <c r="V23" i="5" l="1"/>
  <c r="K23" i="5"/>
  <c r="U23" i="5"/>
  <c r="H23" i="5"/>
  <c r="G23" i="5"/>
  <c r="S23" i="5" s="1"/>
  <c r="I23" i="5"/>
  <c r="L23" i="5"/>
  <c r="N15" i="1"/>
  <c r="I15" i="1"/>
  <c r="M15" i="1"/>
  <c r="W15" i="1"/>
  <c r="O15" i="1"/>
  <c r="J15" i="1"/>
  <c r="P15" i="1"/>
  <c r="T15" i="1"/>
  <c r="Q3" i="1"/>
  <c r="B16" i="5" l="1"/>
  <c r="D16" i="5" s="1"/>
  <c r="C16" i="5"/>
  <c r="B17" i="5"/>
  <c r="D17" i="5" s="1"/>
  <c r="C17" i="5"/>
  <c r="B18" i="5"/>
  <c r="D18" i="5" s="1"/>
  <c r="C18" i="5"/>
  <c r="C15" i="5"/>
  <c r="B15" i="5"/>
  <c r="D15" i="5" s="1"/>
  <c r="T15" i="5" s="1"/>
  <c r="G17" i="1"/>
  <c r="E17" i="1"/>
  <c r="H17" i="1" s="1"/>
  <c r="D17" i="1"/>
  <c r="V17" i="1" s="1"/>
  <c r="L14" i="1"/>
  <c r="G14" i="1"/>
  <c r="E14" i="1"/>
  <c r="H14" i="1" s="1"/>
  <c r="D14" i="1"/>
  <c r="V14" i="1" s="1"/>
  <c r="L12" i="1"/>
  <c r="G12" i="1"/>
  <c r="E12" i="1"/>
  <c r="H12" i="1" s="1"/>
  <c r="D12" i="1"/>
  <c r="V12" i="1" s="1"/>
  <c r="G11" i="1"/>
  <c r="E11" i="1"/>
  <c r="H11" i="1" s="1"/>
  <c r="D11" i="1"/>
  <c r="V11" i="1" s="1"/>
  <c r="G10" i="1"/>
  <c r="E10" i="1"/>
  <c r="H10" i="1" s="1"/>
  <c r="D10" i="1"/>
  <c r="T10" i="1" s="1"/>
  <c r="G9" i="1"/>
  <c r="F15" i="5" s="1"/>
  <c r="E9" i="1"/>
  <c r="H9" i="1" s="1"/>
  <c r="E15" i="5" s="1"/>
  <c r="D9" i="1"/>
  <c r="T9" i="1" s="1"/>
  <c r="U22" i="5" l="1"/>
  <c r="L22" i="5"/>
  <c r="I22" i="5"/>
  <c r="K22" i="5"/>
  <c r="H22" i="5"/>
  <c r="V22" i="5"/>
  <c r="G22" i="5"/>
  <c r="S22" i="5" s="1"/>
  <c r="O17" i="1"/>
  <c r="G17" i="5"/>
  <c r="L17" i="5"/>
  <c r="O14" i="1"/>
  <c r="G16" i="5"/>
  <c r="V16" i="5"/>
  <c r="G18" i="5"/>
  <c r="S18" i="5" s="1"/>
  <c r="V18" i="5"/>
  <c r="G15" i="5"/>
  <c r="S15" i="5" s="1"/>
  <c r="V15" i="5"/>
  <c r="P11" i="1"/>
  <c r="I17" i="5"/>
  <c r="H17" i="5"/>
  <c r="I18" i="5"/>
  <c r="H18" i="5"/>
  <c r="H16" i="5"/>
  <c r="I16" i="5"/>
  <c r="L18" i="5"/>
  <c r="U18" i="5"/>
  <c r="U15" i="5"/>
  <c r="T18" i="5"/>
  <c r="K18" i="5"/>
  <c r="H15" i="5"/>
  <c r="I15" i="5"/>
  <c r="K15" i="5"/>
  <c r="L16" i="5"/>
  <c r="L15" i="5"/>
  <c r="V17" i="5"/>
  <c r="P14" i="1"/>
  <c r="V10" i="1"/>
  <c r="T14" i="1"/>
  <c r="P17" i="1"/>
  <c r="T17" i="1"/>
  <c r="M12" i="1"/>
  <c r="W12" i="1"/>
  <c r="J12" i="1"/>
  <c r="I12" i="1"/>
  <c r="O12" i="1"/>
  <c r="N12" i="1"/>
  <c r="I10" i="1"/>
  <c r="O10" i="1"/>
  <c r="J10" i="1"/>
  <c r="N10" i="1"/>
  <c r="M10" i="1"/>
  <c r="W10" i="1"/>
  <c r="W11" i="1"/>
  <c r="J11" i="1"/>
  <c r="M11" i="1"/>
  <c r="I11" i="1"/>
  <c r="O11" i="1"/>
  <c r="N11" i="1"/>
  <c r="P12" i="1"/>
  <c r="I14" i="1"/>
  <c r="I17" i="1"/>
  <c r="T12" i="1"/>
  <c r="J14" i="1"/>
  <c r="W14" i="1"/>
  <c r="J17" i="1"/>
  <c r="W17" i="1"/>
  <c r="T11" i="1"/>
  <c r="M14" i="1"/>
  <c r="M17" i="1"/>
  <c r="P10" i="1"/>
  <c r="N14" i="1"/>
  <c r="N17" i="1"/>
  <c r="P9" i="1"/>
  <c r="V9" i="1"/>
  <c r="W9" i="1"/>
  <c r="J9" i="1"/>
  <c r="I9" i="1"/>
  <c r="O9" i="1"/>
  <c r="N9" i="1"/>
  <c r="M9" i="1"/>
  <c r="K17" i="5" l="1"/>
  <c r="U17" i="5"/>
  <c r="T17" i="5"/>
  <c r="S17" i="5"/>
  <c r="U16" i="5"/>
  <c r="K16" i="5"/>
  <c r="T16" i="5"/>
  <c r="S16" i="5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58" i="3" s="1"/>
  <c r="B4" i="5"/>
  <c r="K7" i="1"/>
  <c r="H6" i="1"/>
  <c r="R10" i="5" l="1"/>
  <c r="M65" i="3" s="1"/>
  <c r="N58" i="3" l="1"/>
  <c r="B8" i="5"/>
  <c r="B5" i="5"/>
  <c r="P10" i="5" l="1"/>
  <c r="K65" i="3" s="1"/>
  <c r="Q10" i="5"/>
  <c r="L65" i="3" s="1"/>
  <c r="B63" i="3"/>
  <c r="C63" i="3" s="1"/>
  <c r="M14" i="5"/>
  <c r="H64" i="3" s="1"/>
  <c r="L14" i="5"/>
  <c r="G64" i="3" s="1"/>
  <c r="K14" i="5"/>
  <c r="F64" i="3" s="1"/>
  <c r="L64" i="3"/>
  <c r="K64" i="3"/>
  <c r="O14" i="5"/>
  <c r="J64" i="3" s="1"/>
  <c r="N14" i="5"/>
  <c r="I64" i="3" s="1"/>
  <c r="J14" i="5"/>
  <c r="E64" i="3" s="1"/>
  <c r="I14" i="5"/>
  <c r="D64" i="3" s="1"/>
  <c r="H14" i="5"/>
  <c r="C64" i="3" s="1"/>
  <c r="O10" i="5"/>
  <c r="J65" i="3" s="1"/>
  <c r="N10" i="5"/>
  <c r="I65" i="3" s="1"/>
  <c r="M10" i="5"/>
  <c r="H65" i="3" s="1"/>
  <c r="J10" i="5"/>
  <c r="E65" i="3" s="1"/>
  <c r="N3" i="1" l="1"/>
  <c r="M3" i="1"/>
  <c r="O3" i="1"/>
  <c r="V19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9" i="1"/>
  <c r="T7" i="1" l="1"/>
  <c r="W19" i="1"/>
  <c r="G6" i="1" l="1"/>
  <c r="K13" i="5"/>
  <c r="V13" i="5"/>
  <c r="L13" i="5"/>
  <c r="H13" i="5"/>
  <c r="U13" i="5"/>
  <c r="S13" i="5"/>
  <c r="I13" i="5"/>
  <c r="K10" i="5" l="1"/>
  <c r="F65" i="3" s="1"/>
  <c r="I10" i="5"/>
  <c r="D65" i="3" s="1"/>
  <c r="H10" i="5"/>
  <c r="C65" i="3" s="1"/>
  <c r="L10" i="5"/>
  <c r="G65" i="3" s="1"/>
  <c r="L58" i="3"/>
  <c r="D58" i="3"/>
  <c r="D6" i="1"/>
  <c r="B6" i="1" l="1"/>
  <c r="L3" i="1"/>
  <c r="J3" i="1"/>
  <c r="H3" i="1"/>
  <c r="C6" i="1" l="1"/>
  <c r="P7" i="1" s="1"/>
  <c r="S3" i="1"/>
  <c r="S7" i="1" s="1"/>
  <c r="E6" i="1"/>
  <c r="F58" i="3"/>
  <c r="I3" i="1" l="1"/>
  <c r="B7" i="1"/>
  <c r="L9" i="1" s="1"/>
  <c r="L11" i="1" l="1"/>
  <c r="L10" i="1"/>
  <c r="L17" i="1"/>
  <c r="C7" i="1"/>
  <c r="O19" i="1"/>
  <c r="I19" i="1"/>
  <c r="N19" i="1"/>
  <c r="P19" i="1"/>
  <c r="J19" i="1"/>
  <c r="Q7" i="1" l="1"/>
  <c r="M58" i="3" s="1"/>
  <c r="L7" i="1"/>
  <c r="G58" i="3" s="1"/>
  <c r="K58" i="3"/>
  <c r="J58" i="3"/>
  <c r="K19" i="1"/>
  <c r="M19" i="1"/>
  <c r="R7" i="1" l="1"/>
  <c r="I58" i="3" s="1"/>
  <c r="M7" i="1"/>
  <c r="H58" i="3" s="1"/>
  <c r="J7" i="1"/>
  <c r="C5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<sst xmlns="http://schemas.openxmlformats.org/spreadsheetml/2006/main" count="441" uniqueCount="337">
  <si>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</si>
  <si>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</si>
  <si>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</si>
  <si>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</si>
  <si>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</si>
  <si>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</si>
  <si>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</si>
  <si>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</si>
  <si>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</si>
  <si>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</si>
  <si>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</si>
  <si>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</si>
  <si>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</si>
  <si>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</si>
  <si>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</si>
  <si>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</si>
  <si>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</si>
  <si>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</si>
  <si>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</si>
  <si>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</si>
  <si>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</si>
  <si>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</si>
  <si>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</si>
  <si>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</si>
  <si>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</si>
  <si>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</si>
  <si>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</si>
  <si>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</si>
  <si>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</si>
  <si>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</si>
  <si>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</si>
  <si>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</si>
  <si>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</si>
  <si>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</si>
  <si>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</si>
  <si>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</si>
  <si>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</si>
  <si>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</si>
  <si>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</si>
  <si>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</si>
  <si>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</si>
  <si>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</si>
  <si>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</si>
  <si>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</si>
  <si>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</si>
  <si>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</si>
  <si>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</si>
  <si>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</si>
  <si>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</si>
  <si>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</si>
  <si>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</si>
  <si>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</si>
  <si>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</si>
  <si>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</si>
  <si>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</si>
  <si>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</si>
  <si>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</si>
  <si>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</si>
  <si>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</si>
  <si>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</si>
  <si>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</si>
  <si>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</si>
  <si>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</si>
  <si>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</si>
  <si>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</si>
  <si>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</si>
  <si>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</si>
  <si>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</si>
  <si>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</si>
  <si>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</si>
  <si>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</si>
  <si>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</si>
  <si>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</si>
  <si>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</si>
  <si>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</si>
  <si>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</si>
  <si>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</si>
  <si>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</si>
  <si>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</si>
  <si>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</si>
  <si>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</si>
  <si>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</si>
  <si>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</si>
  <si>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</si>
  <si>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</si>
  <si>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</si>
  <si>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</si>
  <si>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</si>
  <si>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</si>
  <si>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</si>
  <si>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</si>
  <si>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</si>
  <si>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</si>
  <si>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</si>
  <si>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</si>
  <si>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</si>
  <si>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</si>
  <si>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</si>
  <si>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</si>
  <si>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</si>
  <si>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</si>
  <si>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</si>
  <si>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</si>
  <si>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</si>
  <si>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</si>
  <si>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</si>
  <si>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</si>
  <si>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</si>
  <si>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</si>
  <si>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</si>
  <si>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</si>
  <si>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</si>
  <si>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</si>
  <si>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</si>
  <si>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</si>
  <si>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</si>
  <si>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</si>
  <si>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</si>
  <si>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</si>
  <si>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</si>
  <si>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</si>
  <si>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</si>
  <si>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</si>
  <si>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</si>
  <si>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</si>
  <si>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</si>
  <si>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</si>
  <si>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</si>
  <si>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</si>
  <si>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</si>
  <si>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</si>
  <si>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</si>
  <si>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</si>
  <si>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</si>
  <si>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</si>
  <si>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</si>
  <si>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</si>
  <si>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</si>
  <si>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</si>
  <si>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</si>
  <si>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</si>
  <si>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</si>
  <si>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</si>
  <si>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</si>
  <si>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</si>
  <si>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</si>
  <si>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</si>
  <si>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</si>
  <si>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</si>
  <si>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</si>
  <si>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</si>
  <si>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</si>
  <si>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</si>
  <si>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</si>
  <si>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</si>
  <si>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</si>
  <si>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</si>
  <si>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</si>
  <si>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</si>
  <si>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</si>
  <si>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</si>
  <si>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</si>
  <si>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</si>
  <si>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</si>
  <si>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</si>
  <si>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</si>
  <si>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</si>
  <si>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</si>
  <si>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</si>
  <si>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</si>
  <si>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</si>
  <si>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</si>
  <si>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</si>
  <si>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</si>
  <si>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</si>
  <si>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</si>
  <si>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</si>
  <si>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</si>
  <si>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</si>
  <si>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</si>
  <si>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</si>
  <si>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</si>
  <si>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</si>
  <si>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</si>
  <si>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</si>
  <si>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</si>
  <si>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</si>
  <si>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</si>
  <si>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</si>
  <si>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</si>
  <si>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</si>
  <si>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</si>
  <si>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</si>
  <si>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</si>
  <si>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</si>
  <si>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</si>
  <si>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</si>
  <si>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</si>
  <si>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</si>
  <si>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</si>
  <si>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</si>
  <si>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</si>
  <si>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</si>
  <si>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</si>
  <si>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</si>
  <si>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</si>
  <si>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</si>
  <si>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</si>
  <si>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</si>
  <si>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</si>
  <si>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</si>
  <si>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</si>
  <si>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</si>
  <si>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</si>
  <si>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</si>
  <si>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</si>
  <si>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</si>
  <si>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</si>
  <si>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</si>
  <si>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</si>
  <si>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</si>
  <si>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</si>
  <si>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</si>
  <si>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</si>
  <si>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</si>
  <si>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</si>
  <si>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</si>
  <si>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</si>
  <si>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</si>
  <si>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</si>
  <si>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</si>
  <si>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</si>
  <si>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</si>
  <si>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</si>
  <si>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</si>
  <si>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</si>
  <si>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</si>
  <si>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</si>
  <si>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</si>
  <si>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</si>
  <si>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</si>
  <si>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</si>
  <si>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</si>
  <si>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</si>
  <si>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</si>
  <si>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</si>
  <si>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</si>
  <si>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</si>
  <si>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</si>
  <si>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</si>
  <si>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</si>
  <si>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</si>
  <si>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</si>
  <si>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</si>
  <si>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</si>
  <si>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</si>
  <si>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</si>
  <si>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</si>
  <si>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</si>
  <si>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</si>
  <si>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</si>
  <si>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</si>
  <si>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</si>
  <si>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</si>
  <si>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</si>
  <si>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</si>
  <si>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</si>
  <si>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</si>
  <si>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</si>
  <si>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</si>
  <si>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</si>
  <si>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</si>
  <si>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</si>
  <si>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</si>
  <si>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</si>
  <si>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</si>
  <si>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</si>
  <si>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</si>
  <si>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</si>
  <si>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</si>
  <si>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</si>
  <si>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</si>
  <si>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</si>
  <si>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</si>
  <si>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</si>
  <si>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</si>
  <si>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</si>
  <si>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</si>
  <si>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</si>
  <si>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</si>
  <si>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</si>
  <si>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</si>
  <si>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</si>
  <si>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</si>
  <si>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</si>
  <si>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</si>
  <si>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</si>
  <si>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</si>
  <si>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</si>
  <si>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</si>
  <si>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</si>
  <si>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</si>
  <si>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</si>
  <si>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</si>
  <si>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</si>
  <si>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</si>
  <si>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CCR Plan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</si>
  <si>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</si>
  <si>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</si>
  <si>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</si>
  <si>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</si>
  <si>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</si>
  <si>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</si>
  <si>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</si>
  <si>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</si>
  <si>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</si>
  <si>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</si>
  <si>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</si>
  <si>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</si>
  <si>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</si>
  <si>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</si>
  <si>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varchar(50)</t>
  </si>
  <si>
    <t>PROD_LINE</t>
  </si>
  <si>
    <t>IS_ACTIVE</t>
  </si>
  <si>
    <t>varchar(1)</t>
  </si>
  <si>
    <t>LogA.Bp2</t>
  </si>
  <si>
    <t>LgaBp2Progress</t>
  </si>
  <si>
    <t>Progress</t>
  </si>
  <si>
    <t>WORKING_DATE</t>
  </si>
  <si>
    <t>SHIFT</t>
  </si>
  <si>
    <t>NO_IN_SHIFT</t>
  </si>
  <si>
    <t>START_DATETIME</t>
  </si>
  <si>
    <t>FINISH_DATETIME</t>
  </si>
  <si>
    <t>datetime2(7)</t>
  </si>
  <si>
    <t>STATUS</t>
  </si>
  <si>
    <t>NEWTAKT_DATETIME</t>
  </si>
  <si>
    <t>LA Big Part 2x2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</si>
</sst>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67"/>
  <sheetViews>
    <sheetView workbookViewId="0">
      <selection activeCell="C48" sqref="C4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307</v>
      </c>
      <c r="F17" s="1" t="s">
        <v>308</v>
      </c>
      <c r="G17" s="17" t="s">
        <v>309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D22" t="s">
        <v>95</v>
      </c>
      <c r="F22" s="1" t="s">
        <v>114</v>
      </c>
      <c r="G22" s="17" t="s">
        <v>303</v>
      </c>
    </row>
    <row r="23" spans="1:7" x14ac:dyDescent="0.25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5">
      <c r="A24" s="1"/>
      <c r="B24" s="17"/>
      <c r="D24" t="s">
        <v>95</v>
      </c>
      <c r="F24" s="1" t="s">
        <v>114</v>
      </c>
      <c r="G24" s="17" t="s">
        <v>302</v>
      </c>
    </row>
    <row r="25" spans="1:7" x14ac:dyDescent="0.25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5">
      <c r="A26" s="1"/>
      <c r="B26" s="17"/>
      <c r="C26" t="s">
        <v>271</v>
      </c>
      <c r="F26" s="1" t="s">
        <v>272</v>
      </c>
      <c r="G26" s="17" t="s">
        <v>272</v>
      </c>
    </row>
    <row r="27" spans="1:7" x14ac:dyDescent="0.25">
      <c r="A27" s="1"/>
      <c r="B27" s="17"/>
      <c r="D27" t="s">
        <v>273</v>
      </c>
      <c r="F27" s="1" t="s">
        <v>275</v>
      </c>
      <c r="G27" s="17" t="s">
        <v>295</v>
      </c>
    </row>
    <row r="28" spans="1:7" x14ac:dyDescent="0.25">
      <c r="A28" s="1"/>
      <c r="B28" s="17"/>
      <c r="D28" t="s">
        <v>276</v>
      </c>
      <c r="F28" s="1" t="s">
        <v>274</v>
      </c>
      <c r="G28" s="17" t="s">
        <v>296</v>
      </c>
    </row>
    <row r="29" spans="1:7" x14ac:dyDescent="0.25">
      <c r="A29" s="1"/>
      <c r="B29" s="17"/>
      <c r="D29" t="s">
        <v>277</v>
      </c>
      <c r="F29" s="1" t="s">
        <v>280</v>
      </c>
      <c r="G29" s="17" t="s">
        <v>297</v>
      </c>
    </row>
    <row r="30" spans="1:7" x14ac:dyDescent="0.25">
      <c r="A30" s="1"/>
      <c r="B30" s="17"/>
      <c r="D30" t="s">
        <v>278</v>
      </c>
      <c r="F30" s="1" t="s">
        <v>281</v>
      </c>
      <c r="G30" s="17" t="s">
        <v>298</v>
      </c>
    </row>
    <row r="31" spans="1:7" x14ac:dyDescent="0.25">
      <c r="A31" s="1"/>
      <c r="B31" s="17"/>
      <c r="D31" t="s">
        <v>279</v>
      </c>
      <c r="F31" s="1" t="s">
        <v>282</v>
      </c>
      <c r="G31" s="17" t="s">
        <v>299</v>
      </c>
    </row>
    <row r="32" spans="1:7" x14ac:dyDescent="0.25">
      <c r="A32" s="1"/>
      <c r="B32" s="17"/>
      <c r="D32" t="s">
        <v>284</v>
      </c>
      <c r="F32" s="1" t="s">
        <v>283</v>
      </c>
      <c r="G32" s="17" t="s">
        <v>300</v>
      </c>
    </row>
    <row r="33" spans="1:8" x14ac:dyDescent="0.25">
      <c r="A33" s="1"/>
      <c r="B33" s="17"/>
      <c r="C33" t="s">
        <v>307</v>
      </c>
      <c r="F33" s="1" t="s">
        <v>308</v>
      </c>
      <c r="G33" s="17" t="s">
        <v>308</v>
      </c>
    </row>
    <row r="34" spans="1:8" x14ac:dyDescent="0.25">
      <c r="A34" s="1"/>
      <c r="B34" s="17"/>
      <c r="D34" t="s">
        <v>310</v>
      </c>
      <c r="F34" s="1" t="s">
        <v>311</v>
      </c>
      <c r="G34" s="17" t="s">
        <v>312</v>
      </c>
    </row>
    <row r="35" spans="1:8" x14ac:dyDescent="0.25">
      <c r="A35" s="1"/>
      <c r="B35" s="17"/>
      <c r="D35" t="s">
        <v>96</v>
      </c>
      <c r="F35" s="1" t="s">
        <v>104</v>
      </c>
      <c r="G35" s="17" t="s">
        <v>313</v>
      </c>
    </row>
    <row r="36" spans="1:8" x14ac:dyDescent="0.25">
      <c r="A36" s="1"/>
      <c r="B36" s="17"/>
      <c r="D36" t="s">
        <v>314</v>
      </c>
      <c r="F36" s="1" t="s">
        <v>315</v>
      </c>
      <c r="G36" s="17" t="s">
        <v>316</v>
      </c>
    </row>
    <row r="37" spans="1:8" x14ac:dyDescent="0.25">
      <c r="A37" s="1"/>
      <c r="B37" s="17"/>
      <c r="D37" t="s">
        <v>317</v>
      </c>
      <c r="F37" s="1" t="s">
        <v>318</v>
      </c>
      <c r="G37" s="17" t="s">
        <v>319</v>
      </c>
    </row>
    <row r="38" spans="1:8" x14ac:dyDescent="0.25">
      <c r="A38" s="1"/>
      <c r="B38" s="17"/>
      <c r="C38" t="s">
        <v>320</v>
      </c>
      <c r="F38" s="1" t="s">
        <v>301</v>
      </c>
      <c r="G38" s="17" t="s">
        <v>301</v>
      </c>
    </row>
    <row r="39" spans="1:8" x14ac:dyDescent="0.25">
      <c r="A39" s="1"/>
      <c r="B39" s="17"/>
      <c r="D39" t="s">
        <v>304</v>
      </c>
      <c r="F39" s="1" t="s">
        <v>304</v>
      </c>
      <c r="G39" s="17" t="s">
        <v>305</v>
      </c>
      <c r="H39" s="17" t="s">
        <v>306</v>
      </c>
    </row>
    <row r="40" spans="1:8" x14ac:dyDescent="0.25">
      <c r="A40" s="1"/>
      <c r="B40" s="17"/>
      <c r="F40" s="1"/>
    </row>
    <row r="41" spans="1:8" x14ac:dyDescent="0.25">
      <c r="A41" s="1"/>
      <c r="B41" s="17"/>
    </row>
    <row r="42" spans="1:8" x14ac:dyDescent="0.25">
      <c r="A42" s="1"/>
      <c r="B42" s="17" t="s">
        <v>86</v>
      </c>
    </row>
    <row r="43" spans="1:8" x14ac:dyDescent="0.25">
      <c r="A43" s="1"/>
      <c r="B43" s="17" t="s">
        <v>83</v>
      </c>
    </row>
    <row r="44" spans="1:8" x14ac:dyDescent="0.25">
      <c r="A44" s="1"/>
      <c r="B44" s="17"/>
      <c r="C44" s="19" t="s">
        <v>80</v>
      </c>
    </row>
    <row r="45" spans="1:8" x14ac:dyDescent="0.25">
      <c r="A45" s="1"/>
      <c r="B45" s="17"/>
      <c r="C45" s="18" t="s">
        <v>81</v>
      </c>
    </row>
    <row r="46" spans="1:8" x14ac:dyDescent="0.25">
      <c r="A46" s="1"/>
      <c r="B46" s="17"/>
      <c r="C46" s="18" t="s">
        <v>82</v>
      </c>
    </row>
    <row r="47" spans="1:8" x14ac:dyDescent="0.25">
      <c r="A47" s="1"/>
      <c r="B47" s="17" t="s">
        <v>106</v>
      </c>
      <c r="C47" s="18"/>
    </row>
    <row r="48" spans="1:8" x14ac:dyDescent="0.25">
      <c r="A48" s="1"/>
      <c r="B48" s="17"/>
      <c r="C48" s="18" t="s">
        <v>107</v>
      </c>
    </row>
    <row r="49" spans="1:14" x14ac:dyDescent="0.25">
      <c r="A49" s="1"/>
      <c r="B49" s="17"/>
      <c r="C49" s="18" t="s">
        <v>108</v>
      </c>
    </row>
    <row r="50" spans="1:14" x14ac:dyDescent="0.25">
      <c r="A50" s="1"/>
      <c r="B50" s="17"/>
      <c r="C50" s="18" t="s">
        <v>109</v>
      </c>
    </row>
    <row r="51" spans="1:14" x14ac:dyDescent="0.25">
      <c r="A51" s="1"/>
      <c r="B51" s="17"/>
      <c r="C51" s="18" t="s">
        <v>111</v>
      </c>
    </row>
    <row r="52" spans="1:14" x14ac:dyDescent="0.25">
      <c r="A52" s="1"/>
      <c r="B52" s="17"/>
      <c r="C52" s="18" t="s">
        <v>113</v>
      </c>
    </row>
    <row r="53" spans="1:14" x14ac:dyDescent="0.25">
      <c r="A53" s="1"/>
      <c r="B53" s="17"/>
      <c r="C53" s="18" t="s">
        <v>112</v>
      </c>
    </row>
    <row r="54" spans="1:14" x14ac:dyDescent="0.25">
      <c r="A54" s="1"/>
      <c r="B54" s="17"/>
      <c r="C54" s="18" t="s">
        <v>110</v>
      </c>
    </row>
    <row r="55" spans="1:14" ht="21" customHeight="1" x14ac:dyDescent="0.25">
      <c r="B55" s="21" t="s">
        <v>78</v>
      </c>
    </row>
    <row r="56" spans="1:14" ht="21" customHeight="1" x14ac:dyDescent="0.25">
      <c r="B56" s="63" t="s">
        <v>231</v>
      </c>
    </row>
    <row r="57" spans="1:14" ht="15.75" thickBot="1" x14ac:dyDescent="0.3">
      <c r="C57" s="1" t="s">
        <v>72</v>
      </c>
      <c r="D57" s="1" t="s">
        <v>207</v>
      </c>
      <c r="E57" s="1" t="s">
        <v>208</v>
      </c>
      <c r="F57" s="1" t="s">
        <v>198</v>
      </c>
      <c r="G57" s="1" t="s">
        <v>199</v>
      </c>
      <c r="H57" s="1" t="s">
        <v>200</v>
      </c>
      <c r="I57" s="1" t="s">
        <v>201</v>
      </c>
      <c r="J57" s="1" t="s">
        <v>205</v>
      </c>
      <c r="K57" s="1" t="s">
        <v>209</v>
      </c>
      <c r="L57" s="1" t="s">
        <v>210</v>
      </c>
      <c r="M57" s="1" t="s">
        <v>211</v>
      </c>
      <c r="N57" s="1" t="s">
        <v>227</v>
      </c>
    </row>
    <row r="58" spans="1:14" s="16" customFormat="1" ht="21.75" customHeight="1" thickBot="1" x14ac:dyDescent="0.3">
      <c r="B58" s="52" t="s">
        <v>226</v>
      </c>
      <c r="C5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vovina.LogA.Bp2
{
	[Table("LgaBp2Progress")]
	[Index(nameof(ProdLine), Name="IX_LgaBp2Progress_ProdLine")]
	[Index(nameof(WorkingDate), Name="IX_LgaBp2Progress_WorkingDate")]
	[Index(nameof(Shift), Name="IX_LgaBp2Progress_Shift")]
	[Index(nameof(IsActive), Name="IX_LgaBp2Progress_IsActive")]	public class LgaBp2Progress: FullAuditedEntity&lt;long&gt;, IEntity&lt;long&gt;	
	{
		public const int MaxProdLineLength = 50;
		public const int MaxShiftLength = 50;
		public const int MaxStatusLength = 50;
		public const int MaxIsActiveLength = 1;
		[StringLength(MaxProdLineLength)]
		public virtual string ProdLine { get; set; }
		public virtual DateTime WorkingDate { get; set; }
		[StringLength(MaxShiftLength)]
		public virtual string Shift { get; set; }
		public virtual int NoInShift { get; set; }
		[Column(TypeName="datetime2(7)")]
		public virtual DateTime NewtaktDatetime { get; set; }
		[Column(TypeName="datetime2(7)")]
		public virtual DateTime StartDatetime { get; set; }
		[Column(TypeName="datetime2(7)")]
		public virtual DateTime FinishDatetime { get; set; }
		[StringLength(MaxStatusLength)]
		public virtual string Status { get; set; }
		[StringLength(MaxIsActiveLength)]
		public virtual string IsActive { get; set; }
	}
}
</v>
      </c>
      <c r="D58" s="51" t="str">
        <f>A.Backend!O7</f>
        <v xml:space="preserve">		public const string Pages_LogA_Bp2_Progress = "Pages.LogA.Bp2.Progress";
		public const string Pages_LogA_Bp2_Progress_CreateEdit = "Pages.LogA.Bp2.Progress.CreateEdit";
		public const string Pages_LogA_Bp2_Progress_Delete = "Pages.LogA.Bp2.Progress.Delete";
</v>
      </c>
      <c r="E58" s="51" t="str">
        <f>A.Backend!N7</f>
        <v xml:space="preserve">		var perLgaBp2Progress = PARENTS.CreateChildPermission(AppPermissions.Pages_LogA_Bp2_Progress, L( "LogABp2Progress"), multiTenancySides: MultiTenancySides.Tenant);
		perLgaBp2Progress.CreateChildPermission(AppPermissions.Pages_LogA_Bp2_Progress_CreateEdit, L( "LogABp2ProgressCreateEdit"), multiTenancySides: MultiTenancySides.Tenant);
		perLgaBp2Progress.CreateChildPermission(AppPermissions.Pages_LogA_Bp2_Progress_Delete, L( "LogABp2ProgressDelete"), multiTenancySides: MultiTenancySides.Tenant);</v>
      </c>
      <c r="F58" s="51" t="str">
        <f>A.Backend!K7</f>
        <v>public virtual DbSet&lt;LgaBp2Progress&gt; LgaBp2Progresss { get; set; }</v>
      </c>
      <c r="G58" s="51" t="str">
        <f ca="1">A.Backend!L7</f>
        <v xml:space="preserve">namespace vovina.LogA.Bp2
{
	public class LgaBp2ProgressConsts	
	{
		public const int MaxProdLineLength = 50;
		public const int MaxShiftLength = 50;
		public const int MaxStatusLength = 50;
		public const int MaxIsActiveLength = 1;
		// Define Store Name: Format SP_ + &lt;Store Name&gt; = &lt;Store Name&gt;
	}
}
</v>
      </c>
      <c r="H58" s="51" t="str">
        <f ca="1">A.Backend!M7</f>
        <v xml:space="preserve">using Abp.Application.Services.Dto;
using System;
using System.ComponentModel.DataAnnotations;
namespace vovina.LogA.Bp2.Dto
{
	public class LgaBp2ProgressDto : EntityDto&lt;long?&gt;	
	{
		public virtual string ProdLine { get; set; }
		public virtual DateTime? WorkingDate { get; set; }
		public virtual string Shift { get; set; }
		public virtual int NoInShift { get; set; }
		public virtual DateTime? NewtaktDatetime { get; set; }
		public virtual DateTime? StartDatetime { get; set; }
		public virtual DateTime? FinishDatetime { get; set; }
		public virtual string Status { get; set; }
		public virtual string IsActive { get; set; }
	}
	public class CreateOrEditLgaBp2ProgressDto : EntityDto&lt;long?&gt;	
	{
		[StringLength(LgaBp2ProgressConsts.MaxProdLineLength)]
		public virtual string ProdLine { get; set; }
		public virtual DateTime? WorkingDate { get; set; }
		[StringLength(LgaBp2ProgressConsts.MaxShiftLength)]
		public virtual string Shift { get; set; }
		public virtual int NoInShift { get; set; }
		public virtual DateTime? NewtaktDatetime { get; set; }
		public virtual DateTime? StartDatetime { get; set; }
		public virtual DateTime? FinishDatetime { get; set; }
		[StringLength(LgaBp2ProgressConsts.MaxStatusLength)]
		public virtual string Status { get; set; }
		[StringLength(LgaBp2ProgressConsts.MaxIsActiveLength)]
		public virtual string IsActive { get; set; }
	}
	public class GetLgaBp2ProgressInput : PagedAndSortedResultRequestDto	
	{
		public virtual string ProdLine { get; set; }
		public virtual DateTime? WorkingDate { get; set; }
		public virtual string Shift { get; set; }
		public virtual int NoInShift { get; set; }
		public virtual DateTime? NewtaktDatetime { get; set; }
		public virtual DateTime? StartDatetime { get; set; }
		public virtual DateTime? FinishDatetime { get; set; }
		public virtual string Status { get; set; }
		public virtual string IsActive { get; set; }
	}
}
</v>
      </c>
      <c r="I58" s="51" t="str">
        <f ca="1">A.Backend!R7</f>
        <v xml:space="preserve">using Abp.Application.Services.Dto;
using System;
using System.ComponentModel.DataAnnotations;
namespace vovina.LogA.Bp2.Dto
{
	public class LgaBp2ProgressExportInput{
		public virtual string ProdLine { get; set; }
		public virtual DateTime? WorkingDate { get; set; }
		public virtual string Shift { get; set; }
		public virtual int NoInShift { get; set; }
		public virtual DateTime? NewtaktDatetime { get; set; }
		public virtual DateTime? StartDatetime { get; set; }
		public virtual DateTime? FinishDatetime { get; set; }
		public virtual string Status { get; set; }
		public virtual string IsActive { get; set; }
	}
}
</v>
      </c>
      <c r="J58" s="51" t="str">
        <f>A.Backend!P7</f>
        <v xml:space="preserve">using Abp.Application.Services;
using Abp.Application.Services.Dto;
using System.Collections.Generic;using vovina.Dto;
using System.Threading.Tasks;
using vovina.LogA.Bp2.Dto;
namespace vovina.LogA.Bp2
{
	public interface ILgaBp2ProgressAppService : IApplicationService
	{
		Task&lt;PagedResultDto&lt;LgaBp2ProgressDto&gt;&gt; GetAll(GetLgaBp2ProgressInput input);
		Task CreateOrEdit(CreateOrEditLgaBp2ProgressDto input);
		Task Delete(EntityDto input);
	}
}
</v>
      </c>
      <c r="K58" s="51" t="str">
        <f>A.Backend!S7</f>
        <v xml:space="preserve">using Abp.Application.Services;
using Abp.Application.Services.Dto;
using System.Collections.Generic;using vovina.Dto;
using System.Threading.Tasks;
using vovina.LogA.Bp2.Dto;
namespace vovina.LogA.Bp2.Exporting
{
	public interface ILgaBp2ProgressExcelExporter : IApplicationService
	{
		FileDto ExportToFile(List&lt;LgaBp2ProgressDto&gt; lgabp2progress);
	}
}
</v>
      </c>
      <c r="L58" s="51" t="str">
        <f ca="1">A.Backend!T7</f>
        <v>using System.Collections.Generic;
using vovina.DataExporting.Excel.NPOI;
using vovina.Dto;
using vovina.LogA.Bp2.Exporting;
using vovina.LogA.Bp2.Dto;
using vovina.Storage;
using vovina.LogA.Bp2.Dto;
namespace vovina.LogA.Bp2.Exporting
{
    public class LgaBp2ProgressExcelExporter : NpoiExcelExporterBase, ILgaBp2ProgressExcelExporter
    {
        public LgaBp2ProgressExcelExporter(ITempFileCacheManager tempFileCacheManager) : base(tempFileCacheManager) { }
        public FileDto ExportToFile(List&lt;LgaBp2ProgressDto&gt; progress)
        {
            return CreateExcelPackage(
				"LogABp2Progress.xlsx",
				excelPackage =&gt;
				 {
					var sheet = excelPackage.CreateSheet("Progress");
					AddHeader(
								sheet,
								("ProdLine"),
								("WorkingDate"),
								("Shift"),
								("NoInShift"),
								("NewtaktDatetime"),
								("StartDatetime"),
								("FinishDatetime"),
								("Status"),
								("IsActive"),
							   );
					AddObjects(
						 sheet, 1, progress,                                       
								_ =&gt; _.ProdLine,
								_ =&gt; _.WorkingDate,
								_ =&gt; _.Shift,
								_ =&gt; _.NoInShift,
								_ =&gt; _.NewtaktDatetime,
								_ =&gt; _.StartDatetime,
								_ =&gt; _.FinishDatetime,
								_ =&gt; _.Status,
								_ =&gt; _.IsActive,
								);
			for (var i = 0; i &lt; 8; i++)
				{
					sheet.AutoSizeColumn(i);
				}
			});
        }
    }
}</v>
      </c>
      <c r="M5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vovina.LogA.Bp2.Dto;
using vovina.LogA.Bp2.Exporting;
namespace vovina.LogA.Bp2
{
    [AbpAuthorize(AppPermissions.Pages_LogA_Bp2_Progress)]
    public class LgaBp2ProgressAppService : vovinaAppServiceBase, ILgaBp2ProgressAppService
    {
        private readonly IDapperRepository&lt;LgaBp2Progress, long&gt; _dapperRepo;
        private readonly IRepository&lt;LgaBp2Progress, long&gt; _repo;
        private readonly ILgaBp2ProgressExcelExporter _calendarListExcelExporter;
        public LgaBp2ProgressAppService(IRepository&lt;LgaBp2Progress,long&gt; repo, 
                                         IDapperRepository&lt;LgaBp2Progress,long&gt; dapperRepo,
                                        ILgaBp2ProgressExcelExporter calendarListExcelExporter
            )
        {
            _repo = repo;
            _dapperRepo = dapperRepo;
            _calendarListExcelExporter = calendarListExcelExporter;
        }
        [AbpAuthorize(AppPermissions.Pages_LogA_Bp2_Progress_CreateEdit)]
        public async Task CreateOrEdit(CreateOrEditLgaBp2ProgressDto input)
        {
            if (input.Id == null) await Create(input);
            else await Update(input);
        }
        //CREATE
        private async Task Create(CreateOrEditLgaBp2ProgressDto input)
        {          
            var mainObj = ObjectMapper.Map&lt;LgaBp2Progress&gt;(input);
            await CurrentUnitOfWork.GetDbContext&lt;vovinaDbContext&gt;().AddAsync(mainObj);
        }
        // EDIT
        private async Task Update(CreateOrEditLgaBp2ProgressDto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[AbpAuthorize(AppPermissions.Pages_LogA_Bp2_Progress_Delete)]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Task&lt;PagedResultDto&lt;LgaBp2ProgressDto&gt;&gt; GetAll(GetLgaBp2ProgressInput input)
        {
            var filtered = _repo.GetAll()
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.WhereIf(input.NewtaktDatetime.HasValue, t =&gt; t.NewtaktDatetime == input.NewtaktDatetime.Value)
				.WhereIf(input.StartDatetime.HasValue, t =&gt; t.StartDatetime == input.StartDatetime.Value)
				.WhereIf(input.FinishDatetime.HasValue, t =&gt; t.FinishDatetime == input.FinishDatetime.Value)
				.WhereIf(!string.IsNullOrWhiteSpace(input.Status), e =&gt; e.Status.Contains(input.Status))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LgaBp2ProgressDto
                        {
							Id = o.Id,
							ProdLine = o.ProdLine,
							WorkingDate = o.WorkingDate,
							Shift = o.Shift,
							NoInShift = o.NoInShift,
							NewtaktDatetime = o.NewtaktDatetime,
							StartDatetime = o.StartDatetime,
							FinishDatetime = o.FinishDatetime,
							Status = o.Status,
							IsActive = o.IsActive,
                        };
            var totalCount = await filtered.CountAsync();
			var paged = system.PageBy(input);
            return new PagedResultDto&lt;LgaBp2ProgressDto&gt;(
                totalCount,
                 await paged.ToListAsync()
            );
        }
        public async Task&lt;FileDto&gt; GetProgressToExcel(LgaBp2ProgressExportInput input)
        {
            var query = from o in _repo.GetAll()
                        select new LgaBp2ProgressDto
                        {
							Id = o.Id,
							ProdLine = o.ProdLine,
							WorkingDate = o.WorkingDate,
							Shift = o.Shift,
							NoInShift = o.NoInShift,
							NewtaktDatetime = o.NewtaktDatetime,
							StartDatetime = o.StartDatetime,
							FinishDatetime = o.FinishDatetime,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_dapperRepo.ExecuteAsync(LgaBp2ProgressConsts.SP_MST_WPT_CALENDAR_GENERATE);
       // }
    }
}</v>
      </c>
      <c r="N58" s="62" t="str">
        <f>A.Backend!U7</f>
        <v xml:space="preserve">  configuration.CreateMap&lt;LgaBp2ProgressDto, LgaBp2Progress&gt;();
  configuration.CreateMap&lt;LgaBp2Progress, LgaBp2ProgressDto&gt;();
  configuration.CreateMap&lt;CreateOrEditLgaBp2ProgressDto, LgaBp2Progress&gt;();</v>
      </c>
    </row>
    <row r="59" spans="1:14" s="16" customFormat="1" ht="21.75" customHeight="1" x14ac:dyDescent="0.25">
      <c r="C59" s="65"/>
      <c r="D59" s="29"/>
      <c r="E59" s="29"/>
      <c r="F59" s="29"/>
      <c r="G59" s="29"/>
      <c r="H59" s="66"/>
      <c r="I59" s="67"/>
      <c r="J59" s="29"/>
      <c r="K59" s="29"/>
      <c r="M59" s="66"/>
    </row>
    <row r="60" spans="1:14" s="16" customFormat="1" ht="21.75" customHeight="1" x14ac:dyDescent="0.25">
      <c r="C60" s="29"/>
      <c r="D60" s="29"/>
      <c r="E60" s="29"/>
      <c r="F60" s="29"/>
      <c r="G60" s="29"/>
      <c r="H60" s="29"/>
      <c r="J60" s="29"/>
      <c r="K60" s="29"/>
      <c r="M60" s="29"/>
    </row>
    <row r="61" spans="1:14" s="16" customFormat="1" ht="21.75" customHeight="1" x14ac:dyDescent="0.25">
      <c r="C61" s="29"/>
      <c r="D61" s="29"/>
      <c r="E61" s="29"/>
      <c r="G61" s="29"/>
      <c r="H61" s="29"/>
    </row>
    <row r="62" spans="1:14" x14ac:dyDescent="0.25">
      <c r="B62" s="1" t="s">
        <v>73</v>
      </c>
    </row>
    <row r="63" spans="1:14" ht="21" x14ac:dyDescent="0.35">
      <c r="B63" t="str">
        <f>B.Frontend!B8</f>
        <v>progress</v>
      </c>
      <c r="C63" s="72" t="str">
        <f>"create folder " &amp;B63</f>
        <v>create folder progress</v>
      </c>
      <c r="D63" s="72"/>
      <c r="E63" s="72"/>
      <c r="F63" s="72"/>
      <c r="G63" s="72"/>
      <c r="H63" s="72"/>
      <c r="I63" s="72"/>
      <c r="J63" s="72"/>
      <c r="K63" s="73" t="s">
        <v>228</v>
      </c>
      <c r="L63" s="73"/>
      <c r="M63" s="31"/>
    </row>
    <row r="64" spans="1:14" s="28" customFormat="1" ht="18" customHeight="1" x14ac:dyDescent="0.25">
      <c r="B64" s="60" t="s">
        <v>229</v>
      </c>
      <c r="C64" s="31" t="str">
        <f>B.Frontend!H14</f>
        <v>progress.component.ts</v>
      </c>
      <c r="D64" s="31" t="str">
        <f>B.Frontend!I14</f>
        <v>progress.component.html</v>
      </c>
      <c r="E64" s="31" t="str">
        <f>B.Frontend!J14</f>
        <v>progress.component.less</v>
      </c>
      <c r="F64" s="31" t="str">
        <f>B.Frontend!K14</f>
        <v>create-or-edit-progress-modal.component.html</v>
      </c>
      <c r="G64" s="31" t="str">
        <f>B.Frontend!L14</f>
        <v>create-or-edit-progress-modal.component.ts</v>
      </c>
      <c r="H64" s="31" t="str">
        <f>B.Frontend!M14</f>
        <v>create-or-edit-progress-modal.component.less</v>
      </c>
      <c r="I64" s="31" t="str">
        <f>B.Frontend!N14</f>
        <v>progress.module.ts</v>
      </c>
      <c r="J64" s="31" t="str">
        <f>B.Frontend!O14</f>
        <v>progress-routing.module.ts</v>
      </c>
      <c r="K64" s="31" t="str">
        <f>B.Frontend!P14</f>
        <v>app.navigation.service.ts</v>
      </c>
      <c r="L64" s="31" t="str">
        <f>B.Frontend!Q14</f>
        <v>main.routing.module.ts</v>
      </c>
      <c r="M64" s="60" t="s">
        <v>232</v>
      </c>
    </row>
    <row r="65" spans="2:13" ht="21.75" customHeight="1" x14ac:dyDescent="0.25">
      <c r="B65" s="61" t="s">
        <v>226</v>
      </c>
      <c r="C6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LgaBp2ProgressDto, LgaBp2ProgressServiceProxy } from '@shared/service-proxies/service-proxies';
import { finalize } from 'rxjs/internal/operators/finalize';
import { CreateOrEditProgressModalComponent } from './create-or-edit-progress-modal.component';
import { DatePipe } from '@angular/common';
import { FileDownloadService } from '@shared/utils/file-download.service';
import ceil from 'lodash-es/ceil';
import { Paginator } from 'primeng/paginator';
@Component({
    templateUrl: './progress.component.html',
    styleUrls: ['./progress.component.less'],
})
export class ProgressComponent extends AppComponentBase implements OnInit {
    @ViewChild('createOrEditModalProgress', { static: true }) createOrEditModalProgress:| CreateOrEditProgressModalComponent|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LgaBp2ProgressDto = new LgaBp2ProgressDto();
    saveSelectedRow: LgaBp2ProgressDto = new LgaBp2ProgressDto();
    datas: LgaBp2ProgressDto = new LgaBp2ProgressDto();
    isLoading: boolean = false;
    dataParams: GridParams | undefined;
    rowData: any[] = [];
    gridApi!: GridApi;
    rowSelection = 'multiple';
    filter: string = '';
	pipe = new DatePipe('en-US');
	frameworkComponents: FrameworkComponent;
    prodLine : string = '' ; 
	workingDate : any ;
	shift : string = '' ; 
	noInShift : number = 0 ;
	newtaktDatetime : any ;
	startDatetime : any ;
	finishDatetime : any ;
	status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LgaBp2ProgressServiceProxy,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this.l('Prod Line'),headerTooltip: this.l('Prod Line'),field: 'prodLine',flex: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this.l('No In Shift'),headerTooltip: this.l('No In Shift'),field: 'noInShift',flex: 1},
			{headerName: this.l('Newtakt Datetime'),headerTooltip: this.l('Newtakt Datetime'),field: 'newtaktDatetime',valueGetter: (params) =&gt; this.pipe.transform(params.data?.newtaktDatetime, 'dd/MM/yyyy'),flex: 1},
			{headerName: this.l('Start Datetime'),headerTooltip: this.l('Start Datetime'),field: 'startDatetime',valueGetter: (params) =&gt; this.pipe.transform(params.data?.startDatetime, 'dd/MM/yyyy'),flex: 1},
			{headerName: this.l('Finish Datetime'),headerTooltip: this.l('Finish Datetime'),field: 'finishDatetime',valueGetter: (params) =&gt; this.pipe.transform(params.data?.finishDatetime, 'dd/MM/yyyy'),flex: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this.prodLine,
			this.workingDate,
			this.shift,
			this.noInShift,
			this.newtaktDatetime,
			this.startDatetime,
			this.finishDatetime,
			this.status,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this.prodLine = '',
		this.workingDate = '',
		this.shift = '',
		this.noInShift = 0,
		this.newtaktDatetime = '',
		this.startDatetime = '',
		this.finishDatetime = '',
		this.status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this.prodLine,
			this.workingDate,
			this.shift,
			this.noInShift,
			this.newtaktDatetime,
			this.startDatetime,
			this.finishDatetime,
			this.status,
			this.isActive,
			'',
            this.paginationParams.skipCount,
            this.paginationParams.pageSize
        );
    }
    onChangeRowSelection(params: { api: { getSelectedRows: () =&gt; LgaBp2ProgressDto[] } }) {
        this.saveSelectedRow = params.api.getSelectedRows()[0] ?? new LgaBp2ProgressDto();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LgaBp2ProgressDto):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this._service.getProgressToExcel(
			this.prodLine,
			this.workingDate,
			this.shift,
			this.noInShift,
			this.newtaktDatetime,
			this.startDatetime,
			this.finishDatetime,
			this.status,
			this.isActive,
            )
            .subscribe((result) =&gt; {
                this._fileDownloadService.downloadTempFile(result);
        });
    }
}</v>
      </c>
      <c r="D6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LA Big Part 2x2 Progress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type='text' [placeholder]="l('Newtakt Datetime')" [(ngModel)]='newtaktDatetime' 
									name='newtaktDatetime'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[placeholder]="l('Start Datetime')" [(ngModel)]='startDatetime' 
									name='startDatetime'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[placeholder]="l('Finish Datetime')" [(ngModel)]='finishDatetime' 
									name='finishDatetime'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(click)="createOrEditModalProgress.show()"&gt;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(click)="createOrEditModalProgress.show(selectedRow)"&gt;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&lt;create-or-edit-progress-modal
    #createOrEditModalProgress
    (modalSave)="callBackDataGrid(dataParams)"
    (modalClose)="onChangeRowSelection(dataParams)"
&gt;
&lt;/create-or-edit-progress-modal&gt;</v>
      </c>
      <c r="E65" s="49" t="str">
        <f>B.Frontend!J10</f>
        <v>.input-search{
    width: 250px;
    border-radius: 10px;
    margin-left: 10px;
}
.btn-search{
    width: 50px;
    margin-left: 10px;
}</v>
      </c>
      <c r="F65" s="49" t="str">
        <f ca="1">B.Frontend!K10</f>
        <v>&lt;div bsModal #createOrEditModalProgress="bs-modal"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Progress')}}&lt;/h3&gt;
                    &lt;h3 *ngIf="!rowdata.id"&gt;{{('Create New Progress')}}&lt;/h3&gt;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title'&gt;No In Shift&lt;/label&gt;
						&lt;input type='number' class='col-md-10 form-control input-text' name='NoInShift' [(ngModel)]='rowdata.noInShift'&gt;
					&lt;/div&gt;
					&lt;div class='col-md-12 form-group row'&gt;
						&lt;label class='col-md-2 form-control title'&gt;Newtakt Datetime&lt;/label&gt;
						&lt;input type='text' class='col-md-10 form-control input-text' name='newtaktDatetime' 
						#datepicker='bsDatepicker' [(ngModel)]='rowdata.newtaktDatetime'  bsDatepicker &gt;
					&lt;/div&gt;
					&lt;div class='col-md-12 form-group row'&gt;
						&lt;label class='col-md-2 form-control title'&gt;Start Datetime&lt;/label&gt;
						&lt;input type='text' class='col-md-10 form-control input-text' name='startDatetime' 
						#datepicker='bsDatepicker' [(ngModel)]='rowdata.startDatetime'  bsDatepicker &gt;
					&lt;/div&gt;
					&lt;div class='col-md-12 form-group row'&gt;
						&lt;label class='col-md-2 form-control title'&gt;Finish Datetime&lt;/label&gt;
						&lt;input type='text' class='col-md-10 form-control input-text' name='finishDatetime' 
						#datepicker='bsDatepicker' [(ngModel)]='rowdata.finishDatetime'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CreateOrEditLgaBp2ProgressDto, LgaBp2ProgressServiceProxy } from '@shared/service-proxies/service-proxies';
import { BsDatepickerDirective } from 'ngx-bootstrap/datepicker';
@Component({
    selector: 'create-or-edit-progress-modal',
    templateUrl: './create-or-edit-progress-modal.component.html',
    styleUrls: ['./create-or-edit-progress-modal.component.less']
    })
export class CreateOrEditProgressModalComponent extends AppComponentBase {
    @ViewChild('createOrEditModalProgress',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CreateOrEditLgaBp2ProgressDto = new CreateOrEditLgaBp2ProgressDto();
    active: boolean = false;
    saving: boolean = false;
    _isActive: boolean;
    constructor(
        injector: Injector,
        private _mstwptProgressService: LgaBp2ProgressServiceProxy,
    ) 
    {
        super(injector);
    }
    show(rowdata?: CreateOrEditLgaBp2ProgressDto): void {
        if (!rowdata) this.rowdata = new CreateOrEditLgaBp2ProgressDto();
        else this.rowdata = rowdata;
		const dateValue =  this.rowdata.workingDate ? new Date(this.rowdata.workingDate?.toString()) : new Date();
		this.datepicker?.bsValueChange.emit(dateValue);
		const dateValue =  this.rowdata.newtaktDatetime ? new Date(this.rowdata.newtaktDatetime?.toString()) : new Date();
		this.datepicker?.bsValueChange.emit(dateValue);
		const dateValue =  this.rowdata.startDatetime ? new Date(this.rowdata.startDatetime?.toString()) : new Date();
		this.datepicker?.bsValueChange.emit(dateValue);
		const dateValue =  this.rowdata.finishDatetime ? new Date(this.rowdata.finishDatetime?.toString())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this._mstwptProgressService.createOrEdit(this.rowdata)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5" s="49" t="str">
        <f>B.Frontend!N10</f>
        <v>import {NgModule} from '@angular/core';
import {AppSharedModule} from '@app/shared/app-shared.module';
import { ProgressRoutingModule } from './progress-routing.module';
import { ProgressComponent } from './progress.component';
import { CreateOrEditProgressModalComponent } from './create-or-edit-progress-modal.component';
@NgModule({
    declarations: [
       ProgressComponent, 
        CreateOrEditProgressModalComponent
    ],
    imports: [
        AppSharedModule, ProgressRoutingModule]
})
export class ProgressModule {}</v>
      </c>
      <c r="J65" s="49" t="str">
        <f>B.Frontend!O10</f>
        <v>import {NgModule} from '@angular/core';
import {RouterModule, Routes} from '@angular/router';
import { ProgressComponent } from './progress.component';
const routes: Routes = [{
    path: '',
    component: ProgressComponent,
    pathMatch: 'full'
}];
@NgModule({
    imports: [RouterModule.forChild(routes)],
    exports: [RouterModule],
})
export class ProgressRoutingModule {}</v>
      </c>
      <c r="K65" s="49" t="str">
        <f>B.Frontend!P10</f>
        <v xml:space="preserve"> new AppMenuItem("Progress", "Pages.LogA.Bp2.Progress", "flaticon-book",   "/app/main/loga/bp2/progress"),</v>
      </c>
      <c r="L65" s="50" t="str">
        <f>B.Frontend!Q10</f>
        <v>{
    path: 'loga/bp2/progress',
    loadChildren: () =&gt; import('./loga/bp2/progress/progress.module').then(m =&gt; m.ProgressModule),
    data: { permission: 'Pages.LogA.Bp2.Progress' }
},</v>
      </c>
      <c r="M65" s="48" t="str">
        <f>B.Frontend!R10</f>
        <v>ApiServiceProxies.LgaBp2ProgressServiceProxy,</v>
      </c>
    </row>
    <row r="67" spans="2:13" x14ac:dyDescent="0.25">
      <c r="B67" s="1" t="s">
        <v>75</v>
      </c>
    </row>
  </sheetData>
  <mergeCells count="2">
    <mergeCell ref="C63:J63"/>
    <mergeCell ref="K63:L6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9"/>
  <sheetViews>
    <sheetView tabSelected="1" workbookViewId="0">
      <pane xSplit="1" topLeftCell="B1" activePane="topRight" state="frozen"/>
      <selection pane="topRight" activeCell="C22" sqref="C22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vovina.LogA.Bp2.Dto;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325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326</v>
      </c>
      <c r="C3" s="10" t="s">
        <v>43</v>
      </c>
      <c r="D3" s="10" t="s">
        <v>44</v>
      </c>
      <c r="E3" s="10" t="s">
        <v>39</v>
      </c>
      <c r="F3" s="11" t="str">
        <f>"J"&amp;COUNTA($A:$A)</f>
        <v>J17</v>
      </c>
      <c r="G3" s="4" t="s">
        <v>57</v>
      </c>
      <c r="H3" s="10" t="str">
        <f>"I"&amp;COUNTA($A:$A)</f>
        <v>I17</v>
      </c>
      <c r="I3" s="10" t="str">
        <f>REPT(CHAR(9),2)&amp;"[Required]"&amp;"
"</f>
        <v xml:space="preserve">		[Required]
</v>
      </c>
      <c r="J3" s="11" t="str">
        <f>"L"&amp;COUNTA($A:$A)</f>
        <v>L17</v>
      </c>
      <c r="K3" s="5" t="s">
        <v>56</v>
      </c>
      <c r="L3" s="11" t="str">
        <f>"M"&amp;COUNTA($A:$A)</f>
        <v>M17</v>
      </c>
      <c r="M3" s="11" t="str">
        <f>"N"&amp;COUNTA($A:$A)</f>
        <v>N17</v>
      </c>
      <c r="N3" s="11" t="str">
        <f>"O"&amp;COUNTA($A:$A)</f>
        <v>O17</v>
      </c>
      <c r="O3" s="11" t="str">
        <f>"P"&amp;COUNTA($A:$A)</f>
        <v>P17</v>
      </c>
      <c r="Q3" s="11" t="str">
        <f>RIGHT(B2,(LEN(B2)-FIND(".",B2,1)))</f>
        <v>Bp2</v>
      </c>
      <c r="R3" s="32" t="str">
        <f>REPT(CHAR(9),1)&amp;"public class "&amp;B3&amp;"ExportInput"&amp;C3</f>
        <v xml:space="preserve">	public class LgaBp2ProgressExportInput{
</v>
      </c>
      <c r="S3" s="11" t="str">
        <f>"namespace "&amp;$B$6&amp;".Exporting
"&amp;$C$3</f>
        <v xml:space="preserve">namespace vovina.LogA.Bp2.Exporting
{
</v>
      </c>
      <c r="T3" s="11" t="str">
        <f>"T"&amp;COUNTA($A:$A)</f>
        <v>T17</v>
      </c>
      <c r="V3" s="11" t="str">
        <f>"V"&amp;COUNTA($A:$A)</f>
        <v>V17</v>
      </c>
      <c r="W3" s="10" t="str">
        <f>"W"&amp;COUNTA($A:$A)</f>
        <v>W17</v>
      </c>
    </row>
    <row r="4" spans="1:23" s="11" customFormat="1" ht="33" customHeight="1" x14ac:dyDescent="0.25">
      <c r="A4" s="1" t="s">
        <v>237</v>
      </c>
      <c r="B4" s="64" t="s">
        <v>307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327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vovina.LogA.Bp2</v>
      </c>
      <c r="C6" s="11" t="str">
        <f>"namespace "&amp;$B$6&amp;"
"&amp;$C$3</f>
        <v xml:space="preserve">namespace vovina.LogA.Bp2
{
</v>
      </c>
      <c r="D6" s="11" t="str">
        <f>REPT(CHAR(9),1)&amp;"public class "&amp;B3&amp;G3&amp;REPT(CHAR(9),1)&amp;"
"&amp;REPT(CHAR(9),1)&amp;C3</f>
        <v xml:space="preserve">	public class LgaBp2Progress: FullAuditedEntity&lt;long&gt;, IEntity&lt;long&gt;	
	{
</v>
      </c>
      <c r="E6" s="11" t="str">
        <f>REPT(CHAR(9),1)&amp;"public class "&amp;B3&amp;"Consts"&amp;REPT(CHAR(9),1)&amp;"
"&amp;REPT(CHAR(9),1)&amp;C3</f>
        <v xml:space="preserve">	public class LgaBp2ProgressConsts	
	{
</v>
      </c>
      <c r="F6" s="11" t="str">
        <f>REPT(CHAR(9),1)&amp;"public class "&amp;B3&amp;"Dto"&amp;K3&amp;REPT(CHAR(9),1)&amp;"
"&amp;REPT(CHAR(9),1)&amp;C3</f>
        <v xml:space="preserve">	public class LgaBp2ProgressDto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CreateOrEditLgaBp2ProgressDto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GetLgaBp2ProgressInput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LgaBp2Progress</v>
      </c>
      <c r="C7" s="11" t="str">
        <f>REPT(CHAR(9),1)&amp;"[Table("""&amp;B7&amp;""")]"&amp;"
"</f>
        <v xml:space="preserve">	[Table("LgaBp2Progress")]
</v>
      </c>
      <c r="D7" s="11"/>
      <c r="E7" s="11"/>
      <c r="F7" s="11"/>
      <c r="G7" s="11"/>
      <c r="H7" s="11"/>
      <c r="I7" s="11"/>
      <c r="J7" s="6" t="str">
        <f ca="1">SUBSTITUTE(SUBSTITUTE((B1&amp;C6&amp;C7&amp;K19&amp;D6&amp;I19&amp;E3&amp;J19&amp;""&amp;REPT(CHAR(9),1)&amp;D3&amp;D3),"WorkingPattern",$Q$3),"Master",$B$4)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vovina.LogA.Bp2
{
	[Table("LgaBp2Progress")]
	[Index(nameof(ProdLine), Name="IX_LgaBp2Progress_ProdLine")]
	[Index(nameof(WorkingDate), Name="IX_LgaBp2Progress_WorkingDate")]
	[Index(nameof(Shift), Name="IX_LgaBp2Progress_Shift")]
	[Index(nameof(IsActive), Name="IX_LgaBp2Progress_IsActive")]	public class LgaBp2Progress: FullAuditedEntity&lt;long&gt;, IEntity&lt;long&gt;	
	{
		public const int MaxProdLineLength = 50;
		public const int MaxShiftLength = 50;
		public const int MaxStatusLength = 50;
		public const int MaxIsActiveLength = 1;
		[StringLength(MaxProdLineLength)]
		public virtual string ProdLine { get; set; }
		public virtual DateTime WorkingDate { get; set; }
		[StringLength(MaxShiftLength)]
		public virtual string Shift { get; set; }
		public virtual int NoInShift { get; set; }
		[Column(TypeName="datetime2(7)")]
		public virtual DateTime NewtaktDatetime { get; set; }
		[Column(TypeName="datetime2(7)")]
		public virtual DateTime StartDatetime { get; set; }
		[Column(TypeName="datetime2(7)")]
		public virtual DateTime FinishDatetime { get; set; }
		[StringLength(MaxStatusLength)]
		public virtual string Status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DbSet&lt;LgaBp2Progress&gt; LgaBp2Progresss { get; set; }</v>
      </c>
      <c r="L7" t="str">
        <f ca="1">SUBSTITUTE(SUBSTITUTE((C6&amp;E6&amp;I19&amp;"
"&amp;REPT(CHAR(9),2)&amp;"// Define Store Name: Format SP_ + &lt;Store Name&gt; = &lt;Store Name&gt;
"&amp;E3&amp;REPT(CHAR(9),1)&amp;D3&amp;D3),"WorkingPattern",$Q$3),"Master",$B$4)</f>
        <v xml:space="preserve">namespace vovina.LogA.Bp2
{
	public class LgaBp2ProgressConsts	
	{
		public const int MaxProdLineLength = 50;
		public const int MaxShiftLength = 50;
		public const int MaxStatusLength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"&amp;B6&amp;".Dto"&amp;E3&amp;C3&amp;F6&amp;M19&amp;E3&amp;REPT(CHAR(9),1)&amp;D3&amp;G6&amp;N19&amp;REPT(CHAR(9),1)&amp;D3&amp;H6&amp;O19&amp;"
"&amp;REPT(CHAR(9),1)&amp;D3&amp;D3),"WorkingPattern",$Q$3),"Master",$B$4)</f>
        <v xml:space="preserve">using Abp.Application.Services.Dto;
using System;
using System.ComponentModel.DataAnnotations;
namespace vovina.LogA.Bp2.Dto
{
	public class LgaBp2ProgressDto : EntityDto&lt;long?&gt;	
	{
		public virtual string ProdLine { get; set; }
		public virtual DateTime? WorkingDate { get; set; }
		public virtual string Shift { get; set; }
		public virtual int NoInShift { get; set; }
		public virtual DateTime? NewtaktDatetime { get; set; }
		public virtual DateTime? StartDatetime { get; set; }
		public virtual DateTime? FinishDatetime { get; set; }
		public virtual string Status { get; set; }
		public virtual string IsActive { get; set; }
	}
	public class CreateOrEditLgaBp2ProgressDto : EntityDto&lt;long?&gt;	
	{
		[StringLength(LgaBp2ProgressConsts.MaxProdLineLength)]
		public virtual string ProdLine { get; set; }
		public virtual DateTime? WorkingDate { get; set; }
		[StringLength(LgaBp2ProgressConsts.MaxShiftLength)]
		public virtual string Shift { get; set; }
		public virtual int NoInShift { get; set; }
		public virtual DateTime? NewtaktDatetime { get; set; }
		public virtual DateTime? StartDatetime { get; set; }
		public virtual DateTime? FinishDatetime { get; set; }
		[StringLength(LgaBp2ProgressConsts.MaxStatusLength)]
		public virtual string Status { get; set; }
		[StringLength(LgaBp2ProgressConsts.MaxIsActiveLength)]
		public virtual string IsActive { get; set; }
	}
	public class GetLgaBp2ProgressInput : PagedAndSortedResultRequestDto	
	{
		public virtual string ProdLine { get; set; }
		public virtual DateTime? WorkingDate { get; set; }
		public virtual string Shift { get; set; }
		public virtual int NoInShift { get; set; }
		public virtual DateTime? NewtaktDatetime { get; set; }
		public virtual DateTime? StartDatetime { get; set; }
		public virtual DateTime? FinishDatetime { get; set; }
		public virtual string Status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perLgaBp2Progress = PARENTS.CreateChildPermission(AppPermissions.Pages_LogA_Bp2_Progress, L( "LogABp2Progress"), multiTenancySides: MultiTenancySides.Tenant);
		perLgaBp2Progress.CreateChildPermission(AppPermissions.Pages_LogA_Bp2_Progress_CreateEdit, L( "LogABp2ProgressCreateEdit"), multiTenancySides: MultiTenancySides.Tenant);
		perLgaBp2Progress.CreateChildPermission(AppPermissions.Pages_LogA_Bp2_Progress_Delete, L( "LogABp2ProgressDelete"),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Pages_LogA_Bp2_Progress = "Pages.LogA.Bp2.Progress";
		public const string Pages_LogA_Bp2_Progress_CreateEdit = "Pages.LogA.Bp2.Progress.CreateEdit";
		public const string Pages_LogA_Bp2_Progress_Delete = "Pages.LogA.Bp2.Progress.Delete";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vovina.LogA.Bp2.Dto;
namespace vovina.LogA.Bp2
{
	public interface ILgaBp2ProgressAppService : IApplicationService
	{
		Task&lt;PagedResultDto&lt;LgaBp2ProgressDto&gt;&gt; GetAll(GetLgaBp2ProgressInput input);
		Task CreateOrEdit(CreateOrEditLgaBp2ProgressDto input);
		Task Delete(EntityDto input);
	}
}
</v>
      </c>
      <c r="Q7" t="str">
        <f ca="1">SUBSTITUTE(SUBSTITUTE(SUBSTITUTE(SUBSTITUTE(SUBSTITUTE(SUBSTITUTE(E1,"MstWptCalendar",$B$3),"&lt;PROPERTIES&gt;",P19),"Calendar",$B$5),"WorkingPattern",$Q$3),"Master",$B$4),"&lt;PARAMS_SEARCH&gt;",$W$19)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vovina.LogA.Bp2.Dto;
using vovina.LogA.Bp2.Exporting;
namespace vovina.LogA.Bp2
{
    [AbpAuthorize(AppPermissions.Pages_LogA_Bp2_Progress)]
    public class LgaBp2ProgressAppService : vovinaAppServiceBase, ILgaBp2ProgressAppService
    {
        private readonly IDapperRepository&lt;LgaBp2Progress, long&gt; _dapperRepo;
        private readonly IRepository&lt;LgaBp2Progress, long&gt; _repo;
        private readonly ILgaBp2ProgressExcelExporter _calendarListExcelExporter;
        public LgaBp2ProgressAppService(IRepository&lt;LgaBp2Progress,long&gt; repo, 
                                         IDapperRepository&lt;LgaBp2Progress,long&gt; dapperRepo,
                                        ILgaBp2ProgressExcelExporter calendarListExcelExporter
            )
        {
            _repo = repo;
            _dapperRepo = dapperRepo;
            _calendarListExcelExporter = calendarListExcelExporter;
        }
        [AbpAuthorize(AppPermissions.Pages_LogA_Bp2_Progress_CreateEdit)]
        public async Task CreateOrEdit(CreateOrEditLgaBp2ProgressDto input)
        {
            if (input.Id == null) await Create(input);
            else await Update(input);
        }
        //CREATE
        private async Task Create(CreateOrEditLgaBp2ProgressDto input)
        {          
            var mainObj = ObjectMapper.Map&lt;LgaBp2Progress&gt;(input);
            await CurrentUnitOfWork.GetDbContext&lt;vovinaDbContext&gt;().AddAsync(mainObj);
        }
        // EDIT
        private async Task Update(CreateOrEditLgaBp2ProgressDto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[AbpAuthorize(AppPermissions.Pages_LogA_Bp2_Progress_Delete)]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Task&lt;PagedResultDto&lt;LgaBp2ProgressDto&gt;&gt; GetAll(GetLgaBp2ProgressInput input)
        {
            var filtered = _repo.GetAll()
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.WhereIf(input.NewtaktDatetime.HasValue, t =&gt; t.NewtaktDatetime == input.NewtaktDatetime.Value)
				.WhereIf(input.StartDatetime.HasValue, t =&gt; t.StartDatetime == input.StartDatetime.Value)
				.WhereIf(input.FinishDatetime.HasValue, t =&gt; t.FinishDatetime == input.FinishDatetime.Value)
				.WhereIf(!string.IsNullOrWhiteSpace(input.Status), e =&gt; e.Status.Contains(input.Status))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LgaBp2ProgressDto
                        {
							Id = o.Id,
							ProdLine = o.ProdLine,
							WorkingDate = o.WorkingDate,
							Shift = o.Shift,
							NoInShift = o.NoInShift,
							NewtaktDatetime = o.NewtaktDatetime,
							StartDatetime = o.StartDatetime,
							FinishDatetime = o.FinishDatetime,
							Status = o.Status,
							IsActive = o.IsActive,
                        };
            var totalCount = await filtered.CountAsync();
			var paged = system.PageBy(input);
            return new PagedResultDto&lt;LgaBp2ProgressDto&gt;(
                totalCount,
                 await paged.ToListAsync()
            );
        }
        public async Task&lt;FileDto&gt; GetProgressToExcel(LgaBp2ProgressExportInput input)
        {
            var query = from o in _repo.GetAll()
                        select new LgaBp2ProgressDto
                        {
							Id = o.Id,
							ProdLine = o.ProdLine,
							WorkingDate = o.WorkingDate,
							Shift = o.Shift,
							NoInShift = o.NoInShift,
							NewtaktDatetime = o.NewtaktDatetime,
							StartDatetime = o.StartDatetime,
							FinishDatetime = o.FinishDatetime,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_dapperRepo.ExecuteAsync(LgaBp2ProgressConsts.SP_MST_WPT_CALENDAR_GENERATE);
       // }
    }
}</v>
      </c>
      <c r="R7" t="str">
        <f ca="1">SUBSTITUTE(SUBSTITUTE((C1&amp;"namespace "&amp;B6&amp;".Dto"&amp;E3&amp;C3&amp;R3&amp;M19&amp;E3&amp;REPT(CHAR(9),1)&amp;D3&amp;D3),"WorkingPattern",$Q$3),"Master",$B$4)</f>
        <v xml:space="preserve">using Abp.Application.Services.Dto;
using System;
using System.ComponentModel.DataAnnotations;
namespace vovina.LogA.Bp2.Dto
{
	public class LgaBp2ProgressExportInput{
		public virtual string ProdLine { get; set; }
		public virtual DateTime? WorkingDate { get; set; }
		public virtual string Shift { get; set; }
		public virtual int NoInShift { get; set; }
		public virtual DateTime? NewtaktDatetime { get; set; }
		public virtual DateTime? StartDatetime { get; set; }
		public virtual DateTime? FinishDatetime { get; set; }
		public virtual string Status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vovina.LogA.Bp2.Dto;
namespace vovina.LogA.Bp2.Exporting
{
	public interface ILgaBp2ProgressExcelExporter : IApplicationService
	{
		FileDto ExportToFile(List&lt;LgaBp2ProgressDto&gt; lgabp2progress);
	}
}
</v>
      </c>
      <c r="T7" s="28" t="str">
        <f ca="1">SUBSTITUTE(SUBSTITUTE(SUBSTITUTE(SUBSTITUTE(SUBSTITUTE(SUBSTITUTE(SUBSTITUTE(T1,"MstWptCalendar",$B$3),"&lt;PROPERTIES1&gt;",V19),"&lt;PROPERTIES&gt;",T19),"Calendar",$B$5),"calendar",LOWER(B5)),"WorkingPattern",$Q$3),"Master",$B$4)</f>
        <v>using System.Collections.Generic;
using vovina.DataExporting.Excel.NPOI;
using vovina.Dto;
using vovina.LogA.Bp2.Exporting;
using vovina.LogA.Bp2.Dto;
using vovina.Storage;
using vovina.LogA.Bp2.Dto;
namespace vovina.LogA.Bp2.Exporting
{
    public class LgaBp2ProgressExcelExporter : NpoiExcelExporterBase, ILgaBp2ProgressExcelExporter
    {
        public LgaBp2ProgressExcelExporter(ITempFileCacheManager tempFileCacheManager) : base(tempFileCacheManager) { }
        public FileDto ExportToFile(List&lt;LgaBp2ProgressDto&gt; progress)
        {
            return CreateExcelPackage(
				"LogABp2Progress.xlsx",
				excelPackage =&gt;
				 {
					var sheet = excelPackage.CreateSheet("Progress");
					AddHeader(
								sheet,
								("ProdLine"),
								("WorkingDate"),
								("Shift"),
								("NoInShift"),
								("NewtaktDatetime"),
								("StartDatetime"),
								("FinishDatetime"),
								("Status"),
								("IsActive"),
							   );
					AddObjects(
						 sheet, 1, progress,                                       
								_ =&gt; _.ProdLine,
								_ =&gt; _.WorkingDate,
								_ =&gt; _.Shift,
								_ =&gt; _.NoInShift,
								_ =&gt; _.NewtaktDatetime,
								_ =&gt; _.StartDatetime,
								_ =&gt; _.FinishDatetime,
								_ =&gt; _.Status,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configuration.CreateMap&lt;LgaBp2ProgressDto, LgaBp2Progress&gt;();
  configuration.CreateMap&lt;LgaBp2Progress, LgaBp2ProgressDto&gt;();
  configuration.CreateMap&lt;CreateOrEditLgaBp2ProgressDto, LgaBp2Progress&gt;();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25">
      <c r="A9" t="s">
        <v>322</v>
      </c>
      <c r="B9" t="s">
        <v>321</v>
      </c>
      <c r="C9" t="s">
        <v>1</v>
      </c>
      <c r="D9" t="str">
        <f t="shared" ref="D9" si="0">SUBSTITUTE(PROPER(A9),"_","")</f>
        <v>ProdLine</v>
      </c>
      <c r="E9" t="str">
        <f t="shared" ref="E9" si="1">IFERROR(LEFT(B9, FIND("(",B9)-1),B9)</f>
        <v>varchar</v>
      </c>
      <c r="F9" s="7"/>
      <c r="G9" t="str">
        <f t="shared" ref="G9" si="2">IFERROR(MID(B9,FIND("(",B9) +1, FIND(")",B9) - FIND("(",B9) - 1),"")</f>
        <v>50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MaxProdLineLength = 50;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[StringLength(MaxProdLineLength)]
		public virtual string ProdLine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[Index(nameof(ProdLine), Name="IX_LgaBp2Progress_ProdLine")]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ProdLine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[StringLength(LgaBp2ProgressConsts.MaxProdLineLength)]
		public virtual string ProdLine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ProdLine { get; set; }
</v>
      </c>
      <c r="P9" t="str">
        <f t="shared" ref="P9" si="9">REPT(CHAR(9),7)&amp;D9&amp;" = o." &amp;D9 &amp;","</f>
        <v xml:space="preserve">							ProdLine = o.ProdLine,</v>
      </c>
      <c r="T9" s="69" t="str">
        <f t="shared" ref="T9" si="10">REPT(CHAR(9),8)&amp;"("""&amp;D9&amp;"""),"</f>
        <v xml:space="preserve">								("ProdLine"),</v>
      </c>
      <c r="V9" s="70" t="str">
        <f t="shared" ref="V9" si="11">REPT(CHAR(9),8)&amp;"_ =&gt; _."&amp;D9&amp;","</f>
        <v xml:space="preserve">								_ =&gt; _.ProdLine,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.WhereIf(!string.IsNullOrWhiteSpace(input.ProdLine), e =&gt; e.ProdLine.Contains(input.ProdLine))</v>
      </c>
    </row>
    <row r="10" spans="1:23" customFormat="1" ht="22.5" customHeight="1" x14ac:dyDescent="0.25">
      <c r="A10" t="s">
        <v>328</v>
      </c>
      <c r="B10" t="s">
        <v>2</v>
      </c>
      <c r="C10" t="s">
        <v>1</v>
      </c>
      <c r="D10" t="str">
        <f>SUBSTITUTE(PROPER(A10),"_","")</f>
        <v>WorkingDate</v>
      </c>
      <c r="E10" t="str">
        <f t="shared" ref="E10:E17" si="13">IFERROR(LEFT(B10, FIND("(",B10)-1),B10)</f>
        <v>date</v>
      </c>
      <c r="F10" s="7"/>
      <c r="G10" t="str">
        <f t="shared" ref="G10:G17" si="14">IFERROR(MID(B10,FIND("(",B10) +1, FIND(")",B10) - FIND("(",B10) - 1),"")</f>
        <v/>
      </c>
      <c r="H10" t="str">
        <f>+VLOOKUP(E10,'Data Type Mapping'!A:B,2,)</f>
        <v>DateTime</v>
      </c>
      <c r="I10" t="str">
        <f t="shared" ref="I10:I17" si="15">IF(H10="string",REPT(CHAR(9),2)&amp;"public const int Max"&amp;D10&amp;"Length = "&amp;G10&amp;";"&amp;$E$3,"" )</f>
        <v/>
      </c>
      <c r="J10" t="str">
        <f t="shared" ref="J10:J17" si="16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DateTime WorkingDate { get; set; }
</v>
      </c>
      <c r="K10" s="7" t="s">
        <v>206</v>
      </c>
      <c r="L10" t="str">
        <f>IF(K10="","",REPT(CHAR(9),1)&amp;"[Index(nameof("&amp;IF(D10="","",""&amp;D10)&amp;")"&amp;", Name="&amp;"""IX_"&amp;$B$7&amp;"_"&amp;D10&amp;""")]")</f>
        <v xml:space="preserve">	[Index(nameof(WorkingDate), Name="IX_LgaBp2Progress_WorkingDate")]</v>
      </c>
      <c r="M10" t="str">
        <f t="shared" ref="M10:M17" si="17">REPT(CHAR(9),2)&amp;"public virtual "&amp;IF(OR(H10="DateTime",H10="TimeSpan"),H10&amp;"?",H10)&amp;IF(C10="?","? "," ")&amp;D10&amp;" { get; set; }" &amp; "
"</f>
        <v xml:space="preserve">		public virtual DateTime? WorkingDate { get; set; }
</v>
      </c>
      <c r="N10" t="str">
        <f t="shared" ref="N10:N17" si="1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DateTime? WorkingDate { get; set; }
</v>
      </c>
      <c r="O10" t="str">
        <f t="shared" ref="O10:O17" si="19">IF(OR(H10="string",H10="DateTime",H10="int"),REPT(CHAR(9),2)&amp;"public virtual "&amp;IF(OR(H10="DateTime",H10="TimeSpan"),H10&amp;"?",H10)&amp;IF(C10="?","? "," ")&amp;D10&amp;" { get; set; }"&amp;$E$3,"")</f>
        <v xml:space="preserve">		public virtual DateTime? WorkingDate { get; set; }
</v>
      </c>
      <c r="P10" t="str">
        <f t="shared" ref="P10:P17" si="20">REPT(CHAR(9),7)&amp;D10&amp;" = o." &amp;D10 &amp;","</f>
        <v xml:space="preserve">							WorkingDate = o.WorkingDate,</v>
      </c>
      <c r="T10" s="69" t="str">
        <f t="shared" ref="T10:T17" si="21">REPT(CHAR(9),8)&amp;"("""&amp;D10&amp;"""),"</f>
        <v xml:space="preserve">								("WorkingDate"),</v>
      </c>
      <c r="V10" s="70" t="str">
        <f t="shared" ref="V10:V17" si="22">REPT(CHAR(9),8)&amp;"_ =&gt; _."&amp;D10&amp;","</f>
        <v xml:space="preserve">								_ =&gt; _.WorkingDate,</v>
      </c>
      <c r="W10" s="69" t="str">
        <f t="shared" ref="W10:W17" si="23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.WhereIf(input.WorkingDate.HasValue, t =&gt; t.WorkingDate == input.WorkingDate.Value)</v>
      </c>
    </row>
    <row r="11" spans="1:23" customFormat="1" ht="22.5" customHeight="1" x14ac:dyDescent="0.25">
      <c r="A11" t="s">
        <v>329</v>
      </c>
      <c r="B11" t="s">
        <v>321</v>
      </c>
      <c r="C11" t="s">
        <v>1</v>
      </c>
      <c r="D11" t="str">
        <f>SUBSTITUTE(PROPER(A11),"_","")</f>
        <v>Shift</v>
      </c>
      <c r="E11" t="str">
        <f t="shared" si="13"/>
        <v>varchar</v>
      </c>
      <c r="F11" s="7"/>
      <c r="G11" t="str">
        <f t="shared" si="14"/>
        <v>50</v>
      </c>
      <c r="H11" t="str">
        <f>+VLOOKUP(E11,'Data Type Mapping'!A:B,2,)</f>
        <v>string</v>
      </c>
      <c r="I11" t="str">
        <f t="shared" si="15"/>
        <v xml:space="preserve">		public const int MaxShiftLength = 50;
</v>
      </c>
      <c r="J11" t="str">
        <f t="shared" si="16"/>
        <v xml:space="preserve">		[StringLength(MaxShiftLength)]
		public virtual string Shift { get; set; }
</v>
      </c>
      <c r="K11" s="7" t="s">
        <v>206</v>
      </c>
      <c r="L11" t="str">
        <f>IF(K11="","",REPT(CHAR(9),1)&amp;"[Index(nameof("&amp;IF(D11="","",""&amp;D11)&amp;")"&amp;", Name="&amp;"""IX_"&amp;$B$7&amp;"_"&amp;D11&amp;""")]")</f>
        <v xml:space="preserve">	[Index(nameof(Shift), Name="IX_LgaBp2Progress_Shift")]</v>
      </c>
      <c r="M11" t="str">
        <f t="shared" si="17"/>
        <v xml:space="preserve">		public virtual string Shift { get; set; }
</v>
      </c>
      <c r="N11" t="str">
        <f t="shared" si="18"/>
        <v xml:space="preserve">		[StringLength(LgaBp2ProgressConsts.MaxShiftLength)]
		public virtual string Shift { get; set; }
</v>
      </c>
      <c r="O11" t="str">
        <f t="shared" si="19"/>
        <v xml:space="preserve">		public virtual string Shift { get; set; }
</v>
      </c>
      <c r="P11" t="str">
        <f t="shared" si="20"/>
        <v xml:space="preserve">							Shift = o.Shift,</v>
      </c>
      <c r="T11" s="69" t="str">
        <f t="shared" si="21"/>
        <v xml:space="preserve">								("Shift"),</v>
      </c>
      <c r="V11" s="70" t="str">
        <f t="shared" si="22"/>
        <v xml:space="preserve">								_ =&gt; _.Shift,</v>
      </c>
      <c r="W11" s="69" t="str">
        <f t="shared" si="23"/>
        <v xml:space="preserve">				.WhereIf(!string.IsNullOrWhiteSpace(input.Shift), e =&gt; e.Shift.Contains(input.Shift))</v>
      </c>
    </row>
    <row r="12" spans="1:23" customFormat="1" ht="21" customHeight="1" x14ac:dyDescent="0.25">
      <c r="A12" t="s">
        <v>330</v>
      </c>
      <c r="B12" t="s">
        <v>4</v>
      </c>
      <c r="C12" t="s">
        <v>1</v>
      </c>
      <c r="D12" t="str">
        <f t="shared" ref="D12:D14" si="24">SUBSTITUTE(PROPER(A12),"_","")</f>
        <v>NoInShift</v>
      </c>
      <c r="E12" t="str">
        <f t="shared" si="13"/>
        <v>int</v>
      </c>
      <c r="F12" s="7"/>
      <c r="G12" t="str">
        <f t="shared" si="14"/>
        <v/>
      </c>
      <c r="H12" t="str">
        <f>+VLOOKUP(E12,'Data Type Mapping'!A:B,2,)</f>
        <v>int</v>
      </c>
      <c r="I12" t="str">
        <f t="shared" si="15"/>
        <v/>
      </c>
      <c r="J12" t="str">
        <f t="shared" si="16"/>
        <v xml:space="preserve">		public virtual int NoInShift { get; set; }
</v>
      </c>
      <c r="K12" s="7"/>
      <c r="L12" t="str">
        <f t="shared" ref="L12:L14" si="25">IF(K12="","",REPT(CHAR(9),1)&amp;"[Index(nameof("&amp;IF(D12="","",""&amp;D12)&amp;")"&amp;", Name="&amp;"""IX_"&amp;$B$7&amp;"_"&amp;D12&amp;""")]")</f>
        <v/>
      </c>
      <c r="M12" t="str">
        <f t="shared" si="17"/>
        <v xml:space="preserve">		public virtual int NoInShift { get; set; }
</v>
      </c>
      <c r="N12" t="str">
        <f t="shared" si="18"/>
        <v xml:space="preserve">		public virtual int NoInShift { get; set; }
</v>
      </c>
      <c r="O12" t="str">
        <f t="shared" si="19"/>
        <v xml:space="preserve">		public virtual int NoInShift { get; set; }
</v>
      </c>
      <c r="P12" t="str">
        <f t="shared" si="20"/>
        <v xml:space="preserve">							NoInShift = o.NoInShift,</v>
      </c>
      <c r="T12" s="69" t="str">
        <f t="shared" si="21"/>
        <v xml:space="preserve">								("NoInShift"),</v>
      </c>
      <c r="V12" s="70" t="str">
        <f t="shared" si="22"/>
        <v xml:space="preserve">								_ =&gt; _.NoInShift,</v>
      </c>
      <c r="W12" s="69" t="str">
        <f t="shared" si="23"/>
        <v/>
      </c>
    </row>
    <row r="13" spans="1:23" customFormat="1" ht="18.75" customHeight="1" x14ac:dyDescent="0.25">
      <c r="A13" t="s">
        <v>335</v>
      </c>
      <c r="B13" t="s">
        <v>333</v>
      </c>
      <c r="C13" t="s">
        <v>1</v>
      </c>
      <c r="D13" t="str">
        <f t="shared" ref="D13" si="26">SUBSTITUTE(PROPER(A13),"_","")</f>
        <v>NewtaktDatetime</v>
      </c>
      <c r="E13" t="str">
        <f t="shared" ref="E13" si="27">IFERROR(LEFT(B13, FIND("(",B13)-1),B13)</f>
        <v>datetime2</v>
      </c>
      <c r="F13" s="7" t="s">
        <v>333</v>
      </c>
      <c r="G13" t="str">
        <f t="shared" ref="G13" si="28">IFERROR(MID(B13,FIND("(",B13) +1, FIND(")",B13) - FIND("(",B13) - 1),"")</f>
        <v>7</v>
      </c>
      <c r="H13" t="str">
        <f>+VLOOKUP(E13,'Data Type Mapping'!A:B,2,)</f>
        <v>DateTime</v>
      </c>
      <c r="I13" t="str">
        <f t="shared" ref="I13" si="29">IF(H13="string",REPT(CHAR(9),2)&amp;"public const int Max"&amp;D13&amp;"Length = "&amp;G13&amp;";"&amp;$E$3,"" )</f>
        <v/>
      </c>
      <c r="J13" t="str">
        <f t="shared" ref="J13" si="30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[Column(TypeName="datetime2(7)")]
		public virtual DateTime NewtaktDatetime { get; set; }
</v>
      </c>
      <c r="K13" s="7"/>
      <c r="L13" t="str">
        <f t="shared" ref="L13" si="31">IF(K13="","",REPT(CHAR(9),1)&amp;"[Index(nameof("&amp;IF(D13="","",""&amp;D13)&amp;")"&amp;", Name="&amp;"""IX_"&amp;$B$7&amp;"_"&amp;D13&amp;""")]")</f>
        <v/>
      </c>
      <c r="M13" t="str">
        <f t="shared" ref="M13" si="32">REPT(CHAR(9),2)&amp;"public virtual "&amp;IF(OR(H13="DateTime",H13="TimeSpan"),H13&amp;"?",H13)&amp;IF(C13="?","? "," ")&amp;D13&amp;" { get; set; }" &amp; "
"</f>
        <v xml:space="preserve">		public virtual DateTime? NewtaktDatetime { get; set; }
</v>
      </c>
      <c r="N13" t="str">
        <f t="shared" ref="N13" si="33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public virtual DateTime? NewtaktDatetime { get; set; }
</v>
      </c>
      <c r="O13" t="str">
        <f t="shared" ref="O13" si="34">IF(OR(H13="string",H13="DateTime",H13="int"),REPT(CHAR(9),2)&amp;"public virtual "&amp;IF(OR(H13="DateTime",H13="TimeSpan"),H13&amp;"?",H13)&amp;IF(C13="?","? "," ")&amp;D13&amp;" { get; set; }"&amp;$E$3,"")</f>
        <v xml:space="preserve">		public virtual DateTime? NewtaktDatetime { get; set; }
</v>
      </c>
      <c r="P13" t="str">
        <f t="shared" ref="P13" si="35">REPT(CHAR(9),7)&amp;D13&amp;" = o." &amp;D13 &amp;","</f>
        <v xml:space="preserve">							NewtaktDatetime = o.NewtaktDatetime,</v>
      </c>
      <c r="T13" s="69" t="str">
        <f t="shared" ref="T13" si="36">REPT(CHAR(9),8)&amp;"("""&amp;D13&amp;"""),"</f>
        <v xml:space="preserve">								("NewtaktDatetime"),</v>
      </c>
      <c r="V13" s="70" t="str">
        <f t="shared" ref="V13" si="37">REPT(CHAR(9),8)&amp;"_ =&gt; _."&amp;D13&amp;","</f>
        <v xml:space="preserve">								_ =&gt; _.NewtaktDatetime,</v>
      </c>
      <c r="W13" s="69" t="str">
        <f t="shared" ref="W13" si="38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.WhereIf(input.NewtaktDatetime.HasValue, t =&gt; t.NewtaktDatetime == input.NewtaktDatetime.Value)</v>
      </c>
    </row>
    <row r="14" spans="1:23" customFormat="1" ht="18.75" customHeight="1" x14ac:dyDescent="0.25">
      <c r="A14" t="s">
        <v>331</v>
      </c>
      <c r="B14" t="s">
        <v>333</v>
      </c>
      <c r="C14" t="s">
        <v>1</v>
      </c>
      <c r="D14" t="str">
        <f t="shared" si="24"/>
        <v>StartDatetime</v>
      </c>
      <c r="E14" t="str">
        <f t="shared" si="13"/>
        <v>datetime2</v>
      </c>
      <c r="F14" s="7" t="s">
        <v>333</v>
      </c>
      <c r="G14" t="str">
        <f t="shared" si="14"/>
        <v>7</v>
      </c>
      <c r="H14" t="str">
        <f>+VLOOKUP(E14,'Data Type Mapping'!A:B,2,)</f>
        <v>DateTime</v>
      </c>
      <c r="I14" t="str">
        <f t="shared" si="15"/>
        <v/>
      </c>
      <c r="J14" t="str">
        <f t="shared" si="16"/>
        <v xml:space="preserve">		[Column(TypeName="datetime2(7)")]
		public virtual DateTime StartDatetime { get; set; }
</v>
      </c>
      <c r="K14" s="7"/>
      <c r="L14" t="str">
        <f t="shared" si="25"/>
        <v/>
      </c>
      <c r="M14" t="str">
        <f t="shared" si="17"/>
        <v xml:space="preserve">		public virtual DateTime? StartDatetime { get; set; }
</v>
      </c>
      <c r="N14" t="str">
        <f t="shared" si="18"/>
        <v xml:space="preserve">		public virtual DateTime? StartDatetime { get; set; }
</v>
      </c>
      <c r="O14" t="str">
        <f t="shared" si="19"/>
        <v xml:space="preserve">		public virtual DateTime? StartDatetime { get; set; }
</v>
      </c>
      <c r="P14" t="str">
        <f t="shared" si="20"/>
        <v xml:space="preserve">							StartDatetime = o.StartDatetime,</v>
      </c>
      <c r="T14" s="69" t="str">
        <f t="shared" si="21"/>
        <v xml:space="preserve">								("StartDatetime"),</v>
      </c>
      <c r="V14" s="70" t="str">
        <f t="shared" si="22"/>
        <v xml:space="preserve">								_ =&gt; _.StartDatetime,</v>
      </c>
      <c r="W14" s="69" t="str">
        <f t="shared" si="23"/>
        <v xml:space="preserve">				.WhereIf(input.StartDatetime.HasValue, t =&gt; t.StartDatetime == input.StartDatetime.Value)</v>
      </c>
    </row>
    <row r="15" spans="1:23" customFormat="1" ht="18.75" customHeight="1" x14ac:dyDescent="0.25">
      <c r="A15" t="s">
        <v>332</v>
      </c>
      <c r="B15" t="s">
        <v>333</v>
      </c>
      <c r="C15" t="s">
        <v>1</v>
      </c>
      <c r="D15" t="str">
        <f t="shared" ref="D15" si="39">SUBSTITUTE(PROPER(A15),"_","")</f>
        <v>FinishDatetime</v>
      </c>
      <c r="E15" t="str">
        <f t="shared" ref="E15" si="40">IFERROR(LEFT(B15, FIND("(",B15)-1),B15)</f>
        <v>datetime2</v>
      </c>
      <c r="F15" s="7" t="s">
        <v>333</v>
      </c>
      <c r="G15" t="str">
        <f t="shared" ref="G15" si="41">IFERROR(MID(B15,FIND("(",B15) +1, FIND(")",B15) - FIND("(",B15) - 1),"")</f>
        <v>7</v>
      </c>
      <c r="H15" t="str">
        <f>+VLOOKUP(E15,'Data Type Mapping'!A:B,2,)</f>
        <v>DateTime</v>
      </c>
      <c r="I15" t="str">
        <f t="shared" ref="I15" si="42">IF(H15="string",REPT(CHAR(9),2)&amp;"public const int Max"&amp;D15&amp;"Length = "&amp;G15&amp;";"&amp;$E$3,"" )</f>
        <v/>
      </c>
      <c r="J15" t="str">
        <f t="shared" ref="J15" si="43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[Column(TypeName="datetime2(7)")]
		public virtual DateTime FinishDatetime { get; set; }
</v>
      </c>
      <c r="K15" s="7"/>
      <c r="L15" t="str">
        <f t="shared" ref="L15" si="44">IF(K15="","",REPT(CHAR(9),1)&amp;"[Index(nameof("&amp;IF(D15="","",""&amp;D15)&amp;")"&amp;", Name="&amp;"""IX_"&amp;$B$7&amp;"_"&amp;D15&amp;""")]")</f>
        <v/>
      </c>
      <c r="M15" t="str">
        <f t="shared" ref="M15" si="45">REPT(CHAR(9),2)&amp;"public virtual "&amp;IF(OR(H15="DateTime",H15="TimeSpan"),H15&amp;"?",H15)&amp;IF(C15="?","? "," ")&amp;D15&amp;" { get; set; }" &amp; "
"</f>
        <v xml:space="preserve">		public virtual DateTime? FinishDatetime { get; set; }
</v>
      </c>
      <c r="N15" t="str">
        <f t="shared" ref="N15" si="46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public virtual DateTime? FinishDatetime { get; set; }
</v>
      </c>
      <c r="O15" t="str">
        <f t="shared" ref="O15" si="47">IF(OR(H15="string",H15="DateTime",H15="int"),REPT(CHAR(9),2)&amp;"public virtual "&amp;IF(OR(H15="DateTime",H15="TimeSpan"),H15&amp;"?",H15)&amp;IF(C15="?","? "," ")&amp;D15&amp;" { get; set; }"&amp;$E$3,"")</f>
        <v xml:space="preserve">		public virtual DateTime? FinishDatetime { get; set; }
</v>
      </c>
      <c r="P15" t="str">
        <f t="shared" ref="P15" si="48">REPT(CHAR(9),7)&amp;D15&amp;" = o." &amp;D15 &amp;","</f>
        <v xml:space="preserve">							FinishDatetime = o.FinishDatetime,</v>
      </c>
      <c r="T15" s="69" t="str">
        <f t="shared" ref="T15" si="49">REPT(CHAR(9),8)&amp;"("""&amp;D15&amp;"""),"</f>
        <v xml:space="preserve">								("FinishDatetime"),</v>
      </c>
      <c r="V15" s="70" t="str">
        <f t="shared" ref="V15" si="50">REPT(CHAR(9),8)&amp;"_ =&gt; _."&amp;D15&amp;","</f>
        <v xml:space="preserve">								_ =&gt; _.FinishDatetime,</v>
      </c>
      <c r="W15" s="69" t="str">
        <f t="shared" ref="W15" si="51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.WhereIf(input.FinishDatetime.HasValue, t =&gt; t.FinishDatetime == input.FinishDatetime.Value)</v>
      </c>
    </row>
    <row r="16" spans="1:23" customFormat="1" ht="18.75" customHeight="1" x14ac:dyDescent="0.25">
      <c r="A16" t="s">
        <v>334</v>
      </c>
      <c r="B16" t="s">
        <v>321</v>
      </c>
      <c r="C16" t="s">
        <v>1</v>
      </c>
      <c r="D16" t="str">
        <f t="shared" ref="D16" si="52">SUBSTITUTE(PROPER(A16),"_","")</f>
        <v>Status</v>
      </c>
      <c r="E16" t="str">
        <f t="shared" ref="E16" si="53">IFERROR(LEFT(B16, FIND("(",B16)-1),B16)</f>
        <v>varchar</v>
      </c>
      <c r="F16" s="7"/>
      <c r="G16" t="str">
        <f t="shared" ref="G16" si="54">IFERROR(MID(B16,FIND("(",B16) +1, FIND(")",B16) - FIND("(",B16) - 1),"")</f>
        <v>50</v>
      </c>
      <c r="H16" t="str">
        <f>+VLOOKUP(E16,'Data Type Mapping'!A:B,2,)</f>
        <v>string</v>
      </c>
      <c r="I16" t="str">
        <f t="shared" ref="I16" si="55">IF(H16="string",REPT(CHAR(9),2)&amp;"public const int Max"&amp;D16&amp;"Length = "&amp;G16&amp;";"&amp;$E$3,"" )</f>
        <v xml:space="preserve">		public const int MaxStatusLength = 50;
</v>
      </c>
      <c r="J16" t="str">
        <f t="shared" ref="J16" si="56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[StringLength(MaxStatusLength)]
		public virtual string Status { get; set; }
</v>
      </c>
      <c r="K16" s="7"/>
      <c r="L16" t="str">
        <f t="shared" ref="L16" si="57">IF(K16="","",REPT(CHAR(9),1)&amp;"[Index(nameof("&amp;IF(D16="","",""&amp;D16)&amp;")"&amp;", Name="&amp;"""IX_"&amp;$B$7&amp;"_"&amp;D16&amp;""")]")</f>
        <v/>
      </c>
      <c r="M16" t="str">
        <f t="shared" ref="M16" si="58">REPT(CHAR(9),2)&amp;"public virtual "&amp;IF(OR(H16="DateTime",H16="TimeSpan"),H16&amp;"?",H16)&amp;IF(C16="?","? "," ")&amp;D16&amp;" { get; set; }" &amp; "
"</f>
        <v xml:space="preserve">		public virtual string Status { get; set; }
</v>
      </c>
      <c r="N16" t="str">
        <f t="shared" ref="N16" si="59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[StringLength(LgaBp2ProgressConsts.MaxStatusLength)]
		public virtual string Status { get; set; }
</v>
      </c>
      <c r="O16" t="str">
        <f t="shared" ref="O16" si="60">IF(OR(H16="string",H16="DateTime",H16="int"),REPT(CHAR(9),2)&amp;"public virtual "&amp;IF(OR(H16="DateTime",H16="TimeSpan"),H16&amp;"?",H16)&amp;IF(C16="?","? "," ")&amp;D16&amp;" { get; set; }"&amp;$E$3,"")</f>
        <v xml:space="preserve">		public virtual string Status { get; set; }
</v>
      </c>
      <c r="P16" t="str">
        <f t="shared" ref="P16" si="61">REPT(CHAR(9),7)&amp;D16&amp;" = o." &amp;D16 &amp;","</f>
        <v xml:space="preserve">							Status = o.Status,</v>
      </c>
      <c r="T16" s="69" t="str">
        <f t="shared" ref="T16" si="62">REPT(CHAR(9),8)&amp;"("""&amp;D16&amp;"""),"</f>
        <v xml:space="preserve">								("Status"),</v>
      </c>
      <c r="V16" s="70" t="str">
        <f t="shared" ref="V16" si="63">REPT(CHAR(9),8)&amp;"_ =&gt; _."&amp;D16&amp;","</f>
        <v xml:space="preserve">								_ =&gt; _.Status,</v>
      </c>
      <c r="W16" s="69" t="str">
        <f t="shared" ref="W16" si="64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.WhereIf(!string.IsNullOrWhiteSpace(input.Status), e =&gt; e.Status.Contains(input.Status))</v>
      </c>
    </row>
    <row r="17" spans="1:23" customFormat="1" ht="22.5" customHeight="1" x14ac:dyDescent="0.25">
      <c r="A17" t="s">
        <v>323</v>
      </c>
      <c r="B17" t="s">
        <v>324</v>
      </c>
      <c r="C17" t="s">
        <v>1</v>
      </c>
      <c r="D17" t="str">
        <f>SUBSTITUTE(PROPER(A17),"_","")</f>
        <v>IsActive</v>
      </c>
      <c r="E17" t="str">
        <f t="shared" si="13"/>
        <v>varchar</v>
      </c>
      <c r="F17" s="7"/>
      <c r="G17" t="str">
        <f t="shared" si="14"/>
        <v>1</v>
      </c>
      <c r="H17" t="str">
        <f>+VLOOKUP(E17,'Data Type Mapping'!A:B,2,)</f>
        <v>string</v>
      </c>
      <c r="I17" t="str">
        <f t="shared" si="15"/>
        <v xml:space="preserve">		public const int MaxIsActiveLength = 1;
</v>
      </c>
      <c r="J17" t="str">
        <f t="shared" si="16"/>
        <v xml:space="preserve">		[StringLength(MaxIsActiveLength)]
		public virtual string IsActive { get; set; }
</v>
      </c>
      <c r="K17" s="7" t="s">
        <v>206</v>
      </c>
      <c r="L17" t="str">
        <f>IF(K17="","",REPT(CHAR(9),1)&amp;"[Index(nameof("&amp;IF(D17="","",""&amp;D17)&amp;")"&amp;", Name="&amp;"""IX_"&amp;$B$7&amp;"_"&amp;D17&amp;""")]")</f>
        <v xml:space="preserve">	[Index(nameof(IsActive), Name="IX_LgaBp2Progress_IsActive")]</v>
      </c>
      <c r="M17" t="str">
        <f t="shared" si="17"/>
        <v xml:space="preserve">		public virtual string IsActive { get; set; }
</v>
      </c>
      <c r="N17" t="str">
        <f t="shared" si="18"/>
        <v xml:space="preserve">		[StringLength(LgaBp2ProgressConsts.MaxIsActiveLength)]
		public virtual string IsActive { get; set; }
</v>
      </c>
      <c r="O17" t="str">
        <f t="shared" si="19"/>
        <v xml:space="preserve">		public virtual string IsActive { get; set; }
</v>
      </c>
      <c r="P17" t="str">
        <f t="shared" si="20"/>
        <v xml:space="preserve">							IsActive = o.IsActive,</v>
      </c>
      <c r="T17" s="69" t="str">
        <f t="shared" si="21"/>
        <v xml:space="preserve">								("IsActive"),</v>
      </c>
      <c r="V17" s="70" t="str">
        <f t="shared" si="22"/>
        <v xml:space="preserve">								_ =&gt; _.IsActive,</v>
      </c>
      <c r="W17" s="69" t="str">
        <f t="shared" si="23"/>
        <v xml:space="preserve">				.WhereIf(!string.IsNullOrWhiteSpace(input.IsActive), e =&gt; e.IsActive.Contains(input.IsActive))</v>
      </c>
    </row>
    <row r="19" spans="1:23" ht="45.75" customHeight="1" x14ac:dyDescent="0.25">
      <c r="H19" s="12"/>
      <c r="I19" s="34" t="str">
        <f ca="1">TEXTJOIN2("
", TRUE,INDIRECT( $H$1):INDIRECT( $H$3))</f>
        <v xml:space="preserve">		public const int MaxProdLineLength = 50;
		public const int MaxShiftLength = 50;
		public const int MaxStatusLength = 50;
		public const int MaxIsActiveLength = 1;
</v>
      </c>
      <c r="J19" s="33" t="str">
        <f ca="1">TEXTJOIN2("
", TRUE,INDIRECT( $F$1):INDIRECT( $F$3))</f>
        <v xml:space="preserve">		[StringLength(MaxProdLineLength)]
		public virtual string ProdLine { get; set; }
		public virtual DateTime WorkingDate { get; set; }
		[StringLength(MaxShiftLength)]
		public virtual string Shift { get; set; }
		public virtual int NoInShift { get; set; }
		[Column(TypeName="datetime2(7)")]
		public virtual DateTime NewtaktDatetime { get; set; }
		[Column(TypeName="datetime2(7)")]
		public virtual DateTime StartDatetime { get; set; }
		[Column(TypeName="datetime2(7)")]
		public virtual DateTime FinishDatetime { get; set; }
		[StringLength(MaxStatusLength)]
		public virtual string Status { get; set; }
		[StringLength(MaxIsActiveLength)]
		public virtual string IsActive { get; set; }
</v>
      </c>
      <c r="K19" s="35" t="str">
        <f ca="1">TEXTJOIN2("
", TRUE,INDIRECT( $J$1):INDIRECT( $J$3))</f>
        <v xml:space="preserve">	[Index(nameof(ProdLine), Name="IX_LgaBp2Progress_ProdLine")]
	[Index(nameof(WorkingDate), Name="IX_LgaBp2Progress_WorkingDate")]
	[Index(nameof(Shift), Name="IX_LgaBp2Progress_Shift")]
	[Index(nameof(IsActive), Name="IX_LgaBp2Progress_IsActive")]</v>
      </c>
      <c r="L19" s="13" t="s">
        <v>60</v>
      </c>
      <c r="M19" s="36" t="str">
        <f ca="1">TEXTJOIN2("
",TRUE,INDIRECT( $L$1):INDIRECT($L$3))</f>
        <v xml:space="preserve">		public virtual string ProdLine { get; set; }
		public virtual DateTime? WorkingDate { get; set; }
		public virtual string Shift { get; set; }
		public virtual int NoInShift { get; set; }
		public virtual DateTime? NewtaktDatetime { get; set; }
		public virtual DateTime? StartDatetime { get; set; }
		public virtual DateTime? FinishDatetime { get; set; }
		public virtual string Status { get; set; }
		public virtual string IsActive { get; set; }
</v>
      </c>
      <c r="N19" s="33" t="str">
        <f ca="1">TEXTJOIN2("
",TRUE,INDIRECT( $M$1):INDIRECT($M$3))</f>
        <v xml:space="preserve">		[StringLength(LgaBp2ProgressConsts.MaxProdLineLength)]
		public virtual string ProdLine { get; set; }
		public virtual DateTime? WorkingDate { get; set; }
		[StringLength(LgaBp2ProgressConsts.MaxShiftLength)]
		public virtual string Shift { get; set; }
		public virtual int NoInShift { get; set; }
		public virtual DateTime? NewtaktDatetime { get; set; }
		public virtual DateTime? StartDatetime { get; set; }
		public virtual DateTime? FinishDatetime { get; set; }
		[StringLength(LgaBp2ProgressConsts.MaxStatusLength)]
		public virtual string Status { get; set; }
		[StringLength(LgaBp2ProgressConsts.MaxIsActiveLength)]
		public virtual string IsActive { get; set; }
</v>
      </c>
      <c r="O19" s="33" t="str">
        <f ca="1">TEXTJOIN2("
",TRUE,INDIRECT( $N$1):INDIRECT($N$3))</f>
        <v xml:space="preserve">		public virtual string ProdLine { get; set; }
		public virtual DateTime? WorkingDate { get; set; }
		public virtual string Shift { get; set; }
		public virtual int NoInShift { get; set; }
		public virtual DateTime? NewtaktDatetime { get; set; }
		public virtual DateTime? StartDatetime { get; set; }
		public virtual DateTime? FinishDatetime { get; set; }
		public virtual string Status { get; set; }
		public virtual string IsActive { get; set; }
</v>
      </c>
      <c r="P19" s="9" t="str">
        <f ca="1">TEXTJOIN2("
",TRUE,INDIRECT( $O$1):INDIRECT($O$3))</f>
        <v xml:space="preserve">							ProdLine = o.ProdLine,
							WorkingDate = o.WorkingDate,
							Shift = o.Shift,
							NoInShift = o.NoInShift,
							NewtaktDatetime = o.NewtaktDatetime,
							StartDatetime = o.StartDatetime,
							FinishDatetime = o.FinishDatetime,
							Status = o.Status,
							IsActive = o.IsActive,</v>
      </c>
      <c r="T19" s="9" t="str">
        <f ca="1">TEXTJOIN2("
",TRUE,INDIRECT( $T$2):INDIRECT($T$3))</f>
        <v xml:space="preserve">								("ProdLine"),
								("WorkingDate"),
								("Shift"),
								("NoInShift"),
								("NewtaktDatetime"),
								("StartDatetime"),
								("FinishDatetime"),
								("Status"),
								("IsActive"),</v>
      </c>
      <c r="V19" s="9" t="str">
        <f ca="1">TEXTJOIN2("
",TRUE,INDIRECT( $V$2):INDIRECT($V$3))</f>
        <v xml:space="preserve">								_ =&gt; _.ProdLine,
								_ =&gt; _.WorkingDate,
								_ =&gt; _.Shift,
								_ =&gt; _.NoInShift,
								_ =&gt; _.NewtaktDatetime,
								_ =&gt; _.StartDatetime,
								_ =&gt; _.FinishDatetime,
								_ =&gt; _.Status,
								_ =&gt; _.IsActive,</v>
      </c>
      <c r="W19" s="9" t="str">
        <f ca="1">TEXTJOIN2("
",TRUE,INDIRECT( $W$2):INDIRECT($W$3))</f>
        <v xml:space="preserve">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.WhereIf(input.NewtaktDatetime.HasValue, t =&gt; t.NewtaktDatetime == input.NewtaktDatetime.Value)
				.WhereIf(input.StartDatetime.HasValue, t =&gt; t.StartDatetime == input.StartDatetime.Value)
				.WhereIf(input.FinishDatetime.HasValue, t =&gt; t.FinishDatetime == input.FinishDatetime.Value)
				.WhereIf(!string.IsNullOrWhiteSpace(input.Status), e =&gt; e.Status.Contains(input.Status))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6"/>
  <sheetViews>
    <sheetView workbookViewId="0">
      <selection activeCell="B7" sqref="B7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336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LogA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loga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Bp2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bp2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LgaBp2Progress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Progress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progress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LgaBp2ProgressDto, LgaBp2ProgressServiceProxy } from '@shared/service-proxies/service-proxies';
import { finalize } from 'rxjs/internal/operators/finalize';
import { CreateOrEditProgressModalComponent } from './create-or-edit-progress-modal.component';
import { DatePipe } from '@angular/common';
import { FileDownloadService } from '@shared/utils/file-download.service';
import ceil from 'lodash-es/ceil';
import { Paginator } from 'primeng/paginator';
@Component({
    templateUrl: './progress.component.html',
    styleUrls: ['./progress.component.less'],
})
export class ProgressComponent extends AppComponentBase implements OnInit {
    @ViewChild('createOrEditModalProgress', { static: true }) createOrEditModalProgress:| CreateOrEditProgressModalComponent|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LgaBp2ProgressDto = new LgaBp2ProgressDto();
    saveSelectedRow: LgaBp2ProgressDto = new LgaBp2ProgressDto();
    datas: LgaBp2ProgressDto = new LgaBp2ProgressDto();
    isLoading: boolean = false;
    dataParams: GridParams | undefined;
    rowData: any[] = [];
    gridApi!: GridApi;
    rowSelection = 'multiple';
    filter: string = '';
	pipe = new DatePipe('en-US');
	frameworkComponents: FrameworkComponent;
    prodLine : string = '' ; 
	workingDate : any ;
	shift : string = '' ; 
	noInShift : number = 0 ;
	newtaktDatetime : any ;
	startDatetime : any ;
	finishDatetime : any ;
	status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LgaBp2ProgressServiceProxy,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this.l('Prod Line'),headerTooltip: this.l('Prod Line'),field: 'prodLine',flex: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this.l('No In Shift'),headerTooltip: this.l('No In Shift'),field: 'noInShift',flex: 1},
			{headerName: this.l('Newtakt Datetime'),headerTooltip: this.l('Newtakt Datetime'),field: 'newtaktDatetime',valueGetter: (params) =&gt; this.pipe.transform(params.data?.newtaktDatetime, 'dd/MM/yyyy'),flex: 1},
			{headerName: this.l('Start Datetime'),headerTooltip: this.l('Start Datetime'),field: 'startDatetime',valueGetter: (params) =&gt; this.pipe.transform(params.data?.startDatetime, 'dd/MM/yyyy'),flex: 1},
			{headerName: this.l('Finish Datetime'),headerTooltip: this.l('Finish Datetime'),field: 'finishDatetime',valueGetter: (params) =&gt; this.pipe.transform(params.data?.finishDatetime, 'dd/MM/yyyy'),flex: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this.prodLine,
			this.workingDate,
			this.shift,
			this.noInShift,
			this.newtaktDatetime,
			this.startDatetime,
			this.finishDatetime,
			this.status,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this.prodLine = '',
		this.workingDate = '',
		this.shift = '',
		this.noInShift = 0,
		this.newtaktDatetime = '',
		this.startDatetime = '',
		this.finishDatetime = '',
		this.status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this.prodLine,
			this.workingDate,
			this.shift,
			this.noInShift,
			this.newtaktDatetime,
			this.startDatetime,
			this.finishDatetime,
			this.status,
			this.isActive,
			'',
            this.paginationParams.skipCount,
            this.paginationParams.pageSize
        );
    }
    onChangeRowSelection(params: { api: { getSelectedRows: () =&gt; LgaBp2ProgressDto[] } }) {
        this.saveSelectedRow = params.api.getSelectedRows()[0] ?? new LgaBp2ProgressDto();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LgaBp2ProgressDto):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this._service.getProgressToExcel(
			this.prodLine,
			this.workingDate,
			this.shift,
			this.noInShift,
			this.newtaktDatetime,
			this.startDatetime,
			this.finishDatetime,
			this.status,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LA Big Part 2x2 Progress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type='text' [placeholder]="l('Newtakt Datetime')" [(ngModel)]='newtaktDatetime' 
									name='newtaktDatetime'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[placeholder]="l('Start Datetime')" [(ngModel)]='startDatetime' 
									name='startDatetime'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[placeholder]="l('Finish Datetime')" [(ngModel)]='finishDatetime' 
									name='finishDatetime'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(click)="createOrEditModalProgress.show()"&gt;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(click)="createOrEditModalProgress.show(selectedRow)"&gt;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&lt;create-or-edit-progress-modal
    #createOrEditModalProgress
    (modalSave)="callBackDataGrid(dataParams)"
    (modalClose)="onChangeRowSelection(dataParams)"
&gt;
&lt;/create-or-edit-progress-modal&gt;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#createOrEditModalProgress="bs-modal"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Progress')}}&lt;/h3&gt;
                    &lt;h3 *ngIf="!rowdata.id"&gt;{{('Create New Progress')}}&lt;/h3&gt;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title'&gt;No In Shift&lt;/label&gt;
						&lt;input type='number' class='col-md-10 form-control input-text' name='NoInShift' [(ngModel)]='rowdata.noInShift'&gt;
					&lt;/div&gt;
					&lt;div class='col-md-12 form-group row'&gt;
						&lt;label class='col-md-2 form-control title'&gt;Newtakt Datetime&lt;/label&gt;
						&lt;input type='text' class='col-md-10 form-control input-text' name='newtaktDatetime' 
						#datepicker='bsDatepicker' [(ngModel)]='rowdata.newtaktDatetime'  bsDatepicker &gt;
					&lt;/div&gt;
					&lt;div class='col-md-12 form-group row'&gt;
						&lt;label class='col-md-2 form-control title'&gt;Start Datetime&lt;/label&gt;
						&lt;input type='text' class='col-md-10 form-control input-text' name='startDatetime' 
						#datepicker='bsDatepicker' [(ngModel)]='rowdata.startDatetime'  bsDatepicker &gt;
					&lt;/div&gt;
					&lt;div class='col-md-12 form-group row'&gt;
						&lt;label class='col-md-2 form-control title'&gt;Finish Datetime&lt;/label&gt;
						&lt;input type='text' class='col-md-10 form-control input-text' name='finishDatetime' 
						#datepicker='bsDatepicker' [(ngModel)]='rowdata.finishDatetime'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CreateOrEditLgaBp2ProgressDto, LgaBp2ProgressServiceProxy } from '@shared/service-proxies/service-proxies';
import { BsDatepickerDirective } from 'ngx-bootstrap/datepicker';
@Component({
    selector: 'create-or-edit-progress-modal',
    templateUrl: './create-or-edit-progress-modal.component.html',
    styleUrls: ['./create-or-edit-progress-modal.component.less']
    })
export class CreateOrEditProgressModalComponent extends AppComponentBase {
    @ViewChild('createOrEditModalProgress',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CreateOrEditLgaBp2ProgressDto = new CreateOrEditLgaBp2ProgressDto();
    active: boolean = false;
    saving: boolean = false;
    _isActive: boolean;
    constructor(
        injector: Injector,
        private _mstwptProgressService: LgaBp2ProgressServiceProxy,
    ) 
    {
        super(injector);
    }
    show(rowdata?: CreateOrEditLgaBp2ProgressDto): void {
        if (!rowdata) this.rowdata = new CreateOrEditLgaBp2ProgressDto();
        else this.rowdata = rowdata;
		const dateValue =  this.rowdata.workingDate ? new Date(this.rowdata.workingDate?.toString()) : new Date();
		this.datepicker?.bsValueChange.emit(dateValue);
		const dateValue =  this.rowdata.newtaktDatetime ? new Date(this.rowdata.newtaktDatetime?.toString()) : new Date();
		this.datepicker?.bsValueChange.emit(dateValue);
		const dateValue =  this.rowdata.startDatetime ? new Date(this.rowdata.startDatetime?.toString()) : new Date();
		this.datepicker?.bsValueChange.emit(dateValue);
		const dateValue =  this.rowdata.finishDatetime ? new Date(this.rowdata.finishDatetime?.toString())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this._mstwptProgressService.createOrEdit(this.rowdata)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ProgressRoutingModule } from './progress-routing.module';
import { ProgressComponent } from './progress.component';
import { CreateOrEditProgressModalComponent } from './create-or-edit-progress-modal.component';
@NgModule({
    declarations: [
       ProgressComponent, 
        CreateOrEditProgressModalComponent
    ],
    imports: [
        AppSharedModule, ProgressRoutingModule]
})
export class ProgressModule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ProgressComponent } from './progress.component';
const routes: Routes = [{
    path: '',
    component: ProgressComponent,
    pathMatch: 'full'
}];
@NgModule({
    imports: [RouterModule.forChild(routes)],
    exports: [RouterModule],
})
export class ProgressRoutingModule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AppMenuItem("Progress", "Pages.LogA.Bp2.Progress", "flaticon-book",   "/app/main/loga/bp2/progress"),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'loga/bp2/progress',
    loadChildren: () =&gt; import('./loga/bp2/progress/progress.module').then(m =&gt; m.ProgressModule),
    data: { permission: 'Pages.LogA.Bp2.Progress' }
},</v>
      </c>
      <c r="R10" s="50" t="str">
        <f>SUBSTITUTE(R9,"MstWptCalendar",$B$6)</f>
        <v>ApiServiceProxies.LgaBp2ProgressServiceProxy,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H23</v>
      </c>
      <c r="I12" s="31" t="str">
        <f>"I"&amp;COUNTA($A:$A)</f>
        <v>I23</v>
      </c>
      <c r="J12" s="31"/>
      <c r="K12" s="31" t="str">
        <f>"K"&amp;COUNTA($A:$A)</f>
        <v>K23</v>
      </c>
      <c r="L12" s="31" t="str">
        <f>"L"&amp;COUNTA($A:$A)</f>
        <v>L23</v>
      </c>
      <c r="M12" s="31"/>
      <c r="N12" s="31"/>
      <c r="O12" s="31"/>
      <c r="P12" s="31"/>
      <c r="Q12" s="31"/>
      <c r="R12" s="31"/>
      <c r="S12" s="31" t="str">
        <f>"S"&amp;COUNTA($A:$A)</f>
        <v>S23</v>
      </c>
      <c r="T12" s="31" t="str">
        <f>"T"&amp;COUNTA($A:$A)</f>
        <v>T23</v>
      </c>
      <c r="U12" s="31" t="str">
        <f>"U"&amp;COUNTA($A:$A)</f>
        <v>U23</v>
      </c>
      <c r="V12" s="31" t="str">
        <f>"V"&amp;COUNTA($A:$A)</f>
        <v>V23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this.l('Prod Line'),headerTooltip: this.l('Prod Line'),field: 'prodLine',flex: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this.l('No In Shift'),headerTooltip: this.l('No In Shift'),field: 'noInShift',flex: 1},
			{headerName: this.l('Newtakt Datetime'),headerTooltip: this.l('Newtakt Datetime'),field: 'newtaktDatetime',valueGetter: (params) =&gt; this.pipe.transform(params.data?.newtaktDatetime, 'dd/MM/yyyy'),flex: 1},
			{headerName: this.l('Start Datetime'),headerTooltip: this.l('Start Datetime'),field: 'startDatetime',valueGetter: (params) =&gt; this.pipe.transform(params.data?.startDatetime, 'dd/MM/yyyy'),flex: 1},
			{headerName: this.l('Finish Datetime'),headerTooltip: this.l('Finish Datetime'),field: 'finishDatetime',valueGetter: (params) =&gt; this.pipe.transform(params.data?.finishDatetime, 'dd/MM/yyyy'),flex: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type='text' [placeholder]="l('Newtakt Datetime')" [(ngModel)]='newtaktDatetime' 
									name='newtaktDatetime'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[placeholder]="l('Start Datetime')" [(ngModel)]='startDatetime' 
									name='startDatetime'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[placeholder]="l('Finish Datetime')" [(ngModel)]='finishDatetime' 
									name='finishDatetime'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title'&gt;No In Shift&lt;/label&gt;
						&lt;input type='number' class='col-md-10 form-control input-text' name='NoInShift' [(ngModel)]='rowdata.noInShift'&gt;
					&lt;/div&gt;
					&lt;div class='col-md-12 form-group row'&gt;
						&lt;label class='col-md-2 form-control title'&gt;Newtakt Datetime&lt;/label&gt;
						&lt;input type='text' class='col-md-10 form-control input-text' name='newtaktDatetime' 
						#datepicker='bsDatepicker' [(ngModel)]='rowdata.newtaktDatetime'  bsDatepicker &gt;
					&lt;/div&gt;
					&lt;div class='col-md-12 form-group row'&gt;
						&lt;label class='col-md-2 form-control title'&gt;Start Datetime&lt;/label&gt;
						&lt;input type='text' class='col-md-10 form-control input-text' name='startDatetime' 
						#datepicker='bsDatepicker' [(ngModel)]='rowdata.startDatetime'  bsDatepicker &gt;
					&lt;/div&gt;
					&lt;div class='col-md-12 form-group row'&gt;
						&lt;label class='col-md-2 form-control title'&gt;Finish Datetime&lt;/label&gt;
						&lt;input type='text' class='col-md-10 form-control input-text' name='finishDatetime' 
						#datepicker='bsDatepicker' [(ngModel)]='rowdata.finishDatetime'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 xml:space="preserve">		const dateValue =  this.rowdata.workingDate ? new Date(this.rowdata.workingDate?.toString()) : new Date();
		this.datepicker?.bsValueChange.emit(dateValue);
		const dateValue =  this.rowdata.newtaktDatetime ? new Date(this.rowdata.newtaktDatetime?.toString()) : new Date();
		this.datepicker?.bsValueChange.emit(dateValue);
		const dateValue =  this.rowdata.startDatetime ? new Date(this.rowdata.startDatetime?.toString()) : new Date();
		this.datepicker?.bsValueChange.emit(dateValue);
		const dateValue =  this.rowdata.finishDatetime ? new Date(this.rowdata.finishDatetime?.toString())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prodLine : string = '' ; 
	workingDate : any ;
	shift : string = '' ; 
	noInShift : number = 0 ;
	newtaktDatetime : any ;
	startDatetime : any ;
	finishDatetime : any ;
	status : string = '' ; 
	isActive : string = '' ; </v>
      </c>
      <c r="T13" s="68" t="str">
        <f ca="1">TEXTJOIN2("
",TRUE,INDIRECT(T11):INDIRECT(T12))</f>
        <v xml:space="preserve">			this.prodLine,
			this.workingDate,
			this.shift,
			this.noInShift,
			this.newtaktDatetime,
			this.startDatetime,
			this.finishDatetime,
			this.status,
			this.isActive,</v>
      </c>
      <c r="U13" s="68" t="str">
        <f ca="1">TEXTJOIN2("
",TRUE,INDIRECT(U11):INDIRECT(U12))</f>
        <v>this.prodLine = '',
		this.workingDate = '',
		this.shift = '',
		this.noInShift = 0,
		this.newtaktDatetime = '',
		this.startDatetime = '',
		this.finishDatetime = '',
		this.status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progress.component.ts</v>
      </c>
      <c r="I14" s="40" t="str">
        <f>B8&amp;".component.html"</f>
        <v>progress.component.html</v>
      </c>
      <c r="J14" s="39" t="str">
        <f>B8&amp;".component.less"</f>
        <v>progress.component.less</v>
      </c>
      <c r="K14" s="40" t="str">
        <f>"create-or-edit-"&amp;B8&amp;"-modal.component.html"</f>
        <v>create-or-edit-progress-modal.component.html</v>
      </c>
      <c r="L14" s="40" t="str">
        <f>"create-or-edit-"&amp;B8&amp;"-modal.component.ts"</f>
        <v>create-or-edit-progress-modal.component.ts</v>
      </c>
      <c r="M14" s="40" t="str">
        <f>"create-or-edit-"&amp;B8&amp;"-modal.component.less"</f>
        <v>create-or-edit-progress-modal.component.less</v>
      </c>
      <c r="N14" s="40" t="str">
        <f>B8&amp;".module.ts"</f>
        <v>progress.module.ts</v>
      </c>
      <c r="O14" s="40" t="str">
        <f>B8&amp;"-routing.module.ts"</f>
        <v>progress-routing.module.ts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31" t="s">
        <v>322</v>
      </c>
      <c r="B15" s="31" t="str">
        <f>SUBSTITUTE(PROPER(A15),"_","")</f>
        <v>ProdLine</v>
      </c>
      <c r="C15" s="31" t="str">
        <f>SUBSTITUTE(PROPER(A15),"_"," ")</f>
        <v>Prod Line</v>
      </c>
      <c r="D15" s="31" t="str">
        <f>LOWER(LEFT(B15,1))&amp;RIGHT(B15,LEN(B15) - 1)</f>
        <v>prodLine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this.l('Prod Line'),headerTooltip: this.l('Prod Line'),field: 'prodLine',flex: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prodLine : string = '' ; </v>
      </c>
      <c r="T15" s="31" t="str">
        <f>REPT(CHAR(9),3)&amp;"this."&amp;D15&amp;","</f>
        <v xml:space="preserve">			this.prodLine,</v>
      </c>
      <c r="U15" s="31" t="str">
        <f>IF(E15="int","this."&amp;D15&amp;" = 0,","this."&amp;D15&amp;" = '',")</f>
        <v>this.prodLine = '',</v>
      </c>
      <c r="V15" s="31" t="str">
        <f>IF(AND(E15="string",F15="1"),D15,"")</f>
        <v/>
      </c>
    </row>
    <row r="16" spans="1:22" ht="15" customHeight="1" x14ac:dyDescent="0.25">
      <c r="A16" s="31" t="s">
        <v>328</v>
      </c>
      <c r="B16" s="31" t="str">
        <f t="shared" ref="B16:B18" si="0">SUBSTITUTE(PROPER(A16),"_","")</f>
        <v>WorkingDate</v>
      </c>
      <c r="C16" s="31" t="str">
        <f t="shared" ref="C16:C18" si="1">SUBSTITUTE(PROPER(A16),"_"," ")</f>
        <v>Working Date</v>
      </c>
      <c r="D16" s="31" t="str">
        <f t="shared" ref="D16:D18" si="2">LOWER(LEFT(B16,1))&amp;RIGHT(B16,LEN(B16) - 1)</f>
        <v>workingDate</v>
      </c>
      <c r="E16" s="31" t="str">
        <f>A.Backend!H10</f>
        <v>DateTime</v>
      </c>
      <c r="F16" s="31" t="str">
        <f>A.Backend!G10</f>
        <v/>
      </c>
      <c r="G16" s="31" t="str">
        <f t="shared" ref="G16:G18" si="3">IF(E16="string"," : string = '' ; ",IF(OR(E16="DateTime",E16="TimeSpan")," : any ;",IF(E16="int"," : number = 0 ;","")))</f>
        <v xml:space="preserve"> : any ;</v>
      </c>
      <c r="H16" s="38" t="str">
        <f t="shared" ref="H16:H18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this.l('Working Date'),headerTooltip: this.l('Working Date'),field: 'workingDate',valueGetter: (params) =&gt; this.pipe.transform(params.data?.workingDate, 'dd/MM/yyyy'),flex: 1},</v>
      </c>
      <c r="I16" s="38" t="str">
        <f t="shared" ref="I16:I18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</v>
      </c>
      <c r="J16" s="31"/>
      <c r="K16" s="38" t="str">
        <f t="shared" ref="K16:K18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</v>
      </c>
      <c r="L16" s="60" t="str">
        <f t="shared" ref="L16:L18" si="7">IF(E16="DateTime",
REPT(CHAR(9),2)&amp;"const dateValue =  this.rowdata."&amp;D16&amp;" ? new Date(this.rowdata."&amp;D16&amp;"?.toString()) : new Date();
"&amp;REPT(CHAR(9),2)&amp;"this.datepicker?.bsValueChange.emit(dateValue);","")</f>
        <v xml:space="preserve">		const dateValue =  this.rowdata.workingDate ? new Date(this.rowdata.workingDate?.toString()) : new Date();
		this.datepicker?.bsValueChange.emit(dateValue);</v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workingDate : any ;</v>
      </c>
      <c r="T16" s="31" t="str">
        <f>REPT(CHAR(9),3)&amp;"this."&amp;D16&amp;","</f>
        <v xml:space="preserve">			this.workingDate,</v>
      </c>
      <c r="U16" s="31" t="str">
        <f>IF(E16="int",REPT(CHAR(9),2)&amp;"this."&amp;D16&amp;" = 0,",REPT(CHAR(9),2)&amp;"this."&amp;D16&amp;" = '',")</f>
        <v xml:space="preserve">		this.workingDate = '',</v>
      </c>
      <c r="V16" s="31" t="str">
        <f t="shared" ref="V16:V18" si="8">IF(AND(E16="string",F16="1"),D16,"")</f>
        <v/>
      </c>
    </row>
    <row r="17" spans="1:22" ht="18" customHeight="1" x14ac:dyDescent="0.25">
      <c r="A17" s="31" t="s">
        <v>329</v>
      </c>
      <c r="B17" s="31" t="str">
        <f t="shared" si="0"/>
        <v>Shift</v>
      </c>
      <c r="C17" s="31" t="str">
        <f t="shared" si="1"/>
        <v>Shift</v>
      </c>
      <c r="D17" s="31" t="str">
        <f t="shared" si="2"/>
        <v>shift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this.l('Shift'),headerTooltip: this.l('Shift'),field: 'shift',flex: 1},</v>
      </c>
      <c r="I17" s="38" t="str">
        <f t="shared" si="5"/>
        <v xml:space="preserve">								&lt;div class='input-search'&gt;
									&lt;input [(ngModel)]='shift' name='shift'
									class='form-control' [placeholder]="l('Shift')"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title'&gt;Shift&lt;/label&gt;
						&lt;input type='text' class='col-md-10 form-control input-text' name='Shift' [(ngModel)]='rowdata.shift'&gt;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18" si="9">REPT(CHAR(9),1)&amp;D17&amp;G17</f>
        <v xml:space="preserve">	shift : string = '' ; </v>
      </c>
      <c r="T17" s="31" t="str">
        <f t="shared" ref="T17:T18" si="10">REPT(CHAR(9),3)&amp;"this."&amp;D17&amp;","</f>
        <v xml:space="preserve">			this.shift,</v>
      </c>
      <c r="U17" s="31" t="str">
        <f t="shared" ref="U17:U18" si="11">IF(E17="int",REPT(CHAR(9),2)&amp;"this."&amp;D17&amp;" = 0,",REPT(CHAR(9),2)&amp;"this."&amp;D17&amp;" = '',")</f>
        <v xml:space="preserve">		this.shift = '',</v>
      </c>
      <c r="V17" s="31" t="str">
        <f t="shared" si="8"/>
        <v/>
      </c>
    </row>
    <row r="18" spans="1:22" ht="18" customHeight="1" x14ac:dyDescent="0.25">
      <c r="A18" s="31" t="s">
        <v>330</v>
      </c>
      <c r="B18" s="31" t="str">
        <f t="shared" si="0"/>
        <v>NoInShift</v>
      </c>
      <c r="C18" s="31" t="str">
        <f t="shared" si="1"/>
        <v>No In Shift</v>
      </c>
      <c r="D18" s="31" t="str">
        <f t="shared" si="2"/>
        <v>noInShift</v>
      </c>
      <c r="E18" s="31" t="str">
        <f>A.Backend!H12</f>
        <v>int</v>
      </c>
      <c r="F18" s="31" t="str">
        <f>A.Backend!G12</f>
        <v/>
      </c>
      <c r="G18" s="31" t="str">
        <f t="shared" si="3"/>
        <v xml:space="preserve"> : number = 0 ;</v>
      </c>
      <c r="H18" s="38" t="str">
        <f t="shared" si="4"/>
        <v xml:space="preserve">			{headerName: this.l('No In Shift'),headerTooltip: this.l('No In Shift'),field: 'noInShift',flex: 1},</v>
      </c>
      <c r="I18" s="38" t="str">
        <f t="shared" si="5"/>
        <v/>
      </c>
      <c r="J18" s="31"/>
      <c r="K18" s="38" t="str">
        <f t="shared" si="6"/>
        <v xml:space="preserve">					&lt;div class='col-md-12 form-group row'&gt;
						&lt;label class='col-md-2 form-control title'&gt;No In Shift&lt;/label&gt;
						&lt;input type='number' class='col-md-10 form-control input-text' name='NoInShift' [(ngModel)]='rowdata.noInShift'&gt;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noInShift : number = 0 ;</v>
      </c>
      <c r="T18" s="31" t="str">
        <f t="shared" si="10"/>
        <v xml:space="preserve">			this.noInShift,</v>
      </c>
      <c r="U18" s="31" t="str">
        <f t="shared" si="11"/>
        <v xml:space="preserve">		this.noInShift = 0,</v>
      </c>
      <c r="V18" s="31" t="str">
        <f t="shared" si="8"/>
        <v/>
      </c>
    </row>
    <row r="19" spans="1:22" ht="15" customHeight="1" x14ac:dyDescent="0.25">
      <c r="A19" s="31" t="s">
        <v>335</v>
      </c>
      <c r="B19" s="31" t="str">
        <f t="shared" ref="B19:B21" si="12">SUBSTITUTE(PROPER(A19),"_","")</f>
        <v>NewtaktDatetime</v>
      </c>
      <c r="C19" s="31" t="str">
        <f t="shared" ref="C19:C21" si="13">SUBSTITUTE(PROPER(A19),"_"," ")</f>
        <v>Newtakt Datetime</v>
      </c>
      <c r="D19" s="31" t="str">
        <f t="shared" ref="D19:D21" si="14">LOWER(LEFT(B19,1))&amp;RIGHT(B19,LEN(B19) - 1)</f>
        <v>newtaktDatetime</v>
      </c>
      <c r="E19" s="31" t="str">
        <f>A.Backend!H13</f>
        <v>DateTime</v>
      </c>
      <c r="F19" s="31" t="str">
        <f>A.Backend!G13</f>
        <v>7</v>
      </c>
      <c r="G19" s="31" t="str">
        <f t="shared" ref="G19:G21" si="15">IF(E19="string"," : string = '' ; ",IF(OR(E19="DateTime",E19="TimeSpan")," : any ;",IF(E19="int"," : number = 0 ;","")))</f>
        <v xml:space="preserve"> : any ;</v>
      </c>
      <c r="H19" s="38" t="str">
        <f t="shared" ref="H19:H21" si="16">IF(E19="DateTime",
REPT(CHAR(9),3)&amp;"{headerName: this.l('"&amp;C19&amp;"'),headerTooltip: this.l('"&amp;C19&amp;"'),field: '"&amp;D19&amp;"',valueGetter: (params) =&gt; this.pipe.transform(params.data?."&amp;D19&amp;", 'dd/MM/yyyy'),flex: 1},",
IF(AND(E19="string",F19="1"),
REPT(CHAR(9),3)&amp;"{headerName: this.l('"&amp;C19&amp;"'),headerTooltip: this.l('"&amp;C19&amp;"'),field:  '"&amp;D19&amp;"', cellClass: ['text-center'], width: 120, cellRenderer: 'agCellButtonComponent',
buttonDefTwo: { text: params =&gt; (params.data?.'"&amp;D19&amp;"' == 'Y') ? 'Active' : 'Inactive',iconName: 'fa fa-circle',className: params =&gt; (params.data?.'"&amp;D19&amp;"' == 'Y') ? 'btnActive' : 'btnInActive',},}",
REPT(CHAR(9),3)&amp;"{headerName: this.l('"&amp;C19&amp;"'),headerTooltip: this.l('"&amp;C19&amp;"'),field: '"&amp;D19&amp;"',flex: 1},"))</f>
        <v xml:space="preserve">			{headerName: this.l('Newtakt Datetime'),headerTooltip: this.l('Newtakt Datetime'),field: 'newtaktDatetime',valueGetter: (params) =&gt; this.pipe.transform(params.data?.newtaktDatetime, 'dd/MM/yyyy'),flex: 1},</v>
      </c>
      <c r="I19" s="38" t="str">
        <f t="shared" ref="I19:I21" si="17"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IF(E19="string",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type='text' [placeholder]="l('Newtakt Datetime')" [(ngModel)]='newtaktDatetime' 
									name='newtaktDatetime' (keydown)='searchDatas()' class='form-control' 
									bsDatepicker #d='bsDatepicker' placement='bottom left'&gt;
									&lt;i class='fa fa-calendar-alt' (click)='d.toggle()'&gt;&lt;/i&gt;
								&lt;/div&gt;</v>
      </c>
      <c r="J19" s="31"/>
      <c r="K19" s="38" t="str">
        <f t="shared" ref="K19:K21" si="18">IF(OR(E19="DateTime",E19="TimeSpan"),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"&amp;REPT(CHAR(9),6)&amp;"&lt;new-checkbox [(ngModel)]='_"&amp;D19&amp;"' name='"&amp;D19&amp;"' className='col-md-10' &gt; &lt;/new-checkbox&gt;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IF(E19="int",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title'&gt;Newtakt Datetime&lt;/label&gt;
						&lt;input type='text' class='col-md-10 form-control input-text' name='newtaktDatetime' 
						#datepicker='bsDatepicker' [(ngModel)]='rowdata.newtaktDatetime'  bsDatepicker &gt;
					&lt;/div&gt;</v>
      </c>
      <c r="L19" s="60" t="str">
        <f t="shared" ref="L19:L21" si="19">IF(E19="DateTime",
REPT(CHAR(9),2)&amp;"const dateValue =  this.rowdata."&amp;D19&amp;" ? new Date(this.rowdata."&amp;D19&amp;"?.toString()) : new Date();
"&amp;REPT(CHAR(9),2)&amp;"this.datepicker?.bsValueChange.emit(dateValue);","")</f>
        <v xml:space="preserve">		const dateValue =  this.rowdata.newtaktDatetime ? new Date(this.rowdata.newtaktDatetime?.toString()) : new Date();
		this.datepicker?.bsValueChange.emit(dateValue);</v>
      </c>
      <c r="M19" s="31"/>
      <c r="N19" s="31"/>
      <c r="O19" s="31"/>
      <c r="P19" s="31"/>
      <c r="Q19" s="31"/>
      <c r="R19" s="31"/>
      <c r="S19" s="31" t="str">
        <f>REPT(CHAR(9),1)&amp;D19&amp;G19</f>
        <v xml:space="preserve">	newtaktDatetime : any ;</v>
      </c>
      <c r="T19" s="31" t="str">
        <f>REPT(CHAR(9),3)&amp;"this."&amp;D19&amp;","</f>
        <v xml:space="preserve">			this.newtaktDatetime,</v>
      </c>
      <c r="U19" s="31" t="str">
        <f>IF(E19="int",REPT(CHAR(9),2)&amp;"this."&amp;D19&amp;" = 0,",REPT(CHAR(9),2)&amp;"this."&amp;D19&amp;" = '',")</f>
        <v xml:space="preserve">		this.newtaktDatetime = '',</v>
      </c>
      <c r="V19" s="31" t="str">
        <f t="shared" ref="V19:V21" si="20">IF(AND(E19="string",F19="1"),D19,"")</f>
        <v/>
      </c>
    </row>
    <row r="20" spans="1:22" ht="18" customHeight="1" x14ac:dyDescent="0.25">
      <c r="A20" s="31" t="s">
        <v>331</v>
      </c>
      <c r="B20" s="31" t="str">
        <f t="shared" si="12"/>
        <v>StartDatetime</v>
      </c>
      <c r="C20" s="31" t="str">
        <f t="shared" si="13"/>
        <v>Start Datetime</v>
      </c>
      <c r="D20" s="31" t="str">
        <f t="shared" si="14"/>
        <v>startDatetime</v>
      </c>
      <c r="E20" s="31" t="str">
        <f>A.Backend!H14</f>
        <v>DateTime</v>
      </c>
      <c r="F20" s="31" t="str">
        <f>A.Backend!G14</f>
        <v>7</v>
      </c>
      <c r="G20" s="31" t="str">
        <f t="shared" si="15"/>
        <v xml:space="preserve"> : any ;</v>
      </c>
      <c r="H20" s="38" t="str">
        <f t="shared" si="16"/>
        <v xml:space="preserve">			{headerName: this.l('Start Datetime'),headerTooltip: this.l('Start Datetime'),field: 'startDatetime',valueGetter: (params) =&gt; this.pipe.transform(params.data?.startDatetime, 'dd/MM/yyyy'),flex: 1},</v>
      </c>
      <c r="I20" s="38" t="str">
        <f t="shared" si="17"/>
        <v xml:space="preserve">								&lt;div class='input-search'&gt;
									&lt;input type='text' [placeholder]="l('Start Datetime')" [(ngModel)]='startDatetime' 
									name='startDatetime' (keydown)='searchDatas()' class='form-control' 
									bsDatepicker #d='bsDatepicker' placement='bottom left'&gt;
									&lt;i class='fa fa-calendar-alt' (click)='d.toggle()'&gt;&lt;/i&gt;
								&lt;/div&gt;</v>
      </c>
      <c r="J20" s="31"/>
      <c r="K20" s="38" t="str">
        <f t="shared" si="18"/>
        <v xml:space="preserve">					&lt;div class='col-md-12 form-group row'&gt;
						&lt;label class='col-md-2 form-control title'&gt;Start Datetime&lt;/label&gt;
						&lt;input type='text' class='col-md-10 form-control input-text' name='startDatetime' 
						#datepicker='bsDatepicker' [(ngModel)]='rowdata.startDatetime'  bsDatepicker &gt;
					&lt;/div&gt;</v>
      </c>
      <c r="L20" s="60" t="str">
        <f t="shared" si="19"/>
        <v xml:space="preserve">		const dateValue =  this.rowdata.startDatetime ? new Date(this.rowdata.startDatetime?.toString()) : new Date();
		this.datepicker?.bsValueChange.emit(dateValue);</v>
      </c>
      <c r="M20" s="31"/>
      <c r="N20" s="31"/>
      <c r="O20" s="31"/>
      <c r="P20" s="31"/>
      <c r="Q20" s="31"/>
      <c r="R20" s="31"/>
      <c r="S20" s="31" t="str">
        <f t="shared" ref="S20:S21" si="21">REPT(CHAR(9),1)&amp;D20&amp;G20</f>
        <v xml:space="preserve">	startDatetime : any ;</v>
      </c>
      <c r="T20" s="31" t="str">
        <f t="shared" ref="T20:T21" si="22">REPT(CHAR(9),3)&amp;"this."&amp;D20&amp;","</f>
        <v xml:space="preserve">			this.startDatetime,</v>
      </c>
      <c r="U20" s="31" t="str">
        <f t="shared" ref="U20:U21" si="23">IF(E20="int",REPT(CHAR(9),2)&amp;"this."&amp;D20&amp;" = 0,",REPT(CHAR(9),2)&amp;"this."&amp;D20&amp;" = '',")</f>
        <v xml:space="preserve">		this.startDatetime = '',</v>
      </c>
      <c r="V20" s="31" t="str">
        <f t="shared" si="20"/>
        <v/>
      </c>
    </row>
    <row r="21" spans="1:22" ht="18" customHeight="1" x14ac:dyDescent="0.25">
      <c r="A21" s="31" t="s">
        <v>332</v>
      </c>
      <c r="B21" s="31" t="str">
        <f t="shared" si="12"/>
        <v>FinishDatetime</v>
      </c>
      <c r="C21" s="31" t="str">
        <f t="shared" si="13"/>
        <v>Finish Datetime</v>
      </c>
      <c r="D21" s="31" t="str">
        <f t="shared" si="14"/>
        <v>finishDatetime</v>
      </c>
      <c r="E21" s="31" t="str">
        <f>A.Backend!H15</f>
        <v>DateTime</v>
      </c>
      <c r="F21" s="31" t="str">
        <f>A.Backend!G15</f>
        <v>7</v>
      </c>
      <c r="G21" s="31" t="str">
        <f t="shared" si="15"/>
        <v xml:space="preserve"> : any ;</v>
      </c>
      <c r="H21" s="38" t="str">
        <f t="shared" si="16"/>
        <v xml:space="preserve">			{headerName: this.l('Finish Datetime'),headerTooltip: this.l('Finish Datetime'),field: 'finishDatetime',valueGetter: (params) =&gt; this.pipe.transform(params.data?.finishDatetime, 'dd/MM/yyyy'),flex: 1},</v>
      </c>
      <c r="I21" s="38" t="str">
        <f t="shared" si="17"/>
        <v xml:space="preserve">								&lt;div class='input-search'&gt;
									&lt;input type='text' [placeholder]="l('Finish Datetime')" [(ngModel)]='finishDatetime' 
									name='finishDatetime' (keydown)='searchDatas()' class='form-control' 
									bsDatepicker #d='bsDatepicker' placement='bottom left'&gt;
									&lt;i class='fa fa-calendar-alt' (click)='d.toggle()'&gt;&lt;/i&gt;
								&lt;/div&gt;</v>
      </c>
      <c r="J21" s="31"/>
      <c r="K21" s="38" t="str">
        <f t="shared" si="18"/>
        <v xml:space="preserve">					&lt;div class='col-md-12 form-group row'&gt;
						&lt;label class='col-md-2 form-control title'&gt;Finish Datetime&lt;/label&gt;
						&lt;input type='text' class='col-md-10 form-control input-text' name='finishDatetime' 
						#datepicker='bsDatepicker' [(ngModel)]='rowdata.finishDatetime'  bsDatepicker &gt;
					&lt;/div&gt;</v>
      </c>
      <c r="L21" s="60" t="str">
        <f t="shared" si="19"/>
        <v xml:space="preserve">		const dateValue =  this.rowdata.finishDatetime ? new Date(this.rowdata.finishDatetime?.toString()) : new Date();
		this.datepicker?.bsValueChange.emit(dateValue);</v>
      </c>
      <c r="M21" s="31"/>
      <c r="N21" s="31"/>
      <c r="O21" s="31"/>
      <c r="P21" s="31"/>
      <c r="Q21" s="31"/>
      <c r="R21" s="31"/>
      <c r="S21" s="31" t="str">
        <f t="shared" si="21"/>
        <v xml:space="preserve">	finishDatetime : any ;</v>
      </c>
      <c r="T21" s="31" t="str">
        <f t="shared" si="22"/>
        <v xml:space="preserve">			this.finishDatetime,</v>
      </c>
      <c r="U21" s="31" t="str">
        <f t="shared" si="23"/>
        <v xml:space="preserve">		this.finishDatetime = '',</v>
      </c>
      <c r="V21" s="31" t="str">
        <f t="shared" si="20"/>
        <v/>
      </c>
    </row>
    <row r="22" spans="1:22" ht="18" customHeight="1" x14ac:dyDescent="0.25">
      <c r="A22" s="31" t="s">
        <v>334</v>
      </c>
      <c r="B22" s="31" t="str">
        <f t="shared" ref="B22:B23" si="24">SUBSTITUTE(PROPER(A22),"_","")</f>
        <v>Status</v>
      </c>
      <c r="C22" s="31" t="str">
        <f t="shared" ref="C22:C23" si="25">SUBSTITUTE(PROPER(A22),"_"," ")</f>
        <v>Status</v>
      </c>
      <c r="D22" s="31" t="str">
        <f t="shared" ref="D22:D23" si="26">LOWER(LEFT(B22,1))&amp;RIGHT(B22,LEN(B22) - 1)</f>
        <v>status</v>
      </c>
      <c r="E22" s="31" t="str">
        <f>A.Backend!H16</f>
        <v>string</v>
      </c>
      <c r="F22" s="31" t="str">
        <f>A.Backend!G16</f>
        <v>50</v>
      </c>
      <c r="G22" s="31" t="str">
        <f t="shared" ref="G22:G23" si="27">IF(E22="string"," : string = '' ; ",IF(OR(E22="DateTime",E22="TimeSpan")," : any ;",IF(E22="int"," : number = 0 ;","")))</f>
        <v xml:space="preserve"> : string = '' ; </v>
      </c>
      <c r="H22" s="38" t="str">
        <f t="shared" ref="H22:H23" si="28"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this.l('Status'),headerTooltip: this.l('Status'),field: 'status',flex: 1},</v>
      </c>
      <c r="I22" s="38" t="str">
        <f t="shared" ref="I22:I23" si="29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22" s="31"/>
      <c r="K22" s="38" t="str">
        <f t="shared" ref="K22:K23" si="30"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22" s="60" t="str">
        <f t="shared" ref="L22:L23" si="31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31"/>
      <c r="N22" s="31"/>
      <c r="O22" s="31"/>
      <c r="P22" s="31"/>
      <c r="Q22" s="31"/>
      <c r="R22" s="31"/>
      <c r="S22" s="31" t="str">
        <f t="shared" ref="S22:S23" si="32">REPT(CHAR(9),1)&amp;D22&amp;G22</f>
        <v xml:space="preserve">	status : string = '' ; </v>
      </c>
      <c r="T22" s="31" t="str">
        <f t="shared" ref="T22:T23" si="33">REPT(CHAR(9),3)&amp;"this."&amp;D22&amp;","</f>
        <v xml:space="preserve">			this.status,</v>
      </c>
      <c r="U22" s="31" t="str">
        <f t="shared" ref="U22:U23" si="34">IF(E22="int",REPT(CHAR(9),2)&amp;"this."&amp;D22&amp;" = 0,",REPT(CHAR(9),2)&amp;"this."&amp;D22&amp;" = '',")</f>
        <v xml:space="preserve">		this.status = '',</v>
      </c>
      <c r="V22" s="31" t="str">
        <f t="shared" ref="V22:V23" si="35">IF(AND(E22="string",F22="1"),D22,"")</f>
        <v/>
      </c>
    </row>
    <row r="23" spans="1:22" ht="18" customHeight="1" x14ac:dyDescent="0.25">
      <c r="A23" s="31" t="s">
        <v>323</v>
      </c>
      <c r="B23" s="31" t="str">
        <f t="shared" si="24"/>
        <v>IsActive</v>
      </c>
      <c r="C23" s="31" t="str">
        <f t="shared" si="25"/>
        <v>Is Active</v>
      </c>
      <c r="D23" s="31" t="str">
        <f t="shared" si="26"/>
        <v>isActive</v>
      </c>
      <c r="E23" s="31" t="str">
        <f>A.Backend!H17</f>
        <v>string</v>
      </c>
      <c r="F23" s="31" t="str">
        <f>A.Backend!G17</f>
        <v>1</v>
      </c>
      <c r="G23" s="31" t="str">
        <f t="shared" si="27"/>
        <v xml:space="preserve"> : string = '' ; </v>
      </c>
      <c r="H23" s="38" t="str">
        <f t="shared" si="28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3" s="38" t="str">
        <f t="shared" si="29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3" s="31"/>
      <c r="K23" s="38" t="str">
        <f t="shared" si="30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3" s="60" t="str">
        <f t="shared" si="31"/>
        <v/>
      </c>
      <c r="M23" s="31"/>
      <c r="N23" s="31"/>
      <c r="O23" s="31"/>
      <c r="P23" s="31"/>
      <c r="Q23" s="31"/>
      <c r="R23" s="31"/>
      <c r="S23" s="31" t="str">
        <f t="shared" si="32"/>
        <v xml:space="preserve">	isActive : string = '' ; </v>
      </c>
      <c r="T23" s="31" t="str">
        <f t="shared" si="33"/>
        <v xml:space="preserve">			this.isActive,</v>
      </c>
      <c r="U23" s="31" t="str">
        <f t="shared" si="34"/>
        <v xml:space="preserve">		this.isActive = '',</v>
      </c>
      <c r="V23" s="31" t="str">
        <f t="shared" si="35"/>
        <v>isActive</v>
      </c>
    </row>
    <row r="26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2022-10-17T10:20:16Z</dcterms:modified>
</cp:coreProperties>
</file>
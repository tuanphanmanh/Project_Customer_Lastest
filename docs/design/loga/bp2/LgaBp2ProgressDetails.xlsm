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bp2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H17" i="5" s="1"/>
  <c r="E18" i="5"/>
  <c r="F18" i="5"/>
  <c r="E19" i="5"/>
  <c r="I19" i="5" s="1"/>
  <c r="F19" i="5"/>
  <c r="E20" i="5"/>
  <c r="F20" i="5"/>
  <c r="E21" i="5"/>
  <c r="F21" i="5"/>
  <c r="E22" i="5"/>
  <c r="F22" i="5"/>
  <c r="E23" i="5"/>
  <c r="I23" i="5" s="1"/>
  <c r="F23" i="5"/>
  <c r="E24" i="5"/>
  <c r="F24" i="5"/>
  <c r="E25" i="5"/>
  <c r="I25" i="5" s="1"/>
  <c r="F25" i="5"/>
  <c r="E26" i="5"/>
  <c r="F26" i="5"/>
  <c r="E27" i="5"/>
  <c r="F27" i="5"/>
  <c r="E28" i="5"/>
  <c r="F28" i="5"/>
  <c r="E29" i="5"/>
  <c r="F29" i="5"/>
  <c r="H29" i="5" s="1"/>
  <c r="E30" i="5"/>
  <c r="F30" i="5"/>
  <c r="E31" i="5"/>
  <c r="V31" i="5" s="1"/>
  <c r="F31" i="5"/>
  <c r="K31" i="5" s="1"/>
  <c r="E32" i="5"/>
  <c r="F32" i="5"/>
  <c r="E33" i="5"/>
  <c r="G33" i="5" s="1"/>
  <c r="F33" i="5"/>
  <c r="E34" i="5"/>
  <c r="F34" i="5"/>
  <c r="E35" i="5"/>
  <c r="V35" i="5" s="1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D29" i="5"/>
  <c r="T29" i="5" s="1"/>
  <c r="C29" i="5"/>
  <c r="B29" i="5"/>
  <c r="U28" i="5"/>
  <c r="L28" i="5"/>
  <c r="G28" i="5"/>
  <c r="H28" i="5"/>
  <c r="I28" i="5"/>
  <c r="C28" i="5"/>
  <c r="B28" i="5"/>
  <c r="D28" i="5" s="1"/>
  <c r="T27" i="5"/>
  <c r="D27" i="5"/>
  <c r="C27" i="5"/>
  <c r="B27" i="5"/>
  <c r="V26" i="5"/>
  <c r="L26" i="5"/>
  <c r="K26" i="5"/>
  <c r="G26" i="5"/>
  <c r="I26" i="5"/>
  <c r="C26" i="5"/>
  <c r="B26" i="5"/>
  <c r="D26" i="5" s="1"/>
  <c r="D25" i="5"/>
  <c r="T25" i="5" s="1"/>
  <c r="C25" i="5"/>
  <c r="B25" i="5"/>
  <c r="U24" i="5"/>
  <c r="L24" i="5"/>
  <c r="K24" i="5"/>
  <c r="H24" i="5"/>
  <c r="G24" i="5"/>
  <c r="V24" i="5"/>
  <c r="I24" i="5"/>
  <c r="C24" i="5"/>
  <c r="B24" i="5"/>
  <c r="D24" i="5" s="1"/>
  <c r="T23" i="5"/>
  <c r="H23" i="5"/>
  <c r="D23" i="5"/>
  <c r="C23" i="5"/>
  <c r="B23" i="5"/>
  <c r="V22" i="5"/>
  <c r="L22" i="5"/>
  <c r="K22" i="5"/>
  <c r="G22" i="5"/>
  <c r="I22" i="5"/>
  <c r="C22" i="5"/>
  <c r="B22" i="5"/>
  <c r="D22" i="5" s="1"/>
  <c r="U22" i="5" s="1"/>
  <c r="I21" i="5"/>
  <c r="D21" i="5"/>
  <c r="C21" i="5"/>
  <c r="B21" i="5"/>
  <c r="U20" i="5"/>
  <c r="L20" i="5"/>
  <c r="G20" i="5"/>
  <c r="H20" i="5"/>
  <c r="I20" i="5"/>
  <c r="C20" i="5"/>
  <c r="B20" i="5"/>
  <c r="D20" i="5" s="1"/>
  <c r="T19" i="5"/>
  <c r="H19" i="5"/>
  <c r="D19" i="5"/>
  <c r="C19" i="5"/>
  <c r="B19" i="5"/>
  <c r="U18" i="5"/>
  <c r="L18" i="5"/>
  <c r="K18" i="5"/>
  <c r="H18" i="5"/>
  <c r="G18" i="5"/>
  <c r="V18" i="5"/>
  <c r="I18" i="5"/>
  <c r="C18" i="5"/>
  <c r="B18" i="5"/>
  <c r="D18" i="5" s="1"/>
  <c r="T17" i="5"/>
  <c r="D17" i="5"/>
  <c r="C17" i="5"/>
  <c r="B17" i="5"/>
  <c r="V16" i="5"/>
  <c r="U16" i="5"/>
  <c r="L16" i="5"/>
  <c r="K16" i="5"/>
  <c r="H16" i="5"/>
  <c r="G16" i="5"/>
  <c r="I16" i="5"/>
  <c r="C16" i="5"/>
  <c r="B16" i="5"/>
  <c r="D16" i="5" s="1"/>
  <c r="H36" i="5"/>
  <c r="C36" i="5"/>
  <c r="B36" i="5"/>
  <c r="D36" i="5" s="1"/>
  <c r="L35" i="5"/>
  <c r="G35" i="5"/>
  <c r="C35" i="5"/>
  <c r="B35" i="5"/>
  <c r="D35" i="5" s="1"/>
  <c r="C34" i="5"/>
  <c r="B34" i="5"/>
  <c r="D34" i="5" s="1"/>
  <c r="L33" i="5"/>
  <c r="K33" i="5"/>
  <c r="C33" i="5"/>
  <c r="B33" i="5"/>
  <c r="D33" i="5" s="1"/>
  <c r="I32" i="5"/>
  <c r="D32" i="5"/>
  <c r="T32" i="5" s="1"/>
  <c r="C32" i="5"/>
  <c r="B32" i="5"/>
  <c r="H31" i="5"/>
  <c r="D31" i="5"/>
  <c r="T31" i="5" s="1"/>
  <c r="C31" i="5"/>
  <c r="B31" i="5"/>
  <c r="T30" i="5"/>
  <c r="I30" i="5"/>
  <c r="H30" i="5"/>
  <c r="D30" i="5"/>
  <c r="C30" i="5"/>
  <c r="B30" i="5"/>
  <c r="T31" i="1"/>
  <c r="P31" i="1"/>
  <c r="L31" i="1"/>
  <c r="H31" i="1"/>
  <c r="W31" i="1" s="1"/>
  <c r="G31" i="1"/>
  <c r="E31" i="1"/>
  <c r="D31" i="1"/>
  <c r="V31" i="1" s="1"/>
  <c r="P30" i="1"/>
  <c r="L30" i="1"/>
  <c r="G30" i="1"/>
  <c r="E30" i="1"/>
  <c r="H30" i="1" s="1"/>
  <c r="D30" i="1"/>
  <c r="V30" i="1" s="1"/>
  <c r="H29" i="1"/>
  <c r="M29" i="1" s="1"/>
  <c r="G29" i="1"/>
  <c r="E29" i="1"/>
  <c r="D29" i="1"/>
  <c r="T29" i="1" s="1"/>
  <c r="P28" i="1"/>
  <c r="L28" i="1"/>
  <c r="G28" i="1"/>
  <c r="E28" i="1"/>
  <c r="H28" i="1" s="1"/>
  <c r="D28" i="1"/>
  <c r="V28" i="1" s="1"/>
  <c r="H27" i="1"/>
  <c r="M27" i="1" s="1"/>
  <c r="G27" i="1"/>
  <c r="E27" i="1"/>
  <c r="D27" i="1"/>
  <c r="T27" i="1" s="1"/>
  <c r="P26" i="1"/>
  <c r="L26" i="1"/>
  <c r="G26" i="1"/>
  <c r="E26" i="1"/>
  <c r="H26" i="1" s="1"/>
  <c r="D26" i="1"/>
  <c r="V26" i="1" s="1"/>
  <c r="P25" i="1"/>
  <c r="L25" i="1"/>
  <c r="G25" i="1"/>
  <c r="E25" i="1"/>
  <c r="H25" i="1" s="1"/>
  <c r="D25" i="1"/>
  <c r="V25" i="1" s="1"/>
  <c r="H24" i="1"/>
  <c r="M24" i="1" s="1"/>
  <c r="G24" i="1"/>
  <c r="E24" i="1"/>
  <c r="D24" i="1"/>
  <c r="T24" i="1" s="1"/>
  <c r="L23" i="1"/>
  <c r="G23" i="1"/>
  <c r="E23" i="1"/>
  <c r="H23" i="1" s="1"/>
  <c r="D23" i="1"/>
  <c r="V23" i="1" s="1"/>
  <c r="G22" i="1"/>
  <c r="E22" i="1"/>
  <c r="H22" i="1" s="1"/>
  <c r="D22" i="1"/>
  <c r="V22" i="1" s="1"/>
  <c r="G21" i="1"/>
  <c r="E21" i="1"/>
  <c r="H21" i="1" s="1"/>
  <c r="D21" i="1"/>
  <c r="T21" i="1" s="1"/>
  <c r="T19" i="1"/>
  <c r="P19" i="1"/>
  <c r="L19" i="1"/>
  <c r="H19" i="1"/>
  <c r="W19" i="1" s="1"/>
  <c r="G19" i="1"/>
  <c r="E19" i="1"/>
  <c r="D19" i="1"/>
  <c r="V19" i="1" s="1"/>
  <c r="T18" i="1"/>
  <c r="P18" i="1"/>
  <c r="L18" i="1"/>
  <c r="H18" i="1"/>
  <c r="W18" i="1" s="1"/>
  <c r="G18" i="1"/>
  <c r="E18" i="1"/>
  <c r="D18" i="1"/>
  <c r="V18" i="1" s="1"/>
  <c r="L32" i="1"/>
  <c r="G32" i="1"/>
  <c r="E32" i="1"/>
  <c r="H32" i="1" s="1"/>
  <c r="D32" i="1"/>
  <c r="V32" i="1" s="1"/>
  <c r="L14" i="1"/>
  <c r="G14" i="1"/>
  <c r="E14" i="1"/>
  <c r="H14" i="1" s="1"/>
  <c r="D14" i="1"/>
  <c r="V14" i="1" s="1"/>
  <c r="L13" i="1"/>
  <c r="G13" i="1"/>
  <c r="E13" i="1"/>
  <c r="H13" i="1" s="1"/>
  <c r="D13" i="1"/>
  <c r="V13" i="1" s="1"/>
  <c r="L20" i="1"/>
  <c r="G20" i="1"/>
  <c r="E20" i="1"/>
  <c r="H20" i="1" s="1"/>
  <c r="D20" i="1"/>
  <c r="V20" i="1" s="1"/>
  <c r="G17" i="1"/>
  <c r="E17" i="1"/>
  <c r="H17" i="1" s="1"/>
  <c r="D17" i="1"/>
  <c r="V17" i="1" s="1"/>
  <c r="G16" i="1"/>
  <c r="E16" i="1"/>
  <c r="H16" i="1" s="1"/>
  <c r="D16" i="1"/>
  <c r="T16" i="1" s="1"/>
  <c r="I31" i="5" l="1"/>
  <c r="L31" i="5"/>
  <c r="I33" i="5"/>
  <c r="V33" i="5"/>
  <c r="H25" i="5"/>
  <c r="G31" i="5"/>
  <c r="T36" i="5"/>
  <c r="H33" i="5"/>
  <c r="T33" i="5"/>
  <c r="U33" i="5"/>
  <c r="S33" i="5"/>
  <c r="T34" i="5"/>
  <c r="T35" i="5"/>
  <c r="S35" i="5"/>
  <c r="U35" i="5"/>
  <c r="U36" i="5"/>
  <c r="U31" i="5"/>
  <c r="U32" i="5"/>
  <c r="V34" i="5"/>
  <c r="L34" i="5"/>
  <c r="G34" i="5"/>
  <c r="S34" i="5" s="1"/>
  <c r="K34" i="5"/>
  <c r="T26" i="5"/>
  <c r="S26" i="5"/>
  <c r="V27" i="5"/>
  <c r="L27" i="5"/>
  <c r="G27" i="5"/>
  <c r="S27" i="5" s="1"/>
  <c r="U27" i="5"/>
  <c r="K27" i="5"/>
  <c r="U30" i="5"/>
  <c r="V32" i="5"/>
  <c r="L32" i="5"/>
  <c r="G32" i="5"/>
  <c r="K32" i="5"/>
  <c r="T20" i="5"/>
  <c r="S20" i="5"/>
  <c r="V21" i="5"/>
  <c r="L21" i="5"/>
  <c r="G21" i="5"/>
  <c r="S21" i="5" s="1"/>
  <c r="U21" i="5"/>
  <c r="K21" i="5"/>
  <c r="T24" i="5"/>
  <c r="S24" i="5"/>
  <c r="I29" i="5"/>
  <c r="V30" i="5"/>
  <c r="L30" i="5"/>
  <c r="G30" i="5"/>
  <c r="S30" i="5" s="1"/>
  <c r="K30" i="5"/>
  <c r="S32" i="5"/>
  <c r="H34" i="5"/>
  <c r="H35" i="5"/>
  <c r="I36" i="5"/>
  <c r="T18" i="5"/>
  <c r="S18" i="5"/>
  <c r="K20" i="5"/>
  <c r="T21" i="5"/>
  <c r="H22" i="5"/>
  <c r="V25" i="5"/>
  <c r="L25" i="5"/>
  <c r="G25" i="5"/>
  <c r="U25" i="5"/>
  <c r="K25" i="5"/>
  <c r="S25" i="5"/>
  <c r="H27" i="5"/>
  <c r="T28" i="5"/>
  <c r="S28" i="5"/>
  <c r="V28" i="5"/>
  <c r="V29" i="5"/>
  <c r="L29" i="5"/>
  <c r="G29" i="5"/>
  <c r="S29" i="5" s="1"/>
  <c r="U29" i="5"/>
  <c r="K29" i="5"/>
  <c r="V17" i="5"/>
  <c r="L17" i="5"/>
  <c r="G17" i="5"/>
  <c r="S17" i="5" s="1"/>
  <c r="U17" i="5"/>
  <c r="K17" i="5"/>
  <c r="V20" i="5"/>
  <c r="S31" i="5"/>
  <c r="H32" i="5"/>
  <c r="I34" i="5"/>
  <c r="U34" i="5"/>
  <c r="I35" i="5"/>
  <c r="K35" i="5"/>
  <c r="V36" i="5"/>
  <c r="L36" i="5"/>
  <c r="G36" i="5"/>
  <c r="S36" i="5" s="1"/>
  <c r="K36" i="5"/>
  <c r="T16" i="5"/>
  <c r="S16" i="5"/>
  <c r="I17" i="5"/>
  <c r="V19" i="5"/>
  <c r="L19" i="5"/>
  <c r="G19" i="5"/>
  <c r="S19" i="5" s="1"/>
  <c r="U19" i="5"/>
  <c r="K19" i="5"/>
  <c r="H21" i="5"/>
  <c r="T22" i="5"/>
  <c r="S22" i="5"/>
  <c r="V23" i="5"/>
  <c r="L23" i="5"/>
  <c r="G23" i="5"/>
  <c r="S23" i="5" s="1"/>
  <c r="U23" i="5"/>
  <c r="K23" i="5"/>
  <c r="H26" i="5"/>
  <c r="U26" i="5"/>
  <c r="I27" i="5"/>
  <c r="K28" i="5"/>
  <c r="I31" i="1"/>
  <c r="N31" i="1"/>
  <c r="M21" i="1"/>
  <c r="M31" i="1"/>
  <c r="J31" i="1"/>
  <c r="O31" i="1"/>
  <c r="W30" i="1"/>
  <c r="O30" i="1"/>
  <c r="J30" i="1"/>
  <c r="N30" i="1"/>
  <c r="I30" i="1"/>
  <c r="M30" i="1"/>
  <c r="W26" i="1"/>
  <c r="O26" i="1"/>
  <c r="J26" i="1"/>
  <c r="N26" i="1"/>
  <c r="I26" i="1"/>
  <c r="M26" i="1"/>
  <c r="W28" i="1"/>
  <c r="O28" i="1"/>
  <c r="J28" i="1"/>
  <c r="N28" i="1"/>
  <c r="I28" i="1"/>
  <c r="M28" i="1"/>
  <c r="N27" i="1"/>
  <c r="I29" i="1"/>
  <c r="N29" i="1"/>
  <c r="V29" i="1"/>
  <c r="T26" i="1"/>
  <c r="J27" i="1"/>
  <c r="O27" i="1"/>
  <c r="W27" i="1"/>
  <c r="T28" i="1"/>
  <c r="J29" i="1"/>
  <c r="O29" i="1"/>
  <c r="W29" i="1"/>
  <c r="T30" i="1"/>
  <c r="L27" i="1"/>
  <c r="P27" i="1"/>
  <c r="L29" i="1"/>
  <c r="P29" i="1"/>
  <c r="I27" i="1"/>
  <c r="V27" i="1"/>
  <c r="W25" i="1"/>
  <c r="O25" i="1"/>
  <c r="J25" i="1"/>
  <c r="N25" i="1"/>
  <c r="I25" i="1"/>
  <c r="M25" i="1"/>
  <c r="J24" i="1"/>
  <c r="O24" i="1"/>
  <c r="W24" i="1"/>
  <c r="T25" i="1"/>
  <c r="I24" i="1"/>
  <c r="V24" i="1"/>
  <c r="L24" i="1"/>
  <c r="P24" i="1"/>
  <c r="N24" i="1"/>
  <c r="W23" i="1"/>
  <c r="O23" i="1"/>
  <c r="J23" i="1"/>
  <c r="N23" i="1"/>
  <c r="I23" i="1"/>
  <c r="M23" i="1"/>
  <c r="P23" i="1"/>
  <c r="T23" i="1"/>
  <c r="W22" i="1"/>
  <c r="O22" i="1"/>
  <c r="J22" i="1"/>
  <c r="N22" i="1"/>
  <c r="I22" i="1"/>
  <c r="M22" i="1"/>
  <c r="W32" i="1"/>
  <c r="I21" i="1"/>
  <c r="N21" i="1"/>
  <c r="V21" i="1"/>
  <c r="L22" i="1"/>
  <c r="P22" i="1"/>
  <c r="J21" i="1"/>
  <c r="O21" i="1"/>
  <c r="W21" i="1"/>
  <c r="T22" i="1"/>
  <c r="L21" i="1"/>
  <c r="P21" i="1"/>
  <c r="M19" i="1"/>
  <c r="I19" i="1"/>
  <c r="N19" i="1"/>
  <c r="J19" i="1"/>
  <c r="O19" i="1"/>
  <c r="M18" i="1"/>
  <c r="I18" i="1"/>
  <c r="N18" i="1"/>
  <c r="J18" i="1"/>
  <c r="O18" i="1"/>
  <c r="P32" i="1"/>
  <c r="T32" i="1"/>
  <c r="M32" i="1"/>
  <c r="I32" i="1"/>
  <c r="N32" i="1"/>
  <c r="J32" i="1"/>
  <c r="O32" i="1"/>
  <c r="M16" i="1"/>
  <c r="P14" i="1"/>
  <c r="W14" i="1"/>
  <c r="O14" i="1"/>
  <c r="J14" i="1"/>
  <c r="N14" i="1"/>
  <c r="I14" i="1"/>
  <c r="M14" i="1"/>
  <c r="T14" i="1"/>
  <c r="W13" i="1"/>
  <c r="O13" i="1"/>
  <c r="J13" i="1"/>
  <c r="N13" i="1"/>
  <c r="I13" i="1"/>
  <c r="M13" i="1"/>
  <c r="P13" i="1"/>
  <c r="T13" i="1"/>
  <c r="W20" i="1"/>
  <c r="O20" i="1"/>
  <c r="J20" i="1"/>
  <c r="N20" i="1"/>
  <c r="I20" i="1"/>
  <c r="M20" i="1"/>
  <c r="P20" i="1"/>
  <c r="T20" i="1"/>
  <c r="P17" i="1"/>
  <c r="W17" i="1"/>
  <c r="O17" i="1"/>
  <c r="J17" i="1"/>
  <c r="N17" i="1"/>
  <c r="I17" i="1"/>
  <c r="M17" i="1"/>
  <c r="J16" i="1"/>
  <c r="O16" i="1"/>
  <c r="W16" i="1"/>
  <c r="T17" i="1"/>
  <c r="I16" i="1"/>
  <c r="N16" i="1"/>
  <c r="V16" i="1"/>
  <c r="P16" i="1"/>
  <c r="C41" i="5"/>
  <c r="B41" i="5"/>
  <c r="D41" i="5" s="1"/>
  <c r="D40" i="5"/>
  <c r="T40" i="5" s="1"/>
  <c r="C40" i="5"/>
  <c r="B40" i="5"/>
  <c r="L15" i="1"/>
  <c r="G15" i="1"/>
  <c r="E15" i="1"/>
  <c r="H15" i="1" s="1"/>
  <c r="W15" i="1" s="1"/>
  <c r="D15" i="1"/>
  <c r="V15" i="1" s="1"/>
  <c r="L35" i="1"/>
  <c r="G35" i="1"/>
  <c r="E35" i="1"/>
  <c r="H35" i="1" s="1"/>
  <c r="D35" i="1"/>
  <c r="V35" i="1" s="1"/>
  <c r="P15" i="1" l="1"/>
  <c r="T15" i="1"/>
  <c r="V40" i="5"/>
  <c r="T41" i="5"/>
  <c r="M15" i="1"/>
  <c r="I15" i="1"/>
  <c r="N15" i="1"/>
  <c r="J15" i="1"/>
  <c r="O15" i="1"/>
  <c r="W35" i="1"/>
  <c r="O35" i="1"/>
  <c r="J35" i="1"/>
  <c r="N35" i="1"/>
  <c r="I35" i="1"/>
  <c r="M35" i="1"/>
  <c r="P35" i="1"/>
  <c r="T35" i="1"/>
  <c r="L40" i="5" l="1"/>
  <c r="K40" i="5"/>
  <c r="G40" i="5"/>
  <c r="S40" i="5" s="1"/>
  <c r="I40" i="5"/>
  <c r="U40" i="5"/>
  <c r="H40" i="5"/>
  <c r="C42" i="5"/>
  <c r="B42" i="5"/>
  <c r="D42" i="5" s="1"/>
  <c r="T42" i="5" l="1"/>
  <c r="L34" i="1" l="1"/>
  <c r="G34" i="1"/>
  <c r="E34" i="1"/>
  <c r="H34" i="1" s="1"/>
  <c r="D34" i="1"/>
  <c r="V34" i="1" s="1"/>
  <c r="N34" i="1" l="1"/>
  <c r="I34" i="1"/>
  <c r="M34" i="1"/>
  <c r="W34" i="1"/>
  <c r="O34" i="1"/>
  <c r="J34" i="1"/>
  <c r="P34" i="1"/>
  <c r="T34" i="1"/>
  <c r="Q3" i="1"/>
  <c r="B37" i="5" l="1"/>
  <c r="D37" i="5" s="1"/>
  <c r="C37" i="5"/>
  <c r="B38" i="5"/>
  <c r="D38" i="5" s="1"/>
  <c r="C38" i="5"/>
  <c r="B39" i="5"/>
  <c r="D39" i="5" s="1"/>
  <c r="C39" i="5"/>
  <c r="C15" i="5"/>
  <c r="B15" i="5"/>
  <c r="D15" i="5" s="1"/>
  <c r="T15" i="5" s="1"/>
  <c r="G36" i="1"/>
  <c r="E36" i="1"/>
  <c r="H36" i="1" s="1"/>
  <c r="D36" i="1"/>
  <c r="V36" i="1" s="1"/>
  <c r="L33" i="1"/>
  <c r="G33" i="1"/>
  <c r="E33" i="1"/>
  <c r="H33" i="1" s="1"/>
  <c r="D33" i="1"/>
  <c r="V33" i="1" s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K42" i="5" l="1"/>
  <c r="I42" i="5"/>
  <c r="U42" i="5"/>
  <c r="L42" i="5"/>
  <c r="H42" i="5"/>
  <c r="G42" i="5"/>
  <c r="S42" i="5" s="1"/>
  <c r="V42" i="5"/>
  <c r="I41" i="5"/>
  <c r="G41" i="5"/>
  <c r="S41" i="5" s="1"/>
  <c r="V41" i="5"/>
  <c r="U41" i="5"/>
  <c r="K41" i="5"/>
  <c r="H41" i="5"/>
  <c r="L41" i="5"/>
  <c r="O36" i="1"/>
  <c r="G38" i="5"/>
  <c r="L38" i="5"/>
  <c r="O33" i="1"/>
  <c r="G37" i="5"/>
  <c r="V37" i="5"/>
  <c r="G39" i="5"/>
  <c r="S39" i="5" s="1"/>
  <c r="V39" i="5"/>
  <c r="G15" i="5"/>
  <c r="S15" i="5" s="1"/>
  <c r="V15" i="5"/>
  <c r="P11" i="1"/>
  <c r="I38" i="5"/>
  <c r="H38" i="5"/>
  <c r="I39" i="5"/>
  <c r="H39" i="5"/>
  <c r="H37" i="5"/>
  <c r="I37" i="5"/>
  <c r="L39" i="5"/>
  <c r="U39" i="5"/>
  <c r="U15" i="5"/>
  <c r="T39" i="5"/>
  <c r="K39" i="5"/>
  <c r="H15" i="5"/>
  <c r="I15" i="5"/>
  <c r="K15" i="5"/>
  <c r="L37" i="5"/>
  <c r="L15" i="5"/>
  <c r="V38" i="5"/>
  <c r="P33" i="1"/>
  <c r="V10" i="1"/>
  <c r="T33" i="1"/>
  <c r="P36" i="1"/>
  <c r="T36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33" i="1"/>
  <c r="I36" i="1"/>
  <c r="T12" i="1"/>
  <c r="J33" i="1"/>
  <c r="W33" i="1"/>
  <c r="J36" i="1"/>
  <c r="W36" i="1"/>
  <c r="T11" i="1"/>
  <c r="M33" i="1"/>
  <c r="M36" i="1"/>
  <c r="P10" i="1"/>
  <c r="N33" i="1"/>
  <c r="N36" i="1"/>
  <c r="P9" i="1"/>
  <c r="V9" i="1"/>
  <c r="W9" i="1"/>
  <c r="J9" i="1"/>
  <c r="I9" i="1"/>
  <c r="O9" i="1"/>
  <c r="N9" i="1"/>
  <c r="M9" i="1"/>
  <c r="K38" i="5" l="1"/>
  <c r="U38" i="5"/>
  <c r="T38" i="5"/>
  <c r="S38" i="5"/>
  <c r="U37" i="5"/>
  <c r="K37" i="5"/>
  <c r="T37" i="5"/>
  <c r="S37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38" i="1"/>
  <c r="K12" i="5" l="1"/>
  <c r="H12" i="5"/>
  <c r="V12" i="5"/>
  <c r="T12" i="5"/>
  <c r="U12" i="5"/>
  <c r="I12" i="5"/>
  <c r="L12" i="5"/>
  <c r="S12" i="5"/>
  <c r="R3" i="1" l="1"/>
  <c r="D1" i="1"/>
  <c r="F6" i="1"/>
  <c r="T38" i="1"/>
  <c r="T13" i="5"/>
  <c r="T7" i="1" l="1"/>
  <c r="W38" i="1"/>
  <c r="G6" i="1" l="1"/>
  <c r="I13" i="5"/>
  <c r="V13" i="5"/>
  <c r="H13" i="5"/>
  <c r="U13" i="5"/>
  <c r="S13" i="5"/>
  <c r="K13" i="5"/>
  <c r="L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2" i="1" s="1"/>
  <c r="L9" i="1" l="1"/>
  <c r="L17" i="1"/>
  <c r="L16" i="1"/>
  <c r="L11" i="1"/>
  <c r="L10" i="1"/>
  <c r="L36" i="1"/>
  <c r="C7" i="1"/>
  <c r="I38" i="1"/>
  <c r="P38" i="1"/>
  <c r="J38" i="1"/>
  <c r="N38" i="1"/>
  <c r="O38" i="1"/>
  <c r="Q7" i="1" l="1"/>
  <c r="M58" i="3" s="1"/>
  <c r="L7" i="1"/>
  <c r="G58" i="3" s="1"/>
  <c r="K58" i="3"/>
  <c r="J58" i="3"/>
  <c r="K38" i="1"/>
  <c r="M38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<sst xmlns="http://schemas.openxmlformats.org/spreadsheetml/2006/main" count="518" uniqueCount="356">
  <si>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</si>
  <si>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</si>
  <si>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</si>
  <si>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</si>
  <si>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</si>
  <si>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</si>
  <si>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</si>
  <si>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</si>
  <si>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</si>
  <si>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</si>
  <si>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</si>
  <si>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</si>
  <si>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</si>
  <si>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</si>
  <si>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</si>
  <si>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</si>
  <si>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</si>
  <si>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</si>
  <si>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</si>
  <si>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</si>
  <si>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</si>
  <si>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</si>
  <si>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</si>
  <si>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</si>
  <si>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</si>
  <si>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</si>
  <si>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</si>
  <si>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</si>
  <si>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</si>
  <si>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</si>
  <si>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</si>
  <si>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</si>
  <si>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</si>
  <si>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</si>
  <si>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</si>
  <si>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</si>
  <si>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</si>
  <si>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</si>
  <si>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</si>
  <si>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</si>
  <si>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</si>
  <si>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</si>
  <si>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</si>
  <si>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</si>
  <si>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</si>
  <si>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</si>
  <si>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</si>
  <si>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</si>
  <si>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</si>
  <si>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</si>
  <si>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</si>
  <si>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</si>
  <si>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</si>
  <si>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</si>
  <si>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</si>
  <si>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</si>
  <si>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</si>
  <si>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</si>
  <si>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</si>
  <si>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</si>
  <si>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</si>
  <si>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</si>
  <si>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</si>
  <si>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</si>
  <si>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</si>
  <si>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</si>
  <si>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</si>
  <si>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</si>
  <si>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</si>
  <si>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</si>
  <si>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</si>
  <si>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</si>
  <si>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</si>
  <si>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</si>
  <si>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</si>
  <si>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</si>
  <si>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</si>
  <si>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</si>
  <si>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</si>
  <si>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</si>
  <si>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</si>
  <si>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</si>
  <si>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</si>
  <si>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</si>
  <si>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</si>
  <si>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</si>
  <si>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</si>
  <si>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</si>
  <si>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</si>
  <si>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</si>
  <si>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</si>
  <si>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</si>
  <si>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</si>
  <si>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</si>
  <si>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</si>
  <si>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</si>
  <si>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</si>
  <si>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</si>
  <si>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</si>
  <si>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</si>
  <si>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</si>
  <si>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</si>
  <si>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</si>
  <si>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</si>
  <si>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</si>
  <si>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</si>
  <si>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</si>
  <si>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</si>
  <si>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</si>
  <si>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</si>
  <si>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</si>
  <si>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</si>
  <si>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</si>
  <si>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</si>
  <si>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</si>
  <si>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</si>
  <si>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</si>
  <si>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</si>
  <si>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</si>
  <si>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</si>
  <si>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</si>
  <si>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</si>
  <si>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</si>
  <si>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</si>
  <si>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</si>
  <si>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</si>
  <si>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</si>
  <si>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</si>
  <si>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</si>
  <si>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</si>
  <si>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</si>
  <si>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</si>
  <si>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</si>
  <si>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</si>
  <si>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</si>
  <si>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</si>
  <si>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</si>
  <si>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</si>
  <si>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</si>
  <si>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</si>
  <si>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</si>
  <si>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</si>
  <si>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</si>
  <si>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</si>
  <si>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</si>
  <si>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</si>
  <si>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</si>
  <si>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</si>
  <si>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</si>
  <si>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</si>
  <si>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</si>
  <si>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</si>
  <si>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</si>
  <si>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</si>
  <si>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</si>
  <si>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</si>
  <si>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</si>
  <si>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</si>
  <si>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</si>
  <si>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</si>
  <si>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</si>
  <si>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</si>
  <si>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</si>
  <si>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</si>
  <si>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</si>
  <si>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</si>
  <si>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</si>
  <si>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</si>
  <si>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</si>
  <si>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</si>
  <si>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</si>
  <si>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</si>
  <si>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</si>
  <si>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</si>
  <si>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</si>
  <si>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</si>
  <si>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</si>
  <si>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</si>
  <si>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</si>
  <si>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</si>
  <si>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</si>
  <si>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</si>
  <si>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</si>
  <si>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</si>
  <si>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</si>
  <si>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</si>
  <si>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</si>
  <si>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</si>
  <si>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</si>
  <si>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</si>
  <si>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</si>
  <si>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</si>
  <si>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</si>
  <si>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</si>
  <si>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</si>
  <si>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</si>
  <si>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</si>
  <si>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</si>
  <si>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</si>
  <si>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</si>
  <si>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</si>
  <si>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</si>
  <si>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</si>
  <si>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</si>
  <si>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</si>
  <si>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</si>
  <si>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</si>
  <si>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</si>
  <si>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</si>
  <si>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</si>
  <si>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</si>
  <si>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</si>
  <si>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</si>
  <si>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</si>
  <si>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</si>
  <si>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</si>
  <si>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</si>
  <si>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</si>
  <si>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</si>
  <si>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</si>
  <si>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</si>
  <si>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</si>
  <si>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</si>
  <si>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</si>
  <si>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</si>
  <si>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</si>
  <si>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</si>
  <si>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</si>
  <si>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</si>
  <si>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</si>
  <si>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</si>
  <si>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</si>
  <si>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</si>
  <si>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</si>
  <si>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</si>
  <si>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</si>
  <si>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</si>
  <si>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</si>
  <si>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</si>
  <si>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</si>
  <si>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</si>
  <si>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</si>
  <si>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</si>
  <si>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</si>
  <si>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</si>
  <si>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</si>
  <si>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</si>
  <si>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</si>
  <si>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</si>
  <si>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</si>
  <si>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</si>
  <si>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</si>
  <si>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</si>
  <si>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</si>
  <si>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</si>
  <si>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</si>
  <si>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</si>
  <si>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</si>
  <si>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</si>
  <si>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</si>
  <si>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</si>
  <si>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</si>
  <si>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</si>
  <si>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</si>
  <si>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</si>
  <si>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</si>
  <si>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</si>
  <si>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</si>
  <si>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</si>
  <si>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</si>
  <si>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</si>
  <si>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</si>
  <si>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</si>
  <si>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</si>
  <si>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</si>
  <si>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</si>
  <si>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</si>
  <si>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</si>
  <si>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</si>
  <si>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</si>
  <si>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</si>
  <si>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</si>
  <si>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</si>
  <si>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</si>
  <si>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</si>
  <si>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</si>
  <si>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</si>
  <si>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</si>
  <si>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</si>
  <si>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</si>
  <si>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</si>
  <si>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</si>
  <si>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</si>
  <si>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</si>
  <si>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</si>
  <si>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</si>
  <si>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</si>
  <si>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</si>
  <si>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</si>
  <si>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</si>
  <si>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</si>
  <si>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</si>
  <si>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</si>
  <si>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</si>
  <si>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</si>
  <si>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</si>
  <si>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</si>
  <si>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</si>
  <si>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</si>
  <si>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</si>
  <si>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</si>
  <si>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</si>
  <si>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</si>
  <si>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</si>
  <si>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</si>
  <si>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</si>
  <si>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</si>
  <si>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</si>
  <si>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</si>
  <si>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</si>
  <si>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</si>
  <si>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</si>
  <si>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</si>
  <si>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</si>
  <si>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</si>
  <si>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LogA.Bp2</t>
  </si>
  <si>
    <t>WORKING_DATE</t>
  </si>
  <si>
    <t>SHIFT</t>
  </si>
  <si>
    <t>NO_IN_SHIFT</t>
  </si>
  <si>
    <t>START_DATETIME</t>
  </si>
  <si>
    <t>FINISH_DATETIME</t>
  </si>
  <si>
    <t>datetime2(7)</t>
  </si>
  <si>
    <t>STATUS</t>
  </si>
  <si>
    <t>NEWTAKT_DATETIME</t>
  </si>
  <si>
    <t>LgaBp2ProgressDetails</t>
  </si>
  <si>
    <t>ProgressDetails</t>
  </si>
  <si>
    <t>PART_NO</t>
  </si>
  <si>
    <t>PART_LIST_ID</t>
  </si>
  <si>
    <t>SORTING</t>
  </si>
  <si>
    <t>PROGRESS_ID</t>
  </si>
  <si>
    <t>ECAR_ID</t>
  </si>
  <si>
    <t>SHORT_NAME</t>
  </si>
  <si>
    <t>ADDRESS</t>
  </si>
  <si>
    <t>TYPE</t>
  </si>
  <si>
    <t>BODY_NO</t>
  </si>
  <si>
    <t>LOT_NO</t>
  </si>
  <si>
    <t>NO_IN_LOT</t>
  </si>
  <si>
    <t>GRADE</t>
  </si>
  <si>
    <t>MODEL</t>
  </si>
  <si>
    <t>BODY_NO_2</t>
  </si>
  <si>
    <t>LOT_NO_2</t>
  </si>
  <si>
    <t>NO_IN_LOT_2</t>
  </si>
  <si>
    <t>GRADE_2</t>
  </si>
  <si>
    <t>MODEL_2</t>
  </si>
  <si>
    <t>ADDRESS_2</t>
  </si>
  <si>
    <t>LA Big Part 2x2 Progress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</si>
</sst>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workbookViewId="0">
      <selection activeCell="C48" sqref="C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vovina.LogA.Bp2
{
	[Table("LgaBp2ProgressDetails")]
	[Index(nameof(ProdLine), Name="IX_LgaBp2ProgressDetails_ProdLine")]
	[Index(nameof(WorkingDate), Name="IX_LgaBp2ProgressDetails_WorkingDate")]
	[Index(nameof(Shift), Name="IX_LgaBp2ProgressDetails_Shift")]
	[Index(nameof(NoInShift), Name="IX_LgaBp2ProgressDetails_NoInShift")]
	[Index(nameof(IsActive), Name="IX_LgaBp2ProgressDetails_IsActive")]	public class LgaBp2ProgressDetails: FullAuditedEntity&lt;long&gt;, IEntity&lt;long&gt;	
	{
		public const int MaxProdLineLength = 50;
		public const int MaxShiftLength = 50;
		public const int MaxPartNoLength = 50;
		public const int MaxShortNameLength = 50;
		public const int MaxAddressLength = 50;
		public const int MaxTypeLength = 50;
		public const int MaxBodyNoLength = 50;
		public const int MaxLotNoLength = 50;
		public const int MaxGradeLength = 50;
		public const int MaxModelLength = 50;
		public const int MaxBodyNo2Length = 50;
		public const int MaxLotNo2Length = 50;
		public const int MaxGrade2Length = 50;
		public const int MaxModel2Length = 50;
		public const int MaxAddress2Length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long ProgressId { get; set; }
		public virtual long EcarId { get; set; }
		public virtual long PartListId { get; set; }
		[StringLength(MaxPartNoLength)]
		public virtual string PartNo { get; set; }
		[StringLength(MaxShortNameLength)]
		public virtual string ShortName { get; set; }
		[StringLength(MaxAddressLength)]
		public virtual string Address { get; set; }
		[StringLength(MaxTypeLength)]
		public virtual string Type { get; set; }
		public virtual int Sorting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[StringLength(MaxBodyNo2Length)]
		public virtual string BodyNo2 { get; set; }
		[StringLength(MaxLotNo2Length)]
		public virtual string LotNo2 { get; set; }
		public virtual int NoInLot2 { get; set; }
		[StringLength(MaxGrade2Length)]
		public virtual string Grade2 { get; set; }
		[StringLength(MaxModel2Length)]
		public virtual string Model2 { get; set; }
		[StringLength(MaxAddress2Length)]
		public virtual string Address2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D58" s="51" t="str">
        <f>A.Backend!O7</f>
        <v xml:space="preserve">		public const string Pages_LogA_Bp2_ProgressDetails = "Pages.LogA.Bp2.ProgressDetails";
		public const string Pages_LogA_Bp2_ProgressDetails_CreateEdit = "Pages.LogA.Bp2.ProgressDetails.CreateEdit";
		public const string Pages_LogA_Bp2_ProgressDetails_Delete = "Pages.LogA.Bp2.ProgressDetails.Delete";
</v>
      </c>
      <c r="E58" s="51" t="str">
        <f>A.Backend!N7</f>
        <v xml:space="preserve">		var perLgaBp2ProgressDetails = PARENTS.CreateChildPermission(AppPermissions.Pages_LogA_Bp2_ProgressDetails, L( "LogABp2ProgressDetails"), multiTenancySides: MultiTenancySides.Tenant);
		perLgaBp2ProgressDetails.CreateChildPermission(AppPermissions.Pages_LogA_Bp2_ProgressDetails_CreateEdit, L( "LogABp2ProgressDetailsCreateEdit"), multiTenancySides: MultiTenancySides.Tenant);
		perLgaBp2ProgressDetails.CreateChildPermission(AppPermissions.Pages_LogA_Bp2_ProgressDetails_Delete, L( "LogABp2ProgressDetailsDelete"), multiTenancySides: MultiTenancySides.Tenant);</v>
      </c>
      <c r="F58" s="51" t="str">
        <f>A.Backend!K7</f>
        <v>public virtual DbSet&lt;LgaBp2ProgressDetails&gt; LgaBp2ProgressDetailss { get; set; }</v>
      </c>
      <c r="G58" s="51" t="str">
        <f ca="1">A.Backend!L7</f>
        <v xml:space="preserve">namespace vovina.LogA.Bp2
{
	public class LgaBp2ProgressDetailsConsts	
	{
		public const int MaxProdLineLength = 50;
		public const int MaxShiftLength = 50;
		public const int MaxPartNoLength = 50;
		public const int MaxShortNameLength = 50;
		public const int MaxAddressLength = 50;
		public const int MaxTypeLength = 50;
		public const int MaxBodyNoLength = 50;
		public const int MaxLotNoLength = 50;
		public const int MaxGradeLength = 50;
		public const int MaxModelLength = 50;
		public const int MaxBodyNo2Length = 50;
		public const int MaxLotNo2Length = 50;
		public const int MaxGrade2Length = 50;
		public const int MaxModel2Length = 50;
		public const int MaxAddress2Length = 50;
		public const int MaxStatusLength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vovina.LogA.Bp2.Dto
{
	public class LgaBp2ProgressDetailsDto : EntityDto&lt;long?&gt;	
	{
		public virtual string ProdLine { get; set; }
		public virtual DateTime? WorkingDate { get; set; }
		public virtual string Shift { get; set; }
		public virtual int NoInShift { get; set; }
		public virtual long ProgressId { get; set; }
		public virtual long EcarId { get; set; }
		public virtual long PartListId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CreateOrEditLgaBp2ProgressDetailsDto : EntityDto&lt;long?&gt;	
	{
		[StringLength(LgaBp2ProgressDetailsConsts.MaxProdLineLength)]
		public virtual string ProdLine { get; set; }
		public virtual DateTime? WorkingDate { get; set; }
		[StringLength(LgaBp2ProgressDetailsConsts.MaxShiftLength)]
		public virtual string Shift { get; set; }
		public virtual int NoInShift { get; set; }
		public virtual long ProgressId { get; set; }
		public virtual long EcarId { get; set; }
		public virtual long PartListId { get; set; }
		[StringLength(LgaBp2ProgressDetailsConsts.MaxPartNoLength)]
		public virtual string PartNo { get; set; }
		[StringLength(LgaBp2ProgressDetailsConsts.MaxShortNameLength)]
		public virtual string ShortName { get; set; }
		[StringLength(LgaBp2ProgressDetailsConsts.MaxAddressLength)]
		public virtual string Address { get; set; }
		[StringLength(LgaBp2ProgressDetailsConsts.MaxTypeLength)]
		public virtual string Type { get; set; }
		public virtual int Sorting { get; set; }
		[StringLength(LgaBp2ProgressDetailsConsts.MaxBodyNoLength)]
		public virtual string BodyNo { get; set; }
		[StringLength(LgaBp2ProgressDetailsConsts.MaxLotNoLength)]
		public virtual string LotNo { get; set; }
		public virtual int NoInLot { get; set; }
		[StringLength(LgaBp2ProgressDetailsConsts.MaxGradeLength)]
		public virtual string Grade { get; set; }
		[StringLength(LgaBp2ProgressDetailsConsts.MaxModelLength)]
		public virtual string Model { get; set; }
		[StringLength(LgaBp2ProgressDetailsConsts.MaxBodyNo2Length)]
		public virtual string BodyNo2 { get; set; }
		[StringLength(LgaBp2ProgressDetailsConsts.MaxLotNo2Length)]
		public virtual string LotNo2 { get; set; }
		public virtual int NoInLot2 { get; set; }
		[StringLength(LgaBp2ProgressDetailsConsts.MaxGrade2Length)]
		public virtual string Grade2 { get; set; }
		[StringLength(LgaBp2ProgressDetailsConsts.MaxModel2Length)]
		public virtual string Model2 { get; set; }
		[StringLength(LgaBp2ProgressDetailsConsts.MaxAddress2Length)]
		public virtual string Address2 { get; set; }
		public virtual DateTime? NewtaktDatetime { get; set; }
		public virtual DateTime? StartDatetime { get; set; }
		public virtual DateTime? FinishDatetime { get; set; }
		[StringLength(LgaBp2ProgressDetailsConsts.MaxStatusLength)]
		public virtual string Status { get; set; }
		[StringLength(LgaBp2ProgressDetailsConsts.MaxIsActiveLength)]
		public virtual string IsActive { get; set; }
	}
	public class GetLgaBp2ProgressDetailsInput : PagedAndSortedResultRequestDto	
	{
		public virtual string ProdLine { get; set; }
		public virtual DateTime? WorkingDate { get; set; }
		public virtual string Shift { get; set; }
		public virtual int NoInShift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vovina.LogA.Bp2.Dto
{
	public class LgaBp2ProgressDetailsExportInput{
		public virtual string ProdLine { get; set; }
		public virtual DateTime? WorkingDate { get; set; }
		public virtual string Shift { get; set; }
		public virtual int NoInShift { get; set; }
		public virtual long ProgressId { get; set; }
		public virtual long EcarId { get; set; }
		public virtual long PartListId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vovina.LogA.Bp2.Dto;
namespace vovina.LogA.Bp2
{
	public interface ILgaBp2ProgressDetailsAppService : IApplicationService
	{
		Task&lt;PagedResultDto&lt;LgaBp2ProgressDetailsDto&gt;&gt; GetAll(GetLgaBp2ProgressDetailsInput input);
		Task CreateOrEdit(CreateOrEditLgaBp2ProgressDetailsDto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vovina.LogA.Bp2.Dto;
namespace vovina.LogA.Bp2.Exporting
{
	public interface ILgaBp2ProgressDetailsExcelExporter : IApplicationService
	{
		FileDto ExportToFile(List&lt;LgaBp2ProgressDetailsDto&gt; lgabp2progressdetails);
	}
}
</v>
      </c>
      <c r="L58" s="51" t="str">
        <f ca="1">A.Backend!T7</f>
        <v>using System.Collections.Generic;
using vovina.DataExporting.Excel.NPOI;
using vovina.Dto;
using vovina.LogA.Bp2.Exporting;
using vovina.LogA.Bp2.Dto;
using vovina.Storage;
using vovina.LogA.Bp2.Dto;
namespace vovina.LogA.Bp2.Exporting
{
    public class LgaBp2ProgressDetailsExcelExporter : NpoiExcelExporterBase, ILgaBp2ProgressDetailsExcelExporter
    {
        public LgaBp2ProgressDetailsExcelExporter(ITempFileCacheManager tempFileCacheManager) : base(tempFileCacheManager) { }
        public FileDto ExportToFile(List&lt;LgaBp2ProgressDetailsDto&gt; progressdetails)
        {
            return CreateExcelPackage(
				"LogABp2ProgressDetails.xlsx",
				excelPackage =&gt;
				 {
					var sheet = excelPackage.CreateSheet("ProgressDetails");
					AddHeader(
								sheet,
								("ProdLine"),
								("WorkingDate"),
								("Shift"),
								("NoInShift"),
								("ProgressId"),
								("EcarId"),
								("PartListId"),
								("PartNo"),
								("ShortName"),
								("Address"),
								("Type"),
								("Sorting"),
								("BodyNo"),
								("LotNo"),
								("NoInLot"),
								("Grade"),
								("Model"),
								("BodyNo2"),
								("LotNo2"),
								("NoInLot2"),
								("Grade2"),
								("Model2"),
								("Address2"),
								("NewtaktDatetime"),
								("StartDatetime"),
								("FinishDatetime"),
								("Status"),
								("IsActive"),
							   );
					AddObjects(
						 sheet, 1, progressdetails,                                       
								_ =&gt; _.ProdLine,
								_ =&gt; _.WorkingDate,
								_ =&gt; _.Shift,
								_ =&gt; _.NoInShift,
								_ =&gt; _.ProgressId,
								_ =&gt; _.EcarId,
								_ =&gt; _.PartListId,
								_ =&gt; _.PartNo,
								_ =&gt; _.ShortName,
								_ =&gt; _.Address,
								_ =&gt; _.Type,
								_ =&gt; _.Sorting,
								_ =&gt; _.BodyNo,
								_ =&gt; _.LotNo,
								_ =&gt; _.NoInLot,
								_ =&gt; _.Grade,
								_ =&gt; _.Model,
								_ =&gt; _.BodyNo2,
								_ =&gt; _.LotNo2,
								_ =&gt; _.NoInLot2,
								_ =&gt; _.Grade2,
								_ =&gt; _.Model2,
								_ =&gt; _.Address2,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vovina.LogA.Bp2.Dto;
using vovina.LogA.Bp2.Exporting;
namespace vovina.LogA.Bp2
{
    [AbpAuthorize(AppPermissions.Pages_LogA_Bp2_ProgressDetails)]
    public class LgaBp2ProgressDetailsAppService : vovinaAppServiceBase, ILgaBp2ProgressDetailsAppService
    {
        private readonly IDapperRepository&lt;LgaBp2ProgressDetails, long&gt; _dapperRepo;
        private readonly IRepository&lt;LgaBp2ProgressDetails, long&gt; _repo;
        private readonly ILgaBp2ProgressDetailsExcelExporter _calendarListExcelExporter;
        public LgaBp2ProgressDetailsAppService(IRepository&lt;LgaBp2ProgressDetails,long&gt; repo, 
                                         IDapperRepository&lt;LgaBp2ProgressDetails,long&gt; dapperRepo,
                                        ILgaBp2ProgressDetailsExcelExporter calendarListExcelExporter
            )
        {
            _repo = repo;
            _dapperRepo = dapperRepo;
            _calendarListExcelExporter = calendarListExcelExporter;
        }
        [AbpAuthorize(AppPermissions.Pages_LogA_Bp2_ProgressDetails_CreateEdit)]
        public async Task CreateOrEdit(CreateOrEditLgaBp2ProgressDetailsDto input)
        {
            if (input.Id == null) await Create(input);
            else await Update(input);
        }
        //CREATE
        private async Task Create(CreateOrEditLgaBp2ProgressDetailsDto input)
        {          
            var mainObj = ObjectMapper.Map&lt;LgaBp2ProgressDetails&gt;(input);
            await CurrentUnitOfWork.GetDbContext&lt;vovinaDbContext&gt;().AddAsync(mainObj);
        }
        // EDIT
        private async Task Update(CreateOrEditLgaBp2ProgressDetailsDto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[AbpAuthorize(AppPermissions.Pages_LogA_Bp2_ProgressDetails_Delete)]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Task&lt;PagedResultDto&lt;LgaBp2ProgressDetailsDto&gt;&gt; GetAll(GetLgaBp2ProgressDetailsInput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.WhereIf(!string.IsNullOrWhiteSpace(input.ShortName), e =&gt; e.ShortName.Contains(input.ShortName))
				.WhereIf(!string.IsNullOrWhiteSpace(input.Address), e =&gt; e.Address.Contains(input.Address))
				.WhereIf(!string.IsNullOrWhiteSpace(input.Type), e =&gt; e.Type.Contains(input.Type))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.WhereIf(!string.IsNullOrWhiteSpace(input.BodyNo2), e =&gt; e.BodyNo2.Contains(input.BodyNo2))
				.WhereIf(!string.IsNullOrWhiteSpace(input.LotNo2), e =&gt; e.LotNo2.Contains(input.LotNo2))
				.WhereIf(!string.IsNullOrWhiteSpace(input.Grade2), e =&gt; e.Grade2.Contains(input.Grade2))
				.WhereIf(!string.IsNullOrWhiteSpace(input.Model2), e =&gt; e.Model2.Contains(input.Model2))
				.WhereIf(!string.IsNullOrWhiteSpace(input.Address2), e =&gt; e.Address2.Contains(input.Address2))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LgaBp2ProgressDetailsDto
                        {
							Id = o.Id,
							ProdLine = o.ProdLine,
							WorkingDate = o.WorkingDate,
							Shift = o.Shift,
							NoInShift = o.NoInShift,
							ProgressId = o.ProgressId,
							EcarId = o.EcarId,
							PartListId = o.PartListId,
							PartNo = o.PartNo,
							ShortName = o.ShortName,
							Address = o.Address,
							Type = o.Type,
							Sorting = o.Sorting,
							BodyNo = o.BodyNo,
							LotNo = o.LotNo,
							NoInLot = o.NoInLot,
							Grade = o.Grade,
							Model = o.Model,
							BodyNo2 = o.BodyNo2,
							LotNo2 = o.LotNo2,
							NoInLot2 = o.NoInLot2,
							Grade2 = o.Grade2,
							Model2 = o.Model2,
							Address2 = o.Address2,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PagedResultDto&lt;LgaBp2ProgressDetailsDto&gt;(
                totalCount,
                 await paged.ToListAsync()
            );
        }
        public async Task&lt;FileDto&gt; GetProgressDetailsToExcel(LgaBp2ProgressDetailsExportInput input)
        {
            var query = from o in _repo.GetAll()
                        select new LgaBp2ProgressDetailsDto
                        {
							Id = o.Id,
							ProdLine = o.ProdLine,
							WorkingDate = o.WorkingDate,
							Shift = o.Shift,
							NoInShift = o.NoInShift,
							ProgressId = o.ProgressId,
							EcarId = o.EcarId,
							PartListId = o.PartListId,
							PartNo = o.PartNo,
							ShortName = o.ShortName,
							Address = o.Address,
							Type = o.Type,
							Sorting = o.Sorting,
							BodyNo = o.BodyNo,
							LotNo = o.LotNo,
							NoInLot = o.NoInLot,
							Grade = o.Grade,
							Model = o.Model,
							BodyNo2 = o.BodyNo2,
							LotNo2 = o.LotNo2,
							NoInLot2 = o.NoInLot2,
							Grade2 = o.Grade2,
							Model2 = o.Model2,
							Address2 = o.Address2,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_dapperRepo.ExecuteAsync(LgaBp2ProgressDetailsConsts.SP_MST_WPT_CALENDAR_GENERATE);
       // }
    }
}</v>
      </c>
      <c r="N58" s="62" t="str">
        <f>A.Backend!U7</f>
        <v xml:space="preserve">  configuration.CreateMap&lt;LgaBp2ProgressDetailsDto, LgaBp2ProgressDetails&gt;();
  configuration.CreateMap&lt;LgaBp2ProgressDetails, LgaBp2ProgressDetailsDto&gt;();
  configuration.CreateMap&lt;CreateOrEditLgaBp2ProgressDetailsDto, LgaBp2ProgressDetails&gt;();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progressdetails</v>
      </c>
      <c r="C63" s="72" t="str">
        <f>"create folder " &amp;B63</f>
        <v>create folder progressdetails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progressdetails.component.ts</v>
      </c>
      <c r="D64" s="31" t="str">
        <f>B.Frontend!I14</f>
        <v>progressdetails.component.html</v>
      </c>
      <c r="E64" s="31" t="str">
        <f>B.Frontend!J14</f>
        <v>progressdetails.component.less</v>
      </c>
      <c r="F64" s="31" t="str">
        <f>B.Frontend!K14</f>
        <v>create-or-edit-progressdetails-modal.component.html</v>
      </c>
      <c r="G64" s="31" t="str">
        <f>B.Frontend!L14</f>
        <v>create-or-edit-progressdetails-modal.component.ts</v>
      </c>
      <c r="H64" s="31" t="str">
        <f>B.Frontend!M14</f>
        <v>create-or-edit-progressdetails-modal.component.less</v>
      </c>
      <c r="I64" s="31" t="str">
        <f>B.Frontend!N14</f>
        <v>progressdetails.module.ts</v>
      </c>
      <c r="J64" s="31" t="str">
        <f>B.Frontend!O14</f>
        <v>progressdetails-routing.module.ts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LgaBp2ProgressDetailsDto, LgaBp2ProgressDetailsServiceProxy } from '@shared/service-proxies/service-proxies';
import { finalize } from 'rxjs/internal/operators/finalize';
import { CreateOrEditProgressDetailsModalComponent } from './create-or-edit-progressdetails-modal.component';
import { DatePipe } from '@angular/common';
import { FileDownloadService } from '@shared/utils/file-download.service';
import ceil from 'lodash-es/ceil';
import { Paginator } from 'primeng/paginator';
@Component({
    templateUrl: './progressdetails.component.html',
    styleUrls: ['./progressdetails.component.less'],
})
export class ProgressDetailsComponent extends AppComponentBase implements OnInit {
    @ViewChild('createOrEditModalProgressDetails', { static: true }) createOrEditModalProgressDetails:| CreateOrEditProgressDetailsModalComponent|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LgaBp2ProgressDetailsDto = new LgaBp2ProgressDetailsDto();
    saveSelectedRow: LgaBp2ProgressDetailsDto = new LgaBp2ProgressDetailsDto();
    datas: LgaBp2ProgressDetailsDto = new LgaBp2ProgressDetailsDto();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progressId
	ecarId
	partListId
	partNo : string = '' ; 
	shortName : string = '' ; 
	address : string = '' ; 
	type : string = '' ; 
	sorting : number = 0 ;
	bodyNo : string = '' ; 
	lotNo : string = '' ; 
	noInLot : number = 0 ;
	grade : string = '' ; 
	model : string = '' ; 
	bodyNo2 : string = '' ; 
	lotNo2 : string = '' ; 
	noInLot2 : number = 0 ;
	grade2 : string = '' ; 
	model2 : string = '' ; 
	address2 : string = '' ; 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LgaBp2ProgressDetailsServiceProxy,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this.l('Progress Id'),headerTooltip: this.l('Progress Id'),field: 'progressId',flex: 1},
			{headerName: this.l('Ecar Id'),headerTooltip: this.l('Ecar Id'),field: 'ecarId',flex: 1},
			{headerName: this.l('Part List Id'),headerTooltip: this.l('Part List Id'),field: 'partListId',flex: 1},
			{headerName: this.l('Part No'),headerTooltip: this.l('Part No'),field: 'partNo',flex: 1},
			{headerName: this.l('Short Name'),headerTooltip: this.l('Short Name'),field: 'shortName',flex: 1},
			{headerName: this.l('Address'),headerTooltip: this.l('Address'),field: 'address',flex: 1},
			{headerName: this.l('Type'),headerTooltip: this.l('Type'),field: 'type',flex: 1},
			{headerName: this.l('Sorting'),headerTooltip: this.l('Sorting'),field: 'sorting',flex: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No 2'),headerTooltip: this.l('Body No 2'),field: 'bodyNo2',flex: 1},
			{headerName: this.l('Lot No 2'),headerTooltip: this.l('Lot No 2'),field: 'lotNo2',flex: 1},
			{headerName: this.l('No In Lot 2'),headerTooltip: this.l('No In Lot 2'),field: 'noInLot2',flex: 1},
			{headerName: this.l('Grade 2'),headerTooltip: this.l('Grade 2'),field: 'grade2',flex: 1},
			{headerName: this.l('Model 2'),headerTooltip: this.l('Model 2'),field: 'model2',flex: 1},
			{headerName: this.l('Address 2'),headerTooltip: this.l('Address 2'),field: 'address2',flex: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this.progressId = '',
		this.ecarId = '',
		this.partListId = '',
		this.partNo = '',
		this.shortName = '',
		this.address = '',
		this.type = '',
		this.sorting = 0,
		this.bodyNo = '',
		this.lotNo = '',
		this.noInLot = 0,
		this.grade = '',
		this.model = '',
		this.bodyNo2 = '',
		this.lotNo2 = '',
		this.noInLot2 = 0,
		this.grade2 = '',
		this.model2 = '',
		this.address2 = '',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LgaBp2ProgressDetailsDto[] } }) {
        this.saveSelectedRow = params.api.getSelectedRows()[0] ?? new LgaBp2ProgressDetailsDto();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LgaBp2ProgressDetailsDto):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this._service.getProgressDetailsToExcel(
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Progress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[(ngModel)]='bodyNo2' name='bodyNo2'
									class='form-control' [placeholder]="l('Body No 2')"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[(ngModel)]='grade2' name='grade2'
									class='form-control' [placeholder]="l('Grade 2')"
									type='text' (keyup.enter)='searchDatas()'&gt;
								&lt;/div&gt;
								&lt;div class='input-search'&gt;
									&lt;input [(ngModel)]='model2' name='model2'
									class='form-control' [placeholder]="l('Model 2')"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&lt;create-or-edit-progressdetails-modal
    #createOrEditModalProgressDetails
    (modalSave)="callBackDataGrid(dataParams)"
    (modalClose)="onChangeRowSelection(dataParams)"
&gt;
&lt;/create-or-edit-progressdetails-modal&gt;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#createOrEditModalProgressDetails="bs-modal"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ProgressDetails')}}&lt;/h3&gt;
                    &lt;h3 *ngIf="!rowdata.id"&gt;{{('Create New ProgressDetails')}}&lt;/h3&gt;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No 2&lt;/label&gt;
						&lt;input type='text' class='col-md-10 form-control input-text' name='BodyNo2' [(ngModel)]='rowdata.bodyNo2'&gt;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title'&gt;No In Lot 2&lt;/label&gt;
						&lt;input type='number' class='col-md-10 form-control input-text' name='NoInLot2' [(ngModel)]='rowdata.noInLot2'&gt;
					&lt;/div&gt;
					&lt;div class='col-md-12 form-group row'&gt;
						&lt;label class='col-md-2 form-control title'&gt;Grade 2&lt;/label&gt;
						&lt;input type='text' class='col-md-10 form-control input-text' name='Grade2' [(ngModel)]='rowdata.grade2'&gt;
					&lt;/div&gt;
					&lt;div class='col-md-12 form-group row'&gt;
						&lt;label class='col-md-2 form-control title'&gt;Model 2&lt;/label&gt;
						&lt;input type='text' class='col-md-10 form-control input-text' name='Model2' [(ngModel)]='rowdata.model2'&gt;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CreateOrEditLgaBp2ProgressDetailsDto, LgaBp2ProgressDetailsServiceProxy } from '@shared/service-proxies/service-proxies';
import { BsDatepickerDirective } from 'ngx-bootstrap/datepicker';
@Component({
    selector: 'create-or-edit-progressdetails-modal',
    templateUrl: './create-or-edit-progressdetails-modal.component.html',
    styleUrls: ['./create-or-edit-progressdetails-modal.component.less']
    })
export class CreateOrEditProgressDetailsModalComponent extends AppComponentBase {
    @ViewChild('createOrEditModalProgressDetails',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CreateOrEditLgaBp2ProgressDetailsDto = new CreateOrEditLgaBp2ProgressDetailsDto();
    active: boolean = false;
    saving: boolean = false;
    _isActive: boolean;
    constructor(
        injector: Injector,
        private _mstwptProgressDetailsService: LgaBp2ProgressDetailsServiceProxy,
    ) 
    {
        super(injector);
    }
    show(rowdata?: CreateOrEditLgaBp2ProgressDetailsDto): void {
        if (!rowdata) this.rowdata = new CreateOrEditLgaBp2ProgressDetailsDto();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ProgressDetailsRoutingModule } from './progressdetails-routing.module';
import { ProgressDetailsComponent } from './progressdetails.component';
import { CreateOrEditProgressDetailsModalComponent } from './create-or-edit-progressdetails-modal.component';
@NgModule({
    declarations: [
       ProgressDetailsComponent, 
        CreateOrEditProgressDetailsModalComponent
    ],
    imports: [
        AppSharedModule, ProgressDetailsRoutingModule]
})
export class ProgressDetailsModule {}</v>
      </c>
      <c r="J65" s="49" t="str">
        <f>B.Frontend!O10</f>
        <v>import {NgModule} from '@angular/core';
import {RouterModule, Routes} from '@angular/router';
import { ProgressDetailsComponent } from './progressdetails.component';
const routes: Routes = [{
    path: '',
    component: ProgressDetailsComponent,
    pathMatch: 'full'
}];
@NgModule({
    imports: [RouterModule.forChild(routes)],
    exports: [RouterModule],
})
export class ProgressDetailsRoutingModule {}</v>
      </c>
      <c r="K65" s="49" t="str">
        <f>B.Frontend!P10</f>
        <v xml:space="preserve"> new AppMenuItem("ProgressDetails", "Pages.LogA.Bp2.ProgressDetails", "flaticon-book",   "/app/main/loga/bp2/progressdetails"),</v>
      </c>
      <c r="L65" s="50" t="str">
        <f>B.Frontend!Q10</f>
        <v>{
    path: 'loga/bp2/progressdetails',
    loadChildren: () =&gt; import('./loga/bp2/progressdetails/progressdetails.module').then(m =&gt; m.ProgressDetailsModule),
    data: { permission: 'Pages.LogA.Bp2.ProgressDetails' }
},</v>
      </c>
      <c r="M65" s="48" t="str">
        <f>B.Frontend!R10</f>
        <v>ApiServiceProxies.LgaBp2ProgressDetailsServiceProxy,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8"/>
  <sheetViews>
    <sheetView tabSelected="1" topLeftCell="A11" workbookViewId="0">
      <pane xSplit="1" topLeftCell="B1" activePane="topRight" state="frozen"/>
      <selection pane="topRight" activeCell="A24" sqref="A2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vovina.LogA.Bp2.Dto;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334</v>
      </c>
      <c r="C3" s="10" t="s">
        <v>43</v>
      </c>
      <c r="D3" s="10" t="s">
        <v>44</v>
      </c>
      <c r="E3" s="10" t="s">
        <v>39</v>
      </c>
      <c r="F3" s="11" t="str">
        <f>"J"&amp;COUNTA($A:$A)</f>
        <v>J36</v>
      </c>
      <c r="G3" s="4" t="s">
        <v>57</v>
      </c>
      <c r="H3" s="10" t="str">
        <f>"I"&amp;COUNTA($A:$A)</f>
        <v>I36</v>
      </c>
      <c r="I3" s="10" t="str">
        <f>REPT(CHAR(9),2)&amp;"[Required]"&amp;"
"</f>
        <v xml:space="preserve">		[Required]
</v>
      </c>
      <c r="J3" s="11" t="str">
        <f>"L"&amp;COUNTA($A:$A)</f>
        <v>L36</v>
      </c>
      <c r="K3" s="5" t="s">
        <v>56</v>
      </c>
      <c r="L3" s="11" t="str">
        <f>"M"&amp;COUNTA($A:$A)</f>
        <v>M36</v>
      </c>
      <c r="M3" s="11" t="str">
        <f>"N"&amp;COUNTA($A:$A)</f>
        <v>N36</v>
      </c>
      <c r="N3" s="11" t="str">
        <f>"O"&amp;COUNTA($A:$A)</f>
        <v>O36</v>
      </c>
      <c r="O3" s="11" t="str">
        <f>"P"&amp;COUNTA($A:$A)</f>
        <v>P36</v>
      </c>
      <c r="Q3" s="11" t="str">
        <f>RIGHT(B2,(LEN(B2)-FIND(".",B2,1)))</f>
        <v>Bp2</v>
      </c>
      <c r="R3" s="32" t="str">
        <f>REPT(CHAR(9),1)&amp;"public class "&amp;B3&amp;"ExportInput"&amp;C3</f>
        <v xml:space="preserve">	public class LgaBp2ProgressDetailsExportInput{
</v>
      </c>
      <c r="S3" s="11" t="str">
        <f>"namespace "&amp;$B$6&amp;".Exporting
"&amp;$C$3</f>
        <v xml:space="preserve">namespace vovina.LogA.Bp2.Exporting
{
</v>
      </c>
      <c r="T3" s="11" t="str">
        <f>"T"&amp;COUNTA($A:$A)</f>
        <v>T36</v>
      </c>
      <c r="V3" s="11" t="str">
        <f>"V"&amp;COUNTA($A:$A)</f>
        <v>V36</v>
      </c>
      <c r="W3" s="10" t="str">
        <f>"W"&amp;COUNTA($A:$A)</f>
        <v>W36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vovina.LogA.Bp2</v>
      </c>
      <c r="C6" s="11" t="str">
        <f>"namespace "&amp;$B$6&amp;"
"&amp;$C$3</f>
        <v xml:space="preserve">namespace vovina.LogA.Bp2
{
</v>
      </c>
      <c r="D6" s="11" t="str">
        <f>REPT(CHAR(9),1)&amp;"public class "&amp;B3&amp;G3&amp;REPT(CHAR(9),1)&amp;"
"&amp;REPT(CHAR(9),1)&amp;C3</f>
        <v xml:space="preserve">	public class LgaBp2ProgressDetails: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LgaBp2ProgressDetailsConsts	
	{
</v>
      </c>
      <c r="F6" s="11" t="str">
        <f>REPT(CHAR(9),1)&amp;"public class "&amp;B3&amp;"Dto"&amp;K3&amp;REPT(CHAR(9),1)&amp;"
"&amp;REPT(CHAR(9),1)&amp;C3</f>
        <v xml:space="preserve">	public class LgaBp2ProgressDetailsDto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CreateOrEditLgaBp2ProgressDetailsDto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GetLgaBp2ProgressDetailsInput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LgaBp2ProgressDetails</v>
      </c>
      <c r="C7" s="11" t="str">
        <f>REPT(CHAR(9),1)&amp;"[Table("""&amp;B7&amp;""")]"&amp;"
"</f>
        <v xml:space="preserve">	[Table("LgaBp2ProgressDetails")]
</v>
      </c>
      <c r="D7" s="11"/>
      <c r="E7" s="11"/>
      <c r="F7" s="11"/>
      <c r="G7" s="11"/>
      <c r="H7" s="11"/>
      <c r="I7" s="11"/>
      <c r="J7" s="6" t="str">
        <f ca="1">SUBSTITUTE(SUBSTITUTE((B1&amp;C6&amp;C7&amp;K38&amp;D6&amp;I38&amp;E3&amp;J38&amp;""&amp;REPT(CHAR(9),1)&amp;D3&amp;D3),"WorkingPattern",$Q$3),"Master",$B$4)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vovina.LogA.Bp2
{
	[Table("LgaBp2ProgressDetails")]
	[Index(nameof(ProdLine), Name="IX_LgaBp2ProgressDetails_ProdLine")]
	[Index(nameof(WorkingDate), Name="IX_LgaBp2ProgressDetails_WorkingDate")]
	[Index(nameof(Shift), Name="IX_LgaBp2ProgressDetails_Shift")]
	[Index(nameof(NoInShift), Name="IX_LgaBp2ProgressDetails_NoInShift")]
	[Index(nameof(IsActive), Name="IX_LgaBp2ProgressDetails_IsActive")]	public class LgaBp2ProgressDetails: FullAuditedEntity&lt;long&gt;, IEntity&lt;long&gt;	
	{
		public const int MaxProdLineLength = 50;
		public const int MaxShiftLength = 50;
		public const int MaxPartNoLength = 50;
		public const int MaxShortNameLength = 50;
		public const int MaxAddressLength = 50;
		public const int MaxTypeLength = 50;
		public const int MaxBodyNoLength = 50;
		public const int MaxLotNoLength = 50;
		public const int MaxGradeLength = 50;
		public const int MaxModelLength = 50;
		public const int MaxBodyNo2Length = 50;
		public const int MaxLotNo2Length = 50;
		public const int MaxGrade2Length = 50;
		public const int MaxModel2Length = 50;
		public const int MaxAddress2Length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public virtual long ProgressId { get; set; }
		public virtual long EcarId { get; set; }
		public virtual long PartListId { get; set; }
		[StringLength(MaxPartNoLength)]
		public virtual string PartNo { get; set; }
		[StringLength(MaxShortNameLength)]
		public virtual string ShortName { get; set; }
		[StringLength(MaxAddressLength)]
		public virtual string Address { get; set; }
		[StringLength(MaxTypeLength)]
		public virtual string Type { get; set; }
		public virtual int Sorting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[StringLength(MaxBodyNo2Length)]
		public virtual string BodyNo2 { get; set; }
		[StringLength(MaxLotNo2Length)]
		public virtual string LotNo2 { get; set; }
		public virtual int NoInLot2 { get; set; }
		[StringLength(MaxGrade2Length)]
		public virtual string Grade2 { get; set; }
		[StringLength(MaxModel2Length)]
		public virtual string Model2 { get; set; }
		[StringLength(MaxAddress2Length)]
		public virtual string Address2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DbSet&lt;LgaBp2ProgressDetails&gt; LgaBp2ProgressDetailss { get; set; }</v>
      </c>
      <c r="L7" t="str">
        <f ca="1">SUBSTITUTE(SUBSTITUTE((C6&amp;E6&amp;I38&amp;"
"&amp;REPT(CHAR(9),2)&amp;"// Define Store Name: Format SP_ + &lt;Store Name&gt; = &lt;Store Name&gt;
"&amp;E3&amp;REPT(CHAR(9),1)&amp;D3&amp;D3),"WorkingPattern",$Q$3),"Master",$B$4)</f>
        <v xml:space="preserve">namespace vovina.LogA.Bp2
{
	public class LgaBp2ProgressDetailsConsts	
	{
		public const int MaxProdLineLength = 50;
		public const int MaxShiftLength = 50;
		public const int MaxPartNoLength = 50;
		public const int MaxShortNameLength = 50;
		public const int MaxAddressLength = 50;
		public const int MaxTypeLength = 50;
		public const int MaxBodyNoLength = 50;
		public const int MaxLotNoLength = 50;
		public const int MaxGradeLength = 50;
		public const int MaxModelLength = 50;
		public const int MaxBodyNo2Length = 50;
		public const int MaxLotNo2Length = 50;
		public const int MaxGrade2Length = 50;
		public const int MaxModel2Length = 50;
		public const int MaxAddress2Length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"&amp;B6&amp;".Dto"&amp;E3&amp;C3&amp;F6&amp;M38&amp;E3&amp;REPT(CHAR(9),1)&amp;D3&amp;G6&amp;N38&amp;REPT(CHAR(9),1)&amp;D3&amp;H6&amp;O38&amp;"
"&amp;REPT(CHAR(9),1)&amp;D3&amp;D3),"WorkingPattern",$Q$3),"Master",$B$4)</f>
        <v xml:space="preserve">using Abp.Application.Services.Dto;
using System;
using System.ComponentModel.DataAnnotations;
namespace vovina.LogA.Bp2.Dto
{
	public class LgaBp2ProgressDetailsDto : EntityDto&lt;long?&gt;	
	{
		public virtual string ProdLine { get; set; }
		public virtual DateTime? WorkingDate { get; set; }
		public virtual string Shift { get; set; }
		public virtual int NoInShift { get; set; }
		public virtual long ProgressId { get; set; }
		public virtual long EcarId { get; set; }
		public virtual long PartListId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CreateOrEditLgaBp2ProgressDetailsDto : EntityDto&lt;long?&gt;	
	{
		[StringLength(LgaBp2ProgressDetailsConsts.MaxProdLineLength)]
		public virtual string ProdLine { get; set; }
		public virtual DateTime? WorkingDate { get; set; }
		[StringLength(LgaBp2ProgressDetailsConsts.MaxShiftLength)]
		public virtual string Shift { get; set; }
		public virtual int NoInShift { get; set; }
		public virtual long ProgressId { get; set; }
		public virtual long EcarId { get; set; }
		public virtual long PartListId { get; set; }
		[StringLength(LgaBp2ProgressDetailsConsts.MaxPartNoLength)]
		public virtual string PartNo { get; set; }
		[StringLength(LgaBp2ProgressDetailsConsts.MaxShortNameLength)]
		public virtual string ShortName { get; set; }
		[StringLength(LgaBp2ProgressDetailsConsts.MaxAddressLength)]
		public virtual string Address { get; set; }
		[StringLength(LgaBp2ProgressDetailsConsts.MaxTypeLength)]
		public virtual string Type { get; set; }
		public virtual int Sorting { get; set; }
		[StringLength(LgaBp2ProgressDetailsConsts.MaxBodyNoLength)]
		public virtual string BodyNo { get; set; }
		[StringLength(LgaBp2ProgressDetailsConsts.MaxLotNoLength)]
		public virtual string LotNo { get; set; }
		public virtual int NoInLot { get; set; }
		[StringLength(LgaBp2ProgressDetailsConsts.MaxGradeLength)]
		public virtual string Grade { get; set; }
		[StringLength(LgaBp2ProgressDetailsConsts.MaxModelLength)]
		public virtual string Model { get; set; }
		[StringLength(LgaBp2ProgressDetailsConsts.MaxBodyNo2Length)]
		public virtual string BodyNo2 { get; set; }
		[StringLength(LgaBp2ProgressDetailsConsts.MaxLotNo2Length)]
		public virtual string LotNo2 { get; set; }
		public virtual int NoInLot2 { get; set; }
		[StringLength(LgaBp2ProgressDetailsConsts.MaxGrade2Length)]
		public virtual string Grade2 { get; set; }
		[StringLength(LgaBp2ProgressDetailsConsts.MaxModel2Length)]
		public virtual string Model2 { get; set; }
		[StringLength(LgaBp2ProgressDetailsConsts.MaxAddress2Length)]
		public virtual string Address2 { get; set; }
		public virtual DateTime? NewtaktDatetime { get; set; }
		public virtual DateTime? StartDatetime { get; set; }
		public virtual DateTime? FinishDatetime { get; set; }
		[StringLength(LgaBp2ProgressDetailsConsts.MaxStatusLength)]
		public virtual string Status { get; set; }
		[StringLength(LgaBp2ProgressDetailsConsts.MaxIsActiveLength)]
		public virtual string IsActive { get; set; }
	}
	public class GetLgaBp2ProgressDetailsInput : PagedAndSortedResultRequestDto	
	{
		public virtual string ProdLine { get; set; }
		public virtual DateTime? WorkingDate { get; set; }
		public virtual string Shift { get; set; }
		public virtual int NoInShift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perLgaBp2ProgressDetails = PARENTS.CreateChildPermission(AppPermissions.Pages_LogA_Bp2_ProgressDetails, L( "LogABp2ProgressDetails"), multiTenancySides: MultiTenancySides.Tenant);
		perLgaBp2ProgressDetails.CreateChildPermission(AppPermissions.Pages_LogA_Bp2_ProgressDetails_CreateEdit, L( "LogABp2ProgressDetailsCreateEdit"), multiTenancySides: MultiTenancySides.Tenant);
		perLgaBp2ProgressDetails.CreateChildPermission(AppPermissions.Pages_LogA_Bp2_ProgressDetails_Delete, L( "LogABp2ProgressDetailsDelete"),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Pages_LogA_Bp2_ProgressDetails = "Pages.LogA.Bp2.ProgressDetails";
		public const string Pages_LogA_Bp2_ProgressDetails_CreateEdit = "Pages.LogA.Bp2.ProgressDetails.CreateEdit";
		public const string Pages_LogA_Bp2_ProgressDetails_Delete = "Pages.LogA.Bp2.ProgressDetails.Delete";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vovina.LogA.Bp2.Dto;
namespace vovina.LogA.Bp2
{
	public interface ILgaBp2ProgressDetailsAppService : IApplicationService
	{
		Task&lt;PagedResultDto&lt;LgaBp2ProgressDetailsDto&gt;&gt; GetAll(GetLgaBp2ProgressDetailsInput input);
		Task CreateOrEdit(CreateOrEditLgaBp2ProgressDetailsDto input);
		Task Delete(EntityDto input);
	}
}
</v>
      </c>
      <c r="Q7" t="str">
        <f ca="1">SUBSTITUTE(SUBSTITUTE(SUBSTITUTE(SUBSTITUTE(SUBSTITUTE(SUBSTITUTE(E1,"MstWptCalendar",$B$3),"&lt;PROPERTIES&gt;",P38),"Calendar",$B$5),"WorkingPattern",$Q$3),"Master",$B$4),"&lt;PARAMS_SEARCH&gt;",$W$38)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vovina.LogA.Bp2.Dto;
using vovina.LogA.Bp2.Exporting;
namespace vovina.LogA.Bp2
{
    [AbpAuthorize(AppPermissions.Pages_LogA_Bp2_ProgressDetails)]
    public class LgaBp2ProgressDetailsAppService : vovinaAppServiceBase, ILgaBp2ProgressDetailsAppService
    {
        private readonly IDapperRepository&lt;LgaBp2ProgressDetails, long&gt; _dapperRepo;
        private readonly IRepository&lt;LgaBp2ProgressDetails, long&gt; _repo;
        private readonly ILgaBp2ProgressDetailsExcelExporter _calendarListExcelExporter;
        public LgaBp2ProgressDetailsAppService(IRepository&lt;LgaBp2ProgressDetails,long&gt; repo, 
                                         IDapperRepository&lt;LgaBp2ProgressDetails,long&gt; dapperRepo,
                                        ILgaBp2ProgressDetailsExcelExporter calendarListExcelExporter
            )
        {
            _repo = repo;
            _dapperRepo = dapperRepo;
            _calendarListExcelExporter = calendarListExcelExporter;
        }
        [AbpAuthorize(AppPermissions.Pages_LogA_Bp2_ProgressDetails_CreateEdit)]
        public async Task CreateOrEdit(CreateOrEditLgaBp2ProgressDetailsDto input)
        {
            if (input.Id == null) await Create(input);
            else await Update(input);
        }
        //CREATE
        private async Task Create(CreateOrEditLgaBp2ProgressDetailsDto input)
        {          
            var mainObj = ObjectMapper.Map&lt;LgaBp2ProgressDetails&gt;(input);
            await CurrentUnitOfWork.GetDbContext&lt;vovinaDbContext&gt;().AddAsync(mainObj);
        }
        // EDIT
        private async Task Update(CreateOrEditLgaBp2ProgressDetailsDto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[AbpAuthorize(AppPermissions.Pages_LogA_Bp2_ProgressDetails_Delete)]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Task&lt;PagedResultDto&lt;LgaBp2ProgressDetailsDto&gt;&gt; GetAll(GetLgaBp2ProgressDetailsInput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.WhereIf(!string.IsNullOrWhiteSpace(input.ShortName), e =&gt; e.ShortName.Contains(input.ShortName))
				.WhereIf(!string.IsNullOrWhiteSpace(input.Address), e =&gt; e.Address.Contains(input.Address))
				.WhereIf(!string.IsNullOrWhiteSpace(input.Type), e =&gt; e.Type.Contains(input.Type))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.WhereIf(!string.IsNullOrWhiteSpace(input.BodyNo2), e =&gt; e.BodyNo2.Contains(input.BodyNo2))
				.WhereIf(!string.IsNullOrWhiteSpace(input.LotNo2), e =&gt; e.LotNo2.Contains(input.LotNo2))
				.WhereIf(!string.IsNullOrWhiteSpace(input.Grade2), e =&gt; e.Grade2.Contains(input.Grade2))
				.WhereIf(!string.IsNullOrWhiteSpace(input.Model2), e =&gt; e.Model2.Contains(input.Model2))
				.WhereIf(!string.IsNullOrWhiteSpace(input.Address2), e =&gt; e.Address2.Contains(input.Address2))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LgaBp2ProgressDetailsDto
                        {
							Id = o.Id,
							ProdLine = o.ProdLine,
							WorkingDate = o.WorkingDate,
							Shift = o.Shift,
							NoInShift = o.NoInShift,
							ProgressId = o.ProgressId,
							EcarId = o.EcarId,
							PartListId = o.PartListId,
							PartNo = o.PartNo,
							ShortName = o.ShortName,
							Address = o.Address,
							Type = o.Type,
							Sorting = o.Sorting,
							BodyNo = o.BodyNo,
							LotNo = o.LotNo,
							NoInLot = o.NoInLot,
							Grade = o.Grade,
							Model = o.Model,
							BodyNo2 = o.BodyNo2,
							LotNo2 = o.LotNo2,
							NoInLot2 = o.NoInLot2,
							Grade2 = o.Grade2,
							Model2 = o.Model2,
							Address2 = o.Address2,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PagedResultDto&lt;LgaBp2ProgressDetailsDto&gt;(
                totalCount,
                 await paged.ToListAsync()
            );
        }
        public async Task&lt;FileDto&gt; GetProgressDetailsToExcel(LgaBp2ProgressDetailsExportInput input)
        {
            var query = from o in _repo.GetAll()
                        select new LgaBp2ProgressDetailsDto
                        {
							Id = o.Id,
							ProdLine = o.ProdLine,
							WorkingDate = o.WorkingDate,
							Shift = o.Shift,
							NoInShift = o.NoInShift,
							ProgressId = o.ProgressId,
							EcarId = o.EcarId,
							PartListId = o.PartListId,
							PartNo = o.PartNo,
							ShortName = o.ShortName,
							Address = o.Address,
							Type = o.Type,
							Sorting = o.Sorting,
							BodyNo = o.BodyNo,
							LotNo = o.LotNo,
							NoInLot = o.NoInLot,
							Grade = o.Grade,
							Model = o.Model,
							BodyNo2 = o.BodyNo2,
							LotNo2 = o.LotNo2,
							NoInLot2 = o.NoInLot2,
							Grade2 = o.Grade2,
							Model2 = o.Model2,
							Address2 = o.Address2,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_dapperRepo.ExecuteAsync(LgaBp2ProgressDetailsConsts.SP_MST_WPT_CALENDAR_GENERATE);
       // }
    }
}</v>
      </c>
      <c r="R7" t="str">
        <f ca="1">SUBSTITUTE(SUBSTITUTE((C1&amp;"namespace "&amp;B6&amp;".Dto"&amp;E3&amp;C3&amp;R3&amp;M38&amp;E3&amp;REPT(CHAR(9),1)&amp;D3&amp;D3),"WorkingPattern",$Q$3),"Master",$B$4)</f>
        <v xml:space="preserve">using Abp.Application.Services.Dto;
using System;
using System.ComponentModel.DataAnnotations;
namespace vovina.LogA.Bp2.Dto
{
	public class LgaBp2ProgressDetailsExportInput{
		public virtual string ProdLine { get; set; }
		public virtual DateTime? WorkingDate { get; set; }
		public virtual string Shift { get; set; }
		public virtual int NoInShift { get; set; }
		public virtual long ProgressId { get; set; }
		public virtual long EcarId { get; set; }
		public virtual long PartListId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vovina.LogA.Bp2.Dto;
namespace vovina.LogA.Bp2.Exporting
{
	public interface ILgaBp2ProgressDetailsExcelExporter : IApplicationService
	{
		FileDto ExportToFile(List&lt;LgaBp2ProgressDetailsDto&gt; lgabp2progressdetails);
	}
}
</v>
      </c>
      <c r="T7" s="28" t="str">
        <f ca="1">SUBSTITUTE(SUBSTITUTE(SUBSTITUTE(SUBSTITUTE(SUBSTITUTE(SUBSTITUTE(SUBSTITUTE(T1,"MstWptCalendar",$B$3),"&lt;PROPERTIES1&gt;",V38),"&lt;PROPERTIES&gt;",T38),"Calendar",$B$5),"calendar",LOWER(B5)),"WorkingPattern",$Q$3),"Master",$B$4)</f>
        <v>using System.Collections.Generic;
using vovina.DataExporting.Excel.NPOI;
using vovina.Dto;
using vovina.LogA.Bp2.Exporting;
using vovina.LogA.Bp2.Dto;
using vovina.Storage;
using vovina.LogA.Bp2.Dto;
namespace vovina.LogA.Bp2.Exporting
{
    public class LgaBp2ProgressDetailsExcelExporter : NpoiExcelExporterBase, ILgaBp2ProgressDetailsExcelExporter
    {
        public LgaBp2ProgressDetailsExcelExporter(ITempFileCacheManager tempFileCacheManager) : base(tempFileCacheManager) { }
        public FileDto ExportToFile(List&lt;LgaBp2ProgressDetailsDto&gt; progressdetails)
        {
            return CreateExcelPackage(
				"LogABp2ProgressDetails.xlsx",
				excelPackage =&gt;
				 {
					var sheet = excelPackage.CreateSheet("ProgressDetails");
					AddHeader(
								sheet,
								("ProdLine"),
								("WorkingDate"),
								("Shift"),
								("NoInShift"),
								("ProgressId"),
								("EcarId"),
								("PartListId"),
								("PartNo"),
								("ShortName"),
								("Address"),
								("Type"),
								("Sorting"),
								("BodyNo"),
								("LotNo"),
								("NoInLot"),
								("Grade"),
								("Model"),
								("BodyNo2"),
								("LotNo2"),
								("NoInLot2"),
								("Grade2"),
								("Model2"),
								("Address2"),
								("NewtaktDatetime"),
								("StartDatetime"),
								("FinishDatetime"),
								("Status"),
								("IsActive"),
							   );
					AddObjects(
						 sheet, 1, progressdetails,                                       
								_ =&gt; _.ProdLine,
								_ =&gt; _.WorkingDate,
								_ =&gt; _.Shift,
								_ =&gt; _.NoInShift,
								_ =&gt; _.ProgressId,
								_ =&gt; _.EcarId,
								_ =&gt; _.PartListId,
								_ =&gt; _.PartNo,
								_ =&gt; _.ShortName,
								_ =&gt; _.Address,
								_ =&gt; _.Type,
								_ =&gt; _.Sorting,
								_ =&gt; _.BodyNo,
								_ =&gt; _.LotNo,
								_ =&gt; _.NoInLot,
								_ =&gt; _.Grade,
								_ =&gt; _.Model,
								_ =&gt; _.BodyNo2,
								_ =&gt; _.LotNo2,
								_ =&gt; _.NoInLot2,
								_ =&gt; _.Grade2,
								_ =&gt; _.Model2,
								_ =&gt; _.Address2,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configuration.CreateMap&lt;LgaBp2ProgressDetailsDto, LgaBp2ProgressDetails&gt;();
  configuration.CreateMap&lt;LgaBp2ProgressDetails, LgaBp2ProgressDetailsDto&gt;();
  configuration.CreateMap&lt;CreateOrEditLgaBp2ProgressDetailsDto, LgaBp2ProgressDetails&gt;();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321</v>
      </c>
      <c r="C9" t="s">
        <v>1</v>
      </c>
      <c r="D9" t="str">
        <f t="shared" ref="D9" si="0">SUBSTITUTE(PROPER(A9),"_","")</f>
        <v>ProdLine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MaxProdLineLength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[Index(nameof(ProdLine), Name="IX_LgaBp2ProgressDetails_ProdLine")]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[StringLength(LgaBp2ProgressDetailsConsts.MaxProdLineLength)]
		public virtual string ProdLine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" si="9">REPT(CHAR(9),7)&amp;D9&amp;" = o." &amp;D9 &amp;","</f>
        <v xml:space="preserve">							ProdLine = o.ProdLine,</v>
      </c>
      <c r="T9" s="69" t="str">
        <f t="shared" ref="T9" si="10">REPT(CHAR(9),8)&amp;"("""&amp;D9&amp;"""),"</f>
        <v xml:space="preserve">								("ProdLine"),</v>
      </c>
      <c r="V9" s="70" t="str">
        <f t="shared" ref="V9" si="11">REPT(CHAR(9),8)&amp;"_ =&gt; _."&amp;D9&amp;","</f>
        <v xml:space="preserve">								_ =&gt; _.ProdLine,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2.5" customHeight="1" x14ac:dyDescent="0.25">
      <c r="A10" t="s">
        <v>326</v>
      </c>
      <c r="B10" t="s">
        <v>2</v>
      </c>
      <c r="C10" t="s">
        <v>1</v>
      </c>
      <c r="D10" t="str">
        <f>SUBSTITUTE(PROPER(A10),"_","")</f>
        <v>WorkingDate</v>
      </c>
      <c r="E10" t="str">
        <f t="shared" ref="E10:E36" si="13">IFERROR(LEFT(B10, FIND("(",B10)-1),B10)</f>
        <v>date</v>
      </c>
      <c r="F10" s="7"/>
      <c r="G10" t="str">
        <f t="shared" ref="G10:G36" si="14">IFERROR(MID(B10,FIND("(",B10) +1, FIND(")",B10) - FIND("(",B10) - 1),"")</f>
        <v/>
      </c>
      <c r="H10" t="str">
        <f>+VLOOKUP(E10,'Data Type Mapping'!A:B,2,)</f>
        <v>DateTime</v>
      </c>
      <c r="I10" t="str">
        <f t="shared" ref="I10:I36" si="15">IF(H10="string",REPT(CHAR(9),2)&amp;"public const int Max"&amp;D10&amp;"Length = "&amp;G10&amp;";"&amp;$E$3,"" )</f>
        <v/>
      </c>
      <c r="J10" t="str">
        <f t="shared" ref="J10:J36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WorkingDate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[Index(nameof(WorkingDate), Name="IX_LgaBp2ProgressDetails_WorkingDate")]</v>
      </c>
      <c r="M10" t="str">
        <f t="shared" ref="M10:M36" si="1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36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36" si="1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ref="P10:P36" si="20">REPT(CHAR(9),7)&amp;D10&amp;" = o." &amp;D10 &amp;","</f>
        <v xml:space="preserve">							WorkingDate = o.WorkingDate,</v>
      </c>
      <c r="T10" s="69" t="str">
        <f t="shared" ref="T10:T36" si="21">REPT(CHAR(9),8)&amp;"("""&amp;D10&amp;"""),"</f>
        <v xml:space="preserve">								("WorkingDate"),</v>
      </c>
      <c r="V10" s="70" t="str">
        <f t="shared" ref="V10:V36" si="22">REPT(CHAR(9),8)&amp;"_ =&gt; _."&amp;D10&amp;","</f>
        <v xml:space="preserve">								_ =&gt; _.WorkingDate,</v>
      </c>
      <c r="W10" s="69" t="str">
        <f t="shared" ref="W10:W36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22.5" customHeight="1" x14ac:dyDescent="0.25">
      <c r="A11" t="s">
        <v>327</v>
      </c>
      <c r="B11" t="s">
        <v>321</v>
      </c>
      <c r="C11" t="s">
        <v>1</v>
      </c>
      <c r="D11" t="str">
        <f>SUBSTITUTE(PROPER(A11),"_","")</f>
        <v>Shift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MaxShiftLength = 50;
</v>
      </c>
      <c r="J11" t="str">
        <f t="shared" si="16"/>
        <v xml:space="preserve">		[StringLength(MaxShiftLength)]
		public virtual string Shift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[Index(nameof(Shift), Name="IX_LgaBp2ProgressDetails_Shift")]</v>
      </c>
      <c r="M11" t="str">
        <f t="shared" si="17"/>
        <v xml:space="preserve">		public virtual string Shift { get; set; }
</v>
      </c>
      <c r="N11" t="str">
        <f t="shared" si="18"/>
        <v xml:space="preserve">		[StringLength(LgaBp2ProgressDetailsConsts.MaxShiftLength)]
		public virtual string Shift { get; set; }
</v>
      </c>
      <c r="O11" t="str">
        <f t="shared" si="19"/>
        <v xml:space="preserve">		public virtual string Shift { get; set; }
</v>
      </c>
      <c r="P11" t="str">
        <f t="shared" si="20"/>
        <v xml:space="preserve">							Shift = o.Shift,</v>
      </c>
      <c r="T11" s="69" t="str">
        <f t="shared" si="21"/>
        <v xml:space="preserve">								("Shift"),</v>
      </c>
      <c r="V11" s="70" t="str">
        <f t="shared" si="22"/>
        <v xml:space="preserve">								_ =&gt; _.Shift,</v>
      </c>
      <c r="W11" s="69" t="str">
        <f t="shared" si="23"/>
        <v xml:space="preserve">				.WhereIf(!string.IsNullOrWhiteSpace(input.Shift), e =&gt; e.Shift.Contains(input.Shift))</v>
      </c>
    </row>
    <row r="12" spans="1:23" customFormat="1" ht="21" customHeight="1" x14ac:dyDescent="0.25">
      <c r="A12" t="s">
        <v>328</v>
      </c>
      <c r="B12" t="s">
        <v>4</v>
      </c>
      <c r="C12" t="s">
        <v>1</v>
      </c>
      <c r="D12" t="str">
        <f t="shared" ref="D12:D33" si="24">SUBSTITUTE(PROPER(A12),"_","")</f>
        <v>NoInShift</v>
      </c>
      <c r="E12" t="str">
        <f t="shared" si="13"/>
        <v>int</v>
      </c>
      <c r="F12" s="7"/>
      <c r="G12" t="str">
        <f t="shared" si="14"/>
        <v/>
      </c>
      <c r="H12" t="str">
        <f>+VLOOKUP(E12,'Data Type Mapping'!A:B,2,)</f>
        <v>int</v>
      </c>
      <c r="I12" t="str">
        <f t="shared" si="15"/>
        <v/>
      </c>
      <c r="J12" t="str">
        <f t="shared" si="16"/>
        <v xml:space="preserve">		public virtual int NoInShift { get; set; }
</v>
      </c>
      <c r="K12" s="7" t="s">
        <v>206</v>
      </c>
      <c r="L12" t="str">
        <f t="shared" ref="L12:L33" si="25">IF(K12="","",REPT(CHAR(9),1)&amp;"[Index(nameof("&amp;IF(D12="","",""&amp;D12)&amp;")"&amp;", Name="&amp;"""IX_"&amp;$B$7&amp;"_"&amp;D12&amp;""")]")</f>
        <v xml:space="preserve">	[Index(nameof(NoInShift), Name="IX_LgaBp2ProgressDetails_NoInShift")]</v>
      </c>
      <c r="M12" t="str">
        <f t="shared" si="17"/>
        <v xml:space="preserve">		public virtual int NoInShift { get; set; }
</v>
      </c>
      <c r="N12" t="str">
        <f t="shared" si="18"/>
        <v xml:space="preserve">		public virtual int NoInShift { get; set; }
</v>
      </c>
      <c r="O12" t="str">
        <f t="shared" si="19"/>
        <v xml:space="preserve">		public virtual int NoInShift { get; set; }
</v>
      </c>
      <c r="P12" t="str">
        <f t="shared" si="20"/>
        <v xml:space="preserve">							NoInShift = o.NoInShift,</v>
      </c>
      <c r="T12" s="69" t="str">
        <f t="shared" si="21"/>
        <v xml:space="preserve">								("NoInShift"),</v>
      </c>
      <c r="V12" s="70" t="str">
        <f t="shared" si="22"/>
        <v xml:space="preserve">								_ =&gt; _.NoInShift,</v>
      </c>
      <c r="W12" s="69" t="str">
        <f t="shared" si="23"/>
        <v/>
      </c>
    </row>
    <row r="13" spans="1:23" customFormat="1" ht="18.75" customHeight="1" x14ac:dyDescent="0.25">
      <c r="A13" t="s">
        <v>339</v>
      </c>
      <c r="B13" t="s">
        <v>0</v>
      </c>
      <c r="C13" t="s">
        <v>1</v>
      </c>
      <c r="D13" t="str">
        <f>SUBSTITUTE(PROPER(A13),"_","")</f>
        <v>ProgressId</v>
      </c>
      <c r="E13" t="str">
        <f>IFERROR(LEFT(B13, FIND("(",B13)-1),B13)</f>
        <v>bigint</v>
      </c>
      <c r="F13" s="7"/>
      <c r="G13" t="str">
        <f>IFERROR(MID(B13,FIND("(",B13) +1, FIND(")",B13) - FIND("(",B13) - 1),"")</f>
        <v/>
      </c>
      <c r="H13" t="str">
        <f>+VLOOKUP(E13,'Data Type Mapping'!A:B,2,)</f>
        <v>long</v>
      </c>
      <c r="I13" t="str">
        <f>IF(H13="string",REPT(CHAR(9),2)&amp;"public const int Max"&amp;D13&amp;"Length = "&amp;G13&amp;";"&amp;$E$3,"" )</f>
        <v/>
      </c>
      <c r="J13" t="str">
        <f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long ProgressId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>REPT(CHAR(9),2)&amp;"public virtual "&amp;IF(OR(H13="DateTime",H13="TimeSpan"),H13&amp;"?",H13)&amp;IF(C13="?","? "," ")&amp;D13&amp;" { get; set; }" &amp; "
"</f>
        <v xml:space="preserve">		public virtual long ProgressId { get; set; }
</v>
      </c>
      <c r="N13" t="str">
        <f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long ProgressId { get; set; }
</v>
      </c>
      <c r="O13" t="str">
        <f>IF(OR(H13="string",H13="DateTime",H13="int"),REPT(CHAR(9),2)&amp;"public virtual "&amp;IF(OR(H13="DateTime",H13="TimeSpan"),H13&amp;"?",H13)&amp;IF(C13="?","? "," ")&amp;D13&amp;" { get; set; }"&amp;$E$3,"")</f>
        <v/>
      </c>
      <c r="P13" t="str">
        <f>REPT(CHAR(9),7)&amp;D13&amp;" = o." &amp;D13 &amp;","</f>
        <v xml:space="preserve">							ProgressId = o.ProgressId,</v>
      </c>
      <c r="T13" s="69" t="str">
        <f>REPT(CHAR(9),8)&amp;"("""&amp;D13&amp;"""),"</f>
        <v xml:space="preserve">								("ProgressId"),</v>
      </c>
      <c r="V13" s="70" t="str">
        <f>REPT(CHAR(9),8)&amp;"_ =&gt; _."&amp;D13&amp;","</f>
        <v xml:space="preserve">								_ =&gt; _.ProgressId,</v>
      </c>
      <c r="W13" s="69" t="str">
        <f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t="s">
        <v>340</v>
      </c>
      <c r="B14" t="s">
        <v>0</v>
      </c>
      <c r="C14" t="s">
        <v>1</v>
      </c>
      <c r="D14" t="str">
        <f>SUBSTITUTE(PROPER(A14),"_","")</f>
        <v>EcarId</v>
      </c>
      <c r="E14" t="str">
        <f>IFERROR(LEFT(B14, FIND("(",B14)-1),B14)</f>
        <v>bigint</v>
      </c>
      <c r="F14" s="7"/>
      <c r="G14" t="str">
        <f>IFERROR(MID(B14,FIND("(",B14) +1, FIND(")",B14) - FIND("(",B14) - 1),"")</f>
        <v/>
      </c>
      <c r="H14" t="str">
        <f>+VLOOKUP(E14,'Data Type Mapping'!A:B,2,)</f>
        <v>long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 EcarId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long EcarId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 EcarId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EcarId = o.EcarId,</v>
      </c>
      <c r="T14" s="69" t="str">
        <f>REPT(CHAR(9),8)&amp;"("""&amp;D14&amp;"""),"</f>
        <v xml:space="preserve">								("EcarId"),</v>
      </c>
      <c r="V14" s="70" t="str">
        <f>REPT(CHAR(9),8)&amp;"_ =&gt; _."&amp;D14&amp;","</f>
        <v xml:space="preserve">								_ =&gt; _.EcarId,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337</v>
      </c>
      <c r="B15" t="s">
        <v>0</v>
      </c>
      <c r="C15" t="s">
        <v>1</v>
      </c>
      <c r="D15" t="str">
        <f>SUBSTITUTE(PROPER(A15),"_","")</f>
        <v>PartListId</v>
      </c>
      <c r="E15" t="str">
        <f>IFERROR(LEFT(B15, FIND("(",B15)-1),B15)</f>
        <v>bigint</v>
      </c>
      <c r="F15" s="7"/>
      <c r="G15" t="str">
        <f>IFERROR(MID(B15,FIND("(",B15) +1, FIND(")",B15) - FIND("(",B15) - 1),"")</f>
        <v/>
      </c>
      <c r="H15" t="str">
        <f>+VLOOKUP(E15,'Data Type Mapping'!A:B,2,)</f>
        <v>long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 PartListId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long PartListId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 PartListId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PartListId = o.PartListId,</v>
      </c>
      <c r="T15" s="69" t="str">
        <f>REPT(CHAR(9),8)&amp;"("""&amp;D15&amp;"""),"</f>
        <v xml:space="preserve">								("PartListId"),</v>
      </c>
      <c r="V15" s="70" t="str">
        <f>REPT(CHAR(9),8)&amp;"_ =&gt; _."&amp;D15&amp;","</f>
        <v xml:space="preserve">								_ =&gt; _.PartListId,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336</v>
      </c>
      <c r="B16" t="s">
        <v>321</v>
      </c>
      <c r="C16" t="s">
        <v>1</v>
      </c>
      <c r="D16" t="str">
        <f t="shared" si="24"/>
        <v>PartNo</v>
      </c>
      <c r="E16" t="str">
        <f t="shared" si="13"/>
        <v>varchar</v>
      </c>
      <c r="F16" s="7"/>
      <c r="G16" t="str">
        <f t="shared" si="14"/>
        <v>50</v>
      </c>
      <c r="H16" t="str">
        <f>+VLOOKUP(E16,'Data Type Mapping'!A:B,2,)</f>
        <v>string</v>
      </c>
      <c r="I16" t="str">
        <f t="shared" si="15"/>
        <v xml:space="preserve">		public const int MaxPartNoLength = 50;
</v>
      </c>
      <c r="J16" t="str">
        <f t="shared" si="16"/>
        <v xml:space="preserve">		[StringLength(MaxPartNoLength)]
		public virtual string PartNo { get; set; }
</v>
      </c>
      <c r="K16" s="7"/>
      <c r="L16" t="str">
        <f t="shared" si="25"/>
        <v/>
      </c>
      <c r="M16" t="str">
        <f t="shared" si="17"/>
        <v xml:space="preserve">		public virtual string PartNo { get; set; }
</v>
      </c>
      <c r="N16" t="str">
        <f t="shared" si="18"/>
        <v xml:space="preserve">		[StringLength(LgaBp2ProgressDetailsConsts.MaxPartNoLength)]
		public virtual string PartNo { get; set; }
</v>
      </c>
      <c r="O16" t="str">
        <f t="shared" si="19"/>
        <v xml:space="preserve">		public virtual string PartNo { get; set; }
</v>
      </c>
      <c r="P16" t="str">
        <f t="shared" si="20"/>
        <v xml:space="preserve">							PartNo = o.PartNo,</v>
      </c>
      <c r="T16" s="69" t="str">
        <f t="shared" si="21"/>
        <v xml:space="preserve">								("PartNo"),</v>
      </c>
      <c r="V16" s="70" t="str">
        <f t="shared" si="22"/>
        <v xml:space="preserve">								_ =&gt; _.PartNo,</v>
      </c>
      <c r="W16" s="69" t="str">
        <f t="shared" si="23"/>
        <v xml:space="preserve">				.WhereIf(!string.IsNullOrWhiteSpace(input.PartNo), e =&gt; e.PartNo.Contains(input.PartNo))</v>
      </c>
    </row>
    <row r="17" spans="1:23" customFormat="1" ht="22.5" customHeight="1" x14ac:dyDescent="0.25">
      <c r="A17" t="s">
        <v>341</v>
      </c>
      <c r="B17" t="s">
        <v>321</v>
      </c>
      <c r="C17" t="s">
        <v>1</v>
      </c>
      <c r="D17" t="str">
        <f>SUBSTITUTE(PROPER(A17),"_","")</f>
        <v>ShortName</v>
      </c>
      <c r="E17" t="str">
        <f t="shared" ref="E17" si="26">IFERROR(LEFT(B17, FIND("(",B17)-1),B17)</f>
        <v>varchar</v>
      </c>
      <c r="F17" s="7"/>
      <c r="G17" t="str">
        <f t="shared" ref="G17" si="27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28">IF(H17="string",REPT(CHAR(9),2)&amp;"public const int Max"&amp;D17&amp;"Length = "&amp;G17&amp;";"&amp;$E$3,"" )</f>
        <v xml:space="preserve">		public const int MaxShortNameLength = 50;
</v>
      </c>
      <c r="J17" t="str">
        <f t="shared" ref="J17" si="29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[StringLength(MaxShortNameLength)]
		public virtual string ShortName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ref="M17" si="30">REPT(CHAR(9),2)&amp;"public virtual "&amp;IF(OR(H17="DateTime",H17="TimeSpan"),H17&amp;"?",H17)&amp;IF(C17="?","? "," ")&amp;D17&amp;" { get; set; }" &amp; "
"</f>
        <v xml:space="preserve">		public virtual string ShortName { get; set; }
</v>
      </c>
      <c r="N17" t="str">
        <f t="shared" ref="N17" si="31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[StringLength(LgaBp2ProgressDetailsConsts.MaxShortNameLength)]
		public virtual string ShortName { get; set; }
</v>
      </c>
      <c r="O17" t="str">
        <f t="shared" ref="O17" si="32">IF(OR(H17="string",H17="DateTime",H17="int"),REPT(CHAR(9),2)&amp;"public virtual "&amp;IF(OR(H17="DateTime",H17="TimeSpan"),H17&amp;"?",H17)&amp;IF(C17="?","? "," ")&amp;D17&amp;" { get; set; }"&amp;$E$3,"")</f>
        <v xml:space="preserve">		public virtual string ShortName { get; set; }
</v>
      </c>
      <c r="P17" t="str">
        <f t="shared" ref="P17" si="33">REPT(CHAR(9),7)&amp;D17&amp;" = o." &amp;D17 &amp;","</f>
        <v xml:space="preserve">							ShortName = o.ShortName,</v>
      </c>
      <c r="T17" s="69" t="str">
        <f t="shared" ref="T17" si="34">REPT(CHAR(9),8)&amp;"("""&amp;D17&amp;"""),"</f>
        <v xml:space="preserve">								("ShortName"),</v>
      </c>
      <c r="V17" s="70" t="str">
        <f t="shared" ref="V17" si="35">REPT(CHAR(9),8)&amp;"_ =&gt; _."&amp;D17&amp;","</f>
        <v xml:space="preserve">								_ =&gt; _.ShortName,</v>
      </c>
      <c r="W17" s="69" t="str">
        <f t="shared" ref="W17" si="36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.WhereIf(!string.IsNullOrWhiteSpace(input.ShortName), e =&gt; e.ShortName.Contains(input.ShortName))</v>
      </c>
    </row>
    <row r="18" spans="1:23" customFormat="1" ht="22.5" customHeight="1" x14ac:dyDescent="0.25">
      <c r="A18" t="s">
        <v>342</v>
      </c>
      <c r="B18" t="s">
        <v>321</v>
      </c>
      <c r="C18" t="s">
        <v>1</v>
      </c>
      <c r="D18" t="str">
        <f>SUBSTITUTE(PROPER(A18),"_","")</f>
        <v>Address</v>
      </c>
      <c r="E18" t="str">
        <f t="shared" ref="E18" si="37">IFERROR(LEFT(B18, FIND("(",B18)-1),B18)</f>
        <v>varchar</v>
      </c>
      <c r="F18" s="7"/>
      <c r="G18" t="str">
        <f t="shared" ref="G18" si="38">IFERROR(MID(B18,FIND("(",B18) +1, FIND(")",B18) - FIND("(",B18) - 1),"")</f>
        <v>50</v>
      </c>
      <c r="H18" t="str">
        <f>+VLOOKUP(E18,'Data Type Mapping'!A:B,2,)</f>
        <v>string</v>
      </c>
      <c r="I18" t="str">
        <f t="shared" ref="I18" si="39">IF(H18="string",REPT(CHAR(9),2)&amp;"public const int Max"&amp;D18&amp;"Length = "&amp;G18&amp;";"&amp;$E$3,"" )</f>
        <v xml:space="preserve">		public const int MaxAddressLength = 50;
</v>
      </c>
      <c r="J18" t="str">
        <f t="shared" ref="J18" si="40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[StringLength(MaxAddressLength)]
		public virtual string Address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string Address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[StringLength(LgaBp2ProgressDetailsConsts.MaxAddressLength)]
		public virtual string Address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 xml:space="preserve">		public virtual string Address { get; set; }
</v>
      </c>
      <c r="P18" t="str">
        <f t="shared" ref="P18" si="44">REPT(CHAR(9),7)&amp;D18&amp;" = o." &amp;D18 &amp;","</f>
        <v xml:space="preserve">							Address = o.Address,</v>
      </c>
      <c r="T18" s="69" t="str">
        <f t="shared" ref="T18" si="45">REPT(CHAR(9),8)&amp;"("""&amp;D18&amp;"""),"</f>
        <v xml:space="preserve">								("Address"),</v>
      </c>
      <c r="V18" s="70" t="str">
        <f t="shared" ref="V18" si="46">REPT(CHAR(9),8)&amp;"_ =&gt; _."&amp;D18&amp;","</f>
        <v xml:space="preserve">								_ =&gt; _.Address,</v>
      </c>
      <c r="W18" s="69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.WhereIf(!string.IsNullOrWhiteSpace(input.Address), e =&gt; e.Address.Contains(input.Address))</v>
      </c>
    </row>
    <row r="19" spans="1:23" customFormat="1" ht="22.5" customHeight="1" x14ac:dyDescent="0.25">
      <c r="A19" t="s">
        <v>343</v>
      </c>
      <c r="B19" t="s">
        <v>321</v>
      </c>
      <c r="C19" t="s">
        <v>1</v>
      </c>
      <c r="D19" t="str">
        <f>SUBSTITUTE(PROPER(A19),"_","")</f>
        <v>Type</v>
      </c>
      <c r="E19" t="str">
        <f t="shared" ref="E19" si="48">IFERROR(LEFT(B19, FIND("(",B19)-1),B19)</f>
        <v>varchar</v>
      </c>
      <c r="F19" s="7"/>
      <c r="G19" t="str">
        <f t="shared" ref="G19" si="49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50">IF(H19="string",REPT(CHAR(9),2)&amp;"public const int Max"&amp;D19&amp;"Length = "&amp;G19&amp;";"&amp;$E$3,"" )</f>
        <v xml:space="preserve">		public const int MaxTypeLength = 50;
</v>
      </c>
      <c r="J19" t="str">
        <f t="shared" ref="J19" si="51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[StringLength(MaxTypeLength)]
		public virtual string Type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" si="52">REPT(CHAR(9),2)&amp;"public virtual "&amp;IF(OR(H19="DateTime",H19="TimeSpan"),H19&amp;"?",H19)&amp;IF(C19="?","? "," ")&amp;D19&amp;" { get; set; }" &amp; "
"</f>
        <v xml:space="preserve">		public virtual string Type { get; set; }
</v>
      </c>
      <c r="N19" t="str">
        <f t="shared" ref="N19" si="53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[StringLength(LgaBp2ProgressDetailsConsts.MaxTypeLength)]
		public virtual string Type { get; set; }
</v>
      </c>
      <c r="O19" t="str">
        <f t="shared" ref="O19" si="54">IF(OR(H19="string",H19="DateTime",H19="int"),REPT(CHAR(9),2)&amp;"public virtual "&amp;IF(OR(H19="DateTime",H19="TimeSpan"),H19&amp;"?",H19)&amp;IF(C19="?","? "," ")&amp;D19&amp;" { get; set; }"&amp;$E$3,"")</f>
        <v xml:space="preserve">		public virtual string Type { get; set; }
</v>
      </c>
      <c r="P19" t="str">
        <f t="shared" ref="P19" si="55">REPT(CHAR(9),7)&amp;D19&amp;" = o." &amp;D19 &amp;","</f>
        <v xml:space="preserve">							Type = o.Type,</v>
      </c>
      <c r="T19" s="69" t="str">
        <f t="shared" ref="T19" si="56">REPT(CHAR(9),8)&amp;"("""&amp;D19&amp;"""),"</f>
        <v xml:space="preserve">								("Type"),</v>
      </c>
      <c r="V19" s="70" t="str">
        <f t="shared" ref="V19" si="57">REPT(CHAR(9),8)&amp;"_ =&gt; _."&amp;D19&amp;","</f>
        <v xml:space="preserve">								_ =&gt; _.Type,</v>
      </c>
      <c r="W19" s="69" t="str">
        <f t="shared" ref="W19" si="58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.WhereIf(!string.IsNullOrWhiteSpace(input.Type), e =&gt; e.Type.Contains(input.Type))</v>
      </c>
    </row>
    <row r="20" spans="1:23" customFormat="1" ht="21" customHeight="1" x14ac:dyDescent="0.25">
      <c r="A20" t="s">
        <v>338</v>
      </c>
      <c r="B20" t="s">
        <v>4</v>
      </c>
      <c r="C20" t="s">
        <v>1</v>
      </c>
      <c r="D20" t="str">
        <f t="shared" ref="D20:D32" si="59">SUBSTITUTE(PROPER(A20),"_","")</f>
        <v>Sorting</v>
      </c>
      <c r="E20" t="str">
        <f t="shared" ref="E20:E32" si="60">IFERROR(LEFT(B20, FIND("(",B20)-1),B20)</f>
        <v>int</v>
      </c>
      <c r="F20" s="7"/>
      <c r="G20" t="str">
        <f t="shared" ref="G20:G32" si="61">IFERROR(MID(B20,FIND("(",B20) +1, FIND(")",B20) - FIND("(",B20) - 1),"")</f>
        <v/>
      </c>
      <c r="H20" t="str">
        <f>+VLOOKUP(E20,'Data Type Mapping'!A:B,2,)</f>
        <v>int</v>
      </c>
      <c r="I20" t="str">
        <f t="shared" ref="I20:I32" si="62">IF(H20="string",REPT(CHAR(9),2)&amp;"public const int Max"&amp;D20&amp;"Length = "&amp;G20&amp;";"&amp;$E$3,"" )</f>
        <v/>
      </c>
      <c r="J20" t="str">
        <f t="shared" ref="J20:J32" si="63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int Sorting { get; set; }
</v>
      </c>
      <c r="K20" s="7"/>
      <c r="L20" t="str">
        <f t="shared" ref="L20:L32" si="64">IF(K20="","",REPT(CHAR(9),1)&amp;"[Index(nameof("&amp;IF(D20="","",""&amp;D20)&amp;")"&amp;", Name="&amp;"""IX_"&amp;$B$7&amp;"_"&amp;D20&amp;""")]")</f>
        <v/>
      </c>
      <c r="M20" t="str">
        <f t="shared" ref="M20:M32" si="65">REPT(CHAR(9),2)&amp;"public virtual "&amp;IF(OR(H20="DateTime",H20="TimeSpan"),H20&amp;"?",H20)&amp;IF(C20="?","? "," ")&amp;D20&amp;" { get; set; }" &amp; "
"</f>
        <v xml:space="preserve">		public virtual int Sorting { get; set; }
</v>
      </c>
      <c r="N20" t="str">
        <f t="shared" ref="N20:N32" si="66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Sorting { get; set; }
</v>
      </c>
      <c r="O20" t="str">
        <f t="shared" ref="O20:O32" si="67">IF(OR(H20="string",H20="DateTime",H20="int"),REPT(CHAR(9),2)&amp;"public virtual "&amp;IF(OR(H20="DateTime",H20="TimeSpan"),H20&amp;"?",H20)&amp;IF(C20="?","? "," ")&amp;D20&amp;" { get; set; }"&amp;$E$3,"")</f>
        <v xml:space="preserve">		public virtual int Sorting { get; set; }
</v>
      </c>
      <c r="P20" t="str">
        <f t="shared" ref="P20:P32" si="68">REPT(CHAR(9),7)&amp;D20&amp;" = o." &amp;D20 &amp;","</f>
        <v xml:space="preserve">							Sorting = o.Sorting,</v>
      </c>
      <c r="T20" s="69" t="str">
        <f t="shared" ref="T20:T32" si="69">REPT(CHAR(9),8)&amp;"("""&amp;D20&amp;"""),"</f>
        <v xml:space="preserve">								("Sorting"),</v>
      </c>
      <c r="V20" s="70" t="str">
        <f t="shared" ref="V20:V32" si="70">REPT(CHAR(9),8)&amp;"_ =&gt; _."&amp;D20&amp;","</f>
        <v xml:space="preserve">								_ =&gt; _.Sorting,</v>
      </c>
      <c r="W20" s="69" t="str">
        <f t="shared" ref="W20:W32" si="71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344</v>
      </c>
      <c r="B21" t="s">
        <v>321</v>
      </c>
      <c r="C21" t="s">
        <v>1</v>
      </c>
      <c r="D21" t="str">
        <f t="shared" si="59"/>
        <v>BodyNo</v>
      </c>
      <c r="E21" t="str">
        <f t="shared" si="60"/>
        <v>varchar</v>
      </c>
      <c r="F21" s="7"/>
      <c r="G21" t="str">
        <f t="shared" si="61"/>
        <v>50</v>
      </c>
      <c r="H21" t="str">
        <f>+VLOOKUP(E21,'Data Type Mapping'!A:B,2,)</f>
        <v>string</v>
      </c>
      <c r="I21" t="str">
        <f t="shared" si="62"/>
        <v xml:space="preserve">		public const int MaxBodyNoLength = 50;
</v>
      </c>
      <c r="J21" t="str">
        <f t="shared" si="63"/>
        <v xml:space="preserve">		[StringLength(MaxBodyNoLength)]
		public virtual string BodyNo { get; set; }
</v>
      </c>
      <c r="K21" s="7"/>
      <c r="L21" t="str">
        <f t="shared" si="64"/>
        <v/>
      </c>
      <c r="M21" t="str">
        <f t="shared" si="65"/>
        <v xml:space="preserve">		public virtual string BodyNo { get; set; }
</v>
      </c>
      <c r="N21" t="str">
        <f t="shared" si="66"/>
        <v xml:space="preserve">		[StringLength(LgaBp2ProgressDetailsConsts.MaxBodyNoLength)]
		public virtual string BodyNo { get; set; }
</v>
      </c>
      <c r="O21" t="str">
        <f t="shared" si="67"/>
        <v xml:space="preserve">		public virtual string BodyNo { get; set; }
</v>
      </c>
      <c r="P21" t="str">
        <f t="shared" si="68"/>
        <v xml:space="preserve">							BodyNo = o.BodyNo,</v>
      </c>
      <c r="T21" s="69" t="str">
        <f t="shared" si="69"/>
        <v xml:space="preserve">								("BodyNo"),</v>
      </c>
      <c r="V21" s="70" t="str">
        <f t="shared" si="70"/>
        <v xml:space="preserve">								_ =&gt; _.BodyNo,</v>
      </c>
      <c r="W21" s="69" t="str">
        <f t="shared" si="71"/>
        <v xml:space="preserve">				.WhereIf(!string.IsNullOrWhiteSpace(input.BodyNo), e =&gt; e.BodyNo.Contains(input.BodyNo))</v>
      </c>
    </row>
    <row r="22" spans="1:23" customFormat="1" ht="22.5" customHeight="1" x14ac:dyDescent="0.25">
      <c r="A22" t="s">
        <v>345</v>
      </c>
      <c r="B22" t="s">
        <v>321</v>
      </c>
      <c r="C22" t="s">
        <v>1</v>
      </c>
      <c r="D22" t="str">
        <f>SUBSTITUTE(PROPER(A22),"_","")</f>
        <v>LotNo</v>
      </c>
      <c r="E22" t="str">
        <f t="shared" si="60"/>
        <v>varchar</v>
      </c>
      <c r="F22" s="7"/>
      <c r="G22" t="str">
        <f t="shared" si="61"/>
        <v>50</v>
      </c>
      <c r="H22" t="str">
        <f>+VLOOKUP(E22,'Data Type Mapping'!A:B,2,)</f>
        <v>string</v>
      </c>
      <c r="I22" t="str">
        <f t="shared" si="62"/>
        <v xml:space="preserve">		public const int MaxLotNoLength = 50;
</v>
      </c>
      <c r="J22" t="str">
        <f t="shared" si="63"/>
        <v xml:space="preserve">		[StringLength(MaxLotNoLength)]
		public virtual string LotNo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65"/>
        <v xml:space="preserve">		public virtual string LotNo { get; set; }
</v>
      </c>
      <c r="N22" t="str">
        <f t="shared" si="66"/>
        <v xml:space="preserve">		[StringLength(LgaBp2ProgressDetailsConsts.MaxLotNoLength)]
		public virtual string LotNo { get; set; }
</v>
      </c>
      <c r="O22" t="str">
        <f t="shared" si="67"/>
        <v xml:space="preserve">		public virtual string LotNo { get; set; }
</v>
      </c>
      <c r="P22" t="str">
        <f t="shared" si="68"/>
        <v xml:space="preserve">							LotNo = o.LotNo,</v>
      </c>
      <c r="T22" s="69" t="str">
        <f t="shared" si="69"/>
        <v xml:space="preserve">								("LotNo"),</v>
      </c>
      <c r="V22" s="70" t="str">
        <f t="shared" si="70"/>
        <v xml:space="preserve">								_ =&gt; _.LotNo,</v>
      </c>
      <c r="W22" s="69" t="str">
        <f t="shared" si="71"/>
        <v xml:space="preserve">				.WhereIf(!string.IsNullOrWhiteSpace(input.LotNo), e =&gt; e.LotNo.Contains(input.LotNo))</v>
      </c>
    </row>
    <row r="23" spans="1:23" customFormat="1" ht="21" customHeight="1" x14ac:dyDescent="0.25">
      <c r="A23" t="s">
        <v>346</v>
      </c>
      <c r="B23" t="s">
        <v>4</v>
      </c>
      <c r="C23" t="s">
        <v>1</v>
      </c>
      <c r="D23" t="str">
        <f t="shared" ref="D23:D24" si="72">SUBSTITUTE(PROPER(A23),"_","")</f>
        <v>NoInLot</v>
      </c>
      <c r="E23" t="str">
        <f t="shared" ref="E23:E27" si="73">IFERROR(LEFT(B23, FIND("(",B23)-1),B23)</f>
        <v>int</v>
      </c>
      <c r="F23" s="7"/>
      <c r="G23" t="str">
        <f t="shared" ref="G23:G27" si="74">IFERROR(MID(B23,FIND("(",B23) +1, FIND(")",B23) - FIND("(",B23) - 1),"")</f>
        <v/>
      </c>
      <c r="H23" t="str">
        <f>+VLOOKUP(E23,'Data Type Mapping'!A:B,2,)</f>
        <v>int</v>
      </c>
      <c r="I23" t="str">
        <f t="shared" ref="I23:I27" si="75">IF(H23="string",REPT(CHAR(9),2)&amp;"public const int Max"&amp;D23&amp;"Length = "&amp;G23&amp;";"&amp;$E$3,"" )</f>
        <v/>
      </c>
      <c r="J23" t="str">
        <f t="shared" ref="J23:J27" si="76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int NoInLot { get; set; }
</v>
      </c>
      <c r="K23" s="7"/>
      <c r="L23" t="str">
        <f t="shared" ref="L23:L24" si="77">IF(K23="","",REPT(CHAR(9),1)&amp;"[Index(nameof("&amp;IF(D23="","",""&amp;D23)&amp;")"&amp;", Name="&amp;"""IX_"&amp;$B$7&amp;"_"&amp;D23&amp;""")]")</f>
        <v/>
      </c>
      <c r="M23" t="str">
        <f t="shared" ref="M23:M27" si="78">REPT(CHAR(9),2)&amp;"public virtual "&amp;IF(OR(H23="DateTime",H23="TimeSpan"),H23&amp;"?",H23)&amp;IF(C23="?","? "," ")&amp;D23&amp;" { get; set; }" &amp; "
"</f>
        <v xml:space="preserve">		public virtual int NoInLot { get; set; }
</v>
      </c>
      <c r="N23" t="str">
        <f t="shared" ref="N23:N27" si="79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int NoInLot { get; set; }
</v>
      </c>
      <c r="O23" t="str">
        <f t="shared" ref="O23:O27" si="80">IF(OR(H23="string",H23="DateTime",H23="int"),REPT(CHAR(9),2)&amp;"public virtual "&amp;IF(OR(H23="DateTime",H23="TimeSpan"),H23&amp;"?",H23)&amp;IF(C23="?","? "," ")&amp;D23&amp;" { get; set; }"&amp;$E$3,"")</f>
        <v xml:space="preserve">		public virtual int NoInLot { get; set; }
</v>
      </c>
      <c r="P23" t="str">
        <f t="shared" ref="P23:P27" si="81">REPT(CHAR(9),7)&amp;D23&amp;" = o." &amp;D23 &amp;","</f>
        <v xml:space="preserve">							NoInLot = o.NoInLot,</v>
      </c>
      <c r="T23" s="69" t="str">
        <f t="shared" ref="T23:T27" si="82">REPT(CHAR(9),8)&amp;"("""&amp;D23&amp;"""),"</f>
        <v xml:space="preserve">								("NoInLot"),</v>
      </c>
      <c r="V23" s="70" t="str">
        <f t="shared" ref="V23:V27" si="83">REPT(CHAR(9),8)&amp;"_ =&gt; _."&amp;D23&amp;","</f>
        <v xml:space="preserve">								_ =&gt; _.NoInLot,</v>
      </c>
      <c r="W23" s="69" t="str">
        <f t="shared" ref="W23:W27" si="84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5">
      <c r="A24" t="s">
        <v>347</v>
      </c>
      <c r="B24" t="s">
        <v>321</v>
      </c>
      <c r="C24" t="s">
        <v>1</v>
      </c>
      <c r="D24" t="str">
        <f t="shared" si="72"/>
        <v>Grade</v>
      </c>
      <c r="E24" t="str">
        <f t="shared" si="73"/>
        <v>varchar</v>
      </c>
      <c r="F24" s="7"/>
      <c r="G24" t="str">
        <f t="shared" si="74"/>
        <v>50</v>
      </c>
      <c r="H24" t="str">
        <f>+VLOOKUP(E24,'Data Type Mapping'!A:B,2,)</f>
        <v>string</v>
      </c>
      <c r="I24" t="str">
        <f t="shared" si="75"/>
        <v xml:space="preserve">		public const int MaxGradeLength = 50;
</v>
      </c>
      <c r="J24" t="str">
        <f t="shared" si="76"/>
        <v xml:space="preserve">		[StringLength(MaxGradeLength)]
		public virtual string Grade { get; set; }
</v>
      </c>
      <c r="K24" s="7"/>
      <c r="L24" t="str">
        <f t="shared" si="77"/>
        <v/>
      </c>
      <c r="M24" t="str">
        <f t="shared" si="78"/>
        <v xml:space="preserve">		public virtual string Grade { get; set; }
</v>
      </c>
      <c r="N24" t="str">
        <f t="shared" si="79"/>
        <v xml:space="preserve">		[StringLength(LgaBp2ProgressDetailsConsts.MaxGradeLength)]
		public virtual string Grade { get; set; }
</v>
      </c>
      <c r="O24" t="str">
        <f t="shared" si="80"/>
        <v xml:space="preserve">		public virtual string Grade { get; set; }
</v>
      </c>
      <c r="P24" t="str">
        <f t="shared" si="81"/>
        <v xml:space="preserve">							Grade = o.Grade,</v>
      </c>
      <c r="T24" s="69" t="str">
        <f t="shared" si="82"/>
        <v xml:space="preserve">								("Grade"),</v>
      </c>
      <c r="V24" s="70" t="str">
        <f t="shared" si="83"/>
        <v xml:space="preserve">								_ =&gt; _.Grade,</v>
      </c>
      <c r="W24" s="69" t="str">
        <f t="shared" si="84"/>
        <v xml:space="preserve">				.WhereIf(!string.IsNullOrWhiteSpace(input.Grade), e =&gt; e.Grade.Contains(input.Grade))</v>
      </c>
    </row>
    <row r="25" spans="1:23" customFormat="1" ht="22.5" customHeight="1" x14ac:dyDescent="0.25">
      <c r="A25" t="s">
        <v>348</v>
      </c>
      <c r="B25" t="s">
        <v>321</v>
      </c>
      <c r="C25" t="s">
        <v>1</v>
      </c>
      <c r="D25" t="str">
        <f>SUBSTITUTE(PROPER(A25),"_","")</f>
        <v>Model</v>
      </c>
      <c r="E25" t="str">
        <f t="shared" si="73"/>
        <v>varchar</v>
      </c>
      <c r="F25" s="7"/>
      <c r="G25" t="str">
        <f t="shared" si="74"/>
        <v>50</v>
      </c>
      <c r="H25" t="str">
        <f>+VLOOKUP(E25,'Data Type Mapping'!A:B,2,)</f>
        <v>string</v>
      </c>
      <c r="I25" t="str">
        <f t="shared" si="75"/>
        <v xml:space="preserve">		public const int MaxModelLength = 50;
</v>
      </c>
      <c r="J25" t="str">
        <f t="shared" si="76"/>
        <v xml:space="preserve">		[StringLength(MaxModelLength)]
		public virtual string Model { get; set; }
</v>
      </c>
      <c r="K25" s="7"/>
      <c r="L25" t="str">
        <f>IF(K25="","",REPT(CHAR(9),1)&amp;"[Index(nameof("&amp;IF(D25="","",""&amp;D25)&amp;")"&amp;", Name="&amp;"""IX_"&amp;$B$7&amp;"_"&amp;D25&amp;""")]")</f>
        <v/>
      </c>
      <c r="M25" t="str">
        <f t="shared" si="78"/>
        <v xml:space="preserve">		public virtual string Model { get; set; }
</v>
      </c>
      <c r="N25" t="str">
        <f t="shared" si="79"/>
        <v xml:space="preserve">		[StringLength(LgaBp2ProgressDetailsConsts.MaxModelLength)]
		public virtual string Model { get; set; }
</v>
      </c>
      <c r="O25" t="str">
        <f t="shared" si="80"/>
        <v xml:space="preserve">		public virtual string Model { get; set; }
</v>
      </c>
      <c r="P25" t="str">
        <f t="shared" si="81"/>
        <v xml:space="preserve">							Model = o.Model,</v>
      </c>
      <c r="T25" s="69" t="str">
        <f t="shared" si="82"/>
        <v xml:space="preserve">								("Model"),</v>
      </c>
      <c r="V25" s="70" t="str">
        <f t="shared" si="83"/>
        <v xml:space="preserve">								_ =&gt; _.Model,</v>
      </c>
      <c r="W25" s="69" t="str">
        <f t="shared" si="84"/>
        <v xml:space="preserve">				.WhereIf(!string.IsNullOrWhiteSpace(input.Model), e =&gt; e.Model.Contains(input.Model))</v>
      </c>
    </row>
    <row r="26" spans="1:23" customFormat="1" ht="18.75" customHeight="1" x14ac:dyDescent="0.25">
      <c r="A26" t="s">
        <v>349</v>
      </c>
      <c r="B26" t="s">
        <v>321</v>
      </c>
      <c r="C26" t="s">
        <v>1</v>
      </c>
      <c r="D26" t="str">
        <f t="shared" ref="D26" si="85">SUBSTITUTE(PROPER(A26),"_","")</f>
        <v>BodyNo2</v>
      </c>
      <c r="E26" t="str">
        <f t="shared" si="73"/>
        <v>varchar</v>
      </c>
      <c r="F26" s="7"/>
      <c r="G26" t="str">
        <f t="shared" si="74"/>
        <v>50</v>
      </c>
      <c r="H26" t="str">
        <f>+VLOOKUP(E26,'Data Type Mapping'!A:B,2,)</f>
        <v>string</v>
      </c>
      <c r="I26" t="str">
        <f t="shared" si="75"/>
        <v xml:space="preserve">		public const int MaxBodyNo2Length = 50;
</v>
      </c>
      <c r="J26" t="str">
        <f t="shared" si="76"/>
        <v xml:space="preserve">		[StringLength(MaxBodyNo2Length)]
		public virtual string BodyNo2 { get; set; }
</v>
      </c>
      <c r="K26" s="7"/>
      <c r="L26" t="str">
        <f t="shared" ref="L26" si="86">IF(K26="","",REPT(CHAR(9),1)&amp;"[Index(nameof("&amp;IF(D26="","",""&amp;D26)&amp;")"&amp;", Name="&amp;"""IX_"&amp;$B$7&amp;"_"&amp;D26&amp;""")]")</f>
        <v/>
      </c>
      <c r="M26" t="str">
        <f t="shared" si="78"/>
        <v xml:space="preserve">		public virtual string BodyNo2 { get; set; }
</v>
      </c>
      <c r="N26" t="str">
        <f t="shared" si="79"/>
        <v xml:space="preserve">		[StringLength(LgaBp2ProgressDetailsConsts.MaxBodyNo2Length)]
		public virtual string BodyNo2 { get; set; }
</v>
      </c>
      <c r="O26" t="str">
        <f t="shared" si="80"/>
        <v xml:space="preserve">		public virtual string BodyNo2 { get; set; }
</v>
      </c>
      <c r="P26" t="str">
        <f t="shared" si="81"/>
        <v xml:space="preserve">							BodyNo2 = o.BodyNo2,</v>
      </c>
      <c r="T26" s="69" t="str">
        <f t="shared" si="82"/>
        <v xml:space="preserve">								("BodyNo2"),</v>
      </c>
      <c r="V26" s="70" t="str">
        <f t="shared" si="83"/>
        <v xml:space="preserve">								_ =&gt; _.BodyNo2,</v>
      </c>
      <c r="W26" s="69" t="str">
        <f t="shared" si="84"/>
        <v xml:space="preserve">				.WhereIf(!string.IsNullOrWhiteSpace(input.BodyNo2), e =&gt; e.BodyNo2.Contains(input.BodyNo2))</v>
      </c>
    </row>
    <row r="27" spans="1:23" customFormat="1" ht="22.5" customHeight="1" x14ac:dyDescent="0.25">
      <c r="A27" t="s">
        <v>350</v>
      </c>
      <c r="B27" t="s">
        <v>321</v>
      </c>
      <c r="C27" t="s">
        <v>1</v>
      </c>
      <c r="D27" t="str">
        <f>SUBSTITUTE(PROPER(A27),"_","")</f>
        <v>LotNo2</v>
      </c>
      <c r="E27" t="str">
        <f t="shared" si="73"/>
        <v>varchar</v>
      </c>
      <c r="F27" s="7"/>
      <c r="G27" t="str">
        <f t="shared" si="74"/>
        <v>50</v>
      </c>
      <c r="H27" t="str">
        <f>+VLOOKUP(E27,'Data Type Mapping'!A:B,2,)</f>
        <v>string</v>
      </c>
      <c r="I27" t="str">
        <f t="shared" si="75"/>
        <v xml:space="preserve">		public const int MaxLotNo2Length = 50;
</v>
      </c>
      <c r="J27" t="str">
        <f t="shared" si="76"/>
        <v xml:space="preserve">		[StringLength(MaxLotNo2Length)]
		public virtual string LotNo2 { get; set; }
</v>
      </c>
      <c r="K27" s="7"/>
      <c r="L27" t="str">
        <f>IF(K27="","",REPT(CHAR(9),1)&amp;"[Index(nameof("&amp;IF(D27="","",""&amp;D27)&amp;")"&amp;", Name="&amp;"""IX_"&amp;$B$7&amp;"_"&amp;D27&amp;""")]")</f>
        <v/>
      </c>
      <c r="M27" t="str">
        <f t="shared" si="78"/>
        <v xml:space="preserve">		public virtual string LotNo2 { get; set; }
</v>
      </c>
      <c r="N27" t="str">
        <f t="shared" si="79"/>
        <v xml:space="preserve">		[StringLength(LgaBp2ProgressDetailsConsts.MaxLotNo2Length)]
		public virtual string LotNo2 { get; set; }
</v>
      </c>
      <c r="O27" t="str">
        <f t="shared" si="80"/>
        <v xml:space="preserve">		public virtual string LotNo2 { get; set; }
</v>
      </c>
      <c r="P27" t="str">
        <f t="shared" si="81"/>
        <v xml:space="preserve">							LotNo2 = o.LotNo2,</v>
      </c>
      <c r="T27" s="69" t="str">
        <f t="shared" si="82"/>
        <v xml:space="preserve">								("LotNo2"),</v>
      </c>
      <c r="V27" s="70" t="str">
        <f t="shared" si="83"/>
        <v xml:space="preserve">								_ =&gt; _.LotNo2,</v>
      </c>
      <c r="W27" s="69" t="str">
        <f t="shared" si="84"/>
        <v xml:space="preserve">				.WhereIf(!string.IsNullOrWhiteSpace(input.LotNo2), e =&gt; e.LotNo2.Contains(input.LotNo2))</v>
      </c>
    </row>
    <row r="28" spans="1:23" customFormat="1" ht="21" customHeight="1" x14ac:dyDescent="0.25">
      <c r="A28" t="s">
        <v>351</v>
      </c>
      <c r="B28" t="s">
        <v>4</v>
      </c>
      <c r="C28" t="s">
        <v>1</v>
      </c>
      <c r="D28" t="str">
        <f t="shared" ref="D28:D29" si="87">SUBSTITUTE(PROPER(A28),"_","")</f>
        <v>NoInLot2</v>
      </c>
      <c r="E28" t="str">
        <f t="shared" ref="E28:E31" si="88">IFERROR(LEFT(B28, FIND("(",B28)-1),B28)</f>
        <v>int</v>
      </c>
      <c r="F28" s="7"/>
      <c r="G28" t="str">
        <f t="shared" ref="G28:G31" si="89">IFERROR(MID(B28,FIND("(",B28) +1, FIND(")",B28) - FIND("(",B28) - 1),"")</f>
        <v/>
      </c>
      <c r="H28" t="str">
        <f>+VLOOKUP(E28,'Data Type Mapping'!A:B,2,)</f>
        <v>int</v>
      </c>
      <c r="I28" t="str">
        <f t="shared" ref="I28:I31" si="90">IF(H28="string",REPT(CHAR(9),2)&amp;"public const int Max"&amp;D28&amp;"Length = "&amp;G28&amp;";"&amp;$E$3,"" )</f>
        <v/>
      </c>
      <c r="J28" t="str">
        <f t="shared" ref="J28:J31" si="91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public virtual int NoInLot2 { get; set; }
</v>
      </c>
      <c r="K28" s="7"/>
      <c r="L28" t="str">
        <f t="shared" ref="L28:L29" si="92">IF(K28="","",REPT(CHAR(9),1)&amp;"[Index(nameof("&amp;IF(D28="","",""&amp;D28)&amp;")"&amp;", Name="&amp;"""IX_"&amp;$B$7&amp;"_"&amp;D28&amp;""")]")</f>
        <v/>
      </c>
      <c r="M28" t="str">
        <f t="shared" ref="M28:M31" si="93">REPT(CHAR(9),2)&amp;"public virtual "&amp;IF(OR(H28="DateTime",H28="TimeSpan"),H28&amp;"?",H28)&amp;IF(C28="?","? "," ")&amp;D28&amp;" { get; set; }" &amp; "
"</f>
        <v xml:space="preserve">		public virtual int NoInLot2 { get; set; }
</v>
      </c>
      <c r="N28" t="str">
        <f t="shared" ref="N28:N31" si="94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public virtual int NoInLot2 { get; set; }
</v>
      </c>
      <c r="O28" t="str">
        <f t="shared" ref="O28:O31" si="95">IF(OR(H28="string",H28="DateTime",H28="int"),REPT(CHAR(9),2)&amp;"public virtual "&amp;IF(OR(H28="DateTime",H28="TimeSpan"),H28&amp;"?",H28)&amp;IF(C28="?","? "," ")&amp;D28&amp;" { get; set; }"&amp;$E$3,"")</f>
        <v xml:space="preserve">		public virtual int NoInLot2 { get; set; }
</v>
      </c>
      <c r="P28" t="str">
        <f t="shared" ref="P28:P31" si="96">REPT(CHAR(9),7)&amp;D28&amp;" = o." &amp;D28 &amp;","</f>
        <v xml:space="preserve">							NoInLot2 = o.NoInLot2,</v>
      </c>
      <c r="T28" s="69" t="str">
        <f t="shared" ref="T28:T31" si="97">REPT(CHAR(9),8)&amp;"("""&amp;D28&amp;"""),"</f>
        <v xml:space="preserve">								("NoInLot2"),</v>
      </c>
      <c r="V28" s="70" t="str">
        <f t="shared" ref="V28:V31" si="98">REPT(CHAR(9),8)&amp;"_ =&gt; _."&amp;D28&amp;","</f>
        <v xml:space="preserve">								_ =&gt; _.NoInLot2,</v>
      </c>
      <c r="W28" s="69" t="str">
        <f t="shared" ref="W28:W31" si="99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/>
      </c>
    </row>
    <row r="29" spans="1:23" customFormat="1" ht="18.75" customHeight="1" x14ac:dyDescent="0.25">
      <c r="A29" t="s">
        <v>352</v>
      </c>
      <c r="B29" t="s">
        <v>321</v>
      </c>
      <c r="C29" t="s">
        <v>1</v>
      </c>
      <c r="D29" t="str">
        <f t="shared" si="87"/>
        <v>Grade2</v>
      </c>
      <c r="E29" t="str">
        <f t="shared" si="88"/>
        <v>varchar</v>
      </c>
      <c r="F29" s="7"/>
      <c r="G29" t="str">
        <f t="shared" si="89"/>
        <v>50</v>
      </c>
      <c r="H29" t="str">
        <f>+VLOOKUP(E29,'Data Type Mapping'!A:B,2,)</f>
        <v>string</v>
      </c>
      <c r="I29" t="str">
        <f t="shared" si="90"/>
        <v xml:space="preserve">		public const int MaxGrade2Length = 50;
</v>
      </c>
      <c r="J29" t="str">
        <f t="shared" si="91"/>
        <v xml:space="preserve">		[StringLength(MaxGrade2Length)]
		public virtual string Grade2 { get; set; }
</v>
      </c>
      <c r="K29" s="7"/>
      <c r="L29" t="str">
        <f t="shared" si="92"/>
        <v/>
      </c>
      <c r="M29" t="str">
        <f t="shared" si="93"/>
        <v xml:space="preserve">		public virtual string Grade2 { get; set; }
</v>
      </c>
      <c r="N29" t="str">
        <f t="shared" si="94"/>
        <v xml:space="preserve">		[StringLength(LgaBp2ProgressDetailsConsts.MaxGrade2Length)]
		public virtual string Grade2 { get; set; }
</v>
      </c>
      <c r="O29" t="str">
        <f t="shared" si="95"/>
        <v xml:space="preserve">		public virtual string Grade2 { get; set; }
</v>
      </c>
      <c r="P29" t="str">
        <f t="shared" si="96"/>
        <v xml:space="preserve">							Grade2 = o.Grade2,</v>
      </c>
      <c r="T29" s="69" t="str">
        <f t="shared" si="97"/>
        <v xml:space="preserve">								("Grade2"),</v>
      </c>
      <c r="V29" s="70" t="str">
        <f t="shared" si="98"/>
        <v xml:space="preserve">								_ =&gt; _.Grade2,</v>
      </c>
      <c r="W29" s="69" t="str">
        <f t="shared" si="99"/>
        <v xml:space="preserve">				.WhereIf(!string.IsNullOrWhiteSpace(input.Grade2), e =&gt; e.Grade2.Contains(input.Grade2))</v>
      </c>
    </row>
    <row r="30" spans="1:23" customFormat="1" ht="22.5" customHeight="1" x14ac:dyDescent="0.25">
      <c r="A30" t="s">
        <v>353</v>
      </c>
      <c r="B30" t="s">
        <v>321</v>
      </c>
      <c r="C30" t="s">
        <v>1</v>
      </c>
      <c r="D30" t="str">
        <f>SUBSTITUTE(PROPER(A30),"_","")</f>
        <v>Model2</v>
      </c>
      <c r="E30" t="str">
        <f t="shared" si="88"/>
        <v>varchar</v>
      </c>
      <c r="F30" s="7"/>
      <c r="G30" t="str">
        <f t="shared" si="89"/>
        <v>50</v>
      </c>
      <c r="H30" t="str">
        <f>+VLOOKUP(E30,'Data Type Mapping'!A:B,2,)</f>
        <v>string</v>
      </c>
      <c r="I30" t="str">
        <f t="shared" si="90"/>
        <v xml:space="preserve">		public const int MaxModel2Length = 50;
</v>
      </c>
      <c r="J30" t="str">
        <f t="shared" si="91"/>
        <v xml:space="preserve">		[StringLength(MaxModel2Length)]
		public virtual string Model2 { get; set; }
</v>
      </c>
      <c r="K30" s="7"/>
      <c r="L30" t="str">
        <f>IF(K30="","",REPT(CHAR(9),1)&amp;"[Index(nameof("&amp;IF(D30="","",""&amp;D30)&amp;")"&amp;", Name="&amp;"""IX_"&amp;$B$7&amp;"_"&amp;D30&amp;""")]")</f>
        <v/>
      </c>
      <c r="M30" t="str">
        <f t="shared" si="93"/>
        <v xml:space="preserve">		public virtual string Model2 { get; set; }
</v>
      </c>
      <c r="N30" t="str">
        <f t="shared" si="94"/>
        <v xml:space="preserve">		[StringLength(LgaBp2ProgressDetailsConsts.MaxModel2Length)]
		public virtual string Model2 { get; set; }
</v>
      </c>
      <c r="O30" t="str">
        <f t="shared" si="95"/>
        <v xml:space="preserve">		public virtual string Model2 { get; set; }
</v>
      </c>
      <c r="P30" t="str">
        <f t="shared" si="96"/>
        <v xml:space="preserve">							Model2 = o.Model2,</v>
      </c>
      <c r="T30" s="69" t="str">
        <f t="shared" si="97"/>
        <v xml:space="preserve">								("Model2"),</v>
      </c>
      <c r="V30" s="70" t="str">
        <f t="shared" si="98"/>
        <v xml:space="preserve">								_ =&gt; _.Model2,</v>
      </c>
      <c r="W30" s="69" t="str">
        <f t="shared" si="99"/>
        <v xml:space="preserve">				.WhereIf(!string.IsNullOrWhiteSpace(input.Model2), e =&gt; e.Model2.Contains(input.Model2))</v>
      </c>
    </row>
    <row r="31" spans="1:23" customFormat="1" ht="22.5" customHeight="1" x14ac:dyDescent="0.25">
      <c r="A31" t="s">
        <v>354</v>
      </c>
      <c r="B31" t="s">
        <v>321</v>
      </c>
      <c r="C31" t="s">
        <v>1</v>
      </c>
      <c r="D31" t="str">
        <f>SUBSTITUTE(PROPER(A31),"_","")</f>
        <v>Address2</v>
      </c>
      <c r="E31" t="str">
        <f t="shared" si="88"/>
        <v>varchar</v>
      </c>
      <c r="F31" s="7"/>
      <c r="G31" t="str">
        <f t="shared" si="89"/>
        <v>50</v>
      </c>
      <c r="H31" t="str">
        <f>+VLOOKUP(E31,'Data Type Mapping'!A:B,2,)</f>
        <v>string</v>
      </c>
      <c r="I31" t="str">
        <f t="shared" si="90"/>
        <v xml:space="preserve">		public const int MaxAddress2Length = 50;
</v>
      </c>
      <c r="J31" t="str">
        <f t="shared" si="91"/>
        <v xml:space="preserve">		[StringLength(MaxAddress2Length)]
		public virtual string Address2 { get; set; }
</v>
      </c>
      <c r="K31" s="7"/>
      <c r="L31" t="str">
        <f>IF(K31="","",REPT(CHAR(9),1)&amp;"[Index(nameof("&amp;IF(D31="","",""&amp;D31)&amp;")"&amp;", Name="&amp;"""IX_"&amp;$B$7&amp;"_"&amp;D31&amp;""")]")</f>
        <v/>
      </c>
      <c r="M31" t="str">
        <f t="shared" si="93"/>
        <v xml:space="preserve">		public virtual string Address2 { get; set; }
</v>
      </c>
      <c r="N31" t="str">
        <f t="shared" si="94"/>
        <v xml:space="preserve">		[StringLength(LgaBp2ProgressDetailsConsts.MaxAddress2Length)]
		public virtual string Address2 { get; set; }
</v>
      </c>
      <c r="O31" t="str">
        <f t="shared" si="95"/>
        <v xml:space="preserve">		public virtual string Address2 { get; set; }
</v>
      </c>
      <c r="P31" t="str">
        <f t="shared" si="96"/>
        <v xml:space="preserve">							Address2 = o.Address2,</v>
      </c>
      <c r="T31" s="69" t="str">
        <f t="shared" si="97"/>
        <v xml:space="preserve">								("Address2"),</v>
      </c>
      <c r="V31" s="70" t="str">
        <f t="shared" si="98"/>
        <v xml:space="preserve">								_ =&gt; _.Address2,</v>
      </c>
      <c r="W31" s="69" t="str">
        <f t="shared" si="99"/>
        <v xml:space="preserve">				.WhereIf(!string.IsNullOrWhiteSpace(input.Address2), e =&gt; e.Address2.Contains(input.Address2))</v>
      </c>
    </row>
    <row r="32" spans="1:23" customFormat="1" ht="18.75" customHeight="1" x14ac:dyDescent="0.25">
      <c r="A32" t="s">
        <v>333</v>
      </c>
      <c r="B32" t="s">
        <v>331</v>
      </c>
      <c r="C32" t="s">
        <v>1</v>
      </c>
      <c r="D32" t="str">
        <f t="shared" si="59"/>
        <v>NewtaktDatetime</v>
      </c>
      <c r="E32" t="str">
        <f t="shared" si="60"/>
        <v>datetime2</v>
      </c>
      <c r="F32" s="7" t="s">
        <v>331</v>
      </c>
      <c r="G32" t="str">
        <f t="shared" si="61"/>
        <v>7</v>
      </c>
      <c r="H32" t="str">
        <f>+VLOOKUP(E32,'Data Type Mapping'!A:B,2,)</f>
        <v>DateTime</v>
      </c>
      <c r="I32" t="str">
        <f t="shared" si="62"/>
        <v/>
      </c>
      <c r="J32" t="str">
        <f t="shared" si="63"/>
        <v xml:space="preserve">		[Column(TypeName="datetime2(7)")]
		public virtual DateTime NewtaktDatetime { get; set; }
</v>
      </c>
      <c r="K32" s="7"/>
      <c r="L32" t="str">
        <f t="shared" si="64"/>
        <v/>
      </c>
      <c r="M32" t="str">
        <f t="shared" si="65"/>
        <v xml:space="preserve">		public virtual DateTime? NewtaktDatetime { get; set; }
</v>
      </c>
      <c r="N32" t="str">
        <f t="shared" si="66"/>
        <v xml:space="preserve">		public virtual DateTime? NewtaktDatetime { get; set; }
</v>
      </c>
      <c r="O32" t="str">
        <f t="shared" si="67"/>
        <v xml:space="preserve">		public virtual DateTime? NewtaktDatetime { get; set; }
</v>
      </c>
      <c r="P32" t="str">
        <f t="shared" si="68"/>
        <v xml:space="preserve">							NewtaktDatetime = o.NewtaktDatetime,</v>
      </c>
      <c r="T32" s="69" t="str">
        <f t="shared" si="69"/>
        <v xml:space="preserve">								("NewtaktDatetime"),</v>
      </c>
      <c r="V32" s="70" t="str">
        <f t="shared" si="70"/>
        <v xml:space="preserve">								_ =&gt; _.NewtaktDatetime,</v>
      </c>
      <c r="W32" s="69" t="str">
        <f t="shared" si="71"/>
        <v xml:space="preserve">				.WhereIf(input.NewtaktDatetime.HasValue, t =&gt; t.NewtaktDatetime == input.NewtaktDatetime.Value)</v>
      </c>
    </row>
    <row r="33" spans="1:23" customFormat="1" ht="18.75" customHeight="1" x14ac:dyDescent="0.25">
      <c r="A33" t="s">
        <v>329</v>
      </c>
      <c r="B33" t="s">
        <v>331</v>
      </c>
      <c r="C33" t="s">
        <v>1</v>
      </c>
      <c r="D33" t="str">
        <f t="shared" si="24"/>
        <v>StartDatetime</v>
      </c>
      <c r="E33" t="str">
        <f t="shared" si="13"/>
        <v>datetime2</v>
      </c>
      <c r="F33" s="7" t="s">
        <v>331</v>
      </c>
      <c r="G33" t="str">
        <f t="shared" si="14"/>
        <v>7</v>
      </c>
      <c r="H33" t="str">
        <f>+VLOOKUP(E33,'Data Type Mapping'!A:B,2,)</f>
        <v>DateTime</v>
      </c>
      <c r="I33" t="str">
        <f t="shared" si="15"/>
        <v/>
      </c>
      <c r="J33" t="str">
        <f t="shared" si="16"/>
        <v xml:space="preserve">		[Column(TypeName="datetime2(7)")]
		public virtual DateTime StartDatetime { get; set; }
</v>
      </c>
      <c r="K33" s="7"/>
      <c r="L33" t="str">
        <f t="shared" si="25"/>
        <v/>
      </c>
      <c r="M33" t="str">
        <f t="shared" si="17"/>
        <v xml:space="preserve">		public virtual DateTime? StartDatetime { get; set; }
</v>
      </c>
      <c r="N33" t="str">
        <f t="shared" si="18"/>
        <v xml:space="preserve">		public virtual DateTime? StartDatetime { get; set; }
</v>
      </c>
      <c r="O33" t="str">
        <f t="shared" si="19"/>
        <v xml:space="preserve">		public virtual DateTime? StartDatetime { get; set; }
</v>
      </c>
      <c r="P33" t="str">
        <f t="shared" si="20"/>
        <v xml:space="preserve">							StartDatetime = o.StartDatetime,</v>
      </c>
      <c r="T33" s="69" t="str">
        <f t="shared" si="21"/>
        <v xml:space="preserve">								("StartDatetime"),</v>
      </c>
      <c r="V33" s="70" t="str">
        <f t="shared" si="22"/>
        <v xml:space="preserve">								_ =&gt; _.StartDatetime,</v>
      </c>
      <c r="W33" s="69" t="str">
        <f t="shared" si="23"/>
        <v xml:space="preserve">				.WhereIf(input.StartDatetime.HasValue, t =&gt; t.StartDatetime == input.StartDatetime.Value)</v>
      </c>
    </row>
    <row r="34" spans="1:23" customFormat="1" ht="18.75" customHeight="1" x14ac:dyDescent="0.25">
      <c r="A34" t="s">
        <v>330</v>
      </c>
      <c r="B34" t="s">
        <v>331</v>
      </c>
      <c r="C34" t="s">
        <v>1</v>
      </c>
      <c r="D34" t="str">
        <f t="shared" ref="D34" si="100">SUBSTITUTE(PROPER(A34),"_","")</f>
        <v>FinishDatetime</v>
      </c>
      <c r="E34" t="str">
        <f t="shared" ref="E34" si="101">IFERROR(LEFT(B34, FIND("(",B34)-1),B34)</f>
        <v>datetime2</v>
      </c>
      <c r="F34" s="7" t="s">
        <v>331</v>
      </c>
      <c r="G34" t="str">
        <f t="shared" ref="G34" si="102">IFERROR(MID(B34,FIND("(",B34) +1, FIND(")",B34) - FIND("(",B34) - 1),"")</f>
        <v>7</v>
      </c>
      <c r="H34" t="str">
        <f>+VLOOKUP(E34,'Data Type Mapping'!A:B,2,)</f>
        <v>DateTime</v>
      </c>
      <c r="I34" t="str">
        <f t="shared" ref="I34" si="103">IF(H34="string",REPT(CHAR(9),2)&amp;"public const int Max"&amp;D34&amp;"Length = "&amp;G34&amp;";"&amp;$E$3,"" )</f>
        <v/>
      </c>
      <c r="J34" t="str">
        <f t="shared" ref="J34" si="104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[Column(TypeName="datetime2(7)")]
		public virtual DateTime FinishDatetime { get; set; }
</v>
      </c>
      <c r="K34" s="7"/>
      <c r="L34" t="str">
        <f t="shared" ref="L34" si="105">IF(K34="","",REPT(CHAR(9),1)&amp;"[Index(nameof("&amp;IF(D34="","",""&amp;D34)&amp;")"&amp;", Name="&amp;"""IX_"&amp;$B$7&amp;"_"&amp;D34&amp;""")]")</f>
        <v/>
      </c>
      <c r="M34" t="str">
        <f t="shared" ref="M34" si="106">REPT(CHAR(9),2)&amp;"public virtual "&amp;IF(OR(H34="DateTime",H34="TimeSpan"),H34&amp;"?",H34)&amp;IF(C34="?","? "," ")&amp;D34&amp;" { get; set; }" &amp; "
"</f>
        <v xml:space="preserve">		public virtual DateTime? FinishDatetime { get; set; }
</v>
      </c>
      <c r="N34" t="str">
        <f t="shared" ref="N34" si="107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public virtual DateTime? FinishDatetime { get; set; }
</v>
      </c>
      <c r="O34" t="str">
        <f t="shared" ref="O34" si="108">IF(OR(H34="string",H34="DateTime",H34="int"),REPT(CHAR(9),2)&amp;"public virtual "&amp;IF(OR(H34="DateTime",H34="TimeSpan"),H34&amp;"?",H34)&amp;IF(C34="?","? "," ")&amp;D34&amp;" { get; set; }"&amp;$E$3,"")</f>
        <v xml:space="preserve">		public virtual DateTime? FinishDatetime { get; set; }
</v>
      </c>
      <c r="P34" t="str">
        <f t="shared" ref="P34" si="109">REPT(CHAR(9),7)&amp;D34&amp;" = o." &amp;D34 &amp;","</f>
        <v xml:space="preserve">							FinishDatetime = o.FinishDatetime,</v>
      </c>
      <c r="T34" s="69" t="str">
        <f t="shared" ref="T34" si="110">REPT(CHAR(9),8)&amp;"("""&amp;D34&amp;"""),"</f>
        <v xml:space="preserve">								("FinishDatetime"),</v>
      </c>
      <c r="V34" s="70" t="str">
        <f t="shared" ref="V34" si="111">REPT(CHAR(9),8)&amp;"_ =&gt; _."&amp;D34&amp;","</f>
        <v xml:space="preserve">								_ =&gt; _.FinishDatetime,</v>
      </c>
      <c r="W34" s="69" t="str">
        <f t="shared" ref="W34" si="112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.WhereIf(input.FinishDatetime.HasValue, t =&gt; t.FinishDatetime == input.FinishDatetime.Value)</v>
      </c>
    </row>
    <row r="35" spans="1:23" customFormat="1" ht="18.75" customHeight="1" x14ac:dyDescent="0.25">
      <c r="A35" t="s">
        <v>332</v>
      </c>
      <c r="B35" t="s">
        <v>321</v>
      </c>
      <c r="C35" t="s">
        <v>1</v>
      </c>
      <c r="D35" t="str">
        <f t="shared" ref="D35" si="113">SUBSTITUTE(PROPER(A35),"_","")</f>
        <v>Status</v>
      </c>
      <c r="E35" t="str">
        <f t="shared" ref="E35" si="114">IFERROR(LEFT(B35, FIND("(",B35)-1),B35)</f>
        <v>varchar</v>
      </c>
      <c r="F35" s="7"/>
      <c r="G35" t="str">
        <f t="shared" ref="G35" si="115">IFERROR(MID(B35,FIND("(",B35) +1, FIND(")",B35) - FIND("(",B35) - 1),"")</f>
        <v>50</v>
      </c>
      <c r="H35" t="str">
        <f>+VLOOKUP(E35,'Data Type Mapping'!A:B,2,)</f>
        <v>string</v>
      </c>
      <c r="I35" t="str">
        <f t="shared" ref="I35" si="116">IF(H35="string",REPT(CHAR(9),2)&amp;"public const int Max"&amp;D35&amp;"Length = "&amp;G35&amp;";"&amp;$E$3,"" )</f>
        <v xml:space="preserve">		public const int MaxStatusLength = 50;
</v>
      </c>
      <c r="J35" t="str">
        <f t="shared" ref="J35" si="117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[StringLength(MaxStatusLength)]
		public virtual string Status { get; set; }
</v>
      </c>
      <c r="K35" s="7"/>
      <c r="L35" t="str">
        <f t="shared" ref="L35" si="118">IF(K35="","",REPT(CHAR(9),1)&amp;"[Index(nameof("&amp;IF(D35="","",""&amp;D35)&amp;")"&amp;", Name="&amp;"""IX_"&amp;$B$7&amp;"_"&amp;D35&amp;""")]")</f>
        <v/>
      </c>
      <c r="M35" t="str">
        <f t="shared" ref="M35" si="119">REPT(CHAR(9),2)&amp;"public virtual "&amp;IF(OR(H35="DateTime",H35="TimeSpan"),H35&amp;"?",H35)&amp;IF(C35="?","? "," ")&amp;D35&amp;" { get; set; }" &amp; "
"</f>
        <v xml:space="preserve">		public virtual string Status { get; set; }
</v>
      </c>
      <c r="N35" t="str">
        <f t="shared" ref="N35" si="120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[StringLength(LgaBp2ProgressDetailsConsts.MaxStatusLength)]
		public virtual string Status { get; set; }
</v>
      </c>
      <c r="O35" t="str">
        <f t="shared" ref="O35" si="121">IF(OR(H35="string",H35="DateTime",H35="int"),REPT(CHAR(9),2)&amp;"public virtual "&amp;IF(OR(H35="DateTime",H35="TimeSpan"),H35&amp;"?",H35)&amp;IF(C35="?","? "," ")&amp;D35&amp;" { get; set; }"&amp;$E$3,"")</f>
        <v xml:space="preserve">		public virtual string Status { get; set; }
</v>
      </c>
      <c r="P35" t="str">
        <f t="shared" ref="P35" si="122">REPT(CHAR(9),7)&amp;D35&amp;" = o." &amp;D35 &amp;","</f>
        <v xml:space="preserve">							Status = o.Status,</v>
      </c>
      <c r="T35" s="69" t="str">
        <f t="shared" ref="T35" si="123">REPT(CHAR(9),8)&amp;"("""&amp;D35&amp;"""),"</f>
        <v xml:space="preserve">								("Status"),</v>
      </c>
      <c r="V35" s="70" t="str">
        <f t="shared" ref="V35" si="124">REPT(CHAR(9),8)&amp;"_ =&gt; _."&amp;D35&amp;","</f>
        <v xml:space="preserve">								_ =&gt; _.Status,</v>
      </c>
      <c r="W35" s="69" t="str">
        <f t="shared" ref="W35" si="125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.WhereIf(!string.IsNullOrWhiteSpace(input.Status), e =&gt; e.Status.Contains(input.Status))</v>
      </c>
    </row>
    <row r="36" spans="1:23" customFormat="1" ht="22.5" customHeight="1" x14ac:dyDescent="0.25">
      <c r="A36" t="s">
        <v>323</v>
      </c>
      <c r="B36" t="s">
        <v>324</v>
      </c>
      <c r="C36" t="s">
        <v>1</v>
      </c>
      <c r="D36" t="str">
        <f>SUBSTITUTE(PROPER(A36),"_","")</f>
        <v>IsActive</v>
      </c>
      <c r="E36" t="str">
        <f t="shared" si="13"/>
        <v>varchar</v>
      </c>
      <c r="F36" s="7"/>
      <c r="G36" t="str">
        <f t="shared" si="14"/>
        <v>1</v>
      </c>
      <c r="H36" t="str">
        <f>+VLOOKUP(E36,'Data Type Mapping'!A:B,2,)</f>
        <v>string</v>
      </c>
      <c r="I36" t="str">
        <f t="shared" si="15"/>
        <v xml:space="preserve">		public const int MaxIsActiveLength = 1;
</v>
      </c>
      <c r="J36" t="str">
        <f t="shared" si="16"/>
        <v xml:space="preserve">		[StringLength(MaxIsActiveLength)]
		public virtual string IsActive { get; set; }
</v>
      </c>
      <c r="K36" s="7" t="s">
        <v>206</v>
      </c>
      <c r="L36" t="str">
        <f>IF(K36="","",REPT(CHAR(9),1)&amp;"[Index(nameof("&amp;IF(D36="","",""&amp;D36)&amp;")"&amp;", Name="&amp;"""IX_"&amp;$B$7&amp;"_"&amp;D36&amp;""")]")</f>
        <v xml:space="preserve">	[Index(nameof(IsActive), Name="IX_LgaBp2ProgressDetails_IsActive")]</v>
      </c>
      <c r="M36" t="str">
        <f t="shared" si="17"/>
        <v xml:space="preserve">		public virtual string IsActive { get; set; }
</v>
      </c>
      <c r="N36" t="str">
        <f t="shared" si="18"/>
        <v xml:space="preserve">		[StringLength(LgaBp2ProgressDetailsConsts.MaxIsActiveLength)]
		public virtual string IsActive { get; set; }
</v>
      </c>
      <c r="O36" t="str">
        <f t="shared" si="19"/>
        <v xml:space="preserve">		public virtual string IsActive { get; set; }
</v>
      </c>
      <c r="P36" t="str">
        <f t="shared" si="20"/>
        <v xml:space="preserve">							IsActive = o.IsActive,</v>
      </c>
      <c r="T36" s="69" t="str">
        <f t="shared" si="21"/>
        <v xml:space="preserve">								("IsActive"),</v>
      </c>
      <c r="V36" s="70" t="str">
        <f t="shared" si="22"/>
        <v xml:space="preserve">								_ =&gt; _.IsActive,</v>
      </c>
      <c r="W36" s="69" t="str">
        <f t="shared" si="23"/>
        <v xml:space="preserve">				.WhereIf(!string.IsNullOrWhiteSpace(input.IsActive), e =&gt; e.IsActive.Contains(input.IsActive))</v>
      </c>
    </row>
    <row r="38" spans="1:23" ht="45.75" customHeight="1" x14ac:dyDescent="0.25">
      <c r="H38" s="12"/>
      <c r="I38" s="34" t="str">
        <f ca="1">TEXTJOIN2("
", TRUE,INDIRECT( $H$1):INDIRECT( $H$3))</f>
        <v xml:space="preserve">		public const int MaxProdLineLength = 50;
		public const int MaxShiftLength = 50;
		public const int MaxPartNoLength = 50;
		public const int MaxShortNameLength = 50;
		public const int MaxAddressLength = 50;
		public const int MaxTypeLength = 50;
		public const int MaxBodyNoLength = 50;
		public const int MaxLotNoLength = 50;
		public const int MaxGradeLength = 50;
		public const int MaxModelLength = 50;
		public const int MaxBodyNo2Length = 50;
		public const int MaxLotNo2Length = 50;
		public const int MaxGrade2Length = 50;
		public const int MaxModel2Length = 50;
		public const int MaxAddress2Length = 50;
		public const int MaxStatusLength = 50;
		public const int MaxIsActiveLength = 1;
</v>
      </c>
      <c r="J38" s="33" t="str">
        <f ca="1">TEXTJOIN2("
", TRUE,INDIRECT( $F$1):INDIRECT( $F$3))</f>
        <v xml:space="preserve">		[StringLength(MaxProdLineLength)]
		public virtual string ProdLine { get; set; }
		public virtual DateTime WorkingDate { get; set; }
		[StringLength(MaxShiftLength)]
		public virtual string Shift { get; set; }
		public virtual int NoInShift { get; set; }
		public virtual long ProgressId { get; set; }
		public virtual long EcarId { get; set; }
		public virtual long PartListId { get; set; }
		[StringLength(MaxPartNoLength)]
		public virtual string PartNo { get; set; }
		[StringLength(MaxShortNameLength)]
		public virtual string ShortName { get; set; }
		[StringLength(MaxAddressLength)]
		public virtual string Address { get; set; }
		[StringLength(MaxTypeLength)]
		public virtual string Type { get; set; }
		public virtual int Sorting { get; set; }
		[StringLength(MaxBodyNoLength)]
		public virtual string BodyNo { get; set; }
		[StringLength(MaxLotNoLength)]
		public virtual string LotNo { get; set; }
		public virtual int NoInLot { get; set; }
		[StringLength(MaxGradeLength)]
		public virtual string Grade { get; set; }
		[StringLength(MaxModelLength)]
		public virtual string Model { get; set; }
		[StringLength(MaxBodyNo2Length)]
		public virtual string BodyNo2 { get; set; }
		[StringLength(MaxLotNo2Length)]
		public virtual string LotNo2 { get; set; }
		public virtual int NoInLot2 { get; set; }
		[StringLength(MaxGrade2Length)]
		public virtual string Grade2 { get; set; }
		[StringLength(MaxModel2Length)]
		public virtual string Model2 { get; set; }
		[StringLength(MaxAddress2Length)]
		public virtual string Address2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</v>
      </c>
      <c r="K38" s="35" t="str">
        <f ca="1">TEXTJOIN2("
", TRUE,INDIRECT( $J$1):INDIRECT( $J$3))</f>
        <v xml:space="preserve">	[Index(nameof(ProdLine), Name="IX_LgaBp2ProgressDetails_ProdLine")]
	[Index(nameof(WorkingDate), Name="IX_LgaBp2ProgressDetails_WorkingDate")]
	[Index(nameof(Shift), Name="IX_LgaBp2ProgressDetails_Shift")]
	[Index(nameof(NoInShift), Name="IX_LgaBp2ProgressDetails_NoInShift")]
	[Index(nameof(IsActive), Name="IX_LgaBp2ProgressDetails_IsActive")]</v>
      </c>
      <c r="L38" s="13" t="s">
        <v>60</v>
      </c>
      <c r="M38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long ProgressId { get; set; }
		public virtual long EcarId { get; set; }
		public virtual long PartListId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N38" s="33" t="str">
        <f ca="1">TEXTJOIN2("
",TRUE,INDIRECT( $M$1):INDIRECT($M$3))</f>
        <v xml:space="preserve">		[StringLength(LgaBp2ProgressDetailsConsts.MaxProdLineLength)]
		public virtual string ProdLine { get; set; }
		public virtual DateTime? WorkingDate { get; set; }
		[StringLength(LgaBp2ProgressDetailsConsts.MaxShiftLength)]
		public virtual string Shift { get; set; }
		public virtual int NoInShift { get; set; }
		public virtual long ProgressId { get; set; }
		public virtual long EcarId { get; set; }
		public virtual long PartListId { get; set; }
		[StringLength(LgaBp2ProgressDetailsConsts.MaxPartNoLength)]
		public virtual string PartNo { get; set; }
		[StringLength(LgaBp2ProgressDetailsConsts.MaxShortNameLength)]
		public virtual string ShortName { get; set; }
		[StringLength(LgaBp2ProgressDetailsConsts.MaxAddressLength)]
		public virtual string Address { get; set; }
		[StringLength(LgaBp2ProgressDetailsConsts.MaxTypeLength)]
		public virtual string Type { get; set; }
		public virtual int Sorting { get; set; }
		[StringLength(LgaBp2ProgressDetailsConsts.MaxBodyNoLength)]
		public virtual string BodyNo { get; set; }
		[StringLength(LgaBp2ProgressDetailsConsts.MaxLotNoLength)]
		public virtual string LotNo { get; set; }
		public virtual int NoInLot { get; set; }
		[StringLength(LgaBp2ProgressDetailsConsts.MaxGradeLength)]
		public virtual string Grade { get; set; }
		[StringLength(LgaBp2ProgressDetailsConsts.MaxModelLength)]
		public virtual string Model { get; set; }
		[StringLength(LgaBp2ProgressDetailsConsts.MaxBodyNo2Length)]
		public virtual string BodyNo2 { get; set; }
		[StringLength(LgaBp2ProgressDetailsConsts.MaxLotNo2Length)]
		public virtual string LotNo2 { get; set; }
		public virtual int NoInLot2 { get; set; }
		[StringLength(LgaBp2ProgressDetailsConsts.MaxGrade2Length)]
		public virtual string Grade2 { get; set; }
		[StringLength(LgaBp2ProgressDetailsConsts.MaxModel2Length)]
		public virtual string Model2 { get; set; }
		[StringLength(LgaBp2ProgressDetailsConsts.MaxAddress2Length)]
		public virtual string Address2 { get; set; }
		public virtual DateTime? NewtaktDatetime { get; set; }
		public virtual DateTime? StartDatetime { get; set; }
		public virtual DateTime? FinishDatetime { get; set; }
		[StringLength(LgaBp2ProgressDetailsConsts.MaxStatusLength)]
		public virtual string Status { get; set; }
		[StringLength(LgaBp2ProgressDetailsConsts.MaxIsActiveLength)]
		public virtual string IsActive { get; set; }
</v>
      </c>
      <c r="O38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string PartNo { get; set; }
		public virtual string ShortName { get; set; }
		public virtual string Address { get; set; }
		public virtual string Type { get; set; }
		public virtual int Sorting { get; set; }
		public virtual string BodyNo { get; set; }
		public virtual string LotNo { get; set; }
		public virtual int NoInLot { get; set; }
		public virtual string Grade { get; set; }
		public virtual string Model { get; set; }
		public virtual string BodyNo2 { get; set; }
		public virtual string LotNo2 { get; set; }
		public virtual int NoInLot2 { get; set; }
		public virtual string Grade2 { get; set; }
		public virtual string Model2 { get; set; }
		public virtual string Address2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P38" s="9" t="str">
        <f ca="1">TEXTJOIN2("
",TRUE,INDIRECT( $O$1):INDIRECT($O$3))</f>
        <v xml:space="preserve">							ProdLine = o.ProdLine,
							WorkingDate = o.WorkingDate,
							Shift = o.Shift,
							NoInShift = o.NoInShift,
							ProgressId = o.ProgressId,
							EcarId = o.EcarId,
							PartListId = o.PartListId,
							PartNo = o.PartNo,
							ShortName = o.ShortName,
							Address = o.Address,
							Type = o.Type,
							Sorting = o.Sorting,
							BodyNo = o.BodyNo,
							LotNo = o.LotNo,
							NoInLot = o.NoInLot,
							Grade = o.Grade,
							Model = o.Model,
							BodyNo2 = o.BodyNo2,
							LotNo2 = o.LotNo2,
							NoInLot2 = o.NoInLot2,
							Grade2 = o.Grade2,
							Model2 = o.Model2,
							Address2 = o.Address2,
							NewtaktDatetime = o.NewtaktDatetime,
							StartDatetime = o.StartDatetime,
							FinishDatetime = o.FinishDatetime,
							Status = o.Status,
							IsActive = o.IsActive,</v>
      </c>
      <c r="T38" s="9" t="str">
        <f ca="1">TEXTJOIN2("
",TRUE,INDIRECT( $T$2):INDIRECT($T$3))</f>
        <v xml:space="preserve">								("ProdLine"),
								("WorkingDate"),
								("Shift"),
								("NoInShift"),
								("ProgressId"),
								("EcarId"),
								("PartListId"),
								("PartNo"),
								("ShortName"),
								("Address"),
								("Type"),
								("Sorting"),
								("BodyNo"),
								("LotNo"),
								("NoInLot"),
								("Grade"),
								("Model"),
								("BodyNo2"),
								("LotNo2"),
								("NoInLot2"),
								("Grade2"),
								("Model2"),
								("Address2"),
								("NewtaktDatetime"),
								("StartDatetime"),
								("FinishDatetime"),
								("Status"),
								("IsActive"),</v>
      </c>
      <c r="V38" s="9" t="str">
        <f ca="1">TEXTJOIN2("
",TRUE,INDIRECT( $V$2):INDIRECT($V$3))</f>
        <v xml:space="preserve">								_ =&gt; _.ProdLine,
								_ =&gt; _.WorkingDate,
								_ =&gt; _.Shift,
								_ =&gt; _.NoInShift,
								_ =&gt; _.ProgressId,
								_ =&gt; _.EcarId,
								_ =&gt; _.PartListId,
								_ =&gt; _.PartNo,
								_ =&gt; _.ShortName,
								_ =&gt; _.Address,
								_ =&gt; _.Type,
								_ =&gt; _.Sorting,
								_ =&gt; _.BodyNo,
								_ =&gt; _.LotNo,
								_ =&gt; _.NoInLot,
								_ =&gt; _.Grade,
								_ =&gt; _.Model,
								_ =&gt; _.BodyNo2,
								_ =&gt; _.LotNo2,
								_ =&gt; _.NoInLot2,
								_ =&gt; _.Grade2,
								_ =&gt; _.Model2,
								_ =&gt; _.Address2,
								_ =&gt; _.NewtaktDatetime,
								_ =&gt; _.StartDatetime,
								_ =&gt; _.FinishDatetime,
								_ =&gt; _.Status,
								_ =&gt; _.IsActive,</v>
      </c>
      <c r="W38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.WhereIf(!string.IsNullOrWhiteSpace(input.ShortName), e =&gt; e.ShortName.Contains(input.ShortName))
				.WhereIf(!string.IsNullOrWhiteSpace(input.Address), e =&gt; e.Address.Contains(input.Address))
				.WhereIf(!string.IsNullOrWhiteSpace(input.Type), e =&gt; e.Type.Contains(input.Type))
				.WhereIf(!string.IsNullOrWhiteSpace(input.BodyNo), e =&gt; e.BodyNo.Contains(input.BodyNo))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.WhereIf(!string.IsNullOrWhiteSpace(input.BodyNo2), e =&gt; e.BodyNo2.Contains(input.BodyNo2))
				.WhereIf(!string.IsNullOrWhiteSpace(input.LotNo2), e =&gt; e.LotNo2.Contains(input.LotNo2))
				.WhereIf(!string.IsNullOrWhiteSpace(input.Grade2), e =&gt; e.Grade2.Contains(input.Grade2))
				.WhereIf(!string.IsNullOrWhiteSpace(input.Model2), e =&gt; e.Model2.Contains(input.Model2))
				.WhereIf(!string.IsNullOrWhiteSpace(input.Address2), e =&gt; e.Address2.Contains(input.Address2))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5"/>
  <sheetViews>
    <sheetView topLeftCell="A11" workbookViewId="0">
      <selection activeCell="B6" sqref="B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Bp2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bp2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LgaBp2ProgressDetails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ProgressDetails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progressdetails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LgaBp2ProgressDetailsDto, LgaBp2ProgressDetailsServiceProxy } from '@shared/service-proxies/service-proxies';
import { finalize } from 'rxjs/internal/operators/finalize';
import { CreateOrEditProgressDetailsModalComponent } from './create-or-edit-progressdetails-modal.component';
import { DatePipe } from '@angular/common';
import { FileDownloadService } from '@shared/utils/file-download.service';
import ceil from 'lodash-es/ceil';
import { Paginator } from 'primeng/paginator';
@Component({
    templateUrl: './progressdetails.component.html',
    styleUrls: ['./progressdetails.component.less'],
})
export class ProgressDetailsComponent extends AppComponentBase implements OnInit {
    @ViewChild('createOrEditModalProgressDetails', { static: true }) createOrEditModalProgressDetails:| CreateOrEditProgressDetailsModalComponent|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LgaBp2ProgressDetailsDto = new LgaBp2ProgressDetailsDto();
    saveSelectedRow: LgaBp2ProgressDetailsDto = new LgaBp2ProgressDetailsDto();
    datas: LgaBp2ProgressDetailsDto = new LgaBp2ProgressDetailsDto();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progressId
	ecarId
	partListId
	partNo : string = '' ; 
	shortName : string = '' ; 
	address : string = '' ; 
	type : string = '' ; 
	sorting : number = 0 ;
	bodyNo : string = '' ; 
	lotNo : string = '' ; 
	noInLot : number = 0 ;
	grade : string = '' ; 
	model : string = '' ; 
	bodyNo2 : string = '' ; 
	lotNo2 : string = '' ; 
	noInLot2 : number = 0 ;
	grade2 : string = '' ; 
	model2 : string = '' ; 
	address2 : string = '' ; 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LgaBp2ProgressDetailsServiceProxy,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this.l('Progress Id'),headerTooltip: this.l('Progress Id'),field: 'progressId',flex: 1},
			{headerName: this.l('Ecar Id'),headerTooltip: this.l('Ecar Id'),field: 'ecarId',flex: 1},
			{headerName: this.l('Part List Id'),headerTooltip: this.l('Part List Id'),field: 'partListId',flex: 1},
			{headerName: this.l('Part No'),headerTooltip: this.l('Part No'),field: 'partNo',flex: 1},
			{headerName: this.l('Short Name'),headerTooltip: this.l('Short Name'),field: 'shortName',flex: 1},
			{headerName: this.l('Address'),headerTooltip: this.l('Address'),field: 'address',flex: 1},
			{headerName: this.l('Type'),headerTooltip: this.l('Type'),field: 'type',flex: 1},
			{headerName: this.l('Sorting'),headerTooltip: this.l('Sorting'),field: 'sorting',flex: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No 2'),headerTooltip: this.l('Body No 2'),field: 'bodyNo2',flex: 1},
			{headerName: this.l('Lot No 2'),headerTooltip: this.l('Lot No 2'),field: 'lotNo2',flex: 1},
			{headerName: this.l('No In Lot 2'),headerTooltip: this.l('No In Lot 2'),field: 'noInLot2',flex: 1},
			{headerName: this.l('Grade 2'),headerTooltip: this.l('Grade 2'),field: 'grade2',flex: 1},
			{headerName: this.l('Model 2'),headerTooltip: this.l('Model 2'),field: 'model2',flex: 1},
			{headerName: this.l('Address 2'),headerTooltip: this.l('Address 2'),field: 'address2',flex: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this.progressId = '',
		this.ecarId = '',
		this.partListId = '',
		this.partNo = '',
		this.shortName = '',
		this.address = '',
		this.type = '',
		this.sorting = 0,
		this.bodyNo = '',
		this.lotNo = '',
		this.noInLot = 0,
		this.grade = '',
		this.model = '',
		this.bodyNo2 = '',
		this.lotNo2 = '',
		this.noInLot2 = 0,
		this.grade2 = '',
		this.model2 = '',
		this.address2 = '',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LgaBp2ProgressDetailsDto[] } }) {
        this.saveSelectedRow = params.api.getSelectedRows()[0] ?? new LgaBp2ProgressDetailsDto();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LgaBp2ProgressDetailsDto):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this._service.getProgressDetailsToExcel(
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Progress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[(ngModel)]='bodyNo2' name='bodyNo2'
									class='form-control' [placeholder]="l('Body No 2')"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[(ngModel)]='grade2' name='grade2'
									class='form-control' [placeholder]="l('Grade 2')"
									type='text' (keyup.enter)='searchDatas()'&gt;
								&lt;/div&gt;
								&lt;div class='input-search'&gt;
									&lt;input [(ngModel)]='model2' name='model2'
									class='form-control' [placeholder]="l('Model 2')"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&lt;create-or-edit-progressdetails-modal
    #createOrEditModalProgressDetails
    (modalSave)="callBackDataGrid(dataParams)"
    (modalClose)="onChangeRowSelection(dataParams)"
&gt;
&lt;/create-or-edit-progressdetails-modal&gt;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#createOrEditModalProgressDetails="bs-modal"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ProgressDetails')}}&lt;/h3&gt;
                    &lt;h3 *ngIf="!rowdata.id"&gt;{{('Create New ProgressDetails')}}&lt;/h3&gt;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No 2&lt;/label&gt;
						&lt;input type='text' class='col-md-10 form-control input-text' name='BodyNo2' [(ngModel)]='rowdata.bodyNo2'&gt;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title'&gt;No In Lot 2&lt;/label&gt;
						&lt;input type='number' class='col-md-10 form-control input-text' name='NoInLot2' [(ngModel)]='rowdata.noInLot2'&gt;
					&lt;/div&gt;
					&lt;div class='col-md-12 form-group row'&gt;
						&lt;label class='col-md-2 form-control title'&gt;Grade 2&lt;/label&gt;
						&lt;input type='text' class='col-md-10 form-control input-text' name='Grade2' [(ngModel)]='rowdata.grade2'&gt;
					&lt;/div&gt;
					&lt;div class='col-md-12 form-group row'&gt;
						&lt;label class='col-md-2 form-control title'&gt;Model 2&lt;/label&gt;
						&lt;input type='text' class='col-md-10 form-control input-text' name='Model2' [(ngModel)]='rowdata.model2'&gt;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CreateOrEditLgaBp2ProgressDetailsDto, LgaBp2ProgressDetailsServiceProxy } from '@shared/service-proxies/service-proxies';
import { BsDatepickerDirective } from 'ngx-bootstrap/datepicker';
@Component({
    selector: 'create-or-edit-progressdetails-modal',
    templateUrl: './create-or-edit-progressdetails-modal.component.html',
    styleUrls: ['./create-or-edit-progressdetails-modal.component.less']
    })
export class CreateOrEditProgressDetailsModalComponent extends AppComponentBase {
    @ViewChild('createOrEditModalProgressDetails',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CreateOrEditLgaBp2ProgressDetailsDto = new CreateOrEditLgaBp2ProgressDetailsDto();
    active: boolean = false;
    saving: boolean = false;
    _isActive: boolean;
    constructor(
        injector: Injector,
        private _mstwptProgressDetailsService: LgaBp2ProgressDetailsServiceProxy,
    ) 
    {
        super(injector);
    }
    show(rowdata?: CreateOrEditLgaBp2ProgressDetailsDto): void {
        if (!rowdata) this.rowdata = new CreateOrEditLgaBp2ProgressDetailsDto();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ProgressDetailsRoutingModule } from './progressdetails-routing.module';
import { ProgressDetailsComponent } from './progressdetails.component';
import { CreateOrEditProgressDetailsModalComponent } from './create-or-edit-progressdetails-modal.component';
@NgModule({
    declarations: [
       ProgressDetailsComponent, 
        CreateOrEditProgressDetailsModalComponent
    ],
    imports: [
        AppSharedModule, ProgressDetailsRoutingModule]
})
export class ProgressDetailsModule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ProgressDetailsComponent } from './progressdetails.component';
const routes: Routes = [{
    path: '',
    component: ProgressDetailsComponent,
    pathMatch: 'full'
}];
@NgModule({
    imports: [RouterModule.forChild(routes)],
    exports: [RouterModule],
})
export class ProgressDetailsRoutingModule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AppMenuItem("ProgressDetails", "Pages.LogA.Bp2.ProgressDetails", "flaticon-book",   "/app/main/loga/bp2/progressdetails"),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'loga/bp2/progressdetails',
    loadChildren: () =&gt; import('./loga/bp2/progressdetails/progressdetails.module').then(m =&gt; m.ProgressDetailsModule),
    data: { permission: 'Pages.LogA.Bp2.ProgressDetails' }
},</v>
      </c>
      <c r="R10" s="50" t="str">
        <f>SUBSTITUTE(R9,"MstWptCalendar",$B$6)</f>
        <v>ApiServiceProxies.LgaBp2ProgressDetailsServiceProxy,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H42</v>
      </c>
      <c r="I12" s="31" t="str">
        <f>"I"&amp;COUNTA($A:$A)</f>
        <v>I42</v>
      </c>
      <c r="J12" s="31"/>
      <c r="K12" s="31" t="str">
        <f>"K"&amp;COUNTA($A:$A)</f>
        <v>K42</v>
      </c>
      <c r="L12" s="31" t="str">
        <f>"L"&amp;COUNTA($A:$A)</f>
        <v>L42</v>
      </c>
      <c r="M12" s="31"/>
      <c r="N12" s="31"/>
      <c r="O12" s="31"/>
      <c r="P12" s="31"/>
      <c r="Q12" s="31"/>
      <c r="R12" s="31"/>
      <c r="S12" s="31" t="str">
        <f>"S"&amp;COUNTA($A:$A)</f>
        <v>S42</v>
      </c>
      <c r="T12" s="31" t="str">
        <f>"T"&amp;COUNTA($A:$A)</f>
        <v>T42</v>
      </c>
      <c r="U12" s="31" t="str">
        <f>"U"&amp;COUNTA($A:$A)</f>
        <v>U42</v>
      </c>
      <c r="V12" s="31" t="str">
        <f>"V"&amp;COUNTA($A:$A)</f>
        <v>V42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this.l('Progress Id'),headerTooltip: this.l('Progress Id'),field: 'progressId',flex: 1},
			{headerName: this.l('Ecar Id'),headerTooltip: this.l('Ecar Id'),field: 'ecarId',flex: 1},
			{headerName: this.l('Part List Id'),headerTooltip: this.l('Part List Id'),field: 'partListId',flex: 1},
			{headerName: this.l('Part No'),headerTooltip: this.l('Part No'),field: 'partNo',flex: 1},
			{headerName: this.l('Short Name'),headerTooltip: this.l('Short Name'),field: 'shortName',flex: 1},
			{headerName: this.l('Address'),headerTooltip: this.l('Address'),field: 'address',flex: 1},
			{headerName: this.l('Type'),headerTooltip: this.l('Type'),field: 'type',flex: 1},
			{headerName: this.l('Sorting'),headerTooltip: this.l('Sorting'),field: 'sorting',flex: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this.l('Model'),headerTooltip: this.l('Model'),field: 'model',flex: 1},
			{headerName: this.l('Body No 2'),headerTooltip: this.l('Body No 2'),field: 'bodyNo2',flex: 1},
			{headerName: this.l('Lot No 2'),headerTooltip: this.l('Lot No 2'),field: 'lotNo2',flex: 1},
			{headerName: this.l('No In Lot 2'),headerTooltip: this.l('No In Lot 2'),field: 'noInLot2',flex: 1},
			{headerName: this.l('Grade 2'),headerTooltip: this.l('Grade 2'),field: 'grade2',flex: 1},
			{headerName: this.l('Model 2'),headerTooltip: this.l('Model 2'),field: 'model2',flex: 1},
			{headerName: this.l('Address 2'),headerTooltip: this.l('Address 2'),field: 'address2',flex: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[(ngModel)]='shortName' name='shortName'
									class='form-control' [placeholder]="l('Short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[(ngModel)]='type' name='type'
									class='form-control' [placeholder]="l('Type')"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[(ngModel)]='bodyNo2' name='bodyNo2'
									class='form-control' [placeholder]="l('Body No 2')"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[(ngModel)]='grade2' name='grade2'
									class='form-control' [placeholder]="l('Grade 2')"
									type='text' (keyup.enter)='searchDatas()'&gt;
								&lt;/div&gt;
								&lt;div class='input-search'&gt;
									&lt;input [(ngModel)]='model2' name='model2'
									class='form-control' [placeholder]="l('Model 2')"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title'&gt;Short Name&lt;/label&gt;
						&lt;input type='text' class='col-md-10 form-control input-text' name='ShortName' [(ngModel)]='rowdata.shortName'&gt;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title'&gt;Type&lt;/label&gt;
						&lt;input type='text' class='col-md-10 form-control input-text' name='Type' [(ngModel)]='rowdata.type'&gt;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 No 2&lt;/label&gt;
						&lt;input type='text' class='col-md-10 form-control input-text' name='BodyNo2' [(ngModel)]='rowdata.bodyNo2'&gt;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title'&gt;No In Lot 2&lt;/label&gt;
						&lt;input type='number' class='col-md-10 form-control input-text' name='NoInLot2' [(ngModel)]='rowdata.noInLot2'&gt;
					&lt;/div&gt;
					&lt;div class='col-md-12 form-group row'&gt;
						&lt;label class='col-md-2 form-control title'&gt;Grade 2&lt;/label&gt;
						&lt;input type='text' class='col-md-10 form-control input-text' name='Grade2' [(ngModel)]='rowdata.grade2'&gt;
					&lt;/div&gt;
					&lt;div class='col-md-12 form-group row'&gt;
						&lt;label class='col-md-2 form-control title'&gt;Model 2&lt;/label&gt;
						&lt;input type='text' class='col-md-10 form-control input-text' name='Model2' [(ngModel)]='rowdata.model2'&gt;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progressId
	ecarId
	partListId
	partNo : string = '' ; 
	shortName : string = '' ; 
	address : string = '' ; 
	type : string = '' ; 
	sorting : number = 0 ;
	bodyNo : string = '' ; 
	lotNo : string = '' ; 
	noInLot : number = 0 ;
	grade : string = '' ; 
	model : string = '' ; 
	bodyNo2 : string = '' ; 
	lotNo2 : string = '' ; 
	noInLot2 : number = 0 ;
	grade2 : string = '' ; 
	model2 : string = '' ; 
	address2 : string = '' ; 
	newtaktDatetime : any ;
	startDatetime : any ;
	finishDatetime : any ;
	status : string = '' ; 
	isActive : string = '' ; </v>
      </c>
      <c r="T13" s="68" t="str">
        <f ca="1">TEXTJOIN2("
",TRUE,INDIRECT(T11):INDIRECT(T12))</f>
        <v xml:space="preserve">			this.prodLine,
			this.workingDate,
			this.shift,
			this.noInShift,
			this.progressId,
			this.ecarId,
			this.partListId,
			this.partNo,
			this.shortName,
			this.address,
			this.type,
			this.sorting,
			this.bodyNo,
			this.lotNo,
			this.noInLot,
			this.grade,
			this.model,
			this.bodyNo2,
			this.lotNo2,
			this.noInLot2,
			this.grade2,
			this.model2,
			this.address2,
			this.newtaktDatetime,
			this.startDatetime,
			this.finishDatetime,
			this.status,
			this.isActive,</v>
      </c>
      <c r="U13" s="68" t="str">
        <f ca="1">TEXTJOIN2("
",TRUE,INDIRECT(U11):INDIRECT(U12))</f>
        <v>this.prodLine = '',
		this.workingDate = '',
		this.shift = '',
		this.noInShift = 0,
		this.progressId = '',
		this.ecarId = '',
		this.partListId = '',
		this.partNo = '',
		this.shortName = '',
		this.address = '',
		this.type = '',
		this.sorting = 0,
		this.bodyNo = '',
		this.lotNo = '',
		this.noInLot = 0,
		this.grade = '',
		this.model = '',
		this.bodyNo2 = '',
		this.lotNo2 = '',
		this.noInLot2 = 0,
		this.grade2 = '',
		this.model2 = '',
		this.address2 = '',
		this.newtaktDatetime = '',
		this.startDatetime = '',
		this.finishDatetime = '',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progressdetails.component.ts</v>
      </c>
      <c r="I14" s="40" t="str">
        <f>B8&amp;".component.html"</f>
        <v>progressdetails.component.html</v>
      </c>
      <c r="J14" s="39" t="str">
        <f>B8&amp;".component.less"</f>
        <v>progressdetails.component.less</v>
      </c>
      <c r="K14" s="40" t="str">
        <f>"create-or-edit-"&amp;B8&amp;"-modal.component.html"</f>
        <v>create-or-edit-progressdetails-modal.component.html</v>
      </c>
      <c r="L14" s="40" t="str">
        <f>"create-or-edit-"&amp;B8&amp;"-modal.component.ts"</f>
        <v>create-or-edit-progressdetails-modal.component.ts</v>
      </c>
      <c r="M14" s="40" t="str">
        <f>"create-or-edit-"&amp;B8&amp;"-modal.component.less"</f>
        <v>create-or-edit-progressdetails-modal.component.less</v>
      </c>
      <c r="N14" s="40" t="str">
        <f>B8&amp;".module.ts"</f>
        <v>progressdetails.module.ts</v>
      </c>
      <c r="O14" s="40" t="str">
        <f>B8&amp;"-routing.module.ts"</f>
        <v>progressdetails-routing.module.ts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:B29" si="0">SUBSTITUTE(PROPER(A16),"_","")</f>
        <v>WorkingDate</v>
      </c>
      <c r="C16" s="31" t="str">
        <f t="shared" ref="C16:C29" si="1">SUBSTITUTE(PROPER(A16),"_"," ")</f>
        <v>Working Date</v>
      </c>
      <c r="D16" s="31" t="str">
        <f t="shared" ref="D16:D29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29" si="3">IF(E16="string"," : string = '' ; ",IF(OR(E16="DateTime",E16="TimeSpan")," : any ;",IF(E16="int"," : number = 0 ;","")))</f>
        <v xml:space="preserve"> : any ;</v>
      </c>
      <c r="H16" s="38" t="str">
        <f t="shared" ref="H16:H2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2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2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29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29" si="8">IF(AND(E16="string",F16="1"),D16,"")</f>
        <v/>
      </c>
    </row>
    <row r="17" spans="1:22" ht="18" customHeight="1" x14ac:dyDescent="0.25">
      <c r="A17" s="31" t="s">
        <v>327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shift : string = '' ; </v>
      </c>
      <c r="T17" s="31" t="str">
        <f t="shared" ref="T17:T18" si="10">REPT(CHAR(9),3)&amp;"this."&amp;D17&amp;","</f>
        <v xml:space="preserve">			this.shift,</v>
      </c>
      <c r="U17" s="31" t="str">
        <f t="shared" ref="U17:U18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31" t="s">
        <v>328</v>
      </c>
      <c r="B18" s="31" t="str">
        <f t="shared" si="0"/>
        <v>NoInShift</v>
      </c>
      <c r="C18" s="31" t="str">
        <f t="shared" si="1"/>
        <v>No In Shift</v>
      </c>
      <c r="D18" s="31" t="str">
        <f t="shared" si="2"/>
        <v>noInShift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Shift'),headerTooltip: this.l('No In Shift'),field: 'noInShift',flex: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noInShift : number = 0 ;</v>
      </c>
      <c r="T18" s="31" t="str">
        <f t="shared" si="10"/>
        <v xml:space="preserve">			this.noInShift,</v>
      </c>
      <c r="U18" s="31" t="str">
        <f t="shared" si="11"/>
        <v xml:space="preserve">		this.noInShift = 0,</v>
      </c>
      <c r="V18" s="31" t="str">
        <f t="shared" si="8"/>
        <v/>
      </c>
    </row>
    <row r="19" spans="1:22" ht="15" customHeight="1" x14ac:dyDescent="0.25">
      <c r="A19" s="31" t="s">
        <v>339</v>
      </c>
      <c r="B19" s="31" t="str">
        <f t="shared" si="0"/>
        <v>ProgressId</v>
      </c>
      <c r="C19" s="31" t="str">
        <f t="shared" si="1"/>
        <v>Progress Id</v>
      </c>
      <c r="D19" s="31" t="str">
        <f t="shared" si="2"/>
        <v>progressId</v>
      </c>
      <c r="E19" s="31" t="str">
        <f>A.Backend!H13</f>
        <v>long</v>
      </c>
      <c r="F19" s="31" t="str">
        <f>A.Backend!G13</f>
        <v/>
      </c>
      <c r="G19" s="31" t="str">
        <f t="shared" si="3"/>
        <v/>
      </c>
      <c r="H19" s="38" t="str">
        <f t="shared" si="4"/>
        <v xml:space="preserve">			{headerName: this.l('Progress Id'),headerTooltip: this.l('Progress Id'),field: 'progressId',flex: 1},</v>
      </c>
      <c r="I19" s="38" t="str">
        <f t="shared" si="5"/>
        <v/>
      </c>
      <c r="J19" s="31"/>
      <c r="K19" s="38" t="str">
        <f t="shared" si="6"/>
        <v/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progressId</v>
      </c>
      <c r="T19" s="31" t="str">
        <f>REPT(CHAR(9),3)&amp;"this."&amp;D19&amp;","</f>
        <v xml:space="preserve">			this.progressId,</v>
      </c>
      <c r="U19" s="31" t="str">
        <f>IF(E19="int",REPT(CHAR(9),2)&amp;"this."&amp;D19&amp;" = 0,",REPT(CHAR(9),2)&amp;"this."&amp;D19&amp;" = '',")</f>
        <v xml:space="preserve">		this.progressId = '',</v>
      </c>
      <c r="V19" s="31" t="str">
        <f t="shared" si="8"/>
        <v/>
      </c>
    </row>
    <row r="20" spans="1:22" ht="18" customHeight="1" x14ac:dyDescent="0.25">
      <c r="A20" s="31" t="s">
        <v>340</v>
      </c>
      <c r="B20" s="31" t="str">
        <f t="shared" si="0"/>
        <v>EcarId</v>
      </c>
      <c r="C20" s="31" t="str">
        <f t="shared" si="1"/>
        <v>Ecar Id</v>
      </c>
      <c r="D20" s="31" t="str">
        <f t="shared" si="2"/>
        <v>ecarId</v>
      </c>
      <c r="E20" s="31" t="str">
        <f>A.Backend!H14</f>
        <v>long</v>
      </c>
      <c r="F20" s="31" t="str">
        <f>A.Backend!G14</f>
        <v/>
      </c>
      <c r="G20" s="31" t="str">
        <f t="shared" si="3"/>
        <v/>
      </c>
      <c r="H20" s="38" t="str">
        <f t="shared" si="4"/>
        <v xml:space="preserve">			{headerName: this.l('Ecar Id'),headerTooltip: this.l('Ecar Id'),field: 'ecarId',flex: 1},</v>
      </c>
      <c r="I20" s="38" t="str">
        <f t="shared" si="5"/>
        <v/>
      </c>
      <c r="J20" s="31"/>
      <c r="K20" s="38" t="str">
        <f t="shared" si="6"/>
        <v/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2" si="12">REPT(CHAR(9),1)&amp;D20&amp;G20</f>
        <v xml:space="preserve">	ecarId</v>
      </c>
      <c r="T20" s="31" t="str">
        <f t="shared" ref="T20:T22" si="13">REPT(CHAR(9),3)&amp;"this."&amp;D20&amp;","</f>
        <v xml:space="preserve">			this.ecarId,</v>
      </c>
      <c r="U20" s="31" t="str">
        <f t="shared" ref="U20:U22" si="14">IF(E20="int",REPT(CHAR(9),2)&amp;"this."&amp;D20&amp;" = 0,",REPT(CHAR(9),2)&amp;"this."&amp;D20&amp;" = '',")</f>
        <v xml:space="preserve">		this.ecarId = '',</v>
      </c>
      <c r="V20" s="31" t="str">
        <f t="shared" si="8"/>
        <v/>
      </c>
    </row>
    <row r="21" spans="1:22" ht="18" customHeight="1" x14ac:dyDescent="0.25">
      <c r="A21" s="31" t="s">
        <v>337</v>
      </c>
      <c r="B21" s="31" t="str">
        <f t="shared" si="0"/>
        <v>PartListId</v>
      </c>
      <c r="C21" s="31" t="str">
        <f t="shared" si="1"/>
        <v>Part List Id</v>
      </c>
      <c r="D21" s="31" t="str">
        <f t="shared" si="2"/>
        <v>partListId</v>
      </c>
      <c r="E21" s="31" t="str">
        <f>A.Backend!H15</f>
        <v>long</v>
      </c>
      <c r="F21" s="31" t="str">
        <f>A.Backend!G15</f>
        <v/>
      </c>
      <c r="G21" s="31" t="str">
        <f t="shared" si="3"/>
        <v/>
      </c>
      <c r="H21" s="38" t="str">
        <f t="shared" si="4"/>
        <v xml:space="preserve">			{headerName: this.l('Part List Id'),headerTooltip: this.l('Part List Id'),field: 'partListId',flex: 1},</v>
      </c>
      <c r="I21" s="38" t="str">
        <f t="shared" si="5"/>
        <v/>
      </c>
      <c r="J21" s="31"/>
      <c r="K21" s="38" t="str">
        <f t="shared" si="6"/>
        <v/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12"/>
        <v xml:space="preserve">	partListId</v>
      </c>
      <c r="T21" s="31" t="str">
        <f t="shared" si="13"/>
        <v xml:space="preserve">			this.partListId,</v>
      </c>
      <c r="U21" s="31" t="str">
        <f t="shared" si="14"/>
        <v xml:space="preserve">		this.partListId = '',</v>
      </c>
      <c r="V21" s="31" t="str">
        <f t="shared" si="8"/>
        <v/>
      </c>
    </row>
    <row r="22" spans="1:22" ht="18" customHeight="1" x14ac:dyDescent="0.25">
      <c r="A22" s="31" t="s">
        <v>336</v>
      </c>
      <c r="B22" s="31" t="str">
        <f t="shared" si="0"/>
        <v>PartNo</v>
      </c>
      <c r="C22" s="31" t="str">
        <f t="shared" si="1"/>
        <v>Part No</v>
      </c>
      <c r="D22" s="31" t="str">
        <f t="shared" si="2"/>
        <v>partNo</v>
      </c>
      <c r="E22" s="31" t="str">
        <f>A.Backend!H16</f>
        <v>string</v>
      </c>
      <c r="F22" s="31" t="str">
        <f>A.Backend!G16</f>
        <v>50</v>
      </c>
      <c r="G22" s="31" t="str">
        <f t="shared" si="3"/>
        <v xml:space="preserve"> : string = '' ; </v>
      </c>
      <c r="H22" s="38" t="str">
        <f t="shared" si="4"/>
        <v xml:space="preserve">			{headerName: this.l('Part No'),headerTooltip: this.l('Part No'),field: 'partNo',flex: 1},</v>
      </c>
      <c r="I22" s="38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12"/>
        <v xml:space="preserve">	partNo : string = '' ; </v>
      </c>
      <c r="T22" s="31" t="str">
        <f t="shared" si="13"/>
        <v xml:space="preserve">			this.partNo,</v>
      </c>
      <c r="U22" s="31" t="str">
        <f t="shared" si="14"/>
        <v xml:space="preserve">		this.partNo = '',</v>
      </c>
      <c r="V22" s="31" t="str">
        <f t="shared" si="8"/>
        <v/>
      </c>
    </row>
    <row r="23" spans="1:22" ht="15" customHeight="1" x14ac:dyDescent="0.25">
      <c r="A23" s="31" t="s">
        <v>341</v>
      </c>
      <c r="B23" s="31" t="str">
        <f t="shared" si="0"/>
        <v>ShortName</v>
      </c>
      <c r="C23" s="31" t="str">
        <f t="shared" si="1"/>
        <v>Short Name</v>
      </c>
      <c r="D23" s="31" t="str">
        <f t="shared" si="2"/>
        <v>shortName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this.l('Short Name'),headerTooltip: this.l('Short Name'),field: 'shortName',flex: 1},</v>
      </c>
      <c r="I23" s="38" t="str">
        <f t="shared" si="5"/>
        <v xml:space="preserve">								&lt;div class='input-search'&gt;
									&lt;input [(ngModel)]='shortName' name='shortName'
									class='form-control' [placeholder]="l('Short Name')"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title'&gt;Short Name&lt;/label&gt;
						&lt;input type='text' class='col-md-10 form-control input-text' name='ShortName' [(ngModel)]='rowdata.shortName'&gt;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shortName : string = '' ; </v>
      </c>
      <c r="T23" s="31" t="str">
        <f>REPT(CHAR(9),3)&amp;"this."&amp;D23&amp;","</f>
        <v xml:space="preserve">			this.shortName,</v>
      </c>
      <c r="U23" s="31" t="str">
        <f>IF(E23="int",REPT(CHAR(9),2)&amp;"this."&amp;D23&amp;" = 0,",REPT(CHAR(9),2)&amp;"this."&amp;D23&amp;" = '',")</f>
        <v xml:space="preserve">		this.shortName = '',</v>
      </c>
      <c r="V23" s="31" t="str">
        <f t="shared" si="8"/>
        <v/>
      </c>
    </row>
    <row r="24" spans="1:22" ht="18" customHeight="1" x14ac:dyDescent="0.25">
      <c r="A24" s="31" t="s">
        <v>342</v>
      </c>
      <c r="B24" s="31" t="str">
        <f t="shared" si="0"/>
        <v>Address</v>
      </c>
      <c r="C24" s="31" t="str">
        <f t="shared" si="1"/>
        <v>Address</v>
      </c>
      <c r="D24" s="31" t="str">
        <f t="shared" si="2"/>
        <v>address</v>
      </c>
      <c r="E24" s="31" t="str">
        <f>A.Backend!H18</f>
        <v>string</v>
      </c>
      <c r="F24" s="31" t="str">
        <f>A.Backend!G18</f>
        <v>50</v>
      </c>
      <c r="G24" s="31" t="str">
        <f t="shared" si="3"/>
        <v xml:space="preserve"> : string = '' ; </v>
      </c>
      <c r="H24" s="38" t="str">
        <f t="shared" si="4"/>
        <v xml:space="preserve">			{headerName: this.l('Address'),headerTooltip: this.l('Address'),field: 'address',flex: 1},</v>
      </c>
      <c r="I24" s="38" t="str">
        <f t="shared" si="5"/>
        <v xml:space="preserve">								&lt;div class='input-search'&gt;
									&lt;input [(ngModel)]='address' name='address'
									class='form-control' [placeholder]="l('Address')"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title'&gt;Address&lt;/label&gt;
						&lt;input type='text' class='col-md-10 form-control input-text' name='Address' [(ngModel)]='rowdata.address'&gt;
					&lt;/div&gt;</v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ref="S24:S25" si="15">REPT(CHAR(9),1)&amp;D24&amp;G24</f>
        <v xml:space="preserve">	address : string = '' ; </v>
      </c>
      <c r="T24" s="31" t="str">
        <f t="shared" ref="T24:T25" si="16">REPT(CHAR(9),3)&amp;"this."&amp;D24&amp;","</f>
        <v xml:space="preserve">			this.address,</v>
      </c>
      <c r="U24" s="31" t="str">
        <f t="shared" ref="U24:U25" si="17">IF(E24="int",REPT(CHAR(9),2)&amp;"this."&amp;D24&amp;" = 0,",REPT(CHAR(9),2)&amp;"this."&amp;D24&amp;" = '',")</f>
        <v xml:space="preserve">		this.address = '',</v>
      </c>
      <c r="V24" s="31" t="str">
        <f t="shared" si="8"/>
        <v/>
      </c>
    </row>
    <row r="25" spans="1:22" ht="18" customHeight="1" x14ac:dyDescent="0.25">
      <c r="A25" s="31" t="s">
        <v>343</v>
      </c>
      <c r="B25" s="31" t="str">
        <f t="shared" si="0"/>
        <v>Type</v>
      </c>
      <c r="C25" s="31" t="str">
        <f t="shared" si="1"/>
        <v>Type</v>
      </c>
      <c r="D25" s="31" t="str">
        <f t="shared" si="2"/>
        <v>type</v>
      </c>
      <c r="E25" s="31" t="str">
        <f>A.Backend!H19</f>
        <v>string</v>
      </c>
      <c r="F25" s="31" t="str">
        <f>A.Backend!G19</f>
        <v>50</v>
      </c>
      <c r="G25" s="31" t="str">
        <f t="shared" si="3"/>
        <v xml:space="preserve"> : string = '' ; </v>
      </c>
      <c r="H25" s="38" t="str">
        <f t="shared" si="4"/>
        <v xml:space="preserve">			{headerName: this.l('Type'),headerTooltip: this.l('Type'),field: 'type',flex: 1},</v>
      </c>
      <c r="I25" s="38" t="str">
        <f t="shared" si="5"/>
        <v xml:space="preserve">								&lt;div class='input-search'&gt;
									&lt;input [(ngModel)]='type' name='type'
									class='form-control' [placeholder]="l('Type')"
									type='text' (keyup.enter)='searchDatas()'&gt;
								&lt;/div&gt;</v>
      </c>
      <c r="J25" s="31"/>
      <c r="K25" s="38" t="str">
        <f t="shared" si="6"/>
        <v xml:space="preserve">					&lt;div class='col-md-12 form-group row'&gt;
						&lt;label class='col-md-2 form-control title'&gt;Type&lt;/label&gt;
						&lt;input type='text' class='col-md-10 form-control input-text' name='Type' [(ngModel)]='rowdata.type'&gt;
					&lt;/div&gt;</v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15"/>
        <v xml:space="preserve">	type : string = '' ; </v>
      </c>
      <c r="T25" s="31" t="str">
        <f t="shared" si="16"/>
        <v xml:space="preserve">			this.type,</v>
      </c>
      <c r="U25" s="31" t="str">
        <f t="shared" si="17"/>
        <v xml:space="preserve">		this.type = '',</v>
      </c>
      <c r="V25" s="31" t="str">
        <f t="shared" si="8"/>
        <v/>
      </c>
    </row>
    <row r="26" spans="1:22" ht="15" customHeight="1" x14ac:dyDescent="0.25">
      <c r="A26" s="31" t="s">
        <v>338</v>
      </c>
      <c r="B26" s="31" t="str">
        <f t="shared" si="0"/>
        <v>Sorting</v>
      </c>
      <c r="C26" s="31" t="str">
        <f t="shared" si="1"/>
        <v>Sorting</v>
      </c>
      <c r="D26" s="31" t="str">
        <f t="shared" si="2"/>
        <v>sorting</v>
      </c>
      <c r="E26" s="31" t="str">
        <f>A.Backend!H20</f>
        <v>int</v>
      </c>
      <c r="F26" s="31" t="str">
        <f>A.Backend!G20</f>
        <v/>
      </c>
      <c r="G26" s="31" t="str">
        <f t="shared" si="3"/>
        <v xml:space="preserve"> : number = 0 ;</v>
      </c>
      <c r="H26" s="38" t="str">
        <f t="shared" si="4"/>
        <v xml:space="preserve">			{headerName: this.l('Sorting'),headerTooltip: this.l('Sorting'),field: 'sorting',flex: 1},</v>
      </c>
      <c r="I26" s="38" t="str">
        <f t="shared" si="5"/>
        <v/>
      </c>
      <c r="J26" s="31"/>
      <c r="K26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sorting : number = 0 ;</v>
      </c>
      <c r="T26" s="31" t="str">
        <f>REPT(CHAR(9),3)&amp;"this."&amp;D26&amp;","</f>
        <v xml:space="preserve">			this.sorting,</v>
      </c>
      <c r="U26" s="31" t="str">
        <f>IF(E26="int",REPT(CHAR(9),2)&amp;"this."&amp;D26&amp;" = 0,",REPT(CHAR(9),2)&amp;"this."&amp;D26&amp;" = '',")</f>
        <v xml:space="preserve">		this.sorting = 0,</v>
      </c>
      <c r="V26" s="31" t="str">
        <f t="shared" si="8"/>
        <v/>
      </c>
    </row>
    <row r="27" spans="1:22" ht="18" customHeight="1" x14ac:dyDescent="0.25">
      <c r="A27" s="31" t="s">
        <v>344</v>
      </c>
      <c r="B27" s="31" t="str">
        <f t="shared" si="0"/>
        <v>BodyNo</v>
      </c>
      <c r="C27" s="31" t="str">
        <f t="shared" si="1"/>
        <v>Body No</v>
      </c>
      <c r="D27" s="31" t="str">
        <f t="shared" si="2"/>
        <v>bodyNo</v>
      </c>
      <c r="E27" s="31" t="str">
        <f>A.Backend!H21</f>
        <v>string</v>
      </c>
      <c r="F27" s="31" t="str">
        <f>A.Backend!G21</f>
        <v>50</v>
      </c>
      <c r="G27" s="31" t="str">
        <f t="shared" si="3"/>
        <v xml:space="preserve"> : string = '' ; </v>
      </c>
      <c r="H27" s="38" t="str">
        <f t="shared" si="4"/>
        <v xml:space="preserve">			{headerName: this.l('Body No'),headerTooltip: this.l('Body No'),field: 'bodyNo',flex: 1},</v>
      </c>
      <c r="I27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27" s="31"/>
      <c r="K27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ref="S27:S29" si="18">REPT(CHAR(9),1)&amp;D27&amp;G27</f>
        <v xml:space="preserve">	bodyNo : string = '' ; </v>
      </c>
      <c r="T27" s="31" t="str">
        <f t="shared" ref="T27:T29" si="19">REPT(CHAR(9),3)&amp;"this."&amp;D27&amp;","</f>
        <v xml:space="preserve">			this.bodyNo,</v>
      </c>
      <c r="U27" s="31" t="str">
        <f t="shared" ref="U27:U29" si="20">IF(E27="int",REPT(CHAR(9),2)&amp;"this."&amp;D27&amp;" = 0,",REPT(CHAR(9),2)&amp;"this."&amp;D27&amp;" = '',")</f>
        <v xml:space="preserve">		this.bodyNo = '',</v>
      </c>
      <c r="V27" s="31" t="str">
        <f t="shared" si="8"/>
        <v/>
      </c>
    </row>
    <row r="28" spans="1:22" ht="18" customHeight="1" x14ac:dyDescent="0.25">
      <c r="A28" s="31" t="s">
        <v>345</v>
      </c>
      <c r="B28" s="31" t="str">
        <f t="shared" si="0"/>
        <v>LotNo</v>
      </c>
      <c r="C28" s="31" t="str">
        <f t="shared" si="1"/>
        <v>Lot No</v>
      </c>
      <c r="D28" s="31" t="str">
        <f t="shared" si="2"/>
        <v>lotNo</v>
      </c>
      <c r="E28" s="31" t="str">
        <f>A.Backend!H22</f>
        <v>string</v>
      </c>
      <c r="F28" s="31" t="str">
        <f>A.Backend!G22</f>
        <v>50</v>
      </c>
      <c r="G28" s="31" t="str">
        <f t="shared" si="3"/>
        <v xml:space="preserve"> : string = '' ; </v>
      </c>
      <c r="H28" s="38" t="str">
        <f t="shared" si="4"/>
        <v xml:space="preserve">			{headerName: this.l('Lot No'),headerTooltip: this.l('Lot No'),field: 'lotNo',flex: 1},</v>
      </c>
      <c r="I28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8" s="31"/>
      <c r="K28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18"/>
        <v xml:space="preserve">	lotNo : string = '' ; </v>
      </c>
      <c r="T28" s="31" t="str">
        <f t="shared" si="19"/>
        <v xml:space="preserve">			this.lotNo,</v>
      </c>
      <c r="U28" s="31" t="str">
        <f t="shared" si="20"/>
        <v xml:space="preserve">		this.lotNo = '',</v>
      </c>
      <c r="V28" s="31" t="str">
        <f t="shared" si="8"/>
        <v/>
      </c>
    </row>
    <row r="29" spans="1:22" ht="18" customHeight="1" x14ac:dyDescent="0.25">
      <c r="A29" s="31" t="s">
        <v>346</v>
      </c>
      <c r="B29" s="31" t="str">
        <f t="shared" si="0"/>
        <v>NoInLot</v>
      </c>
      <c r="C29" s="31" t="str">
        <f t="shared" si="1"/>
        <v>No In Lot</v>
      </c>
      <c r="D29" s="31" t="str">
        <f t="shared" si="2"/>
        <v>noInLot</v>
      </c>
      <c r="E29" s="31" t="str">
        <f>A.Backend!H23</f>
        <v>int</v>
      </c>
      <c r="F29" s="31" t="str">
        <f>A.Backend!G23</f>
        <v/>
      </c>
      <c r="G29" s="31" t="str">
        <f t="shared" si="3"/>
        <v xml:space="preserve"> : number = 0 ;</v>
      </c>
      <c r="H29" s="38" t="str">
        <f t="shared" si="4"/>
        <v xml:space="preserve">			{headerName: this.l('No In Lot'),headerTooltip: this.l('No In Lot'),field: 'noInLot',flex: 1},</v>
      </c>
      <c r="I29" s="38" t="str">
        <f t="shared" si="5"/>
        <v/>
      </c>
      <c r="J29" s="31"/>
      <c r="K29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18"/>
        <v xml:space="preserve">	noInLot : number = 0 ;</v>
      </c>
      <c r="T29" s="31" t="str">
        <f t="shared" si="19"/>
        <v xml:space="preserve">			this.noInLot,</v>
      </c>
      <c r="U29" s="31" t="str">
        <f t="shared" si="20"/>
        <v xml:space="preserve">		this.noInLot = 0,</v>
      </c>
      <c r="V29" s="31" t="str">
        <f t="shared" si="8"/>
        <v/>
      </c>
    </row>
    <row r="30" spans="1:22" ht="15" customHeight="1" x14ac:dyDescent="0.25">
      <c r="A30" s="31" t="s">
        <v>347</v>
      </c>
      <c r="B30" s="31" t="str">
        <f t="shared" ref="B30:B36" si="21">SUBSTITUTE(PROPER(A30),"_","")</f>
        <v>Grade</v>
      </c>
      <c r="C30" s="31" t="str">
        <f t="shared" ref="C30:C36" si="22">SUBSTITUTE(PROPER(A30),"_"," ")</f>
        <v>Grade</v>
      </c>
      <c r="D30" s="31" t="str">
        <f t="shared" ref="D30:D36" si="23">LOWER(LEFT(B30,1))&amp;RIGHT(B30,LEN(B30) - 1)</f>
        <v>grade</v>
      </c>
      <c r="E30" s="31" t="str">
        <f>A.Backend!H24</f>
        <v>string</v>
      </c>
      <c r="F30" s="31" t="str">
        <f>A.Backend!G24</f>
        <v>50</v>
      </c>
      <c r="G30" s="31" t="str">
        <f t="shared" ref="G30:G36" si="24">IF(E30="string"," : string = '' ; ",IF(OR(E30="DateTime",E30="TimeSpan")," : any ;",IF(E30="int"," : number = 0 ;","")))</f>
        <v xml:space="preserve"> : string = '' ; </v>
      </c>
      <c r="H30" s="38" t="str">
        <f t="shared" ref="H30:H36" si="25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this.l('Grade'),headerTooltip: this.l('Grade'),field: 'grade',flex: 1},</v>
      </c>
      <c r="I30" s="38" t="str">
        <f t="shared" ref="I30:I36" si="26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30" s="31"/>
      <c r="K30" s="38" t="str">
        <f t="shared" ref="K30:K36" si="27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30" s="60" t="str">
        <f t="shared" ref="L30:L36" si="28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grade : string = '' ; </v>
      </c>
      <c r="T30" s="31" t="str">
        <f>REPT(CHAR(9),3)&amp;"this."&amp;D30&amp;","</f>
        <v xml:space="preserve">			this.grade,</v>
      </c>
      <c r="U30" s="31" t="str">
        <f>IF(E30="int",REPT(CHAR(9),2)&amp;"this."&amp;D30&amp;" = 0,",REPT(CHAR(9),2)&amp;"this."&amp;D30&amp;" = '',")</f>
        <v xml:space="preserve">		this.grade = '',</v>
      </c>
      <c r="V30" s="31" t="str">
        <f t="shared" ref="V30:V36" si="29">IF(AND(E30="string",F30="1"),D30,"")</f>
        <v/>
      </c>
    </row>
    <row r="31" spans="1:22" ht="18" customHeight="1" x14ac:dyDescent="0.25">
      <c r="A31" s="31" t="s">
        <v>348</v>
      </c>
      <c r="B31" s="31" t="str">
        <f t="shared" si="21"/>
        <v>Model</v>
      </c>
      <c r="C31" s="31" t="str">
        <f t="shared" si="22"/>
        <v>Model</v>
      </c>
      <c r="D31" s="31" t="str">
        <f t="shared" si="23"/>
        <v>model</v>
      </c>
      <c r="E31" s="31" t="str">
        <f>A.Backend!H25</f>
        <v>string</v>
      </c>
      <c r="F31" s="31" t="str">
        <f>A.Backend!G25</f>
        <v>50</v>
      </c>
      <c r="G31" s="31" t="str">
        <f t="shared" si="24"/>
        <v xml:space="preserve"> : string = '' ; </v>
      </c>
      <c r="H31" s="38" t="str">
        <f t="shared" si="25"/>
        <v xml:space="preserve">			{headerName: this.l('Model'),headerTooltip: this.l('Model'),field: 'model',flex: 1},</v>
      </c>
      <c r="I31" s="38" t="str">
        <f t="shared" si="26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31" s="31"/>
      <c r="K31" s="38" t="str">
        <f t="shared" si="27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31" s="60" t="str">
        <f t="shared" si="28"/>
        <v/>
      </c>
      <c r="M31" s="31"/>
      <c r="N31" s="31"/>
      <c r="O31" s="31"/>
      <c r="P31" s="31"/>
      <c r="Q31" s="31"/>
      <c r="R31" s="31"/>
      <c r="S31" s="31" t="str">
        <f t="shared" ref="S31:S32" si="30">REPT(CHAR(9),1)&amp;D31&amp;G31</f>
        <v xml:space="preserve">	model : string = '' ; </v>
      </c>
      <c r="T31" s="31" t="str">
        <f t="shared" ref="T31:T32" si="31">REPT(CHAR(9),3)&amp;"this."&amp;D31&amp;","</f>
        <v xml:space="preserve">			this.model,</v>
      </c>
      <c r="U31" s="31" t="str">
        <f t="shared" ref="U31:U32" si="32">IF(E31="int",REPT(CHAR(9),2)&amp;"this."&amp;D31&amp;" = 0,",REPT(CHAR(9),2)&amp;"this."&amp;D31&amp;" = '',")</f>
        <v xml:space="preserve">		this.model = '',</v>
      </c>
      <c r="V31" s="31" t="str">
        <f t="shared" si="29"/>
        <v/>
      </c>
    </row>
    <row r="32" spans="1:22" ht="18" customHeight="1" x14ac:dyDescent="0.25">
      <c r="A32" s="31" t="s">
        <v>349</v>
      </c>
      <c r="B32" s="31" t="str">
        <f t="shared" si="21"/>
        <v>BodyNo2</v>
      </c>
      <c r="C32" s="31" t="str">
        <f t="shared" si="22"/>
        <v>Body No 2</v>
      </c>
      <c r="D32" s="31" t="str">
        <f t="shared" si="23"/>
        <v>bodyNo2</v>
      </c>
      <c r="E32" s="31" t="str">
        <f>A.Backend!H26</f>
        <v>string</v>
      </c>
      <c r="F32" s="31" t="str">
        <f>A.Backend!G26</f>
        <v>50</v>
      </c>
      <c r="G32" s="31" t="str">
        <f t="shared" si="24"/>
        <v xml:space="preserve"> : string = '' ; </v>
      </c>
      <c r="H32" s="38" t="str">
        <f t="shared" si="25"/>
        <v xml:space="preserve">			{headerName: this.l('Body No 2'),headerTooltip: this.l('Body No 2'),field: 'bodyNo2',flex: 1},</v>
      </c>
      <c r="I32" s="38" t="str">
        <f t="shared" si="26"/>
        <v xml:space="preserve">								&lt;div class='input-search'&gt;
									&lt;input [(ngModel)]='bodyNo2' name='bodyNo2'
									class='form-control' [placeholder]="l('Body No 2')"
									type='text' (keyup.enter)='searchDatas()'&gt;
								&lt;/div&gt;</v>
      </c>
      <c r="J32" s="31"/>
      <c r="K32" s="38" t="str">
        <f t="shared" si="27"/>
        <v xml:space="preserve">					&lt;div class='col-md-12 form-group row'&gt;
						&lt;label class='col-md-2 form-control title'&gt;Body No 2&lt;/label&gt;
						&lt;input type='text' class='col-md-10 form-control input-text' name='BodyNo2' [(ngModel)]='rowdata.bodyNo2'&gt;
					&lt;/div&gt;</v>
      </c>
      <c r="L32" s="60" t="str">
        <f t="shared" si="28"/>
        <v/>
      </c>
      <c r="M32" s="31"/>
      <c r="N32" s="31"/>
      <c r="O32" s="31"/>
      <c r="P32" s="31"/>
      <c r="Q32" s="31"/>
      <c r="R32" s="31"/>
      <c r="S32" s="31" t="str">
        <f t="shared" si="30"/>
        <v xml:space="preserve">	bodyNo2 : string = '' ; </v>
      </c>
      <c r="T32" s="31" t="str">
        <f t="shared" si="31"/>
        <v xml:space="preserve">			this.bodyNo2,</v>
      </c>
      <c r="U32" s="31" t="str">
        <f t="shared" si="32"/>
        <v xml:space="preserve">		this.bodyNo2 = '',</v>
      </c>
      <c r="V32" s="31" t="str">
        <f t="shared" si="29"/>
        <v/>
      </c>
    </row>
    <row r="33" spans="1:22" ht="15" customHeight="1" x14ac:dyDescent="0.25">
      <c r="A33" s="31" t="s">
        <v>350</v>
      </c>
      <c r="B33" s="31" t="str">
        <f t="shared" si="21"/>
        <v>LotNo2</v>
      </c>
      <c r="C33" s="31" t="str">
        <f t="shared" si="22"/>
        <v>Lot No 2</v>
      </c>
      <c r="D33" s="31" t="str">
        <f t="shared" si="23"/>
        <v>lotNo2</v>
      </c>
      <c r="E33" s="31" t="str">
        <f>A.Backend!H27</f>
        <v>string</v>
      </c>
      <c r="F33" s="31" t="str">
        <f>A.Backend!G27</f>
        <v>50</v>
      </c>
      <c r="G33" s="31" t="str">
        <f t="shared" si="24"/>
        <v xml:space="preserve"> : string = '' ; </v>
      </c>
      <c r="H33" s="38" t="str">
        <f t="shared" si="25"/>
        <v xml:space="preserve">			{headerName: this.l('Lot No 2'),headerTooltip: this.l('Lot No 2'),field: 'lotNo2',flex: 1},</v>
      </c>
      <c r="I33" s="38" t="str">
        <f t="shared" si="26"/>
        <v xml:space="preserve">								&lt;div class='input-search'&gt;
									&lt;input [(ngModel)]='lotNo2' name='lotNo2'
									class='form-control' [placeholder]="l('Lot No 2')"
									type='text' (keyup.enter)='searchDatas()'&gt;
								&lt;/div&gt;</v>
      </c>
      <c r="J33" s="31"/>
      <c r="K33" s="38" t="str">
        <f t="shared" si="27"/>
        <v xml:space="preserve">					&lt;div class='col-md-12 form-group row'&gt;
						&lt;label class='col-md-2 form-control title'&gt;Lot No 2&lt;/label&gt;
						&lt;input type='text' class='col-md-10 form-control input-text' name='LotNo2' [(ngModel)]='rowdata.lotNo2'&gt;
					&lt;/div&gt;</v>
      </c>
      <c r="L33" s="60" t="str">
        <f t="shared" si="28"/>
        <v/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lotNo2 : string = '' ; </v>
      </c>
      <c r="T33" s="31" t="str">
        <f>REPT(CHAR(9),3)&amp;"this."&amp;D33&amp;","</f>
        <v xml:space="preserve">			this.lotNo2,</v>
      </c>
      <c r="U33" s="31" t="str">
        <f>IF(E33="int",REPT(CHAR(9),2)&amp;"this."&amp;D33&amp;" = 0,",REPT(CHAR(9),2)&amp;"this."&amp;D33&amp;" = '',")</f>
        <v xml:space="preserve">		this.lotNo2 = '',</v>
      </c>
      <c r="V33" s="31" t="str">
        <f t="shared" si="29"/>
        <v/>
      </c>
    </row>
    <row r="34" spans="1:22" ht="18" customHeight="1" x14ac:dyDescent="0.25">
      <c r="A34" s="31" t="s">
        <v>351</v>
      </c>
      <c r="B34" s="31" t="str">
        <f t="shared" si="21"/>
        <v>NoInLot2</v>
      </c>
      <c r="C34" s="31" t="str">
        <f t="shared" si="22"/>
        <v>No In Lot 2</v>
      </c>
      <c r="D34" s="31" t="str">
        <f t="shared" si="23"/>
        <v>noInLot2</v>
      </c>
      <c r="E34" s="31" t="str">
        <f>A.Backend!H28</f>
        <v>int</v>
      </c>
      <c r="F34" s="31" t="str">
        <f>A.Backend!G28</f>
        <v/>
      </c>
      <c r="G34" s="31" t="str">
        <f t="shared" si="24"/>
        <v xml:space="preserve"> : number = 0 ;</v>
      </c>
      <c r="H34" s="38" t="str">
        <f t="shared" si="25"/>
        <v xml:space="preserve">			{headerName: this.l('No In Lot 2'),headerTooltip: this.l('No In Lot 2'),field: 'noInLot2',flex: 1},</v>
      </c>
      <c r="I34" s="38" t="str">
        <f t="shared" si="26"/>
        <v/>
      </c>
      <c r="J34" s="31"/>
      <c r="K34" s="38" t="str">
        <f t="shared" si="27"/>
        <v xml:space="preserve">					&lt;div class='col-md-12 form-group row'&gt;
						&lt;label class='col-md-2 form-control title'&gt;No In Lot 2&lt;/label&gt;
						&lt;input type='number' class='col-md-10 form-control input-text' name='NoInLot2' [(ngModel)]='rowdata.noInLot2'&gt;
					&lt;/div&gt;</v>
      </c>
      <c r="L34" s="60" t="str">
        <f t="shared" si="28"/>
        <v/>
      </c>
      <c r="M34" s="31"/>
      <c r="N34" s="31"/>
      <c r="O34" s="31"/>
      <c r="P34" s="31"/>
      <c r="Q34" s="31"/>
      <c r="R34" s="31"/>
      <c r="S34" s="31" t="str">
        <f t="shared" ref="S34:S36" si="33">REPT(CHAR(9),1)&amp;D34&amp;G34</f>
        <v xml:space="preserve">	noInLot2 : number = 0 ;</v>
      </c>
      <c r="T34" s="31" t="str">
        <f t="shared" ref="T34:T36" si="34">REPT(CHAR(9),3)&amp;"this."&amp;D34&amp;","</f>
        <v xml:space="preserve">			this.noInLot2,</v>
      </c>
      <c r="U34" s="31" t="str">
        <f t="shared" ref="U34:U36" si="35">IF(E34="int",REPT(CHAR(9),2)&amp;"this."&amp;D34&amp;" = 0,",REPT(CHAR(9),2)&amp;"this."&amp;D34&amp;" = '',")</f>
        <v xml:space="preserve">		this.noInLot2 = 0,</v>
      </c>
      <c r="V34" s="31" t="str">
        <f t="shared" si="29"/>
        <v/>
      </c>
    </row>
    <row r="35" spans="1:22" ht="18" customHeight="1" x14ac:dyDescent="0.25">
      <c r="A35" s="31" t="s">
        <v>352</v>
      </c>
      <c r="B35" s="31" t="str">
        <f t="shared" si="21"/>
        <v>Grade2</v>
      </c>
      <c r="C35" s="31" t="str">
        <f t="shared" si="22"/>
        <v>Grade 2</v>
      </c>
      <c r="D35" s="31" t="str">
        <f t="shared" si="23"/>
        <v>grade2</v>
      </c>
      <c r="E35" s="31" t="str">
        <f>A.Backend!H29</f>
        <v>string</v>
      </c>
      <c r="F35" s="31" t="str">
        <f>A.Backend!G29</f>
        <v>50</v>
      </c>
      <c r="G35" s="31" t="str">
        <f t="shared" si="24"/>
        <v xml:space="preserve"> : string = '' ; </v>
      </c>
      <c r="H35" s="38" t="str">
        <f t="shared" si="25"/>
        <v xml:space="preserve">			{headerName: this.l('Grade 2'),headerTooltip: this.l('Grade 2'),field: 'grade2',flex: 1},</v>
      </c>
      <c r="I35" s="38" t="str">
        <f t="shared" si="26"/>
        <v xml:space="preserve">								&lt;div class='input-search'&gt;
									&lt;input [(ngModel)]='grade2' name='grade2'
									class='form-control' [placeholder]="l('Grade 2')"
									type='text' (keyup.enter)='searchDatas()'&gt;
								&lt;/div&gt;</v>
      </c>
      <c r="J35" s="31"/>
      <c r="K35" s="38" t="str">
        <f t="shared" si="27"/>
        <v xml:space="preserve">					&lt;div class='col-md-12 form-group row'&gt;
						&lt;label class='col-md-2 form-control title'&gt;Grade 2&lt;/label&gt;
						&lt;input type='text' class='col-md-10 form-control input-text' name='Grade2' [(ngModel)]='rowdata.grade2'&gt;
					&lt;/div&gt;</v>
      </c>
      <c r="L35" s="60" t="str">
        <f t="shared" si="28"/>
        <v/>
      </c>
      <c r="M35" s="31"/>
      <c r="N35" s="31"/>
      <c r="O35" s="31"/>
      <c r="P35" s="31"/>
      <c r="Q35" s="31"/>
      <c r="R35" s="31"/>
      <c r="S35" s="31" t="str">
        <f t="shared" si="33"/>
        <v xml:space="preserve">	grade2 : string = '' ; </v>
      </c>
      <c r="T35" s="31" t="str">
        <f t="shared" si="34"/>
        <v xml:space="preserve">			this.grade2,</v>
      </c>
      <c r="U35" s="31" t="str">
        <f t="shared" si="35"/>
        <v xml:space="preserve">		this.grade2 = '',</v>
      </c>
      <c r="V35" s="31" t="str">
        <f t="shared" si="29"/>
        <v/>
      </c>
    </row>
    <row r="36" spans="1:22" ht="18" customHeight="1" x14ac:dyDescent="0.25">
      <c r="A36" s="31" t="s">
        <v>353</v>
      </c>
      <c r="B36" s="31" t="str">
        <f t="shared" si="21"/>
        <v>Model2</v>
      </c>
      <c r="C36" s="31" t="str">
        <f t="shared" si="22"/>
        <v>Model 2</v>
      </c>
      <c r="D36" s="31" t="str">
        <f t="shared" si="23"/>
        <v>model2</v>
      </c>
      <c r="E36" s="31" t="str">
        <f>A.Backend!H30</f>
        <v>string</v>
      </c>
      <c r="F36" s="31" t="str">
        <f>A.Backend!G30</f>
        <v>50</v>
      </c>
      <c r="G36" s="31" t="str">
        <f t="shared" si="24"/>
        <v xml:space="preserve"> : string = '' ; </v>
      </c>
      <c r="H36" s="38" t="str">
        <f t="shared" si="25"/>
        <v xml:space="preserve">			{headerName: this.l('Model 2'),headerTooltip: this.l('Model 2'),field: 'model2',flex: 1},</v>
      </c>
      <c r="I36" s="38" t="str">
        <f t="shared" si="26"/>
        <v xml:space="preserve">								&lt;div class='input-search'&gt;
									&lt;input [(ngModel)]='model2' name='model2'
									class='form-control' [placeholder]="l('Model 2')"
									type='text' (keyup.enter)='searchDatas()'&gt;
								&lt;/div&gt;</v>
      </c>
      <c r="J36" s="31"/>
      <c r="K36" s="38" t="str">
        <f t="shared" si="27"/>
        <v xml:space="preserve">					&lt;div class='col-md-12 form-group row'&gt;
						&lt;label class='col-md-2 form-control title'&gt;Model 2&lt;/label&gt;
						&lt;input type='text' class='col-md-10 form-control input-text' name='Model2' [(ngModel)]='rowdata.model2'&gt;
					&lt;/div&gt;</v>
      </c>
      <c r="L36" s="60" t="str">
        <f t="shared" si="28"/>
        <v/>
      </c>
      <c r="M36" s="31"/>
      <c r="N36" s="31"/>
      <c r="O36" s="31"/>
      <c r="P36" s="31"/>
      <c r="Q36" s="31"/>
      <c r="R36" s="31"/>
      <c r="S36" s="31" t="str">
        <f t="shared" si="33"/>
        <v xml:space="preserve">	model2 : string = '' ; </v>
      </c>
      <c r="T36" s="31" t="str">
        <f t="shared" si="34"/>
        <v xml:space="preserve">			this.model2,</v>
      </c>
      <c r="U36" s="31" t="str">
        <f t="shared" si="35"/>
        <v xml:space="preserve">		this.model2 = '',</v>
      </c>
      <c r="V36" s="31" t="str">
        <f t="shared" si="29"/>
        <v/>
      </c>
    </row>
    <row r="37" spans="1:22" ht="15" customHeight="1" x14ac:dyDescent="0.25">
      <c r="A37" s="31" t="s">
        <v>354</v>
      </c>
      <c r="B37" s="31" t="str">
        <f t="shared" ref="B37:B39" si="36">SUBSTITUTE(PROPER(A37),"_","")</f>
        <v>Address2</v>
      </c>
      <c r="C37" s="31" t="str">
        <f t="shared" ref="C37:C39" si="37">SUBSTITUTE(PROPER(A37),"_"," ")</f>
        <v>Address 2</v>
      </c>
      <c r="D37" s="31" t="str">
        <f t="shared" ref="D37:D39" si="38">LOWER(LEFT(B37,1))&amp;RIGHT(B37,LEN(B37) - 1)</f>
        <v>address2</v>
      </c>
      <c r="E37" s="31" t="str">
        <f>A.Backend!H31</f>
        <v>string</v>
      </c>
      <c r="F37" s="31" t="str">
        <f>A.Backend!G31</f>
        <v>50</v>
      </c>
      <c r="G37" s="31" t="str">
        <f t="shared" ref="G37:G39" si="39">IF(E37="string"," : string = '' ; ",IF(OR(E37="DateTime",E37="TimeSpan")," : any ;",IF(E37="int"," : number = 0 ;","")))</f>
        <v xml:space="preserve"> : string = '' ; </v>
      </c>
      <c r="H37" s="38" t="str">
        <f t="shared" ref="H37:H39" si="40">IF(E37="DateTime",
REPT(CHAR(9),3)&amp;"{headerName: this.l('"&amp;C37&amp;"'),headerTooltip: this.l('"&amp;C37&amp;"'),field: '"&amp;D37&amp;"',valueGetter: (params) =&gt; this.pipe.transform(params.data?."&amp;D37&amp;", 'dd/MM/yyyy'),flex: 1},",
IF(AND(E37="string",F37="1"),
REPT(CHAR(9),3)&amp;"{headerName: this.l('"&amp;C37&amp;"'),headerTooltip: this.l('"&amp;C37&amp;"'),field:  '"&amp;D37&amp;"', cellClass: ['text-center'], width: 120, cellRenderer: 'agCellButtonComponent',
buttonDefTwo: { text: params =&gt; (params.data?.'"&amp;D37&amp;"' == 'Y') ? 'Active' : 'Inactive',iconName: 'fa fa-circle',className: params =&gt; (params.data?.'"&amp;D37&amp;"' == 'Y') ? 'btnActive' : 'btnInActive',},}",
REPT(CHAR(9),3)&amp;"{headerName: this.l('"&amp;C37&amp;"'),headerTooltip: this.l('"&amp;C37&amp;"'),field: '"&amp;D37&amp;"',flex: 1},"))</f>
        <v xml:space="preserve">			{headerName: this.l('Address 2'),headerTooltip: this.l('Address 2'),field: 'address2',flex: 1},</v>
      </c>
      <c r="I37" s="38" t="str">
        <f t="shared" ref="I37:I39" si="41"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IF(E37="string",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[(ngModel)]='address2' name='address2'
									class='form-control' [placeholder]="l('Address 2')"
									type='text' (keyup.enter)='searchDatas()'&gt;
								&lt;/div&gt;</v>
      </c>
      <c r="J37" s="31"/>
      <c r="K37" s="38" t="str">
        <f t="shared" ref="K37:K39" si="42">IF(OR(E37="DateTime",E37="TimeSpan"),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IF(E37="int",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title'&gt;Address 2&lt;/label&gt;
						&lt;input type='text' class='col-md-10 form-control input-text' name='Address2' [(ngModel)]='rowdata.address2'&gt;
					&lt;/div&gt;</v>
      </c>
      <c r="L37" s="60" t="str">
        <f t="shared" ref="L37:L39" si="43"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31"/>
      <c r="N37" s="31"/>
      <c r="O37" s="31"/>
      <c r="P37" s="31"/>
      <c r="Q37" s="31"/>
      <c r="R37" s="31"/>
      <c r="S37" s="31" t="str">
        <f>REPT(CHAR(9),1)&amp;D37&amp;G37</f>
        <v xml:space="preserve">	address2 : string = '' ; </v>
      </c>
      <c r="T37" s="31" t="str">
        <f>REPT(CHAR(9),3)&amp;"this."&amp;D37&amp;","</f>
        <v xml:space="preserve">			this.address2,</v>
      </c>
      <c r="U37" s="31" t="str">
        <f>IF(E37="int",REPT(CHAR(9),2)&amp;"this."&amp;D37&amp;" = 0,",REPT(CHAR(9),2)&amp;"this."&amp;D37&amp;" = '',")</f>
        <v xml:space="preserve">		this.address2 = '',</v>
      </c>
      <c r="V37" s="31" t="str">
        <f t="shared" ref="V37:V39" si="44">IF(AND(E37="string",F37="1"),D37,"")</f>
        <v/>
      </c>
    </row>
    <row r="38" spans="1:22" ht="18" customHeight="1" x14ac:dyDescent="0.25">
      <c r="A38" s="31" t="s">
        <v>333</v>
      </c>
      <c r="B38" s="31" t="str">
        <f t="shared" si="36"/>
        <v>NewtaktDatetime</v>
      </c>
      <c r="C38" s="31" t="str">
        <f t="shared" si="37"/>
        <v>Newtakt Datetime</v>
      </c>
      <c r="D38" s="31" t="str">
        <f t="shared" si="38"/>
        <v>newtaktDatetime</v>
      </c>
      <c r="E38" s="31" t="str">
        <f>A.Backend!H32</f>
        <v>DateTime</v>
      </c>
      <c r="F38" s="31" t="str">
        <f>A.Backend!G32</f>
        <v>7</v>
      </c>
      <c r="G38" s="31" t="str">
        <f t="shared" si="39"/>
        <v xml:space="preserve"> : any ;</v>
      </c>
      <c r="H38" s="38" t="str">
        <f t="shared" si="40"/>
        <v xml:space="preserve">			{headerName: this.l('Newtakt Datetime'),headerTooltip: this.l('Newtakt Datetime'),field: 'newtaktDatetime',valueGetter: (params) =&gt; this.pipe.transform(params.data?.newtaktDatetime, 'dd/MM/yyyy'),flex: 1},</v>
      </c>
      <c r="I38" s="38" t="str">
        <f t="shared" si="41"/>
        <v xml:space="preserve">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</v>
      </c>
      <c r="J38" s="31"/>
      <c r="K38" s="38" t="str">
        <f t="shared" si="42"/>
        <v xml:space="preserve">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</v>
      </c>
      <c r="L38" s="60" t="str">
        <f t="shared" si="43"/>
        <v xml:space="preserve">		const dateValue =  this.rowdata.newtaktDatetime ? new Date(this.rowdata.newtaktDatetime?.toString()) : new Date();
		this.datepicker?.bsValueChange.emit(dateValue);</v>
      </c>
      <c r="M38" s="31"/>
      <c r="N38" s="31"/>
      <c r="O38" s="31"/>
      <c r="P38" s="31"/>
      <c r="Q38" s="31"/>
      <c r="R38" s="31"/>
      <c r="S38" s="31" t="str">
        <f t="shared" ref="S38:S39" si="45">REPT(CHAR(9),1)&amp;D38&amp;G38</f>
        <v xml:space="preserve">	newtaktDatetime : any ;</v>
      </c>
      <c r="T38" s="31" t="str">
        <f t="shared" ref="T38:T39" si="46">REPT(CHAR(9),3)&amp;"this."&amp;D38&amp;","</f>
        <v xml:space="preserve">			this.newtaktDatetime,</v>
      </c>
      <c r="U38" s="31" t="str">
        <f t="shared" ref="U38:U39" si="47">IF(E38="int",REPT(CHAR(9),2)&amp;"this."&amp;D38&amp;" = 0,",REPT(CHAR(9),2)&amp;"this."&amp;D38&amp;" = '',")</f>
        <v xml:space="preserve">		this.newtaktDatetime = '',</v>
      </c>
      <c r="V38" s="31" t="str">
        <f t="shared" si="44"/>
        <v/>
      </c>
    </row>
    <row r="39" spans="1:22" ht="18" customHeight="1" x14ac:dyDescent="0.25">
      <c r="A39" s="31" t="s">
        <v>329</v>
      </c>
      <c r="B39" s="31" t="str">
        <f t="shared" si="36"/>
        <v>StartDatetime</v>
      </c>
      <c r="C39" s="31" t="str">
        <f t="shared" si="37"/>
        <v>Start Datetime</v>
      </c>
      <c r="D39" s="31" t="str">
        <f t="shared" si="38"/>
        <v>startDatetime</v>
      </c>
      <c r="E39" s="31" t="str">
        <f>A.Backend!H33</f>
        <v>DateTime</v>
      </c>
      <c r="F39" s="31" t="str">
        <f>A.Backend!G33</f>
        <v>7</v>
      </c>
      <c r="G39" s="31" t="str">
        <f t="shared" si="39"/>
        <v xml:space="preserve"> : any ;</v>
      </c>
      <c r="H39" s="38" t="str">
        <f t="shared" si="40"/>
        <v xml:space="preserve">			{headerName: this.l('Start Datetime'),headerTooltip: this.l('Start Datetime'),field: 'startDatetime',valueGetter: (params) =&gt; this.pipe.transform(params.data?.startDatetime, 'dd/MM/yyyy'),flex: 1},</v>
      </c>
      <c r="I39" s="38" t="str">
        <f t="shared" si="41"/>
        <v xml:space="preserve">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</v>
      </c>
      <c r="J39" s="31"/>
      <c r="K39" s="38" t="str">
        <f t="shared" si="42"/>
        <v xml:space="preserve">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</v>
      </c>
      <c r="L39" s="60" t="str">
        <f t="shared" si="43"/>
        <v xml:space="preserve">		const dateValue =  this.rowdata.startDatetime ? new Date(this.rowdata.startDatetime?.toString()) : new Date();
		this.datepicker?.bsValueChange.emit(dateValue);</v>
      </c>
      <c r="M39" s="31"/>
      <c r="N39" s="31"/>
      <c r="O39" s="31"/>
      <c r="P39" s="31"/>
      <c r="Q39" s="31"/>
      <c r="R39" s="31"/>
      <c r="S39" s="31" t="str">
        <f t="shared" si="45"/>
        <v xml:space="preserve">	startDatetime : any ;</v>
      </c>
      <c r="T39" s="31" t="str">
        <f t="shared" si="46"/>
        <v xml:space="preserve">			this.startDatetime,</v>
      </c>
      <c r="U39" s="31" t="str">
        <f t="shared" si="47"/>
        <v xml:space="preserve">		this.startDatetime = '',</v>
      </c>
      <c r="V39" s="31" t="str">
        <f t="shared" si="44"/>
        <v/>
      </c>
    </row>
    <row r="40" spans="1:22" ht="15" customHeight="1" x14ac:dyDescent="0.25">
      <c r="A40" s="31" t="s">
        <v>330</v>
      </c>
      <c r="B40" s="31" t="str">
        <f t="shared" ref="B40:B41" si="48">SUBSTITUTE(PROPER(A40),"_","")</f>
        <v>FinishDatetime</v>
      </c>
      <c r="C40" s="31" t="str">
        <f t="shared" ref="C40:C41" si="49">SUBSTITUTE(PROPER(A40),"_"," ")</f>
        <v>Finish Datetime</v>
      </c>
      <c r="D40" s="31" t="str">
        <f t="shared" ref="D40:D41" si="50">LOWER(LEFT(B40,1))&amp;RIGHT(B40,LEN(B40) - 1)</f>
        <v>finishDatetime</v>
      </c>
      <c r="E40" s="31" t="str">
        <f>A.Backend!H34</f>
        <v>DateTime</v>
      </c>
      <c r="F40" s="31" t="str">
        <f>A.Backend!G34</f>
        <v>7</v>
      </c>
      <c r="G40" s="31" t="str">
        <f t="shared" ref="G40:G41" si="51">IF(E40="string"," : string = '' ; ",IF(OR(E40="DateTime",E40="TimeSpan")," : any ;",IF(E40="int"," : number = 0 ;","")))</f>
        <v xml:space="preserve"> : any ;</v>
      </c>
      <c r="H40" s="38" t="str">
        <f t="shared" ref="H40:H41" si="52">IF(E40="DateTime",
REPT(CHAR(9),3)&amp;"{headerName: this.l('"&amp;C40&amp;"'),headerTooltip: this.l('"&amp;C40&amp;"'),field: '"&amp;D40&amp;"',valueGetter: (params) =&gt; this.pipe.transform(params.data?."&amp;D40&amp;", 'dd/MM/yyyy'),flex: 1},",
IF(AND(E40="string",F40="1"),
REPT(CHAR(9),3)&amp;"{headerName: this.l('"&amp;C40&amp;"'),headerTooltip: this.l('"&amp;C40&amp;"'),field:  '"&amp;D40&amp;"', cellClass: ['text-center'], width: 120, cellRenderer: 'agCellButtonComponent',
buttonDefTwo: { text: params =&gt; (params.data?.'"&amp;D40&amp;"' == 'Y') ? 'Active' : 'Inactive',iconName: 'fa fa-circle',className: params =&gt; (params.data?.'"&amp;D40&amp;"' == 'Y') ? 'btnActive' : 'btnInActive',},}",
REPT(CHAR(9),3)&amp;"{headerName: this.l('"&amp;C40&amp;"'),headerTooltip: this.l('"&amp;C40&amp;"'),field: '"&amp;D40&amp;"',flex: 1},"))</f>
        <v xml:space="preserve">			{headerName: this.l('Finish Datetime'),headerTooltip: this.l('Finish Datetime'),field: 'finishDatetime',valueGetter: (params) =&gt; this.pipe.transform(params.data?.finishDatetime, 'dd/MM/yyyy'),flex: 1},</v>
      </c>
      <c r="I40" s="38" t="str">
        <f t="shared" ref="I40:I41" si="53"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IF(E40="string",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 xml:space="preserve">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</v>
      </c>
      <c r="J40" s="31"/>
      <c r="K40" s="38" t="str">
        <f t="shared" ref="K40:K41" si="54">IF(OR(E40="DateTime",E40="TimeSpan"),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IF(E40="int",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 xml:space="preserve">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</v>
      </c>
      <c r="L40" s="60" t="str">
        <f t="shared" ref="L40:L41" si="55">IF(E40="DateTime",
REPT(CHAR(9),2)&amp;"const dateValue =  this.rowdata."&amp;D40&amp;" ? new Date(this.rowdata."&amp;D40&amp;"?.toString()) : new Date();
"&amp;REPT(CHAR(9),2)&amp;"this.datepicker?.bsValueChange.emit(dateValue);","")</f>
        <v xml:space="preserve">		const dateValue =  this.rowdata.finishDatetime ? new Date(this.rowdata.finishDatetime?.toString()) : new Date();
		this.datepicker?.bsValueChange.emit(dateValue);</v>
      </c>
      <c r="M40" s="31"/>
      <c r="N40" s="31"/>
      <c r="O40" s="31"/>
      <c r="P40" s="31"/>
      <c r="Q40" s="31"/>
      <c r="R40" s="31"/>
      <c r="S40" s="31" t="str">
        <f>REPT(CHAR(9),1)&amp;D40&amp;G40</f>
        <v xml:space="preserve">	finishDatetime : any ;</v>
      </c>
      <c r="T40" s="31" t="str">
        <f>REPT(CHAR(9),3)&amp;"this."&amp;D40&amp;","</f>
        <v xml:space="preserve">			this.finishDatetime,</v>
      </c>
      <c r="U40" s="31" t="str">
        <f>IF(E40="int",REPT(CHAR(9),2)&amp;"this."&amp;D40&amp;" = 0,",REPT(CHAR(9),2)&amp;"this."&amp;D40&amp;" = '',")</f>
        <v xml:space="preserve">		this.finishDatetime = '',</v>
      </c>
      <c r="V40" s="31" t="str">
        <f t="shared" ref="V40:V41" si="56">IF(AND(E40="string",F40="1"),D40,"")</f>
        <v/>
      </c>
    </row>
    <row r="41" spans="1:22" ht="18" customHeight="1" x14ac:dyDescent="0.25">
      <c r="A41" s="31" t="s">
        <v>332</v>
      </c>
      <c r="B41" s="31" t="str">
        <f t="shared" si="48"/>
        <v>Status</v>
      </c>
      <c r="C41" s="31" t="str">
        <f t="shared" si="49"/>
        <v>Status</v>
      </c>
      <c r="D41" s="31" t="str">
        <f t="shared" si="50"/>
        <v>status</v>
      </c>
      <c r="E41" s="31" t="str">
        <f>A.Backend!H35</f>
        <v>string</v>
      </c>
      <c r="F41" s="31" t="str">
        <f>A.Backend!G35</f>
        <v>50</v>
      </c>
      <c r="G41" s="31" t="str">
        <f t="shared" si="51"/>
        <v xml:space="preserve"> : string = '' ; </v>
      </c>
      <c r="H41" s="38" t="str">
        <f t="shared" si="52"/>
        <v xml:space="preserve">			{headerName: this.l('Status'),headerTooltip: this.l('Status'),field: 'status',flex: 1},</v>
      </c>
      <c r="I41" s="38" t="str">
        <f t="shared" si="53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41" s="31"/>
      <c r="K41" s="38" t="str">
        <f t="shared" si="54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41" s="60" t="str">
        <f t="shared" si="55"/>
        <v/>
      </c>
      <c r="M41" s="31"/>
      <c r="N41" s="31"/>
      <c r="O41" s="31"/>
      <c r="P41" s="31"/>
      <c r="Q41" s="31"/>
      <c r="R41" s="31"/>
      <c r="S41" s="31" t="str">
        <f t="shared" ref="S41" si="57">REPT(CHAR(9),1)&amp;D41&amp;G41</f>
        <v xml:space="preserve">	status : string = '' ; </v>
      </c>
      <c r="T41" s="31" t="str">
        <f t="shared" ref="T41" si="58">REPT(CHAR(9),3)&amp;"this."&amp;D41&amp;","</f>
        <v xml:space="preserve">			this.status,</v>
      </c>
      <c r="U41" s="31" t="str">
        <f t="shared" ref="U41" si="59">IF(E41="int",REPT(CHAR(9),2)&amp;"this."&amp;D41&amp;" = 0,",REPT(CHAR(9),2)&amp;"this."&amp;D41&amp;" = '',")</f>
        <v xml:space="preserve">		this.status = '',</v>
      </c>
      <c r="V41" s="31" t="str">
        <f t="shared" si="56"/>
        <v/>
      </c>
    </row>
    <row r="42" spans="1:22" ht="18" customHeight="1" x14ac:dyDescent="0.25">
      <c r="A42" s="31" t="s">
        <v>323</v>
      </c>
      <c r="B42" s="31" t="str">
        <f t="shared" ref="B42" si="60">SUBSTITUTE(PROPER(A42),"_","")</f>
        <v>IsActive</v>
      </c>
      <c r="C42" s="31" t="str">
        <f t="shared" ref="C42" si="61">SUBSTITUTE(PROPER(A42),"_"," ")</f>
        <v>Is Active</v>
      </c>
      <c r="D42" s="31" t="str">
        <f t="shared" ref="D42" si="62">LOWER(LEFT(B42,1))&amp;RIGHT(B42,LEN(B42) - 1)</f>
        <v>isActive</v>
      </c>
      <c r="E42" s="31" t="str">
        <f>A.Backend!H36</f>
        <v>string</v>
      </c>
      <c r="F42" s="31" t="str">
        <f>A.Backend!G36</f>
        <v>1</v>
      </c>
      <c r="G42" s="31" t="str">
        <f t="shared" ref="G42" si="63">IF(E42="string"," : string = '' ; ",IF(OR(E42="DateTime",E42="TimeSpan")," : any ;",IF(E42="int"," : number = 0 ;","")))</f>
        <v xml:space="preserve"> : string = '' ; </v>
      </c>
      <c r="H42" s="38" t="str">
        <f t="shared" ref="H42" si="64">IF(E42="DateTime",
REPT(CHAR(9),3)&amp;"{headerName: this.l('"&amp;C42&amp;"'),headerTooltip: this.l('"&amp;C42&amp;"'),field: '"&amp;D42&amp;"',valueGetter: (params) =&gt; this.pipe.transform(params.data?."&amp;D42&amp;", 'dd/MM/yyyy'),flex: 1},",
IF(AND(E42="string",F42="1"),
REPT(CHAR(9),3)&amp;"{headerName: this.l('"&amp;C42&amp;"'),headerTooltip: this.l('"&amp;C42&amp;"'),field:  '"&amp;D42&amp;"', cellClass: ['text-center'], width: 120, cellRenderer: 'agCellButtonComponent',
buttonDefTwo: { text: params =&gt; (params.data?.'"&amp;D42&amp;"' == 'Y') ? 'Active' : 'Inactive',iconName: 'fa fa-circle',className: params =&gt; (params.data?.'"&amp;D42&amp;"' == 'Y') ? 'btnActive' : 'btnInActive',},}",
REPT(CHAR(9),3)&amp;"{headerName: this.l('"&amp;C42&amp;"'),headerTooltip: this.l('"&amp;C42&amp;"'),field: '"&amp;D42&amp;"',flex: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2" s="38" t="str">
        <f t="shared" ref="I42" si="65"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IF(E42="string",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2" s="31"/>
      <c r="K42" s="38" t="str">
        <f t="shared" ref="K42" si="66">IF(OR(E42="DateTime",E42="TimeSpan"),
REPT(CHAR(9),5)&amp;"&lt;div class='col-md-12 form-group row'&gt;
"&amp;REPT(CHAR(9),6)&amp;"&lt;label class='col-md-2 form-control title'&gt;"&amp;C42&amp;"&lt;/label&gt;
"&amp;REPT(CHAR(9),6)&amp;"&lt;input type='text' class='col-md-10 form-control input-text' name='"&amp;D42&amp;"' 
"&amp;REPT(CHAR(9),6)&amp;"#datepicker='bsDatepicker' [(ngModel)]='rowdata."&amp;D42&amp;"'  bsDatepicker &gt;
"&amp;REPT(CHAR(9),5)&amp;"&lt;/div&gt;",
IF(AND(E42="string",F42="1"),
REPT(CHAR(9),5)&amp;"&lt;div class='col-md-12 form-group row'&gt;
"&amp;REPT(CHAR(9),6)&amp;"&lt;label class='col-md-2 form-control title'&gt;"&amp;C42&amp;"&lt;/label&gt;
"&amp;REPT(CHAR(9),6)&amp;"&lt;new-checkbox [(ngModel)]='_"&amp;D42&amp;"' name='"&amp;D42&amp;"' className='col-md-10' &gt; &lt;/new-checkbox&gt;
"&amp;REPT(CHAR(9),5)&amp;"&lt;/div&gt;",
IF(E42="string",
REPT(CHAR(9),5)&amp;"&lt;div class='col-md-12 form-group row'&gt;
"&amp;REPT(CHAR(9),6)&amp;"&lt;label class='col-md-2 form-control title'&gt;"&amp;C42&amp;"&lt;/label&gt;
"&amp;REPT(CHAR(9),6)&amp;"&lt;input type='text' class='col-md-10 form-control input-text' name='"&amp;B42&amp;"' [(ngModel)]='rowdata."&amp;D42&amp;"'&gt;
"&amp;REPT(CHAR(9),5)&amp;"&lt;/div&gt;",
IF(E42="int",
REPT(CHAR(9),5)&amp;"&lt;div class='col-md-12 form-group row'&gt;
"&amp;REPT(CHAR(9),6)&amp;"&lt;label class='col-md-2 form-control title'&gt;"&amp;C42&amp;"&lt;/label&gt;
"&amp;REPT(CHAR(9),6)&amp;"&lt;input type='number' class='col-md-10 form-control input-text' name='"&amp;B42&amp;"' [(ngModel)]='rowdata."&amp;D42&amp;"'&gt;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2" s="60" t="str">
        <f t="shared" ref="L42" si="67"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31"/>
      <c r="N42" s="31"/>
      <c r="O42" s="31"/>
      <c r="P42" s="31"/>
      <c r="Q42" s="31"/>
      <c r="R42" s="31"/>
      <c r="S42" s="31" t="str">
        <f t="shared" ref="S42" si="68">REPT(CHAR(9),1)&amp;D42&amp;G42</f>
        <v xml:space="preserve">	isActive : string = '' ; </v>
      </c>
      <c r="T42" s="31" t="str">
        <f t="shared" ref="T42" si="69">REPT(CHAR(9),3)&amp;"this."&amp;D42&amp;","</f>
        <v xml:space="preserve">			this.isActive,</v>
      </c>
      <c r="U42" s="31" t="str">
        <f t="shared" ref="U42" si="70">IF(E42="int",REPT(CHAR(9),2)&amp;"this."&amp;D42&amp;" = 0,",REPT(CHAR(9),2)&amp;"this."&amp;D42&amp;" = '',")</f>
        <v xml:space="preserve">		this.isActive = '',</v>
      </c>
      <c r="V42" s="31" t="str">
        <f t="shared" ref="V42" si="71">IF(AND(E42="string",F42="1"),D42,"")</f>
        <v>isActive</v>
      </c>
    </row>
    <row r="4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2022-10-11T11:45:36Z</dcterms:modified>
</cp:coreProperties>
</file>
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loga\bar\"/>
    </mc:Choice>
  </mc:AlternateContent>
  <bookViews>
    <workbookView xWindow="0" yWindow="495" windowWidth="28800" windowHeight="1642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externalReferences>
    <externalReference r:id="rId6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G23" i="5" s="1"/>
  <c r="F23" i="5"/>
  <c r="E24" i="5"/>
  <c r="F24" i="5"/>
  <c r="V24" i="5" s="1"/>
  <c r="E25" i="5"/>
  <c r="F25" i="5"/>
  <c r="D24" i="5"/>
  <c r="C24" i="5"/>
  <c r="H24" i="5" s="1"/>
  <c r="B24" i="5"/>
  <c r="I23" i="5"/>
  <c r="C23" i="5"/>
  <c r="B23" i="5"/>
  <c r="D23" i="5" s="1"/>
  <c r="G17" i="1"/>
  <c r="E17" i="1"/>
  <c r="H17" i="1" s="1"/>
  <c r="D17" i="1"/>
  <c r="V17" i="1" s="1"/>
  <c r="L15" i="1"/>
  <c r="G15" i="1"/>
  <c r="E15" i="1"/>
  <c r="H15" i="1" s="1"/>
  <c r="D15" i="1"/>
  <c r="V15" i="1" s="1"/>
  <c r="L13" i="1"/>
  <c r="G13" i="1"/>
  <c r="E13" i="1"/>
  <c r="H13" i="1" s="1"/>
  <c r="D13" i="1"/>
  <c r="V13" i="1" s="1"/>
  <c r="L12" i="1"/>
  <c r="G12" i="1"/>
  <c r="E12" i="1"/>
  <c r="H12" i="1" s="1"/>
  <c r="D12" i="1"/>
  <c r="V12" i="1" s="1"/>
  <c r="G9" i="1"/>
  <c r="E9" i="1"/>
  <c r="H9" i="1" s="1"/>
  <c r="D9" i="1"/>
  <c r="V9" i="1" s="1"/>
  <c r="K23" i="5" l="1"/>
  <c r="L23" i="5"/>
  <c r="T23" i="5"/>
  <c r="S23" i="5"/>
  <c r="U23" i="5"/>
  <c r="V23" i="5"/>
  <c r="I24" i="5"/>
  <c r="T24" i="5"/>
  <c r="H23" i="5"/>
  <c r="K24" i="5"/>
  <c r="U24" i="5"/>
  <c r="G24" i="5"/>
  <c r="S24" i="5" s="1"/>
  <c r="L24" i="5"/>
  <c r="L17" i="1"/>
  <c r="W17" i="1"/>
  <c r="O17" i="1"/>
  <c r="J17" i="1"/>
  <c r="N17" i="1"/>
  <c r="I17" i="1"/>
  <c r="M17" i="1"/>
  <c r="P17" i="1"/>
  <c r="T17" i="1"/>
  <c r="W13" i="1"/>
  <c r="P15" i="1"/>
  <c r="W15" i="1"/>
  <c r="O15" i="1"/>
  <c r="J15" i="1"/>
  <c r="N15" i="1"/>
  <c r="I15" i="1"/>
  <c r="M15" i="1"/>
  <c r="T15" i="1"/>
  <c r="P13" i="1"/>
  <c r="T13" i="1"/>
  <c r="M13" i="1"/>
  <c r="I13" i="1"/>
  <c r="N13" i="1"/>
  <c r="J13" i="1"/>
  <c r="O13" i="1"/>
  <c r="W12" i="1"/>
  <c r="P12" i="1"/>
  <c r="T12" i="1"/>
  <c r="I12" i="1"/>
  <c r="N12" i="1"/>
  <c r="M12" i="1"/>
  <c r="J12" i="1"/>
  <c r="O12" i="1"/>
  <c r="W9" i="1"/>
  <c r="P9" i="1"/>
  <c r="T9" i="1"/>
  <c r="I9" i="1"/>
  <c r="N9" i="1"/>
  <c r="M9" i="1"/>
  <c r="J9" i="1"/>
  <c r="O9" i="1"/>
  <c r="C19" i="5" l="1"/>
  <c r="B19" i="5"/>
  <c r="D19" i="5" s="1"/>
  <c r="T19" i="5" s="1"/>
  <c r="C18" i="5"/>
  <c r="B18" i="5"/>
  <c r="D18" i="5" s="1"/>
  <c r="C17" i="5"/>
  <c r="B17" i="5"/>
  <c r="D17" i="5" s="1"/>
  <c r="G14" i="1"/>
  <c r="E14" i="1"/>
  <c r="H14" i="1" s="1"/>
  <c r="D14" i="1"/>
  <c r="V14" i="1" s="1"/>
  <c r="L17" i="5" l="1"/>
  <c r="G17" i="5"/>
  <c r="S17" i="5" s="1"/>
  <c r="V17" i="5"/>
  <c r="I18" i="5"/>
  <c r="U17" i="5"/>
  <c r="T18" i="5"/>
  <c r="U18" i="5"/>
  <c r="K18" i="5"/>
  <c r="I17" i="5"/>
  <c r="T17" i="5"/>
  <c r="G18" i="5"/>
  <c r="S18" i="5" s="1"/>
  <c r="L18" i="5"/>
  <c r="V18" i="5"/>
  <c r="H17" i="5"/>
  <c r="K17" i="5"/>
  <c r="H18" i="5"/>
  <c r="W14" i="1"/>
  <c r="O14" i="1"/>
  <c r="J14" i="1"/>
  <c r="N14" i="1"/>
  <c r="I14" i="1"/>
  <c r="M14" i="1"/>
  <c r="P14" i="1"/>
  <c r="T14" i="1"/>
  <c r="C22" i="5"/>
  <c r="B22" i="5"/>
  <c r="D22" i="5" s="1"/>
  <c r="T22" i="5" l="1"/>
  <c r="Q3" i="1" l="1"/>
  <c r="B16" i="5" l="1"/>
  <c r="D16" i="5" s="1"/>
  <c r="C16" i="5"/>
  <c r="B20" i="5"/>
  <c r="D20" i="5" s="1"/>
  <c r="C20" i="5"/>
  <c r="B21" i="5"/>
  <c r="D21" i="5" s="1"/>
  <c r="C21" i="5"/>
  <c r="B25" i="5"/>
  <c r="D25" i="5" s="1"/>
  <c r="C25" i="5"/>
  <c r="C15" i="5"/>
  <c r="B15" i="5"/>
  <c r="D15" i="5" s="1"/>
  <c r="T15" i="5" s="1"/>
  <c r="G19" i="1"/>
  <c r="E19" i="1"/>
  <c r="H19" i="1" s="1"/>
  <c r="D19" i="1"/>
  <c r="V19" i="1" s="1"/>
  <c r="L18" i="1"/>
  <c r="G18" i="1"/>
  <c r="E18" i="1"/>
  <c r="H18" i="1" s="1"/>
  <c r="D18" i="1"/>
  <c r="V18" i="1" s="1"/>
  <c r="G16" i="1"/>
  <c r="E16" i="1"/>
  <c r="H16" i="1" s="1"/>
  <c r="D16" i="1"/>
  <c r="V16" i="1" s="1"/>
  <c r="G11" i="1"/>
  <c r="E11" i="1"/>
  <c r="H11" i="1" s="1"/>
  <c r="D11" i="1"/>
  <c r="T11" i="1" s="1"/>
  <c r="G10" i="1"/>
  <c r="F15" i="5" s="1"/>
  <c r="E10" i="1"/>
  <c r="H10" i="1" s="1"/>
  <c r="E15" i="5" s="1"/>
  <c r="D10" i="1"/>
  <c r="T10" i="1" s="1"/>
  <c r="V19" i="5" l="1"/>
  <c r="U19" i="5"/>
  <c r="H19" i="5"/>
  <c r="G19" i="5"/>
  <c r="S19" i="5" s="1"/>
  <c r="L19" i="5"/>
  <c r="I19" i="5"/>
  <c r="K19" i="5"/>
  <c r="U22" i="5"/>
  <c r="L22" i="5"/>
  <c r="V22" i="5"/>
  <c r="I22" i="5"/>
  <c r="K22" i="5"/>
  <c r="G22" i="5"/>
  <c r="S22" i="5" s="1"/>
  <c r="H22" i="5"/>
  <c r="O19" i="1"/>
  <c r="G20" i="5"/>
  <c r="L20" i="5"/>
  <c r="G16" i="5"/>
  <c r="V16" i="5"/>
  <c r="G21" i="5"/>
  <c r="S21" i="5" s="1"/>
  <c r="V21" i="5"/>
  <c r="H25" i="5"/>
  <c r="G15" i="5"/>
  <c r="S15" i="5" s="1"/>
  <c r="V15" i="5"/>
  <c r="P16" i="1"/>
  <c r="I25" i="5"/>
  <c r="I20" i="5"/>
  <c r="H20" i="5"/>
  <c r="I21" i="5"/>
  <c r="H21" i="5"/>
  <c r="H16" i="5"/>
  <c r="I16" i="5"/>
  <c r="L21" i="5"/>
  <c r="U21" i="5"/>
  <c r="U15" i="5"/>
  <c r="T25" i="5"/>
  <c r="T21" i="5"/>
  <c r="K21" i="5"/>
  <c r="H15" i="5"/>
  <c r="I15" i="5"/>
  <c r="K15" i="5"/>
  <c r="L16" i="5"/>
  <c r="L15" i="5"/>
  <c r="V20" i="5"/>
  <c r="V11" i="1"/>
  <c r="P19" i="1"/>
  <c r="T19" i="1"/>
  <c r="M18" i="1"/>
  <c r="W18" i="1"/>
  <c r="J18" i="1"/>
  <c r="I18" i="1"/>
  <c r="O18" i="1"/>
  <c r="N18" i="1"/>
  <c r="I11" i="1"/>
  <c r="O11" i="1"/>
  <c r="J11" i="1"/>
  <c r="N11" i="1"/>
  <c r="M11" i="1"/>
  <c r="W11" i="1"/>
  <c r="W16" i="1"/>
  <c r="J16" i="1"/>
  <c r="M16" i="1"/>
  <c r="I16" i="1"/>
  <c r="O16" i="1"/>
  <c r="N16" i="1"/>
  <c r="P18" i="1"/>
  <c r="I19" i="1"/>
  <c r="T18" i="1"/>
  <c r="J19" i="1"/>
  <c r="W19" i="1"/>
  <c r="T16" i="1"/>
  <c r="M19" i="1"/>
  <c r="P11" i="1"/>
  <c r="N19" i="1"/>
  <c r="P10" i="1"/>
  <c r="V10" i="1"/>
  <c r="W10" i="1"/>
  <c r="J10" i="1"/>
  <c r="I10" i="1"/>
  <c r="O10" i="1"/>
  <c r="N10" i="1"/>
  <c r="M10" i="1"/>
  <c r="U25" i="5" l="1"/>
  <c r="L25" i="5"/>
  <c r="K25" i="5"/>
  <c r="G25" i="5"/>
  <c r="S25" i="5" s="1"/>
  <c r="V25" i="5"/>
  <c r="K20" i="5"/>
  <c r="U20" i="5"/>
  <c r="T20" i="5"/>
  <c r="S20" i="5"/>
  <c r="U16" i="5"/>
  <c r="K16" i="5"/>
  <c r="T16" i="5"/>
  <c r="S16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8" i="3" s="1"/>
  <c r="B4" i="5"/>
  <c r="K7" i="1"/>
  <c r="H6" i="1"/>
  <c r="R10" i="5" l="1"/>
  <c r="M65" i="3" s="1"/>
  <c r="N58" i="3" l="1"/>
  <c r="B8" i="5"/>
  <c r="B5" i="5"/>
  <c r="P10" i="5" l="1"/>
  <c r="K65" i="3" s="1"/>
  <c r="Q10" i="5"/>
  <c r="L65" i="3" s="1"/>
  <c r="B63" i="3"/>
  <c r="C63" i="3" s="1"/>
  <c r="M14" i="5"/>
  <c r="H64" i="3" s="1"/>
  <c r="L14" i="5"/>
  <c r="G64" i="3" s="1"/>
  <c r="K14" i="5"/>
  <c r="F64" i="3" s="1"/>
  <c r="L64" i="3"/>
  <c r="K64" i="3"/>
  <c r="O14" i="5"/>
  <c r="J64" i="3" s="1"/>
  <c r="N14" i="5"/>
  <c r="I64" i="3" s="1"/>
  <c r="J14" i="5"/>
  <c r="E64" i="3" s="1"/>
  <c r="I14" i="5"/>
  <c r="D64" i="3" s="1"/>
  <c r="H14" i="5"/>
  <c r="C64" i="3" s="1"/>
  <c r="O10" i="5"/>
  <c r="J65" i="3" s="1"/>
  <c r="N10" i="5"/>
  <c r="I65" i="3" s="1"/>
  <c r="M10" i="5"/>
  <c r="H65" i="3" s="1"/>
  <c r="J10" i="5"/>
  <c r="E65" i="3" s="1"/>
  <c r="N3" i="1" l="1"/>
  <c r="M3" i="1"/>
  <c r="O3" i="1"/>
  <c r="V21" i="1"/>
  <c r="K12" i="5" l="1"/>
  <c r="H12" i="5"/>
  <c r="V12" i="5"/>
  <c r="T12" i="5"/>
  <c r="U12" i="5"/>
  <c r="I12" i="5"/>
  <c r="L12" i="5"/>
  <c r="S12" i="5"/>
  <c r="R3" i="1" l="1"/>
  <c r="D1" i="1"/>
  <c r="F6" i="1"/>
  <c r="T21" i="1"/>
  <c r="T13" i="5"/>
  <c r="T7" i="1" l="1"/>
  <c r="W21" i="1"/>
  <c r="G6" i="1" l="1"/>
  <c r="V13" i="5"/>
  <c r="S13" i="5"/>
  <c r="I13" i="5"/>
  <c r="U13" i="5"/>
  <c r="H13" i="5"/>
  <c r="K13" i="5"/>
  <c r="L13" i="5"/>
  <c r="K10" i="5" l="1"/>
  <c r="F65" i="3" s="1"/>
  <c r="I10" i="5"/>
  <c r="D65" i="3" s="1"/>
  <c r="H10" i="5"/>
  <c r="C65" i="3" s="1"/>
  <c r="L10" i="5"/>
  <c r="G65" i="3" s="1"/>
  <c r="L58" i="3"/>
  <c r="D58" i="3"/>
  <c r="D6" i="1"/>
  <c r="B6" i="1" l="1"/>
  <c r="L3" i="1"/>
  <c r="J3" i="1"/>
  <c r="H3" i="1"/>
  <c r="C6" i="1" l="1"/>
  <c r="P7" i="1" s="1"/>
  <c r="S3" i="1"/>
  <c r="S7" i="1" s="1"/>
  <c r="E6" i="1"/>
  <c r="F58" i="3"/>
  <c r="I3" i="1" l="1"/>
  <c r="B7" i="1"/>
  <c r="L9" i="1" s="1"/>
  <c r="L10" i="1" l="1"/>
  <c r="L14" i="1"/>
  <c r="L16" i="1"/>
  <c r="L11" i="1"/>
  <c r="L19" i="1"/>
  <c r="C7" i="1"/>
  <c r="O21" i="1"/>
  <c r="P21" i="1"/>
  <c r="J21" i="1"/>
  <c r="N21" i="1"/>
  <c r="I21" i="1"/>
  <c r="Q7" i="1" l="1"/>
  <c r="M58" i="3" s="1"/>
  <c r="L7" i="1"/>
  <c r="G58" i="3" s="1"/>
  <c r="K58" i="3"/>
  <c r="J58" i="3"/>
  <c r="K21" i="1"/>
  <c r="M21" i="1"/>
  <c r="R7" i="1" l="1"/>
  <c r="I58" i="3" s="1"/>
  <c r="M7" i="1"/>
  <c r="H58" i="3" s="1"/>
  <c r="J7" i="1"/>
  <c r="C5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<sst xmlns="http://schemas.openxmlformats.org/spreadsheetml/2006/main" count="451" uniqueCount="342">
  <si>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</si>
  <si>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</si>
  <si>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</si>
  <si>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</si>
  <si>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</si>
  <si>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</si>
  <si>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</si>
  <si>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</si>
  <si>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</si>
  <si>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</si>
  <si>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</si>
  <si>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</si>
  <si>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</si>
  <si>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</si>
  <si>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</si>
  <si>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</si>
  <si>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</si>
  <si>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</si>
  <si>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</si>
  <si>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</si>
  <si>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</si>
  <si>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</si>
  <si>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</si>
  <si>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</si>
  <si>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</si>
  <si>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</si>
  <si>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</si>
  <si>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</si>
  <si>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</si>
  <si>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</si>
  <si>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</si>
  <si>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</si>
  <si>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</si>
  <si>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</si>
  <si>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</si>
  <si>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</si>
  <si>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</si>
  <si>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</si>
  <si>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</si>
  <si>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</si>
  <si>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</si>
  <si>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</si>
  <si>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</si>
  <si>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</si>
  <si>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</si>
  <si>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</si>
  <si>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</si>
  <si>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</si>
  <si>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</si>
  <si>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</si>
  <si>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</si>
  <si>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</si>
  <si>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</si>
  <si>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</si>
  <si>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</si>
  <si>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</si>
  <si>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</si>
  <si>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</si>
  <si>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</si>
  <si>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</si>
  <si>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</si>
  <si>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</si>
  <si>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</si>
  <si>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</si>
  <si>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</si>
  <si>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</si>
  <si>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</si>
  <si>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</si>
  <si>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</si>
  <si>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</si>
  <si>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</si>
  <si>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</si>
  <si>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</si>
  <si>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</si>
  <si>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</si>
  <si>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</si>
  <si>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</si>
  <si>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</si>
  <si>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</si>
  <si>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</si>
  <si>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</si>
  <si>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</si>
  <si>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</si>
  <si>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</si>
  <si>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</si>
  <si>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</si>
  <si>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</si>
  <si>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</si>
  <si>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</si>
  <si>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</si>
  <si>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</si>
  <si>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</si>
  <si>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</si>
  <si>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</si>
  <si>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</si>
  <si>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</si>
  <si>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</si>
  <si>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</si>
  <si>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</si>
  <si>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</si>
  <si>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</si>
  <si>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</si>
  <si>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</si>
  <si>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</si>
  <si>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</si>
  <si>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</si>
  <si>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</si>
  <si>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</si>
  <si>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</si>
  <si>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</si>
  <si>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</si>
  <si>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</si>
  <si>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</si>
  <si>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</si>
  <si>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</si>
  <si>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</si>
  <si>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</si>
  <si>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</si>
  <si>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</si>
  <si>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</si>
  <si>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</si>
  <si>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</si>
  <si>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</si>
  <si>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</si>
  <si>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</si>
  <si>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</si>
  <si>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</si>
  <si>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</si>
  <si>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</si>
  <si>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</si>
  <si>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</si>
  <si>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</si>
  <si>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</si>
  <si>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</si>
  <si>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</si>
  <si>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</si>
  <si>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</si>
  <si>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</si>
  <si>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</si>
  <si>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</si>
  <si>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</si>
  <si>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</si>
  <si>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</si>
  <si>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</si>
  <si>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</si>
  <si>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</si>
  <si>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</si>
  <si>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</si>
  <si>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</si>
  <si>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</si>
  <si>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</si>
  <si>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</si>
  <si>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</si>
  <si>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</si>
  <si>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</si>
  <si>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</si>
  <si>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</si>
  <si>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</si>
  <si>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</si>
  <si>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</si>
  <si>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</si>
  <si>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</si>
  <si>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</si>
  <si>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</si>
  <si>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</si>
  <si>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</si>
  <si>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</si>
  <si>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</si>
  <si>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</si>
  <si>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</si>
  <si>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</si>
  <si>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</si>
  <si>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</si>
  <si>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</si>
  <si>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</si>
  <si>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</si>
  <si>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</si>
  <si>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</si>
  <si>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</si>
  <si>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</si>
  <si>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</si>
  <si>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</si>
  <si>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</si>
  <si>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</si>
  <si>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</si>
  <si>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</si>
  <si>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</si>
  <si>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</si>
  <si>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</si>
  <si>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</si>
  <si>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</si>
  <si>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</si>
  <si>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</si>
  <si>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</si>
  <si>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</si>
  <si>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</si>
  <si>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</si>
  <si>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</si>
  <si>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</si>
  <si>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</si>
  <si>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</si>
  <si>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</si>
  <si>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</si>
  <si>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</si>
  <si>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</si>
  <si>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</si>
  <si>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</si>
  <si>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</si>
  <si>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</si>
  <si>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</si>
  <si>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</si>
  <si>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</si>
  <si>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</si>
  <si>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</si>
  <si>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</si>
  <si>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</si>
  <si>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</si>
  <si>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</si>
  <si>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</si>
  <si>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</si>
  <si>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</si>
  <si>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</si>
  <si>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</si>
  <si>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</si>
  <si>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</si>
  <si>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</si>
  <si>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</si>
  <si>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</si>
  <si>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</si>
  <si>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</si>
  <si>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</si>
  <si>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</si>
  <si>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</si>
  <si>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</si>
  <si>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</si>
  <si>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</si>
  <si>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</si>
  <si>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</si>
  <si>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</si>
  <si>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</si>
  <si>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</si>
  <si>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</si>
  <si>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</si>
  <si>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</si>
  <si>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</si>
  <si>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</si>
  <si>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</si>
  <si>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</si>
  <si>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</si>
  <si>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</si>
  <si>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</si>
  <si>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</si>
  <si>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</si>
  <si>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</si>
  <si>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</si>
  <si>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</si>
  <si>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</si>
  <si>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</si>
  <si>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</si>
  <si>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</si>
  <si>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</si>
  <si>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</si>
  <si>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</si>
  <si>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</si>
  <si>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</si>
  <si>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</si>
  <si>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</si>
  <si>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</si>
  <si>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</si>
  <si>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</si>
  <si>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</si>
  <si>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</si>
  <si>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</si>
  <si>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</si>
  <si>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</si>
  <si>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</si>
  <si>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</si>
  <si>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</si>
  <si>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</si>
  <si>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</si>
  <si>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</si>
  <si>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</si>
  <si>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</si>
  <si>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</si>
  <si>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</si>
  <si>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</si>
  <si>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</si>
  <si>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</si>
  <si>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</si>
  <si>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</si>
  <si>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</si>
  <si>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</si>
  <si>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</si>
  <si>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</si>
  <si>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</si>
  <si>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</si>
  <si>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</si>
  <si>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</si>
  <si>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</si>
  <si>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</si>
  <si>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</si>
  <si>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</si>
  <si>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</si>
  <si>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</si>
  <si>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</si>
  <si>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</si>
  <si>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</si>
  <si>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</si>
  <si>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</si>
  <si>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</si>
  <si>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</si>
  <si>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</si>
  <si>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</si>
  <si>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</si>
  <si>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</si>
  <si>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</si>
  <si>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</si>
  <si>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</si>
  <si>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</si>
  <si>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</si>
  <si>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varchar(50)</t>
  </si>
  <si>
    <t>PROD_LINE</t>
  </si>
  <si>
    <t>IS_ACTIVE</t>
  </si>
  <si>
    <t>varchar(1)</t>
  </si>
  <si>
    <t>Barcode</t>
  </si>
  <si>
    <t>Bar</t>
  </si>
  <si>
    <t>LgaBar</t>
  </si>
  <si>
    <t>LogA.Bar</t>
  </si>
  <si>
    <t>LgaBarScanInfo</t>
  </si>
  <si>
    <t>LA Barcode Scan Info</t>
  </si>
  <si>
    <t>USER_ID</t>
  </si>
  <si>
    <t>USER_NAME</t>
  </si>
  <si>
    <t>SCAN_VALUE</t>
  </si>
  <si>
    <t>SCAN_TYPE</t>
  </si>
  <si>
    <t>varchar(500)</t>
  </si>
  <si>
    <t>SCAN_PART_NO</t>
  </si>
  <si>
    <t>SCAN_BACK_NO</t>
  </si>
  <si>
    <t>datetime2(7)</t>
  </si>
  <si>
    <t>SCAN_DATETIME</t>
  </si>
  <si>
    <t>STATUS</t>
  </si>
  <si>
    <t>REF_ID</t>
  </si>
  <si>
    <t>BarScanInfo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</si>
</sst>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ing/Production/prod/docs/design/loga/ekb/LgaEkbProgressDetai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/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7"/>
  <sheetViews>
    <sheetView workbookViewId="0">
      <selection activeCell="E38" sqref="E3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306</v>
      </c>
      <c r="F17" s="1" t="s">
        <v>307</v>
      </c>
      <c r="G17" s="17" t="s">
        <v>308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5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5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5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5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5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5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5">
      <c r="A33" s="1"/>
      <c r="B33" s="17"/>
      <c r="C33" t="s">
        <v>306</v>
      </c>
      <c r="F33" s="1" t="s">
        <v>307</v>
      </c>
      <c r="G33" s="17" t="s">
        <v>307</v>
      </c>
    </row>
    <row r="34" spans="1:8" x14ac:dyDescent="0.25">
      <c r="A34" s="1"/>
      <c r="B34" s="17"/>
      <c r="D34" t="s">
        <v>309</v>
      </c>
      <c r="F34" s="1" t="s">
        <v>310</v>
      </c>
      <c r="G34" s="17" t="s">
        <v>311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312</v>
      </c>
    </row>
    <row r="36" spans="1:8" x14ac:dyDescent="0.25">
      <c r="A36" s="1"/>
      <c r="B36" s="17"/>
      <c r="D36" t="s">
        <v>313</v>
      </c>
      <c r="F36" s="1" t="s">
        <v>314</v>
      </c>
      <c r="G36" s="17" t="s">
        <v>315</v>
      </c>
    </row>
    <row r="37" spans="1:8" x14ac:dyDescent="0.25">
      <c r="A37" s="1"/>
      <c r="B37" s="17"/>
      <c r="D37" t="s">
        <v>316</v>
      </c>
      <c r="F37" s="1" t="s">
        <v>317</v>
      </c>
      <c r="G37" s="17" t="s">
        <v>318</v>
      </c>
    </row>
    <row r="38" spans="1:8" x14ac:dyDescent="0.25">
      <c r="A38" s="1"/>
      <c r="B38" s="17"/>
      <c r="D38" t="s">
        <v>324</v>
      </c>
      <c r="F38" s="1" t="s">
        <v>325</v>
      </c>
      <c r="G38" s="17" t="s">
        <v>326</v>
      </c>
    </row>
    <row r="39" spans="1:8" x14ac:dyDescent="0.25">
      <c r="A39" s="1"/>
      <c r="B39" s="17"/>
      <c r="C39" t="s">
        <v>319</v>
      </c>
      <c r="F39" s="1" t="s">
        <v>301</v>
      </c>
      <c r="G39" s="17" t="s">
        <v>301</v>
      </c>
    </row>
    <row r="40" spans="1:8" x14ac:dyDescent="0.25">
      <c r="A40" s="1"/>
      <c r="B40" s="17"/>
      <c r="D40" t="s">
        <v>304</v>
      </c>
      <c r="F40" s="1" t="s">
        <v>304</v>
      </c>
      <c r="G40" s="17" t="s">
        <v>305</v>
      </c>
      <c r="H40" s="17"/>
    </row>
    <row r="41" spans="1:8" x14ac:dyDescent="0.25">
      <c r="A41" s="1"/>
      <c r="B41" s="17"/>
    </row>
    <row r="42" spans="1:8" x14ac:dyDescent="0.25">
      <c r="A42" s="1"/>
      <c r="B42" s="17" t="s">
        <v>86</v>
      </c>
    </row>
    <row r="43" spans="1:8" x14ac:dyDescent="0.25">
      <c r="A43" s="1"/>
      <c r="B43" s="17" t="s">
        <v>83</v>
      </c>
    </row>
    <row r="44" spans="1:8" x14ac:dyDescent="0.25">
      <c r="A44" s="1"/>
      <c r="B44" s="17"/>
      <c r="C44" s="19" t="s">
        <v>80</v>
      </c>
    </row>
    <row r="45" spans="1:8" x14ac:dyDescent="0.25">
      <c r="A45" s="1"/>
      <c r="B45" s="17"/>
      <c r="C45" s="18" t="s">
        <v>81</v>
      </c>
    </row>
    <row r="46" spans="1:8" x14ac:dyDescent="0.25">
      <c r="A46" s="1"/>
      <c r="B46" s="17"/>
      <c r="C46" s="18" t="s">
        <v>82</v>
      </c>
    </row>
    <row r="47" spans="1:8" x14ac:dyDescent="0.25">
      <c r="A47" s="1"/>
      <c r="B47" s="17" t="s">
        <v>106</v>
      </c>
      <c r="C47" s="18"/>
    </row>
    <row r="48" spans="1:8" x14ac:dyDescent="0.25">
      <c r="A48" s="1"/>
      <c r="B48" s="17"/>
      <c r="C48" s="18" t="s">
        <v>107</v>
      </c>
    </row>
    <row r="49" spans="1:14" x14ac:dyDescent="0.25">
      <c r="A49" s="1"/>
      <c r="B49" s="17"/>
      <c r="C49" s="18" t="s">
        <v>108</v>
      </c>
    </row>
    <row r="50" spans="1:14" x14ac:dyDescent="0.25">
      <c r="A50" s="1"/>
      <c r="B50" s="17"/>
      <c r="C50" s="18" t="s">
        <v>109</v>
      </c>
    </row>
    <row r="51" spans="1:14" x14ac:dyDescent="0.25">
      <c r="A51" s="1"/>
      <c r="B51" s="17"/>
      <c r="C51" s="18" t="s">
        <v>111</v>
      </c>
    </row>
    <row r="52" spans="1:14" x14ac:dyDescent="0.25">
      <c r="A52" s="1"/>
      <c r="B52" s="17"/>
      <c r="C52" s="18" t="s">
        <v>113</v>
      </c>
    </row>
    <row r="53" spans="1:14" x14ac:dyDescent="0.25">
      <c r="A53" s="1"/>
      <c r="B53" s="17"/>
      <c r="C53" s="18" t="s">
        <v>112</v>
      </c>
    </row>
    <row r="54" spans="1:14" x14ac:dyDescent="0.25">
      <c r="A54" s="1"/>
      <c r="B54" s="17"/>
      <c r="C54" s="18" t="s">
        <v>110</v>
      </c>
    </row>
    <row r="55" spans="1:14" ht="21" customHeight="1" x14ac:dyDescent="0.25">
      <c r="B55" s="21" t="s">
        <v>78</v>
      </c>
    </row>
    <row r="56" spans="1:14" ht="21" customHeight="1" x14ac:dyDescent="0.25">
      <c r="B56" s="63" t="s">
        <v>231</v>
      </c>
    </row>
    <row r="57" spans="1:14" ht="15.75" thickBot="1" x14ac:dyDescent="0.3">
      <c r="C57" s="1" t="s">
        <v>72</v>
      </c>
      <c r="D57" s="1" t="s">
        <v>207</v>
      </c>
      <c r="E57" s="1" t="s">
        <v>208</v>
      </c>
      <c r="F57" s="1" t="s">
        <v>198</v>
      </c>
      <c r="G57" s="1" t="s">
        <v>199</v>
      </c>
      <c r="H57" s="1" t="s">
        <v>200</v>
      </c>
      <c r="I57" s="1" t="s">
        <v>201</v>
      </c>
      <c r="J57" s="1" t="s">
        <v>205</v>
      </c>
      <c r="K57" s="1" t="s">
        <v>209</v>
      </c>
      <c r="L57" s="1" t="s">
        <v>210</v>
      </c>
      <c r="M57" s="1" t="s">
        <v>211</v>
      </c>
      <c r="N57" s="1" t="s">
        <v>227</v>
      </c>
    </row>
    <row r="58" spans="1:14" s="16" customFormat="1" ht="21.75" customHeight="1" thickBot="1" x14ac:dyDescent="0.3">
      <c r="B58" s="52" t="s">
        <v>226</v>
      </c>
      <c r="C5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vovina.LogA.Bar
{
	[Table("LgaBarScanInfo")]
	[Index(nameof(UserId), Name="IX_LgaBarScanInfo_UserId")]
	[Index(nameof(UserName), Name="IX_LgaBarScanInfo_UserName")]
	[Index(nameof(ScanType), Name="IX_LgaBarScanInfo_ScanType")]
	[Index(nameof(ProdLine), Name="IX_LgaBarScanInfo_ProdLine")]
	[Index(nameof(RefId), Name="IX_LgaBarScanInfo_RefId")]
	[Index(nameof(IsActive), Name="IX_LgaBarScanInfo_IsActive")]	public class LgaBarScanInfo: FullAuditedEntity&lt;long&gt;, IEntity&lt;long&gt;	
	{
		public const int MaxUserIdLength = 50;
		public const int MaxUserNameLength = 50;
		public const int MaxScanValueLength = 500;
		public const int MaxScanPartNoLength = 50;
		public const int MaxScanBackNoLength = 50;
		public const int MaxScanTypeLength = 50;
		public const int MaxProdLineLength = 50;
		public const int MaxStatusLength = 50;
		public const int MaxIsActiveLength = 1;
		[StringLength(MaxUserIdLength)]
		public virtual string UserId { get; set; }
		[StringLength(MaxUserNameLength)]
		public virtual string UserName { get; set; }
		[StringLength(MaxScanValueLength)]
		public virtual string ScanValue { get; set; }
		[StringLength(MaxScanPartNoLength)]
		public virtual string ScanPartNo { get; set; }
		[StringLength(MaxScanBackNoLength)]
		public virtual string ScanBackNo { get; set; }
		[StringLength(MaxScanTypeLength)]
		public virtual string ScanType { get; set; }
		[Column(TypeName="datetime2(7)")]
		public virtual DateTime ScanDatetime { get; set; }
		[StringLength(MaxProdLineLength)]
		public virtual string ProdLine { get; set; }
		public virtual long RefId { get; set; }
		[StringLength(MaxStatusLength)]
		public virtual string Status { get; set; }
		[StringLength(MaxIsActiveLength)]
		public virtual string IsActive { get; set; }
	}
}
</v>
      </c>
      <c r="D58" s="51" t="str">
        <f>A.Backend!O7</f>
        <v xml:space="preserve">		public const string Pages_LogA_Bar_BarScanInfo = "Pages.LogA.Bar.BarScanInfo";
		public const string Pages_LogA_Bar_BarScanInfo_CreateEdit = "Pages.LogA.Bar.BarScanInfo.CreateEdit";
		public const string Pages_LogA_Bar_BarScanInfo_Delete = "Pages.LogA.Bar.BarScanInfo.Delete";
</v>
      </c>
      <c r="E58" s="51" t="str">
        <f>A.Backend!N7</f>
        <v xml:space="preserve">		var perLgaBarScanInfo = PARENTS.CreateChildPermission(AppPermissions.Pages_LogA_Bar_BarScanInfo, L( "LogABarBarScanInfo"), multiTenancySides: MultiTenancySides.Tenant);
		perLgaBarScanInfo.CreateChildPermission(AppPermissions.Pages_LogA_Bar_BarScanInfo_CreateEdit, L( "LogABarBarScanInfoCreateEdit"), multiTenancySides: MultiTenancySides.Tenant);
		perLgaBarScanInfo.CreateChildPermission(AppPermissions.Pages_LogA_Bar_BarScanInfo_Delete, L( "LogABarBarScanInfoDelete"), multiTenancySides: MultiTenancySides.Tenant);</v>
      </c>
      <c r="F58" s="51" t="str">
        <f>A.Backend!K7</f>
        <v>public virtual DbSet&lt;LgaBarScanInfo&gt; LgaBarScanInfos { get; set; }</v>
      </c>
      <c r="G58" s="51" t="str">
        <f ca="1">A.Backend!L7</f>
        <v xml:space="preserve">namespace vovina.LogA.Bar
{
	public class LgaBarScanInfoConsts	
	{
		public const int MaxUserIdLength = 50;
		public const int MaxUserNameLength = 50;
		public const int MaxScanValueLength = 500;
		public const int MaxScanPartNoLength = 50;
		public const int MaxScanBackNoLength = 50;
		public const int MaxScanTypeLength = 50;
		public const int MaxProdLineLength = 50;
		public const int MaxStatusLength = 50;
		public const int MaxIsActiveLength = 1;
		// Define Store Name: Format SP_ + &lt;Store Name&gt; = &lt;Store Name&gt;
	}
}
</v>
      </c>
      <c r="H58" s="51" t="str">
        <f ca="1">A.Backend!M7</f>
        <v xml:space="preserve">using Abp.Application.Services.Dto;
using System;
using System.ComponentModel.DataAnnotations;
namespace vovina.LogA.Bar.Dto
{
	public class LgaBarScanInfoDto : EntityDto&lt;long?&gt;	
	{
		public virtual string UserId { get; set; }
		public virtual string UserName { get; set; }
		public virtual string ScanValue { get; set; }
		public virtual string ScanPartNo { get; set; }
		public virtual string ScanBackNo { get; set; }
		public virtual string ScanType { get; set; }
		public virtual DateTime? ScanDatetime { get; set; }
		public virtual string ProdLine { get; set; }
		public virtual long RefId { get; set; }
		public virtual string Status { get; set; }
		public virtual string IsActive { get; set; }
	}
	public class CreateOrEditLgaBarScanInfoDto : EntityDto&lt;long?&gt;	
	{
		[StringLength(LgaBarScanInfoConsts.MaxUserIdLength)]
		public virtual string UserId { get; set; }
		[StringLength(LgaBarScanInfoConsts.MaxUserNameLength)]
		public virtual string UserName { get; set; }
		[StringLength(LgaBarScanInfoConsts.MaxScanValueLength)]
		public virtual string ScanValue { get; set; }
		[StringLength(LgaBarScanInfoConsts.MaxScanPartNoLength)]
		public virtual string ScanPartNo { get; set; }
		[StringLength(LgaBarScanInfoConsts.MaxScanBackNoLength)]
		public virtual string ScanBackNo { get; set; }
		[StringLength(LgaBarScanInfoConsts.MaxScanTypeLength)]
		public virtual string ScanType { get; set; }
		public virtual DateTime? ScanDatetime { get; set; }
		[StringLength(LgaBarScanInfoConsts.MaxProdLineLength)]
		public virtual string ProdLine { get; set; }
		public virtual long RefId { get; set; }
		[StringLength(LgaBarScanInfoConsts.MaxStatusLength)]
		public virtual string Status { get; set; }
		[StringLength(LgaBarScanInfoConsts.MaxIsActiveLength)]
		public virtual string IsActive { get; set; }
	}
	public class GetLgaBarScanInfoInput : PagedAndSortedResultRequestDto	
	{
		public virtual string UserId { get; set; }
		public virtual string UserName { get; set; }
		public virtual string ScanValue { get; set; }
		public virtual string ScanPartNo { get; set; }
		public virtual string ScanBackNo { get; set; }
		public virtual string ScanType { get; set; }
		public virtual DateTime? ScanDatetime { get; set; }
		public virtual string ProdLine { get; set; }
		public virtual string Status { get; set; }
		public virtual string IsActive { get; set; }
	}
}
</v>
      </c>
      <c r="I58" s="51" t="str">
        <f ca="1">A.Backend!R7</f>
        <v xml:space="preserve">using Abp.Application.Services.Dto;
using System;
using System.ComponentModel.DataAnnotations;
namespace vovina.LogA.Bar.Dto
{
	public class LgaBarScanInfoExportInput{
		public virtual string UserId { get; set; }
		public virtual string UserName { get; set; }
		public virtual string ScanValue { get; set; }
		public virtual string ScanPartNo { get; set; }
		public virtual string ScanBackNo { get; set; }
		public virtual string ScanType { get; set; }
		public virtual DateTime? ScanDatetime { get; set; }
		public virtual string ProdLine { get; set; }
		public virtual long RefId { get; set; }
		public virtual string Status { get; set; }
		public virtual string IsActive { get; set; }
	}
}
</v>
      </c>
      <c r="J58" s="51" t="str">
        <f>A.Backend!P7</f>
        <v xml:space="preserve">using Abp.Application.Services;
using Abp.Application.Services.Dto;
using System.Collections.Generic;using vovina.Dto;
using System.Threading.Tasks;
using vovina.LogA.Bar.Dto;
namespace vovina.LogA.Bar
{
	public interface ILgaBarScanInfoAppService : IApplicationService
	{
		Task&lt;PagedResultDto&lt;LgaBarScanInfoDto&gt;&gt; GetAll(GetLgaBarScanInfoInput input);
		Task CreateOrEdit(CreateOrEditLgaBarScanInfoDto input);
		Task Delete(EntityDto input);
	}
}
</v>
      </c>
      <c r="K58" s="51" t="str">
        <f>A.Backend!S7</f>
        <v xml:space="preserve">using Abp.Application.Services;
using Abp.Application.Services.Dto;
using System.Collections.Generic;using vovina.Dto;
using System.Threading.Tasks;
using vovina.LogA.Bar.Dto;
namespace vovina.LogA.Bar.Exporting
{
	public interface ILgaBarScanInfoExcelExporter : IApplicationService
	{
		FileDto ExportToFile(List&lt;LgaBarScanInfoDto&gt; lgabarscaninfo);
	}
}
</v>
      </c>
      <c r="L58" s="51" t="str">
        <f ca="1">A.Backend!T7</f>
        <v>using System.Collections.Generic;
using vovina.DataExporting.Excel.NPOI;
using vovina.Dto;
using vovina.LogA.Bar.Exporting;
using vovina.LogA.Bar.Dto;
using vovina.Storage;
using vovina.LogA.Bar.Dto;
namespace vovina.LogA.Bar.Exporting
{
    public class LgaBarScanInfoExcelExporter : NpoiExcelExporterBase, ILgaBarScanInfoExcelExporter
    {
        public LgaBarScanInfoExcelExporter(ITempFileCacheManager tempFileCacheManager) : base(tempFileCacheManager) { }
        public FileDto ExportToFile(List&lt;LgaBarScanInfoDto&gt; barscaninfo)
        {
            return CreateExcelPackage(
				"LogABarBarScanInfo.xlsx",
				excelPackage =&gt;
				 {
					var sheet = excelPackage.CreateSheet("BarScanInfo");
					AddHeader(
								sheet,
								("UserId"),
								("UserName"),
								("ScanValue"),
								("ScanPartNo"),
								("ScanBackNo"),
								("ScanType"),
								("ScanDatetime"),
								("ProdLine"),
								("RefId"),
								("Status"),
								("IsActive"),
							   );
					AddObjects(
						 sheet, 1, barscaninfo,                                       
								_ =&gt; _.UserId,
								_ =&gt; _.UserName,
								_ =&gt; _.ScanValue,
								_ =&gt; _.ScanPartNo,
								_ =&gt; _.ScanBackNo,
								_ =&gt; _.ScanType,
								_ =&gt; _.ScanDatetime,
								_ =&gt; _.ProdLine,
								_ =&gt; _.RefId,
								_ =&gt; _.Status,
								_ =&gt; _.IsActive,
								);
			for (var i = 0; i &lt; 8; i++)
				{
					sheet.AutoSizeColumn(i);
				}
			});
        }
    }
}</v>
      </c>
      <c r="M5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vovina.LogA.Bar.Dto;
using vovina.LogA.Bar.Exporting;
namespace vovina.LogA.Bar
{
    [AbpAuthorize(AppPermissions.Pages_LogA_Bar_BarScanInfo)]
    public class LgaBarScanInfoAppService : vovinaAppServiceBase, ILgaBarScanInfoAppService
    {
        private readonly IDapperRepository&lt;LgaBarScanInfo, long&gt; _dapperRepo;
        private readonly IRepository&lt;LgaBarScanInfo, long&gt; _repo;
        private readonly ILgaBarScanInfoExcelExporter _calendarListExcelExporter;
        public LgaBarScanInfoAppService(IRepository&lt;LgaBarScanInfo,long&gt; repo, 
                                         IDapperRepository&lt;LgaBarScanInfo,long&gt; dapperRepo,
                                        ILgaBarScanInfoExcelExporter calendarListExcelExporter
            )
        {
            _repo = repo;
            _dapperRepo = dapperRepo;
            _calendarListExcelExporter = calendarListExcelExporter;
        }
        [AbpAuthorize(AppPermissions.Pages_LogA_Bar_BarScanInfo_CreateEdit)]
        public async Task CreateOrEdit(CreateOrEditLgaBarScanInfoDto input)
        {
            if (input.Id == null) await Create(input);
            else await Update(input);
        }
        //CREATE
        private async Task Create(CreateOrEditLgaBarScanInfoDto input)
        {          
            var mainObj = ObjectMapper.Map&lt;LgaBarScanInfo&gt;(input);
            await CurrentUnitOfWork.GetDbContext&lt;vovinaDbContext&gt;().AddAsync(mainObj);
        }
        // EDIT
        private async Task Update(CreateOrEditLgaBarScanInfoDto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[AbpAuthorize(AppPermissions.Pages_LogA_Bar_BarScanInfo_Delete)]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Task&lt;PagedResultDto&lt;LgaBarScanInfoDto&gt;&gt; GetAll(GetLgaBarScanInfoInput input)
        {
            var filtered = _repo.GetAll()
				.WhereIf(!string.IsNullOrWhiteSpace(input.UserId), e =&gt; e.UserId.Contains(input.UserId))
				.WhereIf(!string.IsNullOrWhiteSpace(input.UserName), e =&gt; e.UserName.Contains(input.UserName))
				.WhereIf(!string.IsNullOrWhiteSpace(input.ScanValue), e =&gt; e.ScanValue.Contains(input.ScanValue))
				.WhereIf(!string.IsNullOrWhiteSpace(input.ScanPartNo), e =&gt; e.ScanPartNo.Contains(input.ScanPartNo))
				.WhereIf(!string.IsNullOrWhiteSpace(input.ScanBackNo), e =&gt; e.ScanBackNo.Contains(input.ScanBackNo))
				.WhereIf(!string.IsNullOrWhiteSpace(input.ScanType), e =&gt; e.ScanType.Contains(input.ScanType))
				.WhereIf(input.ScanDatetime.HasValue, t =&gt; t.ScanDatetime == input.ScanDatetime.Value)
				.WhereIf(!string.IsNullOrWhiteSpace(input.ProdLine), e =&gt; e.ProdLine.Contains(input.ProdLine))
				.WhereIf(!string.IsNullOrWhiteSpace(input.Status), e =&gt; e.Status.Contains(input.Status))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LgaBarScanInfoDto
                        {
							Id = o.Id,
							UserId = o.UserId,
							UserName = o.UserName,
							ScanValue = o.ScanValue,
							ScanPartNo = o.ScanPartNo,
							ScanBackNo = o.ScanBackNo,
							ScanType = o.ScanType,
							ScanDatetime = o.ScanDatetime,
							ProdLine = o.ProdLine,
							RefId = o.RefId,
							Status = o.Status,
							IsActive = o.IsActive,
                        };
            var totalCount = await filtered.CountAsync();
			var paged = system.PageBy(input);
            return new PagedResultDto&lt;LgaBarScanInfoDto&gt;(
                totalCount,
                 await paged.ToListAsync()
            );
        }
        public async Task&lt;FileDto&gt; GetBarScanInfoToExcel(LgaBarScanInfoExportInput input)
        {
            var query = from o in _repo.GetAll()
                        select new LgaBarScanInfoDto
                        {
							Id = o.Id,
							UserId = o.UserId,
							UserName = o.UserName,
							ScanValue = o.ScanValue,
							ScanPartNo = o.ScanPartNo,
							ScanBackNo = o.ScanBackNo,
							ScanType = o.ScanType,
							ScanDatetime = o.ScanDatetime,
							ProdLine = o.ProdLine,
							RefId = o.RefId,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_dapperRepo.ExecuteAsync(LgaBarScanInfoConsts.SP_MST_WPT_CALENDAR_GENERATE);
       // }
    }
}</v>
      </c>
      <c r="N58" s="62" t="str">
        <f>A.Backend!U7</f>
        <v xml:space="preserve">  configuration.CreateMap&lt;LgaBarScanInfoDto, LgaBarScanInfo&gt;();
  configuration.CreateMap&lt;LgaBarScanInfo, LgaBarScanInfoDto&gt;();
  configuration.CreateMap&lt;CreateOrEditLgaBarScanInfoDto, LgaBarScanInfo&gt;();</v>
      </c>
    </row>
    <row r="59" spans="1:14" s="16" customFormat="1" ht="21.75" customHeight="1" x14ac:dyDescent="0.25">
      <c r="C59" s="65"/>
      <c r="D59" s="29"/>
      <c r="E59" s="29"/>
      <c r="F59" s="29"/>
      <c r="G59" s="29"/>
      <c r="H59" s="66"/>
      <c r="I59" s="67"/>
      <c r="J59" s="29"/>
      <c r="K59" s="29"/>
      <c r="M59" s="66"/>
    </row>
    <row r="60" spans="1:14" s="16" customFormat="1" ht="21.75" customHeight="1" x14ac:dyDescent="0.25">
      <c r="C60" s="29"/>
      <c r="D60" s="29"/>
      <c r="E60" s="29"/>
      <c r="F60" s="29"/>
      <c r="G60" s="29"/>
      <c r="H60" s="29"/>
      <c r="J60" s="29"/>
      <c r="K60" s="29"/>
      <c r="M60" s="29"/>
    </row>
    <row r="61" spans="1:14" s="16" customFormat="1" ht="21.75" customHeight="1" x14ac:dyDescent="0.25">
      <c r="C61" s="29"/>
      <c r="D61" s="29"/>
      <c r="E61" s="29"/>
      <c r="G61" s="29"/>
      <c r="H61" s="29"/>
    </row>
    <row r="62" spans="1:14" x14ac:dyDescent="0.25">
      <c r="B62" s="1" t="s">
        <v>73</v>
      </c>
    </row>
    <row r="63" spans="1:14" ht="21" x14ac:dyDescent="0.35">
      <c r="B63" t="str">
        <f>B.Frontend!B8</f>
        <v>barscaninfo</v>
      </c>
      <c r="C63" s="72" t="str">
        <f>"create folder " &amp;B63</f>
        <v>create folder barscaninfo</v>
      </c>
      <c r="D63" s="72"/>
      <c r="E63" s="72"/>
      <c r="F63" s="72"/>
      <c r="G63" s="72"/>
      <c r="H63" s="72"/>
      <c r="I63" s="72"/>
      <c r="J63" s="72"/>
      <c r="K63" s="73" t="s">
        <v>228</v>
      </c>
      <c r="L63" s="73"/>
      <c r="M63" s="31"/>
    </row>
    <row r="64" spans="1:14" s="28" customFormat="1" ht="18" customHeight="1" x14ac:dyDescent="0.25">
      <c r="B64" s="60" t="s">
        <v>229</v>
      </c>
      <c r="C64" s="31" t="str">
        <f>B.Frontend!H14</f>
        <v>barscaninfo.component.ts</v>
      </c>
      <c r="D64" s="31" t="str">
        <f>B.Frontend!I14</f>
        <v>barscaninfo.component.html</v>
      </c>
      <c r="E64" s="31" t="str">
        <f>B.Frontend!J14</f>
        <v>barscaninfo.component.less</v>
      </c>
      <c r="F64" s="31" t="str">
        <f>B.Frontend!K14</f>
        <v>create-or-edit-barscaninfo-modal.component.html</v>
      </c>
      <c r="G64" s="31" t="str">
        <f>B.Frontend!L14</f>
        <v>create-or-edit-barscaninfo-modal.component.ts</v>
      </c>
      <c r="H64" s="31" t="str">
        <f>B.Frontend!M14</f>
        <v>create-or-edit-barscaninfo-modal.component.less</v>
      </c>
      <c r="I64" s="31" t="str">
        <f>B.Frontend!N14</f>
        <v>barscaninfo.module.ts</v>
      </c>
      <c r="J64" s="31" t="str">
        <f>B.Frontend!O14</f>
        <v>barscaninfo-routing.module.ts</v>
      </c>
      <c r="K64" s="31" t="str">
        <f>B.Frontend!P14</f>
        <v>app.navigation.service.ts</v>
      </c>
      <c r="L64" s="31" t="str">
        <f>B.Frontend!Q14</f>
        <v>main.routing.module.ts</v>
      </c>
      <c r="M64" s="60" t="s">
        <v>232</v>
      </c>
    </row>
    <row r="65" spans="2:13" ht="21.75" customHeight="1" x14ac:dyDescent="0.25">
      <c r="B65" s="61" t="s">
        <v>226</v>
      </c>
      <c r="C6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LgaBarScanInfoDto, LgaBarScanInfoServiceProxy } from '@shared/service-proxies/service-proxies';
import { finalize } from 'rxjs/internal/operators/finalize';
import { CreateOrEditBarScanInfoModalComponent } from './create-or-edit-barscaninfo-modal.component';
import { DatePipe } from '@angular/common';
import { FileDownloadService } from '@shared/utils/file-download.service';
import ceil from 'lodash-es/ceil';
import { Paginator } from 'primeng/paginator';
@Component({
    templateUrl: './barscaninfo.component.html',
    styleUrls: ['./barscaninfo.component.less'],
})
export class BarScanInfoComponent extends AppComponentBase implements OnInit {
    @ViewChild('createOrEditModalBarScanInfo', { static: true }) createOrEditModalBarScanInfo:| CreateOrEditBarScanInfoModalComponent|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LgaBarScanInfoDto = new LgaBarScanInfoDto();
    saveSelectedRow: LgaBarScanInfoDto = new LgaBarScanInfoDto();
    datas: LgaBarScanInfoDto = new LgaBarScanInfoDto();
    isLoading: boolean = false;
    dataParams: GridParams | undefined;
    rowData: any[] = [];
    gridApi!: GridApi;
    rowSelection = 'multiple';
    filter: string = '';
	pipe = new DatePipe('en-US');
	frameworkComponents: FrameworkComponent;
    userId : string = '' ; 
	userName : string = '' ; 
	scanValue : string = '' ; 
	scanPartNo : string = '' ; 
	scanBackNo : string = '' ; 
	scanType : any ;
	scanDatetime : string = '' ; 
	prodLine
	refId : string = '' ; 
	status : string = '' ; 
	isActive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LgaBarScanInfoServiceProxy,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this.l('User Id'),headerTooltip: this.l('User Id'),field: 'userId',flex: 1},
			{headerName: this.l('User Name'),headerTooltip: this.l('User Name'),field: 'userName',flex: 1},
			{headerName: this.l('Scan Value'),headerTooltip: this.l('Scan Value'),field: 'scanValue',flex: 1},
			{headerName: this.l('Scan Part No'),headerTooltip: this.l('Scan Part No'),field: 'scanPartNo',flex: 1},
			{headerName: this.l('Scan Back No'),headerTooltip: this.l('Scan Back No'),field: 'scanBackNo',flex: 1},
			{headerName: this.l('Scan Type'),headerTooltip: this.l('Scan Type'),field: 'scanType',valueGetter: (params) =&gt; this.pipe.transform(params.data?.scanType, 'dd/MM/yyyy'),flex: 1},
			{headerName: this.l('Scan Datetime'),headerTooltip: this.l('Scan Datetime'),field: 'scanDatetime',flex: 1},
			{headerName: this.l('Prod Line'),headerTooltip: this.l('Prod Line'),field: 'prodLine',flex: 1},
			{headerName: this.l('Ref Id'),headerTooltip: this.l('Ref Id'),field: 'refId',flex: 1},
			{headerName: this.l('Status'),headerTooltip: this.l('Status'),field:  'status', cellClass: ['text-center'], width: 120, cellRenderer: 'agCellButtonComponent',
buttonDefTwo: { text: params =&gt; (params.data?.'status' == 'Y') ? 'Active' : 'Inactive',iconName: 'fa fa-circle',className: params =&gt; (params.data?.'status' == 'Y') ? 'btnActive' : 'btnInActive',},}
			{headerName: this.l('Is Active'),headerTooltip: this.l('Is Active'),field: 'isActive',flex: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this.userId,
			this.userName,
			this.scanValue,
			this.scanPartNo,
			this.scanBackNo,
			this.scanType,
			this.scanDatetime,
			this.prodLine,
			this.refId,
			this.status,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this.userId = '',
		this.userName = '',
		this.scanValue = '',
		this.scanPartNo = '',
		this.scanBackNo = '',
		this.scanType = '',
		this.scanDatetime = '',
		this.prodLine = '',
		this.refId = '',
		this.status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this.userId,
			this.userName,
			this.scanValue,
			this.scanPartNo,
			this.scanBackNo,
			this.scanType,
			this.scanDatetime,
			this.prodLine,
			this.refId,
			this.status,
			this.isActive,
			'',
            this.paginationParams.skipCount,
            this.paginationParams.pageSize
        );
    }
    onChangeRowSelection(params: { api: { getSelectedRows: () =&gt; LgaBarScanInfoDto[] } }) {
        this.saveSelectedRow = params.api.getSelectedRows()[0] ?? new LgaBarScanInfoDto();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LgaBarScanInfoDto):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this._service.getBarScanInfoToExcel(
			this.userId,
			this.userName,
			this.scanValue,
			this.scanPartNo,
			this.scanBackNo,
			this.scanType,
			this.scanDatetime,
			this.prodLine,
			this.refId,
			this.status,
			this.isActive,
            )
            .subscribe((result) =&gt; {
                this._fileDownloadService.downloadTempFile(result);
        });
    }
}</v>
      </c>
      <c r="D6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LA Barcode Scan Info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[(ngModel)]='userId' name='userId'
									class='form-control' [placeholder]="l('User Id')"
									type='text' (keyup.enter)='searchDatas()'&gt;
								&lt;/div&gt;
								&lt;div class='input-search'&gt;
									&lt;input [(ngModel)]='userName' name='userName'
									class='form-control' [placeholder]="l('User Name')"
									type='text' (keyup.enter)='searchDatas()'&gt;
								&lt;/div&gt;
								&lt;div class='input-search'&gt;
									&lt;input [(ngModel)]='scanValue' name='scanValue'
									class='form-control' [placeholder]="l('Scan Value')"
									type='text' (keyup.enter)='searchDatas()'&gt;
								&lt;/div&gt;
								&lt;div class='input-search'&gt;
									&lt;input [(ngModel)]='scanPartNo' name='scanPartNo'
									class='form-control' [placeholder]="l('Scan Part No')"
									type='text' (keyup.enter)='searchDatas()'&gt;
								&lt;/div&gt;
								&lt;div class='input-search'&gt;
									&lt;input [(ngModel)]='scanBackNo' name='scanBackNo'
									class='form-control' [placeholder]="l('Scan Back No')"
									type='text' (keyup.enter)='searchDatas()'&gt;
								&lt;/div&gt;
								&lt;div class='input-search'&gt;
									&lt;input type='text' [placeholder]="l('Scan Type')" [(ngModel)]='scanType' 
									name='scanType'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[(ngModel)]='scanDatetime' name='scanDatetime'
									class='form-control' [placeholder]="l('Scan Datetime')"
									type='text' (keyup.enter)='searchDatas()'&gt;
								&lt;/div&gt;
								&lt;div class='input-search'&gt;
									&lt;input [(ngModel)]='refId' name='refId'
									class='form-control' [placeholder]="l('Ref Id')"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(click)="createOrEditModalBarScanInfo.show()"&gt;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(click)="createOrEditModalBarScanInfo.show(selectedRow)"&gt;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&lt;create-or-edit-barscaninfo-modal
    #createOrEditModalBarScanInfo
    (modalSave)="callBackDataGrid(dataParams)"
    (modalClose)="onChangeRowSelection(dataParams)"
&gt;
&lt;/create-or-edit-barscaninfo-modal&gt;</v>
      </c>
      <c r="E65" s="49" t="str">
        <f>B.Frontend!J10</f>
        <v>.input-search{
    width: 250px;
    border-radius: 10px;
    margin-left: 10px;
}
.btn-search{
    width: 50px;
    margin-left: 10px;
}</v>
      </c>
      <c r="F65" s="49" t="str">
        <f ca="1">B.Frontend!K10</f>
        <v>&lt;div bsModal #createOrEditModalBarScanInfo="bs-modal"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BarScanInfo')}}&lt;/h3&gt;
                    &lt;h3 *ngIf="!rowdata.id"&gt;{{('Create New BarScanInfo')}}&lt;/h3&gt;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title'&gt;User Id&lt;/label&gt;
						&lt;input type='text' class='col-md-10 form-control input-text' name='UserId' [(ngModel)]='rowdata.userId'&gt;
					&lt;/div&gt;
					&lt;div class='col-md-12 form-group row'&gt;
						&lt;label class='col-md-2 form-control title'&gt;User Name&lt;/label&gt;
						&lt;input type='text' class='col-md-10 form-control input-text' name='UserName' [(ngModel)]='rowdata.userName'&gt;
					&lt;/div&gt;
					&lt;div class='col-md-12 form-group row'&gt;
						&lt;label class='col-md-2 form-control title'&gt;Scan Value&lt;/label&gt;
						&lt;input type='text' class='col-md-10 form-control input-text' name='ScanValue' [(ngModel)]='rowdata.scanValue'&gt;
					&lt;/div&gt;
					&lt;div class='col-md-12 form-group row'&gt;
						&lt;label class='col-md-2 form-control title'&gt;Scan Part No&lt;/label&gt;
						&lt;input type='text' class='col-md-10 form-control input-text' name='ScanPartNo' [(ngModel)]='rowdata.scanPartNo'&gt;
					&lt;/div&gt;
					&lt;div class='col-md-12 form-group row'&gt;
						&lt;label class='col-md-2 form-control title'&gt;Scan Back No&lt;/label&gt;
						&lt;input type='text' class='col-md-10 form-control input-text' name='ScanBackNo' [(ngModel)]='rowdata.scanBackNo'&gt;
					&lt;/div&gt;
					&lt;div class='col-md-12 form-group row'&gt;
						&lt;label class='col-md-2 form-control title'&gt;Scan Type&lt;/label&gt;
						&lt;input type='text' class='col-md-10 form-control input-text' name='scanType' 
						#datepicker='bsDatepicker' [(ngModel)]='rowdata.scanType'  bsDatepicker &gt;
					&lt;/div&gt;
					&lt;div class='col-md-12 form-group row'&gt;
						&lt;label class='col-md-2 form-control title'&gt;Scan Datetime&lt;/label&gt;
						&lt;input type='text' class='col-md-10 form-control input-text' name='ScanDatetime' [(ngModel)]='rowdata.scanDatetime'&gt;
					&lt;/div&gt;
					&lt;div class='col-md-12 form-group row'&gt;
						&lt;label class='col-md-2 form-control title'&gt;Ref Id&lt;/label&gt;
						&lt;input type='text' class='col-md-10 form-control input-text' name='RefId' [(ngModel)]='rowdata.refId'&gt;
					&lt;/div&gt;
					&lt;div class='col-md-12 form-group row'&gt;
						&lt;label class='col-md-2 form-control title'&gt;Status&lt;/label&gt;
						&lt;new-checkbox [(ngModel)]='_status' name='status' className='col-md-10' &gt; &lt;/new-checkbox&gt;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CreateOrEditLgaBarScanInfoDto, LgaBarScanInfoServiceProxy } from '@shared/service-proxies/service-proxies';
import { BsDatepickerDirective } from 'ngx-bootstrap/datepicker';
@Component({
    selector: 'create-or-edit-barscaninfo-modal',
    templateUrl: './create-or-edit-barscaninfo-modal.component.html',
    styleUrls: ['./create-or-edit-barscaninfo-modal.component.less']
    })
export class CreateOrEditBarScanInfoModalComponent extends AppComponentBase {
    @ViewChild('createOrEditModalBarScanInfo',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CreateOrEditLgaBarScanInfoDto = new CreateOrEditLgaBarScanInfoDto();
    active: boolean = false;
    saving: boolean = false;
    _status
: boolean;
    constructor(
        injector: Injector,
        private _mstwptBarScanInfoService: LgaBarScanInfoServiceProxy,
    ) 
    {
        super(injector);
    }
    show(rowdata?: CreateOrEditLgaBarScanInfoDto): void {
        if (!rowdata) this.rowdata = new CreateOrEditLgaBarScanInfoDto();
        else this.rowdata = rowdata;
		const dateValue =  this.rowdata.scanType ? new Date(this.rowdata.scanType?.toString()) : new Date();
		this.datepicker?.bsValueChange.emit(dateValue);
        this._status
 = (this.rowdata.status
 == "N")? false: true;
        this.active = true;
        this.modal.show();
    } 
    changeActive(event){
        this._status
 = event.target.checked;
    }
    save(): void {
    this.saving = true; 
    this.rowdata.status
 = (this._status
 == true) ? 'Y' : 'N'
    this._mstwptBarScanInfoService.createOrEdit(this.rowdata)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5" s="49" t="str">
        <f>B.Frontend!N10</f>
        <v>import {NgModule} from '@angular/core';
import {AppSharedModule} from '@app/shared/app-shared.module';
import { BarScanInfoRoutingModule } from './barscaninfo-routing.module';
import { BarScanInfoComponent } from './barscaninfo.component';
import { CreateOrEditBarScanInfoModalComponent } from './create-or-edit-barscaninfo-modal.component';
@NgModule({
    declarations: [
       BarScanInfoComponent, 
        CreateOrEditBarScanInfoModalComponent
    ],
    imports: [
        AppSharedModule, BarScanInfoRoutingModule]
})
export class BarScanInfoModule {}</v>
      </c>
      <c r="J65" s="49" t="str">
        <f>B.Frontend!O10</f>
        <v>import {NgModule} from '@angular/core';
import {RouterModule, Routes} from '@angular/router';
import { BarScanInfoComponent } from './barscaninfo.component';
const routes: Routes = [{
    path: '',
    component: BarScanInfoComponent,
    pathMatch: 'full'
}];
@NgModule({
    imports: [RouterModule.forChild(routes)],
    exports: [RouterModule],
})
export class BarScanInfoRoutingModule {}</v>
      </c>
      <c r="K65" s="49" t="str">
        <f>B.Frontend!P10</f>
        <v xml:space="preserve"> new AppMenuItem("BarScanInfo", "Pages.LogA.Bar.BarScanInfo", "flaticon-book",   "/app/main/loga/bar/barscaninfo"),</v>
      </c>
      <c r="L65" s="50" t="str">
        <f>B.Frontend!Q10</f>
        <v>{
    path: 'loga/bar/barscaninfo',
    loadChildren: () =&gt; import('./loga/bar/barscaninfo/barscaninfo.module').then(m =&gt; m.BarScanInfoModule),
    data: { permission: 'Pages.LogA.Bar.BarScanInfo' }
},</v>
      </c>
      <c r="M65" s="48" t="str">
        <f>B.Frontend!R10</f>
        <v>ApiServiceProxies.LgaBarScanInfoServiceProxy,</v>
      </c>
    </row>
    <row r="67" spans="2:13" x14ac:dyDescent="0.25">
      <c r="B67" s="1" t="s">
        <v>75</v>
      </c>
    </row>
  </sheetData>
  <mergeCells count="2">
    <mergeCell ref="C63:J63"/>
    <mergeCell ref="K63:L6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1"/>
  <sheetViews>
    <sheetView tabSelected="1" workbookViewId="0">
      <pane xSplit="1" topLeftCell="B1" activePane="topRight" state="frozen"/>
      <selection pane="topRight" activeCell="B3" sqref="B3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vovina.LogA.Bar.Dto;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327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328</v>
      </c>
      <c r="C3" s="10" t="s">
        <v>43</v>
      </c>
      <c r="D3" s="10" t="s">
        <v>44</v>
      </c>
      <c r="E3" s="10" t="s">
        <v>39</v>
      </c>
      <c r="F3" s="11" t="str">
        <f>"J"&amp;COUNTA($A:$A)</f>
        <v>J19</v>
      </c>
      <c r="G3" s="4" t="s">
        <v>57</v>
      </c>
      <c r="H3" s="10" t="str">
        <f>"I"&amp;COUNTA($A:$A)</f>
        <v>I19</v>
      </c>
      <c r="I3" s="10" t="str">
        <f>REPT(CHAR(9),2)&amp;"[Required]"&amp;"
"</f>
        <v xml:space="preserve">		[Required]
</v>
      </c>
      <c r="J3" s="11" t="str">
        <f>"L"&amp;COUNTA($A:$A)</f>
        <v>L19</v>
      </c>
      <c r="K3" s="5" t="s">
        <v>56</v>
      </c>
      <c r="L3" s="11" t="str">
        <f>"M"&amp;COUNTA($A:$A)</f>
        <v>M19</v>
      </c>
      <c r="M3" s="11" t="str">
        <f>"N"&amp;COUNTA($A:$A)</f>
        <v>N19</v>
      </c>
      <c r="N3" s="11" t="str">
        <f>"O"&amp;COUNTA($A:$A)</f>
        <v>O19</v>
      </c>
      <c r="O3" s="11" t="str">
        <f>"P"&amp;COUNTA($A:$A)</f>
        <v>P19</v>
      </c>
      <c r="Q3" s="11" t="str">
        <f>RIGHT(B2,(LEN(B2)-FIND(".",B2,1)))</f>
        <v>Bar</v>
      </c>
      <c r="R3" s="32" t="str">
        <f>REPT(CHAR(9),1)&amp;"public class "&amp;B3&amp;"ExportInput"&amp;C3</f>
        <v xml:space="preserve">	public class LgaBarScanInfoExportInput{
</v>
      </c>
      <c r="S3" s="11" t="str">
        <f>"namespace "&amp;$B$6&amp;".Exporting
"&amp;$C$3</f>
        <v xml:space="preserve">namespace vovina.LogA.Bar.Exporting
{
</v>
      </c>
      <c r="T3" s="11" t="str">
        <f>"T"&amp;COUNTA($A:$A)</f>
        <v>T19</v>
      </c>
      <c r="V3" s="11" t="str">
        <f>"V"&amp;COUNTA($A:$A)</f>
        <v>V19</v>
      </c>
      <c r="W3" s="10" t="str">
        <f>"W"&amp;COUNTA($A:$A)</f>
        <v>W19</v>
      </c>
    </row>
    <row r="4" spans="1:23" s="11" customFormat="1" ht="33" customHeight="1" x14ac:dyDescent="0.25">
      <c r="A4" s="1" t="s">
        <v>237</v>
      </c>
      <c r="B4" s="64" t="s">
        <v>306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341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vovina.LogA.Bar</v>
      </c>
      <c r="C6" s="11" t="str">
        <f>"namespace "&amp;$B$6&amp;"
"&amp;$C$3</f>
        <v xml:space="preserve">namespace vovina.LogA.Bar
{
</v>
      </c>
      <c r="D6" s="11" t="str">
        <f>REPT(CHAR(9),1)&amp;"public class "&amp;B3&amp;G3&amp;REPT(CHAR(9),1)&amp;"
"&amp;REPT(CHAR(9),1)&amp;C3</f>
        <v xml:space="preserve">	public class LgaBarScanInfo: FullAuditedEntity&lt;long&gt;, IEntity&lt;long&gt;	
	{
</v>
      </c>
      <c r="E6" s="11" t="str">
        <f>REPT(CHAR(9),1)&amp;"public class "&amp;B3&amp;"Consts"&amp;REPT(CHAR(9),1)&amp;"
"&amp;REPT(CHAR(9),1)&amp;C3</f>
        <v xml:space="preserve">	public class LgaBarScanInfoConsts	
	{
</v>
      </c>
      <c r="F6" s="11" t="str">
        <f>REPT(CHAR(9),1)&amp;"public class "&amp;B3&amp;"Dto"&amp;K3&amp;REPT(CHAR(9),1)&amp;"
"&amp;REPT(CHAR(9),1)&amp;C3</f>
        <v xml:space="preserve">	public class LgaBarScanInfoDto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CreateOrEditLgaBarScanInfoDto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GetLgaBarScanInfoInput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LgaBarScanInfo</v>
      </c>
      <c r="C7" s="11" t="str">
        <f>REPT(CHAR(9),1)&amp;"[Table("""&amp;B7&amp;""")]"&amp;"
"</f>
        <v xml:space="preserve">	[Table("LgaBarScanInfo")]
</v>
      </c>
      <c r="D7" s="11"/>
      <c r="E7" s="11"/>
      <c r="F7" s="11"/>
      <c r="G7" s="11"/>
      <c r="H7" s="11"/>
      <c r="I7" s="11"/>
      <c r="J7" s="6" t="str">
        <f ca="1">SUBSTITUTE(SUBSTITUTE((B1&amp;C6&amp;C7&amp;K21&amp;D6&amp;I21&amp;E3&amp;J21&amp;""&amp;REPT(CHAR(9),1)&amp;D3&amp;D3),"WorkingPattern",$Q$3),"Master",$B$4)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vovina.LogA.Bar
{
	[Table("LgaBarScanInfo")]
	[Index(nameof(UserId), Name="IX_LgaBarScanInfo_UserId")]
	[Index(nameof(UserName), Name="IX_LgaBarScanInfo_UserName")]
	[Index(nameof(ScanType), Name="IX_LgaBarScanInfo_ScanType")]
	[Index(nameof(ProdLine), Name="IX_LgaBarScanInfo_ProdLine")]
	[Index(nameof(RefId), Name="IX_LgaBarScanInfo_RefId")]
	[Index(nameof(IsActive), Name="IX_LgaBarScanInfo_IsActive")]	public class LgaBarScanInfo: FullAuditedEntity&lt;long&gt;, IEntity&lt;long&gt;	
	{
		public const int MaxUserIdLength = 50;
		public const int MaxUserNameLength = 50;
		public const int MaxScanValueLength = 500;
		public const int MaxScanPartNoLength = 50;
		public const int MaxScanBackNoLength = 50;
		public const int MaxScanTypeLength = 50;
		public const int MaxProdLineLength = 50;
		public const int MaxStatusLength = 50;
		public const int MaxIsActiveLength = 1;
		[StringLength(MaxUserIdLength)]
		public virtual string UserId { get; set; }
		[StringLength(MaxUserNameLength)]
		public virtual string UserName { get; set; }
		[StringLength(MaxScanValueLength)]
		public virtual string ScanValue { get; set; }
		[StringLength(MaxScanPartNoLength)]
		public virtual string ScanPartNo { get; set; }
		[StringLength(MaxScanBackNoLength)]
		public virtual string ScanBackNo { get; set; }
		[StringLength(MaxScanTypeLength)]
		public virtual string ScanType { get; set; }
		[Column(TypeName="datetime2(7)")]
		public virtual DateTime ScanDatetime { get; set; }
		[StringLength(MaxProdLineLength)]
		public virtual string ProdLine { get; set; }
		public virtual long RefId { get; set; }
		[StringLength(MaxStatusLength)]
		public virtual string Status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DbSet&lt;LgaBarScanInfo&gt; LgaBarScanInfos { get; set; }</v>
      </c>
      <c r="L7" t="str">
        <f ca="1">SUBSTITUTE(SUBSTITUTE((C6&amp;E6&amp;I21&amp;"
"&amp;REPT(CHAR(9),2)&amp;"// Define Store Name: Format SP_ + &lt;Store Name&gt; = &lt;Store Name&gt;
"&amp;E3&amp;REPT(CHAR(9),1)&amp;D3&amp;D3),"WorkingPattern",$Q$3),"Master",$B$4)</f>
        <v xml:space="preserve">namespace vovina.LogA.Bar
{
	public class LgaBarScanInfoConsts	
	{
		public const int MaxUserIdLength = 50;
		public const int MaxUserNameLength = 50;
		public const int MaxScanValueLength = 500;
		public const int MaxScanPartNoLength = 50;
		public const int MaxScanBackNoLength = 50;
		public const int MaxScanTypeLength = 50;
		public const int MaxProdLineLength = 50;
		public const int MaxStatusLength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"&amp;B6&amp;".Dto"&amp;E3&amp;C3&amp;F6&amp;M21&amp;E3&amp;REPT(CHAR(9),1)&amp;D3&amp;G6&amp;N21&amp;REPT(CHAR(9),1)&amp;D3&amp;H6&amp;O21&amp;"
"&amp;REPT(CHAR(9),1)&amp;D3&amp;D3),"WorkingPattern",$Q$3),"Master",$B$4)</f>
        <v xml:space="preserve">using Abp.Application.Services.Dto;
using System;
using System.ComponentModel.DataAnnotations;
namespace vovina.LogA.Bar.Dto
{
	public class LgaBarScanInfoDto : EntityDto&lt;long?&gt;	
	{
		public virtual string UserId { get; set; }
		public virtual string UserName { get; set; }
		public virtual string ScanValue { get; set; }
		public virtual string ScanPartNo { get; set; }
		public virtual string ScanBackNo { get; set; }
		public virtual string ScanType { get; set; }
		public virtual DateTime? ScanDatetime { get; set; }
		public virtual string ProdLine { get; set; }
		public virtual long RefId { get; set; }
		public virtual string Status { get; set; }
		public virtual string IsActive { get; set; }
	}
	public class CreateOrEditLgaBarScanInfoDto : EntityDto&lt;long?&gt;	
	{
		[StringLength(LgaBarScanInfoConsts.MaxUserIdLength)]
		public virtual string UserId { get; set; }
		[StringLength(LgaBarScanInfoConsts.MaxUserNameLength)]
		public virtual string UserName { get; set; }
		[StringLength(LgaBarScanInfoConsts.MaxScanValueLength)]
		public virtual string ScanValue { get; set; }
		[StringLength(LgaBarScanInfoConsts.MaxScanPartNoLength)]
		public virtual string ScanPartNo { get; set; }
		[StringLength(LgaBarScanInfoConsts.MaxScanBackNoLength)]
		public virtual string ScanBackNo { get; set; }
		[StringLength(LgaBarScanInfoConsts.MaxScanTypeLength)]
		public virtual string ScanType { get; set; }
		public virtual DateTime? ScanDatetime { get; set; }
		[StringLength(LgaBarScanInfoConsts.MaxProdLineLength)]
		public virtual string ProdLine { get; set; }
		public virtual long RefId { get; set; }
		[StringLength(LgaBarScanInfoConsts.MaxStatusLength)]
		public virtual string Status { get; set; }
		[StringLength(LgaBarScanInfoConsts.MaxIsActiveLength)]
		public virtual string IsActive { get; set; }
	}
	public class GetLgaBarScanInfoInput : PagedAndSortedResultRequestDto	
	{
		public virtual string UserId { get; set; }
		public virtual string UserName { get; set; }
		public virtual string ScanValue { get; set; }
		public virtual string ScanPartNo { get; set; }
		public virtual string ScanBackNo { get; set; }
		public virtual string ScanType { get; set; }
		public virtual DateTime? ScanDatetime { get; set; }
		public virtual string ProdLine { get; set; }
		public virtual string Status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perLgaBarScanInfo = PARENTS.CreateChildPermission(AppPermissions.Pages_LogA_Bar_BarScanInfo, L( "LogABarBarScanInfo"), multiTenancySides: MultiTenancySides.Tenant);
		perLgaBarScanInfo.CreateChildPermission(AppPermissions.Pages_LogA_Bar_BarScanInfo_CreateEdit, L( "LogABarBarScanInfoCreateEdit"), multiTenancySides: MultiTenancySides.Tenant);
		perLgaBarScanInfo.CreateChildPermission(AppPermissions.Pages_LogA_Bar_BarScanInfo_Delete, L( "LogABarBarScanInfoDelete"),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Pages_LogA_Bar_BarScanInfo = "Pages.LogA.Bar.BarScanInfo";
		public const string Pages_LogA_Bar_BarScanInfo_CreateEdit = "Pages.LogA.Bar.BarScanInfo.CreateEdit";
		public const string Pages_LogA_Bar_BarScanInfo_Delete = "Pages.LogA.Bar.BarScanInfo.Delete";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vovina.LogA.Bar.Dto;
namespace vovina.LogA.Bar
{
	public interface ILgaBarScanInfoAppService : IApplicationService
	{
		Task&lt;PagedResultDto&lt;LgaBarScanInfoDto&gt;&gt; GetAll(GetLgaBarScanInfoInput input);
		Task CreateOrEdit(CreateOrEditLgaBarScanInfoDto input);
		Task Delete(EntityDto input);
	}
}
</v>
      </c>
      <c r="Q7" t="str">
        <f ca="1">SUBSTITUTE(SUBSTITUTE(SUBSTITUTE(SUBSTITUTE(SUBSTITUTE(SUBSTITUTE(E1,"MstWptCalendar",$B$3),"&lt;PROPERTIES&gt;",P21),"Calendar",$B$5),"WorkingPattern",$Q$3),"Master",$B$4),"&lt;PARAMS_SEARCH&gt;",$W$21)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vovina.LogA.Bar.Dto;
using vovina.LogA.Bar.Exporting;
namespace vovina.LogA.Bar
{
    [AbpAuthorize(AppPermissions.Pages_LogA_Bar_BarScanInfo)]
    public class LgaBarScanInfoAppService : vovinaAppServiceBase, ILgaBarScanInfoAppService
    {
        private readonly IDapperRepository&lt;LgaBarScanInfo, long&gt; _dapperRepo;
        private readonly IRepository&lt;LgaBarScanInfo, long&gt; _repo;
        private readonly ILgaBarScanInfoExcelExporter _calendarListExcelExporter;
        public LgaBarScanInfoAppService(IRepository&lt;LgaBarScanInfo,long&gt; repo, 
                                         IDapperRepository&lt;LgaBarScanInfo,long&gt; dapperRepo,
                                        ILgaBarScanInfoExcelExporter calendarListExcelExporter
            )
        {
            _repo = repo;
            _dapperRepo = dapperRepo;
            _calendarListExcelExporter = calendarListExcelExporter;
        }
        [AbpAuthorize(AppPermissions.Pages_LogA_Bar_BarScanInfo_CreateEdit)]
        public async Task CreateOrEdit(CreateOrEditLgaBarScanInfoDto input)
        {
            if (input.Id == null) await Create(input);
            else await Update(input);
        }
        //CREATE
        private async Task Create(CreateOrEditLgaBarScanInfoDto input)
        {          
            var mainObj = ObjectMapper.Map&lt;LgaBarScanInfo&gt;(input);
            await CurrentUnitOfWork.GetDbContext&lt;vovinaDbContext&gt;().AddAsync(mainObj);
        }
        // EDIT
        private async Task Update(CreateOrEditLgaBarScanInfoDto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[AbpAuthorize(AppPermissions.Pages_LogA_Bar_BarScanInfo_Delete)]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Task&lt;PagedResultDto&lt;LgaBarScanInfoDto&gt;&gt; GetAll(GetLgaBarScanInfoInput input)
        {
            var filtered = _repo.GetAll()
				.WhereIf(!string.IsNullOrWhiteSpace(input.UserId), e =&gt; e.UserId.Contains(input.UserId))
				.WhereIf(!string.IsNullOrWhiteSpace(input.UserName), e =&gt; e.UserName.Contains(input.UserName))
				.WhereIf(!string.IsNullOrWhiteSpace(input.ScanValue), e =&gt; e.ScanValue.Contains(input.ScanValue))
				.WhereIf(!string.IsNullOrWhiteSpace(input.ScanPartNo), e =&gt; e.ScanPartNo.Contains(input.ScanPartNo))
				.WhereIf(!string.IsNullOrWhiteSpace(input.ScanBackNo), e =&gt; e.ScanBackNo.Contains(input.ScanBackNo))
				.WhereIf(!string.IsNullOrWhiteSpace(input.ScanType), e =&gt; e.ScanType.Contains(input.ScanType))
				.WhereIf(input.ScanDatetime.HasValue, t =&gt; t.ScanDatetime == input.ScanDatetime.Value)
				.WhereIf(!string.IsNullOrWhiteSpace(input.ProdLine), e =&gt; e.ProdLine.Contains(input.ProdLine))
				.WhereIf(!string.IsNullOrWhiteSpace(input.Status), e =&gt; e.Status.Contains(input.Status))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LgaBarScanInfoDto
                        {
							Id = o.Id,
							UserId = o.UserId,
							UserName = o.UserName,
							ScanValue = o.ScanValue,
							ScanPartNo = o.ScanPartNo,
							ScanBackNo = o.ScanBackNo,
							ScanType = o.ScanType,
							ScanDatetime = o.ScanDatetime,
							ProdLine = o.ProdLine,
							RefId = o.RefId,
							Status = o.Status,
							IsActive = o.IsActive,
                        };
            var totalCount = await filtered.CountAsync();
			var paged = system.PageBy(input);
            return new PagedResultDto&lt;LgaBarScanInfoDto&gt;(
                totalCount,
                 await paged.ToListAsync()
            );
        }
        public async Task&lt;FileDto&gt; GetBarScanInfoToExcel(LgaBarScanInfoExportInput input)
        {
            var query = from o in _repo.GetAll()
                        select new LgaBarScanInfoDto
                        {
							Id = o.Id,
							UserId = o.UserId,
							UserName = o.UserName,
							ScanValue = o.ScanValue,
							ScanPartNo = o.ScanPartNo,
							ScanBackNo = o.ScanBackNo,
							ScanType = o.ScanType,
							ScanDatetime = o.ScanDatetime,
							ProdLine = o.ProdLine,
							RefId = o.RefId,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_dapperRepo.ExecuteAsync(LgaBarScanInfoConsts.SP_MST_WPT_CALENDAR_GENERATE);
       // }
    }
}</v>
      </c>
      <c r="R7" t="str">
        <f ca="1">SUBSTITUTE(SUBSTITUTE((C1&amp;"namespace "&amp;B6&amp;".Dto"&amp;E3&amp;C3&amp;R3&amp;M21&amp;E3&amp;REPT(CHAR(9),1)&amp;D3&amp;D3),"WorkingPattern",$Q$3),"Master",$B$4)</f>
        <v xml:space="preserve">using Abp.Application.Services.Dto;
using System;
using System.ComponentModel.DataAnnotations;
namespace vovina.LogA.Bar.Dto
{
	public class LgaBarScanInfoExportInput{
		public virtual string UserId { get; set; }
		public virtual string UserName { get; set; }
		public virtual string ScanValue { get; set; }
		public virtual string ScanPartNo { get; set; }
		public virtual string ScanBackNo { get; set; }
		public virtual string ScanType { get; set; }
		public virtual DateTime? ScanDatetime { get; set; }
		public virtual string ProdLine { get; set; }
		public virtual long RefId { get; set; }
		public virtual string Status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vovina.LogA.Bar.Dto;
namespace vovina.LogA.Bar.Exporting
{
	public interface ILgaBarScanInfoExcelExporter : IApplicationService
	{
		FileDto ExportToFile(List&lt;LgaBarScanInfoDto&gt; lgabarscaninfo);
	}
}
</v>
      </c>
      <c r="T7" s="28" t="str">
        <f ca="1">SUBSTITUTE(SUBSTITUTE(SUBSTITUTE(SUBSTITUTE(SUBSTITUTE(SUBSTITUTE(SUBSTITUTE(T1,"MstWptCalendar",$B$3),"&lt;PROPERTIES1&gt;",V21),"&lt;PROPERTIES&gt;",T21),"Calendar",$B$5),"calendar",LOWER(B5)),"WorkingPattern",$Q$3),"Master",$B$4)</f>
        <v>using System.Collections.Generic;
using vovina.DataExporting.Excel.NPOI;
using vovina.Dto;
using vovina.LogA.Bar.Exporting;
using vovina.LogA.Bar.Dto;
using vovina.Storage;
using vovina.LogA.Bar.Dto;
namespace vovina.LogA.Bar.Exporting
{
    public class LgaBarScanInfoExcelExporter : NpoiExcelExporterBase, ILgaBarScanInfoExcelExporter
    {
        public LgaBarScanInfoExcelExporter(ITempFileCacheManager tempFileCacheManager) : base(tempFileCacheManager) { }
        public FileDto ExportToFile(List&lt;LgaBarScanInfoDto&gt; barscaninfo)
        {
            return CreateExcelPackage(
				"LogABarBarScanInfo.xlsx",
				excelPackage =&gt;
				 {
					var sheet = excelPackage.CreateSheet("BarScanInfo");
					AddHeader(
								sheet,
								("UserId"),
								("UserName"),
								("ScanValue"),
								("ScanPartNo"),
								("ScanBackNo"),
								("ScanType"),
								("ScanDatetime"),
								("ProdLine"),
								("RefId"),
								("Status"),
								("IsActive"),
							   );
					AddObjects(
						 sheet, 1, barscaninfo,                                       
								_ =&gt; _.UserId,
								_ =&gt; _.UserName,
								_ =&gt; _.ScanValue,
								_ =&gt; _.ScanPartNo,
								_ =&gt; _.ScanBackNo,
								_ =&gt; _.ScanType,
								_ =&gt; _.ScanDatetime,
								_ =&gt; _.ProdLine,
								_ =&gt; _.RefId,
								_ =&gt; _.Status,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configuration.CreateMap&lt;LgaBarScanInfoDto, LgaBarScanInfo&gt;();
  configuration.CreateMap&lt;LgaBarScanInfo, LgaBarScanInfoDto&gt;();
  configuration.CreateMap&lt;CreateOrEditLgaBarScanInfoDto, LgaBarScanInfo&gt;();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t="s">
        <v>330</v>
      </c>
      <c r="B9" t="s">
        <v>320</v>
      </c>
      <c r="C9" t="s">
        <v>1</v>
      </c>
      <c r="D9" t="str">
        <f t="shared" ref="D9" si="0">SUBSTITUTE(PROPER(A9),"_","")</f>
        <v>UserId</v>
      </c>
      <c r="E9" t="str">
        <f t="shared" ref="E9" si="1">IFERROR(LEFT(B9, FIND("(",B9)-1),B9)</f>
        <v>varchar</v>
      </c>
      <c r="F9" s="7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MaxUserIdLength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[StringLength(MaxUserIdLength)]
		public virtual string UserId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[Index(nameof(UserId), Name="IX_LgaBarScanInfo_UserId")]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UserId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[StringLength(LgaBarScanInfoConsts.MaxUserIdLength)]
		public virtual string UserId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UserId { get; set; }
</v>
      </c>
      <c r="P9" t="str">
        <f t="shared" ref="P9" si="9">REPT(CHAR(9),7)&amp;D9&amp;" = o." &amp;D9 &amp;","</f>
        <v xml:space="preserve">							UserId = o.UserId,</v>
      </c>
      <c r="T9" s="69" t="str">
        <f t="shared" ref="T9" si="10">REPT(CHAR(9),8)&amp;"("""&amp;D9&amp;"""),"</f>
        <v xml:space="preserve">								("UserId"),</v>
      </c>
      <c r="V9" s="70" t="str">
        <f t="shared" ref="V9" si="11">REPT(CHAR(9),8)&amp;"_ =&gt; _."&amp;D9&amp;","</f>
        <v xml:space="preserve">								_ =&gt; _.UserId,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.WhereIf(!string.IsNullOrWhiteSpace(input.UserId), e =&gt; e.UserId.Contains(input.UserId))</v>
      </c>
    </row>
    <row r="10" spans="1:23" customFormat="1" ht="18.75" customHeight="1" x14ac:dyDescent="0.25">
      <c r="A10" t="s">
        <v>331</v>
      </c>
      <c r="B10" t="s">
        <v>320</v>
      </c>
      <c r="C10" t="s">
        <v>1</v>
      </c>
      <c r="D10" t="str">
        <f t="shared" ref="D10" si="13">SUBSTITUTE(PROPER(A10),"_","")</f>
        <v>UserName</v>
      </c>
      <c r="E10" t="str">
        <f t="shared" ref="E10" si="14">IFERROR(LEFT(B10, FIND("(",B10)-1),B10)</f>
        <v>varchar</v>
      </c>
      <c r="F10" s="7"/>
      <c r="G10" t="str">
        <f t="shared" ref="G10" si="15">IFERROR(MID(B10,FIND("(",B10) +1, FIND(")",B10) - FIND("(",B10) - 1),"")</f>
        <v>50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MaxUserNameLength = 50;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[StringLength(MaxUserNameLength)]
		public virtual string UserName { get; set; }
</v>
      </c>
      <c r="K10" s="7" t="s">
        <v>206</v>
      </c>
      <c r="L10" t="str">
        <f t="shared" ref="L10" si="18">IF(K10="","",REPT(CHAR(9),1)&amp;"[Index(nameof("&amp;IF(D10="","",""&amp;D10)&amp;")"&amp;", Name="&amp;"""IX_"&amp;$B$7&amp;"_"&amp;D10&amp;""")]")</f>
        <v xml:space="preserve">	[Index(nameof(UserName), Name="IX_LgaBarScanInfo_UserName")]</v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UserName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[StringLength(LgaBarScanInfoConsts.MaxUserNameLength)]
		public virtual string UserName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UserName { get; set; }
</v>
      </c>
      <c r="P10" t="str">
        <f t="shared" ref="P10" si="22">REPT(CHAR(9),7)&amp;D10&amp;" = o." &amp;D10 &amp;","</f>
        <v xml:space="preserve">							UserName = o.UserName,</v>
      </c>
      <c r="T10" s="69" t="str">
        <f t="shared" ref="T10" si="23">REPT(CHAR(9),8)&amp;"("""&amp;D10&amp;"""),"</f>
        <v xml:space="preserve">								("UserName"),</v>
      </c>
      <c r="V10" s="70" t="str">
        <f t="shared" ref="V10" si="24">REPT(CHAR(9),8)&amp;"_ =&gt; _."&amp;D10&amp;","</f>
        <v xml:space="preserve">								_ =&gt; _.UserName,</v>
      </c>
      <c r="W10" s="69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.WhereIf(!string.IsNullOrWhiteSpace(input.UserName), e =&gt; e.UserName.Contains(input.UserName))</v>
      </c>
    </row>
    <row r="11" spans="1:23" customFormat="1" ht="22.5" customHeight="1" x14ac:dyDescent="0.25">
      <c r="A11" t="s">
        <v>332</v>
      </c>
      <c r="B11" t="s">
        <v>334</v>
      </c>
      <c r="C11" t="s">
        <v>1</v>
      </c>
      <c r="D11" t="str">
        <f>SUBSTITUTE(PROPER(A11),"_","")</f>
        <v>ScanValue</v>
      </c>
      <c r="E11" t="str">
        <f t="shared" ref="E11:E19" si="26">IFERROR(LEFT(B11, FIND("(",B11)-1),B11)</f>
        <v>varchar</v>
      </c>
      <c r="F11" s="7"/>
      <c r="G11" t="str">
        <f t="shared" ref="G11:G19" si="27">IFERROR(MID(B11,FIND("(",B11) +1, FIND(")",B11) - FIND("(",B11) - 1),"")</f>
        <v>500</v>
      </c>
      <c r="H11" t="str">
        <f>+VLOOKUP(E11,'Data Type Mapping'!A:B,2,)</f>
        <v>string</v>
      </c>
      <c r="I11" t="str">
        <f t="shared" ref="I11:I19" si="28">IF(H11="string",REPT(CHAR(9),2)&amp;"public const int Max"&amp;D11&amp;"Length = "&amp;G11&amp;";"&amp;$E$3,"" )</f>
        <v xml:space="preserve">		public const int MaxScanValueLength = 500;
</v>
      </c>
      <c r="J11" t="str">
        <f t="shared" ref="J11:J19" si="29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[StringLength(MaxScanValueLength)]
		public virtual string ScanValue { get; set; }
</v>
      </c>
      <c r="K11" s="7"/>
      <c r="L11" t="str">
        <f>IF(K11="","",REPT(CHAR(9),1)&amp;"[Index(nameof("&amp;IF(D11="","",""&amp;D11)&amp;")"&amp;", Name="&amp;"""IX_"&amp;$B$7&amp;"_"&amp;D11&amp;""")]")</f>
        <v/>
      </c>
      <c r="M11" t="str">
        <f t="shared" ref="M11:M19" si="30">REPT(CHAR(9),2)&amp;"public virtual "&amp;IF(OR(H11="DateTime",H11="TimeSpan"),H11&amp;"?",H11)&amp;IF(C11="?","? "," ")&amp;D11&amp;" { get; set; }" &amp; "
"</f>
        <v xml:space="preserve">		public virtual string ScanValue { get; set; }
</v>
      </c>
      <c r="N11" t="str">
        <f t="shared" ref="N11:N19" si="31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[StringLength(LgaBarScanInfoConsts.MaxScanValueLength)]
		public virtual string ScanValue { get; set; }
</v>
      </c>
      <c r="O11" t="str">
        <f t="shared" ref="O11:O19" si="32">IF(OR(H11="string",H11="DateTime",H11="int"),REPT(CHAR(9),2)&amp;"public virtual "&amp;IF(OR(H11="DateTime",H11="TimeSpan"),H11&amp;"?",H11)&amp;IF(C11="?","? "," ")&amp;D11&amp;" { get; set; }"&amp;$E$3,"")</f>
        <v xml:space="preserve">		public virtual string ScanValue { get; set; }
</v>
      </c>
      <c r="P11" t="str">
        <f t="shared" ref="P11:P19" si="33">REPT(CHAR(9),7)&amp;D11&amp;" = o." &amp;D11 &amp;","</f>
        <v xml:space="preserve">							ScanValue = o.ScanValue,</v>
      </c>
      <c r="T11" s="69" t="str">
        <f t="shared" ref="T11:T19" si="34">REPT(CHAR(9),8)&amp;"("""&amp;D11&amp;"""),"</f>
        <v xml:space="preserve">								("ScanValue"),</v>
      </c>
      <c r="V11" s="70" t="str">
        <f t="shared" ref="V11:V19" si="35">REPT(CHAR(9),8)&amp;"_ =&gt; _."&amp;D11&amp;","</f>
        <v xml:space="preserve">								_ =&gt; _.ScanValue,</v>
      </c>
      <c r="W11" s="69" t="str">
        <f t="shared" ref="W11:W19" si="36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.WhereIf(!string.IsNullOrWhiteSpace(input.ScanValue), e =&gt; e.ScanValue.Contains(input.ScanValue))</v>
      </c>
    </row>
    <row r="12" spans="1:23" customFormat="1" ht="22.5" customHeight="1" x14ac:dyDescent="0.25">
      <c r="A12" t="s">
        <v>335</v>
      </c>
      <c r="B12" t="s">
        <v>320</v>
      </c>
      <c r="C12" t="s">
        <v>1</v>
      </c>
      <c r="D12" t="str">
        <f>SUBSTITUTE(PROPER(A12),"_","")</f>
        <v>ScanPartNo</v>
      </c>
      <c r="E12" t="str">
        <f t="shared" ref="E12" si="37">IFERROR(LEFT(B12, FIND("(",B12)-1),B12)</f>
        <v>varchar</v>
      </c>
      <c r="F12" s="7"/>
      <c r="G12" t="str">
        <f t="shared" ref="G12" si="38">IFERROR(MID(B12,FIND("(",B12) +1, FIND(")",B12) - FIND("(",B12) - 1),"")</f>
        <v>50</v>
      </c>
      <c r="H12" t="str">
        <f>+VLOOKUP(E12,'Data Type Mapping'!A:B,2,)</f>
        <v>string</v>
      </c>
      <c r="I12" t="str">
        <f t="shared" ref="I12" si="39">IF(H12="string",REPT(CHAR(9),2)&amp;"public const int Max"&amp;D12&amp;"Length = "&amp;G12&amp;";"&amp;$E$3,"" )</f>
        <v xml:space="preserve">		public const int MaxScanPartNoLength = 50;
</v>
      </c>
      <c r="J12" t="str">
        <f t="shared" ref="J12" si="4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[StringLength(MaxScanPartNoLength)]
		public virtual string ScanPartNo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ref="M12" si="41">REPT(CHAR(9),2)&amp;"public virtual "&amp;IF(OR(H12="DateTime",H12="TimeSpan"),H12&amp;"?",H12)&amp;IF(C12="?","? "," ")&amp;D12&amp;" { get; set; }" &amp; "
"</f>
        <v xml:space="preserve">		public virtual string ScanPartNo { get; set; }
</v>
      </c>
      <c r="N12" t="str">
        <f t="shared" ref="N12" si="42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[StringLength(LgaBarScanInfoConsts.MaxScanPartNoLength)]
		public virtual string ScanPartNo { get; set; }
</v>
      </c>
      <c r="O12" t="str">
        <f t="shared" ref="O12" si="43">IF(OR(H12="string",H12="DateTime",H12="int"),REPT(CHAR(9),2)&amp;"public virtual "&amp;IF(OR(H12="DateTime",H12="TimeSpan"),H12&amp;"?",H12)&amp;IF(C12="?","? "," ")&amp;D12&amp;" { get; set; }"&amp;$E$3,"")</f>
        <v xml:space="preserve">		public virtual string ScanPartNo { get; set; }
</v>
      </c>
      <c r="P12" t="str">
        <f t="shared" ref="P12" si="44">REPT(CHAR(9),7)&amp;D12&amp;" = o." &amp;D12 &amp;","</f>
        <v xml:space="preserve">							ScanPartNo = o.ScanPartNo,</v>
      </c>
      <c r="T12" s="69" t="str">
        <f t="shared" ref="T12" si="45">REPT(CHAR(9),8)&amp;"("""&amp;D12&amp;"""),"</f>
        <v xml:space="preserve">								("ScanPartNo"),</v>
      </c>
      <c r="V12" s="70" t="str">
        <f t="shared" ref="V12" si="46">REPT(CHAR(9),8)&amp;"_ =&gt; _."&amp;D12&amp;","</f>
        <v xml:space="preserve">								_ =&gt; _.ScanPartNo,</v>
      </c>
      <c r="W12" s="69" t="str">
        <f t="shared" ref="W12" si="47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.WhereIf(!string.IsNullOrWhiteSpace(input.ScanPartNo), e =&gt; e.ScanPartNo.Contains(input.ScanPartNo))</v>
      </c>
    </row>
    <row r="13" spans="1:23" customFormat="1" ht="22.5" customHeight="1" x14ac:dyDescent="0.25">
      <c r="A13" t="s">
        <v>336</v>
      </c>
      <c r="B13" t="s">
        <v>320</v>
      </c>
      <c r="C13" t="s">
        <v>1</v>
      </c>
      <c r="D13" t="str">
        <f>SUBSTITUTE(PROPER(A13),"_","")</f>
        <v>ScanBackNo</v>
      </c>
      <c r="E13" t="str">
        <f t="shared" ref="E13" si="48">IFERROR(LEFT(B13, FIND("(",B13)-1),B13)</f>
        <v>varchar</v>
      </c>
      <c r="F13" s="7"/>
      <c r="G13" t="str">
        <f t="shared" ref="G13" si="49">IFERROR(MID(B13,FIND("(",B13) +1, FIND(")",B13) - FIND("(",B13) - 1),"")</f>
        <v>50</v>
      </c>
      <c r="H13" t="str">
        <f>+VLOOKUP(E13,'Data Type Mapping'!A:B,2,)</f>
        <v>string</v>
      </c>
      <c r="I13" t="str">
        <f t="shared" ref="I13" si="50">IF(H13="string",REPT(CHAR(9),2)&amp;"public const int Max"&amp;D13&amp;"Length = "&amp;G13&amp;";"&amp;$E$3,"" )</f>
        <v xml:space="preserve">		public const int MaxScanBackNoLength = 50;
</v>
      </c>
      <c r="J13" t="str">
        <f t="shared" ref="J13" si="51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[StringLength(MaxScanBackNoLength)]
		public virtual string ScanBackNo { get; set; }
</v>
      </c>
      <c r="K13" s="7"/>
      <c r="L13" t="str">
        <f>IF(K13="","",REPT(CHAR(9),1)&amp;"[Index(nameof("&amp;IF(D13="","",""&amp;D13)&amp;")"&amp;", Name="&amp;"""IX_"&amp;$B$7&amp;"_"&amp;D13&amp;""")]")</f>
        <v/>
      </c>
      <c r="M13" t="str">
        <f t="shared" ref="M13" si="52">REPT(CHAR(9),2)&amp;"public virtual "&amp;IF(OR(H13="DateTime",H13="TimeSpan"),H13&amp;"?",H13)&amp;IF(C13="?","? "," ")&amp;D13&amp;" { get; set; }" &amp; "
"</f>
        <v xml:space="preserve">		public virtual string ScanBackNo { get; set; }
</v>
      </c>
      <c r="N13" t="str">
        <f t="shared" ref="N13" si="53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[StringLength(LgaBarScanInfoConsts.MaxScanBackNoLength)]
		public virtual string ScanBackNo { get; set; }
</v>
      </c>
      <c r="O13" t="str">
        <f t="shared" ref="O13" si="54">IF(OR(H13="string",H13="DateTime",H13="int"),REPT(CHAR(9),2)&amp;"public virtual "&amp;IF(OR(H13="DateTime",H13="TimeSpan"),H13&amp;"?",H13)&amp;IF(C13="?","? "," ")&amp;D13&amp;" { get; set; }"&amp;$E$3,"")</f>
        <v xml:space="preserve">		public virtual string ScanBackNo { get; set; }
</v>
      </c>
      <c r="P13" t="str">
        <f t="shared" ref="P13" si="55">REPT(CHAR(9),7)&amp;D13&amp;" = o." &amp;D13 &amp;","</f>
        <v xml:space="preserve">							ScanBackNo = o.ScanBackNo,</v>
      </c>
      <c r="T13" s="69" t="str">
        <f t="shared" ref="T13" si="56">REPT(CHAR(9),8)&amp;"("""&amp;D13&amp;"""),"</f>
        <v xml:space="preserve">								("ScanBackNo"),</v>
      </c>
      <c r="V13" s="70" t="str">
        <f t="shared" ref="V13" si="57">REPT(CHAR(9),8)&amp;"_ =&gt; _."&amp;D13&amp;","</f>
        <v xml:space="preserve">								_ =&gt; _.ScanBackNo,</v>
      </c>
      <c r="W13" s="69" t="str">
        <f t="shared" ref="W13" si="58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.WhereIf(!string.IsNullOrWhiteSpace(input.ScanBackNo), e =&gt; e.ScanBackNo.Contains(input.ScanBackNo))</v>
      </c>
    </row>
    <row r="14" spans="1:23" customFormat="1" ht="22.5" customHeight="1" x14ac:dyDescent="0.25">
      <c r="A14" t="s">
        <v>333</v>
      </c>
      <c r="B14" t="s">
        <v>320</v>
      </c>
      <c r="C14" t="s">
        <v>1</v>
      </c>
      <c r="D14" t="str">
        <f>SUBSTITUTE(PROPER(A14),"_","")</f>
        <v>ScanType</v>
      </c>
      <c r="E14" t="str">
        <f t="shared" ref="E14:E15" si="59">IFERROR(LEFT(B14, FIND("(",B14)-1),B14)</f>
        <v>varchar</v>
      </c>
      <c r="F14" s="7"/>
      <c r="G14" t="str">
        <f t="shared" ref="G14:G15" si="60">IFERROR(MID(B14,FIND("(",B14) +1, FIND(")",B14) - FIND("(",B14) - 1),"")</f>
        <v>50</v>
      </c>
      <c r="H14" t="str">
        <f>+VLOOKUP(E14,'Data Type Mapping'!A:B,2,)</f>
        <v>string</v>
      </c>
      <c r="I14" t="str">
        <f t="shared" ref="I14:I15" si="61">IF(H14="string",REPT(CHAR(9),2)&amp;"public const int Max"&amp;D14&amp;"Length = "&amp;G14&amp;";"&amp;$E$3,"" )</f>
        <v xml:space="preserve">		public const int MaxScanTypeLength = 50;
</v>
      </c>
      <c r="J14" t="str">
        <f t="shared" ref="J14:J15" si="62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[StringLength(MaxScanTypeLength)]
		public virtual string ScanType { get; set; }
</v>
      </c>
      <c r="K14" s="7" t="s">
        <v>206</v>
      </c>
      <c r="L14" t="str">
        <f>IF(K14="","",REPT(CHAR(9),1)&amp;"[Index(nameof("&amp;IF(D14="","",""&amp;D14)&amp;")"&amp;", Name="&amp;"""IX_"&amp;$B$7&amp;"_"&amp;D14&amp;""")]")</f>
        <v xml:space="preserve">	[Index(nameof(ScanType), Name="IX_LgaBarScanInfo_ScanType")]</v>
      </c>
      <c r="M14" t="str">
        <f t="shared" ref="M14:M15" si="63">REPT(CHAR(9),2)&amp;"public virtual "&amp;IF(OR(H14="DateTime",H14="TimeSpan"),H14&amp;"?",H14)&amp;IF(C14="?","? "," ")&amp;D14&amp;" { get; set; }" &amp; "
"</f>
        <v xml:space="preserve">		public virtual string ScanType { get; set; }
</v>
      </c>
      <c r="N14" t="str">
        <f t="shared" ref="N14:N15" si="64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[StringLength(LgaBarScanInfoConsts.MaxScanTypeLength)]
		public virtual string ScanType { get; set; }
</v>
      </c>
      <c r="O14" t="str">
        <f t="shared" ref="O14:O15" si="65">IF(OR(H14="string",H14="DateTime",H14="int"),REPT(CHAR(9),2)&amp;"public virtual "&amp;IF(OR(H14="DateTime",H14="TimeSpan"),H14&amp;"?",H14)&amp;IF(C14="?","? "," ")&amp;D14&amp;" { get; set; }"&amp;$E$3,"")</f>
        <v xml:space="preserve">		public virtual string ScanType { get; set; }
</v>
      </c>
      <c r="P14" t="str">
        <f t="shared" ref="P14:P15" si="66">REPT(CHAR(9),7)&amp;D14&amp;" = o." &amp;D14 &amp;","</f>
        <v xml:space="preserve">							ScanType = o.ScanType,</v>
      </c>
      <c r="T14" s="69" t="str">
        <f t="shared" ref="T14:T15" si="67">REPT(CHAR(9),8)&amp;"("""&amp;D14&amp;"""),"</f>
        <v xml:space="preserve">								("ScanType"),</v>
      </c>
      <c r="V14" s="70" t="str">
        <f t="shared" ref="V14:V15" si="68">REPT(CHAR(9),8)&amp;"_ =&gt; _."&amp;D14&amp;","</f>
        <v xml:space="preserve">								_ =&gt; _.ScanType,</v>
      </c>
      <c r="W14" s="69" t="str">
        <f t="shared" ref="W14:W15" si="69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.WhereIf(!string.IsNullOrWhiteSpace(input.ScanType), e =&gt; e.ScanType.Contains(input.ScanType))</v>
      </c>
    </row>
    <row r="15" spans="1:23" customFormat="1" ht="18.75" customHeight="1" x14ac:dyDescent="0.25">
      <c r="A15" t="s">
        <v>338</v>
      </c>
      <c r="B15" t="s">
        <v>337</v>
      </c>
      <c r="C15" t="s">
        <v>1</v>
      </c>
      <c r="D15" t="str">
        <f t="shared" ref="D15" si="70">SUBSTITUTE(PROPER(A15),"_","")</f>
        <v>ScanDatetime</v>
      </c>
      <c r="E15" t="str">
        <f t="shared" si="59"/>
        <v>datetime2</v>
      </c>
      <c r="F15" s="7" t="s">
        <v>337</v>
      </c>
      <c r="G15" t="str">
        <f t="shared" si="60"/>
        <v>7</v>
      </c>
      <c r="H15" t="str">
        <f>+VLOOKUP(E15,'[1]Data Type Mapping'!A:B,2,)</f>
        <v>DateTime</v>
      </c>
      <c r="I15" t="str">
        <f t="shared" si="61"/>
        <v/>
      </c>
      <c r="J15" t="str">
        <f t="shared" si="62"/>
        <v xml:space="preserve">		[Column(TypeName="datetime2(7)")]
		public virtual DateTime ScanDatetime { get; set; }
</v>
      </c>
      <c r="K15" s="7"/>
      <c r="L15" t="str">
        <f t="shared" ref="L15" si="71">IF(K15="","",REPT(CHAR(9),1)&amp;"[Index(nameof("&amp;IF(D15="","",""&amp;D15)&amp;")"&amp;", Name="&amp;"""IX_"&amp;$B$7&amp;"_"&amp;D15&amp;""")]")</f>
        <v/>
      </c>
      <c r="M15" t="str">
        <f t="shared" si="63"/>
        <v xml:space="preserve">		public virtual DateTime? ScanDatetime { get; set; }
</v>
      </c>
      <c r="N15" t="str">
        <f t="shared" si="64"/>
        <v xml:space="preserve">		public virtual DateTime? ScanDatetime { get; set; }
</v>
      </c>
      <c r="O15" t="str">
        <f t="shared" si="65"/>
        <v xml:space="preserve">		public virtual DateTime? ScanDatetime { get; set; }
</v>
      </c>
      <c r="P15" t="str">
        <f t="shared" si="66"/>
        <v xml:space="preserve">							ScanDatetime = o.ScanDatetime,</v>
      </c>
      <c r="T15" s="69" t="str">
        <f t="shared" si="67"/>
        <v xml:space="preserve">								("ScanDatetime"),</v>
      </c>
      <c r="V15" s="70" t="str">
        <f t="shared" si="68"/>
        <v xml:space="preserve">								_ =&gt; _.ScanDatetime,</v>
      </c>
      <c r="W15" s="69" t="str">
        <f t="shared" si="69"/>
        <v xml:space="preserve">				.WhereIf(input.ScanDatetime.HasValue, t =&gt; t.ScanDatetime == input.ScanDatetime.Value)</v>
      </c>
    </row>
    <row r="16" spans="1:23" customFormat="1" ht="22.5" customHeight="1" x14ac:dyDescent="0.25">
      <c r="A16" t="s">
        <v>321</v>
      </c>
      <c r="B16" t="s">
        <v>320</v>
      </c>
      <c r="C16" t="s">
        <v>1</v>
      </c>
      <c r="D16" t="str">
        <f>SUBSTITUTE(PROPER(A16),"_","")</f>
        <v>ProdLine</v>
      </c>
      <c r="E16" t="str">
        <f t="shared" si="26"/>
        <v>varchar</v>
      </c>
      <c r="F16" s="7"/>
      <c r="G16" t="str">
        <f t="shared" si="27"/>
        <v>50</v>
      </c>
      <c r="H16" t="str">
        <f>+VLOOKUP(E16,'Data Type Mapping'!A:B,2,)</f>
        <v>string</v>
      </c>
      <c r="I16" t="str">
        <f t="shared" si="28"/>
        <v xml:space="preserve">		public const int MaxProdLineLength = 50;
</v>
      </c>
      <c r="J16" t="str">
        <f t="shared" si="29"/>
        <v xml:space="preserve">		[StringLength(MaxProdLineLength)]
		public virtual string ProdLine { get; set; }
</v>
      </c>
      <c r="K16" s="7" t="s">
        <v>206</v>
      </c>
      <c r="L16" t="str">
        <f>IF(K16="","",REPT(CHAR(9),1)&amp;"[Index(nameof("&amp;IF(D16="","",""&amp;D16)&amp;")"&amp;", Name="&amp;"""IX_"&amp;$B$7&amp;"_"&amp;D16&amp;""")]")</f>
        <v xml:space="preserve">	[Index(nameof(ProdLine), Name="IX_LgaBarScanInfo_ProdLine")]</v>
      </c>
      <c r="M16" t="str">
        <f t="shared" si="30"/>
        <v xml:space="preserve">		public virtual string ProdLine { get; set; }
</v>
      </c>
      <c r="N16" t="str">
        <f t="shared" si="31"/>
        <v xml:space="preserve">		[StringLength(LgaBarScanInfoConsts.MaxProdLineLength)]
		public virtual string ProdLine { get; set; }
</v>
      </c>
      <c r="O16" t="str">
        <f t="shared" si="32"/>
        <v xml:space="preserve">		public virtual string ProdLine { get; set; }
</v>
      </c>
      <c r="P16" t="str">
        <f t="shared" si="33"/>
        <v xml:space="preserve">							ProdLine = o.ProdLine,</v>
      </c>
      <c r="T16" s="69" t="str">
        <f t="shared" si="34"/>
        <v xml:space="preserve">								("ProdLine"),</v>
      </c>
      <c r="V16" s="70" t="str">
        <f t="shared" si="35"/>
        <v xml:space="preserve">								_ =&gt; _.ProdLine,</v>
      </c>
      <c r="W16" s="69" t="str">
        <f t="shared" si="36"/>
        <v xml:space="preserve">				.WhereIf(!string.IsNullOrWhiteSpace(input.ProdLine), e =&gt; e.ProdLine.Contains(input.ProdLine))</v>
      </c>
    </row>
    <row r="17" spans="1:23" customFormat="1" ht="22.5" customHeight="1" x14ac:dyDescent="0.25">
      <c r="A17" t="s">
        <v>340</v>
      </c>
      <c r="B17" t="s">
        <v>0</v>
      </c>
      <c r="C17" t="s">
        <v>1</v>
      </c>
      <c r="D17" t="str">
        <f>SUBSTITUTE(PROPER(A17),"_","")</f>
        <v>RefId</v>
      </c>
      <c r="E17" t="str">
        <f t="shared" ref="E17" si="72">IFERROR(LEFT(B17, FIND("(",B17)-1),B17)</f>
        <v>bigint</v>
      </c>
      <c r="F17" s="7"/>
      <c r="G17" t="str">
        <f t="shared" ref="G17" si="73">IFERROR(MID(B17,FIND("(",B17) +1, FIND(")",B17) - FIND("(",B17) - 1),"")</f>
        <v/>
      </c>
      <c r="H17" t="str">
        <f>+VLOOKUP(E17,'Data Type Mapping'!A:B,2,)</f>
        <v>long</v>
      </c>
      <c r="I17" t="str">
        <f t="shared" ref="I17" si="74">IF(H17="string",REPT(CHAR(9),2)&amp;"public const int Max"&amp;D17&amp;"Length = "&amp;G17&amp;";"&amp;$E$3,"" )</f>
        <v/>
      </c>
      <c r="J17" t="str">
        <f t="shared" ref="J17" si="75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public virtual long RefId { get; set; }
</v>
      </c>
      <c r="K17" s="7" t="s">
        <v>206</v>
      </c>
      <c r="L17" t="str">
        <f>IF(K17="","",REPT(CHAR(9),1)&amp;"[Index(nameof("&amp;IF(D17="","",""&amp;D17)&amp;")"&amp;", Name="&amp;"""IX_"&amp;$B$7&amp;"_"&amp;D17&amp;""")]")</f>
        <v xml:space="preserve">	[Index(nameof(RefId), Name="IX_LgaBarScanInfo_RefId")]</v>
      </c>
      <c r="M17" t="str">
        <f t="shared" ref="M17" si="76">REPT(CHAR(9),2)&amp;"public virtual "&amp;IF(OR(H17="DateTime",H17="TimeSpan"),H17&amp;"?",H17)&amp;IF(C17="?","? "," ")&amp;D17&amp;" { get; set; }" &amp; "
"</f>
        <v xml:space="preserve">		public virtual long RefId { get; set; }
</v>
      </c>
      <c r="N17" t="str">
        <f t="shared" ref="N17" si="77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public virtual long RefId { get; set; }
</v>
      </c>
      <c r="O17" t="str">
        <f t="shared" ref="O17" si="78">IF(OR(H17="string",H17="DateTime",H17="int"),REPT(CHAR(9),2)&amp;"public virtual "&amp;IF(OR(H17="DateTime",H17="TimeSpan"),H17&amp;"?",H17)&amp;IF(C17="?","? "," ")&amp;D17&amp;" { get; set; }"&amp;$E$3,"")</f>
        <v/>
      </c>
      <c r="P17" t="str">
        <f t="shared" ref="P17" si="79">REPT(CHAR(9),7)&amp;D17&amp;" = o." &amp;D17 &amp;","</f>
        <v xml:space="preserve">							RefId = o.RefId,</v>
      </c>
      <c r="T17" s="69" t="str">
        <f t="shared" ref="T17" si="80">REPT(CHAR(9),8)&amp;"("""&amp;D17&amp;"""),"</f>
        <v xml:space="preserve">								("RefId"),</v>
      </c>
      <c r="V17" s="70" t="str">
        <f t="shared" ref="V17" si="81">REPT(CHAR(9),8)&amp;"_ =&gt; _."&amp;D17&amp;","</f>
        <v xml:space="preserve">								_ =&gt; _.RefId,</v>
      </c>
      <c r="W17" s="69" t="str">
        <f t="shared" ref="W17" si="82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/>
      </c>
    </row>
    <row r="18" spans="1:23" customFormat="1" ht="21" customHeight="1" x14ac:dyDescent="0.25">
      <c r="A18" t="s">
        <v>339</v>
      </c>
      <c r="B18" t="s">
        <v>320</v>
      </c>
      <c r="C18" t="s">
        <v>1</v>
      </c>
      <c r="D18" t="str">
        <f t="shared" ref="D18" si="83">SUBSTITUTE(PROPER(A18),"_","")</f>
        <v>Status</v>
      </c>
      <c r="E18" t="str">
        <f t="shared" si="26"/>
        <v>varchar</v>
      </c>
      <c r="F18" s="7"/>
      <c r="G18" t="str">
        <f t="shared" si="27"/>
        <v>50</v>
      </c>
      <c r="H18" t="str">
        <f>+VLOOKUP(E18,'Data Type Mapping'!A:B,2,)</f>
        <v>string</v>
      </c>
      <c r="I18" t="str">
        <f t="shared" si="28"/>
        <v xml:space="preserve">		public const int MaxStatusLength = 50;
</v>
      </c>
      <c r="J18" t="str">
        <f t="shared" si="29"/>
        <v xml:space="preserve">		[StringLength(MaxStatusLength)]
		public virtual string Status { get; set; }
</v>
      </c>
      <c r="K18" s="7"/>
      <c r="L18" t="str">
        <f t="shared" ref="L18" si="84">IF(K18="","",REPT(CHAR(9),1)&amp;"[Index(nameof("&amp;IF(D18="","",""&amp;D18)&amp;")"&amp;", Name="&amp;"""IX_"&amp;$B$7&amp;"_"&amp;D18&amp;""")]")</f>
        <v/>
      </c>
      <c r="M18" t="str">
        <f t="shared" si="30"/>
        <v xml:space="preserve">		public virtual string Status { get; set; }
</v>
      </c>
      <c r="N18" t="str">
        <f t="shared" si="31"/>
        <v xml:space="preserve">		[StringLength(LgaBarScanInfoConsts.MaxStatusLength)]
		public virtual string Status { get; set; }
</v>
      </c>
      <c r="O18" t="str">
        <f t="shared" si="32"/>
        <v xml:space="preserve">		public virtual string Status { get; set; }
</v>
      </c>
      <c r="P18" t="str">
        <f t="shared" si="33"/>
        <v xml:space="preserve">							Status = o.Status,</v>
      </c>
      <c r="T18" s="69" t="str">
        <f t="shared" si="34"/>
        <v xml:space="preserve">								("Status"),</v>
      </c>
      <c r="V18" s="70" t="str">
        <f t="shared" si="35"/>
        <v xml:space="preserve">								_ =&gt; _.Status,</v>
      </c>
      <c r="W18" s="69" t="str">
        <f t="shared" si="36"/>
        <v xml:space="preserve">				.WhereIf(!string.IsNullOrWhiteSpace(input.Status), e =&gt; e.Status.Contains(input.Status))</v>
      </c>
    </row>
    <row r="19" spans="1:23" customFormat="1" ht="22.5" customHeight="1" x14ac:dyDescent="0.25">
      <c r="A19" t="s">
        <v>322</v>
      </c>
      <c r="B19" t="s">
        <v>323</v>
      </c>
      <c r="C19" t="s">
        <v>1</v>
      </c>
      <c r="D19" t="str">
        <f>SUBSTITUTE(PROPER(A19),"_","")</f>
        <v>IsActive</v>
      </c>
      <c r="E19" t="str">
        <f t="shared" si="26"/>
        <v>varchar</v>
      </c>
      <c r="F19" s="7"/>
      <c r="G19" t="str">
        <f t="shared" si="27"/>
        <v>1</v>
      </c>
      <c r="H19" t="str">
        <f>+VLOOKUP(E19,'Data Type Mapping'!A:B,2,)</f>
        <v>string</v>
      </c>
      <c r="I19" t="str">
        <f t="shared" si="28"/>
        <v xml:space="preserve">		public const int MaxIsActiveLength = 1;
</v>
      </c>
      <c r="J19" t="str">
        <f t="shared" si="29"/>
        <v xml:space="preserve">		[StringLength(MaxIsActiveLength)]
		public virtual string IsActive { get; set; }
</v>
      </c>
      <c r="K19" s="7" t="s">
        <v>206</v>
      </c>
      <c r="L19" t="str">
        <f>IF(K19="","",REPT(CHAR(9),1)&amp;"[Index(nameof("&amp;IF(D19="","",""&amp;D19)&amp;")"&amp;", Name="&amp;"""IX_"&amp;$B$7&amp;"_"&amp;D19&amp;""")]")</f>
        <v xml:space="preserve">	[Index(nameof(IsActive), Name="IX_LgaBarScanInfo_IsActive")]</v>
      </c>
      <c r="M19" t="str">
        <f t="shared" si="30"/>
        <v xml:space="preserve">		public virtual string IsActive { get; set; }
</v>
      </c>
      <c r="N19" t="str">
        <f t="shared" si="31"/>
        <v xml:space="preserve">		[StringLength(LgaBarScanInfoConsts.MaxIsActiveLength)]
		public virtual string IsActive { get; set; }
</v>
      </c>
      <c r="O19" t="str">
        <f t="shared" si="32"/>
        <v xml:space="preserve">		public virtual string IsActive { get; set; }
</v>
      </c>
      <c r="P19" t="str">
        <f t="shared" si="33"/>
        <v xml:space="preserve">							IsActive = o.IsActive,</v>
      </c>
      <c r="T19" s="69" t="str">
        <f t="shared" si="34"/>
        <v xml:space="preserve">								("IsActive"),</v>
      </c>
      <c r="V19" s="70" t="str">
        <f t="shared" si="35"/>
        <v xml:space="preserve">								_ =&gt; _.IsActive,</v>
      </c>
      <c r="W19" s="69" t="str">
        <f t="shared" si="36"/>
        <v xml:space="preserve">				.WhereIf(!string.IsNullOrWhiteSpace(input.IsActive), e =&gt; e.IsActive.Contains(input.IsActive))</v>
      </c>
    </row>
    <row r="21" spans="1:23" ht="45.75" customHeight="1" x14ac:dyDescent="0.25">
      <c r="H21" s="12"/>
      <c r="I21" s="34" t="str">
        <f ca="1">TEXTJOIN2("
", TRUE,INDIRECT( $H$1):INDIRECT( $H$3))</f>
        <v xml:space="preserve">		public const int MaxUserIdLength = 50;
		public const int MaxUserNameLength = 50;
		public const int MaxScanValueLength = 500;
		public const int MaxScanPartNoLength = 50;
		public const int MaxScanBackNoLength = 50;
		public const int MaxScanTypeLength = 50;
		public const int MaxProdLineLength = 50;
		public const int MaxStatusLength = 50;
		public const int MaxIsActiveLength = 1;
</v>
      </c>
      <c r="J21" s="33" t="str">
        <f ca="1">TEXTJOIN2("
", TRUE,INDIRECT( $F$1):INDIRECT( $F$3))</f>
        <v xml:space="preserve">		[StringLength(MaxUserIdLength)]
		public virtual string UserId { get; set; }
		[StringLength(MaxUserNameLength)]
		public virtual string UserName { get; set; }
		[StringLength(MaxScanValueLength)]
		public virtual string ScanValue { get; set; }
		[StringLength(MaxScanPartNoLength)]
		public virtual string ScanPartNo { get; set; }
		[StringLength(MaxScanBackNoLength)]
		public virtual string ScanBackNo { get; set; }
		[StringLength(MaxScanTypeLength)]
		public virtual string ScanType { get; set; }
		[Column(TypeName="datetime2(7)")]
		public virtual DateTime ScanDatetime { get; set; }
		[StringLength(MaxProdLineLength)]
		public virtual string ProdLine { get; set; }
		public virtual long RefId { get; set; }
		[StringLength(MaxStatusLength)]
		public virtual string Status { get; set; }
		[StringLength(MaxIsActiveLength)]
		public virtual string IsActive { get; set; }
</v>
      </c>
      <c r="K21" s="35" t="str">
        <f ca="1">TEXTJOIN2("
", TRUE,INDIRECT( $J$1):INDIRECT( $J$3))</f>
        <v xml:space="preserve">	[Index(nameof(UserId), Name="IX_LgaBarScanInfo_UserId")]
	[Index(nameof(UserName), Name="IX_LgaBarScanInfo_UserName")]
	[Index(nameof(ScanType), Name="IX_LgaBarScanInfo_ScanType")]
	[Index(nameof(ProdLine), Name="IX_LgaBarScanInfo_ProdLine")]
	[Index(nameof(RefId), Name="IX_LgaBarScanInfo_RefId")]
	[Index(nameof(IsActive), Name="IX_LgaBarScanInfo_IsActive")]</v>
      </c>
      <c r="L21" s="13" t="s">
        <v>60</v>
      </c>
      <c r="M21" s="36" t="str">
        <f ca="1">TEXTJOIN2("
",TRUE,INDIRECT( $L$1):INDIRECT($L$3))</f>
        <v xml:space="preserve">		public virtual string UserId { get; set; }
		public virtual string UserName { get; set; }
		public virtual string ScanValue { get; set; }
		public virtual string ScanPartNo { get; set; }
		public virtual string ScanBackNo { get; set; }
		public virtual string ScanType { get; set; }
		public virtual DateTime? ScanDatetime { get; set; }
		public virtual string ProdLine { get; set; }
		public virtual long RefId { get; set; }
		public virtual string Status { get; set; }
		public virtual string IsActive { get; set; }
</v>
      </c>
      <c r="N21" s="33" t="str">
        <f ca="1">TEXTJOIN2("
",TRUE,INDIRECT( $M$1):INDIRECT($M$3))</f>
        <v xml:space="preserve">		[StringLength(LgaBarScanInfoConsts.MaxUserIdLength)]
		public virtual string UserId { get; set; }
		[StringLength(LgaBarScanInfoConsts.MaxUserNameLength)]
		public virtual string UserName { get; set; }
		[StringLength(LgaBarScanInfoConsts.MaxScanValueLength)]
		public virtual string ScanValue { get; set; }
		[StringLength(LgaBarScanInfoConsts.MaxScanPartNoLength)]
		public virtual string ScanPartNo { get; set; }
		[StringLength(LgaBarScanInfoConsts.MaxScanBackNoLength)]
		public virtual string ScanBackNo { get; set; }
		[StringLength(LgaBarScanInfoConsts.MaxScanTypeLength)]
		public virtual string ScanType { get; set; }
		public virtual DateTime? ScanDatetime { get; set; }
		[StringLength(LgaBarScanInfoConsts.MaxProdLineLength)]
		public virtual string ProdLine { get; set; }
		public virtual long RefId { get; set; }
		[StringLength(LgaBarScanInfoConsts.MaxStatusLength)]
		public virtual string Status { get; set; }
		[StringLength(LgaBarScanInfoConsts.MaxIsActiveLength)]
		public virtual string IsActive { get; set; }
</v>
      </c>
      <c r="O21" s="33" t="str">
        <f ca="1">TEXTJOIN2("
",TRUE,INDIRECT( $N$1):INDIRECT($N$3))</f>
        <v xml:space="preserve">		public virtual string UserId { get; set; }
		public virtual string UserName { get; set; }
		public virtual string ScanValue { get; set; }
		public virtual string ScanPartNo { get; set; }
		public virtual string ScanBackNo { get; set; }
		public virtual string ScanType { get; set; }
		public virtual DateTime? ScanDatetime { get; set; }
		public virtual string ProdLine { get; set; }
		public virtual string Status { get; set; }
		public virtual string IsActive { get; set; }
</v>
      </c>
      <c r="P21" s="9" t="str">
        <f ca="1">TEXTJOIN2("
",TRUE,INDIRECT( $O$1):INDIRECT($O$3))</f>
        <v xml:space="preserve">							UserId = o.UserId,
							UserName = o.UserName,
							ScanValue = o.ScanValue,
							ScanPartNo = o.ScanPartNo,
							ScanBackNo = o.ScanBackNo,
							ScanType = o.ScanType,
							ScanDatetime = o.ScanDatetime,
							ProdLine = o.ProdLine,
							RefId = o.RefId,
							Status = o.Status,
							IsActive = o.IsActive,</v>
      </c>
      <c r="T21" s="9" t="str">
        <f ca="1">TEXTJOIN2("
",TRUE,INDIRECT( $T$2):INDIRECT($T$3))</f>
        <v xml:space="preserve">								("UserId"),
								("UserName"),
								("ScanValue"),
								("ScanPartNo"),
								("ScanBackNo"),
								("ScanType"),
								("ScanDatetime"),
								("ProdLine"),
								("RefId"),
								("Status"),
								("IsActive"),</v>
      </c>
      <c r="V21" s="9" t="str">
        <f ca="1">TEXTJOIN2("
",TRUE,INDIRECT( $V$2):INDIRECT($V$3))</f>
        <v xml:space="preserve">								_ =&gt; _.UserId,
								_ =&gt; _.UserName,
								_ =&gt; _.ScanValue,
								_ =&gt; _.ScanPartNo,
								_ =&gt; _.ScanBackNo,
								_ =&gt; _.ScanType,
								_ =&gt; _.ScanDatetime,
								_ =&gt; _.ProdLine,
								_ =&gt; _.RefId,
								_ =&gt; _.Status,
								_ =&gt; _.IsActive,</v>
      </c>
      <c r="W21" s="9" t="str">
        <f ca="1">TEXTJOIN2("
",TRUE,INDIRECT( $W$2):INDIRECT($W$3))</f>
        <v xml:space="preserve">				.WhereIf(!string.IsNullOrWhiteSpace(input.UserId), e =&gt; e.UserId.Contains(input.UserId))
				.WhereIf(!string.IsNullOrWhiteSpace(input.UserName), e =&gt; e.UserName.Contains(input.UserName))
				.WhereIf(!string.IsNullOrWhiteSpace(input.ScanValue), e =&gt; e.ScanValue.Contains(input.ScanValue))
				.WhereIf(!string.IsNullOrWhiteSpace(input.ScanPartNo), e =&gt; e.ScanPartNo.Contains(input.ScanPartNo))
				.WhereIf(!string.IsNullOrWhiteSpace(input.ScanBackNo), e =&gt; e.ScanBackNo.Contains(input.ScanBackNo))
				.WhereIf(!string.IsNullOrWhiteSpace(input.ScanType), e =&gt; e.ScanType.Contains(input.ScanType))
				.WhereIf(input.ScanDatetime.HasValue, t =&gt; t.ScanDatetime == input.ScanDatetime.Value)
				.WhereIf(!string.IsNullOrWhiteSpace(input.ProdLine), e =&gt; e.ProdLine.Contains(input.ProdLine))
				.WhereIf(!string.IsNullOrWhiteSpace(input.Status), e =&gt; e.Status.Contains(input.Status))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8"/>
  <sheetViews>
    <sheetView workbookViewId="0">
      <selection activeCell="A15" sqref="A15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329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LogA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loga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Bar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bar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LgaBarScanInfo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BarScanInfo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barscaninfo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LgaBarScanInfoDto, LgaBarScanInfoServiceProxy } from '@shared/service-proxies/service-proxies';
import { finalize } from 'rxjs/internal/operators/finalize';
import { CreateOrEditBarScanInfoModalComponent } from './create-or-edit-barscaninfo-modal.component';
import { DatePipe } from '@angular/common';
import { FileDownloadService } from '@shared/utils/file-download.service';
import ceil from 'lodash-es/ceil';
import { Paginator } from 'primeng/paginator';
@Component({
    templateUrl: './barscaninfo.component.html',
    styleUrls: ['./barscaninfo.component.less'],
})
export class BarScanInfoComponent extends AppComponentBase implements OnInit {
    @ViewChild('createOrEditModalBarScanInfo', { static: true }) createOrEditModalBarScanInfo:| CreateOrEditBarScanInfoModalComponent|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LgaBarScanInfoDto = new LgaBarScanInfoDto();
    saveSelectedRow: LgaBarScanInfoDto = new LgaBarScanInfoDto();
    datas: LgaBarScanInfoDto = new LgaBarScanInfoDto();
    isLoading: boolean = false;
    dataParams: GridParams | undefined;
    rowData: any[] = [];
    gridApi!: GridApi;
    rowSelection = 'multiple';
    filter: string = '';
	pipe = new DatePipe('en-US');
	frameworkComponents: FrameworkComponent;
    userId : string = '' ; 
	userName : string = '' ; 
	scanValue : string = '' ; 
	scanPartNo : string = '' ; 
	scanBackNo : string = '' ; 
	scanType : any ;
	scanDatetime : string = '' ; 
	prodLine
	refId : string = '' ; 
	status : string = '' ; 
	isActive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LgaBarScanInfoServiceProxy,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this.l('User Id'),headerTooltip: this.l('User Id'),field: 'userId',flex: 1},
			{headerName: this.l('User Name'),headerTooltip: this.l('User Name'),field: 'userName',flex: 1},
			{headerName: this.l('Scan Value'),headerTooltip: this.l('Scan Value'),field: 'scanValue',flex: 1},
			{headerName: this.l('Scan Part No'),headerTooltip: this.l('Scan Part No'),field: 'scanPartNo',flex: 1},
			{headerName: this.l('Scan Back No'),headerTooltip: this.l('Scan Back No'),field: 'scanBackNo',flex: 1},
			{headerName: this.l('Scan Type'),headerTooltip: this.l('Scan Type'),field: 'scanType',valueGetter: (params) =&gt; this.pipe.transform(params.data?.scanType, 'dd/MM/yyyy'),flex: 1},
			{headerName: this.l('Scan Datetime'),headerTooltip: this.l('Scan Datetime'),field: 'scanDatetime',flex: 1},
			{headerName: this.l('Prod Line'),headerTooltip: this.l('Prod Line'),field: 'prodLine',flex: 1},
			{headerName: this.l('Ref Id'),headerTooltip: this.l('Ref Id'),field: 'refId',flex: 1},
			{headerName: this.l('Status'),headerTooltip: this.l('Status'),field:  'status', cellClass: ['text-center'], width: 120, cellRenderer: 'agCellButtonComponent',
buttonDefTwo: { text: params =&gt; (params.data?.'status' == 'Y') ? 'Active' : 'Inactive',iconName: 'fa fa-circle',className: params =&gt; (params.data?.'status' == 'Y') ? 'btnActive' : 'btnInActive',},}
			{headerName: this.l('Is Active'),headerTooltip: this.l('Is Active'),field: 'isActive',flex: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this.userId,
			this.userName,
			this.scanValue,
			this.scanPartNo,
			this.scanBackNo,
			this.scanType,
			this.scanDatetime,
			this.prodLine,
			this.refId,
			this.status,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this.userId = '',
		this.userName = '',
		this.scanValue = '',
		this.scanPartNo = '',
		this.scanBackNo = '',
		this.scanType = '',
		this.scanDatetime = '',
		this.prodLine = '',
		this.refId = '',
		this.status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this.userId,
			this.userName,
			this.scanValue,
			this.scanPartNo,
			this.scanBackNo,
			this.scanType,
			this.scanDatetime,
			this.prodLine,
			this.refId,
			this.status,
			this.isActive,
			'',
            this.paginationParams.skipCount,
            this.paginationParams.pageSize
        );
    }
    onChangeRowSelection(params: { api: { getSelectedRows: () =&gt; LgaBarScanInfoDto[] } }) {
        this.saveSelectedRow = params.api.getSelectedRows()[0] ?? new LgaBarScanInfoDto();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LgaBarScanInfoDto):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this._service.getBarScanInfoToExcel(
			this.userId,
			this.userName,
			this.scanValue,
			this.scanPartNo,
			this.scanBackNo,
			this.scanType,
			this.scanDatetime,
			this.prodLine,
			this.refId,
			this.status,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LA Barcode Scan Info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[(ngModel)]='userId' name='userId'
									class='form-control' [placeholder]="l('User Id')"
									type='text' (keyup.enter)='searchDatas()'&gt;
								&lt;/div&gt;
								&lt;div class='input-search'&gt;
									&lt;input [(ngModel)]='userName' name='userName'
									class='form-control' [placeholder]="l('User Name')"
									type='text' (keyup.enter)='searchDatas()'&gt;
								&lt;/div&gt;
								&lt;div class='input-search'&gt;
									&lt;input [(ngModel)]='scanValue' name='scanValue'
									class='form-control' [placeholder]="l('Scan Value')"
									type='text' (keyup.enter)='searchDatas()'&gt;
								&lt;/div&gt;
								&lt;div class='input-search'&gt;
									&lt;input [(ngModel)]='scanPartNo' name='scanPartNo'
									class='form-control' [placeholder]="l('Scan Part No')"
									type='text' (keyup.enter)='searchDatas()'&gt;
								&lt;/div&gt;
								&lt;div class='input-search'&gt;
									&lt;input [(ngModel)]='scanBackNo' name='scanBackNo'
									class='form-control' [placeholder]="l('Scan Back No')"
									type='text' (keyup.enter)='searchDatas()'&gt;
								&lt;/div&gt;
								&lt;div class='input-search'&gt;
									&lt;input type='text' [placeholder]="l('Scan Type')" [(ngModel)]='scanType' 
									name='scanType'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[(ngModel)]='scanDatetime' name='scanDatetime'
									class='form-control' [placeholder]="l('Scan Datetime')"
									type='text' (keyup.enter)='searchDatas()'&gt;
								&lt;/div&gt;
								&lt;div class='input-search'&gt;
									&lt;input [(ngModel)]='refId' name='refId'
									class='form-control' [placeholder]="l('Ref Id')"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(click)="createOrEditModalBarScanInfo.show()"&gt;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(click)="createOrEditModalBarScanInfo.show(selectedRow)"&gt;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&lt;create-or-edit-barscaninfo-modal
    #createOrEditModalBarScanInfo
    (modalSave)="callBackDataGrid(dataParams)"
    (modalClose)="onChangeRowSelection(dataParams)"
&gt;
&lt;/create-or-edit-barscaninfo-modal&gt;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#createOrEditModalBarScanInfo="bs-modal"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BarScanInfo')}}&lt;/h3&gt;
                    &lt;h3 *ngIf="!rowdata.id"&gt;{{('Create New BarScanInfo')}}&lt;/h3&gt;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title'&gt;User Id&lt;/label&gt;
						&lt;input type='text' class='col-md-10 form-control input-text' name='UserId' [(ngModel)]='rowdata.userId'&gt;
					&lt;/div&gt;
					&lt;div class='col-md-12 form-group row'&gt;
						&lt;label class='col-md-2 form-control title'&gt;User Name&lt;/label&gt;
						&lt;input type='text' class='col-md-10 form-control input-text' name='UserName' [(ngModel)]='rowdata.userName'&gt;
					&lt;/div&gt;
					&lt;div class='col-md-12 form-group row'&gt;
						&lt;label class='col-md-2 form-control title'&gt;Scan Value&lt;/label&gt;
						&lt;input type='text' class='col-md-10 form-control input-text' name='ScanValue' [(ngModel)]='rowdata.scanValue'&gt;
					&lt;/div&gt;
					&lt;div class='col-md-12 form-group row'&gt;
						&lt;label class='col-md-2 form-control title'&gt;Scan Part No&lt;/label&gt;
						&lt;input type='text' class='col-md-10 form-control input-text' name='ScanPartNo' [(ngModel)]='rowdata.scanPartNo'&gt;
					&lt;/div&gt;
					&lt;div class='col-md-12 form-group row'&gt;
						&lt;label class='col-md-2 form-control title'&gt;Scan Back No&lt;/label&gt;
						&lt;input type='text' class='col-md-10 form-control input-text' name='ScanBackNo' [(ngModel)]='rowdata.scanBackNo'&gt;
					&lt;/div&gt;
					&lt;div class='col-md-12 form-group row'&gt;
						&lt;label class='col-md-2 form-control title'&gt;Scan Type&lt;/label&gt;
						&lt;input type='text' class='col-md-10 form-control input-text' name='scanType' 
						#datepicker='bsDatepicker' [(ngModel)]='rowdata.scanType'  bsDatepicker &gt;
					&lt;/div&gt;
					&lt;div class='col-md-12 form-group row'&gt;
						&lt;label class='col-md-2 form-control title'&gt;Scan Datetime&lt;/label&gt;
						&lt;input type='text' class='col-md-10 form-control input-text' name='ScanDatetime' [(ngModel)]='rowdata.scanDatetime'&gt;
					&lt;/div&gt;
					&lt;div class='col-md-12 form-group row'&gt;
						&lt;label class='col-md-2 form-control title'&gt;Ref Id&lt;/label&gt;
						&lt;input type='text' class='col-md-10 form-control input-text' name='RefId' [(ngModel)]='rowdata.refId'&gt;
					&lt;/div&gt;
					&lt;div class='col-md-12 form-group row'&gt;
						&lt;label class='col-md-2 form-control title'&gt;Status&lt;/label&gt;
						&lt;new-checkbox [(ngModel)]='_status' name='status' className='col-md-10' &gt; &lt;/new-checkbox&gt;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CreateOrEditLgaBarScanInfoDto, LgaBarScanInfoServiceProxy } from '@shared/service-proxies/service-proxies';
import { BsDatepickerDirective } from 'ngx-bootstrap/datepicker';
@Component({
    selector: 'create-or-edit-barscaninfo-modal',
    templateUrl: './create-or-edit-barscaninfo-modal.component.html',
    styleUrls: ['./create-or-edit-barscaninfo-modal.component.less']
    })
export class CreateOrEditBarScanInfoModalComponent extends AppComponentBase {
    @ViewChild('createOrEditModalBarScanInfo',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CreateOrEditLgaBarScanInfoDto = new CreateOrEditLgaBarScanInfoDto();
    active: boolean = false;
    saving: boolean = false;
    _status
: boolean;
    constructor(
        injector: Injector,
        private _mstwptBarScanInfoService: LgaBarScanInfoServiceProxy,
    ) 
    {
        super(injector);
    }
    show(rowdata?: CreateOrEditLgaBarScanInfoDto): void {
        if (!rowdata) this.rowdata = new CreateOrEditLgaBarScanInfoDto();
        else this.rowdata = rowdata;
		const dateValue =  this.rowdata.scanType ? new Date(this.rowdata.scanType?.toString()) : new Date();
		this.datepicker?.bsValueChange.emit(dateValue);
        this._status
 = (this.rowdata.status
 == "N")? false: true;
        this.active = true;
        this.modal.show();
    } 
    changeActive(event){
        this._status
 = event.target.checked;
    }
    save(): void {
    this.saving = true; 
    this.rowdata.status
 = (this._status
 == true) ? 'Y' : 'N'
    this._mstwptBarScanInfoService.createOrEdit(this.rowdata)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BarScanInfoRoutingModule } from './barscaninfo-routing.module';
import { BarScanInfoComponent } from './barscaninfo.component';
import { CreateOrEditBarScanInfoModalComponent } from './create-or-edit-barscaninfo-modal.component';
@NgModule({
    declarations: [
       BarScanInfoComponent, 
        CreateOrEditBarScanInfoModalComponent
    ],
    imports: [
        AppSharedModule, BarScanInfoRoutingModule]
})
export class BarScanInfoModule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BarScanInfoComponent } from './barscaninfo.component';
const routes: Routes = [{
    path: '',
    component: BarScanInfoComponent,
    pathMatch: 'full'
}];
@NgModule({
    imports: [RouterModule.forChild(routes)],
    exports: [RouterModule],
})
export class BarScanInfoRoutingModule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AppMenuItem("BarScanInfo", "Pages.LogA.Bar.BarScanInfo", "flaticon-book",   "/app/main/loga/bar/barscaninfo"),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'loga/bar/barscaninfo',
    loadChildren: () =&gt; import('./loga/bar/barscaninfo/barscaninfo.module').then(m =&gt; m.BarScanInfoModule),
    data: { permission: 'Pages.LogA.Bar.BarScanInfo' }
},</v>
      </c>
      <c r="R10" s="50" t="str">
        <f>SUBSTITUTE(R9,"MstWptCalendar",$B$6)</f>
        <v>ApiServiceProxies.LgaBarScanInfoServiceProxy,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H25</v>
      </c>
      <c r="I12" s="31" t="str">
        <f>"I"&amp;COUNTA($A:$A)</f>
        <v>I25</v>
      </c>
      <c r="J12" s="31"/>
      <c r="K12" s="31" t="str">
        <f>"K"&amp;COUNTA($A:$A)</f>
        <v>K25</v>
      </c>
      <c r="L12" s="31" t="str">
        <f>"L"&amp;COUNTA($A:$A)</f>
        <v>L25</v>
      </c>
      <c r="M12" s="31"/>
      <c r="N12" s="31"/>
      <c r="O12" s="31"/>
      <c r="P12" s="31"/>
      <c r="Q12" s="31"/>
      <c r="R12" s="31"/>
      <c r="S12" s="31" t="str">
        <f>"S"&amp;COUNTA($A:$A)</f>
        <v>S25</v>
      </c>
      <c r="T12" s="31" t="str">
        <f>"T"&amp;COUNTA($A:$A)</f>
        <v>T25</v>
      </c>
      <c r="U12" s="31" t="str">
        <f>"U"&amp;COUNTA($A:$A)</f>
        <v>U25</v>
      </c>
      <c r="V12" s="31" t="str">
        <f>"V"&amp;COUNTA($A:$A)</f>
        <v>V25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this.l('User Id'),headerTooltip: this.l('User Id'),field: 'userId',flex: 1},
			{headerName: this.l('User Name'),headerTooltip: this.l('User Name'),field: 'userName',flex: 1},
			{headerName: this.l('Scan Value'),headerTooltip: this.l('Scan Value'),field: 'scanValue',flex: 1},
			{headerName: this.l('Scan Part No'),headerTooltip: this.l('Scan Part No'),field: 'scanPartNo',flex: 1},
			{headerName: this.l('Scan Back No'),headerTooltip: this.l('Scan Back No'),field: 'scanBackNo',flex: 1},
			{headerName: this.l('Scan Type'),headerTooltip: this.l('Scan Type'),field: 'scanType',valueGetter: (params) =&gt; this.pipe.transform(params.data?.scanType, 'dd/MM/yyyy'),flex: 1},
			{headerName: this.l('Scan Datetime'),headerTooltip: this.l('Scan Datetime'),field: 'scanDatetime',flex: 1},
			{headerName: this.l('Prod Line'),headerTooltip: this.l('Prod Line'),field: 'prodLine',flex: 1},
			{headerName: this.l('Ref Id'),headerTooltip: this.l('Ref Id'),field: 'refId',flex: 1},
			{headerName: this.l('Status'),headerTooltip: this.l('Status'),field:  'status', cellClass: ['text-center'], width: 120, cellRenderer: 'agCellButtonComponent',
buttonDefTwo: { text: params =&gt; (params.data?.'status' == 'Y') ? 'Active' : 'Inactive',iconName: 'fa fa-circle',className: params =&gt; (params.data?.'status' == 'Y') ? 'btnActive' : 'btnInActive',},}
			{headerName: this.l('Is Active'),headerTooltip: this.l('Is Active'),field: 'isActive',flex: 1},</v>
      </c>
      <c r="I13" s="38" t="str">
        <f ca="1">TEXTJOIN2("
",TRUE,INDIRECT(I11):INDIRECT(I12))</f>
        <v xml:space="preserve">								&lt;div class='input-search'&gt;
									&lt;input [(ngModel)]='userId' name='userId'
									class='form-control' [placeholder]="l('User Id')"
									type='text' (keyup.enter)='searchDatas()'&gt;
								&lt;/div&gt;
								&lt;div class='input-search'&gt;
									&lt;input [(ngModel)]='userName' name='userName'
									class='form-control' [placeholder]="l('User Name')"
									type='text' (keyup.enter)='searchDatas()'&gt;
								&lt;/div&gt;
								&lt;div class='input-search'&gt;
									&lt;input [(ngModel)]='scanValue' name='scanValue'
									class='form-control' [placeholder]="l('Scan Value')"
									type='text' (keyup.enter)='searchDatas()'&gt;
								&lt;/div&gt;
								&lt;div class='input-search'&gt;
									&lt;input [(ngModel)]='scanPartNo' name='scanPartNo'
									class='form-control' [placeholder]="l('Scan Part No')"
									type='text' (keyup.enter)='searchDatas()'&gt;
								&lt;/div&gt;
								&lt;div class='input-search'&gt;
									&lt;input [(ngModel)]='scanBackNo' name='scanBackNo'
									class='form-control' [placeholder]="l('Scan Back No')"
									type='text' (keyup.enter)='searchDatas()'&gt;
								&lt;/div&gt;
								&lt;div class='input-search'&gt;
									&lt;input type='text' [placeholder]="l('Scan Type')" [(ngModel)]='scanType' 
									name='scanType'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[(ngModel)]='scanDatetime' name='scanDatetime'
									class='form-control' [placeholder]="l('Scan Datetime')"
									type='text' (keyup.enter)='searchDatas()'&gt;
								&lt;/div&gt;
								&lt;div class='input-search'&gt;
									&lt;input [(ngModel)]='refId' name='refId'
									class='form-control' [placeholder]="l('Ref Id')"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title'&gt;User Id&lt;/label&gt;
						&lt;input type='text' class='col-md-10 form-control input-text' name='UserId' [(ngModel)]='rowdata.userId'&gt;
					&lt;/div&gt;
					&lt;div class='col-md-12 form-group row'&gt;
						&lt;label class='col-md-2 form-control title'&gt;User Name&lt;/label&gt;
						&lt;input type='text' class='col-md-10 form-control input-text' name='UserName' [(ngModel)]='rowdata.userName'&gt;
					&lt;/div&gt;
					&lt;div class='col-md-12 form-group row'&gt;
						&lt;label class='col-md-2 form-control title'&gt;Scan Value&lt;/label&gt;
						&lt;input type='text' class='col-md-10 form-control input-text' name='ScanValue' [(ngModel)]='rowdata.scanValue'&gt;
					&lt;/div&gt;
					&lt;div class='col-md-12 form-group row'&gt;
						&lt;label class='col-md-2 form-control title'&gt;Scan Part No&lt;/label&gt;
						&lt;input type='text' class='col-md-10 form-control input-text' name='ScanPartNo' [(ngModel)]='rowdata.scanPartNo'&gt;
					&lt;/div&gt;
					&lt;div class='col-md-12 form-group row'&gt;
						&lt;label class='col-md-2 form-control title'&gt;Scan Back No&lt;/label&gt;
						&lt;input type='text' class='col-md-10 form-control input-text' name='ScanBackNo' [(ngModel)]='rowdata.scanBackNo'&gt;
					&lt;/div&gt;
					&lt;div class='col-md-12 form-group row'&gt;
						&lt;label class='col-md-2 form-control title'&gt;Scan Type&lt;/label&gt;
						&lt;input type='text' class='col-md-10 form-control input-text' name='scanType' 
						#datepicker='bsDatepicker' [(ngModel)]='rowdata.scanType'  bsDatepicker &gt;
					&lt;/div&gt;
					&lt;div class='col-md-12 form-group row'&gt;
						&lt;label class='col-md-2 form-control title'&gt;Scan Datetime&lt;/label&gt;
						&lt;input type='text' class='col-md-10 form-control input-text' name='ScanDatetime' [(ngModel)]='rowdata.scanDatetime'&gt;
					&lt;/div&gt;
					&lt;div class='col-md-12 form-group row'&gt;
						&lt;label class='col-md-2 form-control title'&gt;Ref Id&lt;/label&gt;
						&lt;input type='text' class='col-md-10 form-control input-text' name='RefId' [(ngModel)]='rowdata.refId'&gt;
					&lt;/div&gt;
					&lt;div class='col-md-12 form-group row'&gt;
						&lt;label class='col-md-2 form-control title'&gt;Status&lt;/label&gt;
						&lt;new-checkbox [(ngModel)]='_status' name='status' className='col-md-10' &gt; &lt;/new-checkbox&gt;
					&lt;/div&gt;
</v>
      </c>
      <c r="L13" s="60" t="str">
        <f ca="1">TEXTJOIN2("
",TRUE,INDIRECT(L11):INDIRECT(L12))</f>
        <v xml:space="preserve">		const dateValue =  this.rowdata.scanType ? new Date(this.rowdata.scanType?.toString())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>userId : string = '' ; 
	userName : string = '' ; 
	scanValue : string = '' ; 
	scanPartNo : string = '' ; 
	scanBackNo : string = '' ; 
	scanType : any ;
	scanDatetime : string = '' ; 
	prodLine
	refId : string = '' ; 
	status : string = '' ; 
	isActive</v>
      </c>
      <c r="T13" s="68" t="str">
        <f ca="1">TEXTJOIN2("
",TRUE,INDIRECT(T11):INDIRECT(T12))</f>
        <v xml:space="preserve">			this.userId,
			this.userName,
			this.scanValue,
			this.scanPartNo,
			this.scanBackNo,
			this.scanType,
			this.scanDatetime,
			this.prodLine,
			this.refId,
			this.status,
			this.isActive,</v>
      </c>
      <c r="U13" s="68" t="str">
        <f ca="1">TEXTJOIN2("
",TRUE,INDIRECT(U11):INDIRECT(U12))</f>
        <v>this.userId = '',
		this.userName = '',
		this.scanValue = '',
		this.scanPartNo = '',
		this.scanBackNo = '',
		this.scanType = '',
		this.scanDatetime = '',
		this.prodLine = '',
		this.refId = '',
		this.status = '',
		this.isActive = '',</v>
      </c>
      <c r="V13" s="31" t="str">
        <f ca="1">TEXTJOIN2("
",TRUE,INDIRECT(V11):INDIRECT(V12))</f>
        <v xml:space="preserve">status
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barscaninfo.component.ts</v>
      </c>
      <c r="I14" s="40" t="str">
        <f>B8&amp;".component.html"</f>
        <v>barscaninfo.component.html</v>
      </c>
      <c r="J14" s="39" t="str">
        <f>B8&amp;".component.less"</f>
        <v>barscaninfo.component.less</v>
      </c>
      <c r="K14" s="40" t="str">
        <f>"create-or-edit-"&amp;B8&amp;"-modal.component.html"</f>
        <v>create-or-edit-barscaninfo-modal.component.html</v>
      </c>
      <c r="L14" s="40" t="str">
        <f>"create-or-edit-"&amp;B8&amp;"-modal.component.ts"</f>
        <v>create-or-edit-barscaninfo-modal.component.ts</v>
      </c>
      <c r="M14" s="40" t="str">
        <f>"create-or-edit-"&amp;B8&amp;"-modal.component.less"</f>
        <v>create-or-edit-barscaninfo-modal.component.less</v>
      </c>
      <c r="N14" s="40" t="str">
        <f>B8&amp;".module.ts"</f>
        <v>barscaninfo.module.ts</v>
      </c>
      <c r="O14" s="40" t="str">
        <f>B8&amp;"-routing.module.ts"</f>
        <v>barscaninfo-routing.module.ts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31" t="s">
        <v>330</v>
      </c>
      <c r="B15" s="31" t="str">
        <f>SUBSTITUTE(PROPER(A15),"_","")</f>
        <v>UserId</v>
      </c>
      <c r="C15" s="31" t="str">
        <f>SUBSTITUTE(PROPER(A15),"_"," ")</f>
        <v>User Id</v>
      </c>
      <c r="D15" s="31" t="str">
        <f>LOWER(LEFT(B15,1))&amp;RIGHT(B15,LEN(B15) - 1)</f>
        <v>userId</v>
      </c>
      <c r="E15" s="31" t="str">
        <f>A.Backend!H10</f>
        <v>string</v>
      </c>
      <c r="F15" s="31" t="str">
        <f>A.Backend!G10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this.l('User Id'),headerTooltip: this.l('User Id'),field: 'userId',flex: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[(ngModel)]='userId' name='userId'
									class='form-control' [placeholder]="l('User Id')"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title'&gt;User Id&lt;/label&gt;
						&lt;input type='text' class='col-md-10 form-control input-text' name='UserId' [(ngModel)]='rowdata.userId'&gt;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userId : string = '' ; </v>
      </c>
      <c r="T15" s="31" t="str">
        <f>REPT(CHAR(9),3)&amp;"this."&amp;D15&amp;","</f>
        <v xml:space="preserve">			this.userId,</v>
      </c>
      <c r="U15" s="31" t="str">
        <f>IF(E15="int","this."&amp;D15&amp;" = 0,","this."&amp;D15&amp;" = '',")</f>
        <v>this.userId = '',</v>
      </c>
      <c r="V15" s="31" t="str">
        <f>IF(AND(E15="string",F15="1"),D15,"")</f>
        <v/>
      </c>
    </row>
    <row r="16" spans="1:22" ht="15" customHeight="1" x14ac:dyDescent="0.25">
      <c r="A16" s="31" t="s">
        <v>331</v>
      </c>
      <c r="B16" s="31" t="str">
        <f t="shared" ref="B16:B25" si="0">SUBSTITUTE(PROPER(A16),"_","")</f>
        <v>UserName</v>
      </c>
      <c r="C16" s="31" t="str">
        <f t="shared" ref="C16:C25" si="1">SUBSTITUTE(PROPER(A16),"_"," ")</f>
        <v>User Name</v>
      </c>
      <c r="D16" s="31" t="str">
        <f t="shared" ref="D16:D25" si="2">LOWER(LEFT(B16,1))&amp;RIGHT(B16,LEN(B16) - 1)</f>
        <v>userName</v>
      </c>
      <c r="E16" s="31" t="str">
        <f>A.Backend!H11</f>
        <v>string</v>
      </c>
      <c r="F16" s="31" t="str">
        <f>A.Backend!G11</f>
        <v>500</v>
      </c>
      <c r="G16" s="31" t="str">
        <f t="shared" ref="G16:G25" si="3">IF(E16="string"," : string = '' ; ",IF(OR(E16="DateTime",E16="TimeSpan")," : any ;",IF(E16="int"," : number = 0 ;","")))</f>
        <v xml:space="preserve"> : string = '' ; </v>
      </c>
      <c r="H16" s="38" t="str">
        <f t="shared" ref="H16:H25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this.l('User Name'),headerTooltip: this.l('User Name'),field: 'userName',flex: 1},</v>
      </c>
      <c r="I16" s="38" t="str">
        <f t="shared" ref="I16:I25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[(ngModel)]='userName' name='userName'
									class='form-control' [placeholder]="l('User Name')"
									type='text' (keyup.enter)='searchDatas()'&gt;
								&lt;/div&gt;</v>
      </c>
      <c r="J16" s="31"/>
      <c r="K16" s="38" t="str">
        <f t="shared" ref="K16:K25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title'&gt;User Name&lt;/label&gt;
						&lt;input type='text' class='col-md-10 form-control input-text' name='UserName' [(ngModel)]='rowdata.userName'&gt;
					&lt;/div&gt;</v>
      </c>
      <c r="L16" s="60" t="str">
        <f t="shared" ref="L16:L25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userName : string = '' ; </v>
      </c>
      <c r="T16" s="31" t="str">
        <f>REPT(CHAR(9),3)&amp;"this."&amp;D16&amp;","</f>
        <v xml:space="preserve">			this.userName,</v>
      </c>
      <c r="U16" s="31" t="str">
        <f>IF(E16="int",REPT(CHAR(9),2)&amp;"this."&amp;D16&amp;" = 0,",REPT(CHAR(9),2)&amp;"this."&amp;D16&amp;" = '',")</f>
        <v xml:space="preserve">		this.userName = '',</v>
      </c>
      <c r="V16" s="31" t="str">
        <f t="shared" ref="V16:V25" si="8">IF(AND(E16="string",F16="1"),D16,"")</f>
        <v/>
      </c>
    </row>
    <row r="17" spans="1:22" ht="18" customHeight="1" x14ac:dyDescent="0.25">
      <c r="A17" s="31" t="s">
        <v>332</v>
      </c>
      <c r="B17" s="31" t="str">
        <f t="shared" ref="B17:B19" si="9">SUBSTITUTE(PROPER(A17),"_","")</f>
        <v>ScanValue</v>
      </c>
      <c r="C17" s="31" t="str">
        <f t="shared" ref="C17:C19" si="10">SUBSTITUTE(PROPER(A17),"_"," ")</f>
        <v>Scan Value</v>
      </c>
      <c r="D17" s="31" t="str">
        <f t="shared" ref="D17:D19" si="11">LOWER(LEFT(B17,1))&amp;RIGHT(B17,LEN(B17) - 1)</f>
        <v>scanValue</v>
      </c>
      <c r="E17" s="31" t="str">
        <f>A.Backend!H12</f>
        <v>string</v>
      </c>
      <c r="F17" s="31" t="str">
        <f>A.Backend!G12</f>
        <v>50</v>
      </c>
      <c r="G17" s="31" t="str">
        <f t="shared" ref="G17:G19" si="12">IF(E17="string"," : string = '' ; ",IF(OR(E17="DateTime",E17="TimeSpan")," : any ;",IF(E17="int"," : number = 0 ;","")))</f>
        <v xml:space="preserve"> : string = '' ; </v>
      </c>
      <c r="H17" s="38" t="str">
        <f t="shared" ref="H17:H19" si="13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this.l('Scan Value'),headerTooltip: this.l('Scan Value'),field: 'scanValue',flex: 1},</v>
      </c>
      <c r="I17" s="38" t="str">
        <f t="shared" ref="I17:I19" si="14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[(ngModel)]='scanValue' name='scanValue'
									class='form-control' [placeholder]="l('Scan Value')"
									type='text' (keyup.enter)='searchDatas()'&gt;
								&lt;/div&gt;</v>
      </c>
      <c r="J17" s="31"/>
      <c r="K17" s="38" t="str">
        <f t="shared" ref="K17:K19" si="15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title'&gt;Scan Value&lt;/label&gt;
						&lt;input type='text' class='col-md-10 form-control input-text' name='ScanValue' [(ngModel)]='rowdata.scanValue'&gt;
					&lt;/div&gt;</v>
      </c>
      <c r="L17" s="60" t="str">
        <f t="shared" ref="L17:L19" si="16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 t="shared" ref="S17:S19" si="17">REPT(CHAR(9),1)&amp;D17&amp;G17</f>
        <v xml:space="preserve">	scanValue : string = '' ; </v>
      </c>
      <c r="T17" s="31" t="str">
        <f t="shared" ref="T17:T19" si="18">REPT(CHAR(9),3)&amp;"this."&amp;D17&amp;","</f>
        <v xml:space="preserve">			this.scanValue,</v>
      </c>
      <c r="U17" s="31" t="str">
        <f t="shared" ref="U17:U19" si="19">IF(E17="int",REPT(CHAR(9),2)&amp;"this."&amp;D17&amp;" = 0,",REPT(CHAR(9),2)&amp;"this."&amp;D17&amp;" = '',")</f>
        <v xml:space="preserve">		this.scanValue = '',</v>
      </c>
      <c r="V17" s="31" t="str">
        <f t="shared" ref="V17:V19" si="20">IF(AND(E17="string",F17="1"),D17,"")</f>
        <v/>
      </c>
    </row>
    <row r="18" spans="1:22" ht="18" customHeight="1" x14ac:dyDescent="0.25">
      <c r="A18" s="31" t="s">
        <v>335</v>
      </c>
      <c r="B18" s="31" t="str">
        <f t="shared" si="9"/>
        <v>ScanPartNo</v>
      </c>
      <c r="C18" s="31" t="str">
        <f t="shared" si="10"/>
        <v>Scan Part No</v>
      </c>
      <c r="D18" s="31" t="str">
        <f t="shared" si="11"/>
        <v>scanPartNo</v>
      </c>
      <c r="E18" s="31" t="str">
        <f>A.Backend!H13</f>
        <v>string</v>
      </c>
      <c r="F18" s="31" t="str">
        <f>A.Backend!G13</f>
        <v>50</v>
      </c>
      <c r="G18" s="31" t="str">
        <f t="shared" si="12"/>
        <v xml:space="preserve"> : string = '' ; </v>
      </c>
      <c r="H18" s="38" t="str">
        <f t="shared" si="13"/>
        <v xml:space="preserve">			{headerName: this.l('Scan Part No'),headerTooltip: this.l('Scan Part No'),field: 'scanPartNo',flex: 1},</v>
      </c>
      <c r="I18" s="38" t="str">
        <f t="shared" si="14"/>
        <v xml:space="preserve">								&lt;div class='input-search'&gt;
									&lt;input [(ngModel)]='scanPartNo' name='scanPartNo'
									class='form-control' [placeholder]="l('Scan Part No')"
									type='text' (keyup.enter)='searchDatas()'&gt;
								&lt;/div&gt;</v>
      </c>
      <c r="J18" s="31"/>
      <c r="K18" s="38" t="str">
        <f t="shared" si="15"/>
        <v xml:space="preserve">					&lt;div class='col-md-12 form-group row'&gt;
						&lt;label class='col-md-2 form-control title'&gt;Scan Part No&lt;/label&gt;
						&lt;input type='text' class='col-md-10 form-control input-text' name='ScanPartNo' [(ngModel)]='rowdata.scanPartNo'&gt;
					&lt;/div&gt;</v>
      </c>
      <c r="L18" s="60" t="str">
        <f t="shared" si="16"/>
        <v/>
      </c>
      <c r="M18" s="31"/>
      <c r="N18" s="31"/>
      <c r="O18" s="31"/>
      <c r="P18" s="31"/>
      <c r="Q18" s="31"/>
      <c r="R18" s="31"/>
      <c r="S18" s="31" t="str">
        <f t="shared" si="17"/>
        <v xml:space="preserve">	scanPartNo : string = '' ; </v>
      </c>
      <c r="T18" s="31" t="str">
        <f t="shared" si="18"/>
        <v xml:space="preserve">			this.scanPartNo,</v>
      </c>
      <c r="U18" s="31" t="str">
        <f t="shared" si="19"/>
        <v xml:space="preserve">		this.scanPartNo = '',</v>
      </c>
      <c r="V18" s="31" t="str">
        <f t="shared" si="20"/>
        <v/>
      </c>
    </row>
    <row r="19" spans="1:22" ht="18" customHeight="1" x14ac:dyDescent="0.25">
      <c r="A19" s="31" t="s">
        <v>336</v>
      </c>
      <c r="B19" s="31" t="str">
        <f t="shared" si="9"/>
        <v>ScanBackNo</v>
      </c>
      <c r="C19" s="31" t="str">
        <f t="shared" si="10"/>
        <v>Scan Back No</v>
      </c>
      <c r="D19" s="31" t="str">
        <f t="shared" si="11"/>
        <v>scanBackNo</v>
      </c>
      <c r="E19" s="31" t="str">
        <f>A.Backend!H14</f>
        <v>string</v>
      </c>
      <c r="F19" s="31" t="str">
        <f>A.Backend!G14</f>
        <v>50</v>
      </c>
      <c r="G19" s="31" t="str">
        <f t="shared" si="12"/>
        <v xml:space="preserve"> : string = '' ; </v>
      </c>
      <c r="H19" s="38" t="str">
        <f t="shared" si="13"/>
        <v xml:space="preserve">			{headerName: this.l('Scan Back No'),headerTooltip: this.l('Scan Back No'),field: 'scanBackNo',flex: 1},</v>
      </c>
      <c r="I19" s="38" t="str">
        <f t="shared" si="14"/>
        <v xml:space="preserve">								&lt;div class='input-search'&gt;
									&lt;input [(ngModel)]='scanBackNo' name='scanBackNo'
									class='form-control' [placeholder]="l('Scan Back No')"
									type='text' (keyup.enter)='searchDatas()'&gt;
								&lt;/div&gt;</v>
      </c>
      <c r="J19" s="31"/>
      <c r="K19" s="38" t="str">
        <f t="shared" si="15"/>
        <v xml:space="preserve">					&lt;div class='col-md-12 form-group row'&gt;
						&lt;label class='col-md-2 form-control title'&gt;Scan Back No&lt;/label&gt;
						&lt;input type='text' class='col-md-10 form-control input-text' name='ScanBackNo' [(ngModel)]='rowdata.scanBackNo'&gt;
					&lt;/div&gt;</v>
      </c>
      <c r="L19" s="60" t="str">
        <f t="shared" si="16"/>
        <v/>
      </c>
      <c r="M19" s="31"/>
      <c r="N19" s="31"/>
      <c r="O19" s="31"/>
      <c r="P19" s="31"/>
      <c r="Q19" s="31"/>
      <c r="R19" s="31"/>
      <c r="S19" s="31" t="str">
        <f t="shared" si="17"/>
        <v xml:space="preserve">	scanBackNo : string = '' ; </v>
      </c>
      <c r="T19" s="31" t="str">
        <f t="shared" si="18"/>
        <v xml:space="preserve">			this.scanBackNo,</v>
      </c>
      <c r="U19" s="31" t="str">
        <f t="shared" si="19"/>
        <v xml:space="preserve">		this.scanBackNo = '',</v>
      </c>
      <c r="V19" s="31" t="str">
        <f t="shared" si="20"/>
        <v/>
      </c>
    </row>
    <row r="20" spans="1:22" ht="18" customHeight="1" x14ac:dyDescent="0.25">
      <c r="A20" s="31" t="s">
        <v>333</v>
      </c>
      <c r="B20" s="31" t="str">
        <f t="shared" si="0"/>
        <v>ScanType</v>
      </c>
      <c r="C20" s="31" t="str">
        <f t="shared" si="1"/>
        <v>Scan Type</v>
      </c>
      <c r="D20" s="31" t="str">
        <f t="shared" si="2"/>
        <v>scanType</v>
      </c>
      <c r="E20" s="31" t="str">
        <f>A.Backend!H15</f>
        <v>DateTime</v>
      </c>
      <c r="F20" s="31" t="str">
        <f>A.Backend!G15</f>
        <v>7</v>
      </c>
      <c r="G20" s="31" t="str">
        <f t="shared" si="3"/>
        <v xml:space="preserve"> : any ;</v>
      </c>
      <c r="H20" s="38" t="str">
        <f t="shared" si="4"/>
        <v xml:space="preserve">			{headerName: this.l('Scan Type'),headerTooltip: this.l('Scan Type'),field: 'scanType',valueGetter: (params) =&gt; this.pipe.transform(params.data?.scanType, 'dd/MM/yyyy'),flex: 1},</v>
      </c>
      <c r="I20" s="38" t="str">
        <f t="shared" si="5"/>
        <v xml:space="preserve">								&lt;div class='input-search'&gt;
									&lt;input type='text' [placeholder]="l('Scan Type')" [(ngModel)]='scanType' 
									name='scanType' (keydown)='searchDatas()' class='form-control' 
									bsDatepicker #d='bsDatepicker' placement='bottom left'&gt;
									&lt;i class='fa fa-calendar-alt' (click)='d.toggle()'&gt;&lt;/i&gt;
								&lt;/div&gt;</v>
      </c>
      <c r="J20" s="31"/>
      <c r="K20" s="38" t="str">
        <f t="shared" si="6"/>
        <v xml:space="preserve">					&lt;div class='col-md-12 form-group row'&gt;
						&lt;label class='col-md-2 form-control title'&gt;Scan Type&lt;/label&gt;
						&lt;input type='text' class='col-md-10 form-control input-text' name='scanType' 
						#datepicker='bsDatepicker' [(ngModel)]='rowdata.scanType'  bsDatepicker &gt;
					&lt;/div&gt;</v>
      </c>
      <c r="L20" s="60" t="str">
        <f t="shared" si="7"/>
        <v xml:space="preserve">		const dateValue =  this.rowdata.scanType ? new Date(this.rowdata.scanType?.toString()) : new Date();
		this.datepicker?.bsValueChange.emit(dateValue);</v>
      </c>
      <c r="M20" s="31"/>
      <c r="N20" s="31"/>
      <c r="O20" s="31"/>
      <c r="P20" s="31"/>
      <c r="Q20" s="31"/>
      <c r="R20" s="31"/>
      <c r="S20" s="31" t="str">
        <f t="shared" ref="S20:S25" si="21">REPT(CHAR(9),1)&amp;D20&amp;G20</f>
        <v xml:space="preserve">	scanType : any ;</v>
      </c>
      <c r="T20" s="31" t="str">
        <f t="shared" ref="T20:T25" si="22">REPT(CHAR(9),3)&amp;"this."&amp;D20&amp;","</f>
        <v xml:space="preserve">			this.scanType,</v>
      </c>
      <c r="U20" s="31" t="str">
        <f t="shared" ref="U20:U25" si="23">IF(E20="int",REPT(CHAR(9),2)&amp;"this."&amp;D20&amp;" = 0,",REPT(CHAR(9),2)&amp;"this."&amp;D20&amp;" = '',")</f>
        <v xml:space="preserve">		this.scanType = '',</v>
      </c>
      <c r="V20" s="31" t="str">
        <f t="shared" si="8"/>
        <v/>
      </c>
    </row>
    <row r="21" spans="1:22" ht="18" customHeight="1" x14ac:dyDescent="0.25">
      <c r="A21" s="31" t="s">
        <v>338</v>
      </c>
      <c r="B21" s="31" t="str">
        <f t="shared" si="0"/>
        <v>ScanDatetime</v>
      </c>
      <c r="C21" s="31" t="str">
        <f t="shared" si="1"/>
        <v>Scan Datetime</v>
      </c>
      <c r="D21" s="31" t="str">
        <f t="shared" si="2"/>
        <v>scanDatetime</v>
      </c>
      <c r="E21" s="31" t="str">
        <f>A.Backend!H16</f>
        <v>string</v>
      </c>
      <c r="F21" s="31" t="str">
        <f>A.Backend!G16</f>
        <v>50</v>
      </c>
      <c r="G21" s="31" t="str">
        <f t="shared" si="3"/>
        <v xml:space="preserve"> : string = '' ; </v>
      </c>
      <c r="H21" s="38" t="str">
        <f t="shared" si="4"/>
        <v xml:space="preserve">			{headerName: this.l('Scan Datetime'),headerTooltip: this.l('Scan Datetime'),field: 'scanDatetime',flex: 1},</v>
      </c>
      <c r="I21" s="38" t="str">
        <f t="shared" si="5"/>
        <v xml:space="preserve">								&lt;div class='input-search'&gt;
									&lt;input [(ngModel)]='scanDatetime' name='scanDatetime'
									class='form-control' [placeholder]="l('Scan Datetime')"
									type='text' (keyup.enter)='searchDatas()'&gt;
								&lt;/div&gt;</v>
      </c>
      <c r="J21" s="31"/>
      <c r="K21" s="38" t="str">
        <f t="shared" si="6"/>
        <v xml:space="preserve">					&lt;div class='col-md-12 form-group row'&gt;
						&lt;label class='col-md-2 form-control title'&gt;Scan Datetime&lt;/label&gt;
						&lt;input type='text' class='col-md-10 form-control input-text' name='ScanDatetime' [(ngModel)]='rowdata.scanDatetime'&gt;
					&lt;/div&gt;</v>
      </c>
      <c r="L21" s="60" t="str">
        <f t="shared" si="7"/>
        <v/>
      </c>
      <c r="M21" s="31"/>
      <c r="N21" s="31"/>
      <c r="O21" s="31"/>
      <c r="P21" s="31"/>
      <c r="Q21" s="31"/>
      <c r="R21" s="31"/>
      <c r="S21" s="31" t="str">
        <f t="shared" si="21"/>
        <v xml:space="preserve">	scanDatetime : string = '' ; </v>
      </c>
      <c r="T21" s="31" t="str">
        <f t="shared" si="22"/>
        <v xml:space="preserve">			this.scanDatetime,</v>
      </c>
      <c r="U21" s="31" t="str">
        <f t="shared" si="23"/>
        <v xml:space="preserve">		this.scanDatetime = '',</v>
      </c>
      <c r="V21" s="31" t="str">
        <f t="shared" si="8"/>
        <v/>
      </c>
    </row>
    <row r="22" spans="1:22" ht="18" customHeight="1" x14ac:dyDescent="0.25">
      <c r="A22" s="31" t="s">
        <v>321</v>
      </c>
      <c r="B22" s="31" t="str">
        <f t="shared" ref="B22:B24" si="24">SUBSTITUTE(PROPER(A22),"_","")</f>
        <v>ProdLine</v>
      </c>
      <c r="C22" s="31" t="str">
        <f t="shared" ref="C22:C24" si="25">SUBSTITUTE(PROPER(A22),"_"," ")</f>
        <v>Prod Line</v>
      </c>
      <c r="D22" s="31" t="str">
        <f t="shared" ref="D22:D24" si="26">LOWER(LEFT(B22,1))&amp;RIGHT(B22,LEN(B22) - 1)</f>
        <v>prodLine</v>
      </c>
      <c r="E22" s="31" t="str">
        <f>A.Backend!H17</f>
        <v>long</v>
      </c>
      <c r="F22" s="31" t="str">
        <f>A.Backend!G17</f>
        <v/>
      </c>
      <c r="G22" s="31" t="str">
        <f t="shared" ref="G22:G24" si="27">IF(E22="string"," : string = '' ; ",IF(OR(E22="DateTime",E22="TimeSpan")," : any ;",IF(E22="int"," : number = 0 ;","")))</f>
        <v/>
      </c>
      <c r="H22" s="38" t="str">
        <f t="shared" ref="H22:H24" si="28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this.l('Prod Line'),headerTooltip: this.l('Prod Line'),field: 'prodLine',flex: 1},</v>
      </c>
      <c r="I22" s="38" t="str">
        <f t="shared" ref="I22:I24" si="29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/>
      </c>
      <c r="J22" s="31"/>
      <c r="K22" s="38" t="str">
        <f t="shared" ref="K22:K24" si="30"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/>
      </c>
      <c r="L22" s="60" t="str">
        <f t="shared" ref="L22:L24" si="31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 t="shared" ref="S22:S24" si="32">REPT(CHAR(9),1)&amp;D22&amp;G22</f>
        <v xml:space="preserve">	prodLine</v>
      </c>
      <c r="T22" s="31" t="str">
        <f t="shared" ref="T22:T24" si="33">REPT(CHAR(9),3)&amp;"this."&amp;D22&amp;","</f>
        <v xml:space="preserve">			this.prodLine,</v>
      </c>
      <c r="U22" s="31" t="str">
        <f t="shared" ref="U22:U24" si="34">IF(E22="int",REPT(CHAR(9),2)&amp;"this."&amp;D22&amp;" = 0,",REPT(CHAR(9),2)&amp;"this."&amp;D22&amp;" = '',")</f>
        <v xml:space="preserve">		this.prodLine = '',</v>
      </c>
      <c r="V22" s="31" t="str">
        <f t="shared" ref="V22:V24" si="35">IF(AND(E22="string",F22="1"),D22,"")</f>
        <v/>
      </c>
    </row>
    <row r="23" spans="1:22" ht="18" customHeight="1" x14ac:dyDescent="0.25">
      <c r="A23" s="31" t="s">
        <v>340</v>
      </c>
      <c r="B23" s="31" t="str">
        <f t="shared" si="24"/>
        <v>RefId</v>
      </c>
      <c r="C23" s="31" t="str">
        <f t="shared" si="25"/>
        <v>Ref Id</v>
      </c>
      <c r="D23" s="31" t="str">
        <f t="shared" si="26"/>
        <v>refId</v>
      </c>
      <c r="E23" s="31" t="str">
        <f>A.Backend!H18</f>
        <v>string</v>
      </c>
      <c r="F23" s="31" t="str">
        <f>A.Backend!G18</f>
        <v>50</v>
      </c>
      <c r="G23" s="31" t="str">
        <f t="shared" si="27"/>
        <v xml:space="preserve"> : string = '' ; </v>
      </c>
      <c r="H23" s="38" t="str">
        <f t="shared" si="28"/>
        <v xml:space="preserve">			{headerName: this.l('Ref Id'),headerTooltip: this.l('Ref Id'),field: 'refId',flex: 1},</v>
      </c>
      <c r="I23" s="38" t="str">
        <f t="shared" si="29"/>
        <v xml:space="preserve">								&lt;div class='input-search'&gt;
									&lt;input [(ngModel)]='refId' name='refId'
									class='form-control' [placeholder]="l('Ref Id')"
									type='text' (keyup.enter)='searchDatas()'&gt;
								&lt;/div&gt;</v>
      </c>
      <c r="J23" s="31"/>
      <c r="K23" s="38" t="str">
        <f t="shared" si="30"/>
        <v xml:space="preserve">					&lt;div class='col-md-12 form-group row'&gt;
						&lt;label class='col-md-2 form-control title'&gt;Ref Id&lt;/label&gt;
						&lt;input type='text' class='col-md-10 form-control input-text' name='RefId' [(ngModel)]='rowdata.refId'&gt;
					&lt;/div&gt;</v>
      </c>
      <c r="L23" s="60" t="str">
        <f t="shared" si="31"/>
        <v/>
      </c>
      <c r="M23" s="31"/>
      <c r="N23" s="31"/>
      <c r="O23" s="31"/>
      <c r="P23" s="31"/>
      <c r="Q23" s="31"/>
      <c r="R23" s="31"/>
      <c r="S23" s="31" t="str">
        <f t="shared" si="32"/>
        <v xml:space="preserve">	refId : string = '' ; </v>
      </c>
      <c r="T23" s="31" t="str">
        <f t="shared" si="33"/>
        <v xml:space="preserve">			this.refId,</v>
      </c>
      <c r="U23" s="31" t="str">
        <f t="shared" si="34"/>
        <v xml:space="preserve">		this.refId = '',</v>
      </c>
      <c r="V23" s="31" t="str">
        <f t="shared" si="35"/>
        <v/>
      </c>
    </row>
    <row r="24" spans="1:22" ht="18" customHeight="1" x14ac:dyDescent="0.25">
      <c r="A24" s="31" t="s">
        <v>339</v>
      </c>
      <c r="B24" s="31" t="str">
        <f t="shared" si="24"/>
        <v>Status</v>
      </c>
      <c r="C24" s="31" t="str">
        <f t="shared" si="25"/>
        <v>Status</v>
      </c>
      <c r="D24" s="31" t="str">
        <f t="shared" si="26"/>
        <v>status</v>
      </c>
      <c r="E24" s="31" t="str">
        <f>A.Backend!H19</f>
        <v>string</v>
      </c>
      <c r="F24" s="31" t="str">
        <f>A.Backend!G19</f>
        <v>1</v>
      </c>
      <c r="G24" s="31" t="str">
        <f t="shared" si="27"/>
        <v xml:space="preserve"> : string = '' ; </v>
      </c>
      <c r="H24" s="38" t="str">
        <f t="shared" si="28"/>
        <v xml:space="preserve">			{headerName: this.l('Status'),headerTooltip: this.l('Status'),field:  'status', cellClass: ['text-center'], width: 120, cellRenderer: 'agCellButtonComponent',
buttonDefTwo: { text: params =&gt; (params.data?.'status' == 'Y') ? 'Active' : 'Inactive',iconName: 'fa fa-circle',className: params =&gt; (params.data?.'status' == 'Y') ? 'btnActive' : 'btnInActive',},}</v>
      </c>
      <c r="I24" s="38" t="str">
        <f t="shared" si="29"/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24" s="31"/>
      <c r="K24" s="38" t="str">
        <f t="shared" si="30"/>
        <v xml:space="preserve">					&lt;div class='col-md-12 form-group row'&gt;
						&lt;label class='col-md-2 form-control title'&gt;Status&lt;/label&gt;
						&lt;new-checkbox [(ngModel)]='_status' name='status' className='col-md-10' &gt; &lt;/new-checkbox&gt;
					&lt;/div&gt;</v>
      </c>
      <c r="L24" s="60" t="str">
        <f t="shared" si="31"/>
        <v/>
      </c>
      <c r="M24" s="31"/>
      <c r="N24" s="31"/>
      <c r="O24" s="31"/>
      <c r="P24" s="31"/>
      <c r="Q24" s="31"/>
      <c r="R24" s="31"/>
      <c r="S24" s="31" t="str">
        <f t="shared" si="32"/>
        <v xml:space="preserve">	status : string = '' ; </v>
      </c>
      <c r="T24" s="31" t="str">
        <f t="shared" si="33"/>
        <v xml:space="preserve">			this.status,</v>
      </c>
      <c r="U24" s="31" t="str">
        <f t="shared" si="34"/>
        <v xml:space="preserve">		this.status = '',</v>
      </c>
      <c r="V24" s="31" t="str">
        <f t="shared" si="35"/>
        <v>status</v>
      </c>
    </row>
    <row r="25" spans="1:22" ht="15" customHeight="1" x14ac:dyDescent="0.25">
      <c r="A25" s="31" t="s">
        <v>322</v>
      </c>
      <c r="B25" s="31" t="str">
        <f t="shared" si="0"/>
        <v>IsActive</v>
      </c>
      <c r="C25" s="31" t="str">
        <f t="shared" si="1"/>
        <v>Is Active</v>
      </c>
      <c r="D25" s="31" t="str">
        <f t="shared" si="2"/>
        <v>isActive</v>
      </c>
      <c r="E25" s="31">
        <f>A.Backend!H20</f>
        <v>0</v>
      </c>
      <c r="F25" s="31">
        <f>A.Backend!G20</f>
        <v>0</v>
      </c>
      <c r="G25" s="31" t="str">
        <f t="shared" si="3"/>
        <v/>
      </c>
      <c r="H25" s="38" t="str">
        <f t="shared" si="4"/>
        <v xml:space="preserve">			{headerName: this.l('Is Active'),headerTooltip: this.l('Is Active'),field: 'isActive',flex: 1},</v>
      </c>
      <c r="I25" s="38" t="str">
        <f t="shared" si="5"/>
        <v/>
      </c>
      <c r="J25" s="31"/>
      <c r="K25" s="38" t="str">
        <f t="shared" si="6"/>
        <v/>
      </c>
      <c r="L25" s="60" t="str">
        <f t="shared" si="7"/>
        <v/>
      </c>
      <c r="M25" s="31"/>
      <c r="N25" s="31"/>
      <c r="O25" s="31"/>
      <c r="P25" s="31"/>
      <c r="Q25" s="31"/>
      <c r="R25" s="31"/>
      <c r="S25" s="31" t="str">
        <f t="shared" si="21"/>
        <v xml:space="preserve">	isActive</v>
      </c>
      <c r="T25" s="31" t="str">
        <f t="shared" si="22"/>
        <v xml:space="preserve">			this.isActive,</v>
      </c>
      <c r="U25" s="31" t="str">
        <f t="shared" si="23"/>
        <v xml:space="preserve">		this.isActive = '',</v>
      </c>
      <c r="V25" s="31" t="str">
        <f t="shared" si="8"/>
        <v/>
      </c>
    </row>
    <row r="28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2022-12-22T12:06:17Z</dcterms:modified>
</cp:coreProperties>
</file>
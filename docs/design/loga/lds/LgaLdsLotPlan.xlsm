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a\lds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8" i="5"/>
  <c r="F28" i="5"/>
  <c r="C27" i="5"/>
  <c r="B27" i="5"/>
  <c r="D27" i="5" s="1"/>
  <c r="T27" i="5" s="1"/>
  <c r="C26" i="5"/>
  <c r="B26" i="5"/>
  <c r="D26" i="5" s="1"/>
  <c r="L16" i="1"/>
  <c r="G16" i="1"/>
  <c r="E16" i="1"/>
  <c r="H16" i="1" s="1"/>
  <c r="D16" i="1"/>
  <c r="V16" i="1" s="1"/>
  <c r="G17" i="1"/>
  <c r="E17" i="1"/>
  <c r="H17" i="1" s="1"/>
  <c r="D17" i="1"/>
  <c r="V17" i="1" s="1"/>
  <c r="G15" i="1"/>
  <c r="E15" i="1"/>
  <c r="H15" i="1" s="1"/>
  <c r="D15" i="1"/>
  <c r="V15" i="1" s="1"/>
  <c r="G14" i="1"/>
  <c r="E14" i="1"/>
  <c r="H14" i="1" s="1"/>
  <c r="D14" i="1"/>
  <c r="V14" i="1" s="1"/>
  <c r="B25" i="5"/>
  <c r="D25" i="5" s="1"/>
  <c r="C25" i="5"/>
  <c r="L13" i="1"/>
  <c r="G13" i="1"/>
  <c r="E13" i="1"/>
  <c r="H13" i="1" s="1"/>
  <c r="D13" i="1"/>
  <c r="V13" i="1" s="1"/>
  <c r="T26" i="5" l="1"/>
  <c r="S26" i="5"/>
  <c r="H26" i="5"/>
  <c r="G26" i="5"/>
  <c r="L26" i="5"/>
  <c r="V26" i="5"/>
  <c r="I26" i="5"/>
  <c r="K26" i="5"/>
  <c r="U26" i="5"/>
  <c r="P16" i="1"/>
  <c r="W16" i="1"/>
  <c r="O16" i="1"/>
  <c r="J16" i="1"/>
  <c r="N16" i="1"/>
  <c r="I16" i="1"/>
  <c r="M16" i="1"/>
  <c r="T16" i="1"/>
  <c r="W17" i="1"/>
  <c r="O17" i="1"/>
  <c r="J17" i="1"/>
  <c r="I17" i="1"/>
  <c r="N17" i="1"/>
  <c r="M17" i="1"/>
  <c r="P17" i="1"/>
  <c r="T17" i="1"/>
  <c r="P15" i="1"/>
  <c r="W15" i="1"/>
  <c r="T15" i="1"/>
  <c r="M15" i="1"/>
  <c r="I15" i="1"/>
  <c r="N15" i="1"/>
  <c r="J15" i="1"/>
  <c r="O15" i="1"/>
  <c r="W14" i="1"/>
  <c r="O14" i="1"/>
  <c r="J14" i="1"/>
  <c r="N14" i="1"/>
  <c r="I14" i="1"/>
  <c r="M14" i="1"/>
  <c r="P14" i="1"/>
  <c r="T14" i="1"/>
  <c r="T25" i="5"/>
  <c r="W13" i="1"/>
  <c r="O13" i="1"/>
  <c r="J13" i="1"/>
  <c r="N13" i="1"/>
  <c r="I13" i="1"/>
  <c r="M13" i="1"/>
  <c r="P13" i="1"/>
  <c r="T13" i="1"/>
  <c r="E21" i="1"/>
  <c r="H21" i="1" s="1"/>
  <c r="E27" i="5" s="1"/>
  <c r="L20" i="1"/>
  <c r="G20" i="1"/>
  <c r="E20" i="1"/>
  <c r="H20" i="1" s="1"/>
  <c r="D20" i="1"/>
  <c r="V20" i="1" s="1"/>
  <c r="G21" i="1"/>
  <c r="F27" i="5" s="1"/>
  <c r="D21" i="1"/>
  <c r="T21" i="1" s="1"/>
  <c r="L27" i="5" l="1"/>
  <c r="G27" i="5"/>
  <c r="S27" i="5" s="1"/>
  <c r="V27" i="5"/>
  <c r="H27" i="5"/>
  <c r="K27" i="5"/>
  <c r="I27" i="5"/>
  <c r="U27" i="5"/>
  <c r="P20" i="1"/>
  <c r="M21" i="1"/>
  <c r="I21" i="1"/>
  <c r="W20" i="1"/>
  <c r="O20" i="1"/>
  <c r="J20" i="1"/>
  <c r="N20" i="1"/>
  <c r="I20" i="1"/>
  <c r="M20" i="1"/>
  <c r="J21" i="1"/>
  <c r="O21" i="1"/>
  <c r="W21" i="1"/>
  <c r="T20" i="1"/>
  <c r="P21" i="1"/>
  <c r="N21" i="1"/>
  <c r="V21" i="1"/>
  <c r="C19" i="5"/>
  <c r="B19" i="5"/>
  <c r="D19" i="5" s="1"/>
  <c r="T19" i="5" s="1"/>
  <c r="C18" i="5"/>
  <c r="B18" i="5"/>
  <c r="D18" i="5" s="1"/>
  <c r="T18" i="5" l="1"/>
  <c r="C23" i="5"/>
  <c r="B23" i="5"/>
  <c r="D23" i="5" s="1"/>
  <c r="T23" i="5" s="1"/>
  <c r="C22" i="5"/>
  <c r="B22" i="5"/>
  <c r="D22" i="5" s="1"/>
  <c r="L19" i="1"/>
  <c r="G19" i="1"/>
  <c r="E19" i="1"/>
  <c r="H19" i="1" s="1"/>
  <c r="D19" i="1"/>
  <c r="P19" i="1" s="1"/>
  <c r="V25" i="5" l="1"/>
  <c r="G25" i="5"/>
  <c r="S25" i="5" s="1"/>
  <c r="K25" i="5"/>
  <c r="U25" i="5"/>
  <c r="H25" i="5"/>
  <c r="L25" i="5"/>
  <c r="I25" i="5"/>
  <c r="M19" i="1"/>
  <c r="T19" i="1"/>
  <c r="T22" i="5"/>
  <c r="I19" i="1"/>
  <c r="N19" i="1"/>
  <c r="V19" i="1"/>
  <c r="J19" i="1"/>
  <c r="O19" i="1"/>
  <c r="W19" i="1"/>
  <c r="C24" i="5"/>
  <c r="B24" i="5"/>
  <c r="D24" i="5" s="1"/>
  <c r="C21" i="5"/>
  <c r="B21" i="5"/>
  <c r="D21" i="5" s="1"/>
  <c r="C20" i="5"/>
  <c r="B20" i="5"/>
  <c r="D20" i="5" s="1"/>
  <c r="T20" i="5" s="1"/>
  <c r="G18" i="1"/>
  <c r="E18" i="1"/>
  <c r="H18" i="1" s="1"/>
  <c r="D18" i="1"/>
  <c r="V18" i="1" s="1"/>
  <c r="U23" i="5" l="1"/>
  <c r="V23" i="5"/>
  <c r="G23" i="5"/>
  <c r="S23" i="5" s="1"/>
  <c r="L23" i="5"/>
  <c r="K23" i="5"/>
  <c r="I23" i="5"/>
  <c r="H23" i="5"/>
  <c r="V24" i="5"/>
  <c r="T24" i="5"/>
  <c r="H24" i="5"/>
  <c r="T21" i="5"/>
  <c r="L24" i="5"/>
  <c r="L18" i="1"/>
  <c r="W18" i="1"/>
  <c r="J18" i="1"/>
  <c r="O18" i="1"/>
  <c r="N18" i="1"/>
  <c r="M18" i="1"/>
  <c r="I18" i="1"/>
  <c r="P18" i="1"/>
  <c r="T18" i="1"/>
  <c r="G22" i="1"/>
  <c r="E22" i="1"/>
  <c r="H22" i="1" s="1"/>
  <c r="D22" i="1"/>
  <c r="V22" i="1" s="1"/>
  <c r="L22" i="5" l="1"/>
  <c r="U22" i="5"/>
  <c r="K22" i="5"/>
  <c r="V22" i="5"/>
  <c r="G22" i="5"/>
  <c r="S22" i="5" s="1"/>
  <c r="H22" i="5"/>
  <c r="I22" i="5"/>
  <c r="G24" i="5"/>
  <c r="S24" i="5" s="1"/>
  <c r="K24" i="5"/>
  <c r="U24" i="5"/>
  <c r="I24" i="5"/>
  <c r="T22" i="1"/>
  <c r="P22" i="1"/>
  <c r="N22" i="1"/>
  <c r="I22" i="1"/>
  <c r="M22" i="1"/>
  <c r="W22" i="1"/>
  <c r="O22" i="1"/>
  <c r="J22" i="1"/>
  <c r="W3" i="1" l="1"/>
  <c r="V3" i="1"/>
  <c r="B2" i="5" l="1"/>
  <c r="B3" i="5" s="1"/>
  <c r="C28" i="5"/>
  <c r="G12" i="1"/>
  <c r="E12" i="1"/>
  <c r="H12" i="1" s="1"/>
  <c r="D12" i="1"/>
  <c r="V19" i="5" l="1"/>
  <c r="V18" i="5"/>
  <c r="I18" i="5"/>
  <c r="G18" i="5"/>
  <c r="S18" i="5" s="1"/>
  <c r="L18" i="5"/>
  <c r="H18" i="5"/>
  <c r="K18" i="5"/>
  <c r="U18" i="5"/>
  <c r="I19" i="5"/>
  <c r="G19" i="5"/>
  <c r="S19" i="5" s="1"/>
  <c r="L19" i="5"/>
  <c r="H19" i="5"/>
  <c r="U19" i="5"/>
  <c r="K19" i="5"/>
  <c r="V20" i="5"/>
  <c r="I20" i="5"/>
  <c r="L20" i="5"/>
  <c r="U20" i="5"/>
  <c r="K20" i="5"/>
  <c r="G20" i="5"/>
  <c r="S20" i="5" s="1"/>
  <c r="H20" i="5"/>
  <c r="H21" i="5"/>
  <c r="I21" i="5"/>
  <c r="G21" i="5"/>
  <c r="S21" i="5" s="1"/>
  <c r="U21" i="5"/>
  <c r="V21" i="5"/>
  <c r="K21" i="5"/>
  <c r="L21" i="5"/>
  <c r="N12" i="1"/>
  <c r="O12" i="1"/>
  <c r="M12" i="1"/>
  <c r="T12" i="1"/>
  <c r="V12" i="1"/>
  <c r="W12" i="1"/>
  <c r="P12" i="1"/>
  <c r="B28" i="5"/>
  <c r="D28" i="5" s="1"/>
  <c r="I12" i="1"/>
  <c r="J12" i="1"/>
  <c r="B6" i="5"/>
  <c r="L28" i="5" l="1"/>
  <c r="I28" i="5"/>
  <c r="K28" i="5"/>
  <c r="H28" i="5"/>
  <c r="G28" i="5"/>
  <c r="S28" i="5" s="1"/>
  <c r="U28" i="5"/>
  <c r="V28" i="5"/>
  <c r="T28" i="5"/>
  <c r="U7" i="1" l="1"/>
  <c r="B7" i="5" l="1"/>
  <c r="Q3" i="1" l="1"/>
  <c r="O7" i="1" s="1"/>
  <c r="T3" i="1"/>
  <c r="F3" i="1"/>
  <c r="B4" i="5" l="1"/>
  <c r="N7" i="1"/>
  <c r="E52" i="3" s="1"/>
  <c r="K7" i="1"/>
  <c r="H6" i="1"/>
  <c r="R10" i="5" l="1"/>
  <c r="M59" i="3" s="1"/>
  <c r="N52" i="3" l="1"/>
  <c r="B8" i="5"/>
  <c r="B5" i="5"/>
  <c r="D9" i="1"/>
  <c r="V9" i="1" l="1"/>
  <c r="T9" i="1"/>
  <c r="P10" i="5"/>
  <c r="K59" i="3" s="1"/>
  <c r="Q10" i="5"/>
  <c r="L59" i="3" s="1"/>
  <c r="B57" i="3"/>
  <c r="C57" i="3" s="1"/>
  <c r="M14" i="5"/>
  <c r="H58" i="3" s="1"/>
  <c r="L14" i="5"/>
  <c r="G58" i="3" s="1"/>
  <c r="K14" i="5"/>
  <c r="F58" i="3" s="1"/>
  <c r="L58" i="3"/>
  <c r="K58" i="3"/>
  <c r="O14" i="5"/>
  <c r="J58" i="3" s="1"/>
  <c r="N14" i="5"/>
  <c r="I58" i="3" s="1"/>
  <c r="J14" i="5"/>
  <c r="E58" i="3" s="1"/>
  <c r="I14" i="5"/>
  <c r="D58" i="3" s="1"/>
  <c r="H14" i="5"/>
  <c r="C58" i="3" s="1"/>
  <c r="O10" i="5"/>
  <c r="J59" i="3" s="1"/>
  <c r="N10" i="5"/>
  <c r="I59" i="3" s="1"/>
  <c r="M10" i="5"/>
  <c r="H59" i="3" s="1"/>
  <c r="J10" i="5"/>
  <c r="E59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24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24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24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U13" i="5"/>
  <c r="V13" i="5"/>
  <c r="L13" i="5"/>
  <c r="K13" i="5"/>
  <c r="I13" i="5"/>
  <c r="H13" i="5"/>
  <c r="S13" i="5"/>
  <c r="K10" i="5" l="1"/>
  <c r="F59" i="3" s="1"/>
  <c r="I10" i="5"/>
  <c r="D59" i="3" s="1"/>
  <c r="H10" i="5"/>
  <c r="C59" i="3" s="1"/>
  <c r="L10" i="5"/>
  <c r="G59" i="3" s="1"/>
  <c r="L52" i="3"/>
  <c r="D52" i="3"/>
  <c r="D6" i="1"/>
  <c r="B6" i="1" l="1"/>
  <c r="L3" i="1"/>
  <c r="J3" i="1"/>
  <c r="H3" i="1"/>
  <c r="C6" i="1" l="1"/>
  <c r="P7" i="1" s="1"/>
  <c r="S3" i="1"/>
  <c r="S7" i="1" s="1"/>
  <c r="E6" i="1"/>
  <c r="F52" i="3"/>
  <c r="I3" i="1" l="1"/>
  <c r="B7" i="1"/>
  <c r="L14" i="1" l="1"/>
  <c r="L15" i="1"/>
  <c r="L17" i="1"/>
  <c r="L21" i="1"/>
  <c r="L22" i="1"/>
  <c r="L11" i="1"/>
  <c r="L12" i="1"/>
  <c r="L9" i="1"/>
  <c r="L10" i="1"/>
  <c r="J11" i="1"/>
  <c r="J9" i="1"/>
  <c r="J10" i="1"/>
  <c r="C7" i="1"/>
  <c r="P24" i="1"/>
  <c r="N24" i="1"/>
  <c r="I24" i="1"/>
  <c r="O24" i="1"/>
  <c r="J24" i="1"/>
  <c r="Q7" i="1" l="1"/>
  <c r="M52" i="3" s="1"/>
  <c r="L7" i="1"/>
  <c r="G52" i="3" s="1"/>
  <c r="K52" i="3"/>
  <c r="J52" i="3"/>
  <c r="K24" i="1"/>
  <c r="M24" i="1"/>
  <c r="R7" i="1" l="1"/>
  <c r="I52" i="3" s="1"/>
  <c r="M7" i="1"/>
  <c r="H52" i="3" s="1"/>
  <c r="J7" i="1"/>
  <c r="C52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1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51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51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51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51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51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51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51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51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51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51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<sst xmlns="http://schemas.openxmlformats.org/spreadsheetml/2006/main" count="446" uniqueCount="335">
  <si>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</si>
  <si>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</si>
  <si>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</si>
  <si>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</si>
  <si>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</si>
  <si>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</si>
  <si>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</si>
  <si>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</si>
  <si>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</si>
  <si>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</si>
  <si>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</si>
  <si>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</si>
  <si>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</si>
  <si>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</si>
  <si>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</si>
  <si>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</si>
  <si>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</si>
  <si>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</si>
  <si>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</si>
  <si>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</si>
  <si>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</si>
  <si>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</si>
  <si>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</si>
  <si>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</si>
  <si>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</si>
  <si>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</si>
  <si>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</si>
  <si>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</si>
  <si>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</si>
  <si>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</si>
  <si>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</si>
  <si>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</si>
  <si>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</si>
  <si>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</si>
  <si>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</si>
  <si>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</si>
  <si>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</si>
  <si>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</si>
  <si>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</si>
  <si>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</si>
  <si>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</si>
  <si>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</si>
  <si>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</si>
  <si>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</si>
  <si>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</si>
  <si>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</si>
  <si>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</si>
  <si>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</si>
  <si>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</si>
  <si>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</si>
  <si>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</si>
  <si>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</si>
  <si>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</si>
  <si>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</si>
  <si>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</si>
  <si>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</si>
  <si>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</si>
  <si>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</si>
  <si>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</si>
  <si>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</si>
  <si>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</si>
  <si>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</si>
  <si>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</si>
  <si>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</si>
  <si>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</si>
  <si>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</si>
  <si>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</si>
  <si>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</si>
  <si>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</si>
  <si>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</si>
  <si>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</si>
  <si>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</si>
  <si>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</si>
  <si>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</si>
  <si>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</si>
  <si>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</si>
  <si>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</si>
  <si>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</si>
  <si>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</si>
  <si>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</si>
  <si>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</si>
  <si>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</si>
  <si>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</si>
  <si>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</si>
  <si>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</si>
  <si>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</si>
  <si>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</si>
  <si>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</si>
  <si>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</si>
  <si>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</si>
  <si>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</si>
  <si>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</si>
  <si>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</si>
  <si>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</si>
  <si>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</si>
  <si>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</si>
  <si>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</si>
  <si>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</si>
  <si>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</si>
  <si>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</si>
  <si>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</si>
  <si>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</si>
  <si>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</si>
  <si>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</si>
  <si>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</si>
  <si>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</si>
  <si>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</si>
  <si>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</si>
  <si>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</si>
  <si>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</si>
  <si>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</si>
  <si>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</si>
  <si>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</si>
  <si>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</si>
  <si>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</si>
  <si>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</si>
  <si>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</si>
  <si>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</si>
  <si>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</si>
  <si>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</si>
  <si>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</si>
  <si>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</si>
  <si>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</si>
  <si>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</si>
  <si>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</si>
  <si>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</si>
  <si>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</si>
  <si>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</si>
  <si>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</si>
  <si>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</si>
  <si>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</si>
  <si>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</si>
  <si>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</si>
  <si>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</si>
  <si>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</si>
  <si>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</si>
  <si>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</si>
  <si>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</si>
  <si>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</si>
  <si>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</si>
  <si>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</si>
  <si>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</si>
  <si>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</si>
  <si>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</si>
  <si>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</si>
  <si>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</si>
  <si>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</si>
  <si>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</si>
  <si>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</si>
  <si>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</si>
  <si>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</si>
  <si>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</si>
  <si>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</si>
  <si>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</si>
  <si>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</si>
  <si>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</si>
  <si>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</si>
  <si>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</si>
  <si>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</si>
  <si>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</si>
  <si>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</si>
  <si>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</si>
  <si>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</si>
  <si>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</si>
  <si>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</si>
  <si>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</si>
  <si>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</si>
  <si>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</si>
  <si>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</si>
  <si>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</si>
  <si>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</si>
  <si>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</si>
  <si>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</si>
  <si>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</si>
  <si>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</si>
  <si>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</si>
  <si>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</si>
  <si>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</si>
  <si>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</si>
  <si>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</si>
  <si>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</si>
  <si>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</si>
  <si>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</si>
  <si>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</si>
  <si>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</si>
  <si>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</si>
  <si>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</si>
  <si>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</si>
  <si>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</si>
  <si>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</si>
  <si>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</si>
  <si>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</si>
  <si>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</si>
  <si>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</si>
  <si>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</si>
  <si>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</si>
  <si>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</si>
  <si>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</si>
  <si>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</si>
  <si>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</si>
  <si>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</si>
  <si>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</si>
  <si>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</si>
  <si>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</si>
  <si>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</si>
  <si>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</si>
  <si>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</si>
  <si>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</si>
  <si>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</si>
  <si>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</si>
  <si>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</si>
  <si>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</si>
  <si>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</si>
  <si>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</si>
  <si>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</si>
  <si>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</si>
  <si>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</si>
  <si>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</si>
  <si>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</si>
  <si>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</si>
  <si>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</si>
  <si>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</si>
  <si>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</si>
  <si>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</si>
  <si>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</si>
  <si>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</si>
  <si>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</si>
  <si>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</si>
  <si>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</si>
  <si>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</si>
  <si>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</si>
  <si>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</si>
  <si>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</si>
  <si>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</si>
  <si>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</si>
  <si>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</si>
  <si>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</si>
  <si>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</si>
  <si>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</si>
  <si>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</si>
  <si>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</si>
  <si>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</si>
  <si>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</si>
  <si>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</si>
  <si>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</si>
  <si>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</si>
  <si>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</si>
  <si>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</si>
  <si>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</si>
  <si>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</si>
  <si>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</si>
  <si>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</si>
  <si>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</si>
  <si>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</si>
  <si>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</si>
  <si>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</si>
  <si>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</si>
  <si>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</si>
  <si>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</si>
  <si>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</si>
  <si>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</si>
  <si>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</si>
  <si>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</si>
  <si>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</si>
  <si>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</si>
  <si>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</si>
  <si>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</si>
  <si>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</si>
  <si>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</si>
  <si>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</si>
  <si>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</si>
  <si>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</si>
  <si>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</si>
  <si>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</si>
  <si>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</si>
  <si>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</si>
  <si>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</si>
  <si>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</si>
  <si>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</si>
  <si>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</si>
  <si>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</si>
  <si>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</si>
  <si>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</si>
  <si>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</si>
  <si>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</si>
  <si>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</si>
  <si>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</si>
  <si>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</si>
  <si>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</si>
  <si>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</si>
  <si>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</si>
  <si>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</si>
  <si>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</si>
  <si>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</si>
  <si>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</si>
  <si>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</si>
  <si>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</si>
  <si>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</si>
  <si>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</si>
  <si>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</si>
  <si>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</si>
  <si>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IS_ACTIVE</t>
  </si>
  <si>
    <t>varchar(50)</t>
  </si>
  <si>
    <t>datetime2(7)</t>
  </si>
  <si>
    <t>PROD_LINE</t>
  </si>
  <si>
    <t>WORKING_DATE</t>
  </si>
  <si>
    <t>SHIFT</t>
  </si>
  <si>
    <t>varchar(1)</t>
  </si>
  <si>
    <t>SEQ_LINE_IN</t>
  </si>
  <si>
    <t>STATUS</t>
  </si>
  <si>
    <t>DELAY_SECOND</t>
  </si>
  <si>
    <t>LogA</t>
  </si>
  <si>
    <t>LotDirectSupply</t>
  </si>
  <si>
    <t>Lga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</si>
  <si>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</si>
  <si>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</si>
  <si>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</si>
  <si>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</si>
  <si>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</si>
  <si>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</si>
  <si>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</si>
  <si>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</si>
  <si>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</si>
  <si>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MstLga</t>
  </si>
  <si>
    <t>START_DATETIME</t>
  </si>
  <si>
    <t>FINISH_DATETIME</t>
  </si>
  <si>
    <t>PLAN_START_DATETIME</t>
  </si>
  <si>
    <t>LogA.Lds</t>
  </si>
  <si>
    <t>LgaLdsLotPlan</t>
  </si>
  <si>
    <t>LotPlan</t>
  </si>
  <si>
    <t>LOT_NO</t>
  </si>
  <si>
    <t>LOT_NO_2</t>
  </si>
  <si>
    <t>DOLLY</t>
  </si>
  <si>
    <t>TRIP</t>
  </si>
  <si>
    <t>LogA Lot Direct Supply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</si>
</sst>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1"/>
  <sheetViews>
    <sheetView workbookViewId="0">
      <selection activeCell="G33" sqref="G33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311</v>
      </c>
      <c r="F17" s="1" t="s">
        <v>313</v>
      </c>
      <c r="G17" s="17" t="s">
        <v>323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C22" t="s">
        <v>93</v>
      </c>
      <c r="F22" s="1" t="s">
        <v>102</v>
      </c>
      <c r="G22" s="17" t="s">
        <v>102</v>
      </c>
    </row>
    <row r="23" spans="1:7" x14ac:dyDescent="0.25">
      <c r="A23" s="1"/>
      <c r="B23" s="17"/>
      <c r="C23" t="s">
        <v>271</v>
      </c>
      <c r="F23" s="1" t="s">
        <v>272</v>
      </c>
      <c r="G23" s="17" t="s">
        <v>272</v>
      </c>
    </row>
    <row r="24" spans="1:7" x14ac:dyDescent="0.25">
      <c r="A24" s="1"/>
      <c r="B24" s="17"/>
      <c r="D24" t="s">
        <v>273</v>
      </c>
      <c r="F24" s="1" t="s">
        <v>275</v>
      </c>
      <c r="G24" s="17" t="s">
        <v>295</v>
      </c>
    </row>
    <row r="25" spans="1:7" x14ac:dyDescent="0.25">
      <c r="A25" s="1"/>
      <c r="B25" s="17"/>
      <c r="D25" t="s">
        <v>276</v>
      </c>
      <c r="F25" s="1" t="s">
        <v>274</v>
      </c>
      <c r="G25" s="17" t="s">
        <v>296</v>
      </c>
    </row>
    <row r="26" spans="1:7" x14ac:dyDescent="0.25">
      <c r="A26" s="1"/>
      <c r="B26" s="17"/>
      <c r="D26" t="s">
        <v>277</v>
      </c>
      <c r="F26" s="1" t="s">
        <v>280</v>
      </c>
      <c r="G26" s="17" t="s">
        <v>297</v>
      </c>
    </row>
    <row r="27" spans="1:7" x14ac:dyDescent="0.25">
      <c r="A27" s="1"/>
      <c r="B27" s="17"/>
      <c r="D27" t="s">
        <v>278</v>
      </c>
      <c r="F27" s="1" t="s">
        <v>281</v>
      </c>
      <c r="G27" s="17" t="s">
        <v>298</v>
      </c>
    </row>
    <row r="28" spans="1:7" x14ac:dyDescent="0.25">
      <c r="A28" s="1"/>
      <c r="B28" s="17"/>
      <c r="D28" t="s">
        <v>279</v>
      </c>
      <c r="F28" s="1" t="s">
        <v>282</v>
      </c>
      <c r="G28" s="17" t="s">
        <v>299</v>
      </c>
    </row>
    <row r="29" spans="1:7" x14ac:dyDescent="0.25">
      <c r="A29" s="1"/>
      <c r="B29" s="17"/>
      <c r="D29" t="s">
        <v>284</v>
      </c>
      <c r="F29" s="1" t="s">
        <v>283</v>
      </c>
      <c r="G29" s="17" t="s">
        <v>300</v>
      </c>
    </row>
    <row r="30" spans="1:7" x14ac:dyDescent="0.25">
      <c r="A30" s="1"/>
      <c r="B30" s="17"/>
      <c r="C30" t="s">
        <v>311</v>
      </c>
      <c r="F30" s="1" t="s">
        <v>313</v>
      </c>
      <c r="G30" s="17" t="s">
        <v>313</v>
      </c>
    </row>
    <row r="31" spans="1:7" x14ac:dyDescent="0.25">
      <c r="A31" s="1"/>
      <c r="B31" s="17"/>
      <c r="D31" t="s">
        <v>312</v>
      </c>
      <c r="F31" s="1" t="s">
        <v>314</v>
      </c>
      <c r="G31" s="17" t="s">
        <v>315</v>
      </c>
    </row>
    <row r="32" spans="1:7" x14ac:dyDescent="0.25">
      <c r="A32" s="1"/>
      <c r="B32" s="17"/>
      <c r="D32" t="s">
        <v>96</v>
      </c>
      <c r="F32" s="1" t="s">
        <v>104</v>
      </c>
      <c r="G32" s="17" t="s">
        <v>316</v>
      </c>
    </row>
    <row r="33" spans="1:7" x14ac:dyDescent="0.25">
      <c r="A33" s="1"/>
      <c r="B33" s="17"/>
      <c r="D33" t="s">
        <v>317</v>
      </c>
      <c r="F33" s="1" t="s">
        <v>318</v>
      </c>
      <c r="G33" s="17" t="s">
        <v>319</v>
      </c>
    </row>
    <row r="34" spans="1:7" x14ac:dyDescent="0.25">
      <c r="A34" s="1"/>
      <c r="B34" s="17"/>
      <c r="D34" t="s">
        <v>320</v>
      </c>
      <c r="F34" s="1" t="s">
        <v>321</v>
      </c>
      <c r="G34" s="17" t="s">
        <v>322</v>
      </c>
    </row>
    <row r="35" spans="1:7" x14ac:dyDescent="0.25">
      <c r="A35" s="1"/>
      <c r="B35" s="17"/>
    </row>
    <row r="36" spans="1:7" x14ac:dyDescent="0.25">
      <c r="A36" s="1"/>
      <c r="B36" s="17" t="s">
        <v>86</v>
      </c>
    </row>
    <row r="37" spans="1:7" x14ac:dyDescent="0.25">
      <c r="A37" s="1"/>
      <c r="B37" s="17" t="s">
        <v>83</v>
      </c>
    </row>
    <row r="38" spans="1:7" x14ac:dyDescent="0.25">
      <c r="A38" s="1"/>
      <c r="B38" s="17"/>
      <c r="C38" s="19" t="s">
        <v>80</v>
      </c>
    </row>
    <row r="39" spans="1:7" x14ac:dyDescent="0.25">
      <c r="A39" s="1"/>
      <c r="B39" s="17"/>
      <c r="C39" s="18" t="s">
        <v>81</v>
      </c>
    </row>
    <row r="40" spans="1:7" x14ac:dyDescent="0.25">
      <c r="A40" s="1"/>
      <c r="B40" s="17"/>
      <c r="C40" s="18" t="s">
        <v>82</v>
      </c>
    </row>
    <row r="41" spans="1:7" x14ac:dyDescent="0.25">
      <c r="A41" s="1"/>
      <c r="B41" s="17" t="s">
        <v>106</v>
      </c>
      <c r="C41" s="18"/>
    </row>
    <row r="42" spans="1:7" x14ac:dyDescent="0.25">
      <c r="A42" s="1"/>
      <c r="B42" s="17"/>
      <c r="C42" s="18" t="s">
        <v>107</v>
      </c>
    </row>
    <row r="43" spans="1:7" x14ac:dyDescent="0.25">
      <c r="A43" s="1"/>
      <c r="B43" s="17"/>
      <c r="C43" s="18" t="s">
        <v>108</v>
      </c>
    </row>
    <row r="44" spans="1:7" x14ac:dyDescent="0.25">
      <c r="A44" s="1"/>
      <c r="B44" s="17"/>
      <c r="C44" s="18" t="s">
        <v>109</v>
      </c>
    </row>
    <row r="45" spans="1:7" x14ac:dyDescent="0.25">
      <c r="A45" s="1"/>
      <c r="B45" s="17"/>
      <c r="C45" s="18" t="s">
        <v>111</v>
      </c>
    </row>
    <row r="46" spans="1:7" x14ac:dyDescent="0.25">
      <c r="A46" s="1"/>
      <c r="B46" s="17"/>
      <c r="C46" s="18" t="s">
        <v>113</v>
      </c>
    </row>
    <row r="47" spans="1:7" x14ac:dyDescent="0.25">
      <c r="A47" s="1"/>
      <c r="B47" s="17"/>
      <c r="C47" s="18" t="s">
        <v>112</v>
      </c>
    </row>
    <row r="48" spans="1:7" x14ac:dyDescent="0.25">
      <c r="A48" s="1"/>
      <c r="B48" s="17"/>
      <c r="C48" s="18" t="s">
        <v>110</v>
      </c>
    </row>
    <row r="49" spans="2:14" ht="21" customHeight="1" x14ac:dyDescent="0.25">
      <c r="B49" s="21" t="s">
        <v>78</v>
      </c>
    </row>
    <row r="50" spans="2:14" ht="21" customHeight="1" x14ac:dyDescent="0.25">
      <c r="B50" s="63" t="s">
        <v>231</v>
      </c>
    </row>
    <row r="51" spans="2:14" ht="15.75" thickBot="1" x14ac:dyDescent="0.3">
      <c r="C51" s="1" t="s">
        <v>72</v>
      </c>
      <c r="D51" s="1" t="s">
        <v>207</v>
      </c>
      <c r="E51" s="1" t="s">
        <v>208</v>
      </c>
      <c r="F51" s="1" t="s">
        <v>198</v>
      </c>
      <c r="G51" s="1" t="s">
        <v>199</v>
      </c>
      <c r="H51" s="1" t="s">
        <v>200</v>
      </c>
      <c r="I51" s="1" t="s">
        <v>201</v>
      </c>
      <c r="J51" s="1" t="s">
        <v>205</v>
      </c>
      <c r="K51" s="1" t="s">
        <v>209</v>
      </c>
      <c r="L51" s="1" t="s">
        <v>210</v>
      </c>
      <c r="M51" s="1" t="s">
        <v>211</v>
      </c>
      <c r="N51" s="1" t="s">
        <v>227</v>
      </c>
    </row>
    <row r="52" spans="2:14" s="16" customFormat="1" ht="21.75" customHeight="1" thickBot="1" x14ac:dyDescent="0.3">
      <c r="B52" s="52" t="s">
        <v>226</v>
      </c>
      <c r="C52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vovina.LogA.Lds
{
	[Table("LgaLdsLotPlan")]
	[Index(nameof(WorkingDate), Name="IX_LgaLdsLotPlan_WorkingDate")]
	[Index(nameof(Shift), Name="IX_LgaLdsLotPlan_Shift")]
	[Index(nameof(Status), Name="IX_LgaLdsLotPlan_Status")]
	[Index(nameof(IsActive), Name="IX_LgaLdsLotPlan_IsActive")]	public class LgaLdsLotPlan: FullAuditedEntity&lt;long&gt;, IEntity&lt;long&gt;	
	{
		public const int MaxProdLineLength = 50;
		public const int MaxShiftLength = 50;
		public const int MaxLotNoLength = 50;
		public const int MaxLotNo2Length = 50;
		public const int MaxDollyLength = 50;
		public const int MaxStatusLength = 50;
		public const int MaxIsActiveLength = 1;
		[StringLength(MaxProdLineLength)]
		public virtual string ProdLine { get; set; }
		[Column(TypeName="date")]
		public virtual DateTime WorkingDate { get; set; }
		[StringLength(MaxShiftLength)]
		public virtual string Shift { get; set; }
		public virtual int SeqLineIn { get; set; }
		[Column(TypeName="datetime2(7)")]
		public virtual DateTime PlanStartDatetime { get; set; }
		[StringLength(MaxLotNoLength)]
		public virtual string LotNo { get; set; }
		[StringLength(MaxLotNo2Length)]
		public virtual string LotNo2 { get; set; }
		public virtual int Trip { get; set; }
		[StringLength(MaxDollyLength)]
		public virtual string Dolly { get; set; }
		[Column(TypeName="datetime2(7)")]
		public virtual DateTime StartDatetime { get; set; }
		[Column(TypeName="datetime2(7)")]
		public virtual DateTime FinishDatetime { get; set; }
		public virtual int DelaySecond { get; set; }
		[StringLength(MaxStatusLength)]
		public virtual string Status { get; set; }
		[StringLength(MaxIsActiveLength)]
		public virtual string IsActive { get; set; }
	}
}
</v>
      </c>
      <c r="D52" s="51" t="str">
        <f>A.Backend!O7</f>
        <v xml:space="preserve">		public const string Pages_LogA_Lds_LotPlan = "Pages.LogA.Lds.LotPlan";
		public const string Pages_LogA_Lds_LotPlan_CreateEdit = "Pages.LogA.Lds.LotPlan.CreateEdit";
		public const string Pages_LogA_Lds_LotPlan_Delete = "Pages.LogA.Lds.LotPlan.Delete";
</v>
      </c>
      <c r="E52" s="51" t="str">
        <f>A.Backend!N7</f>
        <v xml:space="preserve">		var perLgaLdsLotPlan = PARENTS.CreateChildPermission(AppPermissions.Pages_LogA_Lds_LotPlan, L( "LogALdsLotPlan"));
		perLgaLdsLotPlan.CreateChildPermission(AppPermissions.Pages_LogA_Lds_LotPlan_CreateEdit, L( "LogALdsLotPlanCreateEdit"));
		perLgaLdsLotPlan.CreateChildPermission(AppPermissions.Pages_LogA_Lds_LotPlan_Delete, L( "LogALdsLotPlanDelete"));</v>
      </c>
      <c r="F52" s="51" t="str">
        <f>A.Backend!K7</f>
        <v>public virtual DbSet&lt;LgaLdsLotPlan&gt; LgaLdsLotPlans { get; set; }</v>
      </c>
      <c r="G52" s="51" t="str">
        <f ca="1">A.Backend!L7</f>
        <v xml:space="preserve">namespace vovina.LogA.Lds
{
	public class LgaLdsLotPlanConsts	
	{
		public const int MaxProdLineLength = 50;
		public const int MaxShiftLength = 50;
		public const int MaxLotNoLength = 50;
		public const int MaxLotNo2Length = 50;
		public const int MaxDollyLength = 50;
		public const int MaxStatusLength = 50;
		public const int MaxIsActiveLength = 1;
		// Define Store Name: Format SP_ + &lt;Store Name&gt; = &lt;Store Name&gt;
	}
}
</v>
      </c>
      <c r="H52" s="51" t="str">
        <f ca="1">A.Backend!M7</f>
        <v xml:space="preserve">using Abp.Application.Services.Dto;
using System;
using System.ComponentModel.DataAnnotations;
namespace vovina.LogA.Lds.Dto
{
	public class LgaLdsLotPlanDto : EntityDto&lt;long?&gt;	
	{
		public virtual string ProdLine { get; set; }
		public virtual DateTime? WorkingDate { get; set; }
		public virtual string Shift { get; set; }
		public virtual int SeqLineIn { get; set; }
		public virtual DateTime? PlanStartDatetime { get; set; }
		public virtual string LotNo { get; set; }
		public virtual string LotNo2 { get; set; }
		public virtual int Trip { get; set; }
		public virtual string Dolly { get; set; }
		public virtual DateTime? StartDatetime { get; set; }
		public virtual DateTime? FinishDatetime { get; set; }
		public virtual int DelaySecond { get; set; }
		public virtual string Status { get; set; }
		public virtual string IsActive { get; set; }
	}
	public class CreateOrEditLgaLdsLotPlanDto : EntityDto&lt;long?&gt;	
	{
		[StringLength(LgaLdsLotPlanConsts.MaxProdLineLength)]
		public virtual string ProdLine { get; set; }
		public virtual DateTime? WorkingDate { get; set; }
		[StringLength(LgaLdsLotPlanConsts.MaxShiftLength)]
		public virtual string Shift { get; set; }
		public virtual int SeqLineIn { get; set; }
		public virtual DateTime? PlanStartDatetime { get; set; }
		[StringLength(LgaLdsLotPlanConsts.MaxLotNoLength)]
		public virtual string LotNo { get; set; }
		[StringLength(LgaLdsLotPlanConsts.MaxLotNo2Length)]
		public virtual string LotNo2 { get; set; }
		public virtual int Trip { get; set; }
		[StringLength(LgaLdsLotPlanConsts.MaxDollyLength)]
		public virtual string Dolly { get; set; }
		public virtual DateTime? StartDatetime { get; set; }
		public virtual DateTime? FinishDatetime { get; set; }
		public virtual int DelaySecond { get; set; }
		[StringLength(LgaLdsLotPlanConsts.MaxStatusLength)]
		public virtual string Status { get; set; }
		[StringLength(LgaLdsLotPlanConsts.MaxIsActiveLength)]
		public virtual string IsActive { get; set; }
	}
	public class GetLgaLdsLotPlanInput : PagedAndSortedResultRequestDto	
	{
		public virtual string ProdLine { get; set; }
		public virtual DateTime? WorkingDate { get; set; }
		public virtual string Shift { get; set; }
		public virtual int SeqLineIn { get; set; }
		public virtual DateTime? PlanStartDatetime { get; set; }
		public virtual string LotNo { get; set; }
		public virtual string LotNo2 { get; set; }
		public virtual int Trip { get; set; }
		public virtual string Dolly { get; set; }
		public virtual DateTime? StartDatetime { get; set; }
		public virtual DateTime? FinishDatetime { get; set; }
		public virtual int DelaySecond { get; set; }
		public virtual string Status { get; set; }
		public virtual string IsActive { get; set; }
	}
}
</v>
      </c>
      <c r="I52" s="51" t="str">
        <f ca="1">A.Backend!R7</f>
        <v xml:space="preserve">using Abp.Application.Services.Dto;
using System;
using System.ComponentModel.DataAnnotations;
namespace vovina.LogA.Lds.Dto
{
	public class LgaLdsLotPlanExportInput{
		public virtual string ProdLine { get; set; }
		public virtual DateTime? WorkingDate { get; set; }
		public virtual string Shift { get; set; }
		public virtual int SeqLineIn { get; set; }
		public virtual DateTime? PlanStartDatetime { get; set; }
		public virtual string LotNo { get; set; }
		public virtual string LotNo2 { get; set; }
		public virtual int Trip { get; set; }
		public virtual string Dolly { get; set; }
		public virtual DateTime? StartDatetime { get; set; }
		public virtual DateTime? FinishDatetime { get; set; }
		public virtual int DelaySecond { get; set; }
		public virtual string Status { get; set; }
		public virtual string IsActive { get; set; }
	}
}
</v>
      </c>
      <c r="J52" s="51" t="str">
        <f>A.Backend!P7</f>
        <v xml:space="preserve">using Abp.Application.Services;
using Abp.Application.Services.Dto;
using System.Collections.Generic;using vovina.Dto;
using System.Threading.Tasks;
using vovina.LogA.Lds.Dto;
namespace vovina.LogA.Lds
{
	public interface ILgaLdsLotPlanAppService : IApplicationService
	{
		Task&lt;PagedResultDto&lt;LgaLdsLotPlanDto&gt;&gt; GetAll(GetLgaLdsLotPlanInput input);
		Task CreateOrEdit(CreateOrEditLgaLdsLotPlanDto input);
		Task Delete(EntityDto input);
	}
}
</v>
      </c>
      <c r="K52" s="51" t="str">
        <f>A.Backend!S7</f>
        <v xml:space="preserve">using Abp.Application.Services;
using Abp.Application.Services.Dto;
using System.Collections.Generic;using vovina.Dto;
using System.Threading.Tasks;
using vovina.LogA.Lds.Dto;
namespace vovina.LogA.Lds.Exporting
{
	public interface ILgaLdsLotPlanExcelExporter : IApplicationService
	{
		FileDto ExportToFile(List&lt;LgaLdsLotPlanDto&gt; lgaldslotplan);
	}
}
</v>
      </c>
      <c r="L52" s="51" t="str">
        <f ca="1">A.Backend!T7</f>
        <v>using System.Collections.Generic;
using vovina.DataExporting.Excel.NPOI;
using vovina.Dto;
using vovina.LogA.Lds.Exporting;
using vovina.LogA.Lds.Dto;
using vovina.Storage;
using vovina.LogA.Lds.Dto;
namespace vovina.LogA.Lds.Exporting
{
    public class LgaLdsLotPlanExcelExporter : NpoiExcelExporterBase, ILgaLdsLotPlanExcelExporter
    {
        public LgaLdsLotPlanExcelExporter(ITempFileCacheManager tempFileCacheManager) : base(tempFileCacheManager) { }
        public FileDto ExportToFile(List&lt;LgaLdsLotPlanDto&gt; lotplan)
        {
            return CreateExcelPackage(
				"LogALdsLotPlan.xlsx",
				excelPackage =&gt;
				 {
					var sheet = excelPackage.CreateSheet("LotPlan");
					AddHeader(
								sheet,
								("ProdLine"),
								("WorkingDate"),
								("Shift"),
								("SeqLineIn"),
								("PlanStartDatetime"),
								("LotNo"),
								("LotNo2"),
								("Trip"),
								("Dolly"),
								("StartDatetime"),
								("FinishDatetime"),
								("DelaySecond"),
								("Status"),
								("IsActive"),
							   );
					AddObjects(
						 sheet, 1, lotplan,                                       
								_ =&gt; _.ProdLine,
								_ =&gt; _.WorkingDate,
								_ =&gt; _.Shift,
								_ =&gt; _.SeqLineIn,
								_ =&gt; _.PlanStartDatetime,
								_ =&gt; _.LotNo,
								_ =&gt; _.LotNo2,
								_ =&gt; _.Trip,
								_ =&gt; _.Dolly,
								_ =&gt; _.StartDatetime,
								_ =&gt; _.FinishDatetime,
								_ =&gt; _.DelaySecond,
								_ =&gt; _.Status,
								_ =&gt; _.IsActive,
								);
			for (var i = 0; i &lt; 8; i++)
				{
					sheet.AutoSizeColumn(i);
				}
			});
        }
    }
}</v>
      </c>
      <c r="M52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vovina.LogA.Lds.Dto;
using vovina.LogA.Lds.Exporting;
namespace vovina.LogA.Lds
{
    [AbpAuthorize(AppPermissions.Pages_LogA_Lds_LotPlan)]
    public class LgaLdsLotPlanAppService : vovinaAppServiceBase, ILgaLdsLotPlanAppService
    {
        private readonly IDapperRepository&lt;LgaLdsLotPlan, long&gt; _dapperRepo;
        private readonly IRepository&lt;LgaLdsLotPlan, long&gt; _repo;
        private readonly ILgaLdsLotPlanExcelExporter _calendarListExcelExporter;
        public LgaLdsLotPlanAppService(IRepository&lt;LgaLdsLotPlan,long&gt; repo, 
                                         IDapperRepository&lt;LgaLdsLotPlan,long&gt; dapperRepo,
                                        ILgaLdsLotPlanExcelExporter calendarListExcelExporter
            )
        {
            _repo = repo;
            _dapperRepo = dapperRepo;
            _calendarListExcelExporter = calendarListExcelExporter;
        }
        [AbpAuthorize(AppPermissions.Pages_LogA_Lds_LotPlan_CreateEdit)]
        public async Task CreateOrEdit(CreateOrEditLgaLdsLotPlanDto input)
        {
            if (input.Id == null) await Create(input);
            else await Update(input);
        }
        //CREATE
        private async Task Create(CreateOrEditLgaLdsLotPlanDto input)
        {          
            var mainObj = ObjectMapper.Map&lt;LgaLdsLotPlan&gt;(input);
            await CurrentUnitOfWork.GetDbContext&lt;vovinaDbContext&gt;().AddAsync(mainObj);
        }
        // EDIT
        private async Task Update(CreateOrEditLgaLdsLotPlanDto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[AbpAuthorize(AppPermissions.Pages_LogA_Lds_LotPlan_Delete)]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Task&lt;PagedResultDto&lt;LgaLdsLotPlanDto&gt;&gt; GetAll(GetLgaLdsLotPlanInput input)
        {
            var filtered = _repo.GetAll()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.WhereIf(input.PlanStartDatetime.HasValue, t =&gt; t.PlanStartDatetime == input.PlanStartDatetime.Value)
				.WhereIf(!string.IsNullOrWhiteSpace(input.LotNo), e =&gt; e.LotNo.Contains(input.LotNo))
				.WhereIf(!string.IsNullOrWhiteSpace(input.LotNo2), e =&gt; e.LotNo2.Contains(input.LotNo2))
				.WhereIf(!string.IsNullOrWhiteSpace(input.Dolly), e =&gt; e.Dolly.Contains(input.Dolly))
				.WhereIf(input.StartDatetime.HasValue, t =&gt; t.StartDatetime == input.StartDatetime.Value)
				.WhereIf(input.FinishDatetime.HasValue, t =&gt; t.FinishDatetime == input.FinishDatetime.Value)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LgaLdsLotPlanDto
                        {
							Id = o.Id,
							ProdLine = o.ProdLine,
							WorkingDate = o.WorkingDate,
							Shift = o.Shift,
							SeqLineIn = o.SeqLineIn,
							PlanStartDatetime = o.PlanStartDatetime,
							LotNo = o.LotNo,
							LotNo2 = o.LotNo2,
							Trip = o.Trip,
							Dolly = o.Dolly,
							StartDatetime = o.StartDatetime,
							FinishDatetime = o.FinishDatetime,
							DelaySecond = o.DelaySecond,
							Status = o.Status,
							IsActive = o.IsActive,
                        };
            var totalCount = await filtered.CountAsync();
			var paged = system.PageBy(input);
            return new PagedResultDto&lt;LgaLdsLotPlanDto&gt;(
                totalCount,
                 await paged.ToListAsync()
            );
        }
        public async Task&lt;FileDto&gt; GetLotPlanToExcel(LgaLdsLotPlanExportInput input)
        {
            var query = from o in _repo.GetAll()
                        select new LgaLdsLotPlanDto
                        {
							Id = o.Id,
							ProdLine = o.ProdLine,
							WorkingDate = o.WorkingDate,
							Shift = o.Shift,
							SeqLineIn = o.SeqLineIn,
							PlanStartDatetime = o.PlanStartDatetime,
							LotNo = o.LotNo,
							LotNo2 = o.LotNo2,
							Trip = o.Trip,
							Dolly = o.Dolly,
							StartDatetime = o.StartDatetime,
							FinishDatetime = o.FinishDatetime,
							DelaySecond = o.DelaySecond,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_dapperRepo.ExecuteAsync(LgaLdsLotPlanConsts.SP_MST_WPT_CALENDAR_GENERATE);
       // }
    }
}</v>
      </c>
      <c r="N52" s="62" t="str">
        <f>A.Backend!U7</f>
        <v xml:space="preserve">  configuration.CreateMap&lt;LgaLdsLotPlanDto, LgaLdsLotPlan&gt;();
  configuration.CreateMap&lt;LgaLdsLotPlan, LgaLdsLotPlanDto&gt;();
  configuration.CreateMap&lt;CreateOrEditLgaLdsLotPlanDto, LgaLdsLotPlan&gt;();</v>
      </c>
    </row>
    <row r="53" spans="2:14" s="16" customFormat="1" ht="21.75" customHeight="1" x14ac:dyDescent="0.25">
      <c r="C53" s="65"/>
      <c r="D53" s="29"/>
      <c r="E53" s="29"/>
      <c r="F53" s="29"/>
      <c r="G53" s="29"/>
      <c r="H53" s="66"/>
      <c r="I53" s="67"/>
      <c r="J53" s="29"/>
      <c r="K53" s="29"/>
      <c r="M53" s="66"/>
    </row>
    <row r="54" spans="2:14" s="16" customFormat="1" ht="21.75" customHeight="1" x14ac:dyDescent="0.25">
      <c r="C54" s="29"/>
      <c r="D54" s="29"/>
      <c r="E54" s="29"/>
      <c r="F54" s="29"/>
      <c r="G54" s="29"/>
      <c r="H54" s="29"/>
      <c r="J54" s="29"/>
      <c r="K54" s="29"/>
      <c r="M54" s="29"/>
    </row>
    <row r="55" spans="2:14" s="16" customFormat="1" ht="21.75" customHeight="1" x14ac:dyDescent="0.25">
      <c r="C55" s="29"/>
      <c r="D55" s="29"/>
      <c r="E55" s="29"/>
      <c r="G55" s="29"/>
      <c r="H55" s="29"/>
    </row>
    <row r="56" spans="2:14" x14ac:dyDescent="0.25">
      <c r="B56" s="1" t="s">
        <v>73</v>
      </c>
    </row>
    <row r="57" spans="2:14" ht="21" x14ac:dyDescent="0.35">
      <c r="B57" t="str">
        <f>B.Frontend!B8</f>
        <v>lotplan</v>
      </c>
      <c r="C57" s="72" t="str">
        <f>"create folder " &amp;B57</f>
        <v>create folder lotplan</v>
      </c>
      <c r="D57" s="72"/>
      <c r="E57" s="72"/>
      <c r="F57" s="72"/>
      <c r="G57" s="72"/>
      <c r="H57" s="72"/>
      <c r="I57" s="72"/>
      <c r="J57" s="72"/>
      <c r="K57" s="73" t="s">
        <v>228</v>
      </c>
      <c r="L57" s="73"/>
      <c r="M57" s="31"/>
    </row>
    <row r="58" spans="2:14" s="28" customFormat="1" ht="18" customHeight="1" x14ac:dyDescent="0.25">
      <c r="B58" s="60" t="s">
        <v>229</v>
      </c>
      <c r="C58" s="31" t="str">
        <f>B.Frontend!H14</f>
        <v>lotplan.component.ts</v>
      </c>
      <c r="D58" s="31" t="str">
        <f>B.Frontend!I14</f>
        <v>lotplan.component.html</v>
      </c>
      <c r="E58" s="31" t="str">
        <f>B.Frontend!J14</f>
        <v>lotplan.component.less</v>
      </c>
      <c r="F58" s="31" t="str">
        <f>B.Frontend!K14</f>
        <v>create-or-edit-lotplan-modal.component.html</v>
      </c>
      <c r="G58" s="31" t="str">
        <f>B.Frontend!L14</f>
        <v>create-or-edit-lotplan-modal.component.ts</v>
      </c>
      <c r="H58" s="31" t="str">
        <f>B.Frontend!M14</f>
        <v>create-or-edit-lotplan-modal.component.less</v>
      </c>
      <c r="I58" s="31" t="str">
        <f>B.Frontend!N14</f>
        <v>lotplan.module.ts</v>
      </c>
      <c r="J58" s="31" t="str">
        <f>B.Frontend!O14</f>
        <v>lotplan-routing.module.ts</v>
      </c>
      <c r="K58" s="31" t="str">
        <f>B.Frontend!P14</f>
        <v>app.navigation.service.ts</v>
      </c>
      <c r="L58" s="31" t="str">
        <f>B.Frontend!Q14</f>
        <v>main.routing.module.ts</v>
      </c>
      <c r="M58" s="60" t="s">
        <v>232</v>
      </c>
    </row>
    <row r="59" spans="2:14" ht="21.75" customHeight="1" x14ac:dyDescent="0.25">
      <c r="B59" s="61" t="s">
        <v>226</v>
      </c>
      <c r="C59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LgaLdsLotPlanDto, LgaLdsLotPlanServiceProxy } from '@shared/service-proxies/service-proxies';
import { finalize } from 'rxjs/internal/operators/finalize';
import { CreateOrEditLotPlanModalComponent } from './create-or-edit-lotplan-modal.component';
import { DatePipe } from '@angular/common';
import { FileDownloadService } from '@shared/utils/file-download.service';
import ceil from 'lodash-es/ceil';
import { Paginator } from 'primeng/paginator';
@Component({
    templateUrl: './lotplan.component.html',
    styleUrls: ['./lotplan.component.less'],
})
export class LotPlanComponent extends AppComponentBase implements OnInit {
    @ViewChild('createOrEditModalLotPlan', { static: true }) createOrEditModalLotPlan:| CreateOrEditLotPlanModalComponent|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LgaLdsLotPlanDto = new LgaLdsLotPlanDto();
    saveSelectedRow: LgaLdsLotPlanDto = new LgaLdsLotPlanDto();
    datas: LgaLdsLotPlanDto = new LgaLdsLotPlanDto();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workingDate : any ;
	shift : string = '' ; 
	seqLineIn : number = 0 ;
	planStartDatetime : any ;
	lotNo : string = '' ; 
	lotNo2 : string = '' ; 
	trip : number = 0 ;
	dolly : string = '' ; 
startDatetime : any ;
	finishDatetime : any ;
delaySecond : number = 0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LgaLdsLotPlanServiceProxy,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this.l('Seq Line In'),headerTooltip: this.l('Seq Line In'),field: 'seqLineIn',flex: 1},
			{headerName: this.l('Plan Start Datetime'),headerTooltip: this.l('Plan Start Datetime'),field: 'planStartDatetime',valueGetter: (params) =&gt; this.pipe.transform(params.data?.planStartDatetime, 'dd/MM/yyyy'),flex: 1},
			{headerName: this.l('Lot No'),headerTooltip: this.l('Lot No'),field: 'lotNo',flex: 1},
			{headerName: this.l('Lot No 2'),headerTooltip: this.l('Lot No 2'),field: 'lotNo2',flex: 1},
			{headerName: this.l('Trip'),headerTooltip: this.l('Trip'),field: 'trip',flex: 1},
			{headerName: this.l('Dolly'),headerTooltip: this.l('Dolly'),field: 'dolly',flex: 1},
			{headerName: this.l('Start Datetime'),headerTooltip: this.l('Start Datetime'),field: 'startDatetime',valueGetter: (params) =&gt; this.pipe.transform(params.data?.startDatetime, 'dd/MM/yyyy'),flex: 1},
			{headerName: this.l('Finish Datetime'),headerTooltip: this.l('Finish Datetime'),field: 'finishDatetime',valueGetter: (params) =&gt; this.pipe.transform(params.data?.finishDatetime, 'dd/MM/yyyy'),flex: 1},
			{headerName: this.l('Delay Second'),headerTooltip: this.l('Delay Second'),field: 'delaySecond',flex: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this.workingDate,
			this.shift,
			this.seqLineIn,
			this.planStartDatetime,
			this.lotNo,
			this.lotNo2,
			this.trip,
			this.dolly,
			this.startDatetime,
			this.finishDatetime,
			this.delaySecond,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this.workingDate = '',
		this.shift = '',
		this.seqLineIn = 0,
		this.planStartDatetime = '',
		this.lotNo = '',
		this.lotNo2 = '',
		this.trip = 0,
		this.dolly = '',
this.startDatetime = '',
		this.finishDatetime = '',
this.delaySecond = 0,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this.workingDate,
			this.shift,
			this.seqLineIn,
			this.planStartDatetime,
			this.lotNo,
			this.lotNo2,
			this.trip,
			this.dolly,
			this.startDatetime,
			this.finishDatetime,
			this.delaySecond,
			this.status,
			this.isActive,
			'',
            this.paginationParams.skipCount,
            this.paginationParams.pageSize
        );
    }
    onChangeRowSelection(params: { api: { getSelectedRows: () =&gt; LgaLdsLotPlanDto[] } }) {
        this.saveSelectedRow = params.api.getSelectedRows()[0] ?? new LgaLdsLotPlanDto();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LgaLdsLotPlanDto):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this._service.getLotPlanToExcel(
			this.prodLine,
			this.workingDate,
			this.shift,
			this.seqLineIn,
			this.planStartDatetime,
			this.lotNo,
			this.lotNo2,
			this.trip,
			this.dolly,
			this.startDatetime,
			this.finishDatetime,
			this.delaySecond,
			this.status,
			this.isActive,
            )
            .subscribe((result) =&gt; {
                this._fileDownloadService.downloadTempFile(result);
        });
    }
}</v>
      </c>
      <c r="D59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LogA Lot Direct Supply Plan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[placeholder]="l('Plan Start Datetime')" [(ngModel)]='planStartDatetime' 
									name='planStartDatetime'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[(ngModel)]='lotNo2' name='lotNo2'
									class='form-control' [placeholder]="l('Lot No 2')"
									type='text' (keyup.enter)='searchDatas()'&gt;
								&lt;/div&gt;
								&lt;div class='input-search'&gt;
									&lt;input [(ngModel)]='dolly' name='dolly'
									class='form-control' [placeholder]="l('Dolly')"
									type='text' (keyup.enter)='searchDatas()'&gt;
								&lt;/div&gt;
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(click)="createOrEditModalLotPlan.show()"&gt;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(click)="createOrEditModalLotPlan.show(selectedRow)"&gt;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&lt;create-or-edit-lotplan-modal
    #createOrEditModalLotPlan
    (modalSave)="callBackDataGrid(dataParams)"
    (modalClose)="onChangeRowSelection(dataParams)"
&gt;
&lt;/create-or-edit-lotplan-modal&gt;</v>
      </c>
      <c r="E59" s="49" t="str">
        <f>B.Frontend!J10</f>
        <v>.input-search{
    width: 250px;
    border-radius: 10px;
    margin-left: 10px;
}
.btn-search{
    width: 50px;
    margin-left: 10px;
}</v>
      </c>
      <c r="F59" s="49" t="str">
        <f ca="1">B.Frontend!K10</f>
        <v>&lt;div bsModal #createOrEditModalLotPlan="bs-modal"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LotPlan')}}&lt;/h3&gt;
                    &lt;h3 *ngIf="!rowdata.id"&gt;{{('Create New LotPlan')}}&lt;/h3&gt;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title'&gt;Seq Line In&lt;/label&gt;
						&lt;input type='number' class='col-md-10 form-control input-text' name='SeqLineIn' [(ngModel)]='rowdata.seqLineIn'&gt;
					&lt;/div&gt;
					&lt;div class='col-md-12 form-group row'&gt;
						&lt;label class='col-md-2 form-control title'&gt;Plan Start Datetime&lt;/label&gt;
						&lt;input type='text' class='col-md-10 form-control input-text' name='planStartDatetime' 
						#datepicker='bsDatepicker' [(ngModel)]='rowdata.planStartDatetime'  bsDatepicker 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title'&gt;Lot No 2&lt;/label&gt;
						&lt;input type='text' class='col-md-10 form-control input-text' name='LotNo2' [(ngModel)]='rowdata.lotNo2'&gt;
					&lt;/div&gt;
					&lt;div class='col-md-12 form-group row'&gt;
						&lt;label class='col-md-2 form-control title'&gt;Trip&lt;/label&gt;
						&lt;input type='number' class='col-md-10 form-control input-text' name='Trip' [(ngModel)]='rowdata.trip'&gt;
					&lt;/div&gt;
					&lt;div class='col-md-12 form-group row'&gt;
						&lt;label class='col-md-2 form-control title'&gt;Dolly&lt;/label&gt;
						&lt;input type='text' class='col-md-10 form-control input-text' name='Dolly' [(ngModel)]='rowdata.dolly'&gt;
					&lt;/div&gt;
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
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
					&lt;div class='col-md-12 form-group row'&gt;
						&lt;label class='col-md-2 form-control title'&gt;Delay Second&lt;/label&gt;
						&lt;input type='number' class='col-md-10 form-control input-text' name='DelaySecond' [(ngModel)]='rowdata.delaySecond'&gt;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9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CreateOrEditLgaLdsLotPlanDto, LgaLdsLotPlanServiceProxy } from '@shared/service-proxies/service-proxies';
import { BsDatepickerDirective } from 'ngx-bootstrap/datepicker';
@Component({
    selector: 'create-or-edit-lotplan-modal',
    templateUrl: './create-or-edit-lotplan-modal.component.html',
    styleUrls: ['./create-or-edit-lotplan-modal.component.less']
    })
export class CreateOrEditLotPlanModalComponent extends AppComponentBase {
    @ViewChild('createOrEditModalLotPlan',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CreateOrEditLgaLdsLotPlanDto = new CreateOrEditLgaLdsLotPlanDto();
    active: boolean = false;
    saving: boolean = false;
    _isActive: boolean;
    constructor(
        injector: Injector,
        private _mstwptLotPlanService: LgaLdsLotPlanServiceProxy,
    ) 
    {
        super(injector);
    }
    show(rowdata?: CreateOrEditLgaLdsLotPlanDto): void {
        if (!rowdata) this.rowdata = new CreateOrEditLgaLdsLotPlanDto();
        else this.rowdata = rowdata;
		const dateValue =  this.rowdata.workingDate ? new Date(this.rowdata.workingDate?.toString()) : new Date();
		this.datepicker?.bsValueChange.emit(dateValue);
		const dateValue =  this.rowdata.planStartDatetime ? new Date(this.rowdata.planStartDatetime?.toString()) : new Date();
		this.datepicker?.bsValueChange.emit(dateValue);
		const dateValue =  this.rowdata.startDatetime ? new Date(this.rowdata.startDatetime?.toString()) : new Date();
		this.datepicker?.bsValueChange.emit(dateValue);
		const dateValue =  this.rowdata.finishDatetime ? new Date(this.rowdata.finishDatetime?.toString())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this._mstwptLotPlanService.createOrEdit(this.rowdata)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9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9" s="49" t="str">
        <f>B.Frontend!N10</f>
        <v>import {NgModule} from '@angular/core';
import {AppSharedModule} from '@app/shared/app-shared.module';
import { LotPlanRoutingModule } from './lotplan-routing.module';
import { LotPlanComponent } from './lotplan.component';
import { CreateOrEditLotPlanModalComponent } from './create-or-edit-lotplan-modal.component';
@NgModule({
    declarations: [
       LotPlanComponent, 
        CreateOrEditLotPlanModalComponent
    ],
    imports: [
        AppSharedModule, LotPlanRoutingModule]
})
export class LotPlanModule {}</v>
      </c>
      <c r="J59" s="49" t="str">
        <f>B.Frontend!O10</f>
        <v>import {NgModule} from '@angular/core';
import {RouterModule, Routes} from '@angular/router';
import { LotPlanComponent } from './lotplan.component';
const routes: Routes = [{
    path: '',
    component: LotPlanComponent,
    pathMatch: 'full'
}];
@NgModule({
    imports: [RouterModule.forChild(routes)],
    exports: [RouterModule],
})
export class LotPlanRoutingModule {}</v>
      </c>
      <c r="K59" s="49" t="str">
        <f>B.Frontend!P10</f>
        <v xml:space="preserve"> new AppMenuItem("LotPlan", "Pages.LogA.Lds.LotPlan", "flaticon-book",   "/app/main/loga/lds/lotplan"),</v>
      </c>
      <c r="L59" s="50" t="str">
        <f>B.Frontend!Q10</f>
        <v>{
    path: 'loga/lds/lotplan',
    loadChildren: () =&gt; import('./loga/lds/lotplan/lotplan.module').then(m =&gt; m.LotPlanModule),
    data: { permission: 'Pages.LogA.Lds.LotPlan' }
},</v>
      </c>
      <c r="M59" s="48" t="str">
        <f>B.Frontend!R10</f>
        <v>ApiServiceProxies.LgaLdsLotPlanServiceProxy,</v>
      </c>
    </row>
    <row r="61" spans="2:14" x14ac:dyDescent="0.25">
      <c r="B61" s="1" t="s">
        <v>75</v>
      </c>
    </row>
  </sheetData>
  <mergeCells count="2">
    <mergeCell ref="C57:J57"/>
    <mergeCell ref="K57:L57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4"/>
  <sheetViews>
    <sheetView tabSelected="1" zoomScaleNormal="100" workbookViewId="0">
      <pane xSplit="1" topLeftCell="B1" activePane="topRight" state="frozen"/>
      <selection pane="topRight" activeCell="D16" sqref="D16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vovina.LogA.Lds.Dto;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327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328</v>
      </c>
      <c r="C3" s="10" t="s">
        <v>43</v>
      </c>
      <c r="D3" s="10" t="s">
        <v>44</v>
      </c>
      <c r="E3" s="10" t="s">
        <v>39</v>
      </c>
      <c r="F3" s="11" t="str">
        <f>"J"&amp;COUNTA($A:$A)</f>
        <v>J22</v>
      </c>
      <c r="G3" s="4" t="s">
        <v>57</v>
      </c>
      <c r="H3" s="10" t="str">
        <f>"I"&amp;COUNTA($A:$A)</f>
        <v>I22</v>
      </c>
      <c r="I3" s="10" t="str">
        <f>REPT(CHAR(9),2)&amp;"[Required]"&amp;"
"</f>
        <v xml:space="preserve">		[Required]
</v>
      </c>
      <c r="J3" s="11" t="str">
        <f>"L"&amp;COUNTA($A:$A)</f>
        <v>L22</v>
      </c>
      <c r="K3" s="5" t="s">
        <v>56</v>
      </c>
      <c r="L3" s="11" t="str">
        <f>"M"&amp;COUNTA($A:$A)</f>
        <v>M22</v>
      </c>
      <c r="M3" s="11" t="str">
        <f>"N"&amp;COUNTA($A:$A)</f>
        <v>N22</v>
      </c>
      <c r="N3" s="11" t="str">
        <f>"O"&amp;COUNTA($A:$A)</f>
        <v>O22</v>
      </c>
      <c r="O3" s="11" t="str">
        <f>"P"&amp;COUNTA($A:$A)</f>
        <v>P22</v>
      </c>
      <c r="Q3" s="11" t="str">
        <f>RIGHT(B2,(LEN(B2)-FIND(".",B2,1)))</f>
        <v>Lds</v>
      </c>
      <c r="R3" s="32" t="str">
        <f>REPT(CHAR(9),1)&amp;"public class "&amp;B3&amp;"ExportInput"&amp;C3</f>
        <v xml:space="preserve">	public class LgaLdsLotPlanExportInput{
</v>
      </c>
      <c r="S3" s="11" t="str">
        <f>"namespace "&amp;$B$6&amp;".Exporting
"&amp;$C$3</f>
        <v xml:space="preserve">namespace vovina.LogA.Lds.Exporting
{
</v>
      </c>
      <c r="T3" s="11" t="str">
        <f>"T"&amp;COUNTA($A:$A)</f>
        <v>T22</v>
      </c>
      <c r="V3" s="11" t="str">
        <f>"V"&amp;COUNTA($A:$A)</f>
        <v>V22</v>
      </c>
      <c r="W3" s="10" t="str">
        <f>"W"&amp;COUNTA($A:$A)</f>
        <v>W22</v>
      </c>
    </row>
    <row r="4" spans="1:23" s="11" customFormat="1" ht="33" customHeight="1" x14ac:dyDescent="0.25">
      <c r="A4" s="1" t="s">
        <v>237</v>
      </c>
      <c r="B4" s="64" t="s">
        <v>311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329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vovina.LogA.Lds</v>
      </c>
      <c r="C6" s="11" t="str">
        <f>"namespace "&amp;$B$6&amp;"
"&amp;$C$3</f>
        <v xml:space="preserve">namespace vovina.LogA.Lds
{
</v>
      </c>
      <c r="D6" s="11" t="str">
        <f>REPT(CHAR(9),1)&amp;"public class "&amp;B3&amp;G3&amp;REPT(CHAR(9),1)&amp;"
"&amp;REPT(CHAR(9),1)&amp;C3</f>
        <v xml:space="preserve">	public class LgaLdsLotPlan: FullAuditedEntity&lt;long&gt;, IEntity&lt;long&gt;	
	{
</v>
      </c>
      <c r="E6" s="11" t="str">
        <f>REPT(CHAR(9),1)&amp;"public class "&amp;B3&amp;"Consts"&amp;REPT(CHAR(9),1)&amp;"
"&amp;REPT(CHAR(9),1)&amp;C3</f>
        <v xml:space="preserve">	public class LgaLdsLotPlanConsts	
	{
</v>
      </c>
      <c r="F6" s="11" t="str">
        <f>REPT(CHAR(9),1)&amp;"public class "&amp;B3&amp;"Dto"&amp;K3&amp;REPT(CHAR(9),1)&amp;"
"&amp;REPT(CHAR(9),1)&amp;C3</f>
        <v xml:space="preserve">	public class LgaLdsLotPlanDto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CreateOrEditLgaLdsLotPlanDto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GetLgaLdsLotPlanInput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LgaLdsLotPlan</v>
      </c>
      <c r="C7" s="11" t="str">
        <f>REPT(CHAR(9),1)&amp;"[Table("""&amp;B7&amp;""")]"&amp;"
"</f>
        <v xml:space="preserve">	[Table("LgaLdsLotPlan")]
</v>
      </c>
      <c r="D7" s="11"/>
      <c r="E7" s="11"/>
      <c r="F7" s="11"/>
      <c r="G7" s="11"/>
      <c r="H7" s="11"/>
      <c r="I7" s="11"/>
      <c r="J7" s="6" t="str">
        <f ca="1">SUBSTITUTE(SUBSTITUTE((B1&amp;C6&amp;C7&amp;K24&amp;D6&amp;I24&amp;E3&amp;J24&amp;""&amp;REPT(CHAR(9),1)&amp;D3&amp;D3),"WorkingPattern",$Q$3),"Master",$B$4)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vovina.LogA.Lds
{
	[Table("LgaLdsLotPlan")]
	[Index(nameof(WorkingDate), Name="IX_LgaLdsLotPlan_WorkingDate")]
	[Index(nameof(Shift), Name="IX_LgaLdsLotPlan_Shift")]
	[Index(nameof(Status), Name="IX_LgaLdsLotPlan_Status")]
	[Index(nameof(IsActive), Name="IX_LgaLdsLotPlan_IsActive")]	public class LgaLdsLotPlan: FullAuditedEntity&lt;long&gt;, IEntity&lt;long&gt;	
	{
		public const int MaxProdLineLength = 50;
		public const int MaxShiftLength = 50;
		public const int MaxLotNoLength = 50;
		public const int MaxLotNo2Length = 50;
		public const int MaxDollyLength = 50;
		public const int MaxStatusLength = 50;
		public const int MaxIsActiveLength = 1;
		[StringLength(MaxProdLineLength)]
		public virtual string ProdLine { get; set; }
		[Column(TypeName="date")]
		public virtual DateTime WorkingDate { get; set; }
		[StringLength(MaxShiftLength)]
		public virtual string Shift { get; set; }
		public virtual int SeqLineIn { get; set; }
		[Column(TypeName="datetime2(7)")]
		public virtual DateTime PlanStartDatetime { get; set; }
		[StringLength(MaxLotNoLength)]
		public virtual string LotNo { get; set; }
		[StringLength(MaxLotNo2Length)]
		public virtual string LotNo2 { get; set; }
		public virtual int Trip { get; set; }
		[StringLength(MaxDollyLength)]
		public virtual string Dolly { get; set; }
		[Column(TypeName="datetime2(7)")]
		public virtual DateTime StartDatetime { get; set; }
		[Column(TypeName="datetime2(7)")]
		public virtual DateTime FinishDatetime { get; set; }
		public virtual int DelaySecond { get; set; }
		[StringLength(MaxStatusLength)]
		public virtual string 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DbSet&lt;LgaLdsLotPlan&gt; LgaLdsLotPlans { get; set; }</v>
      </c>
      <c r="L7" t="str">
        <f ca="1">SUBSTITUTE(SUBSTITUTE((C6&amp;E6&amp;I24&amp;"
"&amp;REPT(CHAR(9),2)&amp;"// Define Store Name: Format SP_ + &lt;Store Name&gt; = &lt;Store Name&gt;
"&amp;E3&amp;REPT(CHAR(9),1)&amp;D3&amp;D3),"WorkingPattern",$Q$3),"Master",$B$4)</f>
        <v xml:space="preserve">namespace vovina.LogA.Lds
{
	public class LgaLdsLotPlanConsts	
	{
		public const int MaxProdLineLength = 50;
		public const int MaxShiftLength = 50;
		public const int MaxLotNoLength = 50;
		public const int MaxLotNo2Length = 50;
		public const int MaxDollyLength = 50;
		public const int MaxStatusLength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"&amp;B6&amp;".Dto"&amp;E3&amp;C3&amp;F6&amp;M24&amp;E3&amp;REPT(CHAR(9),1)&amp;D3&amp;G6&amp;N24&amp;REPT(CHAR(9),1)&amp;D3&amp;H6&amp;O24&amp;"
"&amp;REPT(CHAR(9),1)&amp;D3&amp;D3),"WorkingPattern",$Q$3),"Master",$B$4)</f>
        <v xml:space="preserve">using Abp.Application.Services.Dto;
using System;
using System.ComponentModel.DataAnnotations;
namespace vovina.LogA.Lds.Dto
{
	public class LgaLdsLotPlanDto : EntityDto&lt;long?&gt;	
	{
		public virtual string ProdLine { get; set; }
		public virtual DateTime? WorkingDate { get; set; }
		public virtual string Shift { get; set; }
		public virtual int SeqLineIn { get; set; }
		public virtual DateTime? PlanStartDatetime { get; set; }
		public virtual string LotNo { get; set; }
		public virtual string LotNo2 { get; set; }
		public virtual int Trip { get; set; }
		public virtual string Dolly { get; set; }
		public virtual DateTime? StartDatetime { get; set; }
		public virtual DateTime? FinishDatetime { get; set; }
		public virtual int DelaySecond { get; set; }
		public virtual string Status { get; set; }
		public virtual string IsActive { get; set; }
	}
	public class CreateOrEditLgaLdsLotPlanDto : EntityDto&lt;long?&gt;	
	{
		[StringLength(LgaLdsLotPlanConsts.MaxProdLineLength)]
		public virtual string ProdLine { get; set; }
		public virtual DateTime? WorkingDate { get; set; }
		[StringLength(LgaLdsLotPlanConsts.MaxShiftLength)]
		public virtual string Shift { get; set; }
		public virtual int SeqLineIn { get; set; }
		public virtual DateTime? PlanStartDatetime { get; set; }
		[StringLength(LgaLdsLotPlanConsts.MaxLotNoLength)]
		public virtual string LotNo { get; set; }
		[StringLength(LgaLdsLotPlanConsts.MaxLotNo2Length)]
		public virtual string LotNo2 { get; set; }
		public virtual int Trip { get; set; }
		[StringLength(LgaLdsLotPlanConsts.MaxDollyLength)]
		public virtual string Dolly { get; set; }
		public virtual DateTime? StartDatetime { get; set; }
		public virtual DateTime? FinishDatetime { get; set; }
		public virtual int DelaySecond { get; set; }
		[StringLength(LgaLdsLotPlanConsts.MaxStatusLength)]
		public virtual string Status { get; set; }
		[StringLength(LgaLdsLotPlanConsts.MaxIsActiveLength)]
		public virtual string IsActive { get; set; }
	}
	public class GetLgaLdsLotPlanInput : PagedAndSortedResultRequestDto	
	{
		public virtual string ProdLine { get; set; }
		public virtual DateTime? WorkingDate { get; set; }
		public virtual string Shift { get; set; }
		public virtual int SeqLineIn { get; set; }
		public virtual DateTime? PlanStartDatetime { get; set; }
		public virtual string LotNo { get; set; }
		public virtual string LotNo2 { get; set; }
		public virtual int Trip { get; set; }
		public virtual string Dolly { get; set; }
		public virtual DateTime? StartDatetime { get; set; }
		public virtual DateTime? FinishDatetime { get; set; }
		public virtual int DelaySecond { get; set; }
		public virtual string 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perLgaLdsLotPlan = PARENTS.CreateChildPermission(AppPermissions.Pages_LogA_Lds_LotPlan, L( "LogALdsLotPlan"));
		perLgaLdsLotPlan.CreateChildPermission(AppPermissions.Pages_LogA_Lds_LotPlan_CreateEdit, L( "LogALdsLotPlanCreateEdit"));
		perLgaLdsLotPlan.CreateChildPermission(AppPermissions.Pages_LogA_Lds_LotPlan_Delete, L( "LogALdsLotPlanDelete"));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Pages_LogA_Lds_LotPlan = "Pages.LogA.Lds.LotPlan";
		public const string Pages_LogA_Lds_LotPlan_CreateEdit = "Pages.LogA.Lds.LotPlan.CreateEdit";
		public const string Pages_LogA_Lds_LotPlan_Delete = "Pages.LogA.Lds.LotPlan.Delete";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vovina.LogA.Lds.Dto;
namespace vovina.LogA.Lds
{
	public interface ILgaLdsLotPlanAppService : IApplicationService
	{
		Task&lt;PagedResultDto&lt;LgaLdsLotPlanDto&gt;&gt; GetAll(GetLgaLdsLotPlanInput input);
		Task CreateOrEdit(CreateOrEditLgaLdsLotPlanDto input);
		Task Delete(EntityDto input);
	}
}
</v>
      </c>
      <c r="Q7" t="str">
        <f ca="1">SUBSTITUTE(SUBSTITUTE(SUBSTITUTE(SUBSTITUTE(SUBSTITUTE(SUBSTITUTE(E1,"MstWptCalendar",$B$3),"&lt;PROPERTIES&gt;",P24),"Calendar",$B$5),"WorkingPattern",$Q$3),"Master",$B$4),"&lt;PARAMS_SEARCH&gt;",$W$24)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vovina.LogA.Lds.Dto;
using vovina.LogA.Lds.Exporting;
namespace vovina.LogA.Lds
{
    [AbpAuthorize(AppPermissions.Pages_LogA_Lds_LotPlan)]
    public class LgaLdsLotPlanAppService : vovinaAppServiceBase, ILgaLdsLotPlanAppService
    {
        private readonly IDapperRepository&lt;LgaLdsLotPlan, long&gt; _dapperRepo;
        private readonly IRepository&lt;LgaLdsLotPlan, long&gt; _repo;
        private readonly ILgaLdsLotPlanExcelExporter _calendarListExcelExporter;
        public LgaLdsLotPlanAppService(IRepository&lt;LgaLdsLotPlan,long&gt; repo, 
                                         IDapperRepository&lt;LgaLdsLotPlan,long&gt; dapperRepo,
                                        ILgaLdsLotPlanExcelExporter calendarListExcelExporter
            )
        {
            _repo = repo;
            _dapperRepo = dapperRepo;
            _calendarListExcelExporter = calendarListExcelExporter;
        }
        [AbpAuthorize(AppPermissions.Pages_LogA_Lds_LotPlan_CreateEdit)]
        public async Task CreateOrEdit(CreateOrEditLgaLdsLotPlanDto input)
        {
            if (input.Id == null) await Create(input);
            else await Update(input);
        }
        //CREATE
        private async Task Create(CreateOrEditLgaLdsLotPlanDto input)
        {          
            var mainObj = ObjectMapper.Map&lt;LgaLdsLotPlan&gt;(input);
            await CurrentUnitOfWork.GetDbContext&lt;vovinaDbContext&gt;().AddAsync(mainObj);
        }
        // EDIT
        private async Task Update(CreateOrEditLgaLdsLotPlanDto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[AbpAuthorize(AppPermissions.Pages_LogA_Lds_LotPlan_Delete)]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Task&lt;PagedResultDto&lt;LgaLdsLotPlanDto&gt;&gt; GetAll(GetLgaLdsLotPlanInput input)
        {
            var filtered = _repo.GetAll()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.WhereIf(input.PlanStartDatetime.HasValue, t =&gt; t.PlanStartDatetime == input.PlanStartDatetime.Value)
				.WhereIf(!string.IsNullOrWhiteSpace(input.LotNo), e =&gt; e.LotNo.Contains(input.LotNo))
				.WhereIf(!string.IsNullOrWhiteSpace(input.LotNo2), e =&gt; e.LotNo2.Contains(input.LotNo2))
				.WhereIf(!string.IsNullOrWhiteSpace(input.Dolly), e =&gt; e.Dolly.Contains(input.Dolly))
				.WhereIf(input.StartDatetime.HasValue, t =&gt; t.StartDatetime == input.StartDatetime.Value)
				.WhereIf(input.FinishDatetime.HasValue, t =&gt; t.FinishDatetime == input.FinishDatetime.Value)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LgaLdsLotPlanDto
                        {
							Id = o.Id,
							ProdLine = o.ProdLine,
							WorkingDate = o.WorkingDate,
							Shift = o.Shift,
							SeqLineIn = o.SeqLineIn,
							PlanStartDatetime = o.PlanStartDatetime,
							LotNo = o.LotNo,
							LotNo2 = o.LotNo2,
							Trip = o.Trip,
							Dolly = o.Dolly,
							StartDatetime = o.StartDatetime,
							FinishDatetime = o.FinishDatetime,
							DelaySecond = o.DelaySecond,
							Status = o.Status,
							IsActive = o.IsActive,
                        };
            var totalCount = await filtered.CountAsync();
			var paged = system.PageBy(input);
            return new PagedResultDto&lt;LgaLdsLotPlanDto&gt;(
                totalCount,
                 await paged.ToListAsync()
            );
        }
        public async Task&lt;FileDto&gt; GetLotPlanToExcel(LgaLdsLotPlanExportInput input)
        {
            var query = from o in _repo.GetAll()
                        select new LgaLdsLotPlanDto
                        {
							Id = o.Id,
							ProdLine = o.ProdLine,
							WorkingDate = o.WorkingDate,
							Shift = o.Shift,
							SeqLineIn = o.SeqLineIn,
							PlanStartDatetime = o.PlanStartDatetime,
							LotNo = o.LotNo,
							LotNo2 = o.LotNo2,
							Trip = o.Trip,
							Dolly = o.Dolly,
							StartDatetime = o.StartDatetime,
							FinishDatetime = o.FinishDatetime,
							DelaySecond = o.DelaySecond,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_dapperRepo.ExecuteAsync(LgaLdsLotPlanConsts.SP_MST_WPT_CALENDAR_GENERATE);
       // }
    }
}</v>
      </c>
      <c r="R7" t="str">
        <f ca="1">SUBSTITUTE(SUBSTITUTE((C1&amp;"namespace "&amp;B6&amp;".Dto"&amp;E3&amp;C3&amp;R3&amp;M24&amp;E3&amp;REPT(CHAR(9),1)&amp;D3&amp;D3),"WorkingPattern",$Q$3),"Master",$B$4)</f>
        <v xml:space="preserve">using Abp.Application.Services.Dto;
using System;
using System.ComponentModel.DataAnnotations;
namespace vovina.LogA.Lds.Dto
{
	public class LgaLdsLotPlanExportInput{
		public virtual string ProdLine { get; set; }
		public virtual DateTime? WorkingDate { get; set; }
		public virtual string Shift { get; set; }
		public virtual int SeqLineIn { get; set; }
		public virtual DateTime? PlanStartDatetime { get; set; }
		public virtual string LotNo { get; set; }
		public virtual string LotNo2 { get; set; }
		public virtual int Trip { get; set; }
		public virtual string Dolly { get; set; }
		public virtual DateTime? StartDatetime { get; set; }
		public virtual DateTime? FinishDatetime { get; set; }
		public virtual int DelaySecond { get; set; }
		public virtual string 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vovina.LogA.Lds.Dto;
namespace vovina.LogA.Lds.Exporting
{
	public interface ILgaLdsLotPlanExcelExporter : IApplicationService
	{
		FileDto ExportToFile(List&lt;LgaLdsLotPlanDto&gt; lgaldslotplan);
	}
}
</v>
      </c>
      <c r="T7" s="28" t="str">
        <f ca="1">SUBSTITUTE(SUBSTITUTE(SUBSTITUTE(SUBSTITUTE(SUBSTITUTE(SUBSTITUTE(SUBSTITUTE(T1,"MstWptCalendar",$B$3),"&lt;PROPERTIES1&gt;",V24),"&lt;PROPERTIES&gt;",T24),"Calendar",$B$5),"calendar",LOWER(B5)),"WorkingPattern",$Q$3),"Master",$B$4)</f>
        <v>using System.Collections.Generic;
using vovina.DataExporting.Excel.NPOI;
using vovina.Dto;
using vovina.LogA.Lds.Exporting;
using vovina.LogA.Lds.Dto;
using vovina.Storage;
using vovina.LogA.Lds.Dto;
namespace vovina.LogA.Lds.Exporting
{
    public class LgaLdsLotPlanExcelExporter : NpoiExcelExporterBase, ILgaLdsLotPlanExcelExporter
    {
        public LgaLdsLotPlanExcelExporter(ITempFileCacheManager tempFileCacheManager) : base(tempFileCacheManager) { }
        public FileDto ExportToFile(List&lt;LgaLdsLotPlanDto&gt; lotplan)
        {
            return CreateExcelPackage(
				"LogALdsLotPlan.xlsx",
				excelPackage =&gt;
				 {
					var sheet = excelPackage.CreateSheet("LotPlan");
					AddHeader(
								sheet,
								("ProdLine"),
								("WorkingDate"),
								("Shift"),
								("SeqLineIn"),
								("PlanStartDatetime"),
								("LotNo"),
								("LotNo2"),
								("Trip"),
								("Dolly"),
								("StartDatetime"),
								("FinishDatetime"),
								("DelaySecond"),
								("Status"),
								("IsActive"),
							   );
					AddObjects(
						 sheet, 1, lotplan,                                       
								_ =&gt; _.ProdLine,
								_ =&gt; _.WorkingDate,
								_ =&gt; _.Shift,
								_ =&gt; _.SeqLineIn,
								_ =&gt; _.PlanStartDatetime,
								_ =&gt; _.LotNo,
								_ =&gt; _.LotNo2,
								_ =&gt; _.Trip,
								_ =&gt; _.Dolly,
								_ =&gt; _.StartDatetime,
								_ =&gt; _.FinishDatetime,
								_ =&gt; _.DelaySecond,
								_ =&gt; _.Status,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configuration.CreateMap&lt;LgaLdsLotPlanDto, LgaLdsLotPlan&gt;();
  configuration.CreateMap&lt;LgaLdsLotPlan, LgaLdsLotPlanDto&gt;();
  configuration.CreateMap&lt;CreateOrEditLgaLdsLotPlanDto, LgaLdsLotPlan&gt;();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304</v>
      </c>
      <c r="B9" t="s">
        <v>302</v>
      </c>
      <c r="C9" t="s">
        <v>1</v>
      </c>
      <c r="D9" t="str">
        <f>SUBSTITUTE(PROPER(A9),"_","")</f>
        <v>ProdLine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MaxProdLineLength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[StringLength(MaxProdLineLength)]
		public virtual string ProdLine { get; set; }
</v>
      </c>
      <c r="K9" s="7"/>
      <c r="L9" t="str">
        <f>IF(K9="","",REPT(CHAR(9),1)&amp;"[Index(nameof("&amp;IF(D9="","",""&amp;D9)&amp;")"&amp;", Name="&amp;"""IX_"&amp;$B$7&amp;"_"&amp;D9&amp;""")]")</f>
        <v/>
      </c>
      <c r="M9" t="str">
        <f>REPT(CHAR(9),2)&amp;"public virtual "&amp;IF(OR(H9="DateTime",H9="TimeSpan"),H9&amp;"?",H9)&amp;IF(C9="?","? "," ")&amp;D9&amp;" { get; set; }" &amp; "
"</f>
        <v xml:space="preserve">		public virtual string ProdLine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[StringLength(LgaLdsLotPlanConsts.MaxProdLineLength)]
		public virtual string ProdLine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ProdLine { get; set; }
</v>
      </c>
      <c r="P9" t="str">
        <f t="shared" ref="P9:P11" si="4">REPT(CHAR(9),7)&amp;D9&amp;" = o." &amp;D9 &amp;","</f>
        <v xml:space="preserve">							ProdLine = o.ProdLine,</v>
      </c>
      <c r="T9" s="69" t="str">
        <f>REPT(CHAR(9),8)&amp;"("""&amp;D9&amp;"""),"</f>
        <v xml:space="preserve">								("ProdLine"),</v>
      </c>
      <c r="V9" s="70" t="str">
        <f>REPT(CHAR(9),8)&amp;"_ =&gt; _."&amp;D9&amp;","</f>
        <v xml:space="preserve">								_ =&gt; _.ProdLine,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.WhereIf(!string.IsNullOrWhiteSpace(input.ProdLine), e =&gt; e.ProdLine.Contains(input.ProdLine))</v>
      </c>
    </row>
    <row r="10" spans="1:23" customFormat="1" ht="21" customHeight="1" x14ac:dyDescent="0.25">
      <c r="A10" t="s">
        <v>305</v>
      </c>
      <c r="B10" t="s">
        <v>2</v>
      </c>
      <c r="C10" t="s">
        <v>1</v>
      </c>
      <c r="D10" t="str">
        <f t="shared" ref="D10:D11" si="5">SUBSTITUTE(PROPER(A10),"_","")</f>
        <v>WorkingDate</v>
      </c>
      <c r="E10" t="str">
        <f t="shared" si="0"/>
        <v>date</v>
      </c>
      <c r="F10" s="7" t="s">
        <v>2</v>
      </c>
      <c r="G10" t="str">
        <f t="shared" si="1"/>
        <v/>
      </c>
      <c r="H10" t="str">
        <f>+VLOOKUP(E10,'Data Type Mapping'!A:B,2,)</f>
        <v>DateTime</v>
      </c>
      <c r="I10" t="str">
        <f t="shared" si="2"/>
        <v/>
      </c>
      <c r="J10" t="str">
        <f t="shared" si="3"/>
        <v xml:space="preserve">		[Column(TypeName="date")]
		public virtual DateTime WorkingDate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[Index(nameof(WorkingDate), Name="IX_LgaLdsLotPlan_WorkingDate")]</v>
      </c>
      <c r="M10" t="str">
        <f t="shared" ref="M10:M13" si="7">REPT(CHAR(9),2)&amp;"public virtual "&amp;IF(OR(H10="DateTime",H10="TimeSpan"),H10&amp;"?",H10)&amp;IF(C10="?","? "," ")&amp;D10&amp;" { get; set; }" &amp; "
"</f>
        <v xml:space="preserve">		public virtual DateTime? WorkingDate { get; set; }
</v>
      </c>
      <c r="N10" t="str">
        <f t="shared" ref="N10:N13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DateTime? WorkingDate { get; set; }
</v>
      </c>
      <c r="O10" t="str">
        <f t="shared" ref="O10:O13" si="9">IF(OR(H10="string",H10="DateTime",H10="int"),REPT(CHAR(9),2)&amp;"public virtual "&amp;IF(OR(H10="DateTime",H10="TimeSpan"),H10&amp;"?",H10)&amp;IF(C10="?","? "," ")&amp;D10&amp;" { get; set; }"&amp;$E$3,"")</f>
        <v xml:space="preserve">		public virtual DateTime? WorkingDate { get; set; }
</v>
      </c>
      <c r="P10" t="str">
        <f t="shared" si="4"/>
        <v xml:space="preserve">							WorkingDate = o.WorkingDate,</v>
      </c>
      <c r="T10" s="69" t="str">
        <f t="shared" ref="T10:T13" si="10">REPT(CHAR(9),8)&amp;"("""&amp;D10&amp;"""),"</f>
        <v xml:space="preserve">								("WorkingDate"),</v>
      </c>
      <c r="V10" s="70" t="str">
        <f t="shared" ref="V10:V13" si="11">REPT(CHAR(9),8)&amp;"_ =&gt; _."&amp;D10&amp;","</f>
        <v xml:space="preserve">								_ =&gt; _.WorkingDate,</v>
      </c>
      <c r="W10" s="69" t="str">
        <f t="shared" ref="W10:W13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.WhereIf(input.WorkingDate.HasValue, t =&gt; t.WorkingDate == input.WorkingDate.Value)</v>
      </c>
    </row>
    <row r="11" spans="1:23" customFormat="1" ht="18.75" customHeight="1" x14ac:dyDescent="0.25">
      <c r="A11" t="s">
        <v>306</v>
      </c>
      <c r="B11" t="s">
        <v>302</v>
      </c>
      <c r="C11" t="s">
        <v>1</v>
      </c>
      <c r="D11" t="str">
        <f t="shared" si="5"/>
        <v>Shift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MaxShiftLength = 50;
</v>
      </c>
      <c r="J11" t="str">
        <f t="shared" si="3"/>
        <v xml:space="preserve">		[StringLength(MaxShiftLength)]
		public virtual string Shift { get; set; }
</v>
      </c>
      <c r="K11" s="7" t="s">
        <v>206</v>
      </c>
      <c r="L11" t="str">
        <f t="shared" si="6"/>
        <v xml:space="preserve">	[Index(nameof(Shift), Name="IX_LgaLdsLotPlan_Shift")]</v>
      </c>
      <c r="M11" t="str">
        <f t="shared" si="7"/>
        <v xml:space="preserve">		public virtual string Shift { get; set; }
</v>
      </c>
      <c r="N11" t="str">
        <f t="shared" si="8"/>
        <v xml:space="preserve">		[StringLength(LgaLdsLotPlanConsts.MaxShiftLength)]
		public virtual string Shift { get; set; }
</v>
      </c>
      <c r="O11" t="str">
        <f t="shared" si="9"/>
        <v xml:space="preserve">		public virtual string Shift { get; set; }
</v>
      </c>
      <c r="P11" t="str">
        <f t="shared" si="4"/>
        <v xml:space="preserve">							Shift = o.Shift,</v>
      </c>
      <c r="T11" s="69" t="str">
        <f t="shared" si="10"/>
        <v xml:space="preserve">								("Shift"),</v>
      </c>
      <c r="V11" s="70" t="str">
        <f t="shared" si="11"/>
        <v xml:space="preserve">								_ =&gt; _.Shift,</v>
      </c>
      <c r="W11" s="69" t="str">
        <f t="shared" si="12"/>
        <v xml:space="preserve">				.WhereIf(!string.IsNullOrWhiteSpace(input.Shift), e =&gt; e.Shift.Contains(input.Shift))</v>
      </c>
    </row>
    <row r="12" spans="1:23" customFormat="1" ht="21" customHeight="1" x14ac:dyDescent="0.25">
      <c r="A12" t="s">
        <v>308</v>
      </c>
      <c r="B12" t="s">
        <v>4</v>
      </c>
      <c r="C12" t="s">
        <v>1</v>
      </c>
      <c r="D12" t="str">
        <f t="shared" ref="D12:D13" si="13">SUBSTITUTE(PROPER(A12),"_","")</f>
        <v>SeqLineIn</v>
      </c>
      <c r="E12" t="str">
        <f t="shared" ref="E12:E13" si="14">IFERROR(LEFT(B12, FIND("(",B12)-1),B12)</f>
        <v>int</v>
      </c>
      <c r="F12" s="7"/>
      <c r="G12" t="str">
        <f t="shared" ref="G12:G13" si="15">IFERROR(MID(B12,FIND("(",B12) +1, FIND(")",B12) - FIND("(",B12) - 1),"")</f>
        <v/>
      </c>
      <c r="H12" t="str">
        <f>+VLOOKUP(E12,'Data Type Mapping'!A:B,2,)</f>
        <v>int</v>
      </c>
      <c r="I12" t="str">
        <f t="shared" ref="I12:I13" si="16">IF(H12="string",REPT(CHAR(9),2)&amp;"public const int Max"&amp;D12&amp;"Length = "&amp;G12&amp;";"&amp;$E$3,"" )</f>
        <v/>
      </c>
      <c r="J12" t="str">
        <f t="shared" ref="J12:J13" si="17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 SeqLineIn { get; set; }
</v>
      </c>
      <c r="K12" s="7"/>
      <c r="L12" t="str">
        <f t="shared" ref="L12:L13" si="18"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int SeqLineIn { get; set; }
</v>
      </c>
      <c r="N12" t="str">
        <f t="shared" si="8"/>
        <v xml:space="preserve">		public virtual int SeqLineIn { get; set; }
</v>
      </c>
      <c r="O12" t="str">
        <f t="shared" si="9"/>
        <v xml:space="preserve">		public virtual int SeqLineIn { get; set; }
</v>
      </c>
      <c r="P12" t="str">
        <f t="shared" ref="P12:P13" si="19">REPT(CHAR(9),7)&amp;D12&amp;" = o." &amp;D12 &amp;","</f>
        <v xml:space="preserve">							SeqLineIn = o.SeqLineIn,</v>
      </c>
      <c r="T12" s="69" t="str">
        <f t="shared" si="10"/>
        <v xml:space="preserve">								("SeqLineIn"),</v>
      </c>
      <c r="V12" s="70" t="str">
        <f t="shared" si="11"/>
        <v xml:space="preserve">								_ =&gt; _.SeqLineIn,</v>
      </c>
      <c r="W12" s="69" t="str">
        <f t="shared" si="12"/>
        <v/>
      </c>
    </row>
    <row r="13" spans="1:23" customFormat="1" ht="21" customHeight="1" x14ac:dyDescent="0.25">
      <c r="A13" t="s">
        <v>326</v>
      </c>
      <c r="B13" t="s">
        <v>303</v>
      </c>
      <c r="C13" t="s">
        <v>1</v>
      </c>
      <c r="D13" t="str">
        <f t="shared" si="13"/>
        <v>PlanStartDatetime</v>
      </c>
      <c r="E13" t="str">
        <f t="shared" si="14"/>
        <v>datetime2</v>
      </c>
      <c r="F13" s="7" t="s">
        <v>303</v>
      </c>
      <c r="G13" t="str">
        <f t="shared" si="15"/>
        <v>7</v>
      </c>
      <c r="H13" t="str">
        <f>+VLOOKUP(E13,'Data Type Mapping'!A:B,2,)</f>
        <v>DateTime</v>
      </c>
      <c r="I13" t="str">
        <f t="shared" si="16"/>
        <v/>
      </c>
      <c r="J13" t="str">
        <f t="shared" si="17"/>
        <v xml:space="preserve">		[Column(TypeName="datetime2(7)")]
		public virtual DateTime PlanStartDatetime { get; set; }
</v>
      </c>
      <c r="K13" s="7"/>
      <c r="L13" t="str">
        <f t="shared" si="18"/>
        <v/>
      </c>
      <c r="M13" t="str">
        <f t="shared" si="7"/>
        <v xml:space="preserve">		public virtual DateTime? PlanStartDatetime { get; set; }
</v>
      </c>
      <c r="N13" t="str">
        <f t="shared" si="8"/>
        <v xml:space="preserve">		public virtual DateTime? PlanStartDatetime { get; set; }
</v>
      </c>
      <c r="O13" t="str">
        <f t="shared" si="9"/>
        <v xml:space="preserve">		public virtual DateTime? PlanStartDatetime { get; set; }
</v>
      </c>
      <c r="P13" t="str">
        <f t="shared" si="19"/>
        <v xml:space="preserve">							PlanStartDatetime = o.PlanStartDatetime,</v>
      </c>
      <c r="T13" s="69" t="str">
        <f t="shared" si="10"/>
        <v xml:space="preserve">								("PlanStartDatetime"),</v>
      </c>
      <c r="V13" s="70" t="str">
        <f t="shared" si="11"/>
        <v xml:space="preserve">								_ =&gt; _.PlanStartDatetime,</v>
      </c>
      <c r="W13" s="69" t="str">
        <f t="shared" si="12"/>
        <v xml:space="preserve">				.WhereIf(input.PlanStartDatetime.HasValue, t =&gt; t.PlanStartDatetime == input.PlanStartDatetime.Value)</v>
      </c>
    </row>
    <row r="14" spans="1:23" customFormat="1" ht="18.75" customHeight="1" x14ac:dyDescent="0.25">
      <c r="A14" t="s">
        <v>330</v>
      </c>
      <c r="B14" t="s">
        <v>302</v>
      </c>
      <c r="C14" t="s">
        <v>1</v>
      </c>
      <c r="D14" t="str">
        <f t="shared" ref="D14" si="20">SUBSTITUTE(PROPER(A14),"_","")</f>
        <v>LotNo</v>
      </c>
      <c r="E14" t="str">
        <f>IFERROR(LEFT(B14, FIND("(",B14)-1),B14)</f>
        <v>varchar</v>
      </c>
      <c r="F14" s="7"/>
      <c r="G14" t="str">
        <f>IFERROR(MID(B14,FIND("(",B14) +1, FIND(")",B14) - FIND("(",B14) - 1),"")</f>
        <v>50</v>
      </c>
      <c r="H14" t="str">
        <f>+VLOOKUP(E14,'Data Type Mapping'!A:B,2,)</f>
        <v>string</v>
      </c>
      <c r="I14" t="str">
        <f>IF(H14="string",REPT(CHAR(9),2)&amp;"public const int Max"&amp;D14&amp;"Length = "&amp;G14&amp;";"&amp;$E$3,"" )</f>
        <v xml:space="preserve">		public const int MaxLotNoLength = 50;
</v>
      </c>
      <c r="J14" t="str">
        <f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[StringLength(MaxLotNoLength)]
		public virtual string LotNo { get; set; }
</v>
      </c>
      <c r="K14" s="7"/>
      <c r="L14" t="str">
        <f t="shared" ref="L14" si="21">IF(K14="","",REPT(CHAR(9),1)&amp;"[Index(nameof("&amp;IF(D14="","",""&amp;D14)&amp;")"&amp;", Name="&amp;"""IX_"&amp;$B$7&amp;"_"&amp;D14&amp;""")]")</f>
        <v/>
      </c>
      <c r="M14" t="str">
        <f>REPT(CHAR(9),2)&amp;"public virtual "&amp;IF(OR(H14="DateTime",H14="TimeSpan"),H14&amp;"?",H14)&amp;IF(C14="?","? "," ")&amp;D14&amp;" { get; set; }" &amp; "
"</f>
        <v xml:space="preserve">		public virtual string LotNo { get; set; }
</v>
      </c>
      <c r="N14" t="str">
        <f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[StringLength(LgaLdsLotPlanConsts.MaxLotNoLength)]
		public virtual string LotNo { get; set; }
</v>
      </c>
      <c r="O14" t="str">
        <f>IF(OR(H14="string",H14="DateTime",H14="int"),REPT(CHAR(9),2)&amp;"public virtual "&amp;IF(OR(H14="DateTime",H14="TimeSpan"),H14&amp;"?",H14)&amp;IF(C14="?","? "," ")&amp;D14&amp;" { get; set; }"&amp;$E$3,"")</f>
        <v xml:space="preserve">		public virtual string LotNo { get; set; }
</v>
      </c>
      <c r="P14" t="str">
        <f>REPT(CHAR(9),7)&amp;D14&amp;" = o." &amp;D14 &amp;","</f>
        <v xml:space="preserve">							LotNo = o.LotNo,</v>
      </c>
      <c r="T14" s="69" t="str">
        <f>REPT(CHAR(9),8)&amp;"("""&amp;D14&amp;"""),"</f>
        <v xml:space="preserve">								("LotNo"),</v>
      </c>
      <c r="V14" s="70" t="str">
        <f>REPT(CHAR(9),8)&amp;"_ =&gt; _."&amp;D14&amp;","</f>
        <v xml:space="preserve">								_ =&gt; _.LotNo,</v>
      </c>
      <c r="W14" s="69" t="str">
        <f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.WhereIf(!string.IsNullOrWhiteSpace(input.LotNo), e =&gt; e.LotNo.Contains(input.LotNo))</v>
      </c>
    </row>
    <row r="15" spans="1:23" customFormat="1" ht="18.75" customHeight="1" x14ac:dyDescent="0.25">
      <c r="A15" t="s">
        <v>331</v>
      </c>
      <c r="B15" t="s">
        <v>302</v>
      </c>
      <c r="C15" t="s">
        <v>1</v>
      </c>
      <c r="D15" t="str">
        <f t="shared" ref="D15:D16" si="22">SUBSTITUTE(PROPER(A15),"_","")</f>
        <v>LotNo2</v>
      </c>
      <c r="E15" t="str">
        <f>IFERROR(LEFT(B15, FIND("(",B15)-1),B15)</f>
        <v>varchar</v>
      </c>
      <c r="F15" s="7"/>
      <c r="G15" t="str">
        <f>IFERROR(MID(B15,FIND("(",B15) +1, FIND(")",B15) - FIND("(",B15) - 1),"")</f>
        <v>50</v>
      </c>
      <c r="H15" t="str">
        <f>+VLOOKUP(E15,'Data Type Mapping'!A:B,2,)</f>
        <v>string</v>
      </c>
      <c r="I15" t="str">
        <f>IF(H15="string",REPT(CHAR(9),2)&amp;"public const int Max"&amp;D15&amp;"Length = "&amp;G15&amp;";"&amp;$E$3,"" )</f>
        <v xml:space="preserve">		public const int MaxLotNo2Length = 50;
</v>
      </c>
      <c r="J15" t="str">
        <f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[StringLength(MaxLotNo2Length)]
		public virtual string LotNo2 { get; set; }
</v>
      </c>
      <c r="K15" s="7"/>
      <c r="L15" t="str">
        <f t="shared" ref="L15:L16" si="23">IF(K15="","",REPT(CHAR(9),1)&amp;"[Index(nameof("&amp;IF(D15="","",""&amp;D15)&amp;")"&amp;", Name="&amp;"""IX_"&amp;$B$7&amp;"_"&amp;D15&amp;""")]")</f>
        <v/>
      </c>
      <c r="M15" t="str">
        <f>REPT(CHAR(9),2)&amp;"public virtual "&amp;IF(OR(H15="DateTime",H15="TimeSpan"),H15&amp;"?",H15)&amp;IF(C15="?","? "," ")&amp;D15&amp;" { get; set; }" &amp; "
"</f>
        <v xml:space="preserve">		public virtual string LotNo2 { get; set; }
</v>
      </c>
      <c r="N15" t="str">
        <f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[StringLength(LgaLdsLotPlanConsts.MaxLotNo2Length)]
		public virtual string LotNo2 { get; set; }
</v>
      </c>
      <c r="O15" t="str">
        <f>IF(OR(H15="string",H15="DateTime",H15="int"),REPT(CHAR(9),2)&amp;"public virtual "&amp;IF(OR(H15="DateTime",H15="TimeSpan"),H15&amp;"?",H15)&amp;IF(C15="?","? "," ")&amp;D15&amp;" { get; set; }"&amp;$E$3,"")</f>
        <v xml:space="preserve">		public virtual string LotNo2 { get; set; }
</v>
      </c>
      <c r="P15" t="str">
        <f>REPT(CHAR(9),7)&amp;D15&amp;" = o." &amp;D15 &amp;","</f>
        <v xml:space="preserve">							LotNo2 = o.LotNo2,</v>
      </c>
      <c r="T15" s="69" t="str">
        <f>REPT(CHAR(9),8)&amp;"("""&amp;D15&amp;"""),"</f>
        <v xml:space="preserve">								("LotNo2"),</v>
      </c>
      <c r="V15" s="70" t="str">
        <f>REPT(CHAR(9),8)&amp;"_ =&gt; _."&amp;D15&amp;","</f>
        <v xml:space="preserve">								_ =&gt; _.LotNo2,</v>
      </c>
      <c r="W15" s="69" t="str">
        <f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.WhereIf(!string.IsNullOrWhiteSpace(input.LotNo2), e =&gt; e.LotNo2.Contains(input.LotNo2))</v>
      </c>
    </row>
    <row r="16" spans="1:23" customFormat="1" ht="21" customHeight="1" x14ac:dyDescent="0.25">
      <c r="A16" t="s">
        <v>333</v>
      </c>
      <c r="B16" t="s">
        <v>4</v>
      </c>
      <c r="C16" t="s">
        <v>1</v>
      </c>
      <c r="D16" t="str">
        <f t="shared" si="22"/>
        <v>Trip</v>
      </c>
      <c r="E16" t="str">
        <f t="shared" ref="E16" si="24">IFERROR(LEFT(B16, FIND("(",B16)-1),B16)</f>
        <v>int</v>
      </c>
      <c r="F16" s="7"/>
      <c r="G16" t="str">
        <f t="shared" ref="G16" si="25">IFERROR(MID(B16,FIND("(",B16) +1, FIND(")",B16) - FIND("(",B16) - 1),"")</f>
        <v/>
      </c>
      <c r="H16" t="str">
        <f>+VLOOKUP(E16,'Data Type Mapping'!A:B,2,)</f>
        <v>int</v>
      </c>
      <c r="I16" t="str">
        <f t="shared" ref="I16" si="26">IF(H16="string",REPT(CHAR(9),2)&amp;"public const int Max"&amp;D16&amp;"Length = "&amp;G16&amp;";"&amp;$E$3,"" )</f>
        <v/>
      </c>
      <c r="J16" t="str">
        <f t="shared" ref="J16" si="27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int Trip { get; set; }
</v>
      </c>
      <c r="K16" s="7"/>
      <c r="L16" t="str">
        <f t="shared" si="23"/>
        <v/>
      </c>
      <c r="M16" t="str">
        <f t="shared" ref="M16" si="28">REPT(CHAR(9),2)&amp;"public virtual "&amp;IF(OR(H16="DateTime",H16="TimeSpan"),H16&amp;"?",H16)&amp;IF(C16="?","? "," ")&amp;D16&amp;" { get; set; }" &amp; "
"</f>
        <v xml:space="preserve">		public virtual int Trip { get; set; }
</v>
      </c>
      <c r="N16" t="str">
        <f t="shared" ref="N16" si="29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int Trip { get; set; }
</v>
      </c>
      <c r="O16" t="str">
        <f t="shared" ref="O16" si="30">IF(OR(H16="string",H16="DateTime",H16="int"),REPT(CHAR(9),2)&amp;"public virtual "&amp;IF(OR(H16="DateTime",H16="TimeSpan"),H16&amp;"?",H16)&amp;IF(C16="?","? "," ")&amp;D16&amp;" { get; set; }"&amp;$E$3,"")</f>
        <v xml:space="preserve">		public virtual int Trip { get; set; }
</v>
      </c>
      <c r="P16" t="str">
        <f t="shared" ref="P16" si="31">REPT(CHAR(9),7)&amp;D16&amp;" = o." &amp;D16 &amp;","</f>
        <v xml:space="preserve">							Trip = o.Trip,</v>
      </c>
      <c r="T16" s="69" t="str">
        <f t="shared" ref="T16" si="32">REPT(CHAR(9),8)&amp;"("""&amp;D16&amp;"""),"</f>
        <v xml:space="preserve">								("Trip"),</v>
      </c>
      <c r="V16" s="70" t="str">
        <f t="shared" ref="V16" si="33">REPT(CHAR(9),8)&amp;"_ =&gt; _."&amp;D16&amp;","</f>
        <v xml:space="preserve">								_ =&gt; _.Trip,</v>
      </c>
      <c r="W16" s="69" t="str">
        <f t="shared" ref="W16" si="34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25">
      <c r="A17" t="s">
        <v>332</v>
      </c>
      <c r="B17" t="s">
        <v>302</v>
      </c>
      <c r="C17" t="s">
        <v>1</v>
      </c>
      <c r="D17" t="str">
        <f t="shared" ref="D17" si="35">SUBSTITUTE(PROPER(A17),"_","")</f>
        <v>Dolly</v>
      </c>
      <c r="E17" t="str">
        <f>IFERROR(LEFT(B17, FIND("(",B17)-1),B17)</f>
        <v>varchar</v>
      </c>
      <c r="F17" s="7"/>
      <c r="G17" t="str">
        <f>IFERROR(MID(B17,FIND("(",B17) +1, FIND(")",B17) - FIND("(",B17) - 1),"")</f>
        <v>50</v>
      </c>
      <c r="H17" t="str">
        <f>+VLOOKUP(E17,'Data Type Mapping'!A:B,2,)</f>
        <v>string</v>
      </c>
      <c r="I17" t="str">
        <f>IF(H17="string",REPT(CHAR(9),2)&amp;"public const int Max"&amp;D17&amp;"Length = "&amp;G17&amp;";"&amp;$E$3,"" )</f>
        <v xml:space="preserve">		public const int MaxDollyLength = 50;
</v>
      </c>
      <c r="J17" t="str">
        <f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[StringLength(MaxDollyLength)]
		public virtual string Dolly { get; set; }
</v>
      </c>
      <c r="K17" s="7"/>
      <c r="L17" t="str">
        <f t="shared" ref="L17" si="36">IF(K17="","",REPT(CHAR(9),1)&amp;"[Index(nameof("&amp;IF(D17="","",""&amp;D17)&amp;")"&amp;", Name="&amp;"""IX_"&amp;$B$7&amp;"_"&amp;D17&amp;""")]")</f>
        <v/>
      </c>
      <c r="M17" t="str">
        <f>REPT(CHAR(9),2)&amp;"public virtual "&amp;IF(OR(H17="DateTime",H17="TimeSpan"),H17&amp;"?",H17)&amp;IF(C17="?","? "," ")&amp;D17&amp;" { get; set; }" &amp; "
"</f>
        <v xml:space="preserve">		public virtual string Dolly { get; set; }
</v>
      </c>
      <c r="N17" t="str">
        <f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[StringLength(LgaLdsLotPlanConsts.MaxDollyLength)]
		public virtual string Dolly { get; set; }
</v>
      </c>
      <c r="O17" t="str">
        <f>IF(OR(H17="string",H17="DateTime",H17="int"),REPT(CHAR(9),2)&amp;"public virtual "&amp;IF(OR(H17="DateTime",H17="TimeSpan"),H17&amp;"?",H17)&amp;IF(C17="?","? "," ")&amp;D17&amp;" { get; set; }"&amp;$E$3,"")</f>
        <v xml:space="preserve">		public virtual string Dolly { get; set; }
</v>
      </c>
      <c r="P17" t="str">
        <f>REPT(CHAR(9),7)&amp;D17&amp;" = o." &amp;D17 &amp;","</f>
        <v xml:space="preserve">							Dolly = o.Dolly,</v>
      </c>
      <c r="T17" s="69" t="str">
        <f>REPT(CHAR(9),8)&amp;"("""&amp;D17&amp;"""),"</f>
        <v xml:space="preserve">								("Dolly"),</v>
      </c>
      <c r="V17" s="70" t="str">
        <f>REPT(CHAR(9),8)&amp;"_ =&gt; _."&amp;D17&amp;","</f>
        <v xml:space="preserve">								_ =&gt; _.Dolly,</v>
      </c>
      <c r="W17" s="69" t="str">
        <f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.WhereIf(!string.IsNullOrWhiteSpace(input.Dolly), e =&gt; e.Dolly.Contains(input.Dolly))</v>
      </c>
    </row>
    <row r="18" spans="1:23" customFormat="1" ht="21" customHeight="1" x14ac:dyDescent="0.25">
      <c r="A18" t="s">
        <v>324</v>
      </c>
      <c r="B18" t="s">
        <v>303</v>
      </c>
      <c r="C18" t="s">
        <v>1</v>
      </c>
      <c r="D18" t="str">
        <f t="shared" ref="D18" si="37">SUBSTITUTE(PROPER(A18),"_","")</f>
        <v>StartDatetime</v>
      </c>
      <c r="E18" t="str">
        <f t="shared" ref="E18" si="38">IFERROR(LEFT(B18, FIND("(",B18)-1),B18)</f>
        <v>datetime2</v>
      </c>
      <c r="F18" s="7" t="s">
        <v>303</v>
      </c>
      <c r="G18" t="str">
        <f t="shared" ref="G18" si="39">IFERROR(MID(B18,FIND("(",B18) +1, FIND(")",B18) - FIND("(",B18) - 1),"")</f>
        <v>7</v>
      </c>
      <c r="H18" t="str">
        <f>+VLOOKUP(E18,'Data Type Mapping'!A:B,2,)</f>
        <v>DateTime</v>
      </c>
      <c r="I18" t="str">
        <f t="shared" ref="I18" si="40">IF(H18="string",REPT(CHAR(9),2)&amp;"public const int Max"&amp;D18&amp;"Length = "&amp;G18&amp;";"&amp;$E$3,"" )</f>
        <v/>
      </c>
      <c r="J18" t="str">
        <f t="shared" ref="J18" si="41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[Column(TypeName="datetime2(7)")]
		public virtual DateTime StartDatetime { get; set; }
</v>
      </c>
      <c r="K18" s="7"/>
      <c r="L18" t="str">
        <f t="shared" ref="L18" si="42">IF(K18="","",REPT(CHAR(9),1)&amp;"[Index(nameof("&amp;IF(D18="","",""&amp;D18)&amp;")"&amp;", Name="&amp;"""IX_"&amp;$B$7&amp;"_"&amp;D18&amp;""")]")</f>
        <v/>
      </c>
      <c r="M18" t="str">
        <f t="shared" ref="M18" si="43">REPT(CHAR(9),2)&amp;"public virtual "&amp;IF(OR(H18="DateTime",H18="TimeSpan"),H18&amp;"?",H18)&amp;IF(C18="?","? "," ")&amp;D18&amp;" { get; set; }" &amp; "
"</f>
        <v xml:space="preserve">		public virtual DateTime? StartDatetime { get; set; }
</v>
      </c>
      <c r="N18" t="str">
        <f t="shared" ref="N18" si="44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DateTime? StartDatetime { get; set; }
</v>
      </c>
      <c r="O18" t="str">
        <f t="shared" ref="O18" si="45">IF(OR(H18="string",H18="DateTime",H18="int"),REPT(CHAR(9),2)&amp;"public virtual "&amp;IF(OR(H18="DateTime",H18="TimeSpan"),H18&amp;"?",H18)&amp;IF(C18="?","? "," ")&amp;D18&amp;" { get; set; }"&amp;$E$3,"")</f>
        <v xml:space="preserve">		public virtual DateTime? StartDatetime { get; set; }
</v>
      </c>
      <c r="P18" t="str">
        <f t="shared" ref="P18" si="46">REPT(CHAR(9),7)&amp;D18&amp;" = o." &amp;D18 &amp;","</f>
        <v xml:space="preserve">							StartDatetime = o.StartDatetime,</v>
      </c>
      <c r="T18" s="69" t="str">
        <f t="shared" ref="T18" si="47">REPT(CHAR(9),8)&amp;"("""&amp;D18&amp;"""),"</f>
        <v xml:space="preserve">								("StartDatetime"),</v>
      </c>
      <c r="V18" s="70" t="str">
        <f t="shared" ref="V18" si="48">REPT(CHAR(9),8)&amp;"_ =&gt; _."&amp;D18&amp;","</f>
        <v xml:space="preserve">								_ =&gt; _.StartDatetime,</v>
      </c>
      <c r="W18" s="69" t="str">
        <f t="shared" ref="W18" si="49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.WhereIf(input.StartDatetime.HasValue, t =&gt; t.StartDatetime == input.StartDatetime.Value)</v>
      </c>
    </row>
    <row r="19" spans="1:23" customFormat="1" ht="22.5" customHeight="1" x14ac:dyDescent="0.25">
      <c r="A19" t="s">
        <v>325</v>
      </c>
      <c r="B19" t="s">
        <v>303</v>
      </c>
      <c r="C19" t="s">
        <v>1</v>
      </c>
      <c r="D19" t="str">
        <f>SUBSTITUTE(PROPER(A19),"_","")</f>
        <v>FinishDatetime</v>
      </c>
      <c r="E19" t="str">
        <f t="shared" ref="E19" si="50">IFERROR(LEFT(B19, FIND("(",B19)-1),B19)</f>
        <v>datetime2</v>
      </c>
      <c r="F19" s="7" t="s">
        <v>303</v>
      </c>
      <c r="G19" t="str">
        <f t="shared" ref="G19" si="51">IFERROR(MID(B19,FIND("(",B19) +1, FIND(")",B19) - FIND("(",B19) - 1),"")</f>
        <v>7</v>
      </c>
      <c r="H19" t="str">
        <f>+VLOOKUP(E19,'Data Type Mapping'!A:B,2,)</f>
        <v>DateTime</v>
      </c>
      <c r="I19" t="str">
        <f t="shared" ref="I19" si="52">IF(H19="string",REPT(CHAR(9),2)&amp;"public const int Max"&amp;D19&amp;"Length = "&amp;G19&amp;";"&amp;$E$3,"" )</f>
        <v/>
      </c>
      <c r="J19" t="str">
        <f t="shared" ref="J19" si="53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[Column(TypeName="datetime2(7)")]
		public virtual DateTime FinishDatetime { get; set; }
</v>
      </c>
      <c r="K19" s="7"/>
      <c r="L19" t="str">
        <f>IF(K19="","",REPT(CHAR(9),1)&amp;"[Index(nameof("&amp;IF(D19="","",""&amp;D19)&amp;")"&amp;", Name="&amp;"""IX_"&amp;$B$7&amp;"_"&amp;D19&amp;""")]")</f>
        <v/>
      </c>
      <c r="M19" t="str">
        <f t="shared" ref="M19" si="54">REPT(CHAR(9),2)&amp;"public virtual "&amp;IF(OR(H19="DateTime",H19="TimeSpan"),H19&amp;"?",H19)&amp;IF(C19="?","? "," ")&amp;D19&amp;" { get; set; }" &amp; "
"</f>
        <v xml:space="preserve">		public virtual DateTime? FinishDatetime { get; set; }
</v>
      </c>
      <c r="N19" t="str">
        <f t="shared" ref="N19" si="55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DateTime? FinishDatetime { get; set; }
</v>
      </c>
      <c r="O19" t="str">
        <f t="shared" ref="O19" si="56">IF(OR(H19="string",H19="DateTime",H19="int"),REPT(CHAR(9),2)&amp;"public virtual "&amp;IF(OR(H19="DateTime",H19="TimeSpan"),H19&amp;"?",H19)&amp;IF(C19="?","? "," ")&amp;D19&amp;" { get; set; }"&amp;$E$3,"")</f>
        <v xml:space="preserve">		public virtual DateTime? FinishDatetime { get; set; }
</v>
      </c>
      <c r="P19" t="str">
        <f t="shared" ref="P19" si="57">REPT(CHAR(9),7)&amp;D19&amp;" = o." &amp;D19 &amp;","</f>
        <v xml:space="preserve">							FinishDatetime = o.FinishDatetime,</v>
      </c>
      <c r="T19" s="69" t="str">
        <f t="shared" ref="T19" si="58">REPT(CHAR(9),8)&amp;"("""&amp;D19&amp;"""),"</f>
        <v xml:space="preserve">								("FinishDatetime"),</v>
      </c>
      <c r="V19" s="70" t="str">
        <f t="shared" ref="V19" si="59">REPT(CHAR(9),8)&amp;"_ =&gt; _."&amp;D19&amp;","</f>
        <v xml:space="preserve">								_ =&gt; _.FinishDatetime,</v>
      </c>
      <c r="W19" s="69" t="str">
        <f t="shared" ref="W19" si="60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.WhereIf(input.FinishDatetime.HasValue, t =&gt; t.FinishDatetime == input.FinishDatetime.Value)</v>
      </c>
    </row>
    <row r="20" spans="1:23" customFormat="1" ht="22.5" customHeight="1" x14ac:dyDescent="0.25">
      <c r="A20" s="6" t="s">
        <v>310</v>
      </c>
      <c r="B20" t="s">
        <v>4</v>
      </c>
      <c r="C20" t="s">
        <v>1</v>
      </c>
      <c r="D20" t="str">
        <f>SUBSTITUTE(PROPER(A20),"_","")</f>
        <v>DelaySecond</v>
      </c>
      <c r="E20" t="str">
        <f>IFERROR(LEFT(B20, FIND("(",B20)-1),B20)</f>
        <v>int</v>
      </c>
      <c r="F20" s="7"/>
      <c r="G20" t="str">
        <f>IFERROR(MID(B20,FIND("(",B20) +1, FIND(")",B20) - FIND("(",B20) - 1),"")</f>
        <v/>
      </c>
      <c r="H20" t="str">
        <f>+VLOOKUP(E20,'Data Type Mapping'!A:B,2,)</f>
        <v>int</v>
      </c>
      <c r="I20" t="str">
        <f>IF(H20="string",REPT(CHAR(9),2)&amp;"public const int Max"&amp;D20&amp;"Length = "&amp;G20&amp;";"&amp;$E$3,"" )</f>
        <v/>
      </c>
      <c r="J20" t="str">
        <f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public virtual int DelaySecond { get; set; }
</v>
      </c>
      <c r="K20" s="7"/>
      <c r="L20" t="str">
        <f>IF(K20="","",REPT(CHAR(9),1)&amp;"[Index(nameof("&amp;IF(D20="","",""&amp;D20)&amp;")"&amp;", Name="&amp;"""IX_"&amp;$B$7&amp;"_"&amp;D20&amp;""")]")</f>
        <v/>
      </c>
      <c r="M20" t="str">
        <f>REPT(CHAR(9),2)&amp;"public virtual "&amp;IF(OR(H20="DateTime",H20="TimeSpan"),H20&amp;"?",H20)&amp;IF(C20="?","? "," ")&amp;D20&amp;" { get; set; }" &amp; "
"</f>
        <v xml:space="preserve">		public virtual int DelaySecond { get; set; }
</v>
      </c>
      <c r="N20" t="str">
        <f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int DelaySecond { get; set; }
</v>
      </c>
      <c r="O20" t="str">
        <f>IF(OR(H20="string",H20="DateTime",H20="int"),REPT(CHAR(9),2)&amp;"public virtual "&amp;IF(OR(H20="DateTime",H20="TimeSpan"),H20&amp;"?",H20)&amp;IF(C20="?","? "," ")&amp;D20&amp;" { get; set; }"&amp;$E$3,"")</f>
        <v xml:space="preserve">		public virtual int DelaySecond { get; set; }
</v>
      </c>
      <c r="P20" t="str">
        <f>REPT(CHAR(9),7)&amp;D20&amp;" = o." &amp;D20 &amp;","</f>
        <v xml:space="preserve">							DelaySecond = o.DelaySecond,</v>
      </c>
      <c r="T20" s="69" t="str">
        <f>REPT(CHAR(9),8)&amp;"("""&amp;D20&amp;"""),"</f>
        <v xml:space="preserve">								("DelaySecond"),</v>
      </c>
      <c r="V20" s="70" t="str">
        <f>REPT(CHAR(9),8)&amp;"_ =&gt; _."&amp;D20&amp;","</f>
        <v xml:space="preserve">								_ =&gt; _.DelaySecond,</v>
      </c>
      <c r="W20" s="69" t="str">
        <f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/>
      </c>
    </row>
    <row r="21" spans="1:23" customFormat="1" ht="18.75" customHeight="1" x14ac:dyDescent="0.25">
      <c r="A21" s="6" t="s">
        <v>309</v>
      </c>
      <c r="B21" t="s">
        <v>302</v>
      </c>
      <c r="C21" t="s">
        <v>1</v>
      </c>
      <c r="D21" t="str">
        <f t="shared" ref="D21" si="61">SUBSTITUTE(PROPER(A21),"_","")</f>
        <v>Status</v>
      </c>
      <c r="E21" t="str">
        <f t="shared" ref="E21" si="62">IFERROR(LEFT(B21, FIND("(",B21)-1),B21)</f>
        <v>varchar</v>
      </c>
      <c r="F21" s="7"/>
      <c r="G21" t="str">
        <f t="shared" ref="G21" si="63">IFERROR(MID(B21,FIND("(",B21) +1, FIND(")",B21) - FIND("(",B21) - 1),"")</f>
        <v>50</v>
      </c>
      <c r="H21" t="str">
        <f>+VLOOKUP(E21,'Data Type Mapping'!A:B,2,)</f>
        <v>string</v>
      </c>
      <c r="I21" t="str">
        <f t="shared" ref="I21" si="64">IF(H21="string",REPT(CHAR(9),2)&amp;"public const int Max"&amp;D21&amp;"Length = "&amp;G21&amp;";"&amp;$E$3,"" )</f>
        <v xml:space="preserve">		public const int MaxStatusLength = 50;
</v>
      </c>
      <c r="J21" t="str">
        <f t="shared" ref="J21" si="65"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[StringLength(MaxStatusLength)]
		public virtual string Status { get; set; }
</v>
      </c>
      <c r="K21" s="7" t="s">
        <v>206</v>
      </c>
      <c r="L21" t="str">
        <f t="shared" ref="L21" si="66">IF(K21="","",REPT(CHAR(9),1)&amp;"[Index(nameof("&amp;IF(D21="","",""&amp;D21)&amp;")"&amp;", Name="&amp;"""IX_"&amp;$B$7&amp;"_"&amp;D21&amp;""")]")</f>
        <v xml:space="preserve">	[Index(nameof(Status), Name="IX_LgaLdsLotPlan_Status")]</v>
      </c>
      <c r="M21" t="str">
        <f t="shared" ref="M21" si="67">REPT(CHAR(9),2)&amp;"public virtual "&amp;IF(OR(H21="DateTime",H21="TimeSpan"),H21&amp;"?",H21)&amp;IF(C21="?","? "," ")&amp;D21&amp;" { get; set; }" &amp; "
"</f>
        <v xml:space="preserve">		public virtual string Status { get; set; }
</v>
      </c>
      <c r="N21" t="str">
        <f t="shared" ref="N21" si="68"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[StringLength(LgaLdsLotPlanConsts.MaxStatusLength)]
		public virtual string Status { get; set; }
</v>
      </c>
      <c r="O21" t="str">
        <f t="shared" ref="O21" si="69">IF(OR(H21="string",H21="DateTime",H21="int"),REPT(CHAR(9),2)&amp;"public virtual "&amp;IF(OR(H21="DateTime",H21="TimeSpan"),H21&amp;"?",H21)&amp;IF(C21="?","? "," ")&amp;D21&amp;" { get; set; }"&amp;$E$3,"")</f>
        <v xml:space="preserve">		public virtual string Status { get; set; }
</v>
      </c>
      <c r="P21" t="str">
        <f t="shared" ref="P21" si="70">REPT(CHAR(9),7)&amp;D21&amp;" = o." &amp;D21 &amp;","</f>
        <v xml:space="preserve">							Status = o.Status,</v>
      </c>
      <c r="T21" s="69" t="str">
        <f t="shared" ref="T21" si="71">REPT(CHAR(9),8)&amp;"("""&amp;D21&amp;"""),"</f>
        <v xml:space="preserve">								("Status"),</v>
      </c>
      <c r="V21" s="70" t="str">
        <f t="shared" ref="V21" si="72">REPT(CHAR(9),8)&amp;"_ =&gt; _."&amp;D21&amp;","</f>
        <v xml:space="preserve">								_ =&gt; _.Status,</v>
      </c>
      <c r="W21" s="69" t="str">
        <f t="shared" ref="W21" si="73"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 xml:space="preserve">				.WhereIf(!string.IsNullOrWhiteSpace(input.Status), e =&gt; e.Status.Contains(input.Status))</v>
      </c>
    </row>
    <row r="22" spans="1:23" customFormat="1" ht="21" customHeight="1" x14ac:dyDescent="0.25">
      <c r="A22" t="s">
        <v>301</v>
      </c>
      <c r="B22" t="s">
        <v>307</v>
      </c>
      <c r="C22" t="s">
        <v>1</v>
      </c>
      <c r="D22" t="str">
        <f t="shared" ref="D22" si="74">SUBSTITUTE(PROPER(A22),"_","")</f>
        <v>IsActive</v>
      </c>
      <c r="E22" t="str">
        <f t="shared" ref="E22" si="75">IFERROR(LEFT(B22, FIND("(",B22)-1),B22)</f>
        <v>varchar</v>
      </c>
      <c r="F22" s="7"/>
      <c r="G22" t="str">
        <f t="shared" ref="G22" si="76">IFERROR(MID(B22,FIND("(",B22) +1, FIND(")",B22) - FIND("(",B22) - 1),"")</f>
        <v>1</v>
      </c>
      <c r="H22" t="str">
        <f>+VLOOKUP(E22,'Data Type Mapping'!A:B,2,)</f>
        <v>string</v>
      </c>
      <c r="I22" t="str">
        <f t="shared" ref="I22" si="77">IF(H22="string",REPT(CHAR(9),2)&amp;"public const int Max"&amp;D22&amp;"Length = "&amp;G22&amp;";"&amp;$E$3,"" )</f>
        <v xml:space="preserve">		public const int MaxIsActiveLength = 1;
</v>
      </c>
      <c r="J22" t="str">
        <f t="shared" ref="J22" si="78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[StringLength(MaxIsActiveLength)]
		public virtual string IsActive { get; set; }
</v>
      </c>
      <c r="K22" s="7" t="s">
        <v>206</v>
      </c>
      <c r="L22" t="str">
        <f t="shared" ref="L22" si="79">IF(K22="","",REPT(CHAR(9),1)&amp;"[Index(nameof("&amp;IF(D22="","",""&amp;D22)&amp;")"&amp;", Name="&amp;"""IX_"&amp;$B$7&amp;"_"&amp;D22&amp;""")]")</f>
        <v xml:space="preserve">	[Index(nameof(IsActive), Name="IX_LgaLdsLotPlan_IsActive")]</v>
      </c>
      <c r="M22" t="str">
        <f t="shared" ref="M22" si="80">REPT(CHAR(9),2)&amp;"public virtual "&amp;IF(OR(H22="DateTime",H22="TimeSpan"),H22&amp;"?",H22)&amp;IF(C22="?","? "," ")&amp;D22&amp;" { get; set; }" &amp; "
"</f>
        <v xml:space="preserve">		public virtual string IsActive { get; set; }
</v>
      </c>
      <c r="N22" t="str">
        <f t="shared" ref="N22" si="81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[StringLength(LgaLdsLotPlanConsts.MaxIsActiveLength)]
		public virtual string IsActive { get; set; }
</v>
      </c>
      <c r="O22" t="str">
        <f t="shared" ref="O22" si="82">IF(OR(H22="string",H22="DateTime",H22="int"),REPT(CHAR(9),2)&amp;"public virtual "&amp;IF(OR(H22="DateTime",H22="TimeSpan"),H22&amp;"?",H22)&amp;IF(C22="?","? "," ")&amp;D22&amp;" { get; set; }"&amp;$E$3,"")</f>
        <v xml:space="preserve">		public virtual string IsActive { get; set; }
</v>
      </c>
      <c r="P22" t="str">
        <f t="shared" ref="P22" si="83">REPT(CHAR(9),7)&amp;D22&amp;" = o." &amp;D22 &amp;","</f>
        <v xml:space="preserve">							IsActive = o.IsActive,</v>
      </c>
      <c r="T22" s="69" t="str">
        <f t="shared" ref="T22" si="84">REPT(CHAR(9),8)&amp;"("""&amp;D22&amp;"""),"</f>
        <v xml:space="preserve">								("IsActive"),</v>
      </c>
      <c r="V22" s="70" t="str">
        <f t="shared" ref="V22" si="85">REPT(CHAR(9),8)&amp;"_ =&gt; _."&amp;D22&amp;","</f>
        <v xml:space="preserve">								_ =&gt; _.IsActive,</v>
      </c>
      <c r="W22" s="69" t="str">
        <f t="shared" ref="W22" si="86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 xml:space="preserve">				.WhereIf(!string.IsNullOrWhiteSpace(input.IsActive), e =&gt; e.IsActive.Contains(input.IsActive))</v>
      </c>
    </row>
    <row r="24" spans="1:23" ht="45.75" customHeight="1" x14ac:dyDescent="0.25">
      <c r="H24" s="12"/>
      <c r="I24" s="34" t="str">
        <f ca="1">TEXTJOIN2("
", TRUE,INDIRECT( $H$1):INDIRECT( $H$3))</f>
        <v xml:space="preserve">		public const int MaxProdLineLength = 50;
		public const int MaxShiftLength = 50;
		public const int MaxLotNoLength = 50;
		public const int MaxLotNo2Length = 50;
		public const int MaxDollyLength = 50;
		public const int MaxStatusLength = 50;
		public const int MaxIsActiveLength = 1;
</v>
      </c>
      <c r="J24" s="33" t="str">
        <f ca="1">TEXTJOIN2("
", TRUE,INDIRECT( $F$1):INDIRECT( $F$3))</f>
        <v xml:space="preserve">		[StringLength(MaxProdLineLength)]
		public virtual string ProdLine { get; set; }
		[Column(TypeName="date")]
		public virtual DateTime WorkingDate { get; set; }
		[StringLength(MaxShiftLength)]
		public virtual string Shift { get; set; }
		public virtual int SeqLineIn { get; set; }
		[Column(TypeName="datetime2(7)")]
		public virtual DateTime PlanStartDatetime { get; set; }
		[StringLength(MaxLotNoLength)]
		public virtual string LotNo { get; set; }
		[StringLength(MaxLotNo2Length)]
		public virtual string LotNo2 { get; set; }
		public virtual int Trip { get; set; }
		[StringLength(MaxDollyLength)]
		public virtual string Dolly { get; set; }
		[Column(TypeName="datetime2(7)")]
		public virtual DateTime StartDatetime { get; set; }
		[Column(TypeName="datetime2(7)")]
		public virtual DateTime FinishDatetime { get; set; }
		public virtual int DelaySecond { get; set; }
		[StringLength(MaxStatusLength)]
		public virtual string Status { get; set; }
		[StringLength(MaxIsActiveLength)]
		public virtual string IsActive { get; set; }
</v>
      </c>
      <c r="K24" s="35" t="str">
        <f ca="1">TEXTJOIN2("
", TRUE,INDIRECT( $J$1):INDIRECT( $J$3))</f>
        <v xml:space="preserve">	[Index(nameof(WorkingDate), Name="IX_LgaLdsLotPlan_WorkingDate")]
	[Index(nameof(Shift), Name="IX_LgaLdsLotPlan_Shift")]
	[Index(nameof(Status), Name="IX_LgaLdsLotPlan_Status")]
	[Index(nameof(IsActive), Name="IX_LgaLdsLotPlan_IsActive")]</v>
      </c>
      <c r="L24" s="13" t="s">
        <v>60</v>
      </c>
      <c r="M24" s="36" t="str">
        <f ca="1">TEXTJOIN2("
",TRUE,INDIRECT( $L$1):INDIRECT($L$3))</f>
        <v xml:space="preserve">		public virtual string ProdLine { get; set; }
		public virtual DateTime? WorkingDate { get; set; }
		public virtual string Shift { get; set; }
		public virtual int SeqLineIn { get; set; }
		public virtual DateTime? PlanStartDatetime { get; set; }
		public virtual string LotNo { get; set; }
		public virtual string LotNo2 { get; set; }
		public virtual int Trip { get; set; }
		public virtual string Dolly { get; set; }
		public virtual DateTime? StartDatetime { get; set; }
		public virtual DateTime? FinishDatetime { get; set; }
		public virtual int DelaySecond { get; set; }
		public virtual string Status { get; set; }
		public virtual string IsActive { get; set; }
</v>
      </c>
      <c r="N24" s="33" t="str">
        <f ca="1">TEXTJOIN2("
",TRUE,INDIRECT( $M$1):INDIRECT($M$3))</f>
        <v xml:space="preserve">		[StringLength(LgaLdsLotPlanConsts.MaxProdLineLength)]
		public virtual string ProdLine { get; set; }
		public virtual DateTime? WorkingDate { get; set; }
		[StringLength(LgaLdsLotPlanConsts.MaxShiftLength)]
		public virtual string Shift { get; set; }
		public virtual int SeqLineIn { get; set; }
		public virtual DateTime? PlanStartDatetime { get; set; }
		[StringLength(LgaLdsLotPlanConsts.MaxLotNoLength)]
		public virtual string LotNo { get; set; }
		[StringLength(LgaLdsLotPlanConsts.MaxLotNo2Length)]
		public virtual string LotNo2 { get; set; }
		public virtual int Trip { get; set; }
		[StringLength(LgaLdsLotPlanConsts.MaxDollyLength)]
		public virtual string Dolly { get; set; }
		public virtual DateTime? StartDatetime { get; set; }
		public virtual DateTime? FinishDatetime { get; set; }
		public virtual int DelaySecond { get; set; }
		[StringLength(LgaLdsLotPlanConsts.MaxStatusLength)]
		public virtual string Status { get; set; }
		[StringLength(LgaLdsLotPlanConsts.MaxIsActiveLength)]
		public virtual string IsActive { get; set; }
</v>
      </c>
      <c r="O24" s="33" t="str">
        <f ca="1">TEXTJOIN2("
",TRUE,INDIRECT( $N$1):INDIRECT($N$3))</f>
        <v xml:space="preserve">		public virtual string ProdLine { get; set; }
		public virtual DateTime? WorkingDate { get; set; }
		public virtual string Shift { get; set; }
		public virtual int SeqLineIn { get; set; }
		public virtual DateTime? PlanStartDatetime { get; set; }
		public virtual string LotNo { get; set; }
		public virtual string LotNo2 { get; set; }
		public virtual int Trip { get; set; }
		public virtual string Dolly { get; set; }
		public virtual DateTime? StartDatetime { get; set; }
		public virtual DateTime? FinishDatetime { get; set; }
		public virtual int DelaySecond { get; set; }
		public virtual string Status { get; set; }
		public virtual string IsActive { get; set; }
</v>
      </c>
      <c r="P24" s="9" t="str">
        <f ca="1">TEXTJOIN2("
",TRUE,INDIRECT( $O$1):INDIRECT($O$3))</f>
        <v xml:space="preserve">							ProdLine = o.ProdLine,
							WorkingDate = o.WorkingDate,
							Shift = o.Shift,
							SeqLineIn = o.SeqLineIn,
							PlanStartDatetime = o.PlanStartDatetime,
							LotNo = o.LotNo,
							LotNo2 = o.LotNo2,
							Trip = o.Trip,
							Dolly = o.Dolly,
							StartDatetime = o.StartDatetime,
							FinishDatetime = o.FinishDatetime,
							DelaySecond = o.DelaySecond,
							Status = o.Status,
							IsActive = o.IsActive,</v>
      </c>
      <c r="T24" s="9" t="str">
        <f ca="1">TEXTJOIN2("
",TRUE,INDIRECT( $T$2):INDIRECT($T$3))</f>
        <v xml:space="preserve">								("ProdLine"),
								("WorkingDate"),
								("Shift"),
								("SeqLineIn"),
								("PlanStartDatetime"),
								("LotNo"),
								("LotNo2"),
								("Trip"),
								("Dolly"),
								("StartDatetime"),
								("FinishDatetime"),
								("DelaySecond"),
								("Status"),
								("IsActive"),</v>
      </c>
      <c r="V24" s="9" t="str">
        <f ca="1">TEXTJOIN2("
",TRUE,INDIRECT( $V$2):INDIRECT($V$3))</f>
        <v xml:space="preserve">								_ =&gt; _.ProdLine,
								_ =&gt; _.WorkingDate,
								_ =&gt; _.Shift,
								_ =&gt; _.SeqLineIn,
								_ =&gt; _.PlanStartDatetime,
								_ =&gt; _.LotNo,
								_ =&gt; _.LotNo2,
								_ =&gt; _.Trip,
								_ =&gt; _.Dolly,
								_ =&gt; _.StartDatetime,
								_ =&gt; _.FinishDatetime,
								_ =&gt; _.DelaySecond,
								_ =&gt; _.Status,
								_ =&gt; _.IsActive,</v>
      </c>
      <c r="W24" s="9" t="str">
        <f ca="1">TEXTJOIN2("
",TRUE,INDIRECT( $W$2):INDIRECT($W$3))</f>
        <v xml:space="preserve">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.WhereIf(input.PlanStartDatetime.HasValue, t =&gt; t.PlanStartDatetime == input.PlanStartDatetime.Value)
				.WhereIf(!string.IsNullOrWhiteSpace(input.LotNo), e =&gt; e.LotNo.Contains(input.LotNo))
				.WhereIf(!string.IsNullOrWhiteSpace(input.LotNo2), e =&gt; e.LotNo2.Contains(input.LotNo2))
				.WhereIf(!string.IsNullOrWhiteSpace(input.Dolly), e =&gt; e.Dolly.Contains(input.Dolly))
				.WhereIf(input.StartDatetime.HasValue, t =&gt; t.StartDatetime == input.StartDatetime.Value)
				.WhereIf(input.FinishDatetime.HasValue, t =&gt; t.FinishDatetime == input.FinishDatetime.Value)
				.WhereIf(!string.IsNullOrWhiteSpace(input.Status), e =&gt; e.Status.Contains(input.Status))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1"/>
  <sheetViews>
    <sheetView workbookViewId="0">
      <selection activeCell="F27" sqref="F27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334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LogA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loga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Lds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lds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LgaLdsLotPlan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LotPlan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lotplan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LgaLdsLotPlanDto, LgaLdsLotPlanServiceProxy } from '@shared/service-proxies/service-proxies';
import { finalize } from 'rxjs/internal/operators/finalize';
import { CreateOrEditLotPlanModalComponent } from './create-or-edit-lotplan-modal.component';
import { DatePipe } from '@angular/common';
import { FileDownloadService } from '@shared/utils/file-download.service';
import ceil from 'lodash-es/ceil';
import { Paginator } from 'primeng/paginator';
@Component({
    templateUrl: './lotplan.component.html',
    styleUrls: ['./lotplan.component.less'],
})
export class LotPlanComponent extends AppComponentBase implements OnInit {
    @ViewChild('createOrEditModalLotPlan', { static: true }) createOrEditModalLotPlan:| CreateOrEditLotPlanModalComponent|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LgaLdsLotPlanDto = new LgaLdsLotPlanDto();
    saveSelectedRow: LgaLdsLotPlanDto = new LgaLdsLotPlanDto();
    datas: LgaLdsLotPlanDto = new LgaLdsLotPlanDto();
    isLoading: boolean = false;
    dataParams: GridParams | undefined;
    rowData: any[] = [];
    gridApi!: GridApi;
    rowSelection = 'multiple';
    filter: string = '';
	pipe = new DatePipe('en-US');
	frameworkComponents: FrameworkComponent;
    prodLine : string = '' ; 
	workingDate : any ;
	shift : string = '' ; 
	seqLineIn : number = 0 ;
	planStartDatetime : any ;
	lotNo : string = '' ; 
	lotNo2 : string = '' ; 
	trip : number = 0 ;
	dolly : string = '' ; 
startDatetime : any ;
	finishDatetime : any ;
delaySecond : number = 0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LgaLdsLotPlanServiceProxy,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this.l('Seq Line In'),headerTooltip: this.l('Seq Line In'),field: 'seqLineIn',flex: 1},
			{headerName: this.l('Plan Start Datetime'),headerTooltip: this.l('Plan Start Datetime'),field: 'planStartDatetime',valueGetter: (params) =&gt; this.pipe.transform(params.data?.planStartDatetime, 'dd/MM/yyyy'),flex: 1},
			{headerName: this.l('Lot No'),headerTooltip: this.l('Lot No'),field: 'lotNo',flex: 1},
			{headerName: this.l('Lot No 2'),headerTooltip: this.l('Lot No 2'),field: 'lotNo2',flex: 1},
			{headerName: this.l('Trip'),headerTooltip: this.l('Trip'),field: 'trip',flex: 1},
			{headerName: this.l('Dolly'),headerTooltip: this.l('Dolly'),field: 'dolly',flex: 1},
			{headerName: this.l('Start Datetime'),headerTooltip: this.l('Start Datetime'),field: 'startDatetime',valueGetter: (params) =&gt; this.pipe.transform(params.data?.startDatetime, 'dd/MM/yyyy'),flex: 1},
			{headerName: this.l('Finish Datetime'),headerTooltip: this.l('Finish Datetime'),field: 'finishDatetime',valueGetter: (params) =&gt; this.pipe.transform(params.data?.finishDatetime, 'dd/MM/yyyy'),flex: 1},
			{headerName: this.l('Delay Second'),headerTooltip: this.l('Delay Second'),field: 'delaySecond',flex: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this.prodLine,
			this.workingDate,
			this.shift,
			this.seqLineIn,
			this.planStartDatetime,
			this.lotNo,
			this.lotNo2,
			this.trip,
			this.dolly,
			this.startDatetime,
			this.finishDatetime,
			this.delaySecond,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this.workingDate = '',
		this.shift = '',
		this.seqLineIn = 0,
		this.planStartDatetime = '',
		this.lotNo = '',
		this.lotNo2 = '',
		this.trip = 0,
		this.dolly = '',
this.startDatetime = '',
		this.finishDatetime = '',
this.delaySecond = 0,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this.workingDate,
			this.shift,
			this.seqLineIn,
			this.planStartDatetime,
			this.lotNo,
			this.lotNo2,
			this.trip,
			this.dolly,
			this.startDatetime,
			this.finishDatetime,
			this.delaySecond,
			this.status,
			this.isActive,
			'',
            this.paginationParams.skipCount,
            this.paginationParams.pageSize
        );
    }
    onChangeRowSelection(params: { api: { getSelectedRows: () =&gt; LgaLdsLotPlanDto[] } }) {
        this.saveSelectedRow = params.api.getSelectedRows()[0] ?? new LgaLdsLotPlanDto();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LgaLdsLotPlanDto):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this._service.getLotPlanToExcel(
			this.prodLine,
			this.workingDate,
			this.shift,
			this.seqLineIn,
			this.planStartDatetime,
			this.lotNo,
			this.lotNo2,
			this.trip,
			this.dolly,
			this.startDatetime,
			this.finishDatetime,
			this.delaySecond,
			this.status,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LogA Lot Direct Supply Plan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[placeholder]="l('Plan Start Datetime')" [(ngModel)]='planStartDatetime' 
									name='planStartDatetime'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[(ngModel)]='lotNo2' name='lotNo2'
									class='form-control' [placeholder]="l('Lot No 2')"
									type='text' (keyup.enter)='searchDatas()'&gt;
								&lt;/div&gt;
								&lt;div class='input-search'&gt;
									&lt;input [(ngModel)]='dolly' name='dolly'
									class='form-control' [placeholder]="l('Dolly')"
									type='text' (keyup.enter)='searchDatas()'&gt;
								&lt;/div&gt;
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(click)="createOrEditModalLotPlan.show()"&gt;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(click)="createOrEditModalLotPlan.show(selectedRow)"&gt;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&lt;create-or-edit-lotplan-modal
    #createOrEditModalLotPlan
    (modalSave)="callBackDataGrid(dataParams)"
    (modalClose)="onChangeRowSelection(dataParams)"
&gt;
&lt;/create-or-edit-lotplan-modal&gt;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#createOrEditModalLotPlan="bs-modal"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LotPlan')}}&lt;/h3&gt;
                    &lt;h3 *ngIf="!rowdata.id"&gt;{{('Create New LotPlan')}}&lt;/h3&gt;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title'&gt;Seq Line In&lt;/label&gt;
						&lt;input type='number' class='col-md-10 form-control input-text' name='SeqLineIn' [(ngModel)]='rowdata.seqLineIn'&gt;
					&lt;/div&gt;
					&lt;div class='col-md-12 form-group row'&gt;
						&lt;label class='col-md-2 form-control title'&gt;Plan Start Datetime&lt;/label&gt;
						&lt;input type='text' class='col-md-10 form-control input-text' name='planStartDatetime' 
						#datepicker='bsDatepicker' [(ngModel)]='rowdata.planStartDatetime'  bsDatepicker 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title'&gt;Lot No 2&lt;/label&gt;
						&lt;input type='text' class='col-md-10 form-control input-text' name='LotNo2' [(ngModel)]='rowdata.lotNo2'&gt;
					&lt;/div&gt;
					&lt;div class='col-md-12 form-group row'&gt;
						&lt;label class='col-md-2 form-control title'&gt;Trip&lt;/label&gt;
						&lt;input type='number' class='col-md-10 form-control input-text' name='Trip' [(ngModel)]='rowdata.trip'&gt;
					&lt;/div&gt;
					&lt;div class='col-md-12 form-group row'&gt;
						&lt;label class='col-md-2 form-control title'&gt;Dolly&lt;/label&gt;
						&lt;input type='text' class='col-md-10 form-control input-text' name='Dolly' [(ngModel)]='rowdata.dolly'&gt;
					&lt;/div&gt;
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
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
					&lt;div class='col-md-12 form-group row'&gt;
						&lt;label class='col-md-2 form-control title'&gt;Delay Second&lt;/label&gt;
						&lt;input type='number' class='col-md-10 form-control input-text' name='DelaySecond' [(ngModel)]='rowdata.delaySecond'&gt;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CreateOrEditLgaLdsLotPlanDto, LgaLdsLotPlanServiceProxy } from '@shared/service-proxies/service-proxies';
import { BsDatepickerDirective } from 'ngx-bootstrap/datepicker';
@Component({
    selector: 'create-or-edit-lotplan-modal',
    templateUrl: './create-or-edit-lotplan-modal.component.html',
    styleUrls: ['./create-or-edit-lotplan-modal.component.less']
    })
export class CreateOrEditLotPlanModalComponent extends AppComponentBase {
    @ViewChild('createOrEditModalLotPlan',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CreateOrEditLgaLdsLotPlanDto = new CreateOrEditLgaLdsLotPlanDto();
    active: boolean = false;
    saving: boolean = false;
    _isActive: boolean;
    constructor(
        injector: Injector,
        private _mstwptLotPlanService: LgaLdsLotPlanServiceProxy,
    ) 
    {
        super(injector);
    }
    show(rowdata?: CreateOrEditLgaLdsLotPlanDto): void {
        if (!rowdata) this.rowdata = new CreateOrEditLgaLdsLotPlanDto();
        else this.rowdata = rowdata;
		const dateValue =  this.rowdata.workingDate ? new Date(this.rowdata.workingDate?.toString()) : new Date();
		this.datepicker?.bsValueChange.emit(dateValue);
		const dateValue =  this.rowdata.planStartDatetime ? new Date(this.rowdata.planStartDatetime?.toString()) : new Date();
		this.datepicker?.bsValueChange.emit(dateValue);
		const dateValue =  this.rowdata.startDatetime ? new Date(this.rowdata.startDatetime?.toString()) : new Date();
		this.datepicker?.bsValueChange.emit(dateValue);
		const dateValue =  this.rowdata.finishDatetime ? new Date(this.rowdata.finishDatetime?.toString())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this._mstwptLotPlanService.createOrEdit(this.rowdata)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LotPlanRoutingModule } from './lotplan-routing.module';
import { LotPlanComponent } from './lotplan.component';
import { CreateOrEditLotPlanModalComponent } from './create-or-edit-lotplan-modal.component';
@NgModule({
    declarations: [
       LotPlanComponent, 
        CreateOrEditLotPlanModalComponent
    ],
    imports: [
        AppSharedModule, LotPlanRoutingModule]
})
export class LotPlanModule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LotPlanComponent } from './lotplan.component';
const routes: Routes = [{
    path: '',
    component: LotPlanComponent,
    pathMatch: 'full'
}];
@NgModule({
    imports: [RouterModule.forChild(routes)],
    exports: [RouterModule],
})
export class LotPlanRoutingModule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AppMenuItem("LotPlan", "Pages.LogA.Lds.LotPlan", "flaticon-book",   "/app/main/loga/lds/lotplan"),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'loga/lds/lotplan',
    loadChildren: () =&gt; import('./loga/lds/lotplan/lotplan.module').then(m =&gt; m.LotPlanModule),
    data: { permission: 'Pages.LogA.Lds.LotPlan' }
},</v>
      </c>
      <c r="R10" s="50" t="str">
        <f>SUBSTITUTE(R9,"MstWptCalendar",$B$6)</f>
        <v>ApiServiceProxies.LgaLdsLotPlanServiceProxy,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H28</v>
      </c>
      <c r="I12" s="31" t="str">
        <f>"I"&amp;COUNTA($A:$A)</f>
        <v>I28</v>
      </c>
      <c r="J12" s="31"/>
      <c r="K12" s="31" t="str">
        <f>"K"&amp;COUNTA($A:$A)</f>
        <v>K28</v>
      </c>
      <c r="L12" s="31" t="str">
        <f>"L"&amp;COUNTA($A:$A)</f>
        <v>L28</v>
      </c>
      <c r="M12" s="31"/>
      <c r="N12" s="31"/>
      <c r="O12" s="31"/>
      <c r="P12" s="31"/>
      <c r="Q12" s="31"/>
      <c r="R12" s="31"/>
      <c r="S12" s="31" t="str">
        <f>"S"&amp;COUNTA($A:$A)</f>
        <v>S28</v>
      </c>
      <c r="T12" s="31" t="str">
        <f>"T"&amp;COUNTA($A:$A)</f>
        <v>T28</v>
      </c>
      <c r="U12" s="31" t="str">
        <f>"U"&amp;COUNTA($A:$A)</f>
        <v>U28</v>
      </c>
      <c r="V12" s="31" t="str">
        <f>"V"&amp;COUNTA($A:$A)</f>
        <v>V28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this.l('Seq Line In'),headerTooltip: this.l('Seq Line In'),field: 'seqLineIn',flex: 1},
			{headerName: this.l('Plan Start Datetime'),headerTooltip: this.l('Plan Start Datetime'),field: 'planStartDatetime',valueGetter: (params) =&gt; this.pipe.transform(params.data?.planStartDatetime, 'dd/MM/yyyy'),flex: 1},
			{headerName: this.l('Lot No'),headerTooltip: this.l('Lot No'),field: 'lotNo',flex: 1},
			{headerName: this.l('Lot No 2'),headerTooltip: this.l('Lot No 2'),field: 'lotNo2',flex: 1},
			{headerName: this.l('Trip'),headerTooltip: this.l('Trip'),field: 'trip',flex: 1},
			{headerName: this.l('Dolly'),headerTooltip: this.l('Dolly'),field: 'dolly',flex: 1},
			{headerName: this.l('Start Datetime'),headerTooltip: this.l('Start Datetime'),field: 'startDatetime',valueGetter: (params) =&gt; this.pipe.transform(params.data?.startDatetime, 'dd/MM/yyyy'),flex: 1},
			{headerName: this.l('Finish Datetime'),headerTooltip: this.l('Finish Datetime'),field: 'finishDatetime',valueGetter: (params) =&gt; this.pipe.transform(params.data?.finishDatetime, 'dd/MM/yyyy'),flex: 1},
			{headerName: this.l('Delay Second'),headerTooltip: this.l('Delay Second'),field: 'delaySecond',flex: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type='text' [placeholder]="l('Plan Start Datetime')" [(ngModel)]='planStartDatetime' 
									name='planStartDatetime'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[(ngModel)]='lotNo2' name='lotNo2'
									class='form-control' [placeholder]="l('Lot No 2')"
									type='text' (keyup.enter)='searchDatas()'&gt;
								&lt;/div&gt;
								&lt;div class='input-search'&gt;
									&lt;input [(ngModel)]='dolly' name='dolly'
									class='form-control' [placeholder]="l('Dolly')"
									type='text' (keyup.enter)='searchDatas()'&gt;
								&lt;/div&gt;
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title'&gt;Seq Line In&lt;/label&gt;
						&lt;input type='number' class='col-md-10 form-control input-text' name='SeqLineIn' [(ngModel)]='rowdata.seqLineIn'&gt;
					&lt;/div&gt;
					&lt;div class='col-md-12 form-group row'&gt;
						&lt;label class='col-md-2 form-control title'&gt;Plan Start Datetime&lt;/label&gt;
						&lt;input type='text' class='col-md-10 form-control input-text' name='planStartDatetime' 
						#datepicker='bsDatepicker' [(ngModel)]='rowdata.planStartDatetime'  bsDatepicker 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title'&gt;Lot No 2&lt;/label&gt;
						&lt;input type='text' class='col-md-10 form-control input-text' name='LotNo2' [(ngModel)]='rowdata.lotNo2'&gt;
					&lt;/div&gt;
					&lt;div class='col-md-12 form-group row'&gt;
						&lt;label class='col-md-2 form-control title'&gt;Trip&lt;/label&gt;
						&lt;input type='number' class='col-md-10 form-control input-text' name='Trip' [(ngModel)]='rowdata.trip'&gt;
					&lt;/div&gt;
					&lt;div class='col-md-12 form-group row'&gt;
						&lt;label class='col-md-2 form-control title'&gt;Dolly&lt;/label&gt;
						&lt;input type='text' class='col-md-10 form-control input-text' name='Dolly' [(ngModel)]='rowdata.dolly'&gt;
					&lt;/div&gt;
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
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
					&lt;div class='col-md-12 form-group row'&gt;
						&lt;label class='col-md-2 form-control title'&gt;Delay Second&lt;/label&gt;
						&lt;input type='number' class='col-md-10 form-control input-text' name='DelaySecond' [(ngModel)]='rowdata.delaySecond'&gt;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		const dateValue =  this.rowdata.planStartDatetime ? new Date(this.rowdata.planStartDatetime?.toString()) : new Date();
		this.datepicker?.bsValueChange.emit(dateValue);
		const dateValue =  this.rowdata.startDatetime ? new Date(this.rowdata.startDatetime?.toString()) : new Date();
		this.datepicker?.bsValueChange.emit(dateValue);
		const dateValue =  this.rowdata.finishDatetime ? new Date(this.rowdata.finishDatetime?.toString())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prodLine : string = '' ; 
	workingDate : any ;
	shift : string = '' ; 
	seqLineIn : number = 0 ;
	planStartDatetime : any ;
	lotNo : string = '' ; 
	lotNo2 : string = '' ; 
	trip : number = 0 ;
	dolly : string = '' ; 
startDatetime : any ;
	finishDatetime : any ;
delaySecond : number = 0 ;
	status : string = '' ; 
	isActive : string = '' ; </v>
      </c>
      <c r="T13" s="68" t="str">
        <f ca="1">TEXTJOIN2("
",TRUE,INDIRECT(T11):INDIRECT(T12))</f>
        <v xml:space="preserve">			this.prodLine,
			this.workingDate,
			this.shift,
			this.seqLineIn,
			this.planStartDatetime,
			this.lotNo,
			this.lotNo2,
			this.trip,
			this.dolly,
			this.startDatetime,
			this.finishDatetime,
			this.delaySecond,
			this.status,
			this.isActive,</v>
      </c>
      <c r="U13" s="68" t="str">
        <f ca="1">TEXTJOIN2("
",TRUE,INDIRECT(U11):INDIRECT(U12))</f>
        <v>this.prodLine = '',
		this.workingDate = '',
		this.shift = '',
		this.seqLineIn = 0,
		this.planStartDatetime = '',
		this.lotNo = '',
		this.lotNo2 = '',
		this.trip = 0,
		this.dolly = '',
this.startDatetime = '',
		this.finishDatetime = '',
this.delaySecond = 0,
		this.status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lotplan.component.ts</v>
      </c>
      <c r="I14" s="40" t="str">
        <f>B8&amp;".component.html"</f>
        <v>lotplan.component.html</v>
      </c>
      <c r="J14" s="39" t="str">
        <f>B8&amp;".component.less"</f>
        <v>lotplan.component.less</v>
      </c>
      <c r="K14" s="40" t="str">
        <f>"create-or-edit-"&amp;B8&amp;"-modal.component.html"</f>
        <v>create-or-edit-lotplan-modal.component.html</v>
      </c>
      <c r="L14" s="40" t="str">
        <f>"create-or-edit-"&amp;B8&amp;"-modal.component.ts"</f>
        <v>create-or-edit-lotplan-modal.component.ts</v>
      </c>
      <c r="M14" s="40" t="str">
        <f>"create-or-edit-"&amp;B8&amp;"-modal.component.less"</f>
        <v>create-or-edit-lotplan-modal.component.less</v>
      </c>
      <c r="N14" s="40" t="str">
        <f>B8&amp;".module.ts"</f>
        <v>lotplan.module.ts</v>
      </c>
      <c r="O14" s="40" t="str">
        <f>B8&amp;"-routing.module.ts"</f>
        <v>lotplan-routing.module.ts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304</v>
      </c>
      <c r="B15" s="31" t="str">
        <f>SUBSTITUTE(PROPER(A15),"_","")</f>
        <v>ProdLine</v>
      </c>
      <c r="C15" s="31" t="str">
        <f>SUBSTITUTE(PROPER(A15),"_"," ")</f>
        <v>Prod Line</v>
      </c>
      <c r="D15" s="31" t="str">
        <f>LOWER(LEFT(B15,1))&amp;RIGHT(B15,LEN(B15) - 1)</f>
        <v>prodLine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this.l('Prod Line'),headerTooltip: this.l('Prod Line'),field: 'prodLine',flex: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prodLine : string = '' ; </v>
      </c>
      <c r="T15" s="31" t="str">
        <f>REPT(CHAR(9),3)&amp;"this."&amp;D15&amp;","</f>
        <v xml:space="preserve">			this.prodLine,</v>
      </c>
      <c r="U15" s="31" t="str">
        <f>IF(E15="int","this."&amp;D15&amp;" = 0,","this."&amp;D15&amp;" = '',")</f>
        <v>this.prodLine = '',</v>
      </c>
      <c r="V15" s="31" t="str">
        <f>IF(AND(E15="string",F15="1"),D15,"")</f>
        <v/>
      </c>
    </row>
    <row r="16" spans="1:22" ht="15" customHeight="1" x14ac:dyDescent="0.25">
      <c r="A16" s="44" t="s">
        <v>305</v>
      </c>
      <c r="B16" s="31" t="str">
        <f t="shared" ref="B16:B17" si="0">SUBSTITUTE(PROPER(A16),"_","")</f>
        <v>WorkingDate</v>
      </c>
      <c r="C16" s="31" t="str">
        <f t="shared" ref="C16:C17" si="1">SUBSTITUTE(PROPER(A16),"_"," ")</f>
        <v>Working Date</v>
      </c>
      <c r="D16" s="31" t="str">
        <f t="shared" ref="D16:D17" si="2">LOWER(LEFT(B16,1))&amp;RIGHT(B16,LEN(B16) - 1)</f>
        <v>workingDate</v>
      </c>
      <c r="E16" s="31" t="str">
        <f>A.Backend!H10</f>
        <v>DateTime</v>
      </c>
      <c r="F16" s="31" t="str">
        <f>A.Backend!G10</f>
        <v/>
      </c>
      <c r="G16" s="31" t="str">
        <f t="shared" ref="G16:G28" si="3">IF(E16="string"," : string = '' ; ",IF(OR(E16="DateTime",E16="TimeSpan")," : any ;",IF(E16="int"," : number = 0 ;","")))</f>
        <v xml:space="preserve"> : any ;</v>
      </c>
      <c r="H16" s="38" t="str">
        <f t="shared" ref="H16:H28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this.l('Working Date'),headerTooltip: this.l('Working Date'),field: 'workingDate',valueGetter: (params) =&gt; this.pipe.transform(params.data?.workingDate, 'dd/MM/yyyy'),flex: 1},</v>
      </c>
      <c r="I16" s="38" t="str">
        <f t="shared" ref="I16:I28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16" s="31"/>
      <c r="K16" s="38" t="str">
        <f t="shared" ref="K16:K28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6" s="60" t="str">
        <f t="shared" ref="L16:L28" si="7">IF(E16="DateTime",
REPT(CHAR(9),2)&amp;"const dateValue =  this.rowdata."&amp;D16&amp;" ? new Date(this.rowdata."&amp;D16&amp;"?.toString()) : new Date();
"&amp;REPT(CHAR(9),2)&amp;"this.datepicker?.bsValueChange.emit(dateValue);","")</f>
        <v xml:space="preserve">		const dateValue =  this.rowdata.workingDate ? new Date(this.rowdata.workingDate?.toString()) : new Date();
		this.datepicker?.bsValueChange.emit(dateValue);</v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workingDate : any ;</v>
      </c>
      <c r="T16" s="31" t="str">
        <f>REPT(CHAR(9),3)&amp;"this."&amp;D16&amp;","</f>
        <v xml:space="preserve">			this.workingDate,</v>
      </c>
      <c r="U16" s="31" t="str">
        <f>IF(E16="int",REPT(CHAR(9),2)&amp;"this."&amp;D16&amp;" = 0,",REPT(CHAR(9),2)&amp;"this."&amp;D16&amp;" = '',")</f>
        <v xml:space="preserve">		this.workingDate = '',</v>
      </c>
      <c r="V16" s="31" t="str">
        <f t="shared" ref="V16:V28" si="8">IF(AND(E16="string",F16="1"),D16,"")</f>
        <v/>
      </c>
    </row>
    <row r="17" spans="1:22" ht="18" customHeight="1" x14ac:dyDescent="0.25">
      <c r="A17" s="44" t="s">
        <v>306</v>
      </c>
      <c r="B17" s="31" t="str">
        <f t="shared" si="0"/>
        <v>Shift</v>
      </c>
      <c r="C17" s="31" t="str">
        <f t="shared" si="1"/>
        <v>Shift</v>
      </c>
      <c r="D17" s="31" t="str">
        <f t="shared" si="2"/>
        <v>shift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this.l('Shift'),headerTooltip: this.l('Shift'),field: 'shift',flex: 1},</v>
      </c>
      <c r="I17" s="38" t="str">
        <f t="shared" si="5"/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title'&gt;Shift&lt;/label&gt;
						&lt;input type='text' class='col-md-10 form-control input-text' name='Shift' [(ngModel)]='rowdata.shift'&gt;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28" si="9">REPT(CHAR(9),1)&amp;D17&amp;G17</f>
        <v xml:space="preserve">	shift : string = '' ; </v>
      </c>
      <c r="T17" s="31" t="str">
        <f t="shared" ref="T17:T28" si="10">REPT(CHAR(9),3)&amp;"this."&amp;D17&amp;","</f>
        <v xml:space="preserve">			this.shift,</v>
      </c>
      <c r="U17" s="31" t="str">
        <f t="shared" ref="U17:U28" si="11">IF(E17="int",REPT(CHAR(9),2)&amp;"this."&amp;D17&amp;" = 0,",REPT(CHAR(9),2)&amp;"this."&amp;D17&amp;" = '',")</f>
        <v xml:space="preserve">		this.shift = '',</v>
      </c>
      <c r="V17" s="31" t="str">
        <f t="shared" si="8"/>
        <v/>
      </c>
    </row>
    <row r="18" spans="1:22" ht="18" customHeight="1" x14ac:dyDescent="0.25">
      <c r="A18" s="44" t="s">
        <v>308</v>
      </c>
      <c r="B18" s="31" t="str">
        <f>SUBSTITUTE(PROPER(A18),"_","")</f>
        <v>SeqLineIn</v>
      </c>
      <c r="C18" s="31" t="str">
        <f>SUBSTITUTE(PROPER(A18),"_"," ")</f>
        <v>Seq Line In</v>
      </c>
      <c r="D18" s="31" t="str">
        <f>LOWER(LEFT(B18,1))&amp;RIGHT(B18,LEN(B18) - 1)</f>
        <v>seqLineIn</v>
      </c>
      <c r="E18" s="31" t="str">
        <f>A.Backend!H12</f>
        <v>int</v>
      </c>
      <c r="F18" s="31" t="str">
        <f>A.Backend!G12</f>
        <v/>
      </c>
      <c r="G18" s="31" t="str">
        <f t="shared" si="3"/>
        <v xml:space="preserve"> : number = 0 ;</v>
      </c>
      <c r="H18" s="38" t="str">
        <f t="shared" si="4"/>
        <v xml:space="preserve">			{headerName: this.l('Seq Line In'),headerTooltip: this.l('Seq Line In'),field: 'seqLineIn',flex: 1},</v>
      </c>
      <c r="I18" s="38" t="str">
        <f t="shared" si="5"/>
        <v/>
      </c>
      <c r="J18" s="31"/>
      <c r="K18" s="38" t="str">
        <f t="shared" si="6"/>
        <v xml:space="preserve">					&lt;div class='col-md-12 form-group row'&gt;
						&lt;label class='col-md-2 form-control title'&gt;Seq Line In&lt;/label&gt;
						&lt;input type='number' class='col-md-10 form-control input-text' name='SeqLineIn' [(ngModel)]='rowdata.seqLineIn'&gt;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seqLineIn : number = 0 ;</v>
      </c>
      <c r="T18" s="31" t="str">
        <f t="shared" si="10"/>
        <v xml:space="preserve">			this.seqLineIn,</v>
      </c>
      <c r="U18" s="31" t="str">
        <f t="shared" si="11"/>
        <v xml:space="preserve">		this.seqLineIn = 0,</v>
      </c>
      <c r="V18" s="31" t="str">
        <f t="shared" si="8"/>
        <v/>
      </c>
    </row>
    <row r="19" spans="1:22" ht="15" customHeight="1" x14ac:dyDescent="0.25">
      <c r="A19" s="44" t="s">
        <v>326</v>
      </c>
      <c r="B19" s="31" t="str">
        <f t="shared" ref="B19" si="12">SUBSTITUTE(PROPER(A19),"_","")</f>
        <v>PlanStartDatetime</v>
      </c>
      <c r="C19" s="31" t="str">
        <f t="shared" ref="C19" si="13">SUBSTITUTE(PROPER(A19),"_"," ")</f>
        <v>Plan Start Datetime</v>
      </c>
      <c r="D19" s="31" t="str">
        <f t="shared" ref="D19" si="14">LOWER(LEFT(B19,1))&amp;RIGHT(B19,LEN(B19) - 1)</f>
        <v>planStartDatetime</v>
      </c>
      <c r="E19" s="31" t="str">
        <f>A.Backend!H13</f>
        <v>DateTime</v>
      </c>
      <c r="F19" s="31" t="str">
        <f>A.Backend!G13</f>
        <v>7</v>
      </c>
      <c r="G19" s="31" t="str">
        <f t="shared" si="3"/>
        <v xml:space="preserve"> : any ;</v>
      </c>
      <c r="H19" s="38" t="str">
        <f t="shared" si="4"/>
        <v xml:space="preserve">			{headerName: this.l('Plan Start Datetime'),headerTooltip: this.l('Plan Start Datetime'),field: 'planStartDatetime',valueGetter: (params) =&gt; this.pipe.transform(params.data?.planStartDatetime, 'dd/MM/yyyy'),flex: 1},</v>
      </c>
      <c r="I19" s="38" t="str">
        <f t="shared" si="5"/>
        <v xml:space="preserve">								&lt;div class='input-search'&gt;
									&lt;input type='text' [placeholder]="l('Plan Start Datetime')" [(ngModel)]='planStartDatetime' 
									name='planStartDatetime' (keydown)='searchDatas()' class='form-control' 
									bsDatepicker #d='bsDatepicker' placement='bottom left'&gt;
									&lt;i class='fa fa-calendar-alt' (click)='d.toggle()'&gt;&lt;/i&gt;
								&lt;/div&gt;</v>
      </c>
      <c r="J19" s="31"/>
      <c r="K19" s="38" t="str">
        <f t="shared" si="6"/>
        <v xml:space="preserve">					&lt;div class='col-md-12 form-group row'&gt;
						&lt;label class='col-md-2 form-control title'&gt;Plan Start Datetime&lt;/label&gt;
						&lt;input type='text' class='col-md-10 form-control input-text' name='planStartDatetime' 
						#datepicker='bsDatepicker' [(ngModel)]='rowdata.planStartDatetime'  bsDatepicker &gt;
					&lt;/div&gt;</v>
      </c>
      <c r="L19" s="60" t="str">
        <f t="shared" si="7"/>
        <v xml:space="preserve">		const dateValue =  this.rowdata.planStartDatetime ? new Date(this.rowdata.planStartDatetime?.toString()) : new Date();
		this.datepicker?.bsValueChange.emit(dateValue);</v>
      </c>
      <c r="M19" s="31"/>
      <c r="N19" s="31"/>
      <c r="O19" s="31"/>
      <c r="P19" s="31"/>
      <c r="Q19" s="31"/>
      <c r="R19" s="31"/>
      <c r="S19" s="31" t="str">
        <f t="shared" si="9"/>
        <v xml:space="preserve">	planStartDatetime : any ;</v>
      </c>
      <c r="T19" s="31" t="str">
        <f t="shared" si="10"/>
        <v xml:space="preserve">			this.planStartDatetime,</v>
      </c>
      <c r="U19" s="31" t="str">
        <f t="shared" si="11"/>
        <v xml:space="preserve">		this.planStartDatetime = '',</v>
      </c>
      <c r="V19" s="31" t="str">
        <f t="shared" si="8"/>
        <v/>
      </c>
    </row>
    <row r="20" spans="1:22" ht="18" customHeight="1" x14ac:dyDescent="0.25">
      <c r="A20" s="44" t="s">
        <v>330</v>
      </c>
      <c r="B20" s="31" t="str">
        <f>SUBSTITUTE(PROPER(A20),"_","")</f>
        <v>LotNo</v>
      </c>
      <c r="C20" s="31" t="str">
        <f>SUBSTITUTE(PROPER(A20),"_"," ")</f>
        <v>Lot No</v>
      </c>
      <c r="D20" s="31" t="str">
        <f>LOWER(LEFT(B20,1))&amp;RIGHT(B20,LEN(B20) - 1)</f>
        <v>lotNo</v>
      </c>
      <c r="E20" s="31" t="str">
        <f>A.Backend!H14</f>
        <v>string</v>
      </c>
      <c r="F20" s="31" t="str">
        <f>A.Backend!G14</f>
        <v>50</v>
      </c>
      <c r="G20" s="31" t="str">
        <f t="shared" ref="G20:G21" si="15">IF(E20="string"," : string = '' ; ",IF(OR(E20="DateTime",E20="TimeSpan")," : any ;",IF(E20="int"," : number = 0 ;","")))</f>
        <v xml:space="preserve"> : string = '' ; </v>
      </c>
      <c r="H20" s="38" t="str">
        <f t="shared" ref="H20:H21" si="16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this.l('Lot No'),headerTooltip: this.l('Lot No'),field: 'lotNo',flex: 1},</v>
      </c>
      <c r="I20" s="38" t="str">
        <f t="shared" ref="I20:I21" si="17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20" s="31"/>
      <c r="K20" s="38" t="str">
        <f t="shared" ref="K20:K21" si="18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20" s="60" t="str">
        <f t="shared" ref="L20:L21" si="19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 t="shared" ref="S20:S21" si="20">REPT(CHAR(9),1)&amp;D20&amp;G20</f>
        <v xml:space="preserve">	lotNo : string = '' ; </v>
      </c>
      <c r="T20" s="31" t="str">
        <f t="shared" ref="T20:T21" si="21">REPT(CHAR(9),3)&amp;"this."&amp;D20&amp;","</f>
        <v xml:space="preserve">			this.lotNo,</v>
      </c>
      <c r="U20" s="31" t="str">
        <f t="shared" ref="U20:U21" si="22">IF(E20="int",REPT(CHAR(9),2)&amp;"this."&amp;D20&amp;" = 0,",REPT(CHAR(9),2)&amp;"this."&amp;D20&amp;" = '',")</f>
        <v xml:space="preserve">		this.lotNo = '',</v>
      </c>
      <c r="V20" s="31" t="str">
        <f t="shared" ref="V20:V21" si="23">IF(AND(E20="string",F20="1"),D20,"")</f>
        <v/>
      </c>
    </row>
    <row r="21" spans="1:22" ht="15" customHeight="1" x14ac:dyDescent="0.25">
      <c r="A21" s="44" t="s">
        <v>331</v>
      </c>
      <c r="B21" s="31" t="str">
        <f t="shared" ref="B21" si="24">SUBSTITUTE(PROPER(A21),"_","")</f>
        <v>LotNo2</v>
      </c>
      <c r="C21" s="31" t="str">
        <f t="shared" ref="C21" si="25">SUBSTITUTE(PROPER(A21),"_"," ")</f>
        <v>Lot No 2</v>
      </c>
      <c r="D21" s="31" t="str">
        <f t="shared" ref="D21" si="26">LOWER(LEFT(B21,1))&amp;RIGHT(B21,LEN(B21) - 1)</f>
        <v>lotNo2</v>
      </c>
      <c r="E21" s="31" t="str">
        <f>A.Backend!H15</f>
        <v>string</v>
      </c>
      <c r="F21" s="31" t="str">
        <f>A.Backend!G15</f>
        <v>50</v>
      </c>
      <c r="G21" s="31" t="str">
        <f t="shared" si="15"/>
        <v xml:space="preserve"> : string = '' ; </v>
      </c>
      <c r="H21" s="38" t="str">
        <f t="shared" si="16"/>
        <v xml:space="preserve">			{headerName: this.l('Lot No 2'),headerTooltip: this.l('Lot No 2'),field: 'lotNo2',flex: 1},</v>
      </c>
      <c r="I21" s="38" t="str">
        <f t="shared" si="17"/>
        <v xml:space="preserve">								&lt;div class='input-search'&gt;
									&lt;input [(ngModel)]='lotNo2' name='lotNo2'
									class='form-control' [placeholder]="l('Lot No 2')"
									type='text' (keyup.enter)='searchDatas()'&gt;
								&lt;/div&gt;</v>
      </c>
      <c r="J21" s="31"/>
      <c r="K21" s="38" t="str">
        <f t="shared" si="18"/>
        <v xml:space="preserve">					&lt;div class='col-md-12 form-group row'&gt;
						&lt;label class='col-md-2 form-control title'&gt;Lot No 2&lt;/label&gt;
						&lt;input type='text' class='col-md-10 form-control input-text' name='LotNo2' [(ngModel)]='rowdata.lotNo2'&gt;
					&lt;/div&gt;</v>
      </c>
      <c r="L21" s="60" t="str">
        <f t="shared" si="19"/>
        <v/>
      </c>
      <c r="M21" s="31"/>
      <c r="N21" s="31"/>
      <c r="O21" s="31"/>
      <c r="P21" s="31"/>
      <c r="Q21" s="31"/>
      <c r="R21" s="31"/>
      <c r="S21" s="31" t="str">
        <f t="shared" si="20"/>
        <v xml:space="preserve">	lotNo2 : string = '' ; </v>
      </c>
      <c r="T21" s="31" t="str">
        <f t="shared" si="21"/>
        <v xml:space="preserve">			this.lotNo2,</v>
      </c>
      <c r="U21" s="31" t="str">
        <f t="shared" si="22"/>
        <v xml:space="preserve">		this.lotNo2 = '',</v>
      </c>
      <c r="V21" s="31" t="str">
        <f t="shared" si="23"/>
        <v/>
      </c>
    </row>
    <row r="22" spans="1:22" ht="18" customHeight="1" x14ac:dyDescent="0.25">
      <c r="A22" s="44" t="s">
        <v>333</v>
      </c>
      <c r="B22" s="31" t="str">
        <f>SUBSTITUTE(PROPER(A22),"_","")</f>
        <v>Trip</v>
      </c>
      <c r="C22" s="31" t="str">
        <f>SUBSTITUTE(PROPER(A22),"_"," ")</f>
        <v>Trip</v>
      </c>
      <c r="D22" s="31" t="str">
        <f>LOWER(LEFT(B22,1))&amp;RIGHT(B22,LEN(B22) - 1)</f>
        <v>trip</v>
      </c>
      <c r="E22" s="31" t="str">
        <f>A.Backend!H16</f>
        <v>int</v>
      </c>
      <c r="F22" s="31" t="str">
        <f>A.Backend!G16</f>
        <v/>
      </c>
      <c r="G22" s="31" t="str">
        <f t="shared" ref="G22:G23" si="27">IF(E22="string"," : string = '' ; ",IF(OR(E22="DateTime",E22="TimeSpan")," : any ;",IF(E22="int"," : number = 0 ;","")))</f>
        <v xml:space="preserve"> : number = 0 ;</v>
      </c>
      <c r="H22" s="38" t="str">
        <f t="shared" ref="H22:H23" si="28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this.l('Trip'),headerTooltip: this.l('Trip'),field: 'trip',flex: 1},</v>
      </c>
      <c r="I22" s="38" t="str">
        <f t="shared" ref="I22:I23" si="29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/>
      </c>
      <c r="J22" s="31"/>
      <c r="K22" s="38" t="str">
        <f t="shared" ref="K22:K23" si="30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title'&gt;Trip&lt;/label&gt;
						&lt;input type='number' class='col-md-10 form-control input-text' name='Trip' [(ngModel)]='rowdata.trip'&gt;
					&lt;/div&gt;</v>
      </c>
      <c r="L22" s="60" t="str">
        <f t="shared" ref="L22:L23" si="31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:S23" si="32">REPT(CHAR(9),1)&amp;D22&amp;G22</f>
        <v xml:space="preserve">	trip : number = 0 ;</v>
      </c>
      <c r="T22" s="31" t="str">
        <f t="shared" ref="T22:T23" si="33">REPT(CHAR(9),3)&amp;"this."&amp;D22&amp;","</f>
        <v xml:space="preserve">			this.trip,</v>
      </c>
      <c r="U22" s="31" t="str">
        <f t="shared" ref="U22:U23" si="34">IF(E22="int",REPT(CHAR(9),2)&amp;"this."&amp;D22&amp;" = 0,",REPT(CHAR(9),2)&amp;"this."&amp;D22&amp;" = '',")</f>
        <v xml:space="preserve">		this.trip = 0,</v>
      </c>
      <c r="V22" s="31" t="str">
        <f t="shared" ref="V22:V23" si="35">IF(AND(E22="string",F22="1"),D22,"")</f>
        <v/>
      </c>
    </row>
    <row r="23" spans="1:22" ht="15" customHeight="1" x14ac:dyDescent="0.25">
      <c r="A23" s="44" t="s">
        <v>332</v>
      </c>
      <c r="B23" s="31" t="str">
        <f t="shared" ref="B23" si="36">SUBSTITUTE(PROPER(A23),"_","")</f>
        <v>Dolly</v>
      </c>
      <c r="C23" s="31" t="str">
        <f t="shared" ref="C23" si="37">SUBSTITUTE(PROPER(A23),"_"," ")</f>
        <v>Dolly</v>
      </c>
      <c r="D23" s="31" t="str">
        <f t="shared" ref="D23" si="38">LOWER(LEFT(B23,1))&amp;RIGHT(B23,LEN(B23) - 1)</f>
        <v>dolly</v>
      </c>
      <c r="E23" s="31" t="str">
        <f>A.Backend!H17</f>
        <v>string</v>
      </c>
      <c r="F23" s="31" t="str">
        <f>A.Backend!G17</f>
        <v>50</v>
      </c>
      <c r="G23" s="31" t="str">
        <f t="shared" si="27"/>
        <v xml:space="preserve"> : string = '' ; </v>
      </c>
      <c r="H23" s="38" t="str">
        <f t="shared" si="28"/>
        <v xml:space="preserve">			{headerName: this.l('Dolly'),headerTooltip: this.l('Dolly'),field: 'dolly',flex: 1},</v>
      </c>
      <c r="I23" s="38" t="str">
        <f t="shared" si="29"/>
        <v xml:space="preserve">								&lt;div class='input-search'&gt;
									&lt;input [(ngModel)]='dolly' name='dolly'
									class='form-control' [placeholder]="l('Dolly')"
									type='text' (keyup.enter)='searchDatas()'&gt;
								&lt;/div&gt;</v>
      </c>
      <c r="J23" s="31"/>
      <c r="K23" s="38" t="str">
        <f t="shared" si="30"/>
        <v xml:space="preserve">					&lt;div class='col-md-12 form-group row'&gt;
						&lt;label class='col-md-2 form-control title'&gt;Dolly&lt;/label&gt;
						&lt;input type='text' class='col-md-10 form-control input-text' name='Dolly' [(ngModel)]='rowdata.dolly'&gt;
					&lt;/div&gt;</v>
      </c>
      <c r="L23" s="60" t="str">
        <f t="shared" si="31"/>
        <v/>
      </c>
      <c r="M23" s="31"/>
      <c r="N23" s="31"/>
      <c r="O23" s="31"/>
      <c r="P23" s="31"/>
      <c r="Q23" s="31"/>
      <c r="R23" s="31"/>
      <c r="S23" s="31" t="str">
        <f t="shared" si="32"/>
        <v xml:space="preserve">	dolly : string = '' ; </v>
      </c>
      <c r="T23" s="31" t="str">
        <f t="shared" si="33"/>
        <v xml:space="preserve">			this.dolly,</v>
      </c>
      <c r="U23" s="31" t="str">
        <f t="shared" si="34"/>
        <v xml:space="preserve">		this.dolly = '',</v>
      </c>
      <c r="V23" s="31" t="str">
        <f t="shared" si="35"/>
        <v/>
      </c>
    </row>
    <row r="24" spans="1:22" ht="18" customHeight="1" x14ac:dyDescent="0.25">
      <c r="A24" s="44" t="s">
        <v>324</v>
      </c>
      <c r="B24" s="31" t="str">
        <f>SUBSTITUTE(PROPER(A24),"_","")</f>
        <v>StartDatetime</v>
      </c>
      <c r="C24" s="31" t="str">
        <f>SUBSTITUTE(PROPER(A24),"_"," ")</f>
        <v>Start Datetime</v>
      </c>
      <c r="D24" s="31" t="str">
        <f>LOWER(LEFT(B24,1))&amp;RIGHT(B24,LEN(B24) - 1)</f>
        <v>startDatetime</v>
      </c>
      <c r="E24" s="31" t="str">
        <f>A.Backend!H18</f>
        <v>DateTime</v>
      </c>
      <c r="F24" s="31" t="str">
        <f>A.Backend!G18</f>
        <v>7</v>
      </c>
      <c r="G24" s="31" t="str">
        <f>IF(E24="string"," : string = '' ; ",IF(OR(E24="DateTime",E24="TimeSpan")," : any ;",IF(E24="int"," : number = 0 ;","")))</f>
        <v xml:space="preserve"> : any ;</v>
      </c>
      <c r="H24" s="38" t="str">
        <f>IF(E24="DateTime",
REPT(CHAR(9),3)&amp;"{headerName: this.l('"&amp;C24&amp;"'),headerTooltip: this.l('"&amp;C24&amp;"'),field: '"&amp;D24&amp;"',valueGetter: (params) =&gt; this.pipe.transform(params.data?."&amp;D24&amp;", 'dd/MM/yyyy'),flex: 1},",
IF(AND(E24="string",F24="1"),
REPT(CHAR(9),3)&amp;"{headerName: this.l('"&amp;C24&amp;"'),headerTooltip: this.l('"&amp;C24&amp;"'),field:  '"&amp;D24&amp;"', cellClass: ['text-center'], width: 120, cellRenderer: 'agCellButtonComponent',
buttonDefTwo: { text: params =&gt; (params.data?.'"&amp;D24&amp;"' == 'Y') ? 'Active' : 'Inactive',iconName: 'fa fa-circle',className: params =&gt; (params.data?.'"&amp;D24&amp;"' == 'Y') ? 'btnActive' : 'btnInActive',},}",
REPT(CHAR(9),3)&amp;"{headerName: this.l('"&amp;C24&amp;"'),headerTooltip: this.l('"&amp;C24&amp;"'),field: '"&amp;D24&amp;"',flex: 1},"))</f>
        <v xml:space="preserve">			{headerName: this.l('Start Datetime'),headerTooltip: this.l('Start Datetime'),field: 'startDatetime',valueGetter: (params) =&gt; this.pipe.transform(params.data?.startDatetime, 'dd/MM/yyyy'),flex: 1},</v>
      </c>
      <c r="I24" s="38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IF(E24="string",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type='text' [placeholder]="l('Start Datetime')" [(ngModel)]='startDatetime' 
									name='startDatetime' (keydown)='searchDatas()' class='form-control' 
									bsDatepicker #d='bsDatepicker' placement='bottom left'&gt;
									&lt;i class='fa fa-calendar-alt' (click)='d.toggle()'&gt;&lt;/i&gt;
								&lt;/div&gt;</v>
      </c>
      <c r="J24" s="31"/>
      <c r="K24" s="38" t="str">
        <f>IF(OR(E24="DateTime",E24="TimeSpan"),
REPT(CHAR(9),5)&amp;"&lt;div class='col-md-12 form-group row'&gt;
"&amp;REPT(CHAR(9),6)&amp;"&lt;label class='col-md-2 form-control title'&gt;"&amp;C24&amp;"&lt;/label&gt;
"&amp;REPT(CHAR(9),6)&amp;"&lt;input type='text' class='col-md-10 form-control input-text' name='"&amp;D24&amp;"' 
"&amp;REPT(CHAR(9),6)&amp;"#datepicker='bsDatepicker' [(ngModel)]='rowdata."&amp;D24&amp;"'  bsDatepicker &gt;
"&amp;REPT(CHAR(9),5)&amp;"&lt;/div&gt;",
IF(AND(E24="string",F24="1"),
REPT(CHAR(9),5)&amp;"&lt;div class='col-md-12 form-group row'&gt;
"&amp;REPT(CHAR(9),6)&amp;"&lt;label class='col-md-2 form-control title'&gt;"&amp;C24&amp;"&lt;/label&gt;
"&amp;REPT(CHAR(9),6)&amp;"&lt;new-checkbox [(ngModel)]='_"&amp;D24&amp;"' name='"&amp;D24&amp;"' className='col-md-10' &gt; &lt;/new-checkbox&gt;
"&amp;REPT(CHAR(9),5)&amp;"&lt;/div&gt;",
IF(E24="string",
REPT(CHAR(9),5)&amp;"&lt;div class='col-md-12 form-group row'&gt;
"&amp;REPT(CHAR(9),6)&amp;"&lt;label class='col-md-2 form-control title'&gt;"&amp;C24&amp;"&lt;/label&gt;
"&amp;REPT(CHAR(9),6)&amp;"&lt;input type='text' class='col-md-10 form-control input-text' name='"&amp;B24&amp;"' [(ngModel)]='rowdata."&amp;D24&amp;"'&gt;
"&amp;REPT(CHAR(9),5)&amp;"&lt;/div&gt;",
IF(E24="int",
REPT(CHAR(9),5)&amp;"&lt;div class='col-md-12 form-group row'&gt;
"&amp;REPT(CHAR(9),6)&amp;"&lt;label class='col-md-2 form-control title'&gt;"&amp;C24&amp;"&lt;/label&gt;
"&amp;REPT(CHAR(9),6)&amp;"&lt;input type='number' class='col-md-10 form-control input-text' name='"&amp;B24&amp;"' [(ngModel)]='rowdata."&amp;D24&amp;"'&gt;
"&amp;REPT(CHAR(9),5)&amp;"&lt;/div&gt;",""))))</f>
        <v xml:space="preserve">					&lt;div class='col-md-12 form-group row'&gt;
						&lt;label class='col-md-2 form-control title'&gt;Start Datetime&lt;/label&gt;
						&lt;input type='text' class='col-md-10 form-control input-text' name='startDatetime' 
						#datepicker='bsDatepicker' [(ngModel)]='rowdata.startDatetime'  bsDatepicker &gt;
					&lt;/div&gt;</v>
      </c>
      <c r="L24" s="60" t="str">
        <f>IF(E24="DateTime",
REPT(CHAR(9),2)&amp;"const dateValue =  this.rowdata."&amp;D24&amp;" ? new Date(this.rowdata."&amp;D24&amp;"?.toString()) : new Date();
"&amp;REPT(CHAR(9),2)&amp;"this.datepicker?.bsValueChange.emit(dateValue);","")</f>
        <v xml:space="preserve">		const dateValue =  this.rowdata.startDatetime ? new Date(this.rowdata.startDatetime?.toString()) : new Date();
		this.datepicker?.bsValueChange.emit(dateValue);</v>
      </c>
      <c r="M24" s="31"/>
      <c r="N24" s="31"/>
      <c r="O24" s="31"/>
      <c r="P24" s="31"/>
      <c r="Q24" s="31"/>
      <c r="R24" s="31"/>
      <c r="S24" s="31" t="str">
        <f>D24&amp;G24</f>
        <v>startDatetime : any ;</v>
      </c>
      <c r="T24" s="31" t="str">
        <f>REPT(CHAR(9),3)&amp;"this."&amp;D24&amp;","</f>
        <v xml:space="preserve">			this.startDatetime,</v>
      </c>
      <c r="U24" s="31" t="str">
        <f>IF(E24="int","this."&amp;D24&amp;" = 0,","this."&amp;D24&amp;" = '',")</f>
        <v>this.startDatetime = '',</v>
      </c>
      <c r="V24" s="31" t="str">
        <f>IF(AND(E24="string",F24="1"),D24,"")</f>
        <v/>
      </c>
    </row>
    <row r="25" spans="1:22" ht="18" customHeight="1" x14ac:dyDescent="0.25">
      <c r="A25" s="44" t="s">
        <v>325</v>
      </c>
      <c r="B25" s="31" t="str">
        <f>SUBSTITUTE(PROPER(A25),"_","")</f>
        <v>FinishDatetime</v>
      </c>
      <c r="C25" s="31" t="str">
        <f>SUBSTITUTE(PROPER(A25),"_"," ")</f>
        <v>Finish Datetime</v>
      </c>
      <c r="D25" s="31" t="str">
        <f>LOWER(LEFT(B25,1))&amp;RIGHT(B25,LEN(B25) - 1)</f>
        <v>finishDatetime</v>
      </c>
      <c r="E25" s="31" t="str">
        <f>A.Backend!H19</f>
        <v>DateTime</v>
      </c>
      <c r="F25" s="31" t="str">
        <f>A.Backend!G19</f>
        <v>7</v>
      </c>
      <c r="G25" s="31" t="str">
        <f t="shared" si="3"/>
        <v xml:space="preserve"> : any ;</v>
      </c>
      <c r="H25" s="38" t="str">
        <f t="shared" si="4"/>
        <v xml:space="preserve">			{headerName: this.l('Finish Datetime'),headerTooltip: this.l('Finish Datetime'),field: 'finishDatetime',valueGetter: (params) =&gt; this.pipe.transform(params.data?.finishDatetime, 'dd/MM/yyyy'),flex: 1},</v>
      </c>
      <c r="I25" s="38" t="str">
        <f t="shared" si="5"/>
        <v xml:space="preserve">								&lt;div class='input-search'&gt;
									&lt;input type='text' [placeholder]="l('Finish Datetime')" [(ngModel)]='finishDatetime' 
									name='finishDatetime' (keydown)='searchDatas()' class='form-control' 
									bsDatepicker #d='bsDatepicker' placement='bottom left'&gt;
									&lt;i class='fa fa-calendar-alt' (click)='d.toggle()'&gt;&lt;/i&gt;
								&lt;/div&gt;</v>
      </c>
      <c r="J25" s="31"/>
      <c r="K25" s="38" t="str">
        <f t="shared" si="6"/>
        <v xml:space="preserve">					&lt;div class='col-md-12 form-group row'&gt;
						&lt;label class='col-md-2 form-control title'&gt;Finish Datetime&lt;/label&gt;
						&lt;input type='text' class='col-md-10 form-control input-text' name='finishDatetime' 
						#datepicker='bsDatepicker' [(ngModel)]='rowdata.finishDatetime'  bsDatepicker &gt;
					&lt;/div&gt;</v>
      </c>
      <c r="L25" s="60" t="str">
        <f t="shared" si="7"/>
        <v xml:space="preserve">		const dateValue =  this.rowdata.finishDatetime ? new Date(this.rowdata.finishDatetime?.toString()) : new Date();
		this.datepicker?.bsValueChange.emit(dateValue);</v>
      </c>
      <c r="M25" s="31"/>
      <c r="N25" s="31"/>
      <c r="O25" s="31"/>
      <c r="P25" s="31"/>
      <c r="Q25" s="31"/>
      <c r="R25" s="31"/>
      <c r="S25" s="31" t="str">
        <f t="shared" si="9"/>
        <v xml:space="preserve">	finishDatetime : any ;</v>
      </c>
      <c r="T25" s="31" t="str">
        <f t="shared" si="10"/>
        <v xml:space="preserve">			this.finishDatetime,</v>
      </c>
      <c r="U25" s="31" t="str">
        <f t="shared" si="11"/>
        <v xml:space="preserve">		this.finishDatetime = '',</v>
      </c>
      <c r="V25" s="31" t="str">
        <f t="shared" si="8"/>
        <v/>
      </c>
    </row>
    <row r="26" spans="1:22" ht="18" customHeight="1" x14ac:dyDescent="0.25">
      <c r="A26" s="44" t="s">
        <v>310</v>
      </c>
      <c r="B26" s="31" t="str">
        <f>SUBSTITUTE(PROPER(A26),"_","")</f>
        <v>DelaySecond</v>
      </c>
      <c r="C26" s="31" t="str">
        <f>SUBSTITUTE(PROPER(A26),"_"," ")</f>
        <v>Delay Second</v>
      </c>
      <c r="D26" s="31" t="str">
        <f>LOWER(LEFT(B26,1))&amp;RIGHT(B26,LEN(B26) - 1)</f>
        <v>delaySecond</v>
      </c>
      <c r="E26" s="31" t="str">
        <f>A.Backend!H20</f>
        <v>int</v>
      </c>
      <c r="F26" s="31" t="str">
        <f>A.Backend!G20</f>
        <v/>
      </c>
      <c r="G26" s="31" t="str">
        <f>IF(E26="string"," : string = '' ; ",IF(OR(E26="DateTime",E26="TimeSpan")," : any ;",IF(E26="int"," : number = 0 ;","")))</f>
        <v xml:space="preserve"> : number = 0 ;</v>
      </c>
      <c r="H26" s="38" t="str">
        <f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this.l('Delay Second'),headerTooltip: this.l('Delay Second'),field: 'delaySecond',flex: 1},</v>
      </c>
      <c r="I26" s="38" t="str">
        <f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IF(E26="string",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/>
      </c>
      <c r="J26" s="31"/>
      <c r="K26" s="38" t="str">
        <f>IF(OR(E26="DateTime",E26="TimeSpan"),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IF(E26="int",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title'&gt;Delay Second&lt;/label&gt;
						&lt;input type='number' class='col-md-10 form-control input-text' name='DelaySecond' [(ngModel)]='rowdata.delaySecond'&gt;
					&lt;/div&gt;</v>
      </c>
      <c r="L26" s="60" t="str">
        <f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31"/>
      <c r="N26" s="31"/>
      <c r="O26" s="31"/>
      <c r="P26" s="31"/>
      <c r="Q26" s="31"/>
      <c r="R26" s="31"/>
      <c r="S26" s="31" t="str">
        <f>D26&amp;G26</f>
        <v>delaySecond : number = 0 ;</v>
      </c>
      <c r="T26" s="31" t="str">
        <f>REPT(CHAR(9),3)&amp;"this."&amp;D26&amp;","</f>
        <v xml:space="preserve">			this.delaySecond,</v>
      </c>
      <c r="U26" s="31" t="str">
        <f>IF(E26="int","this."&amp;D26&amp;" = 0,","this."&amp;D26&amp;" = '',")</f>
        <v>this.delaySecond = 0,</v>
      </c>
      <c r="V26" s="31" t="str">
        <f>IF(AND(E26="string",F26="1"),D26,"")</f>
        <v/>
      </c>
    </row>
    <row r="27" spans="1:22" ht="18" customHeight="1" x14ac:dyDescent="0.25">
      <c r="A27" s="44" t="s">
        <v>309</v>
      </c>
      <c r="B27" s="31" t="str">
        <f>SUBSTITUTE(PROPER(A27),"_","")</f>
        <v>Status</v>
      </c>
      <c r="C27" s="31" t="str">
        <f>SUBSTITUTE(PROPER(A27),"_"," ")</f>
        <v>Status</v>
      </c>
      <c r="D27" s="31" t="str">
        <f>LOWER(LEFT(B27,1))&amp;RIGHT(B27,LEN(B27) - 1)</f>
        <v>status</v>
      </c>
      <c r="E27" s="31" t="str">
        <f>A.Backend!H21</f>
        <v>string</v>
      </c>
      <c r="F27" s="31" t="str">
        <f>A.Backend!G21</f>
        <v>50</v>
      </c>
      <c r="G27" s="31" t="str">
        <f t="shared" ref="G27" si="39">IF(E27="string"," : string = '' ; ",IF(OR(E27="DateTime",E27="TimeSpan")," : any ;",IF(E27="int"," : number = 0 ;","")))</f>
        <v xml:space="preserve"> : string = '' ; </v>
      </c>
      <c r="H27" s="38" t="str">
        <f t="shared" ref="H27" si="40">IF(E27="DateTime",
REPT(CHAR(9),3)&amp;"{headerName: this.l('"&amp;C27&amp;"'),headerTooltip: this.l('"&amp;C27&amp;"'),field: '"&amp;D27&amp;"',valueGetter: (params) =&gt; this.pipe.transform(params.data?."&amp;D27&amp;", 'dd/MM/yyyy'),flex: 1},",
IF(AND(E27="string",F27="1"),
REPT(CHAR(9),3)&amp;"{headerName: this.l('"&amp;C27&amp;"'),headerTooltip: this.l('"&amp;C27&amp;"'),field:  '"&amp;D27&amp;"', cellClass: ['text-center'], width: 120, cellRenderer: 'agCellButtonComponent',
buttonDefTwo: { text: params =&gt; (params.data?.'"&amp;D27&amp;"' == 'Y') ? 'Active' : 'Inactive',iconName: 'fa fa-circle',className: params =&gt; (params.data?.'"&amp;D27&amp;"' == 'Y') ? 'btnActive' : 'btnInActive',},}",
REPT(CHAR(9),3)&amp;"{headerName: this.l('"&amp;C27&amp;"'),headerTooltip: this.l('"&amp;C27&amp;"'),field: '"&amp;D27&amp;"',flex: 1},"))</f>
        <v xml:space="preserve">			{headerName: this.l('Status'),headerTooltip: this.l('Status'),field: 'status',flex: 1},</v>
      </c>
      <c r="I27" s="38" t="str">
        <f t="shared" ref="I27" si="41"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IF(E27="string",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7" s="31"/>
      <c r="K27" s="38" t="str">
        <f t="shared" ref="K27" si="42">IF(OR(E27="DateTime",E27="TimeSpan"),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"&amp;REPT(CHAR(9),6)&amp;"&lt;new-checkbox [(ngModel)]='_"&amp;D27&amp;"' name='"&amp;D27&amp;"' className='col-md-10' &gt; &lt;/new-checkbox&gt;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IF(E27="int",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7" s="60" t="str">
        <f t="shared" ref="L27" si="43"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31"/>
      <c r="N27" s="31"/>
      <c r="O27" s="31"/>
      <c r="P27" s="31"/>
      <c r="Q27" s="31"/>
      <c r="R27" s="31"/>
      <c r="S27" s="31" t="str">
        <f t="shared" ref="S27" si="44">REPT(CHAR(9),1)&amp;D27&amp;G27</f>
        <v xml:space="preserve">	status : string = '' ; </v>
      </c>
      <c r="T27" s="31" t="str">
        <f t="shared" ref="T27" si="45">REPT(CHAR(9),3)&amp;"this."&amp;D27&amp;","</f>
        <v xml:space="preserve">			this.status,</v>
      </c>
      <c r="U27" s="31" t="str">
        <f t="shared" ref="U27" si="46">IF(E27="int",REPT(CHAR(9),2)&amp;"this."&amp;D27&amp;" = 0,",REPT(CHAR(9),2)&amp;"this."&amp;D27&amp;" = '',")</f>
        <v xml:space="preserve">		this.status = '',</v>
      </c>
      <c r="V27" s="31" t="str">
        <f t="shared" ref="V27" si="47">IF(AND(E27="string",F27="1"),D27,"")</f>
        <v/>
      </c>
    </row>
    <row r="28" spans="1:22" ht="15" customHeight="1" x14ac:dyDescent="0.25">
      <c r="A28" s="44" t="s">
        <v>301</v>
      </c>
      <c r="B28" s="31" t="str">
        <f t="shared" ref="B28" si="48">SUBSTITUTE(PROPER(A28),"_","")</f>
        <v>IsActive</v>
      </c>
      <c r="C28" s="31" t="str">
        <f t="shared" ref="C28" si="49">SUBSTITUTE(PROPER(A28),"_"," ")</f>
        <v>Is Active</v>
      </c>
      <c r="D28" s="31" t="str">
        <f t="shared" ref="D28" si="50">LOWER(LEFT(B28,1))&amp;RIGHT(B28,LEN(B28) - 1)</f>
        <v>isActive</v>
      </c>
      <c r="E28" s="31" t="str">
        <f>A.Backend!H22</f>
        <v>string</v>
      </c>
      <c r="F28" s="31" t="str">
        <f>A.Backend!G22</f>
        <v>1</v>
      </c>
      <c r="G28" s="31" t="str">
        <f t="shared" si="3"/>
        <v xml:space="preserve"> : string = '' ; </v>
      </c>
      <c r="H28" s="38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8" s="38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8" s="31"/>
      <c r="K28" s="38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8" s="60" t="str">
        <f t="shared" si="7"/>
        <v/>
      </c>
      <c r="M28" s="31"/>
      <c r="N28" s="31"/>
      <c r="O28" s="31"/>
      <c r="P28" s="31"/>
      <c r="Q28" s="31"/>
      <c r="R28" s="31"/>
      <c r="S28" s="31" t="str">
        <f t="shared" si="9"/>
        <v xml:space="preserve">	isActive : string = '' ; </v>
      </c>
      <c r="T28" s="31" t="str">
        <f t="shared" si="10"/>
        <v xml:space="preserve">			this.isActive,</v>
      </c>
      <c r="U28" s="31" t="str">
        <f t="shared" si="11"/>
        <v xml:space="preserve">		this.isActive = '',</v>
      </c>
      <c r="V28" s="31" t="str">
        <f t="shared" si="8"/>
        <v>isActive</v>
      </c>
    </row>
    <row r="3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2022-10-11T11:06:31Z</dcterms:modified>
</cp:coreProperties>
</file>
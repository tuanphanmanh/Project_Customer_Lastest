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a\ekb\"/>
    </mc:Choice>
  </mc:AlternateContent>
  <bookViews>
    <workbookView xWindow="0" yWindow="495" windowWidth="28800" windowHeight="1642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V21" i="5"/>
  <c r="L21" i="5"/>
  <c r="G21" i="5"/>
  <c r="C21" i="5"/>
  <c r="B21" i="5"/>
  <c r="D21" i="5" s="1"/>
  <c r="T21" i="5" s="1"/>
  <c r="C20" i="5"/>
  <c r="B20" i="5"/>
  <c r="D20" i="5" s="1"/>
  <c r="G14" i="1"/>
  <c r="E14" i="1"/>
  <c r="H14" i="1" s="1"/>
  <c r="D14" i="1"/>
  <c r="V14" i="1" s="1"/>
  <c r="L15" i="1"/>
  <c r="G15" i="1"/>
  <c r="E15" i="1"/>
  <c r="H15" i="1" s="1"/>
  <c r="D15" i="1"/>
  <c r="V15" i="1" s="1"/>
  <c r="H21" i="5" l="1"/>
  <c r="U21" i="5"/>
  <c r="T20" i="5"/>
  <c r="H20" i="5"/>
  <c r="S21" i="5"/>
  <c r="G20" i="5"/>
  <c r="S20" i="5" s="1"/>
  <c r="L20" i="5"/>
  <c r="V20" i="5"/>
  <c r="I21" i="5"/>
  <c r="I20" i="5"/>
  <c r="K20" i="5"/>
  <c r="U20" i="5"/>
  <c r="K21" i="5"/>
  <c r="T15" i="1"/>
  <c r="W15" i="1"/>
  <c r="P15" i="1"/>
  <c r="W14" i="1"/>
  <c r="O14" i="1"/>
  <c r="J14" i="1"/>
  <c r="N14" i="1"/>
  <c r="I14" i="1"/>
  <c r="M14" i="1"/>
  <c r="L14" i="1"/>
  <c r="P14" i="1"/>
  <c r="T14" i="1"/>
  <c r="M15" i="1"/>
  <c r="I15" i="1"/>
  <c r="N15" i="1"/>
  <c r="J15" i="1"/>
  <c r="O15" i="1"/>
  <c r="D19" i="5" l="1"/>
  <c r="T19" i="5" s="1"/>
  <c r="C19" i="5"/>
  <c r="B19" i="5"/>
  <c r="L13" i="1"/>
  <c r="H13" i="1"/>
  <c r="W13" i="1" s="1"/>
  <c r="G13" i="1"/>
  <c r="E13" i="1"/>
  <c r="D13" i="1"/>
  <c r="V13" i="1" s="1"/>
  <c r="V19" i="5" l="1"/>
  <c r="P13" i="1"/>
  <c r="T13" i="1"/>
  <c r="I13" i="1"/>
  <c r="N13" i="1"/>
  <c r="M13" i="1"/>
  <c r="J13" i="1"/>
  <c r="O13" i="1"/>
  <c r="U19" i="5" l="1"/>
  <c r="K19" i="5"/>
  <c r="G19" i="5"/>
  <c r="S19" i="5" s="1"/>
  <c r="H19" i="5"/>
  <c r="L19" i="5"/>
  <c r="I19" i="5"/>
  <c r="D24" i="5"/>
  <c r="C24" i="5"/>
  <c r="B24" i="5"/>
  <c r="C23" i="5"/>
  <c r="B23" i="5"/>
  <c r="D23" i="5" s="1"/>
  <c r="D22" i="5"/>
  <c r="T22" i="5" s="1"/>
  <c r="C22" i="5"/>
  <c r="B22" i="5"/>
  <c r="L16" i="1"/>
  <c r="H16" i="1"/>
  <c r="G16" i="1"/>
  <c r="E16" i="1"/>
  <c r="D16" i="1"/>
  <c r="V16" i="1" s="1"/>
  <c r="L19" i="1"/>
  <c r="G19" i="1"/>
  <c r="E19" i="1"/>
  <c r="H19" i="1" s="1"/>
  <c r="D19" i="1"/>
  <c r="V19" i="1" s="1"/>
  <c r="W16" i="1" l="1"/>
  <c r="V22" i="5"/>
  <c r="P16" i="1"/>
  <c r="T16" i="1"/>
  <c r="T23" i="5"/>
  <c r="T24" i="5"/>
  <c r="M16" i="1"/>
  <c r="I16" i="1"/>
  <c r="N16" i="1"/>
  <c r="J16" i="1"/>
  <c r="O16" i="1"/>
  <c r="W19" i="1"/>
  <c r="O19" i="1"/>
  <c r="J19" i="1"/>
  <c r="N19" i="1"/>
  <c r="I19" i="1"/>
  <c r="M19" i="1"/>
  <c r="P19" i="1"/>
  <c r="T19" i="1"/>
  <c r="U22" i="5" l="1"/>
  <c r="K22" i="5"/>
  <c r="H22" i="5"/>
  <c r="L22" i="5"/>
  <c r="G22" i="5"/>
  <c r="S22" i="5" s="1"/>
  <c r="I22" i="5"/>
  <c r="C26" i="5"/>
  <c r="B26" i="5"/>
  <c r="D26" i="5" s="1"/>
  <c r="C25" i="5"/>
  <c r="B25" i="5"/>
  <c r="D25" i="5" s="1"/>
  <c r="T25" i="5" l="1"/>
  <c r="T26" i="5"/>
  <c r="L18" i="1" l="1"/>
  <c r="G18" i="1"/>
  <c r="E18" i="1"/>
  <c r="H18" i="1" s="1"/>
  <c r="D18" i="1"/>
  <c r="V18" i="1" s="1"/>
  <c r="V24" i="5" l="1"/>
  <c r="H24" i="5"/>
  <c r="I24" i="5"/>
  <c r="L24" i="5"/>
  <c r="K24" i="5"/>
  <c r="U24" i="5"/>
  <c r="G24" i="5"/>
  <c r="S24" i="5" s="1"/>
  <c r="N18" i="1"/>
  <c r="I18" i="1"/>
  <c r="M18" i="1"/>
  <c r="W18" i="1"/>
  <c r="O18" i="1"/>
  <c r="J18" i="1"/>
  <c r="P18" i="1"/>
  <c r="T18" i="1"/>
  <c r="Q3" i="1"/>
  <c r="B16" i="5" l="1"/>
  <c r="D16" i="5" s="1"/>
  <c r="C16" i="5"/>
  <c r="B17" i="5"/>
  <c r="D17" i="5" s="1"/>
  <c r="C17" i="5"/>
  <c r="B18" i="5"/>
  <c r="D18" i="5" s="1"/>
  <c r="C18" i="5"/>
  <c r="C15" i="5"/>
  <c r="B15" i="5"/>
  <c r="D15" i="5" s="1"/>
  <c r="T15" i="5" s="1"/>
  <c r="G20" i="1"/>
  <c r="E20" i="1"/>
  <c r="H20" i="1" s="1"/>
  <c r="D20" i="1"/>
  <c r="V20" i="1" s="1"/>
  <c r="L17" i="1"/>
  <c r="G17" i="1"/>
  <c r="E17" i="1"/>
  <c r="H17" i="1" s="1"/>
  <c r="D17" i="1"/>
  <c r="V17" i="1" s="1"/>
  <c r="L12" i="1"/>
  <c r="G12" i="1"/>
  <c r="E12" i="1"/>
  <c r="H12" i="1" s="1"/>
  <c r="D12" i="1"/>
  <c r="V12" i="1" s="1"/>
  <c r="G11" i="1"/>
  <c r="E11" i="1"/>
  <c r="H11" i="1" s="1"/>
  <c r="D11" i="1"/>
  <c r="V11" i="1" s="1"/>
  <c r="G10" i="1"/>
  <c r="E10" i="1"/>
  <c r="H10" i="1" s="1"/>
  <c r="D10" i="1"/>
  <c r="T10" i="1" s="1"/>
  <c r="G9" i="1"/>
  <c r="F15" i="5" s="1"/>
  <c r="E9" i="1"/>
  <c r="H9" i="1" s="1"/>
  <c r="E15" i="5" s="1"/>
  <c r="D9" i="1"/>
  <c r="T9" i="1" s="1"/>
  <c r="K26" i="5" l="1"/>
  <c r="I26" i="5"/>
  <c r="U26" i="5"/>
  <c r="L26" i="5"/>
  <c r="H26" i="5"/>
  <c r="V26" i="5"/>
  <c r="G26" i="5"/>
  <c r="S26" i="5" s="1"/>
  <c r="V23" i="5"/>
  <c r="G23" i="5"/>
  <c r="S23" i="5" s="1"/>
  <c r="I23" i="5"/>
  <c r="U23" i="5"/>
  <c r="K23" i="5"/>
  <c r="H23" i="5"/>
  <c r="L23" i="5"/>
  <c r="U25" i="5"/>
  <c r="L25" i="5"/>
  <c r="I25" i="5"/>
  <c r="K25" i="5"/>
  <c r="H25" i="5"/>
  <c r="V25" i="5"/>
  <c r="G25" i="5"/>
  <c r="S25" i="5" s="1"/>
  <c r="O20" i="1"/>
  <c r="G17" i="5"/>
  <c r="L17" i="5"/>
  <c r="O17" i="1"/>
  <c r="G16" i="5"/>
  <c r="V16" i="5"/>
  <c r="G18" i="5"/>
  <c r="S18" i="5" s="1"/>
  <c r="V18" i="5"/>
  <c r="G15" i="5"/>
  <c r="S15" i="5" s="1"/>
  <c r="V15" i="5"/>
  <c r="P11" i="1"/>
  <c r="I17" i="5"/>
  <c r="H17" i="5"/>
  <c r="I18" i="5"/>
  <c r="H18" i="5"/>
  <c r="H16" i="5"/>
  <c r="I16" i="5"/>
  <c r="L18" i="5"/>
  <c r="U18" i="5"/>
  <c r="U15" i="5"/>
  <c r="T18" i="5"/>
  <c r="K18" i="5"/>
  <c r="H15" i="5"/>
  <c r="I15" i="5"/>
  <c r="K15" i="5"/>
  <c r="L16" i="5"/>
  <c r="L15" i="5"/>
  <c r="V17" i="5"/>
  <c r="P17" i="1"/>
  <c r="V10" i="1"/>
  <c r="T17" i="1"/>
  <c r="P20" i="1"/>
  <c r="T20" i="1"/>
  <c r="M12" i="1"/>
  <c r="W12" i="1"/>
  <c r="J12" i="1"/>
  <c r="I12" i="1"/>
  <c r="O12" i="1"/>
  <c r="N12" i="1"/>
  <c r="I10" i="1"/>
  <c r="O10" i="1"/>
  <c r="J10" i="1"/>
  <c r="N10" i="1"/>
  <c r="M10" i="1"/>
  <c r="W10" i="1"/>
  <c r="W11" i="1"/>
  <c r="J11" i="1"/>
  <c r="M11" i="1"/>
  <c r="I11" i="1"/>
  <c r="O11" i="1"/>
  <c r="N11" i="1"/>
  <c r="P12" i="1"/>
  <c r="I17" i="1"/>
  <c r="I20" i="1"/>
  <c r="T12" i="1"/>
  <c r="J17" i="1"/>
  <c r="W17" i="1"/>
  <c r="J20" i="1"/>
  <c r="W20" i="1"/>
  <c r="T11" i="1"/>
  <c r="M17" i="1"/>
  <c r="M20" i="1"/>
  <c r="P10" i="1"/>
  <c r="N17" i="1"/>
  <c r="N20" i="1"/>
  <c r="P9" i="1"/>
  <c r="V9" i="1"/>
  <c r="W9" i="1"/>
  <c r="J9" i="1"/>
  <c r="I9" i="1"/>
  <c r="O9" i="1"/>
  <c r="N9" i="1"/>
  <c r="M9" i="1"/>
  <c r="K17" i="5" l="1"/>
  <c r="U17" i="5"/>
  <c r="T17" i="5"/>
  <c r="S17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22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2" i="1"/>
  <c r="T7" i="1" l="1"/>
  <c r="W22" i="1"/>
  <c r="G6" i="1" l="1"/>
  <c r="K13" i="5"/>
  <c r="S13" i="5"/>
  <c r="I13" i="5"/>
  <c r="V13" i="5"/>
  <c r="H13" i="5"/>
  <c r="L13" i="5"/>
  <c r="U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9" i="1" s="1"/>
  <c r="L11" i="1" l="1"/>
  <c r="L10" i="1"/>
  <c r="L20" i="1"/>
  <c r="C7" i="1"/>
  <c r="O22" i="1"/>
  <c r="N22" i="1"/>
  <c r="I22" i="1"/>
  <c r="J22" i="1"/>
  <c r="P22" i="1"/>
  <c r="Q7" i="1" l="1"/>
  <c r="M59" i="3" s="1"/>
  <c r="L7" i="1"/>
  <c r="G59" i="3" s="1"/>
  <c r="K59" i="3"/>
  <c r="J59" i="3"/>
  <c r="M22" i="1"/>
  <c r="K22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<sst xmlns="http://schemas.openxmlformats.org/spreadsheetml/2006/main" count="457" uniqueCount="343">
  <si>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</si>
  <si>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</si>
  <si>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</si>
  <si>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</si>
  <si>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</si>
  <si>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</si>
  <si>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</si>
  <si>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</si>
  <si>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</si>
  <si>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</si>
  <si>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</si>
  <si>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</si>
  <si>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</si>
  <si>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</si>
  <si>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</si>
  <si>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</si>
  <si>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</si>
  <si>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</si>
  <si>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</si>
  <si>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</si>
  <si>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</si>
  <si>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</si>
  <si>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</si>
  <si>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</si>
  <si>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</si>
  <si>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</si>
  <si>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</si>
  <si>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</si>
  <si>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</si>
  <si>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</si>
  <si>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</si>
  <si>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</si>
  <si>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</si>
  <si>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</si>
  <si>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</si>
  <si>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</si>
  <si>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</si>
  <si>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</si>
  <si>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</si>
  <si>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</si>
  <si>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</si>
  <si>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</si>
  <si>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</si>
  <si>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</si>
  <si>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</si>
  <si>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</si>
  <si>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</si>
  <si>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</si>
  <si>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</si>
  <si>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</si>
  <si>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</si>
  <si>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</si>
  <si>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</si>
  <si>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</si>
  <si>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</si>
  <si>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</si>
  <si>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</si>
  <si>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</si>
  <si>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</si>
  <si>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</si>
  <si>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</si>
  <si>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</si>
  <si>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</si>
  <si>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</si>
  <si>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</si>
  <si>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</si>
  <si>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</si>
  <si>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</si>
  <si>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</si>
  <si>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</si>
  <si>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</si>
  <si>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</si>
  <si>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</si>
  <si>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</si>
  <si>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</si>
  <si>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</si>
  <si>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</si>
  <si>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</si>
  <si>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</si>
  <si>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</si>
  <si>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</si>
  <si>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</si>
  <si>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</si>
  <si>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</si>
  <si>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</si>
  <si>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</si>
  <si>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</si>
  <si>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</si>
  <si>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</si>
  <si>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</si>
  <si>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</si>
  <si>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</si>
  <si>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</si>
  <si>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</si>
  <si>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</si>
  <si>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</si>
  <si>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</si>
  <si>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</si>
  <si>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</si>
  <si>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</si>
  <si>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</si>
  <si>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</si>
  <si>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</si>
  <si>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</si>
  <si>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</si>
  <si>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</si>
  <si>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</si>
  <si>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</si>
  <si>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</si>
  <si>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</si>
  <si>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</si>
  <si>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</si>
  <si>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</si>
  <si>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</si>
  <si>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</si>
  <si>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</si>
  <si>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</si>
  <si>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</si>
  <si>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</si>
  <si>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</si>
  <si>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</si>
  <si>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</si>
  <si>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</si>
  <si>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</si>
  <si>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</si>
  <si>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</si>
  <si>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</si>
  <si>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</si>
  <si>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</si>
  <si>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</si>
  <si>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</si>
  <si>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</si>
  <si>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</si>
  <si>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</si>
  <si>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</si>
  <si>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</si>
  <si>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</si>
  <si>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</si>
  <si>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</si>
  <si>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</si>
  <si>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</si>
  <si>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</si>
  <si>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</si>
  <si>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</si>
  <si>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</si>
  <si>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</si>
  <si>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</si>
  <si>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</si>
  <si>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</si>
  <si>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</si>
  <si>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</si>
  <si>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</si>
  <si>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</si>
  <si>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</si>
  <si>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</si>
  <si>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</si>
  <si>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</si>
  <si>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</si>
  <si>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</si>
  <si>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</si>
  <si>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</si>
  <si>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</si>
  <si>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</si>
  <si>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</si>
  <si>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</si>
  <si>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</si>
  <si>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</si>
  <si>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</si>
  <si>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</si>
  <si>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</si>
  <si>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</si>
  <si>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</si>
  <si>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</si>
  <si>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</si>
  <si>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</si>
  <si>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</si>
  <si>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</si>
  <si>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</si>
  <si>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</si>
  <si>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</si>
  <si>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</si>
  <si>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</si>
  <si>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</si>
  <si>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</si>
  <si>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</si>
  <si>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</si>
  <si>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</si>
  <si>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</si>
  <si>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</si>
  <si>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</si>
  <si>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</si>
  <si>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</si>
  <si>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</si>
  <si>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</si>
  <si>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</si>
  <si>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</si>
  <si>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</si>
  <si>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</si>
  <si>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</si>
  <si>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</si>
  <si>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</si>
  <si>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</si>
  <si>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</si>
  <si>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</si>
  <si>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</si>
  <si>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</si>
  <si>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</si>
  <si>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</si>
  <si>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</si>
  <si>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</si>
  <si>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</si>
  <si>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</si>
  <si>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</si>
  <si>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</si>
  <si>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</si>
  <si>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</si>
  <si>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</si>
  <si>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</si>
  <si>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</si>
  <si>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</si>
  <si>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</si>
  <si>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</si>
  <si>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</si>
  <si>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</si>
  <si>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</si>
  <si>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</si>
  <si>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</si>
  <si>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</si>
  <si>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</si>
  <si>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</si>
  <si>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</si>
  <si>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</si>
  <si>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</si>
  <si>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</si>
  <si>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</si>
  <si>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</si>
  <si>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</si>
  <si>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</si>
  <si>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</si>
  <si>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</si>
  <si>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</si>
  <si>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</si>
  <si>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</si>
  <si>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</si>
  <si>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</si>
  <si>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</si>
  <si>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</si>
  <si>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</si>
  <si>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</si>
  <si>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</si>
  <si>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</si>
  <si>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</si>
  <si>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</si>
  <si>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</si>
  <si>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</si>
  <si>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</si>
  <si>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</si>
  <si>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</si>
  <si>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</si>
  <si>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</si>
  <si>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</si>
  <si>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</si>
  <si>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</si>
  <si>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</si>
  <si>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</si>
  <si>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</si>
  <si>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</si>
  <si>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</si>
  <si>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</si>
  <si>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</si>
  <si>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</si>
  <si>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</si>
  <si>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</si>
  <si>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</si>
  <si>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</si>
  <si>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</si>
  <si>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</si>
  <si>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</si>
  <si>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</si>
  <si>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</si>
  <si>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</si>
  <si>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</si>
  <si>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</si>
  <si>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</si>
  <si>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</si>
  <si>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</si>
  <si>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</si>
  <si>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</si>
  <si>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</si>
  <si>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</si>
  <si>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</si>
  <si>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</si>
  <si>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</si>
  <si>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</si>
  <si>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</si>
  <si>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</si>
  <si>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</si>
  <si>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</si>
  <si>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</si>
  <si>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</si>
  <si>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</si>
  <si>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</si>
  <si>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</si>
  <si>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</si>
  <si>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</si>
  <si>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</si>
  <si>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</si>
  <si>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</si>
  <si>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</si>
  <si>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</si>
  <si>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</si>
  <si>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</si>
  <si>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</si>
  <si>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</si>
  <si>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</si>
  <si>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</si>
  <si>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</si>
  <si>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</si>
  <si>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</si>
  <si>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</si>
  <si>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</si>
  <si>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</si>
  <si>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</si>
  <si>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</si>
  <si>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</si>
  <si>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Progress</t>
  </si>
  <si>
    <t>WORKING_DATE</t>
  </si>
  <si>
    <t>SHIFT</t>
  </si>
  <si>
    <t>NO_IN_SHIFT</t>
  </si>
  <si>
    <t>START_DATETIME</t>
  </si>
  <si>
    <t>FINISH_DATETIME</t>
  </si>
  <si>
    <t>datetime2(7)</t>
  </si>
  <si>
    <t>STATUS</t>
  </si>
  <si>
    <t>NEWTAKT_DATETIME</t>
  </si>
  <si>
    <t>LogA.Ekb</t>
  </si>
  <si>
    <t>LgaEkbProgress</t>
  </si>
  <si>
    <t>Barcode</t>
  </si>
  <si>
    <t>Bar</t>
  </si>
  <si>
    <t>LgaBar</t>
  </si>
  <si>
    <t>NO_IN_DATE</t>
  </si>
  <si>
    <t>LA Ekanban Progress</t>
  </si>
  <si>
    <t>PROCESS_ID</t>
  </si>
  <si>
    <t>PROCESS_CODE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</si>
</sst>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gaEkbProgressDetai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8"/>
  <sheetViews>
    <sheetView topLeftCell="A11" workbookViewId="0">
      <selection activeCell="C32" sqref="C32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D38" t="s">
        <v>336</v>
      </c>
      <c r="F38" s="1" t="s">
        <v>337</v>
      </c>
      <c r="G38" s="17" t="s">
        <v>338</v>
      </c>
    </row>
    <row r="39" spans="1:8" x14ac:dyDescent="0.25">
      <c r="A39" s="1"/>
      <c r="B39" s="17"/>
      <c r="C39" t="s">
        <v>320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306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vovina.LogA.Ekb
{
	[Table("LgaEkbProgress")]
	[Index(nameof(ProdLine), Name="IX_LgaEkbProgress_ProdLine")]
	[Index(nameof(WorkingDate), Name="IX_LgaEkbProgress_WorkingDate")]
	[Index(nameof(Shift), Name="IX_LgaEkbProgress_Shift")]
	[Index(nameof(ProcessId), Name="IX_LgaEkbProgress_ProcessId")]
	[Index(nameof(IsActive), Name="IX_LgaEkbProgress_IsActive")]	public class LgaEkbProgress: FullAuditedEntity&lt;long&gt;, IEntity&lt;long&gt;	
	{
		public const int MaxProdLineLength = 50;
		public const int MaxShiftLength = 50;
		public const int MaxProcessCodeLength = 50;
		public const int MaxStatusLength = 50;
		public const int MaxIsActiveLength = 1;
		[StringLength(MaxProdLineLength)]
		public virtual string ProdLine { get; set; }
		public virtual DateTime WorkingDate { get; set; }
		[StringLength(MaxShiftLength)]
		public virtual string Shift { get; set; }
		public virtual int NoInShift { get; set; }
		public virtual int NoInDate { get; set; }
		public virtual long ProcessId { get; set; }
		[StringLength(MaxProcessCodeLength)]
		public virtual string ProcessCode { get; set; }
		[Column(TypeName="datetime2(7)")]
		public virtual DateTime NewtaktDatetime { get; set; }
		[Column(TypeName="datetime2(7)")]
		public virtual DateTime StartDatetime { get; set; }
		[Column(TypeName="datetime2(7)")]
		public virtual DateTime FinishDatetime { get; set; }
		[StringLength(MaxStatusLength)]
		public virtual string Status { get; set; }
		[StringLength(MaxIsActiveLength)]
		public virtual string IsActive { get; set; }
	}
}
</v>
      </c>
      <c r="D59" s="51" t="str">
        <f>A.Backend!O7</f>
        <v xml:space="preserve">		public const string Pages_LogA_Ekb_Progress = "Pages.LogA.Ekb.Progress";
		public const string Pages_LogA_Ekb_Progress_CreateEdit = "Pages.LogA.Ekb.Progress.CreateEdit";
		public const string Pages_LogA_Ekb_Progress_Delete = "Pages.LogA.Ekb.Progress.Delete";
</v>
      </c>
      <c r="E59" s="51" t="str">
        <f>A.Backend!N7</f>
        <v xml:space="preserve">		var perLgaEkbProgress = PARENTS.CreateChildPermission(AppPermissions.Pages_LogA_Ekb_Progress, L( "LogAEkbProgress"), multiTenancySides: MultiTenancySides.Tenant);
		perLgaEkbProgress.CreateChildPermission(AppPermissions.Pages_LogA_Ekb_Progress_CreateEdit, L( "LogAEkbProgressCreateEdit"), multiTenancySides: MultiTenancySides.Tenant);
		perLgaEkbProgress.CreateChildPermission(AppPermissions.Pages_LogA_Ekb_Progress_Delete, L( "LogAEkbProgressDelete"), multiTenancySides: MultiTenancySides.Tenant);</v>
      </c>
      <c r="F59" s="51" t="str">
        <f>A.Backend!K7</f>
        <v>public virtual DbSet&lt;LgaEkbProgress&gt; LgaEkbProgresss { get; set; }</v>
      </c>
      <c r="G59" s="51" t="str">
        <f ca="1">A.Backend!L7</f>
        <v xml:space="preserve">namespace vovina.LogA.Ekb
{
	public class LgaEkbProgressConsts	
	{
		public const int MaxProdLineLength = 50;
		public const int MaxShiftLength = 50;
		public const int MaxProcessCodeLength = 50;
		public const int MaxStatusLength = 50;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vovina.LogA.Ekb.Dto
{
	public class LgaEkbProgressDto : EntityDto&lt;long?&gt;	
	{
		public virtual string ProdLine { get; set; }
		public virtual DateTime? WorkingDate { get; set; }
		public virtual string Shift { get; set; }
		public virtual int NoInShift { get; set; }
		public virtual int NoInDate { get; set; }
		public virtual long ProcessId { get; set; }
		public virtual string ProcessCode { get; set; }
		public virtual DateTime? NewtaktDatetime { get; set; }
		public virtual DateTime? StartDatetime { get; set; }
		public virtual DateTime? FinishDatetime { get; set; }
		public virtual string Status { get; set; }
		public virtual string IsActive { get; set; }
	}
	public class CreateOrEditLgaEkbProgressDto : EntityDto&lt;long?&gt;	
	{
		[StringLength(LgaEkbProgressConsts.MaxProdLineLength)]
		public virtual string ProdLine { get; set; }
		public virtual DateTime? WorkingDate { get; set; }
		[StringLength(LgaEkbProgressConsts.MaxShiftLength)]
		public virtual string Shift { get; set; }
		public virtual int NoInShift { get; set; }
		public virtual int NoInDate { get; set; }
		public virtual long ProcessId { get; set; }
		[StringLength(LgaEkbProgressConsts.MaxProcessCodeLength)]
		public virtual string ProcessCode { get; set; }
		public virtual DateTime? NewtaktDatetime { get; set; }
		public virtual DateTime? StartDatetime { get; set; }
		public virtual DateTime? FinishDatetime { get; set; }
		[StringLength(LgaEkbProgressConsts.MaxStatusLength)]
		public virtual string Status { get; set; }
		[StringLength(LgaEkbProgressConsts.MaxIsActiveLength)]
		public virtual string IsActive { get; set; }
	}
	public class GetLgaEkbProgressInput : PagedAndSortedResultRequestDto	
	{
		public virtual string ProdLine { get; set; }
		public virtual DateTime? WorkingDate { get; set; }
		public virtual string Shift { get; set; }
		public virtual int NoInShift { get; set; }
		public virtual int NoInDate { get; set; }
		public virtual string ProcessCode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vovina.LogA.Ekb.Dto
{
	public class LgaEkbProgressExportInput{
		public virtual string ProdLine { get; set; }
		public virtual DateTime? WorkingDate { get; set; }
		public virtual string Shift { get; set; }
		public virtual int NoInShift { get; set; }
		public virtual int NoInDate { get; set; }
		public virtual long ProcessId { get; set; }
		public virtual string ProcessCode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vovina.LogA.Ekb.Dto;
namespace vovina.LogA.Ekb
{
	public interface ILgaEkbProgressAppService : IApplicationService
	{
		Task&lt;PagedResultDto&lt;LgaEkbProgressDto&gt;&gt; GetAll(GetLgaEkbProgressInput input);
		Task CreateOrEdit(CreateOrEditLgaEkbProgressDto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vovina.LogA.Ekb.Dto;
namespace vovina.LogA.Ekb.Exporting
{
	public interface ILgaEkbProgressExcelExporter : IApplicationService
	{
		FileDto ExportToFile(List&lt;LgaEkbProgressDto&gt; lgaekbprogress);
	}
}
</v>
      </c>
      <c r="L59" s="51" t="str">
        <f ca="1">A.Backend!T7</f>
        <v>using System.Collections.Generic;
using vovina.DataExporting.Excel.NPOI;
using vovina.Dto;
using vovina.LogA.Ekb.Exporting;
using vovina.LogA.Ekb.Dto;
using vovina.Storage;
using vovina.LogA.Ekb.Dto;
namespace vovina.LogA.Ekb.Exporting
{
    public class LgaEkbProgressExcelExporter : NpoiExcelExporterBase, ILgaEkbProgressExcelExporter
    {
        public LgaEkbProgressExcelExporter(ITempFileCacheManager tempFileCacheManager) : base(tempFileCacheManager) { }
        public FileDto ExportToFile(List&lt;LgaEkbProgressDto&gt; progress)
        {
            return CreateExcelPackage(
				"LogAEkbProgress.xlsx",
				excelPackage =&gt;
				 {
					var sheet = excelPackage.CreateSheet("Progress");
					AddHeader(
								sheet,
								("ProdLine"),
								("WorkingDate"),
								("Shift"),
								("NoInShift"),
								("NoInDate"),
								("ProcessId"),
								("ProcessCode"),
								("NewtaktDatetime"),
								("StartDatetime"),
								("FinishDatetime"),
								("Status"),
								("IsActive"),
							   );
					AddObjects(
						 sheet, 1, progress,                                       
								_ =&gt; _.ProdLine,
								_ =&gt; _.WorkingDate,
								_ =&gt; _.Shift,
								_ =&gt; _.NoInShift,
								_ =&gt; _.NoInDate,
								_ =&gt; _.ProcessId,
								_ =&gt; _.ProcessCode,
								_ =&gt; _.NewtaktDatetime,
								_ =&gt; _.StartDatetime,
								_ =&gt; _.FinishDatetime,
								_ =&gt; _.Status,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vovina.LogA.Ekb.Dto;
using vovina.LogA.Ekb.Exporting;
namespace vovina.LogA.Ekb
{
    [AbpAuthorize(AppPermissions.Pages_LogA_Ekb_Progress)]
    public class LgaEkbProgressAppService : vovinaAppServiceBase, ILgaEkbProgressAppService
    {
        private readonly IDapperRepository&lt;LgaEkbProgress, long&gt; _dapperRepo;
        private readonly IRepository&lt;LgaEkbProgress, long&gt; _repo;
        private readonly ILgaEkbProgressExcelExporter _calendarListExcelExporter;
        public LgaEkbProgressAppService(IRepository&lt;LgaEkbProgress,long&gt; repo, 
                                         IDapperRepository&lt;LgaEkbProgress,long&gt; dapperRepo,
                                        ILgaEkbProgressExcelExporter calendarListExcelExporter
            )
        {
            _repo = repo;
            _dapperRepo = dapperRepo;
            _calendarListExcelExporter = calendarListExcelExporter;
        }
        [AbpAuthorize(AppPermissions.Pages_LogA_Ekb_Progress_CreateEdit)]
        public async Task CreateOrEdit(CreateOrEditLgaEkbProgressDto input)
        {
            if (input.Id == null) await Create(input);
            else await Update(input);
        }
        //CREATE
        private async Task Create(CreateOrEditLgaEkbProgressDto input)
        {          
            var mainObj = ObjectMapper.Map&lt;LgaEkbProgress&gt;(input);
            await CurrentUnitOfWork.GetDbContext&lt;vovinaDbContext&gt;().AddAsync(mainObj);
        }
        // EDIT
        private async Task Update(CreateOrEditLgaEkbProgressDto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[AbpAuthorize(AppPermissions.Pages_LogA_Ekb_Progress_Delete)]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Task&lt;PagedResultDto&lt;LgaEkbProgressDto&gt;&gt; GetAll(GetLgaEkbProgressInput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.WhereIf(!string.IsNullOrWhiteSpace(input.ProcessCode), e =&gt; e.ProcessCode.Contains(input.ProcessCode))
				.WhereIf(input.NewtaktDatetime.HasValue, t =&gt; t.NewtaktDatetime == input.NewtaktDatetime.Value)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LgaEkbProgressDto
                        {
							Id = o.Id,
							ProdLine = o.ProdLine,
							WorkingDate = o.WorkingDate,
							Shift = o.Shift,
							NoInShift = o.NoInShift,
							NoInDate = o.NoInDate,
							ProcessId = o.ProcessId,
							ProcessCode = o.ProcessCode,
							NewtaktDatetime = o.NewtaktDatetime,
							StartDatetime = o.StartDatetime,
							FinishDatetime = o.FinishDatetime,
							Status = o.Status,
							IsActive = o.IsActive,
                        };
            var totalCount = await filtered.CountAsync();
			var paged = system.PageBy(input);
            return new PagedResultDto&lt;LgaEkbProgressDto&gt;(
                totalCount,
                 await paged.ToListAsync()
            );
        }
        public async Task&lt;FileDto&gt; GetProgressToExcel(LgaEkbProgressExportInput input)
        {
            var query = from o in _repo.GetAll()
                        select new LgaEkbProgressDto
                        {
							Id = o.Id,
							ProdLine = o.ProdLine,
							WorkingDate = o.WorkingDate,
							Shift = o.Shift,
							NoInShift = o.NoInShift,
							NoInDate = o.NoInDate,
							ProcessId = o.ProcessId,
							ProcessCode = o.ProcessCode,
							NewtaktDatetime = o.NewtaktDatetime,
							StartDatetime = o.StartDatetime,
							FinishDatetime = o.FinishDatetime,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_dapperRepo.ExecuteAsync(LgaEkbProgressConsts.SP_MST_WPT_CALENDAR_GENERATE);
       // }
    }
}</v>
      </c>
      <c r="N59" s="62" t="str">
        <f>A.Backend!U7</f>
        <v xml:space="preserve">  configuration.CreateMap&lt;LgaEkbProgressDto, LgaEkbProgress&gt;();
  configuration.CreateMap&lt;LgaEkbProgress, LgaEkbProgressDto&gt;();
  configuration.CreateMap&lt;CreateOrEditLgaEkbProgressDto, LgaEkbProgress&gt;();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progress</v>
      </c>
      <c r="C64" s="72" t="str">
        <f>"create folder " &amp;B64</f>
        <v>create folder progress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progress.component.ts</v>
      </c>
      <c r="D65" s="31" t="str">
        <f>B.Frontend!I14</f>
        <v>progress.component.html</v>
      </c>
      <c r="E65" s="31" t="str">
        <f>B.Frontend!J14</f>
        <v>progress.component.less</v>
      </c>
      <c r="F65" s="31" t="str">
        <f>B.Frontend!K14</f>
        <v>create-or-edit-progress-modal.component.html</v>
      </c>
      <c r="G65" s="31" t="str">
        <f>B.Frontend!L14</f>
        <v>create-or-edit-progress-modal.component.ts</v>
      </c>
      <c r="H65" s="31" t="str">
        <f>B.Frontend!M14</f>
        <v>create-or-edit-progress-modal.component.less</v>
      </c>
      <c r="I65" s="31" t="str">
        <f>B.Frontend!N14</f>
        <v>progress.module.ts</v>
      </c>
      <c r="J65" s="31" t="str">
        <f>B.Frontend!O14</f>
        <v>progress-routing.module.ts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LgaEkbProgressDto, LgaEkbProgressServiceProxy } from '@shared/service-proxies/service-proxies';
import { finalize } from 'rxjs/internal/operators/finalize';
import { CreateOrEditProgressModalComponent } from './create-or-edit-progress-modal.component';
import { DatePipe } from '@angular/common';
import { FileDownloadService } from '@shared/utils/file-download.service';
import ceil from 'lodash-es/ceil';
import { Paginator } from 'primeng/paginator';
@Component({
    templateUrl: './progress.component.html',
    styleUrls: ['./progress.component.less'],
})
export class ProgressComponent extends AppComponentBase implements OnInit {
    @ViewChild('createOrEditModalProgress', { static: true }) createOrEditModalProgress:| CreateOrEditProgressModalComponent|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LgaEkbProgressDto = new LgaEkbProgressDto();
    saveSelectedRow: LgaEkbProgressDto = new LgaEkbProgressDto();
    datas: LgaEkbProgressDto = new LgaEkbProgressDto();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noInDate : number = 0 ;
	processId
	processCode : string = '' ; 
	newtaktDatetime : any ;
	startDatetime : any ;
	finishDatetime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LgaEkbProgressServiceProxy,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this.l('No In Date'),headerTooltip: this.l('No In Date'),field: 'noInDate',flex: 1},
			{headerName: this.l('Process Id'),headerTooltip: this.l('Process Id'),field: 'processId',flex: 1},
			{headerName: this.l('Process Code'),headerTooltip: this.l('Process Code'),field: 'processCode',flex: 1},
			{headerName: this.l('Newtakt Datetime'),headerTooltip: this.l('Newtakt Datetime'),field: 'newtaktDatetime',valueGetter: (params) =&gt; this.pipe.transform(params.data?.newtaktDatetime, 'dd/MM/yyyy'),flex: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this.noInDate,
			this.processId,
			this.processCode,
			this.newtaktDatetime,
			this.startDatetime,
			this.finishDatetime,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this.noInDate = 0,
		this.processId = '',
		this.processCode = '',
		this.newtaktDatetime = '',
		this.startDatetime = '',
		this.finishDatetime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this.noInDate,
			this.processId,
			this.processCode,
			this.newtaktDatetime,
			this.startDatetime,
			this.finishDatetime,
			this.status,
			this.isActive,
			'',
            this.paginationParams.skipCount,
            this.paginationParams.pageSize
        );
    }
    onChangeRowSelection(params: { api: { getSelectedRows: () =&gt; LgaEkbProgressDto[] } }) {
        this.saveSelectedRow = params.api.getSelectedRows()[0] ?? new LgaEkbProgressDto();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LgaEkbProgressDto):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this._service.getProgressToExcel(
			this.prodLine,
			this.workingDate,
			this.shift,
			this.noInShift,
			this.noInDate,
			this.processId,
			this.processCode,
			this.newtaktDatetime,
			this.startDatetime,
			this.finishDatetime,
			this.status,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Ekanban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&lt;create-or-edit-progress-modal
    #createOrEditModalProgress
    (modalSave)="callBackDataGrid(dataParams)"
    (modalClose)="onChangeRowSelection(dataParams)"
&gt;
&lt;/create-or-edit-progress-modal&gt;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Progress')}}&lt;/h3&gt;
                    &lt;h3 *ngIf="!rowdata.id"&gt;{{('Create New 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CreateOrEditLgaEkbProgressDto, LgaEkbProgressServiceProxy } from '@shared/service-proxies/service-proxies';
import { BsDatepickerDirective } from 'ngx-bootstrap/datepicker';
@Component({
    selector: 'create-or-edit-progress-modal',
    templateUrl: './create-or-edit-progress-modal.component.html',
    styleUrls: ['./create-or-edit-progress-modal.component.less']
    })
export class CreateOrEditProgressModalComponent extends AppComponentBase {
    @ViewChild('createOrEditModalProgress',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CreateOrEditLgaEkbProgressDto = new CreateOrEditLgaEkbProgressDto();
    active: boolean = false;
    saving: boolean = false;
    _isActive: boolean;
    constructor(
        injector: Injector,
        private _mstwptProgressService: LgaEkbProgressServiceProxy,
    ) 
    {
        super(injector);
    }
    show(rowdata?: CreateOrEditLgaEkbProgressDto): void {
        if (!rowdata) this.rowdata = new CreateOrEditLgaEkbProgressDto();
        else this.rowdata = rowdata;
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ProgressRoutingModule } from './progress-routing.module';
import { ProgressComponent } from './progress.component';
import { CreateOrEditProgressModalComponent } from './create-or-edit-progress-modal.component';
@NgModule({
    declarations: [
       ProgressComponent, 
        CreateOrEditProgressModalComponent
    ],
    imports: [
        AppSharedModule, ProgressRoutingModule]
})
export class ProgressModule {}</v>
      </c>
      <c r="J66" s="49" t="str">
        <f>B.Frontend!O10</f>
        <v>import {NgModule} from '@angular/core';
import {RouterModule, Routes} from '@angular/router';
import { ProgressComponent } from './progress.component';
const routes: Routes = [{
    path: '',
    component: ProgressComponent,
    pathMatch: 'full'
}];
@NgModule({
    imports: [RouterModule.forChild(routes)],
    exports: [RouterModule],
})
export class ProgressRoutingModule {}</v>
      </c>
      <c r="K66" s="49" t="str">
        <f>B.Frontend!P10</f>
        <v xml:space="preserve"> new AppMenuItem("Progress", "Pages.LogA.Ekb.Progress", "flaticon-book",   "/app/main/loga/ekb/progress"),</v>
      </c>
      <c r="L66" s="50" t="str">
        <f>B.Frontend!Q10</f>
        <v>{
    path: 'loga/ekb/progress',
    loadChildren: () =&gt; import('./loga/ekb/progress/progress.module').then(m =&gt; m.ProgressModule),
    data: { permission: 'Pages.LogA.Ekb.Progress' }
},</v>
      </c>
      <c r="M66" s="48" t="str">
        <f>B.Frontend!R10</f>
        <v>ApiServiceProxies.LgaEkbProgressServiceProxy,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2"/>
  <sheetViews>
    <sheetView workbookViewId="0">
      <pane xSplit="1" topLeftCell="B1" activePane="topRight" state="frozen"/>
      <selection pane="topRight" activeCell="A15" sqref="A14:A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vovina.LogA.Ekb.Dto;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334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335</v>
      </c>
      <c r="C3" s="10" t="s">
        <v>43</v>
      </c>
      <c r="D3" s="10" t="s">
        <v>44</v>
      </c>
      <c r="E3" s="10" t="s">
        <v>39</v>
      </c>
      <c r="F3" s="11" t="str">
        <f>"J"&amp;COUNTA($A:$A)</f>
        <v>J20</v>
      </c>
      <c r="G3" s="4" t="s">
        <v>57</v>
      </c>
      <c r="H3" s="10" t="str">
        <f>"I"&amp;COUNTA($A:$A)</f>
        <v>I20</v>
      </c>
      <c r="I3" s="10" t="str">
        <f>REPT(CHAR(9),2)&amp;"[Required]"&amp;"
"</f>
        <v xml:space="preserve">		[Required]
</v>
      </c>
      <c r="J3" s="11" t="str">
        <f>"L"&amp;COUNTA($A:$A)</f>
        <v>L20</v>
      </c>
      <c r="K3" s="5" t="s">
        <v>56</v>
      </c>
      <c r="L3" s="11" t="str">
        <f>"M"&amp;COUNTA($A:$A)</f>
        <v>M20</v>
      </c>
      <c r="M3" s="11" t="str">
        <f>"N"&amp;COUNTA($A:$A)</f>
        <v>N20</v>
      </c>
      <c r="N3" s="11" t="str">
        <f>"O"&amp;COUNTA($A:$A)</f>
        <v>O20</v>
      </c>
      <c r="O3" s="11" t="str">
        <f>"P"&amp;COUNTA($A:$A)</f>
        <v>P20</v>
      </c>
      <c r="Q3" s="11" t="str">
        <f>RIGHT(B2,(LEN(B2)-FIND(".",B2,1)))</f>
        <v>Ekb</v>
      </c>
      <c r="R3" s="32" t="str">
        <f>REPT(CHAR(9),1)&amp;"public class "&amp;B3&amp;"ExportInput"&amp;C3</f>
        <v xml:space="preserve">	public class LgaEkbProgressExportInput{
</v>
      </c>
      <c r="S3" s="11" t="str">
        <f>"namespace "&amp;$B$6&amp;".Exporting
"&amp;$C$3</f>
        <v xml:space="preserve">namespace vovina.LogA.Ekb.Exporting
{
</v>
      </c>
      <c r="T3" s="11" t="str">
        <f>"T"&amp;COUNTA($A:$A)</f>
        <v>T20</v>
      </c>
      <c r="V3" s="11" t="str">
        <f>"V"&amp;COUNTA($A:$A)</f>
        <v>V20</v>
      </c>
      <c r="W3" s="10" t="str">
        <f>"W"&amp;COUNTA($A:$A)</f>
        <v>W20</v>
      </c>
    </row>
    <row r="4" spans="1:23" s="11" customFormat="1" ht="33" customHeight="1" x14ac:dyDescent="0.25">
      <c r="A4" s="1" t="s">
        <v>237</v>
      </c>
      <c r="B4" s="64" t="s">
        <v>307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vovina.LogA.Ekb</v>
      </c>
      <c r="C6" s="11" t="str">
        <f>"namespace "&amp;$B$6&amp;"
"&amp;$C$3</f>
        <v xml:space="preserve">namespace vovina.LogA.Ekb
{
</v>
      </c>
      <c r="D6" s="11" t="str">
        <f>REPT(CHAR(9),1)&amp;"public class "&amp;B3&amp;G3&amp;REPT(CHAR(9),1)&amp;"
"&amp;REPT(CHAR(9),1)&amp;C3</f>
        <v xml:space="preserve">	public class LgaEkbProgress: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LgaEkbProgressConsts	
	{
</v>
      </c>
      <c r="F6" s="11" t="str">
        <f>REPT(CHAR(9),1)&amp;"public class "&amp;B3&amp;"Dto"&amp;K3&amp;REPT(CHAR(9),1)&amp;"
"&amp;REPT(CHAR(9),1)&amp;C3</f>
        <v xml:space="preserve">	public class LgaEkbProgressDto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CreateOrEditLgaEkbProgressDto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GetLgaEkbProgressInput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LgaEkbProgress</v>
      </c>
      <c r="C7" s="11" t="str">
        <f>REPT(CHAR(9),1)&amp;"[Table("""&amp;B7&amp;""")]"&amp;"
"</f>
        <v xml:space="preserve">	[Table("LgaEkbProgress")]
</v>
      </c>
      <c r="D7" s="11"/>
      <c r="E7" s="11"/>
      <c r="F7" s="11"/>
      <c r="G7" s="11"/>
      <c r="H7" s="11"/>
      <c r="I7" s="11"/>
      <c r="J7" s="6" t="str">
        <f ca="1">SUBSTITUTE(SUBSTITUTE((B1&amp;C6&amp;C7&amp;K22&amp;D6&amp;I22&amp;E3&amp;J22&amp;""&amp;REPT(CHAR(9),1)&amp;D3&amp;D3),"WorkingPattern",$Q$3),"Master",$B$4)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vovina.LogA.Ekb
{
	[Table("LgaEkbProgress")]
	[Index(nameof(ProdLine), Name="IX_LgaEkbProgress_ProdLine")]
	[Index(nameof(WorkingDate), Name="IX_LgaEkbProgress_WorkingDate")]
	[Index(nameof(Shift), Name="IX_LgaEkbProgress_Shift")]
	[Index(nameof(ProcessId), Name="IX_LgaEkbProgress_ProcessId")]
	[Index(nameof(IsActive), Name="IX_LgaEkbProgress_IsActive")]	public class LgaEkbProgress: FullAuditedEntity&lt;long&gt;, IEntity&lt;long&gt;	
	{
		public const int MaxProdLineLength = 50;
		public const int MaxShiftLength = 50;
		public const int MaxProcessCodeLength = 50;
		public const int MaxStatusLength = 50;
		public const int MaxIsActiveLength = 1;
		[StringLength(MaxProdLineLength)]
		public virtual string ProdLine { get; set; }
		public virtual DateTime WorkingDate { get; set; }
		[StringLength(MaxShiftLength)]
		public virtual string Shift { get; set; }
		public virtual int NoInShift { get; set; }
		public virtual int NoInDate { get; set; }
		public virtual long ProcessId { get; set; }
		[StringLength(MaxProcessCodeLength)]
		public virtual string ProcessCode { get; set; }
		[Column(TypeName="datetime2(7)")]
		public virtual DateTime NewtaktDatetime { get; set; }
		[Column(TypeName="datetime2(7)")]
		public virtual DateTime StartDatetime { get; set; }
		[Column(TypeName="datetime2(7)")]
		public virtual DateTime FinishDatetime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DbSet&lt;LgaEkbProgress&gt; LgaEkbProgresss { get; set; }</v>
      </c>
      <c r="L7" t="str">
        <f ca="1">SUBSTITUTE(SUBSTITUTE((C6&amp;E6&amp;I22&amp;"
"&amp;REPT(CHAR(9),2)&amp;"// Define Store Name: Format SP_ + &lt;Store Name&gt; = &lt;Store Name&gt;
"&amp;E3&amp;REPT(CHAR(9),1)&amp;D3&amp;D3),"WorkingPattern",$Q$3),"Master",$B$4)</f>
        <v xml:space="preserve">namespace vovina.LogA.Ekb
{
	public class LgaEkbProgressConsts	
	{
		public const int MaxProdLineLength = 50;
		public const int MaxShiftLength = 50;
		public const int MaxProcessCodeLength = 50;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"&amp;B6&amp;".Dto"&amp;E3&amp;C3&amp;F6&amp;M22&amp;E3&amp;REPT(CHAR(9),1)&amp;D3&amp;G6&amp;N22&amp;REPT(CHAR(9),1)&amp;D3&amp;H6&amp;O22&amp;"
"&amp;REPT(CHAR(9),1)&amp;D3&amp;D3),"WorkingPattern",$Q$3),"Master",$B$4)</f>
        <v xml:space="preserve">using Abp.Application.Services.Dto;
using System;
using System.ComponentModel.DataAnnotations;
namespace vovina.LogA.Ekb.Dto
{
	public class LgaEkbProgressDto : EntityDto&lt;long?&gt;	
	{
		public virtual string ProdLine { get; set; }
		public virtual DateTime? WorkingDate { get; set; }
		public virtual string Shift { get; set; }
		public virtual int NoInShift { get; set; }
		public virtual int NoInDate { get; set; }
		public virtual long ProcessId { get; set; }
		public virtual string ProcessCode { get; set; }
		public virtual DateTime? NewtaktDatetime { get; set; }
		public virtual DateTime? StartDatetime { get; set; }
		public virtual DateTime? FinishDatetime { get; set; }
		public virtual string Status { get; set; }
		public virtual string IsActive { get; set; }
	}
	public class CreateOrEditLgaEkbProgressDto : EntityDto&lt;long?&gt;	
	{
		[StringLength(LgaEkbProgressConsts.MaxProdLineLength)]
		public virtual string ProdLine { get; set; }
		public virtual DateTime? WorkingDate { get; set; }
		[StringLength(LgaEkbProgressConsts.MaxShiftLength)]
		public virtual string Shift { get; set; }
		public virtual int NoInShift { get; set; }
		public virtual int NoInDate { get; set; }
		public virtual long ProcessId { get; set; }
		[StringLength(LgaEkbProgressConsts.MaxProcessCodeLength)]
		public virtual string ProcessCode { get; set; }
		public virtual DateTime? NewtaktDatetime { get; set; }
		public virtual DateTime? StartDatetime { get; set; }
		public virtual DateTime? FinishDatetime { get; set; }
		[StringLength(LgaEkbProgressConsts.MaxStatusLength)]
		public virtual string Status { get; set; }
		[StringLength(LgaEkbProgressConsts.MaxIsActiveLength)]
		public virtual string IsActive { get; set; }
	}
	public class GetLgaEkbProgressInput : PagedAndSortedResultRequestDto	
	{
		public virtual string ProdLine { get; set; }
		public virtual DateTime? WorkingDate { get; set; }
		public virtual string Shift { get; set; }
		public virtual int NoInShift { get; set; }
		public virtual int NoInDate { get; set; }
		public virtual string ProcessCode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perLgaEkbProgress = PARENTS.CreateChildPermission(AppPermissions.Pages_LogA_Ekb_Progress, L( "LogAEkbProgress"), multiTenancySides: MultiTenancySides.Tenant);
		perLgaEkbProgress.CreateChildPermission(AppPermissions.Pages_LogA_Ekb_Progress_CreateEdit, L( "LogAEkbProgressCreateEdit"), multiTenancySides: MultiTenancySides.Tenant);
		perLgaEkbProgress.CreateChildPermission(AppPermissions.Pages_LogA_Ekb_Progress_Delete, L( "LogAEkbProgressDelete"),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Pages_LogA_Ekb_Progress = "Pages.LogA.Ekb.Progress";
		public const string Pages_LogA_Ekb_Progress_CreateEdit = "Pages.LogA.Ekb.Progress.CreateEdit";
		public const string Pages_LogA_Ekb_Progress_Delete = "Pages.LogA.Ekb.Progress.Delete";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vovina.LogA.Ekb.Dto;
namespace vovina.LogA.Ekb
{
	public interface ILgaEkbProgressAppService : IApplicationService
	{
		Task&lt;PagedResultDto&lt;LgaEkbProgressDto&gt;&gt; GetAll(GetLgaEkbProgressInput input);
		Task CreateOrEdit(CreateOrEditLgaEkbProgressDto input);
		Task Delete(EntityDto input);
	}
}
</v>
      </c>
      <c r="Q7" t="str">
        <f ca="1">SUBSTITUTE(SUBSTITUTE(SUBSTITUTE(SUBSTITUTE(SUBSTITUTE(SUBSTITUTE(E1,"MstWptCalendar",$B$3),"&lt;PROPERTIES&gt;",P22),"Calendar",$B$5),"WorkingPattern",$Q$3),"Master",$B$4),"&lt;PARAMS_SEARCH&gt;",$W$22)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vovina.LogA.Ekb.Dto;
using vovina.LogA.Ekb.Exporting;
namespace vovina.LogA.Ekb
{
    [AbpAuthorize(AppPermissions.Pages_LogA_Ekb_Progress)]
    public class LgaEkbProgressAppService : vovinaAppServiceBase, ILgaEkbProgressAppService
    {
        private readonly IDapperRepository&lt;LgaEkbProgress, long&gt; _dapperRepo;
        private readonly IRepository&lt;LgaEkbProgress, long&gt; _repo;
        private readonly ILgaEkbProgressExcelExporter _calendarListExcelExporter;
        public LgaEkbProgressAppService(IRepository&lt;LgaEkbProgress,long&gt; repo, 
                                         IDapperRepository&lt;LgaEkbProgress,long&gt; dapperRepo,
                                        ILgaEkbProgressExcelExporter calendarListExcelExporter
            )
        {
            _repo = repo;
            _dapperRepo = dapperRepo;
            _calendarListExcelExporter = calendarListExcelExporter;
        }
        [AbpAuthorize(AppPermissions.Pages_LogA_Ekb_Progress_CreateEdit)]
        public async Task CreateOrEdit(CreateOrEditLgaEkbProgressDto input)
        {
            if (input.Id == null) await Create(input);
            else await Update(input);
        }
        //CREATE
        private async Task Create(CreateOrEditLgaEkbProgressDto input)
        {          
            var mainObj = ObjectMapper.Map&lt;LgaEkbProgress&gt;(input);
            await CurrentUnitOfWork.GetDbContext&lt;vovinaDbContext&gt;().AddAsync(mainObj);
        }
        // EDIT
        private async Task Update(CreateOrEditLgaEkbProgressDto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[AbpAuthorize(AppPermissions.Pages_LogA_Ekb_Progress_Delete)]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Task&lt;PagedResultDto&lt;LgaEkbProgressDto&gt;&gt; GetAll(GetLgaEkbProgressInput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.WhereIf(!string.IsNullOrWhiteSpace(input.ProcessCode), e =&gt; e.ProcessCode.Contains(input.ProcessCode))
				.WhereIf(input.NewtaktDatetime.HasValue, t =&gt; t.NewtaktDatetime == input.NewtaktDatetime.Value)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LgaEkbProgressDto
                        {
							Id = o.Id,
							ProdLine = o.ProdLine,
							WorkingDate = o.WorkingDate,
							Shift = o.Shift,
							NoInShift = o.NoInShift,
							NoInDate = o.NoInDate,
							ProcessId = o.ProcessId,
							ProcessCode = o.ProcessCode,
							NewtaktDatetime = o.NewtaktDatetime,
							StartDatetime = o.StartDatetime,
							FinishDatetime = o.FinishDatetime,
							Status = o.Status,
							IsActive = o.IsActive,
                        };
            var totalCount = await filtered.CountAsync();
			var paged = system.PageBy(input);
            return new PagedResultDto&lt;LgaEkbProgressDto&gt;(
                totalCount,
                 await paged.ToListAsync()
            );
        }
        public async Task&lt;FileDto&gt; GetProgressToExcel(LgaEkbProgressExportInput input)
        {
            var query = from o in _repo.GetAll()
                        select new LgaEkbProgressDto
                        {
							Id = o.Id,
							ProdLine = o.ProdLine,
							WorkingDate = o.WorkingDate,
							Shift = o.Shift,
							NoInShift = o.NoInShift,
							NoInDate = o.NoInDate,
							ProcessId = o.ProcessId,
							ProcessCode = o.ProcessCode,
							NewtaktDatetime = o.NewtaktDatetime,
							StartDatetime = o.StartDatetime,
							FinishDatetime = o.FinishDatetime,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_dapperRepo.ExecuteAsync(LgaEkbProgressConsts.SP_MST_WPT_CALENDAR_GENERATE);
       // }
    }
}</v>
      </c>
      <c r="R7" t="str">
        <f ca="1">SUBSTITUTE(SUBSTITUTE((C1&amp;"namespace "&amp;B6&amp;".Dto"&amp;E3&amp;C3&amp;R3&amp;M22&amp;E3&amp;REPT(CHAR(9),1)&amp;D3&amp;D3),"WorkingPattern",$Q$3),"Master",$B$4)</f>
        <v xml:space="preserve">using Abp.Application.Services.Dto;
using System;
using System.ComponentModel.DataAnnotations;
namespace vovina.LogA.Ekb.Dto
{
	public class LgaEkbProgressExportInput{
		public virtual string ProdLine { get; set; }
		public virtual DateTime? WorkingDate { get; set; }
		public virtual string Shift { get; set; }
		public virtual int NoInShift { get; set; }
		public virtual int NoInDate { get; set; }
		public virtual long ProcessId { get; set; }
		public virtual string ProcessCode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vovina.LogA.Ekb.Dto;
namespace vovina.LogA.Ekb.Exporting
{
	public interface ILgaEkbProgressExcelExporter : IApplicationService
	{
		FileDto ExportToFile(List&lt;LgaEkbProgressDto&gt; lgaekbprogress);
	}
}
</v>
      </c>
      <c r="T7" s="28" t="str">
        <f ca="1">SUBSTITUTE(SUBSTITUTE(SUBSTITUTE(SUBSTITUTE(SUBSTITUTE(SUBSTITUTE(SUBSTITUTE(T1,"MstWptCalendar",$B$3),"&lt;PROPERTIES1&gt;",V22),"&lt;PROPERTIES&gt;",T22),"Calendar",$B$5),"calendar",LOWER(B5)),"WorkingPattern",$Q$3),"Master",$B$4)</f>
        <v>using System.Collections.Generic;
using vovina.DataExporting.Excel.NPOI;
using vovina.Dto;
using vovina.LogA.Ekb.Exporting;
using vovina.LogA.Ekb.Dto;
using vovina.Storage;
using vovina.LogA.Ekb.Dto;
namespace vovina.LogA.Ekb.Exporting
{
    public class LgaEkbProgressExcelExporter : NpoiExcelExporterBase, ILgaEkbProgressExcelExporter
    {
        public LgaEkbProgressExcelExporter(ITempFileCacheManager tempFileCacheManager) : base(tempFileCacheManager) { }
        public FileDto ExportToFile(List&lt;LgaEkbProgressDto&gt; progress)
        {
            return CreateExcelPackage(
				"LogAEkbProgress.xlsx",
				excelPackage =&gt;
				 {
					var sheet = excelPackage.CreateSheet("Progress");
					AddHeader(
								sheet,
								("ProdLine"),
								("WorkingDate"),
								("Shift"),
								("NoInShift"),
								("NoInDate"),
								("ProcessId"),
								("ProcessCode"),
								("NewtaktDatetime"),
								("StartDatetime"),
								("FinishDatetime"),
								("Status"),
								("IsActive"),
							   );
					AddObjects(
						 sheet, 1, progress,                                       
								_ =&gt; _.ProdLine,
								_ =&gt; _.WorkingDate,
								_ =&gt; _.Shift,
								_ =&gt; _.NoInShift,
								_ =&gt; _.NoInDate,
								_ =&gt; _.ProcessId,
								_ =&gt; _.ProcessCode,
								_ =&gt; _.NewtaktDatetime,
								_ =&gt; _.StartDatetime,
								_ =&gt; _.FinishDatetime,
								_ =&gt; _.Status,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configuration.CreateMap&lt;LgaEkbProgressDto, LgaEkbProgress&gt;();
  configuration.CreateMap&lt;LgaEkbProgress, LgaEkbProgressDto&gt;();
  configuration.CreateMap&lt;CreateOrEditLgaEkbProgressDto, LgaEkbProgress&gt;();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322</v>
      </c>
      <c r="B9" t="s">
        <v>321</v>
      </c>
      <c r="C9" t="s">
        <v>1</v>
      </c>
      <c r="D9" t="str">
        <f t="shared" ref="D9" si="0">SUBSTITUTE(PROPER(A9),"_","")</f>
        <v>ProdLine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MaxProdLineLength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[StringLength(MaxProdLineLength)]
		public virtual string ProdLine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[Index(nameof(ProdLine), Name="IX_LgaEkbProgress_ProdLine")]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ProdLine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[StringLength(LgaEkbProgressConsts.MaxProdLineLength)]
		public virtual string ProdLine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ProdLine { get; set; }
</v>
      </c>
      <c r="P9" t="str">
        <f t="shared" ref="P9" si="9">REPT(CHAR(9),7)&amp;D9&amp;" = o." &amp;D9 &amp;","</f>
        <v xml:space="preserve">							ProdLine = o.ProdLine,</v>
      </c>
      <c r="T9" s="69" t="str">
        <f t="shared" ref="T9" si="10">REPT(CHAR(9),8)&amp;"("""&amp;D9&amp;"""),"</f>
        <v xml:space="preserve">								("ProdLine"),</v>
      </c>
      <c r="V9" s="70" t="str">
        <f t="shared" ref="V9" si="11">REPT(CHAR(9),8)&amp;"_ =&gt; _."&amp;D9&amp;","</f>
        <v xml:space="preserve">								_ =&gt; _.ProdLine,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.WhereIf(!string.IsNullOrWhiteSpace(input.ProdLine), e =&gt; e.ProdLine.Contains(input.ProdLine))</v>
      </c>
    </row>
    <row r="10" spans="1:23" customFormat="1" ht="22.5" customHeight="1" x14ac:dyDescent="0.25">
      <c r="A10" t="s">
        <v>326</v>
      </c>
      <c r="B10" t="s">
        <v>2</v>
      </c>
      <c r="C10" t="s">
        <v>1</v>
      </c>
      <c r="D10" t="str">
        <f>SUBSTITUTE(PROPER(A10),"_","")</f>
        <v>WorkingDate</v>
      </c>
      <c r="E10" t="str">
        <f t="shared" ref="E10:E20" si="13">IFERROR(LEFT(B10, FIND("(",B10)-1),B10)</f>
        <v>date</v>
      </c>
      <c r="F10" s="7"/>
      <c r="G10" t="str">
        <f t="shared" ref="G10:G20" si="14">IFERROR(MID(B10,FIND("(",B10) +1, FIND(")",B10) - FIND("(",B10) - 1),"")</f>
        <v/>
      </c>
      <c r="H10" t="str">
        <f>+VLOOKUP(E10,'Data Type Mapping'!A:B,2,)</f>
        <v>DateTime</v>
      </c>
      <c r="I10" t="str">
        <f t="shared" ref="I10:I20" si="15">IF(H10="string",REPT(CHAR(9),2)&amp;"public const int Max"&amp;D10&amp;"Length = "&amp;G10&amp;";"&amp;$E$3,"" )</f>
        <v/>
      </c>
      <c r="J10" t="str">
        <f t="shared" ref="J10:J20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 WorkingDate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[Index(nameof(WorkingDate), Name="IX_LgaEkbProgress_WorkingDate")]</v>
      </c>
      <c r="M10" t="str">
        <f t="shared" ref="M10:M20" si="17">REPT(CHAR(9),2)&amp;"public virtual "&amp;IF(OR(H10="DateTime",H10="TimeSpan"),H10&amp;"?",H10)&amp;IF(C10="?","? "," ")&amp;D10&amp;" { get; set; }" &amp; "
"</f>
        <v xml:space="preserve">		public virtual DateTime? WorkingDate { get; set; }
</v>
      </c>
      <c r="N10" t="str">
        <f t="shared" ref="N10:N20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WorkingDate { get; set; }
</v>
      </c>
      <c r="O10" t="str">
        <f t="shared" ref="O10:O20" si="19">IF(OR(H10="string",H10="DateTime",H10="int"),REPT(CHAR(9),2)&amp;"public virtual "&amp;IF(OR(H10="DateTime",H10="TimeSpan"),H10&amp;"?",H10)&amp;IF(C10="?","? "," ")&amp;D10&amp;" { get; set; }"&amp;$E$3,"")</f>
        <v xml:space="preserve">		public virtual DateTime? WorkingDate { get; set; }
</v>
      </c>
      <c r="P10" t="str">
        <f t="shared" ref="P10:P20" si="20">REPT(CHAR(9),7)&amp;D10&amp;" = o." &amp;D10 &amp;","</f>
        <v xml:space="preserve">							WorkingDate = o.WorkingDate,</v>
      </c>
      <c r="T10" s="69" t="str">
        <f t="shared" ref="T10:T20" si="21">REPT(CHAR(9),8)&amp;"("""&amp;D10&amp;"""),"</f>
        <v xml:space="preserve">								("WorkingDate"),</v>
      </c>
      <c r="V10" s="70" t="str">
        <f t="shared" ref="V10:V20" si="22">REPT(CHAR(9),8)&amp;"_ =&gt; _."&amp;D10&amp;","</f>
        <v xml:space="preserve">								_ =&gt; _.WorkingDate,</v>
      </c>
      <c r="W10" s="69" t="str">
        <f t="shared" ref="W10:W20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.WhereIf(input.WorkingDate.HasValue, t =&gt; t.WorkingDate == input.WorkingDate.Value)</v>
      </c>
    </row>
    <row r="11" spans="1:23" customFormat="1" ht="22.5" customHeight="1" x14ac:dyDescent="0.25">
      <c r="A11" t="s">
        <v>327</v>
      </c>
      <c r="B11" t="s">
        <v>321</v>
      </c>
      <c r="C11" t="s">
        <v>1</v>
      </c>
      <c r="D11" t="str">
        <f>SUBSTITUTE(PROPER(A11),"_","")</f>
        <v>Shift</v>
      </c>
      <c r="E11" t="str">
        <f t="shared" si="13"/>
        <v>varchar</v>
      </c>
      <c r="F11" s="7"/>
      <c r="G11" t="str">
        <f t="shared" si="14"/>
        <v>50</v>
      </c>
      <c r="H11" t="str">
        <f>+VLOOKUP(E11,'Data Type Mapping'!A:B,2,)</f>
        <v>string</v>
      </c>
      <c r="I11" t="str">
        <f t="shared" si="15"/>
        <v xml:space="preserve">		public const int MaxShiftLength = 50;
</v>
      </c>
      <c r="J11" t="str">
        <f t="shared" si="16"/>
        <v xml:space="preserve">		[StringLength(MaxShiftLength)]
		public virtual string Shift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[Index(nameof(Shift), Name="IX_LgaEkbProgress_Shift")]</v>
      </c>
      <c r="M11" t="str">
        <f t="shared" si="17"/>
        <v xml:space="preserve">		public virtual string Shift { get; set; }
</v>
      </c>
      <c r="N11" t="str">
        <f t="shared" si="18"/>
        <v xml:space="preserve">		[StringLength(LgaEkbProgressConsts.MaxShiftLength)]
		public virtual string Shift { get; set; }
</v>
      </c>
      <c r="O11" t="str">
        <f t="shared" si="19"/>
        <v xml:space="preserve">		public virtual string Shift { get; set; }
</v>
      </c>
      <c r="P11" t="str">
        <f t="shared" si="20"/>
        <v xml:space="preserve">							Shift = o.Shift,</v>
      </c>
      <c r="T11" s="69" t="str">
        <f t="shared" si="21"/>
        <v xml:space="preserve">								("Shift"),</v>
      </c>
      <c r="V11" s="70" t="str">
        <f t="shared" si="22"/>
        <v xml:space="preserve">								_ =&gt; _.Shift,</v>
      </c>
      <c r="W11" s="69" t="str">
        <f t="shared" si="23"/>
        <v xml:space="preserve">				.WhereIf(!string.IsNullOrWhiteSpace(input.Shift), e =&gt; e.Shift.Contains(input.Shift))</v>
      </c>
    </row>
    <row r="12" spans="1:23" customFormat="1" ht="21" customHeight="1" x14ac:dyDescent="0.25">
      <c r="A12" t="s">
        <v>328</v>
      </c>
      <c r="B12" t="s">
        <v>4</v>
      </c>
      <c r="C12" t="s">
        <v>1</v>
      </c>
      <c r="D12" t="str">
        <f t="shared" ref="D12:D17" si="24">SUBSTITUTE(PROPER(A12),"_","")</f>
        <v>NoInShift</v>
      </c>
      <c r="E12" t="str">
        <f t="shared" si="13"/>
        <v>int</v>
      </c>
      <c r="F12" s="7"/>
      <c r="G12" t="str">
        <f t="shared" si="14"/>
        <v/>
      </c>
      <c r="H12" t="str">
        <f>+VLOOKUP(E12,'Data Type Mapping'!A:B,2,)</f>
        <v>int</v>
      </c>
      <c r="I12" t="str">
        <f t="shared" si="15"/>
        <v/>
      </c>
      <c r="J12" t="str">
        <f t="shared" si="16"/>
        <v xml:space="preserve">		public virtual int NoInShift { get; set; }
</v>
      </c>
      <c r="K12" s="7"/>
      <c r="L12" t="str">
        <f t="shared" ref="L12:L17" si="25">IF(K12="","",REPT(CHAR(9),1)&amp;"[Index(nameof("&amp;IF(D12="","",""&amp;D12)&amp;")"&amp;", Name="&amp;"""IX_"&amp;$B$7&amp;"_"&amp;D12&amp;""")]")</f>
        <v/>
      </c>
      <c r="M12" t="str">
        <f t="shared" si="17"/>
        <v xml:space="preserve">		public virtual int NoInShift { get; set; }
</v>
      </c>
      <c r="N12" t="str">
        <f t="shared" si="18"/>
        <v xml:space="preserve">		public virtual int NoInShift { get; set; }
</v>
      </c>
      <c r="O12" t="str">
        <f t="shared" si="19"/>
        <v xml:space="preserve">		public virtual int NoInShift { get; set; }
</v>
      </c>
      <c r="P12" t="str">
        <f t="shared" si="20"/>
        <v xml:space="preserve">							NoInShift = o.NoInShift,</v>
      </c>
      <c r="T12" s="69" t="str">
        <f t="shared" si="21"/>
        <v xml:space="preserve">								("NoInShift"),</v>
      </c>
      <c r="V12" s="70" t="str">
        <f t="shared" si="22"/>
        <v xml:space="preserve">								_ =&gt; _.NoInShift,</v>
      </c>
      <c r="W12" s="69" t="str">
        <f t="shared" si="23"/>
        <v/>
      </c>
    </row>
    <row r="13" spans="1:23" customFormat="1" ht="21" customHeight="1" x14ac:dyDescent="0.25">
      <c r="A13" t="s">
        <v>339</v>
      </c>
      <c r="B13" t="s">
        <v>4</v>
      </c>
      <c r="C13" t="s">
        <v>1</v>
      </c>
      <c r="D13" t="str">
        <f t="shared" ref="D13:D15" si="26">SUBSTITUTE(PROPER(A13),"_","")</f>
        <v>NoInDate</v>
      </c>
      <c r="E13" t="str">
        <f t="shared" ref="E13:E15" si="27">IFERROR(LEFT(B13, FIND("(",B13)-1),B13)</f>
        <v>int</v>
      </c>
      <c r="F13" s="7"/>
      <c r="G13" t="str">
        <f t="shared" ref="G13:G15" si="28">IFERROR(MID(B13,FIND("(",B13) +1, FIND(")",B13) - FIND("(",B13) - 1),"")</f>
        <v/>
      </c>
      <c r="H13" t="str">
        <f>+VLOOKUP(E13,'Data Type Mapping'!A:B,2,)</f>
        <v>int</v>
      </c>
      <c r="I13" t="str">
        <f t="shared" ref="I13:I15" si="29">IF(H13="string",REPT(CHAR(9),2)&amp;"public const int Max"&amp;D13&amp;"Length = "&amp;G13&amp;";"&amp;$E$3,"" )</f>
        <v/>
      </c>
      <c r="J13" t="str">
        <f t="shared" ref="J13:J15" si="30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public virtual int NoInDate { get; set; }
</v>
      </c>
      <c r="K13" s="7"/>
      <c r="L13" t="str">
        <f t="shared" ref="L13:L15" si="31">IF(K13="","",REPT(CHAR(9),1)&amp;"[Index(nameof("&amp;IF(D13="","",""&amp;D13)&amp;")"&amp;", Name="&amp;"""IX_"&amp;$B$7&amp;"_"&amp;D13&amp;""")]")</f>
        <v/>
      </c>
      <c r="M13" t="str">
        <f t="shared" ref="M13:M15" si="32">REPT(CHAR(9),2)&amp;"public virtual "&amp;IF(OR(H13="DateTime",H13="TimeSpan"),H13&amp;"?",H13)&amp;IF(C13="?","? "," ")&amp;D13&amp;" { get; set; }" &amp; "
"</f>
        <v xml:space="preserve">		public virtual int NoInDate { get; set; }
</v>
      </c>
      <c r="N13" t="str">
        <f t="shared" ref="N13:N15" si="33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int NoInDate { get; set; }
</v>
      </c>
      <c r="O13" t="str">
        <f t="shared" ref="O13:O15" si="34">IF(OR(H13="string",H13="DateTime",H13="int"),REPT(CHAR(9),2)&amp;"public virtual "&amp;IF(OR(H13="DateTime",H13="TimeSpan"),H13&amp;"?",H13)&amp;IF(C13="?","? "," ")&amp;D13&amp;" { get; set; }"&amp;$E$3,"")</f>
        <v xml:space="preserve">		public virtual int NoInDate { get; set; }
</v>
      </c>
      <c r="P13" t="str">
        <f t="shared" ref="P13:P15" si="35">REPT(CHAR(9),7)&amp;D13&amp;" = o." &amp;D13 &amp;","</f>
        <v xml:space="preserve">							NoInDate = o.NoInDate,</v>
      </c>
      <c r="T13" s="69" t="str">
        <f t="shared" ref="T13:T15" si="36">REPT(CHAR(9),8)&amp;"("""&amp;D13&amp;"""),"</f>
        <v xml:space="preserve">								("NoInDate"),</v>
      </c>
      <c r="V13" s="70" t="str">
        <f t="shared" ref="V13:V15" si="37">REPT(CHAR(9),8)&amp;"_ =&gt; _."&amp;D13&amp;","</f>
        <v xml:space="preserve">								_ =&gt; _.NoInDate,</v>
      </c>
      <c r="W13" s="69" t="str">
        <f t="shared" ref="W13:W15" si="38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18.75" customHeight="1" x14ac:dyDescent="0.25">
      <c r="A14" t="s">
        <v>341</v>
      </c>
      <c r="B14" t="s">
        <v>0</v>
      </c>
      <c r="C14" t="s">
        <v>1</v>
      </c>
      <c r="D14" t="str">
        <f>SUBSTITUTE(PROPER(A14),"_","")</f>
        <v>ProcessId</v>
      </c>
      <c r="E14" t="str">
        <f>IFERROR(LEFT(B14, FIND("(",B14)-1),B14)</f>
        <v>bigint</v>
      </c>
      <c r="F14" s="7"/>
      <c r="G14" t="str">
        <f>IFERROR(MID(B14,FIND("(",B14) +1, FIND(")",B14) - FIND("(",B14) - 1),"")</f>
        <v/>
      </c>
      <c r="H14" t="str">
        <f>+VLOOKUP(E14,'[1]Data Type Mapping'!A:B,2,)</f>
        <v>long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long ProcessId { get; set; }
</v>
      </c>
      <c r="K14" s="7" t="s">
        <v>206</v>
      </c>
      <c r="L14" t="str">
        <f>IF(K14="","",REPT(CHAR(9),1)&amp;"[Index(nameof("&amp;IF(D14="","",""&amp;D14)&amp;")"&amp;", Name="&amp;"""IX_"&amp;$B$7&amp;"_"&amp;D14&amp;""")]")</f>
        <v xml:space="preserve">	[Index(nameof(ProcessId), Name="IX_LgaEkbProgress_ProcessId")]</v>
      </c>
      <c r="M14" t="str">
        <f>REPT(CHAR(9),2)&amp;"public virtual "&amp;IF(OR(H14="DateTime",H14="TimeSpan"),H14&amp;"?",H14)&amp;IF(C14="?","? "," ")&amp;D14&amp;" { get; set; }" &amp; "
"</f>
        <v xml:space="preserve">		public virtual long ProcessId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long ProcessId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/>
      </c>
      <c r="P14" t="str">
        <f>REPT(CHAR(9),7)&amp;D14&amp;" = o." &amp;D14 &amp;","</f>
        <v xml:space="preserve">							ProcessId = o.ProcessId,</v>
      </c>
      <c r="T14" s="69" t="str">
        <f>REPT(CHAR(9),8)&amp;"("""&amp;D14&amp;"""),"</f>
        <v xml:space="preserve">								("ProcessId"),</v>
      </c>
      <c r="V14" s="70" t="str">
        <f>REPT(CHAR(9),8)&amp;"_ =&gt; _."&amp;D14&amp;","</f>
        <v xml:space="preserve">								_ =&gt; _.ProcessId,</v>
      </c>
      <c r="W14" s="69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t="s">
        <v>342</v>
      </c>
      <c r="B15" t="s">
        <v>321</v>
      </c>
      <c r="C15" t="s">
        <v>1</v>
      </c>
      <c r="D15" t="str">
        <f t="shared" si="26"/>
        <v>ProcessCode</v>
      </c>
      <c r="E15" t="str">
        <f t="shared" si="27"/>
        <v>varchar</v>
      </c>
      <c r="F15" s="7"/>
      <c r="G15" t="str">
        <f t="shared" si="28"/>
        <v>50</v>
      </c>
      <c r="H15" t="str">
        <f>+VLOOKUP(E15,'Data Type Mapping'!A:B,2,)</f>
        <v>string</v>
      </c>
      <c r="I15" t="str">
        <f t="shared" si="29"/>
        <v xml:space="preserve">		public const int MaxProcessCodeLength = 50;
</v>
      </c>
      <c r="J15" t="str">
        <f t="shared" si="30"/>
        <v xml:space="preserve">		[StringLength(MaxProcessCodeLength)]
		public virtual string ProcessCode { get; set; }
</v>
      </c>
      <c r="K15" s="7"/>
      <c r="L15" t="str">
        <f t="shared" si="31"/>
        <v/>
      </c>
      <c r="M15" t="str">
        <f t="shared" si="32"/>
        <v xml:space="preserve">		public virtual string ProcessCode { get; set; }
</v>
      </c>
      <c r="N15" t="str">
        <f t="shared" si="33"/>
        <v xml:space="preserve">		[StringLength(LgaEkbProgressConsts.MaxProcessCodeLength)]
		public virtual string ProcessCode { get; set; }
</v>
      </c>
      <c r="O15" t="str">
        <f t="shared" si="34"/>
        <v xml:space="preserve">		public virtual string ProcessCode { get; set; }
</v>
      </c>
      <c r="P15" t="str">
        <f t="shared" si="35"/>
        <v xml:space="preserve">							ProcessCode = o.ProcessCode,</v>
      </c>
      <c r="T15" s="69" t="str">
        <f t="shared" si="36"/>
        <v xml:space="preserve">								("ProcessCode"),</v>
      </c>
      <c r="V15" s="70" t="str">
        <f t="shared" si="37"/>
        <v xml:space="preserve">								_ =&gt; _.ProcessCode,</v>
      </c>
      <c r="W15" s="69" t="str">
        <f t="shared" si="38"/>
        <v xml:space="preserve">				.WhereIf(!string.IsNullOrWhiteSpace(input.ProcessCode), e =&gt; e.ProcessCode.Contains(input.ProcessCode))</v>
      </c>
    </row>
    <row r="16" spans="1:23" customFormat="1" ht="18.75" customHeight="1" x14ac:dyDescent="0.25">
      <c r="A16" t="s">
        <v>333</v>
      </c>
      <c r="B16" t="s">
        <v>331</v>
      </c>
      <c r="C16" t="s">
        <v>1</v>
      </c>
      <c r="D16" t="str">
        <f t="shared" ref="D16" si="39">SUBSTITUTE(PROPER(A16),"_","")</f>
        <v>NewtaktDatetime</v>
      </c>
      <c r="E16" t="str">
        <f t="shared" ref="E16" si="40">IFERROR(LEFT(B16, FIND("(",B16)-1),B16)</f>
        <v>datetime2</v>
      </c>
      <c r="F16" s="7" t="s">
        <v>331</v>
      </c>
      <c r="G16" t="str">
        <f t="shared" ref="G16" si="41">IFERROR(MID(B16,FIND("(",B16) +1, FIND(")",B16) - FIND("(",B16) - 1),"")</f>
        <v>7</v>
      </c>
      <c r="H16" t="str">
        <f>+VLOOKUP(E16,'Data Type Mapping'!A:B,2,)</f>
        <v>DateTime</v>
      </c>
      <c r="I16" t="str">
        <f t="shared" ref="I16" si="42">IF(H16="string",REPT(CHAR(9),2)&amp;"public const int Max"&amp;D16&amp;"Length = "&amp;G16&amp;";"&amp;$E$3,"" )</f>
        <v/>
      </c>
      <c r="J16" t="str">
        <f t="shared" ref="J16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[Column(TypeName="datetime2(7)")]
		public virtual DateTime NewtaktDatetime { get; set; }
</v>
      </c>
      <c r="K16" s="7"/>
      <c r="L16" t="str">
        <f t="shared" ref="L16" si="44">IF(K16="","",REPT(CHAR(9),1)&amp;"[Index(nameof("&amp;IF(D16="","",""&amp;D16)&amp;")"&amp;", Name="&amp;"""IX_"&amp;$B$7&amp;"_"&amp;D16&amp;""")]")</f>
        <v/>
      </c>
      <c r="M16" t="str">
        <f t="shared" ref="M16" si="45">REPT(CHAR(9),2)&amp;"public virtual "&amp;IF(OR(H16="DateTime",H16="TimeSpan"),H16&amp;"?",H16)&amp;IF(C16="?","? "," ")&amp;D16&amp;" { get; set; }" &amp; "
"</f>
        <v xml:space="preserve">		public virtual DateTime? NewtaktDatetime { get; set; }
</v>
      </c>
      <c r="N16" t="str">
        <f t="shared" ref="N16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DateTime? NewtaktDatetime { get; set; }
</v>
      </c>
      <c r="O16" t="str">
        <f t="shared" ref="O16" si="47">IF(OR(H16="string",H16="DateTime",H16="int"),REPT(CHAR(9),2)&amp;"public virtual "&amp;IF(OR(H16="DateTime",H16="TimeSpan"),H16&amp;"?",H16)&amp;IF(C16="?","? "," ")&amp;D16&amp;" { get; set; }"&amp;$E$3,"")</f>
        <v xml:space="preserve">		public virtual DateTime? NewtaktDatetime { get; set; }
</v>
      </c>
      <c r="P16" t="str">
        <f t="shared" ref="P16" si="48">REPT(CHAR(9),7)&amp;D16&amp;" = o." &amp;D16 &amp;","</f>
        <v xml:space="preserve">							NewtaktDatetime = o.NewtaktDatetime,</v>
      </c>
      <c r="T16" s="69" t="str">
        <f t="shared" ref="T16" si="49">REPT(CHAR(9),8)&amp;"("""&amp;D16&amp;"""),"</f>
        <v xml:space="preserve">								("NewtaktDatetime"),</v>
      </c>
      <c r="V16" s="70" t="str">
        <f t="shared" ref="V16" si="50">REPT(CHAR(9),8)&amp;"_ =&gt; _."&amp;D16&amp;","</f>
        <v xml:space="preserve">								_ =&gt; _.NewtaktDatetime,</v>
      </c>
      <c r="W16" s="69" t="str">
        <f t="shared" ref="W16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.WhereIf(input.NewtaktDatetime.HasValue, t =&gt; t.NewtaktDatetime == input.NewtaktDatetime.Value)</v>
      </c>
    </row>
    <row r="17" spans="1:23" customFormat="1" ht="18.75" customHeight="1" x14ac:dyDescent="0.25">
      <c r="A17" t="s">
        <v>329</v>
      </c>
      <c r="B17" t="s">
        <v>331</v>
      </c>
      <c r="C17" t="s">
        <v>1</v>
      </c>
      <c r="D17" t="str">
        <f t="shared" si="24"/>
        <v>StartDatetime</v>
      </c>
      <c r="E17" t="str">
        <f t="shared" si="13"/>
        <v>datetime2</v>
      </c>
      <c r="F17" s="7" t="s">
        <v>331</v>
      </c>
      <c r="G17" t="str">
        <f t="shared" si="14"/>
        <v>7</v>
      </c>
      <c r="H17" t="str">
        <f>+VLOOKUP(E17,'Data Type Mapping'!A:B,2,)</f>
        <v>DateTime</v>
      </c>
      <c r="I17" t="str">
        <f t="shared" si="15"/>
        <v/>
      </c>
      <c r="J17" t="str">
        <f t="shared" si="16"/>
        <v xml:space="preserve">		[Column(TypeName="datetime2(7)")]
		public virtual DateTime StartDatetime { get; set; }
</v>
      </c>
      <c r="K17" s="7"/>
      <c r="L17" t="str">
        <f t="shared" si="25"/>
        <v/>
      </c>
      <c r="M17" t="str">
        <f t="shared" si="17"/>
        <v xml:space="preserve">		public virtual DateTime? StartDatetime { get; set; }
</v>
      </c>
      <c r="N17" t="str">
        <f t="shared" si="18"/>
        <v xml:space="preserve">		public virtual DateTime? StartDatetime { get; set; }
</v>
      </c>
      <c r="O17" t="str">
        <f t="shared" si="19"/>
        <v xml:space="preserve">		public virtual DateTime? StartDatetime { get; set; }
</v>
      </c>
      <c r="P17" t="str">
        <f t="shared" si="20"/>
        <v xml:space="preserve">							StartDatetime = o.StartDatetime,</v>
      </c>
      <c r="T17" s="69" t="str">
        <f t="shared" si="21"/>
        <v xml:space="preserve">								("StartDatetime"),</v>
      </c>
      <c r="V17" s="70" t="str">
        <f t="shared" si="22"/>
        <v xml:space="preserve">								_ =&gt; _.StartDatetime,</v>
      </c>
      <c r="W17" s="69" t="str">
        <f t="shared" si="23"/>
        <v xml:space="preserve">				.WhereIf(input.StartDatetime.HasValue, t =&gt; t.StartDatetime == input.StartDatetime.Value)</v>
      </c>
    </row>
    <row r="18" spans="1:23" customFormat="1" ht="18.75" customHeight="1" x14ac:dyDescent="0.25">
      <c r="A18" t="s">
        <v>330</v>
      </c>
      <c r="B18" t="s">
        <v>331</v>
      </c>
      <c r="C18" t="s">
        <v>1</v>
      </c>
      <c r="D18" t="str">
        <f t="shared" ref="D18" si="52">SUBSTITUTE(PROPER(A18),"_","")</f>
        <v>FinishDatetime</v>
      </c>
      <c r="E18" t="str">
        <f t="shared" ref="E18" si="53">IFERROR(LEFT(B18, FIND("(",B18)-1),B18)</f>
        <v>datetime2</v>
      </c>
      <c r="F18" s="7" t="s">
        <v>331</v>
      </c>
      <c r="G18" t="str">
        <f t="shared" ref="G18" si="54">IFERROR(MID(B18,FIND("(",B18) +1, FIND(")",B18) - FIND("(",B18) - 1),"")</f>
        <v>7</v>
      </c>
      <c r="H18" t="str">
        <f>+VLOOKUP(E18,'Data Type Mapping'!A:B,2,)</f>
        <v>DateTime</v>
      </c>
      <c r="I18" t="str">
        <f t="shared" ref="I18" si="55">IF(H18="string",REPT(CHAR(9),2)&amp;"public const int Max"&amp;D18&amp;"Length = "&amp;G18&amp;";"&amp;$E$3,"" )</f>
        <v/>
      </c>
      <c r="J18" t="str">
        <f t="shared" ref="J18" si="56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[Column(TypeName="datetime2(7)")]
		public virtual DateTime FinishDatetime { get; set; }
</v>
      </c>
      <c r="K18" s="7"/>
      <c r="L18" t="str">
        <f t="shared" ref="L18" si="57">IF(K18="","",REPT(CHAR(9),1)&amp;"[Index(nameof("&amp;IF(D18="","",""&amp;D18)&amp;")"&amp;", Name="&amp;"""IX_"&amp;$B$7&amp;"_"&amp;D18&amp;""")]")</f>
        <v/>
      </c>
      <c r="M18" t="str">
        <f t="shared" ref="M18" si="58">REPT(CHAR(9),2)&amp;"public virtual "&amp;IF(OR(H18="DateTime",H18="TimeSpan"),H18&amp;"?",H18)&amp;IF(C18="?","? "," ")&amp;D18&amp;" { get; set; }" &amp; "
"</f>
        <v xml:space="preserve">		public virtual DateTime? FinishDatetime { get; set; }
</v>
      </c>
      <c r="N18" t="str">
        <f t="shared" ref="N18" si="59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FinishDatetime { get; set; }
</v>
      </c>
      <c r="O18" t="str">
        <f t="shared" ref="O18" si="60">IF(OR(H18="string",H18="DateTime",H18="int"),REPT(CHAR(9),2)&amp;"public virtual "&amp;IF(OR(H18="DateTime",H18="TimeSpan"),H18&amp;"?",H18)&amp;IF(C18="?","? "," ")&amp;D18&amp;" { get; set; }"&amp;$E$3,"")</f>
        <v xml:space="preserve">		public virtual DateTime? FinishDatetime { get; set; }
</v>
      </c>
      <c r="P18" t="str">
        <f t="shared" ref="P18" si="61">REPT(CHAR(9),7)&amp;D18&amp;" = o." &amp;D18 &amp;","</f>
        <v xml:space="preserve">							FinishDatetime = o.FinishDatetime,</v>
      </c>
      <c r="T18" s="69" t="str">
        <f t="shared" ref="T18" si="62">REPT(CHAR(9),8)&amp;"("""&amp;D18&amp;"""),"</f>
        <v xml:space="preserve">								("FinishDatetime"),</v>
      </c>
      <c r="V18" s="70" t="str">
        <f t="shared" ref="V18" si="63">REPT(CHAR(9),8)&amp;"_ =&gt; _."&amp;D18&amp;","</f>
        <v xml:space="preserve">								_ =&gt; _.FinishDatetime,</v>
      </c>
      <c r="W18" s="69" t="str">
        <f t="shared" ref="W18" si="64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.WhereIf(input.FinishDatetime.HasValue, t =&gt; t.FinishDatetime == input.FinishDatetime.Value)</v>
      </c>
    </row>
    <row r="19" spans="1:23" customFormat="1" ht="18.75" customHeight="1" x14ac:dyDescent="0.25">
      <c r="A19" t="s">
        <v>332</v>
      </c>
      <c r="B19" t="s">
        <v>321</v>
      </c>
      <c r="C19" t="s">
        <v>1</v>
      </c>
      <c r="D19" t="str">
        <f t="shared" ref="D19" si="65">SUBSTITUTE(PROPER(A19),"_","")</f>
        <v>Status</v>
      </c>
      <c r="E19" t="str">
        <f t="shared" ref="E19" si="66">IFERROR(LEFT(B19, FIND("(",B19)-1),B19)</f>
        <v>varchar</v>
      </c>
      <c r="F19" s="7"/>
      <c r="G19" t="str">
        <f t="shared" ref="G19" si="67">IFERROR(MID(B19,FIND("(",B19) +1, FIND(")",B19) - FIND("(",B19) - 1),"")</f>
        <v>50</v>
      </c>
      <c r="H19" t="str">
        <f>+VLOOKUP(E19,'Data Type Mapping'!A:B,2,)</f>
        <v>string</v>
      </c>
      <c r="I19" t="str">
        <f t="shared" ref="I19" si="68">IF(H19="string",REPT(CHAR(9),2)&amp;"public const int Max"&amp;D19&amp;"Length = "&amp;G19&amp;";"&amp;$E$3,"" )</f>
        <v xml:space="preserve">		public const int MaxStatusLength = 50;
</v>
      </c>
      <c r="J19" t="str">
        <f t="shared" ref="J19" si="69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[StringLength(MaxStatusLength)]
		public virtual string Status { get; set; }
</v>
      </c>
      <c r="K19" s="7"/>
      <c r="L19" t="str">
        <f t="shared" ref="L19" si="70">IF(K19="","",REPT(CHAR(9),1)&amp;"[Index(nameof("&amp;IF(D19="","",""&amp;D19)&amp;")"&amp;", Name="&amp;"""IX_"&amp;$B$7&amp;"_"&amp;D19&amp;""")]")</f>
        <v/>
      </c>
      <c r="M19" t="str">
        <f t="shared" ref="M19" si="71">REPT(CHAR(9),2)&amp;"public virtual "&amp;IF(OR(H19="DateTime",H19="TimeSpan"),H19&amp;"?",H19)&amp;IF(C19="?","? "," ")&amp;D19&amp;" { get; set; }" &amp; "
"</f>
        <v xml:space="preserve">		public virtual string Status { get; set; }
</v>
      </c>
      <c r="N19" t="str">
        <f t="shared" ref="N19" si="72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[StringLength(LgaEkbProgressConsts.MaxStatusLength)]
		public virtual string Status { get; set; }
</v>
      </c>
      <c r="O19" t="str">
        <f t="shared" ref="O19" si="73">IF(OR(H19="string",H19="DateTime",H19="int"),REPT(CHAR(9),2)&amp;"public virtual "&amp;IF(OR(H19="DateTime",H19="TimeSpan"),H19&amp;"?",H19)&amp;IF(C19="?","? "," ")&amp;D19&amp;" { get; set; }"&amp;$E$3,"")</f>
        <v xml:space="preserve">		public virtual string Status { get; set; }
</v>
      </c>
      <c r="P19" t="str">
        <f t="shared" ref="P19" si="74">REPT(CHAR(9),7)&amp;D19&amp;" = o." &amp;D19 &amp;","</f>
        <v xml:space="preserve">							Status = o.Status,</v>
      </c>
      <c r="T19" s="69" t="str">
        <f t="shared" ref="T19" si="75">REPT(CHAR(9),8)&amp;"("""&amp;D19&amp;"""),"</f>
        <v xml:space="preserve">								("Status"),</v>
      </c>
      <c r="V19" s="70" t="str">
        <f t="shared" ref="V19" si="76">REPT(CHAR(9),8)&amp;"_ =&gt; _."&amp;D19&amp;","</f>
        <v xml:space="preserve">								_ =&gt; _.Status,</v>
      </c>
      <c r="W19" s="69" t="str">
        <f t="shared" ref="W19" si="77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.WhereIf(!string.IsNullOrWhiteSpace(input.Status), e =&gt; e.Status.Contains(input.Status))</v>
      </c>
    </row>
    <row r="20" spans="1:23" customFormat="1" ht="22.5" customHeight="1" x14ac:dyDescent="0.25">
      <c r="A20" t="s">
        <v>323</v>
      </c>
      <c r="B20" t="s">
        <v>324</v>
      </c>
      <c r="C20" t="s">
        <v>1</v>
      </c>
      <c r="D20" t="str">
        <f>SUBSTITUTE(PROPER(A20),"_","")</f>
        <v>IsActive</v>
      </c>
      <c r="E20" t="str">
        <f t="shared" si="13"/>
        <v>varchar</v>
      </c>
      <c r="F20" s="7"/>
      <c r="G20" t="str">
        <f t="shared" si="14"/>
        <v>1</v>
      </c>
      <c r="H20" t="str">
        <f>+VLOOKUP(E20,'Data Type Mapping'!A:B,2,)</f>
        <v>string</v>
      </c>
      <c r="I20" t="str">
        <f t="shared" si="15"/>
        <v xml:space="preserve">		public const int MaxIsActiveLength = 1;
</v>
      </c>
      <c r="J20" t="str">
        <f t="shared" si="16"/>
        <v xml:space="preserve">		[StringLength(MaxIsActiveLength)]
		public virtual string IsActive { get; set; }
</v>
      </c>
      <c r="K20" s="7" t="s">
        <v>206</v>
      </c>
      <c r="L20" t="str">
        <f>IF(K20="","",REPT(CHAR(9),1)&amp;"[Index(nameof("&amp;IF(D20="","",""&amp;D20)&amp;")"&amp;", Name="&amp;"""IX_"&amp;$B$7&amp;"_"&amp;D20&amp;""")]")</f>
        <v xml:space="preserve">	[Index(nameof(IsActive), Name="IX_LgaEkbProgress_IsActive")]</v>
      </c>
      <c r="M20" t="str">
        <f t="shared" si="17"/>
        <v xml:space="preserve">		public virtual string IsActive { get; set; }
</v>
      </c>
      <c r="N20" t="str">
        <f t="shared" si="18"/>
        <v xml:space="preserve">		[StringLength(LgaEkbProgressConsts.MaxIsActiveLength)]
		public virtual string IsActive { get; set; }
</v>
      </c>
      <c r="O20" t="str">
        <f t="shared" si="19"/>
        <v xml:space="preserve">		public virtual string IsActive { get; set; }
</v>
      </c>
      <c r="P20" t="str">
        <f t="shared" si="20"/>
        <v xml:space="preserve">							IsActive = o.IsActive,</v>
      </c>
      <c r="T20" s="69" t="str">
        <f t="shared" si="21"/>
        <v xml:space="preserve">								("IsActive"),</v>
      </c>
      <c r="V20" s="70" t="str">
        <f t="shared" si="22"/>
        <v xml:space="preserve">								_ =&gt; _.IsActive,</v>
      </c>
      <c r="W20" s="69" t="str">
        <f t="shared" si="23"/>
        <v xml:space="preserve">				.WhereIf(!string.IsNullOrWhiteSpace(input.IsActive), e =&gt; e.IsActive.Contains(input.IsActive))</v>
      </c>
    </row>
    <row r="22" spans="1:23" ht="45.75" customHeight="1" x14ac:dyDescent="0.25">
      <c r="H22" s="12"/>
      <c r="I22" s="34" t="str">
        <f ca="1">TEXTJOIN2("
", TRUE,INDIRECT( $H$1):INDIRECT( $H$3))</f>
        <v xml:space="preserve">		public const int MaxProdLineLength = 50;
		public const int MaxShiftLength = 50;
		public const int MaxProcessCodeLength = 50;
		public const int MaxStatusLength = 50;
		public const int MaxIsActiveLength = 1;
</v>
      </c>
      <c r="J22" s="33" t="str">
        <f ca="1">TEXTJOIN2("
", TRUE,INDIRECT( $F$1):INDIRECT( $F$3))</f>
        <v xml:space="preserve">		[StringLength(MaxProdLineLength)]
		public virtual string ProdLine { get; set; }
		public virtual DateTime WorkingDate { get; set; }
		[StringLength(MaxShiftLength)]
		public virtual string Shift { get; set; }
		public virtual int NoInShift { get; set; }
		public virtual int NoInDate { get; set; }
		public virtual long ProcessId { get; set; }
		[StringLength(MaxProcessCodeLength)]
		public virtual string ProcessCode { get; set; }
		[Column(TypeName="datetime2(7)")]
		public virtual DateTime NewtaktDatetime { get; set; }
		[Column(TypeName="datetime2(7)")]
		public virtual DateTime StartDatetime { get; set; }
		[Column(TypeName="datetime2(7)")]
		public virtual DateTime FinishDatetime { get; set; }
		[StringLength(MaxStatusLength)]
		public virtual string Status { get; set; }
		[StringLength(MaxIsActiveLength)]
		public virtual string IsActive { get; set; }
</v>
      </c>
      <c r="K22" s="35" t="str">
        <f ca="1">TEXTJOIN2("
", TRUE,INDIRECT( $J$1):INDIRECT( $J$3))</f>
        <v xml:space="preserve">	[Index(nameof(ProdLine), Name="IX_LgaEkbProgress_ProdLine")]
	[Index(nameof(WorkingDate), Name="IX_LgaEkbProgress_WorkingDate")]
	[Index(nameof(Shift), Name="IX_LgaEkbProgress_Shift")]
	[Index(nameof(ProcessId), Name="IX_LgaEkbProgress_ProcessId")]
	[Index(nameof(IsActive), Name="IX_LgaEkbProgress_IsActive")]</v>
      </c>
      <c r="L22" s="13" t="s">
        <v>60</v>
      </c>
      <c r="M22" s="36" t="str">
        <f ca="1">TEXTJOIN2("
",TRUE,INDIRECT( $L$1):INDIRECT($L$3))</f>
        <v xml:space="preserve">		public virtual string ProdLine { get; set; }
		public virtual DateTime? WorkingDate { get; set; }
		public virtual string Shift { get; set; }
		public virtual int NoInShift { get; set; }
		public virtual int NoInDate { get; set; }
		public virtual long ProcessId { get; set; }
		public virtual string ProcessCode { get; set; }
		public virtual DateTime? NewtaktDatetime { get; set; }
		public virtual DateTime? StartDatetime { get; set; }
		public virtual DateTime? FinishDatetime { get; set; }
		public virtual string Status { get; set; }
		public virtual string IsActive { get; set; }
</v>
      </c>
      <c r="N22" s="33" t="str">
        <f ca="1">TEXTJOIN2("
",TRUE,INDIRECT( $M$1):INDIRECT($M$3))</f>
        <v xml:space="preserve">		[StringLength(LgaEkbProgressConsts.MaxProdLineLength)]
		public virtual string ProdLine { get; set; }
		public virtual DateTime? WorkingDate { get; set; }
		[StringLength(LgaEkbProgressConsts.MaxShiftLength)]
		public virtual string Shift { get; set; }
		public virtual int NoInShift { get; set; }
		public virtual int NoInDate { get; set; }
		public virtual long ProcessId { get; set; }
		[StringLength(LgaEkbProgressConsts.MaxProcessCodeLength)]
		public virtual string ProcessCode { get; set; }
		public virtual DateTime? NewtaktDatetime { get; set; }
		public virtual DateTime? StartDatetime { get; set; }
		public virtual DateTime? FinishDatetime { get; set; }
		[StringLength(LgaEkbProgressConsts.MaxStatusLength)]
		public virtual string Status { get; set; }
		[StringLength(LgaEkbProgressConsts.MaxIsActiveLength)]
		public virtual string IsActive { get; set; }
</v>
      </c>
      <c r="O22" s="33" t="str">
        <f ca="1">TEXTJOIN2("
",TRUE,INDIRECT( $N$1):INDIRECT($N$3))</f>
        <v xml:space="preserve">		public virtual string ProdLine { get; set; }
		public virtual DateTime? WorkingDate { get; set; }
		public virtual string Shift { get; set; }
		public virtual int NoInShift { get; set; }
		public virtual int NoInDate { get; set; }
		public virtual string ProcessCode { get; set; }
		public virtual DateTime? NewtaktDatetime { get; set; }
		public virtual DateTime? StartDatetime { get; set; }
		public virtual DateTime? FinishDatetime { get; set; }
		public virtual string Status { get; set; }
		public virtual string IsActive { get; set; }
</v>
      </c>
      <c r="P22" s="9" t="str">
        <f ca="1">TEXTJOIN2("
",TRUE,INDIRECT( $O$1):INDIRECT($O$3))</f>
        <v xml:space="preserve">							ProdLine = o.ProdLine,
							WorkingDate = o.WorkingDate,
							Shift = o.Shift,
							NoInShift = o.NoInShift,
							NoInDate = o.NoInDate,
							ProcessId = o.ProcessId,
							ProcessCode = o.ProcessCode,
							NewtaktDatetime = o.NewtaktDatetime,
							StartDatetime = o.StartDatetime,
							FinishDatetime = o.FinishDatetime,
							Status = o.Status,
							IsActive = o.IsActive,</v>
      </c>
      <c r="T22" s="9" t="str">
        <f ca="1">TEXTJOIN2("
",TRUE,INDIRECT( $T$2):INDIRECT($T$3))</f>
        <v xml:space="preserve">								("ProdLine"),
								("WorkingDate"),
								("Shift"),
								("NoInShift"),
								("NoInDate"),
								("ProcessId"),
								("ProcessCode"),
								("NewtaktDatetime"),
								("StartDatetime"),
								("FinishDatetime"),
								("Status"),
								("IsActive"),</v>
      </c>
      <c r="V22" s="9" t="str">
        <f ca="1">TEXTJOIN2("
",TRUE,INDIRECT( $V$2):INDIRECT($V$3))</f>
        <v xml:space="preserve">								_ =&gt; _.ProdLine,
								_ =&gt; _.WorkingDate,
								_ =&gt; _.Shift,
								_ =&gt; _.NoInShift,
								_ =&gt; _.NoInDate,
								_ =&gt; _.ProcessId,
								_ =&gt; _.ProcessCode,
								_ =&gt; _.NewtaktDatetime,
								_ =&gt; _.StartDatetime,
								_ =&gt; _.FinishDatetime,
								_ =&gt; _.Status,
								_ =&gt; _.IsActive,</v>
      </c>
      <c r="W22" s="9" t="str">
        <f ca="1">TEXTJOIN2("
",TRUE,INDIRECT( $W$2):INDIRECT($W$3))</f>
        <v xml:space="preserve">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.WhereIf(!string.IsNullOrWhiteSpace(input.ProcessCode), e =&gt; e.ProcessCode.Contains(input.ProcessCode))
				.WhereIf(input.NewtaktDatetime.HasValue, t =&gt; t.NewtaktDatetime == input.NewtaktDatetime.Value)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"/>
  <sheetViews>
    <sheetView tabSelected="1" workbookViewId="0">
      <selection activeCell="A21" sqref="A2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340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Ekb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ekb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LgaEkbProgress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Progress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progress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LgaEkbProgressDto, LgaEkbProgressServiceProxy } from '@shared/service-proxies/service-proxies';
import { finalize } from 'rxjs/internal/operators/finalize';
import { CreateOrEditProgressModalComponent } from './create-or-edit-progress-modal.component';
import { DatePipe } from '@angular/common';
import { FileDownloadService } from '@shared/utils/file-download.service';
import ceil from 'lodash-es/ceil';
import { Paginator } from 'primeng/paginator';
@Component({
    templateUrl: './progress.component.html',
    styleUrls: ['./progress.component.less'],
})
export class ProgressComponent extends AppComponentBase implements OnInit {
    @ViewChild('createOrEditModalProgress', { static: true }) createOrEditModalProgress:| CreateOrEditProgressModalComponent|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LgaEkbProgressDto = new LgaEkbProgressDto();
    saveSelectedRow: LgaEkbProgressDto = new LgaEkbProgressDto();
    datas: LgaEkbProgressDto = new LgaEkbProgressDto();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noInDate : number = 0 ;
	processId
	processCode : string = '' ; 
	newtaktDatetime : any ;
	startDatetime : any ;
	finishDatetime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LgaEkbProgressServiceProxy,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this.l('No In Date'),headerTooltip: this.l('No In Date'),field: 'noInDate',flex: 1},
			{headerName: this.l('Process Id'),headerTooltip: this.l('Process Id'),field: 'processId',flex: 1},
			{headerName: this.l('Process Code'),headerTooltip: this.l('Process Code'),field: 'processCode',flex: 1},
			{headerName: this.l('Newtakt Datetime'),headerTooltip: this.l('Newtakt Datetime'),field: 'newtaktDatetime',valueGetter: (params) =&gt; this.pipe.transform(params.data?.newtaktDatetime, 'dd/MM/yyyy'),flex: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this.noInDate,
			this.processId,
			this.processCode,
			this.newtaktDatetime,
			this.startDatetime,
			this.finishDatetime,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this.noInDate = 0,
		this.processId = '',
		this.processCode = '',
		this.newtaktDatetime = '',
		this.startDatetime = '',
		this.finishDatetime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this.noInDate,
			this.processId,
			this.processCode,
			this.newtaktDatetime,
			this.startDatetime,
			this.finishDatetime,
			this.status,
			this.isActive,
			'',
            this.paginationParams.skipCount,
            this.paginationParams.pageSize
        );
    }
    onChangeRowSelection(params: { api: { getSelectedRows: () =&gt; LgaEkbProgressDto[] } }) {
        this.saveSelectedRow = params.api.getSelectedRows()[0] ?? new LgaEkbProgressDto();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LgaEkbProgressDto):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this._service.getProgressToExcel(
			this.prodLine,
			this.workingDate,
			this.shift,
			this.noInShift,
			this.noInDate,
			this.processId,
			this.processCode,
			this.newtaktDatetime,
			this.startDatetime,
			this.finishDatetime,
			this.status,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Ekanban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&lt;create-or-edit-progress-modal
    #createOrEditModalProgress
    (modalSave)="callBackDataGrid(dataParams)"
    (modalClose)="onChangeRowSelection(dataParams)"
&gt;
&lt;/create-or-edit-progress-modal&gt;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Progress')}}&lt;/h3&gt;
                    &lt;h3 *ngIf="!rowdata.id"&gt;{{('Create New 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CreateOrEditLgaEkbProgressDto, LgaEkbProgressServiceProxy } from '@shared/service-proxies/service-proxies';
import { BsDatepickerDirective } from 'ngx-bootstrap/datepicker';
@Component({
    selector: 'create-or-edit-progress-modal',
    templateUrl: './create-or-edit-progress-modal.component.html',
    styleUrls: ['./create-or-edit-progress-modal.component.less']
    })
export class CreateOrEditProgressModalComponent extends AppComponentBase {
    @ViewChild('createOrEditModalProgress',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CreateOrEditLgaEkbProgressDto = new CreateOrEditLgaEkbProgressDto();
    active: boolean = false;
    saving: boolean = false;
    _isActive: boolean;
    constructor(
        injector: Injector,
        private _mstwptProgressService: LgaEkbProgressServiceProxy,
    ) 
    {
        super(injector);
    }
    show(rowdata?: CreateOrEditLgaEkbProgressDto): void {
        if (!rowdata) this.rowdata = new CreateOrEditLgaEkbProgressDto();
        else this.rowdata = rowdata;
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ProgressRoutingModule } from './progress-routing.module';
import { ProgressComponent } from './progress.component';
import { CreateOrEditProgressModalComponent } from './create-or-edit-progress-modal.component';
@NgModule({
    declarations: [
       ProgressComponent, 
        CreateOrEditProgressModalComponent
    ],
    imports: [
        AppSharedModule, ProgressRoutingModule]
})
export class ProgressModule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ProgressComponent } from './progress.component';
const routes: Routes = [{
    path: '',
    component: ProgressComponent,
    pathMatch: 'full'
}];
@NgModule({
    imports: [RouterModule.forChild(routes)],
    exports: [RouterModule],
})
export class ProgressRoutingModule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AppMenuItem("Progress", "Pages.LogA.Ekb.Progress", "flaticon-book",   "/app/main/loga/ekb/progress"),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'loga/ekb/progress',
    loadChildren: () =&gt; import('./loga/ekb/progress/progress.module').then(m =&gt; m.ProgressModule),
    data: { permission: 'Pages.LogA.Ekb.Progress' }
},</v>
      </c>
      <c r="R10" s="50" t="str">
        <f>SUBSTITUTE(R9,"MstWptCalendar",$B$6)</f>
        <v>ApiServiceProxies.LgaEkbProgressServiceProxy,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H26</v>
      </c>
      <c r="I12" s="31" t="str">
        <f>"I"&amp;COUNTA($A:$A)</f>
        <v>I26</v>
      </c>
      <c r="J12" s="31"/>
      <c r="K12" s="31" t="str">
        <f>"K"&amp;COUNTA($A:$A)</f>
        <v>K26</v>
      </c>
      <c r="L12" s="31" t="str">
        <f>"L"&amp;COUNTA($A:$A)</f>
        <v>L26</v>
      </c>
      <c r="M12" s="31"/>
      <c r="N12" s="31"/>
      <c r="O12" s="31"/>
      <c r="P12" s="31"/>
      <c r="Q12" s="31"/>
      <c r="R12" s="31"/>
      <c r="S12" s="31" t="str">
        <f>"S"&amp;COUNTA($A:$A)</f>
        <v>S26</v>
      </c>
      <c r="T12" s="31" t="str">
        <f>"T"&amp;COUNTA($A:$A)</f>
        <v>T26</v>
      </c>
      <c r="U12" s="31" t="str">
        <f>"U"&amp;COUNTA($A:$A)</f>
        <v>U26</v>
      </c>
      <c r="V12" s="31" t="str">
        <f>"V"&amp;COUNTA($A:$A)</f>
        <v>V26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this.l('No In Date'),headerTooltip: this.l('No In Date'),field: 'noInDate',flex: 1},
			{headerName: this.l('Process Id'),headerTooltip: this.l('Process Id'),field: 'processId',flex: 1},
			{headerName: this.l('Process Code'),headerTooltip: this.l('Process Code'),field: 'processCode',flex: 1},
			{headerName: this.l('Newtakt Datetime'),headerTooltip: this.l('Newtakt Datetime'),field: 'newtaktDatetime',valueGetter: (params) =&gt; this.pipe.transform(params.data?.newtaktDatetime, 'dd/MM/yyyy'),flex: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prodLine : string = '' ; 
	workingDate : any ;
	shift : string = '' ; 
	noInShift : number = 0 ;
	noInDate : number = 0 ;
	processId
	processCode : string = '' ; 
	newtaktDatetime : any ;
	startDatetime : any ;
	finishDatetime : any ;
	status : string = '' ; 
	isActive : string = '' ; </v>
      </c>
      <c r="T13" s="68" t="str">
        <f ca="1">TEXTJOIN2("
",TRUE,INDIRECT(T11):INDIRECT(T12))</f>
        <v xml:space="preserve">			this.prodLine,
			this.workingDate,
			this.shift,
			this.noInShift,
			this.noInDate,
			this.processId,
			this.processCode,
			this.newtaktDatetime,
			this.startDatetime,
			this.finishDatetime,
			this.status,
			this.isActive,</v>
      </c>
      <c r="U13" s="68" t="str">
        <f ca="1">TEXTJOIN2("
",TRUE,INDIRECT(U11):INDIRECT(U12))</f>
        <v>this.prodLine = '',
		this.workingDate = '',
		this.shift = '',
		this.noInShift = 0,
		this.noInDate = 0,
		this.processId = '',
		this.processCode = '',
		this.newtaktDatetime = '',
		this.startDatetime = '',
		this.finishDatetime = '',
		this.status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progress.component.ts</v>
      </c>
      <c r="I14" s="40" t="str">
        <f>B8&amp;".component.html"</f>
        <v>progress.component.html</v>
      </c>
      <c r="J14" s="39" t="str">
        <f>B8&amp;".component.less"</f>
        <v>progress.component.less</v>
      </c>
      <c r="K14" s="40" t="str">
        <f>"create-or-edit-"&amp;B8&amp;"-modal.component.html"</f>
        <v>create-or-edit-progress-modal.component.html</v>
      </c>
      <c r="L14" s="40" t="str">
        <f>"create-or-edit-"&amp;B8&amp;"-modal.component.ts"</f>
        <v>create-or-edit-progress-modal.component.ts</v>
      </c>
      <c r="M14" s="40" t="str">
        <f>"create-or-edit-"&amp;B8&amp;"-modal.component.less"</f>
        <v>create-or-edit-progress-modal.component.less</v>
      </c>
      <c r="N14" s="40" t="str">
        <f>B8&amp;".module.ts"</f>
        <v>progress.module.ts</v>
      </c>
      <c r="O14" s="40" t="str">
        <f>B8&amp;"-routing.module.ts"</f>
        <v>progress-routing.module.ts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322</v>
      </c>
      <c r="B15" s="31" t="str">
        <f>SUBSTITUTE(PROPER(A15),"_","")</f>
        <v>ProdLine</v>
      </c>
      <c r="C15" s="31" t="str">
        <f>SUBSTITUTE(PROPER(A15),"_"," ")</f>
        <v>Prod Line</v>
      </c>
      <c r="D15" s="31" t="str">
        <f>LOWER(LEFT(B15,1))&amp;RIGHT(B15,LEN(B15) - 1)</f>
        <v>prodLine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this.l('Prod Line'),headerTooltip: this.l('Prod Line'),field: 'prodLine',flex: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prodLine : string = '' ; </v>
      </c>
      <c r="T15" s="31" t="str">
        <f>REPT(CHAR(9),3)&amp;"this."&amp;D15&amp;","</f>
        <v xml:space="preserve">			this.prodLine,</v>
      </c>
      <c r="U15" s="31" t="str">
        <f>IF(E15="int","this."&amp;D15&amp;" = 0,","this."&amp;D15&amp;" = '',")</f>
        <v>this.prodLine = '',</v>
      </c>
      <c r="V15" s="31" t="str">
        <f>IF(AND(E15="string",F15="1"),D15,"")</f>
        <v/>
      </c>
    </row>
    <row r="16" spans="1:22" ht="15" customHeight="1" x14ac:dyDescent="0.25">
      <c r="A16" s="31" t="s">
        <v>326</v>
      </c>
      <c r="B16" s="31" t="str">
        <f t="shared" ref="B16:B18" si="0">SUBSTITUTE(PROPER(A16),"_","")</f>
        <v>WorkingDate</v>
      </c>
      <c r="C16" s="31" t="str">
        <f t="shared" ref="C16:C18" si="1">SUBSTITUTE(PROPER(A16),"_"," ")</f>
        <v>Working Date</v>
      </c>
      <c r="D16" s="31" t="str">
        <f t="shared" ref="D16:D18" si="2">LOWER(LEFT(B16,1))&amp;RIGHT(B16,LEN(B16) - 1)</f>
        <v>workingDate</v>
      </c>
      <c r="E16" s="31" t="str">
        <f>A.Backend!H10</f>
        <v>DateTime</v>
      </c>
      <c r="F16" s="31" t="str">
        <f>A.Backend!G10</f>
        <v/>
      </c>
      <c r="G16" s="31" t="str">
        <f t="shared" ref="G16:G18" si="3">IF(E16="string"," : string = '' ; ",IF(OR(E16="DateTime",E16="TimeSpan")," : any ;",IF(E16="int"," : number = 0 ;","")))</f>
        <v xml:space="preserve"> : any ;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workingDate : any ;</v>
      </c>
      <c r="T16" s="31" t="str">
        <f>REPT(CHAR(9),3)&amp;"this."&amp;D16&amp;","</f>
        <v xml:space="preserve">			this.workingDate,</v>
      </c>
      <c r="U16" s="31" t="str">
        <f>IF(E16="int",REPT(CHAR(9),2)&amp;"this."&amp;D16&amp;" = 0,",REPT(CHAR(9),2)&amp;"this."&amp;D16&amp;" = '',")</f>
        <v xml:space="preserve">		this.workingDate = '',</v>
      </c>
      <c r="V16" s="31" t="str">
        <f t="shared" ref="V16:V18" si="8">IF(AND(E16="string",F16="1"),D16,"")</f>
        <v/>
      </c>
    </row>
    <row r="17" spans="1:22" ht="18" customHeight="1" x14ac:dyDescent="0.25">
      <c r="A17" s="31" t="s">
        <v>327</v>
      </c>
      <c r="B17" s="31" t="str">
        <f t="shared" si="0"/>
        <v>Shift</v>
      </c>
      <c r="C17" s="31" t="str">
        <f t="shared" si="1"/>
        <v>Shift</v>
      </c>
      <c r="D17" s="31" t="str">
        <f t="shared" si="2"/>
        <v>shift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this.l('Shift'),headerTooltip: this.l('Shift'),field: 'shift',flex: 1},</v>
      </c>
      <c r="I17" s="38" t="str">
        <f t="shared" si="5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8" si="9">REPT(CHAR(9),1)&amp;D17&amp;G17</f>
        <v xml:space="preserve">	shift : string = '' ; </v>
      </c>
      <c r="T17" s="31" t="str">
        <f t="shared" ref="T17:T18" si="10">REPT(CHAR(9),3)&amp;"this."&amp;D17&amp;","</f>
        <v xml:space="preserve">			this.shift,</v>
      </c>
      <c r="U17" s="31" t="str">
        <f t="shared" ref="U17:U18" si="11">IF(E17="int",REPT(CHAR(9),2)&amp;"this."&amp;D17&amp;" = 0,",REPT(CHAR(9),2)&amp;"this."&amp;D17&amp;" = '',")</f>
        <v xml:space="preserve">		this.shift = '',</v>
      </c>
      <c r="V17" s="31" t="str">
        <f t="shared" si="8"/>
        <v/>
      </c>
    </row>
    <row r="18" spans="1:22" ht="18" customHeight="1" x14ac:dyDescent="0.25">
      <c r="A18" s="31" t="s">
        <v>328</v>
      </c>
      <c r="B18" s="31" t="str">
        <f t="shared" si="0"/>
        <v>NoInShift</v>
      </c>
      <c r="C18" s="31" t="str">
        <f t="shared" si="1"/>
        <v>No In Shift</v>
      </c>
      <c r="D18" s="31" t="str">
        <f t="shared" si="2"/>
        <v>noInShift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this.l('No In Shift'),headerTooltip: this.l('No In Shift'),field: 'noInShift',flex: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title'&gt;No In Shift&lt;/label&gt;
						&lt;input type='number' class='col-md-10 form-control input-text' name='NoInShift' [(ngModel)]='rowdata.noInShift'&gt;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noInShift : number = 0 ;</v>
      </c>
      <c r="T18" s="31" t="str">
        <f t="shared" si="10"/>
        <v xml:space="preserve">			this.noInShift,</v>
      </c>
      <c r="U18" s="31" t="str">
        <f t="shared" si="11"/>
        <v xml:space="preserve">		this.noInShift = 0,</v>
      </c>
      <c r="V18" s="31" t="str">
        <f t="shared" si="8"/>
        <v/>
      </c>
    </row>
    <row r="19" spans="1:22" ht="18" customHeight="1" x14ac:dyDescent="0.25">
      <c r="A19" s="31" t="s">
        <v>339</v>
      </c>
      <c r="B19" s="31" t="str">
        <f t="shared" ref="B19:B21" si="12">SUBSTITUTE(PROPER(A19),"_","")</f>
        <v>NoInDate</v>
      </c>
      <c r="C19" s="31" t="str">
        <f t="shared" ref="C19:C21" si="13">SUBSTITUTE(PROPER(A19),"_"," ")</f>
        <v>No In Date</v>
      </c>
      <c r="D19" s="31" t="str">
        <f t="shared" ref="D19:D21" si="14">LOWER(LEFT(B19,1))&amp;RIGHT(B19,LEN(B19) - 1)</f>
        <v>noInDate</v>
      </c>
      <c r="E19" s="31" t="str">
        <f>A.Backend!H13</f>
        <v>int</v>
      </c>
      <c r="F19" s="31" t="str">
        <f>A.Backend!G13</f>
        <v/>
      </c>
      <c r="G19" s="31" t="str">
        <f t="shared" ref="G19:G21" si="15">IF(E19="string"," : string = '' ; ",IF(OR(E19="DateTime",E19="TimeSpan")," : any ;",IF(E19="int"," : number = 0 ;","")))</f>
        <v xml:space="preserve"> : number = 0 ;</v>
      </c>
      <c r="H19" s="38" t="str">
        <f t="shared" ref="H19:H21" si="16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this.l('No In Date'),headerTooltip: this.l('No In Date'),field: 'noInDate',flex: 1},</v>
      </c>
      <c r="I19" s="38" t="str">
        <f t="shared" ref="I19:I21" si="17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31"/>
      <c r="K19" s="38" t="str">
        <f t="shared" ref="K19:K21" si="18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title'&gt;No In Date&lt;/label&gt;
						&lt;input type='number' class='col-md-10 form-control input-text' name='NoInDate' [(ngModel)]='rowdata.noInDate'&gt;
					&lt;/div&gt;</v>
      </c>
      <c r="L19" s="60" t="str">
        <f t="shared" ref="L19:L21" si="19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" si="20">REPT(CHAR(9),1)&amp;D19&amp;G19</f>
        <v xml:space="preserve">	noInDate : number = 0 ;</v>
      </c>
      <c r="T19" s="31" t="str">
        <f t="shared" ref="T19" si="21">REPT(CHAR(9),3)&amp;"this."&amp;D19&amp;","</f>
        <v xml:space="preserve">			this.noInDate,</v>
      </c>
      <c r="U19" s="31" t="str">
        <f t="shared" ref="U19" si="22">IF(E19="int",REPT(CHAR(9),2)&amp;"this."&amp;D19&amp;" = 0,",REPT(CHAR(9),2)&amp;"this."&amp;D19&amp;" = '',")</f>
        <v xml:space="preserve">		this.noInDate = 0,</v>
      </c>
      <c r="V19" s="31" t="str">
        <f t="shared" ref="V19:V21" si="23">IF(AND(E19="string",F19="1"),D19,"")</f>
        <v/>
      </c>
    </row>
    <row r="20" spans="1:22" ht="15" customHeight="1" x14ac:dyDescent="0.25">
      <c r="A20" t="s">
        <v>341</v>
      </c>
      <c r="B20" s="31" t="str">
        <f t="shared" si="12"/>
        <v>ProcessId</v>
      </c>
      <c r="C20" s="31" t="str">
        <f t="shared" si="13"/>
        <v>Process Id</v>
      </c>
      <c r="D20" s="31" t="str">
        <f t="shared" si="14"/>
        <v>processId</v>
      </c>
      <c r="E20" s="31" t="str">
        <f>A.Backend!H14</f>
        <v>long</v>
      </c>
      <c r="F20" s="31" t="str">
        <f>A.Backend!G14</f>
        <v/>
      </c>
      <c r="G20" s="31" t="str">
        <f t="shared" si="15"/>
        <v/>
      </c>
      <c r="H20" s="38" t="str">
        <f t="shared" si="16"/>
        <v xml:space="preserve">			{headerName: this.l('Process Id'),headerTooltip: this.l('Process Id'),field: 'processId',flex: 1},</v>
      </c>
      <c r="I20" s="38" t="str">
        <f t="shared" si="17"/>
        <v/>
      </c>
      <c r="J20" s="31"/>
      <c r="K20" s="38" t="str">
        <f t="shared" si="18"/>
        <v/>
      </c>
      <c r="L20" s="60" t="str">
        <f t="shared" si="19"/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processId</v>
      </c>
      <c r="T20" s="31" t="str">
        <f>REPT(CHAR(9),3)&amp;"this."&amp;D20&amp;","</f>
        <v xml:space="preserve">			this.processId,</v>
      </c>
      <c r="U20" s="31" t="str">
        <f>IF(E20="int",REPT(CHAR(9),2)&amp;"this."&amp;D20&amp;" = 0,",REPT(CHAR(9),2)&amp;"this."&amp;D20&amp;" = '',")</f>
        <v xml:space="preserve">		this.processId = '',</v>
      </c>
      <c r="V20" s="31" t="str">
        <f t="shared" si="23"/>
        <v/>
      </c>
    </row>
    <row r="21" spans="1:22" ht="18" customHeight="1" x14ac:dyDescent="0.25">
      <c r="A21" t="s">
        <v>342</v>
      </c>
      <c r="B21" s="31" t="str">
        <f t="shared" si="12"/>
        <v>ProcessCode</v>
      </c>
      <c r="C21" s="31" t="str">
        <f t="shared" si="13"/>
        <v>Process Code</v>
      </c>
      <c r="D21" s="31" t="str">
        <f t="shared" si="14"/>
        <v>processCode</v>
      </c>
      <c r="E21" s="31" t="str">
        <f>A.Backend!H15</f>
        <v>string</v>
      </c>
      <c r="F21" s="31" t="str">
        <f>A.Backend!G15</f>
        <v>50</v>
      </c>
      <c r="G21" s="31" t="str">
        <f t="shared" si="15"/>
        <v xml:space="preserve"> : string = '' ; </v>
      </c>
      <c r="H21" s="38" t="str">
        <f t="shared" si="16"/>
        <v xml:space="preserve">			{headerName: this.l('Process Code'),headerTooltip: this.l('Process Code'),field: 'processCode',flex: 1},</v>
      </c>
      <c r="I21" s="38" t="str">
        <f t="shared" si="17"/>
        <v xml:space="preserve">								&lt;div class='input-search'&gt;
									&lt;input [(ngModel)]='processCode' name='processCode'
									class='form-control' [placeholder]="l('Process Code')"
									type='text' (keyup.enter)='searchDatas()'&gt;
								&lt;/div&gt;</v>
      </c>
      <c r="J21" s="31"/>
      <c r="K21" s="38" t="str">
        <f t="shared" si="18"/>
        <v xml:space="preserve">					&lt;div class='col-md-12 form-group row'&gt;
						&lt;label class='col-md-2 form-control title'&gt;Process Code&lt;/label&gt;
						&lt;input type='text' class='col-md-10 form-control input-text' name='ProcessCode' [(ngModel)]='rowdata.processCode'&gt;
					&lt;/div&gt;</v>
      </c>
      <c r="L21" s="60" t="str">
        <f t="shared" si="19"/>
        <v/>
      </c>
      <c r="M21" s="31"/>
      <c r="N21" s="31"/>
      <c r="O21" s="31"/>
      <c r="P21" s="31"/>
      <c r="Q21" s="31"/>
      <c r="R21" s="31"/>
      <c r="S21" s="31" t="str">
        <f t="shared" ref="S21" si="24">REPT(CHAR(9),1)&amp;D21&amp;G21</f>
        <v xml:space="preserve">	processCode : string = '' ; </v>
      </c>
      <c r="T21" s="31" t="str">
        <f t="shared" ref="T21" si="25">REPT(CHAR(9),3)&amp;"this."&amp;D21&amp;","</f>
        <v xml:space="preserve">			this.processCode,</v>
      </c>
      <c r="U21" s="31" t="str">
        <f t="shared" ref="U21" si="26">IF(E21="int",REPT(CHAR(9),2)&amp;"this."&amp;D21&amp;" = 0,",REPT(CHAR(9),2)&amp;"this."&amp;D21&amp;" = '',")</f>
        <v xml:space="preserve">		this.processCode = '',</v>
      </c>
      <c r="V21" s="31" t="str">
        <f t="shared" si="23"/>
        <v/>
      </c>
    </row>
    <row r="22" spans="1:22" ht="15" customHeight="1" x14ac:dyDescent="0.25">
      <c r="A22" s="31" t="s">
        <v>333</v>
      </c>
      <c r="B22" s="31" t="str">
        <f t="shared" ref="B22:B24" si="27">SUBSTITUTE(PROPER(A22),"_","")</f>
        <v>NewtaktDatetime</v>
      </c>
      <c r="C22" s="31" t="str">
        <f t="shared" ref="C22:C24" si="28">SUBSTITUTE(PROPER(A22),"_"," ")</f>
        <v>Newtakt Datetime</v>
      </c>
      <c r="D22" s="31" t="str">
        <f t="shared" ref="D22:D24" si="29">LOWER(LEFT(B22,1))&amp;RIGHT(B22,LEN(B22) - 1)</f>
        <v>newtaktDatetime</v>
      </c>
      <c r="E22" s="31" t="str">
        <f>A.Backend!H16</f>
        <v>DateTime</v>
      </c>
      <c r="F22" s="31" t="str">
        <f>A.Backend!G16</f>
        <v>7</v>
      </c>
      <c r="G22" s="31" t="str">
        <f t="shared" ref="G22:G24" si="30">IF(E22="string"," : string = '' ; ",IF(OR(E22="DateTime",E22="TimeSpan")," : any ;",IF(E22="int"," : number = 0 ;","")))</f>
        <v xml:space="preserve"> : any ;</v>
      </c>
      <c r="H22" s="38" t="str">
        <f t="shared" ref="H22:H24" si="31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this.l('Newtakt Datetime'),headerTooltip: this.l('Newtakt Datetime'),field: 'newtaktDatetime',valueGetter: (params) =&gt; this.pipe.transform(params.data?.newtaktDatetime, 'dd/MM/yyyy'),flex: 1},</v>
      </c>
      <c r="I22" s="38" t="str">
        <f t="shared" ref="I22:I24" si="32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</v>
      </c>
      <c r="J22" s="31"/>
      <c r="K22" s="38" t="str">
        <f t="shared" ref="K22:K24" si="33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</v>
      </c>
      <c r="L22" s="60" t="str">
        <f t="shared" ref="L22:L24" si="34">IF(E22="DateTime",
REPT(CHAR(9),2)&amp;"const dateValue =  this.rowdata."&amp;D22&amp;" ? new Date(this.rowdata."&amp;D22&amp;"?.toString()) : new Date();
"&amp;REPT(CHAR(9),2)&amp;"this.datepicker?.bsValueChange.emit(dateValue);","")</f>
        <v xml:space="preserve">		const dateValue =  this.rowdata.newtaktDatetime ? new Date(this.rowdata.newtaktDatetime?.toString()) : new Date();
		this.datepicker?.bsValueChange.emit(dateValue);</v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newtaktDatetime : any ;</v>
      </c>
      <c r="T22" s="31" t="str">
        <f>REPT(CHAR(9),3)&amp;"this."&amp;D22&amp;","</f>
        <v xml:space="preserve">			this.newtaktDatetime,</v>
      </c>
      <c r="U22" s="31" t="str">
        <f>IF(E22="int",REPT(CHAR(9),2)&amp;"this."&amp;D22&amp;" = 0,",REPT(CHAR(9),2)&amp;"this."&amp;D22&amp;" = '',")</f>
        <v xml:space="preserve">		this.newtaktDatetime = '',</v>
      </c>
      <c r="V22" s="31" t="str">
        <f t="shared" ref="V22:V24" si="35">IF(AND(E22="string",F22="1"),D22,"")</f>
        <v/>
      </c>
    </row>
    <row r="23" spans="1:22" ht="18" customHeight="1" x14ac:dyDescent="0.25">
      <c r="A23" s="31" t="s">
        <v>329</v>
      </c>
      <c r="B23" s="31" t="str">
        <f t="shared" si="27"/>
        <v>StartDatetime</v>
      </c>
      <c r="C23" s="31" t="str">
        <f t="shared" si="28"/>
        <v>Start Datetime</v>
      </c>
      <c r="D23" s="31" t="str">
        <f t="shared" si="29"/>
        <v>startDatetime</v>
      </c>
      <c r="E23" s="31" t="str">
        <f>A.Backend!H17</f>
        <v>DateTime</v>
      </c>
      <c r="F23" s="31" t="str">
        <f>A.Backend!G17</f>
        <v>7</v>
      </c>
      <c r="G23" s="31" t="str">
        <f t="shared" si="30"/>
        <v xml:space="preserve"> : any ;</v>
      </c>
      <c r="H23" s="38" t="str">
        <f t="shared" si="31"/>
        <v xml:space="preserve">			{headerName: this.l('Start Datetime'),headerTooltip: this.l('Start Datetime'),field: 'startDatetime',valueGetter: (params) =&gt; this.pipe.transform(params.data?.startDatetime, 'dd/MM/yyyy'),flex: 1},</v>
      </c>
      <c r="I23" s="38" t="str">
        <f t="shared" si="32"/>
        <v xml:space="preserve">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</v>
      </c>
      <c r="J23" s="31"/>
      <c r="K23" s="38" t="str">
        <f t="shared" si="33"/>
        <v xml:space="preserve">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</v>
      </c>
      <c r="L23" s="60" t="str">
        <f t="shared" si="34"/>
        <v xml:space="preserve">		const dateValue =  this.rowdata.startDatetime ? new Date(this.rowdata.startDatetime?.toString()) : new Date();
		this.datepicker?.bsValueChange.emit(dateValue);</v>
      </c>
      <c r="M23" s="31"/>
      <c r="N23" s="31"/>
      <c r="O23" s="31"/>
      <c r="P23" s="31"/>
      <c r="Q23" s="31"/>
      <c r="R23" s="31"/>
      <c r="S23" s="31" t="str">
        <f t="shared" ref="S23:S24" si="36">REPT(CHAR(9),1)&amp;D23&amp;G23</f>
        <v xml:space="preserve">	startDatetime : any ;</v>
      </c>
      <c r="T23" s="31" t="str">
        <f t="shared" ref="T23:T24" si="37">REPT(CHAR(9),3)&amp;"this."&amp;D23&amp;","</f>
        <v xml:space="preserve">			this.startDatetime,</v>
      </c>
      <c r="U23" s="31" t="str">
        <f t="shared" ref="U23:U24" si="38">IF(E23="int",REPT(CHAR(9),2)&amp;"this."&amp;D23&amp;" = 0,",REPT(CHAR(9),2)&amp;"this."&amp;D23&amp;" = '',")</f>
        <v xml:space="preserve">		this.startDatetime = '',</v>
      </c>
      <c r="V23" s="31" t="str">
        <f t="shared" si="35"/>
        <v/>
      </c>
    </row>
    <row r="24" spans="1:22" ht="18" customHeight="1" x14ac:dyDescent="0.25">
      <c r="A24" s="31" t="s">
        <v>330</v>
      </c>
      <c r="B24" s="31" t="str">
        <f t="shared" si="27"/>
        <v>FinishDatetime</v>
      </c>
      <c r="C24" s="31" t="str">
        <f t="shared" si="28"/>
        <v>Finish Datetime</v>
      </c>
      <c r="D24" s="31" t="str">
        <f t="shared" si="29"/>
        <v>finishDatetime</v>
      </c>
      <c r="E24" s="31" t="str">
        <f>A.Backend!H18</f>
        <v>DateTime</v>
      </c>
      <c r="F24" s="31" t="str">
        <f>A.Backend!G18</f>
        <v>7</v>
      </c>
      <c r="G24" s="31" t="str">
        <f t="shared" si="30"/>
        <v xml:space="preserve"> : any ;</v>
      </c>
      <c r="H24" s="38" t="str">
        <f t="shared" si="31"/>
        <v xml:space="preserve">			{headerName: this.l('Finish Datetime'),headerTooltip: this.l('Finish Datetime'),field: 'finishDatetime',valueGetter: (params) =&gt; this.pipe.transform(params.data?.finishDatetime, 'dd/MM/yyyy'),flex: 1},</v>
      </c>
      <c r="I24" s="38" t="str">
        <f t="shared" si="32"/>
        <v xml:space="preserve">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 t="shared" si="33"/>
        <v xml:space="preserve">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</v>
      </c>
      <c r="L24" s="60" t="str">
        <f t="shared" si="34"/>
        <v xml:space="preserve">		const dateValue =  this.rowdata.finishDatetime ? new Date(this.rowdata.finishDatetime?.toString())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 t="shared" si="36"/>
        <v xml:space="preserve">	finishDatetime : any ;</v>
      </c>
      <c r="T24" s="31" t="str">
        <f t="shared" si="37"/>
        <v xml:space="preserve">			this.finishDatetime,</v>
      </c>
      <c r="U24" s="31" t="str">
        <f t="shared" si="38"/>
        <v xml:space="preserve">		this.finishDatetime = '',</v>
      </c>
      <c r="V24" s="31" t="str">
        <f t="shared" si="35"/>
        <v/>
      </c>
    </row>
    <row r="25" spans="1:22" ht="18" customHeight="1" x14ac:dyDescent="0.25">
      <c r="A25" s="31" t="s">
        <v>332</v>
      </c>
      <c r="B25" s="31" t="str">
        <f t="shared" ref="B25:B26" si="39">SUBSTITUTE(PROPER(A25),"_","")</f>
        <v>Status</v>
      </c>
      <c r="C25" s="31" t="str">
        <f t="shared" ref="C25:C26" si="40">SUBSTITUTE(PROPER(A25),"_"," ")</f>
        <v>Status</v>
      </c>
      <c r="D25" s="31" t="str">
        <f t="shared" ref="D25:D26" si="41">LOWER(LEFT(B25,1))&amp;RIGHT(B25,LEN(B25) - 1)</f>
        <v>status</v>
      </c>
      <c r="E25" s="31" t="str">
        <f>A.Backend!H19</f>
        <v>string</v>
      </c>
      <c r="F25" s="31" t="str">
        <f>A.Backend!G19</f>
        <v>50</v>
      </c>
      <c r="G25" s="31" t="str">
        <f t="shared" ref="G25:G26" si="42">IF(E25="string"," : string = '' ; ",IF(OR(E25="DateTime",E25="TimeSpan")," : any ;",IF(E25="int"," : number = 0 ;","")))</f>
        <v xml:space="preserve"> : string = '' ; </v>
      </c>
      <c r="H25" s="38" t="str">
        <f t="shared" ref="H25:H26" si="43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this.l('Status'),headerTooltip: this.l('Status'),field: 'status',flex: 1},</v>
      </c>
      <c r="I25" s="38" t="str">
        <f t="shared" ref="I25:I26" si="44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5" s="31"/>
      <c r="K25" s="38" t="str">
        <f t="shared" ref="K25:K26" si="45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5" s="60" t="str">
        <f t="shared" ref="L25:L26" si="46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 t="shared" ref="S25:S26" si="47">REPT(CHAR(9),1)&amp;D25&amp;G25</f>
        <v xml:space="preserve">	status : string = '' ; </v>
      </c>
      <c r="T25" s="31" t="str">
        <f t="shared" ref="T25:T26" si="48">REPT(CHAR(9),3)&amp;"this."&amp;D25&amp;","</f>
        <v xml:space="preserve">			this.status,</v>
      </c>
      <c r="U25" s="31" t="str">
        <f t="shared" ref="U25:U26" si="49">IF(E25="int",REPT(CHAR(9),2)&amp;"this."&amp;D25&amp;" = 0,",REPT(CHAR(9),2)&amp;"this."&amp;D25&amp;" = '',")</f>
        <v xml:space="preserve">		this.status = '',</v>
      </c>
      <c r="V25" s="31" t="str">
        <f t="shared" ref="V25:V26" si="50">IF(AND(E25="string",F25="1"),D25,"")</f>
        <v/>
      </c>
    </row>
    <row r="26" spans="1:22" ht="18" customHeight="1" x14ac:dyDescent="0.25">
      <c r="A26" s="31" t="s">
        <v>323</v>
      </c>
      <c r="B26" s="31" t="str">
        <f t="shared" si="39"/>
        <v>IsActive</v>
      </c>
      <c r="C26" s="31" t="str">
        <f t="shared" si="40"/>
        <v>Is Active</v>
      </c>
      <c r="D26" s="31" t="str">
        <f t="shared" si="41"/>
        <v>isActive</v>
      </c>
      <c r="E26" s="31" t="str">
        <f>A.Backend!H20</f>
        <v>string</v>
      </c>
      <c r="F26" s="31" t="str">
        <f>A.Backend!G20</f>
        <v>1</v>
      </c>
      <c r="G26" s="31" t="str">
        <f t="shared" si="42"/>
        <v xml:space="preserve"> : string = '' ; </v>
      </c>
      <c r="H26" s="38" t="str">
        <f t="shared" si="43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6" s="38" t="str">
        <f t="shared" si="44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6" s="31"/>
      <c r="K26" s="38" t="str">
        <f t="shared" si="45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6" s="60" t="str">
        <f t="shared" si="46"/>
        <v/>
      </c>
      <c r="M26" s="31"/>
      <c r="N26" s="31"/>
      <c r="O26" s="31"/>
      <c r="P26" s="31"/>
      <c r="Q26" s="31"/>
      <c r="R26" s="31"/>
      <c r="S26" s="31" t="str">
        <f t="shared" si="47"/>
        <v xml:space="preserve">	isActive : string = '' ; </v>
      </c>
      <c r="T26" s="31" t="str">
        <f t="shared" si="48"/>
        <v xml:space="preserve">			this.isActive,</v>
      </c>
      <c r="U26" s="31" t="str">
        <f t="shared" si="49"/>
        <v xml:space="preserve">		this.isActive = '',</v>
      </c>
      <c r="V26" s="31" t="str">
        <f t="shared" si="50"/>
        <v>isActive</v>
      </c>
    </row>
    <row r="2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2022-12-24T08:08:04Z</dcterms:modified>
</cp:coreProperties>
</file>
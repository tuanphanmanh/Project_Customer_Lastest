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a\ekb\"/>
    </mc:Choice>
  </mc:AlternateContent>
  <bookViews>
    <workbookView xWindow="0" yWindow="49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L34" i="5"/>
  <c r="C34" i="5"/>
  <c r="B34" i="5"/>
  <c r="D34" i="5" s="1"/>
  <c r="T34" i="5" s="1"/>
  <c r="L29" i="1"/>
  <c r="H29" i="1"/>
  <c r="M29" i="1" s="1"/>
  <c r="G29" i="1"/>
  <c r="E29" i="1"/>
  <c r="D29" i="1"/>
  <c r="V29" i="1" s="1"/>
  <c r="G34" i="5" l="1"/>
  <c r="H34" i="5"/>
  <c r="U34" i="5"/>
  <c r="V34" i="5"/>
  <c r="S34" i="5"/>
  <c r="I34" i="5"/>
  <c r="K34" i="5"/>
  <c r="I29" i="1"/>
  <c r="N29" i="1"/>
  <c r="J29" i="1"/>
  <c r="O29" i="1"/>
  <c r="W29" i="1"/>
  <c r="P29" i="1"/>
  <c r="T29" i="1"/>
  <c r="C43" i="5" l="1"/>
  <c r="B43" i="5"/>
  <c r="D43" i="5" s="1"/>
  <c r="C42" i="5"/>
  <c r="B42" i="5"/>
  <c r="D42" i="5" s="1"/>
  <c r="G12" i="1"/>
  <c r="E12" i="1"/>
  <c r="H12" i="1" s="1"/>
  <c r="W12" i="1" s="1"/>
  <c r="D12" i="1"/>
  <c r="V12" i="1" s="1"/>
  <c r="L37" i="1"/>
  <c r="G37" i="1"/>
  <c r="E37" i="1"/>
  <c r="H37" i="1" s="1"/>
  <c r="D37" i="1"/>
  <c r="V37" i="1" s="1"/>
  <c r="L36" i="1"/>
  <c r="G36" i="1"/>
  <c r="E36" i="1"/>
  <c r="H36" i="1" s="1"/>
  <c r="D36" i="1"/>
  <c r="T36" i="1" s="1"/>
  <c r="G32" i="1"/>
  <c r="E32" i="1"/>
  <c r="H32" i="1" s="1"/>
  <c r="D32" i="1"/>
  <c r="V32" i="1" s="1"/>
  <c r="L31" i="1"/>
  <c r="G31" i="1"/>
  <c r="E31" i="1"/>
  <c r="H31" i="1" s="1"/>
  <c r="D31" i="1"/>
  <c r="V31" i="1" s="1"/>
  <c r="G43" i="5" l="1"/>
  <c r="V43" i="5"/>
  <c r="L43" i="5"/>
  <c r="I42" i="5"/>
  <c r="H43" i="5"/>
  <c r="T42" i="5"/>
  <c r="K42" i="5"/>
  <c r="U42" i="5"/>
  <c r="S43" i="5"/>
  <c r="G42" i="5"/>
  <c r="S42" i="5" s="1"/>
  <c r="L42" i="5"/>
  <c r="V42" i="5"/>
  <c r="I43" i="5"/>
  <c r="T43" i="5"/>
  <c r="H42" i="5"/>
  <c r="K43" i="5"/>
  <c r="U43" i="5"/>
  <c r="P12" i="1"/>
  <c r="T12" i="1"/>
  <c r="I12" i="1"/>
  <c r="N12" i="1"/>
  <c r="M12" i="1"/>
  <c r="J12" i="1"/>
  <c r="O12" i="1"/>
  <c r="P37" i="1"/>
  <c r="W37" i="1"/>
  <c r="T37" i="1"/>
  <c r="M36" i="1"/>
  <c r="W36" i="1"/>
  <c r="J36" i="1"/>
  <c r="O36" i="1"/>
  <c r="N36" i="1"/>
  <c r="I36" i="1"/>
  <c r="V36" i="1"/>
  <c r="M37" i="1"/>
  <c r="P36" i="1"/>
  <c r="I37" i="1"/>
  <c r="N37" i="1"/>
  <c r="J37" i="1"/>
  <c r="O37" i="1"/>
  <c r="W32" i="1"/>
  <c r="P32" i="1"/>
  <c r="T32" i="1"/>
  <c r="M32" i="1"/>
  <c r="I32" i="1"/>
  <c r="N32" i="1"/>
  <c r="J32" i="1"/>
  <c r="O32" i="1"/>
  <c r="W31" i="1"/>
  <c r="O31" i="1"/>
  <c r="J31" i="1"/>
  <c r="N31" i="1"/>
  <c r="I31" i="1"/>
  <c r="M31" i="1"/>
  <c r="P31" i="1"/>
  <c r="T31" i="1"/>
  <c r="L18" i="1" l="1"/>
  <c r="G18" i="1"/>
  <c r="E18" i="1"/>
  <c r="H18" i="1" s="1"/>
  <c r="D18" i="1"/>
  <c r="V18" i="1" s="1"/>
  <c r="W18" i="1" l="1"/>
  <c r="P18" i="1"/>
  <c r="T18" i="1"/>
  <c r="I18" i="1"/>
  <c r="N18" i="1"/>
  <c r="M18" i="1"/>
  <c r="J18" i="1"/>
  <c r="O18" i="1"/>
  <c r="L23" i="1" l="1"/>
  <c r="G23" i="1"/>
  <c r="E23" i="1"/>
  <c r="H23" i="1" s="1"/>
  <c r="D23" i="1"/>
  <c r="V23" i="1" s="1"/>
  <c r="L30" i="1"/>
  <c r="G30" i="1"/>
  <c r="E30" i="1"/>
  <c r="H30" i="1" s="1"/>
  <c r="D30" i="1"/>
  <c r="V30" i="1" s="1"/>
  <c r="W23" i="1" l="1"/>
  <c r="O23" i="1"/>
  <c r="J23" i="1"/>
  <c r="N23" i="1"/>
  <c r="I23" i="1"/>
  <c r="M23" i="1"/>
  <c r="P23" i="1"/>
  <c r="T23" i="1"/>
  <c r="W30" i="1"/>
  <c r="O30" i="1"/>
  <c r="J30" i="1"/>
  <c r="N30" i="1"/>
  <c r="I30" i="1"/>
  <c r="M30" i="1"/>
  <c r="P30" i="1"/>
  <c r="T30" i="1"/>
  <c r="C29" i="5"/>
  <c r="B29" i="5"/>
  <c r="D29" i="5" s="1"/>
  <c r="T29" i="5" s="1"/>
  <c r="C28" i="5"/>
  <c r="B28" i="5"/>
  <c r="D28" i="5" s="1"/>
  <c r="C27" i="5"/>
  <c r="B27" i="5"/>
  <c r="D27" i="5" s="1"/>
  <c r="T27" i="5" s="1"/>
  <c r="C26" i="5"/>
  <c r="B26" i="5"/>
  <c r="D26" i="5" s="1"/>
  <c r="C25" i="5"/>
  <c r="B25" i="5"/>
  <c r="D25" i="5" s="1"/>
  <c r="T25" i="5" s="1"/>
  <c r="C24" i="5"/>
  <c r="B24" i="5"/>
  <c r="D24" i="5" s="1"/>
  <c r="C23" i="5"/>
  <c r="B23" i="5"/>
  <c r="D23" i="5" s="1"/>
  <c r="T23" i="5" s="1"/>
  <c r="C22" i="5"/>
  <c r="B22" i="5"/>
  <c r="D22" i="5" s="1"/>
  <c r="C21" i="5"/>
  <c r="B21" i="5"/>
  <c r="D21" i="5" s="1"/>
  <c r="C20" i="5"/>
  <c r="B20" i="5"/>
  <c r="D20" i="5" s="1"/>
  <c r="D19" i="5"/>
  <c r="T19" i="5" s="1"/>
  <c r="C19" i="5"/>
  <c r="B19" i="5"/>
  <c r="C18" i="5"/>
  <c r="B18" i="5"/>
  <c r="D18" i="5" s="1"/>
  <c r="C17" i="5"/>
  <c r="B17" i="5"/>
  <c r="D17" i="5" s="1"/>
  <c r="T17" i="5" s="1"/>
  <c r="C16" i="5"/>
  <c r="B16" i="5"/>
  <c r="D16" i="5" s="1"/>
  <c r="H37" i="5"/>
  <c r="C37" i="5"/>
  <c r="B37" i="5"/>
  <c r="D37" i="5" s="1"/>
  <c r="C36" i="5"/>
  <c r="B36" i="5"/>
  <c r="D36" i="5" s="1"/>
  <c r="C35" i="5"/>
  <c r="B35" i="5"/>
  <c r="D35" i="5" s="1"/>
  <c r="C33" i="5"/>
  <c r="B33" i="5"/>
  <c r="D33" i="5" s="1"/>
  <c r="C32" i="5"/>
  <c r="B32" i="5"/>
  <c r="D32" i="5" s="1"/>
  <c r="T32" i="5" s="1"/>
  <c r="D31" i="5"/>
  <c r="T31" i="5" s="1"/>
  <c r="C31" i="5"/>
  <c r="B31" i="5"/>
  <c r="C30" i="5"/>
  <c r="B30" i="5"/>
  <c r="D30" i="5" s="1"/>
  <c r="T30" i="5" s="1"/>
  <c r="L21" i="1"/>
  <c r="G21" i="1"/>
  <c r="E21" i="1"/>
  <c r="H21" i="1" s="1"/>
  <c r="D21" i="1"/>
  <c r="V21" i="1" s="1"/>
  <c r="L28" i="1"/>
  <c r="G28" i="1"/>
  <c r="E28" i="1"/>
  <c r="H28" i="1" s="1"/>
  <c r="D28" i="1"/>
  <c r="V28" i="1" s="1"/>
  <c r="G27" i="1"/>
  <c r="E27" i="1"/>
  <c r="H27" i="1" s="1"/>
  <c r="G33" i="5" s="1"/>
  <c r="D27" i="1"/>
  <c r="T27" i="1" s="1"/>
  <c r="L26" i="1"/>
  <c r="G26" i="1"/>
  <c r="E26" i="1"/>
  <c r="H26" i="1" s="1"/>
  <c r="I32" i="5" s="1"/>
  <c r="D26" i="1"/>
  <c r="V26" i="1" s="1"/>
  <c r="G25" i="1"/>
  <c r="E25" i="1"/>
  <c r="H25" i="1" s="1"/>
  <c r="D25" i="1"/>
  <c r="V25" i="1" s="1"/>
  <c r="G24" i="1"/>
  <c r="E24" i="1"/>
  <c r="H24" i="1" s="1"/>
  <c r="D24" i="1"/>
  <c r="T24" i="1" s="1"/>
  <c r="L20" i="1"/>
  <c r="G20" i="1"/>
  <c r="E20" i="1"/>
  <c r="H20" i="1" s="1"/>
  <c r="D20" i="1"/>
  <c r="V20" i="1" s="1"/>
  <c r="L33" i="1"/>
  <c r="G33" i="1"/>
  <c r="E33" i="1"/>
  <c r="H33" i="1" s="1"/>
  <c r="D33" i="1"/>
  <c r="V33" i="1" s="1"/>
  <c r="L15" i="1"/>
  <c r="G15" i="1"/>
  <c r="E15" i="1"/>
  <c r="H15" i="1" s="1"/>
  <c r="D15" i="1"/>
  <c r="V15" i="1" s="1"/>
  <c r="L14" i="1"/>
  <c r="G14" i="1"/>
  <c r="E14" i="1"/>
  <c r="H14" i="1" s="1"/>
  <c r="D14" i="1"/>
  <c r="V14" i="1" s="1"/>
  <c r="L22" i="1"/>
  <c r="G22" i="1"/>
  <c r="E22" i="1"/>
  <c r="H22" i="1" s="1"/>
  <c r="D22" i="1"/>
  <c r="V22" i="1" s="1"/>
  <c r="G19" i="1"/>
  <c r="E19" i="1"/>
  <c r="H19" i="1" s="1"/>
  <c r="D19" i="1"/>
  <c r="V19" i="1" s="1"/>
  <c r="G17" i="1"/>
  <c r="E17" i="1"/>
  <c r="H17" i="1" s="1"/>
  <c r="D17" i="1"/>
  <c r="T17" i="1" s="1"/>
  <c r="K33" i="5" l="1"/>
  <c r="L33" i="5"/>
  <c r="V36" i="5"/>
  <c r="G36" i="5"/>
  <c r="S36" i="5" s="1"/>
  <c r="L36" i="5"/>
  <c r="P20" i="1"/>
  <c r="T20" i="1"/>
  <c r="V31" i="5"/>
  <c r="H31" i="5"/>
  <c r="W21" i="1"/>
  <c r="M27" i="1"/>
  <c r="L30" i="5"/>
  <c r="K31" i="5"/>
  <c r="I23" i="5"/>
  <c r="H23" i="5"/>
  <c r="H28" i="5"/>
  <c r="U28" i="5"/>
  <c r="I28" i="5"/>
  <c r="L28" i="5"/>
  <c r="G28" i="5"/>
  <c r="S28" i="5" s="1"/>
  <c r="H29" i="5"/>
  <c r="V26" i="5"/>
  <c r="I26" i="5"/>
  <c r="L26" i="5"/>
  <c r="K26" i="5"/>
  <c r="G26" i="5"/>
  <c r="S26" i="5" s="1"/>
  <c r="L20" i="5"/>
  <c r="G20" i="5"/>
  <c r="S20" i="5" s="1"/>
  <c r="H20" i="5"/>
  <c r="U20" i="5"/>
  <c r="I20" i="5"/>
  <c r="W20" i="1"/>
  <c r="P28" i="1"/>
  <c r="I25" i="5"/>
  <c r="P21" i="1"/>
  <c r="T21" i="1"/>
  <c r="I31" i="5"/>
  <c r="L31" i="5"/>
  <c r="I33" i="5"/>
  <c r="V33" i="5"/>
  <c r="G31" i="5"/>
  <c r="S31" i="5" s="1"/>
  <c r="T37" i="5"/>
  <c r="H33" i="5"/>
  <c r="T33" i="5"/>
  <c r="U33" i="5"/>
  <c r="S33" i="5"/>
  <c r="T35" i="5"/>
  <c r="T36" i="5"/>
  <c r="U36" i="5"/>
  <c r="U37" i="5"/>
  <c r="U31" i="5"/>
  <c r="U32" i="5"/>
  <c r="V35" i="5"/>
  <c r="L35" i="5"/>
  <c r="G35" i="5"/>
  <c r="S35" i="5" s="1"/>
  <c r="K35" i="5"/>
  <c r="T26" i="5"/>
  <c r="V27" i="5"/>
  <c r="L27" i="5"/>
  <c r="G27" i="5"/>
  <c r="S27" i="5" s="1"/>
  <c r="U27" i="5"/>
  <c r="K27" i="5"/>
  <c r="V32" i="5"/>
  <c r="L32" i="5"/>
  <c r="G32" i="5"/>
  <c r="S32" i="5" s="1"/>
  <c r="K32" i="5"/>
  <c r="T20" i="5"/>
  <c r="T24" i="5"/>
  <c r="I29" i="5"/>
  <c r="H35" i="5"/>
  <c r="H36" i="5"/>
  <c r="I37" i="5"/>
  <c r="T18" i="5"/>
  <c r="K20" i="5"/>
  <c r="T21" i="5"/>
  <c r="H27" i="5"/>
  <c r="T28" i="5"/>
  <c r="V28" i="5"/>
  <c r="V29" i="5"/>
  <c r="L29" i="5"/>
  <c r="G29" i="5"/>
  <c r="S29" i="5" s="1"/>
  <c r="U29" i="5"/>
  <c r="K29" i="5"/>
  <c r="V20" i="5"/>
  <c r="H32" i="5"/>
  <c r="I35" i="5"/>
  <c r="U35" i="5"/>
  <c r="I36" i="5"/>
  <c r="K36" i="5"/>
  <c r="V37" i="5"/>
  <c r="L37" i="5"/>
  <c r="G37" i="5"/>
  <c r="S37" i="5" s="1"/>
  <c r="K37" i="5"/>
  <c r="T16" i="5"/>
  <c r="T22" i="5"/>
  <c r="V23" i="5"/>
  <c r="L23" i="5"/>
  <c r="G23" i="5"/>
  <c r="S23" i="5" s="1"/>
  <c r="U23" i="5"/>
  <c r="K23" i="5"/>
  <c r="H26" i="5"/>
  <c r="U26" i="5"/>
  <c r="I27" i="5"/>
  <c r="K28" i="5"/>
  <c r="I21" i="1"/>
  <c r="N21" i="1"/>
  <c r="M24" i="1"/>
  <c r="M21" i="1"/>
  <c r="J21" i="1"/>
  <c r="O21" i="1"/>
  <c r="W28" i="1"/>
  <c r="O28" i="1"/>
  <c r="J28" i="1"/>
  <c r="N28" i="1"/>
  <c r="I28" i="1"/>
  <c r="M28" i="1"/>
  <c r="J27" i="1"/>
  <c r="O27" i="1"/>
  <c r="W27" i="1"/>
  <c r="T28" i="1"/>
  <c r="I27" i="1"/>
  <c r="V27" i="1"/>
  <c r="L27" i="1"/>
  <c r="P27" i="1"/>
  <c r="N27" i="1"/>
  <c r="W26" i="1"/>
  <c r="O26" i="1"/>
  <c r="J26" i="1"/>
  <c r="N26" i="1"/>
  <c r="I26" i="1"/>
  <c r="M26" i="1"/>
  <c r="P26" i="1"/>
  <c r="T26" i="1"/>
  <c r="W25" i="1"/>
  <c r="O25" i="1"/>
  <c r="J25" i="1"/>
  <c r="N25" i="1"/>
  <c r="I25" i="1"/>
  <c r="M25" i="1"/>
  <c r="W33" i="1"/>
  <c r="I24" i="1"/>
  <c r="N24" i="1"/>
  <c r="V24" i="1"/>
  <c r="L25" i="1"/>
  <c r="P25" i="1"/>
  <c r="J24" i="1"/>
  <c r="O24" i="1"/>
  <c r="W24" i="1"/>
  <c r="T25" i="1"/>
  <c r="L24" i="1"/>
  <c r="P24" i="1"/>
  <c r="M20" i="1"/>
  <c r="I20" i="1"/>
  <c r="N20" i="1"/>
  <c r="J20" i="1"/>
  <c r="O20" i="1"/>
  <c r="P33" i="1"/>
  <c r="T33" i="1"/>
  <c r="M33" i="1"/>
  <c r="I33" i="1"/>
  <c r="N33" i="1"/>
  <c r="J33" i="1"/>
  <c r="O33" i="1"/>
  <c r="M17" i="1"/>
  <c r="P15" i="1"/>
  <c r="W15" i="1"/>
  <c r="O15" i="1"/>
  <c r="J15" i="1"/>
  <c r="N15" i="1"/>
  <c r="I15" i="1"/>
  <c r="M15" i="1"/>
  <c r="T15" i="1"/>
  <c r="W14" i="1"/>
  <c r="O14" i="1"/>
  <c r="J14" i="1"/>
  <c r="N14" i="1"/>
  <c r="I14" i="1"/>
  <c r="M14" i="1"/>
  <c r="P14" i="1"/>
  <c r="T14" i="1"/>
  <c r="W22" i="1"/>
  <c r="O22" i="1"/>
  <c r="J22" i="1"/>
  <c r="N22" i="1"/>
  <c r="I22" i="1"/>
  <c r="M22" i="1"/>
  <c r="P22" i="1"/>
  <c r="T22" i="1"/>
  <c r="P19" i="1"/>
  <c r="W19" i="1"/>
  <c r="O19" i="1"/>
  <c r="J19" i="1"/>
  <c r="N19" i="1"/>
  <c r="I19" i="1"/>
  <c r="M19" i="1"/>
  <c r="J17" i="1"/>
  <c r="O17" i="1"/>
  <c r="W17" i="1"/>
  <c r="T19" i="1"/>
  <c r="I17" i="1"/>
  <c r="N17" i="1"/>
  <c r="V17" i="1"/>
  <c r="P17" i="1"/>
  <c r="C44" i="5"/>
  <c r="B44" i="5"/>
  <c r="D44" i="5" s="1"/>
  <c r="C41" i="5"/>
  <c r="B41" i="5"/>
  <c r="D41" i="5" s="1"/>
  <c r="T41" i="5" s="1"/>
  <c r="L16" i="1"/>
  <c r="G16" i="1"/>
  <c r="E16" i="1"/>
  <c r="H16" i="1" s="1"/>
  <c r="V22" i="5" s="1"/>
  <c r="D16" i="1"/>
  <c r="V16" i="1" s="1"/>
  <c r="L38" i="1"/>
  <c r="G38" i="1"/>
  <c r="E38" i="1"/>
  <c r="H38" i="1" s="1"/>
  <c r="D38" i="1"/>
  <c r="V38" i="1" s="1"/>
  <c r="H22" i="5" l="1"/>
  <c r="K22" i="5"/>
  <c r="L22" i="5"/>
  <c r="I22" i="5"/>
  <c r="U22" i="5"/>
  <c r="G22" i="5"/>
  <c r="S22" i="5" s="1"/>
  <c r="V30" i="5"/>
  <c r="U30" i="5"/>
  <c r="K25" i="5"/>
  <c r="V25" i="5"/>
  <c r="K30" i="5"/>
  <c r="U25" i="5"/>
  <c r="G25" i="5"/>
  <c r="S25" i="5" s="1"/>
  <c r="G30" i="5"/>
  <c r="S30" i="5" s="1"/>
  <c r="L25" i="5"/>
  <c r="W16" i="1"/>
  <c r="K24" i="5"/>
  <c r="I24" i="5"/>
  <c r="H24" i="5"/>
  <c r="U24" i="5"/>
  <c r="G24" i="5"/>
  <c r="S24" i="5" s="1"/>
  <c r="L24" i="5"/>
  <c r="V24" i="5"/>
  <c r="H25" i="5"/>
  <c r="H30" i="5"/>
  <c r="I30" i="5"/>
  <c r="P16" i="1"/>
  <c r="T16" i="1"/>
  <c r="T44" i="5"/>
  <c r="M16" i="1"/>
  <c r="I16" i="1"/>
  <c r="N16" i="1"/>
  <c r="J16" i="1"/>
  <c r="O16" i="1"/>
  <c r="W38" i="1"/>
  <c r="O38" i="1"/>
  <c r="J38" i="1"/>
  <c r="N38" i="1"/>
  <c r="I38" i="1"/>
  <c r="M38" i="1"/>
  <c r="P38" i="1"/>
  <c r="T38" i="1"/>
  <c r="I21" i="5" l="1"/>
  <c r="V21" i="5"/>
  <c r="K21" i="5"/>
  <c r="H21" i="5"/>
  <c r="L21" i="5"/>
  <c r="G21" i="5"/>
  <c r="S21" i="5" s="1"/>
  <c r="U21" i="5"/>
  <c r="C45" i="5"/>
  <c r="B45" i="5"/>
  <c r="D45" i="5" s="1"/>
  <c r="T45" i="5" l="1"/>
  <c r="L35" i="1" l="1"/>
  <c r="G35" i="1"/>
  <c r="E35" i="1"/>
  <c r="H35" i="1" s="1"/>
  <c r="D35" i="1"/>
  <c r="V35" i="1" s="1"/>
  <c r="V41" i="5" l="1"/>
  <c r="K41" i="5"/>
  <c r="H41" i="5"/>
  <c r="G41" i="5"/>
  <c r="S41" i="5" s="1"/>
  <c r="I41" i="5"/>
  <c r="L41" i="5"/>
  <c r="U41" i="5"/>
  <c r="N35" i="1"/>
  <c r="I35" i="1"/>
  <c r="M35" i="1"/>
  <c r="W35" i="1"/>
  <c r="O35" i="1"/>
  <c r="J35" i="1"/>
  <c r="P35" i="1"/>
  <c r="T35" i="1"/>
  <c r="Q3" i="1"/>
  <c r="B38" i="5" l="1"/>
  <c r="D38" i="5" s="1"/>
  <c r="C38" i="5"/>
  <c r="B39" i="5"/>
  <c r="D39" i="5" s="1"/>
  <c r="C39" i="5"/>
  <c r="B40" i="5"/>
  <c r="D40" i="5" s="1"/>
  <c r="C40" i="5"/>
  <c r="C15" i="5"/>
  <c r="B15" i="5"/>
  <c r="D15" i="5" s="1"/>
  <c r="T15" i="5" s="1"/>
  <c r="G39" i="1"/>
  <c r="E39" i="1"/>
  <c r="H39" i="1" s="1"/>
  <c r="D39" i="1"/>
  <c r="V39" i="1" s="1"/>
  <c r="L34" i="1"/>
  <c r="G34" i="1"/>
  <c r="E34" i="1"/>
  <c r="H34" i="1" s="1"/>
  <c r="D34" i="1"/>
  <c r="V34" i="1" s="1"/>
  <c r="G13" i="1"/>
  <c r="E13" i="1"/>
  <c r="H13" i="1" s="1"/>
  <c r="D13" i="1"/>
  <c r="V13" i="1" s="1"/>
  <c r="G11" i="1"/>
  <c r="E11" i="1"/>
  <c r="H11" i="1" s="1"/>
  <c r="D11" i="1"/>
  <c r="V11" i="1" s="1"/>
  <c r="G10" i="1"/>
  <c r="E10" i="1"/>
  <c r="H10" i="1" s="1"/>
  <c r="D10" i="1"/>
  <c r="T10" i="1" s="1"/>
  <c r="G9" i="1"/>
  <c r="F15" i="5" s="1"/>
  <c r="E9" i="1"/>
  <c r="H9" i="1" s="1"/>
  <c r="E15" i="5" s="1"/>
  <c r="D9" i="1"/>
  <c r="T9" i="1" s="1"/>
  <c r="L19" i="5" l="1"/>
  <c r="G19" i="5"/>
  <c r="S19" i="5" s="1"/>
  <c r="I19" i="5"/>
  <c r="U19" i="5"/>
  <c r="H19" i="5"/>
  <c r="V19" i="5"/>
  <c r="K19" i="5"/>
  <c r="V16" i="5"/>
  <c r="H16" i="5"/>
  <c r="U16" i="5"/>
  <c r="G16" i="5"/>
  <c r="S16" i="5" s="1"/>
  <c r="L16" i="5"/>
  <c r="I16" i="5"/>
  <c r="K16" i="5"/>
  <c r="H17" i="5"/>
  <c r="V17" i="5"/>
  <c r="K17" i="5"/>
  <c r="L17" i="5"/>
  <c r="G17" i="5"/>
  <c r="S17" i="5" s="1"/>
  <c r="I17" i="5"/>
  <c r="U17" i="5"/>
  <c r="L18" i="5"/>
  <c r="V18" i="5"/>
  <c r="K18" i="5"/>
  <c r="I18" i="5"/>
  <c r="H18" i="5"/>
  <c r="U18" i="5"/>
  <c r="G18" i="5"/>
  <c r="S18" i="5" s="1"/>
  <c r="K45" i="5"/>
  <c r="I45" i="5"/>
  <c r="U45" i="5"/>
  <c r="L45" i="5"/>
  <c r="H45" i="5"/>
  <c r="G45" i="5"/>
  <c r="S45" i="5" s="1"/>
  <c r="V45" i="5"/>
  <c r="I44" i="5"/>
  <c r="G44" i="5"/>
  <c r="S44" i="5" s="1"/>
  <c r="V44" i="5"/>
  <c r="U44" i="5"/>
  <c r="K44" i="5"/>
  <c r="H44" i="5"/>
  <c r="L44" i="5"/>
  <c r="O39" i="1"/>
  <c r="G39" i="5"/>
  <c r="L39" i="5"/>
  <c r="O34" i="1"/>
  <c r="G38" i="5"/>
  <c r="V38" i="5"/>
  <c r="G40" i="5"/>
  <c r="S40" i="5" s="1"/>
  <c r="V40" i="5"/>
  <c r="G15" i="5"/>
  <c r="S15" i="5" s="1"/>
  <c r="V15" i="5"/>
  <c r="P11" i="1"/>
  <c r="I39" i="5"/>
  <c r="H39" i="5"/>
  <c r="I40" i="5"/>
  <c r="H40" i="5"/>
  <c r="H38" i="5"/>
  <c r="I38" i="5"/>
  <c r="L40" i="5"/>
  <c r="U40" i="5"/>
  <c r="U15" i="5"/>
  <c r="T40" i="5"/>
  <c r="K40" i="5"/>
  <c r="H15" i="5"/>
  <c r="I15" i="5"/>
  <c r="K15" i="5"/>
  <c r="L38" i="5"/>
  <c r="L15" i="5"/>
  <c r="V39" i="5"/>
  <c r="P34" i="1"/>
  <c r="V10" i="1"/>
  <c r="T34" i="1"/>
  <c r="P39" i="1"/>
  <c r="T39" i="1"/>
  <c r="M13" i="1"/>
  <c r="W13" i="1"/>
  <c r="J13" i="1"/>
  <c r="I13" i="1"/>
  <c r="O13" i="1"/>
  <c r="N13" i="1"/>
  <c r="I10" i="1"/>
  <c r="O10" i="1"/>
  <c r="J10" i="1"/>
  <c r="N10" i="1"/>
  <c r="M10" i="1"/>
  <c r="W10" i="1"/>
  <c r="W11" i="1"/>
  <c r="J11" i="1"/>
  <c r="M11" i="1"/>
  <c r="I11" i="1"/>
  <c r="O11" i="1"/>
  <c r="N11" i="1"/>
  <c r="P13" i="1"/>
  <c r="I34" i="1"/>
  <c r="I39" i="1"/>
  <c r="T13" i="1"/>
  <c r="J34" i="1"/>
  <c r="W34" i="1"/>
  <c r="J39" i="1"/>
  <c r="W39" i="1"/>
  <c r="T11" i="1"/>
  <c r="M34" i="1"/>
  <c r="M39" i="1"/>
  <c r="P10" i="1"/>
  <c r="N34" i="1"/>
  <c r="N39" i="1"/>
  <c r="P9" i="1"/>
  <c r="V9" i="1"/>
  <c r="W9" i="1"/>
  <c r="J9" i="1"/>
  <c r="I9" i="1"/>
  <c r="O9" i="1"/>
  <c r="N9" i="1"/>
  <c r="M9" i="1"/>
  <c r="K39" i="5" l="1"/>
  <c r="U39" i="5"/>
  <c r="T39" i="5"/>
  <c r="S39" i="5"/>
  <c r="U38" i="5"/>
  <c r="K38" i="5"/>
  <c r="T38" i="5"/>
  <c r="S38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9" i="3" s="1"/>
  <c r="B4" i="5"/>
  <c r="K7" i="1"/>
  <c r="H6" i="1"/>
  <c r="R10" i="5" l="1"/>
  <c r="M66" i="3" s="1"/>
  <c r="N59" i="3" l="1"/>
  <c r="B8" i="5"/>
  <c r="B5" i="5"/>
  <c r="P10" i="5" l="1"/>
  <c r="K66" i="3" s="1"/>
  <c r="Q10" i="5"/>
  <c r="L66" i="3" s="1"/>
  <c r="B64" i="3"/>
  <c r="C64" i="3" s="1"/>
  <c r="M14" i="5"/>
  <c r="H65" i="3" s="1"/>
  <c r="L14" i="5"/>
  <c r="G65" i="3" s="1"/>
  <c r="K14" i="5"/>
  <c r="F65" i="3" s="1"/>
  <c r="L65" i="3"/>
  <c r="K65" i="3"/>
  <c r="O14" i="5"/>
  <c r="J65" i="3" s="1"/>
  <c r="N14" i="5"/>
  <c r="I65" i="3" s="1"/>
  <c r="J14" i="5"/>
  <c r="E65" i="3" s="1"/>
  <c r="I14" i="5"/>
  <c r="D65" i="3" s="1"/>
  <c r="H14" i="5"/>
  <c r="C65" i="3" s="1"/>
  <c r="O10" i="5"/>
  <c r="J66" i="3" s="1"/>
  <c r="N10" i="5"/>
  <c r="I66" i="3" s="1"/>
  <c r="M10" i="5"/>
  <c r="H66" i="3" s="1"/>
  <c r="J10" i="5"/>
  <c r="E66" i="3" s="1"/>
  <c r="N3" i="1" l="1"/>
  <c r="M3" i="1"/>
  <c r="O3" i="1"/>
  <c r="V41" i="1"/>
  <c r="K12" i="5" l="1"/>
  <c r="H12" i="5"/>
  <c r="V12" i="5"/>
  <c r="T12" i="5"/>
  <c r="U12" i="5"/>
  <c r="I12" i="5"/>
  <c r="L12" i="5"/>
  <c r="S12" i="5"/>
  <c r="R3" i="1" l="1"/>
  <c r="D1" i="1"/>
  <c r="F6" i="1"/>
  <c r="T41" i="1"/>
  <c r="T13" i="5"/>
  <c r="T7" i="1" l="1"/>
  <c r="W41" i="1"/>
  <c r="G6" i="1" l="1"/>
  <c r="L13" i="5"/>
  <c r="V13" i="5"/>
  <c r="U13" i="5"/>
  <c r="I13" i="5"/>
  <c r="S13" i="5"/>
  <c r="K13" i="5"/>
  <c r="H13" i="5"/>
  <c r="K10" i="5" l="1"/>
  <c r="F66" i="3" s="1"/>
  <c r="I10" i="5"/>
  <c r="D66" i="3" s="1"/>
  <c r="H10" i="5"/>
  <c r="C66" i="3" s="1"/>
  <c r="L10" i="5"/>
  <c r="G66" i="3" s="1"/>
  <c r="L59" i="3"/>
  <c r="D59" i="3"/>
  <c r="D6" i="1"/>
  <c r="B6" i="1" l="1"/>
  <c r="L3" i="1"/>
  <c r="J3" i="1"/>
  <c r="H3" i="1"/>
  <c r="C6" i="1" l="1"/>
  <c r="P7" i="1" s="1"/>
  <c r="S3" i="1"/>
  <c r="S7" i="1" s="1"/>
  <c r="E6" i="1"/>
  <c r="F59" i="3"/>
  <c r="I3" i="1" l="1"/>
  <c r="B7" i="1"/>
  <c r="L12" i="1" s="1"/>
  <c r="L13" i="1" l="1"/>
  <c r="L32" i="1"/>
  <c r="L9" i="1"/>
  <c r="L19" i="1"/>
  <c r="L17" i="1"/>
  <c r="L11" i="1"/>
  <c r="L10" i="1"/>
  <c r="L39" i="1"/>
  <c r="C7" i="1"/>
  <c r="J41" i="1"/>
  <c r="N41" i="1"/>
  <c r="O41" i="1"/>
  <c r="P41" i="1"/>
  <c r="I41" i="1"/>
  <c r="Q7" i="1" l="1"/>
  <c r="M59" i="3" s="1"/>
  <c r="L7" i="1"/>
  <c r="G59" i="3" s="1"/>
  <c r="K59" i="3"/>
  <c r="J59" i="3"/>
  <c r="K41" i="1"/>
  <c r="M41" i="1"/>
  <c r="R7" i="1" l="1"/>
  <c r="I59" i="3" s="1"/>
  <c r="M7" i="1"/>
  <c r="H59" i="3" s="1"/>
  <c r="J7" i="1"/>
  <c r="C5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<sst xmlns="http://schemas.openxmlformats.org/spreadsheetml/2006/main" count="543" uniqueCount="363">
  <si>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</si>
  <si>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</si>
  <si>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</si>
  <si>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</si>
  <si>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</si>
  <si>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</si>
  <si>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</si>
  <si>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</si>
  <si>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</si>
  <si>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</si>
  <si>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</si>
  <si>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</si>
  <si>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</si>
  <si>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</si>
  <si>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</si>
  <si>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</si>
  <si>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</si>
  <si>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</si>
  <si>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</si>
  <si>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</si>
  <si>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</si>
  <si>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</si>
  <si>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</si>
  <si>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</si>
  <si>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</si>
  <si>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</si>
  <si>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</si>
  <si>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</si>
  <si>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</si>
  <si>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</si>
  <si>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</si>
  <si>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</si>
  <si>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</si>
  <si>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</si>
  <si>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</si>
  <si>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</si>
  <si>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</si>
  <si>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</si>
  <si>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</si>
  <si>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</si>
  <si>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</si>
  <si>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</si>
  <si>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</si>
  <si>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</si>
  <si>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</si>
  <si>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</si>
  <si>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</si>
  <si>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</si>
  <si>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</si>
  <si>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</si>
  <si>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</si>
  <si>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</si>
  <si>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</si>
  <si>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</si>
  <si>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</si>
  <si>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</si>
  <si>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</si>
  <si>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</si>
  <si>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</si>
  <si>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</si>
  <si>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</si>
  <si>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</si>
  <si>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</si>
  <si>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</si>
  <si>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</si>
  <si>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</si>
  <si>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</si>
  <si>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</si>
  <si>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</si>
  <si>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</si>
  <si>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</si>
  <si>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</si>
  <si>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</si>
  <si>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</si>
  <si>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</si>
  <si>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</si>
  <si>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</si>
  <si>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</si>
  <si>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</si>
  <si>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</si>
  <si>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</si>
  <si>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</si>
  <si>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</si>
  <si>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</si>
  <si>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</si>
  <si>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</si>
  <si>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</si>
  <si>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</si>
  <si>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</si>
  <si>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</si>
  <si>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</si>
  <si>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</si>
  <si>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</si>
  <si>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</si>
  <si>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</si>
  <si>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</si>
  <si>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</si>
  <si>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</si>
  <si>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</si>
  <si>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</si>
  <si>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</si>
  <si>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</si>
  <si>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</si>
  <si>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</si>
  <si>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</si>
  <si>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</si>
  <si>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</si>
  <si>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</si>
  <si>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</si>
  <si>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</si>
  <si>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</si>
  <si>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</si>
  <si>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</si>
  <si>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</si>
  <si>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</si>
  <si>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</si>
  <si>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</si>
  <si>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</si>
  <si>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</si>
  <si>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</si>
  <si>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</si>
  <si>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</si>
  <si>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</si>
  <si>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</si>
  <si>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</si>
  <si>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</si>
  <si>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</si>
  <si>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</si>
  <si>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</si>
  <si>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</si>
  <si>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</si>
  <si>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</si>
  <si>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</si>
  <si>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</si>
  <si>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</si>
  <si>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</si>
  <si>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</si>
  <si>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</si>
  <si>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</si>
  <si>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</si>
  <si>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</si>
  <si>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</si>
  <si>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</si>
  <si>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</si>
  <si>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</si>
  <si>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</si>
  <si>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</si>
  <si>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</si>
  <si>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</si>
  <si>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</si>
  <si>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</si>
  <si>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</si>
  <si>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</si>
  <si>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</si>
  <si>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</si>
  <si>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</si>
  <si>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</si>
  <si>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</si>
  <si>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</si>
  <si>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</si>
  <si>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</si>
  <si>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</si>
  <si>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</si>
  <si>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</si>
  <si>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</si>
  <si>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</si>
  <si>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</si>
  <si>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</si>
  <si>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</si>
  <si>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</si>
  <si>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</si>
  <si>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</si>
  <si>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</si>
  <si>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</si>
  <si>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</si>
  <si>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</si>
  <si>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</si>
  <si>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</si>
  <si>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</si>
  <si>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</si>
  <si>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</si>
  <si>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</si>
  <si>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</si>
  <si>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</si>
  <si>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</si>
  <si>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</si>
  <si>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</si>
  <si>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</si>
  <si>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</si>
  <si>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</si>
  <si>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</si>
  <si>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</si>
  <si>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</si>
  <si>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</si>
  <si>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</si>
  <si>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</si>
  <si>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</si>
  <si>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</si>
  <si>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</si>
  <si>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</si>
  <si>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</si>
  <si>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</si>
  <si>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</si>
  <si>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</si>
  <si>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</si>
  <si>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</si>
  <si>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</si>
  <si>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</si>
  <si>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</si>
  <si>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</si>
  <si>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</si>
  <si>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</si>
  <si>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</si>
  <si>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</si>
  <si>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</si>
  <si>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</si>
  <si>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</si>
  <si>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</si>
  <si>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</si>
  <si>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</si>
  <si>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</si>
  <si>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</si>
  <si>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</si>
  <si>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</si>
  <si>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</si>
  <si>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</si>
  <si>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</si>
  <si>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</si>
  <si>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</si>
  <si>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</si>
  <si>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</si>
  <si>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</si>
  <si>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</si>
  <si>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</si>
  <si>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</si>
  <si>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</si>
  <si>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</si>
  <si>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</si>
  <si>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</si>
  <si>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</si>
  <si>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</si>
  <si>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</si>
  <si>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</si>
  <si>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</si>
  <si>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</si>
  <si>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</si>
  <si>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</si>
  <si>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</si>
  <si>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</si>
  <si>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</si>
  <si>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</si>
  <si>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</si>
  <si>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</si>
  <si>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</si>
  <si>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</si>
  <si>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</si>
  <si>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</si>
  <si>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</si>
  <si>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</si>
  <si>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</si>
  <si>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</si>
  <si>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</si>
  <si>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</si>
  <si>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</si>
  <si>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</si>
  <si>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</si>
  <si>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</si>
  <si>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</si>
  <si>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</si>
  <si>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</si>
  <si>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</si>
  <si>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</si>
  <si>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</si>
  <si>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</si>
  <si>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</si>
  <si>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</si>
  <si>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</si>
  <si>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</si>
  <si>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</si>
  <si>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</si>
  <si>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</si>
  <si>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</si>
  <si>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</si>
  <si>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</si>
  <si>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</si>
  <si>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</si>
  <si>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</si>
  <si>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</si>
  <si>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</si>
  <si>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</si>
  <si>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</si>
  <si>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</si>
  <si>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</si>
  <si>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</si>
  <si>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</si>
  <si>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</si>
  <si>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</si>
  <si>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</si>
  <si>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</si>
  <si>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</si>
  <si>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</si>
  <si>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</si>
  <si>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</si>
  <si>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</si>
  <si>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</si>
  <si>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</si>
  <si>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</si>
  <si>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</si>
  <si>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</si>
  <si>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</si>
  <si>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</si>
  <si>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</si>
  <si>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</si>
  <si>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</si>
  <si>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</si>
  <si>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</si>
  <si>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</si>
  <si>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</si>
  <si>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</si>
  <si>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</si>
  <si>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</si>
  <si>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</si>
  <si>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PROD_LINE</t>
  </si>
  <si>
    <t>IS_ACTIVE</t>
  </si>
  <si>
    <t>varchar(1)</t>
  </si>
  <si>
    <t>WORKING_DATE</t>
  </si>
  <si>
    <t>SHIFT</t>
  </si>
  <si>
    <t>NO_IN_SHIFT</t>
  </si>
  <si>
    <t>datetime2(7)</t>
  </si>
  <si>
    <t>STATUS</t>
  </si>
  <si>
    <t>NEWTAKT_DATETIME</t>
  </si>
  <si>
    <t>ProgressDetails</t>
  </si>
  <si>
    <t>PART_NO</t>
  </si>
  <si>
    <t>PART_LIST_ID</t>
  </si>
  <si>
    <t>SORTING</t>
  </si>
  <si>
    <t>PROGRESS_ID</t>
  </si>
  <si>
    <t>BODY_NO</t>
  </si>
  <si>
    <t>LOT_NO</t>
  </si>
  <si>
    <t>NO_IN_LOT</t>
  </si>
  <si>
    <t>GRADE</t>
  </si>
  <si>
    <t>MODEL</t>
  </si>
  <si>
    <t>Barcode</t>
  </si>
  <si>
    <t>Bar</t>
  </si>
  <si>
    <t>LgaBar</t>
  </si>
  <si>
    <t>PROCESS_ID</t>
  </si>
  <si>
    <t>PC_ADDRESS</t>
  </si>
  <si>
    <t>SPS_ADDRESS</t>
  </si>
  <si>
    <t>BACK_NO</t>
  </si>
  <si>
    <t>USAGE_QTY</t>
  </si>
  <si>
    <t>SCAN_QTY</t>
  </si>
  <si>
    <t>PART_NO_NORMALIZED</t>
  </si>
  <si>
    <t>INPUT_QTY</t>
  </si>
  <si>
    <t>IS_ZERO_KB</t>
  </si>
  <si>
    <t>varchar(200)</t>
  </si>
  <si>
    <t>PIK_START_DATETIME</t>
  </si>
  <si>
    <t>PIK_FINISH_DATETIME</t>
  </si>
  <si>
    <t>DEL_START_DATETIME</t>
  </si>
  <si>
    <t>DEL_FINISH_DATETIME</t>
  </si>
  <si>
    <t>NO_IN_DATE</t>
  </si>
  <si>
    <t>LgaEkbProgressDetails</t>
  </si>
  <si>
    <t>LogA.Ekb</t>
  </si>
  <si>
    <t>LA Ekanban Progress Details</t>
  </si>
  <si>
    <t>BODY_COLOR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</si>
</sst>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8"/>
  <sheetViews>
    <sheetView topLeftCell="A11" workbookViewId="0">
      <selection activeCell="D37" sqref="D37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D38" t="s">
        <v>341</v>
      </c>
      <c r="F38" s="1" t="s">
        <v>342</v>
      </c>
      <c r="G38" s="17" t="s">
        <v>343</v>
      </c>
    </row>
    <row r="39" spans="1:8" x14ac:dyDescent="0.25">
      <c r="A39" s="1"/>
      <c r="B39" s="17"/>
      <c r="C39" t="s">
        <v>320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 t="s">
        <v>306</v>
      </c>
    </row>
    <row r="41" spans="1:8" x14ac:dyDescent="0.25">
      <c r="A41" s="1"/>
      <c r="B41" s="17"/>
      <c r="F41" s="1"/>
    </row>
    <row r="42" spans="1:8" x14ac:dyDescent="0.25">
      <c r="A42" s="1"/>
      <c r="B42" s="17"/>
    </row>
    <row r="43" spans="1:8" x14ac:dyDescent="0.25">
      <c r="A43" s="1"/>
      <c r="B43" s="17" t="s">
        <v>86</v>
      </c>
    </row>
    <row r="44" spans="1:8" x14ac:dyDescent="0.25">
      <c r="A44" s="1"/>
      <c r="B44" s="17" t="s">
        <v>83</v>
      </c>
    </row>
    <row r="45" spans="1:8" x14ac:dyDescent="0.25">
      <c r="A45" s="1"/>
      <c r="B45" s="17"/>
      <c r="C45" s="19" t="s">
        <v>80</v>
      </c>
    </row>
    <row r="46" spans="1:8" x14ac:dyDescent="0.25">
      <c r="A46" s="1"/>
      <c r="B46" s="17"/>
      <c r="C46" s="18" t="s">
        <v>81</v>
      </c>
    </row>
    <row r="47" spans="1:8" x14ac:dyDescent="0.25">
      <c r="A47" s="1"/>
      <c r="B47" s="17"/>
      <c r="C47" s="18" t="s">
        <v>82</v>
      </c>
    </row>
    <row r="48" spans="1:8" x14ac:dyDescent="0.25">
      <c r="A48" s="1"/>
      <c r="B48" s="17" t="s">
        <v>106</v>
      </c>
      <c r="C48" s="18"/>
    </row>
    <row r="49" spans="1:14" x14ac:dyDescent="0.25">
      <c r="A49" s="1"/>
      <c r="B49" s="17"/>
      <c r="C49" s="18" t="s">
        <v>107</v>
      </c>
    </row>
    <row r="50" spans="1:14" x14ac:dyDescent="0.25">
      <c r="A50" s="1"/>
      <c r="B50" s="17"/>
      <c r="C50" s="18" t="s">
        <v>108</v>
      </c>
    </row>
    <row r="51" spans="1:14" x14ac:dyDescent="0.25">
      <c r="A51" s="1"/>
      <c r="B51" s="17"/>
      <c r="C51" s="18" t="s">
        <v>109</v>
      </c>
    </row>
    <row r="52" spans="1:14" x14ac:dyDescent="0.25">
      <c r="A52" s="1"/>
      <c r="B52" s="17"/>
      <c r="C52" s="18" t="s">
        <v>111</v>
      </c>
    </row>
    <row r="53" spans="1:14" x14ac:dyDescent="0.25">
      <c r="A53" s="1"/>
      <c r="B53" s="17"/>
      <c r="C53" s="18" t="s">
        <v>113</v>
      </c>
    </row>
    <row r="54" spans="1:14" x14ac:dyDescent="0.25">
      <c r="A54" s="1"/>
      <c r="B54" s="17"/>
      <c r="C54" s="18" t="s">
        <v>112</v>
      </c>
    </row>
    <row r="55" spans="1:14" x14ac:dyDescent="0.25">
      <c r="A55" s="1"/>
      <c r="B55" s="17"/>
      <c r="C55" s="18" t="s">
        <v>110</v>
      </c>
    </row>
    <row r="56" spans="1:14" ht="21" customHeight="1" x14ac:dyDescent="0.25">
      <c r="B56" s="21" t="s">
        <v>78</v>
      </c>
    </row>
    <row r="57" spans="1:14" ht="21" customHeight="1" x14ac:dyDescent="0.25">
      <c r="B57" s="63" t="s">
        <v>231</v>
      </c>
    </row>
    <row r="58" spans="1:14" ht="15.75" thickBot="1" x14ac:dyDescent="0.3">
      <c r="C58" s="1" t="s">
        <v>72</v>
      </c>
      <c r="D58" s="1" t="s">
        <v>207</v>
      </c>
      <c r="E58" s="1" t="s">
        <v>208</v>
      </c>
      <c r="F58" s="1" t="s">
        <v>198</v>
      </c>
      <c r="G58" s="1" t="s">
        <v>199</v>
      </c>
      <c r="H58" s="1" t="s">
        <v>200</v>
      </c>
      <c r="I58" s="1" t="s">
        <v>201</v>
      </c>
      <c r="J58" s="1" t="s">
        <v>205</v>
      </c>
      <c r="K58" s="1" t="s">
        <v>209</v>
      </c>
      <c r="L58" s="1" t="s">
        <v>210</v>
      </c>
      <c r="M58" s="1" t="s">
        <v>211</v>
      </c>
      <c r="N58" s="1" t="s">
        <v>227</v>
      </c>
    </row>
    <row r="59" spans="1:14" s="16" customFormat="1" ht="21.75" customHeight="1" thickBot="1" x14ac:dyDescent="0.3">
      <c r="B59" s="52" t="s">
        <v>226</v>
      </c>
      <c r="C59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vovina.LogA.Ekb
{
	[Table("LgaEkbProgressDetails")]
	[Index(nameof(ProdLine), Name="IX_LgaEkbProgressDetails_ProdLine")]
	[Index(nameof(WorkingDate), Name="IX_LgaEkbProgressDetails_WorkingDate")]
	[Index(nameof(Shift), Name="IX_LgaEkbProgressDetails_Shift")]
	[Index(nameof(NoInShift), Name="IX_LgaEkbProgressDetails_NoInShift")]
	[Index(nameof(NoInDate), Name="IX_LgaEkbProgressDetails_NoInDate")]
	[Index(nameof(ProgressId), Name="IX_LgaEkbProgressDetails_ProgressId")]
	[Index(nameof(ProcessId), Name="IX_LgaEkbProgressDetails_ProcessId")]
	[Index(nameof(PartListId), Name="IX_LgaEkbProgressDetails_PartListId")]
	[Index(nameof(PartNo), Name="IX_LgaEkbProgressDetails_PartNo")]
	[Index(nameof(BackNo), Name="IX_LgaEkbProgressDetails_BackNo")]
	[Index(nameof(Sorting), Name="IX_LgaEkbProgressDetails_Sorting")]
	[Index(nameof(IsZeroKb), Name="IX_LgaEkbProgressDetails_IsZeroKb")]
	[Index(nameof(IsActive), Name="IX_LgaEkbProgressDetails_IsActive")]	public class LgaEkbProgressDetails: FullAuditedEntity&lt;long&gt;, IEntity&lt;long&gt;	
	{
		public const int MaxProdLineLength = 50;
		public const int MaxShiftLength = 50;
		public const int MaxPartNoLength = 50;
		public const int MaxPartNoNormalizedLength = 50;
		public const int MaxBackNoLength = 50;
		public const int MaxPcAddressLength = 200;
		public const int MaxSpsAddressLength = 200;
		public const int MaxBodyNoLength = 50;
		public const int MaxLotNoLength = 50;
		public const int MaxGradeLength = 50;
		public const int MaxModelLength = 50;
		public const int MaxBodyColorLength = 50;
		public const int MaxIsZeroKbLength = 1;
		public const int MaxStatusLength = 50;
		public const int MaxIsActiveLength = 1;
		[StringLength(MaxProdLineLength)]
		public virtual string ProdLine { get; set; }
		public virtual DateTime WorkingDate { get; set; }
		[StringLength(MaxShiftLength)]
		public virtual string Shift { get; set; }
		public virtual int NoInShift { get; set; }
		public virtual int NoInDate { get; set; }
		public virtual long ProgressId { get; set; }
		public virtual long ProcessId { get; set; }
		public virtual long PartListId { get; set; }
		[StringLength(MaxPartNoLength)]
		public virtual string PartNo { get; set; }
		[StringLength(MaxPartNoNormalizedLength)]
		public virtual string PartNoNormalized { get; set; }
		[StringLength(MaxBackNoLength)]
		public virtual string BackNo { get; set; }
		[StringLength(MaxPcAddressLength)]
		public virtual string PcAddress { get; set; }
		[StringLength(MaxSpsAddressLength)]
		public virtual string SpsAddress { get; set; }
		public virtual int Sorting { get; set; }
		public virtual int UsageQty { get; set; }
		[StringLength(MaxBodyNoLength)]
		public virtual string BodyNo { get; set; }
		[StringLength(MaxLotNoLength)]
		public virtual string LotNo { get; set; }
		public virtual int NoInLot { get; set; }
		[StringLength(MaxGradeLength)]
		public virtual string Grade { get; set; }
		[StringLength(MaxModelLength)]
		public virtual string Model { get; set; }
		[StringLength(MaxBodyColorLength)]
		public virtual string BodyColor { get; set; }
		public virtual int ScanQty { get; set; }
		public virtual int InputQty { get; set; }
		[StringLength(MaxIsZeroKbLength)]
		public virtual string IsZeroKb { get; set; }
		[Column(TypeName="datetime2(7)")]
		public virtual DateTime NewtaktDatetime { get; set; }
		[Column(TypeName="datetime2(7)")]
		public virtual DateTime PikStartDatetime { get; set; }
		[Column(TypeName="datetime2(7)")]
		public virtual DateTime PikFinishDatetime { get; set; }
		[Column(TypeName="datetime2(7)")]
		public virtual DateTime DelStartDatetime { get; set; }
		[Column(TypeName="datetime2(7)")]
		public virtual DateTime DelFinishDatetime { get; set; }
		[StringLength(MaxStatusLength)]
		public virtual string Status { get; set; }
		[StringLength(MaxIsActiveLength)]
		public virtual string IsActive { get; set; }
	}
}
</v>
      </c>
      <c r="D59" s="51" t="str">
        <f>A.Backend!O7</f>
        <v xml:space="preserve">		public const string Pages_LogA_Ekb_ProgressDetails = "Pages.LogA.Ekb.ProgressDetails";
		public const string Pages_LogA_Ekb_ProgressDetails_CreateEdit = "Pages.LogA.Ekb.ProgressDetails.CreateEdit";
		public const string Pages_LogA_Ekb_ProgressDetails_Delete = "Pages.LogA.Ekb.ProgressDetails.Delete";
</v>
      </c>
      <c r="E59" s="51" t="str">
        <f>A.Backend!N7</f>
        <v xml:space="preserve">		var perLgaEkbProgressDetails = PARENTS.CreateChildPermission(AppPermissions.Pages_LogA_Ekb_ProgressDetails, L( "LogAEkbProgressDetails"), multiTenancySides: MultiTenancySides.Tenant);
		perLgaEkbProgressDetails.CreateChildPermission(AppPermissions.Pages_LogA_Ekb_ProgressDetails_CreateEdit, L( "LogAEkbProgressDetailsCreateEdit"), multiTenancySides: MultiTenancySides.Tenant);
		perLgaEkbProgressDetails.CreateChildPermission(AppPermissions.Pages_LogA_Ekb_ProgressDetails_Delete, L( "LogAEkbProgressDetailsDelete"), multiTenancySides: MultiTenancySides.Tenant);</v>
      </c>
      <c r="F59" s="51" t="str">
        <f>A.Backend!K7</f>
        <v>public virtual DbSet&lt;LgaEkbProgressDetails&gt; LgaEkbProgressDetailss { get; set; }</v>
      </c>
      <c r="G59" s="51" t="str">
        <f ca="1">A.Backend!L7</f>
        <v xml:space="preserve">namespace vovina.LogA.Ekb
{
	public class LgaEkbProgressDetailsConsts	
	{
		public const int MaxProdLineLength = 50;
		public const int MaxShiftLength = 50;
		public const int MaxPartNoLength = 50;
		public const int MaxPartNoNormalizedLength = 50;
		public const int MaxBackNoLength = 50;
		public const int MaxPcAddressLength = 200;
		public const int MaxSpsAddressLength = 200;
		public const int MaxBodyNoLength = 50;
		public const int MaxLotNoLength = 50;
		public const int MaxGradeLength = 50;
		public const int MaxModelLength = 50;
		public const int MaxBodyColorLength = 50;
		public const int MaxIsZeroKbLength = 1;
		public const int MaxStatusLength = 50;
		public const int MaxIsActiveLength = 1;
		// Define Store Name: Format SP_ + &lt;Store Name&gt; = &lt;Store Name&gt;
	}
}
</v>
      </c>
      <c r="H59" s="51" t="str">
        <f ca="1">A.Backend!M7</f>
        <v xml:space="preserve">using Abp.Application.Services.Dto;
using System;
using System.ComponentModel.DataAnnotations;
namespace vovina.LogA.Ekb.Dto
{
	public class LgaEkbProgressDetailsDto : EntityDto&lt;long?&gt;	
	{
		public virtual string ProdLine { get; set; }
		public virtual DateTime? WorkingDate { get; set; }
		public virtual string Shift { get; set; }
		public virtual int NoInShift { get; set; }
		public virtual int NoInDate { get; set; }
		public virtual long ProgressId { get; set; }
		public virtual long ProcessId { get; set; }
		public virtual long PartListId { get; set; }
		public virtual string PartNo { get; set; }
		public virtual string PartNoNormalized { get; set; }
		public virtual string BackNo { get; set; }
		public virtual string PcAddress { get; set; }
		public virtual string SpsAddress { get; set; }
		public virtual int Sorting { get; set; }
		public virtual int UsageQty { get; set; }
		public virtual string BodyNo { get; set; }
		public virtual string LotNo { get; set; }
		public virtual int NoInLot { get; set; }
		public virtual string Grade { get; set; }
		public virtual string Model { get; set; }
		public virtual string BodyColor { get; set; }
		public virtual int ScanQty { get; set; }
		public virtual int InputQty { get; set; }
		public virtual string IsZeroKb { get; set; }
		public virtual DateTime? NewtaktDatetime { get; set; }
		public virtual DateTime? PikStartDatetime { get; set; }
		public virtual DateTime? PikFinishDatetime { get; set; }
		public virtual DateTime? DelStartDatetime { get; set; }
		public virtual DateTime? DelFinishDatetime { get; set; }
		public virtual string Status { get; set; }
		public virtual string IsActive { get; set; }
	}
	public class CreateOrEditLgaEkbProgressDetailsDto : EntityDto&lt;long?&gt;	
	{
		[StringLength(LgaEkbProgressDetailsConsts.MaxProdLineLength)]
		public virtual string ProdLine { get; set; }
		public virtual DateTime? WorkingDate { get; set; }
		[StringLength(LgaEkbProgressDetailsConsts.MaxShiftLength)]
		public virtual string Shift { get; set; }
		public virtual int NoInShift { get; set; }
		public virtual int NoInDate { get; set; }
		public virtual long ProgressId { get; set; }
		public virtual long ProcessId { get; set; }
		public virtual long PartListId { get; set; }
		[StringLength(LgaEkbProgressDetailsConsts.MaxPartNoLength)]
		public virtual string PartNo { get; set; }
		[StringLength(LgaEkbProgressDetailsConsts.MaxPartNoNormalizedLength)]
		public virtual string PartNoNormalized { get; set; }
		[StringLength(LgaEkbProgressDetailsConsts.MaxBackNoLength)]
		public virtual string BackNo { get; set; }
		[StringLength(LgaEkbProgressDetailsConsts.MaxPcAddressLength)]
		public virtual string PcAddress { get; set; }
		[StringLength(LgaEkbProgressDetailsConsts.MaxSpsAddressLength)]
		public virtual string SpsAddress { get; set; }
		public virtual int Sorting { get; set; }
		public virtual int UsageQty { get; set; }
		[StringLength(LgaEkbProgressDetailsConsts.MaxBodyNoLength)]
		public virtual string BodyNo { get; set; }
		[StringLength(LgaEkbProgressDetailsConsts.MaxLotNoLength)]
		public virtual string LotNo { get; set; }
		public virtual int NoInLot { get; set; }
		[StringLength(LgaEkbProgressDetailsConsts.MaxGradeLength)]
		public virtual string Grade { get; set; }
		[StringLength(LgaEkbProgressDetailsConsts.MaxModelLength)]
		public virtual string Model { get; set; }
		[StringLength(LgaEkbProgressDetailsConsts.MaxBodyColorLength)]
		public virtual string BodyColor { get; set; }
		public virtual int ScanQty { get; set; }
		public virtual int InputQty { get; set; }
		[StringLength(LgaEkbProgressDetailsConsts.MaxIsZeroKbLength)]
		public virtual string IsZeroKb { get; set; }
		public virtual DateTime? NewtaktDatetime { get; set; }
		public virtual DateTime? PikStartDatetime { get; set; }
		public virtual DateTime? PikFinishDatetime { get; set; }
		public virtual DateTime? DelStartDatetime { get; set; }
		public virtual DateTime? DelFinishDatetime { get; set; }
		[StringLength(LgaEkbProgressDetailsConsts.MaxStatusLength)]
		public virtual string Status { get; set; }
		[StringLength(LgaEkbProgressDetailsConsts.MaxIsActiveLength)]
		public virtual string IsActive { get; set; }
	}
	public class GetLgaEkbProgressDetailsInput : PagedAndSortedResultRequestDto	
	{
		public virtual string ProdLine { get; set; }
		public virtual DateTime? WorkingDate { get; set; }
		public virtual string Shift { get; set; }
		public virtual int NoInShift { get; set; }
		public virtual int NoInDate { get; set; }
		public virtual string PartNo { get; set; }
		public virtual string PartNoNormalized { get; set; }
		public virtual string BackNo { get; set; }
		public virtual string PcAddress { get; set; }
		public virtual string SpsAddress { get; set; }
		public virtual int Sorting { get; set; }
		public virtual int UsageQty { get; set; }
		public virtual string BodyNo { get; set; }
		public virtual string LotNo { get; set; }
		public virtual int NoInLot { get; set; }
		public virtual string Grade { get; set; }
		public virtual string Model { get; set; }
		public virtual string BodyColor { get; set; }
		public virtual int ScanQty { get; set; }
		public virtual int InputQty { get; set; }
		public virtual string IsZeroKb { get; set; }
		public virtual DateTime? NewtaktDatetime { get; set; }
		public virtual DateTime? PikStartDatetime { get; set; }
		public virtual DateTime? PikFinishDatetime { get; set; }
		public virtual DateTime? DelStartDatetime { get; set; }
		public virtual DateTime? DelFinishDatetime { get; set; }
		public virtual string Status { get; set; }
		public virtual string IsActive { get; set; }
	}
}
</v>
      </c>
      <c r="I59" s="51" t="str">
        <f ca="1">A.Backend!R7</f>
        <v xml:space="preserve">using Abp.Application.Services.Dto;
using System;
using System.ComponentModel.DataAnnotations;
namespace vovina.LogA.Ekb.Dto
{
	public class LgaEkbProgressDetailsExportInput{
		public virtual string ProdLine { get; set; }
		public virtual DateTime? WorkingDate { get; set; }
		public virtual string Shift { get; set; }
		public virtual int NoInShift { get; set; }
		public virtual int NoInDate { get; set; }
		public virtual long ProgressId { get; set; }
		public virtual long ProcessId { get; set; }
		public virtual long PartListId { get; set; }
		public virtual string PartNo { get; set; }
		public virtual string PartNoNormalized { get; set; }
		public virtual string BackNo { get; set; }
		public virtual string PcAddress { get; set; }
		public virtual string SpsAddress { get; set; }
		public virtual int Sorting { get; set; }
		public virtual int UsageQty { get; set; }
		public virtual string BodyNo { get; set; }
		public virtual string LotNo { get; set; }
		public virtual int NoInLot { get; set; }
		public virtual string Grade { get; set; }
		public virtual string Model { get; set; }
		public virtual string BodyColor { get; set; }
		public virtual int ScanQty { get; set; }
		public virtual int InputQty { get; set; }
		public virtual string IsZeroKb { get; set; }
		public virtual DateTime? NewtaktDatetime { get; set; }
		public virtual DateTime? PikStartDatetime { get; set; }
		public virtual DateTime? PikFinishDatetime { get; set; }
		public virtual DateTime? DelStartDatetime { get; set; }
		public virtual DateTime? DelFinishDatetime { get; set; }
		public virtual string Status { get; set; }
		public virtual string IsActive { get; set; }
	}
}
</v>
      </c>
      <c r="J59" s="51" t="str">
        <f>A.Backend!P7</f>
        <v xml:space="preserve">using Abp.Application.Services;
using Abp.Application.Services.Dto;
using System.Collections.Generic;using vovina.Dto;
using System.Threading.Tasks;
using vovina.LogA.Ekb.Dto;
namespace vovina.LogA.Ekb
{
	public interface ILgaEkbProgressDetailsAppService : IApplicationService
	{
		Task&lt;PagedResultDto&lt;LgaEkbProgressDetailsDto&gt;&gt; GetAll(GetLgaEkbProgressDetailsInput input);
		Task CreateOrEdit(CreateOrEditLgaEkbProgressDetailsDto input);
		Task Delete(EntityDto input);
	}
}
</v>
      </c>
      <c r="K59" s="51" t="str">
        <f>A.Backend!S7</f>
        <v xml:space="preserve">using Abp.Application.Services;
using Abp.Application.Services.Dto;
using System.Collections.Generic;using vovina.Dto;
using System.Threading.Tasks;
using vovina.LogA.Ekb.Dto;
namespace vovina.LogA.Ekb.Exporting
{
	public interface ILgaEkbProgressDetailsExcelExporter : IApplicationService
	{
		FileDto ExportToFile(List&lt;LgaEkbProgressDetailsDto&gt; lgaekbprogressdetails);
	}
}
</v>
      </c>
      <c r="L59" s="51" t="str">
        <f ca="1">A.Backend!T7</f>
        <v>using System.Collections.Generic;
using vovina.DataExporting.Excel.NPOI;
using vovina.Dto;
using vovina.LogA.Ekb.Exporting;
using vovina.LogA.Ekb.Dto;
using vovina.Storage;
using vovina.LogA.Ekb.Dto;
namespace vovina.LogA.Ekb.Exporting
{
    public class LgaEkbProgressDetailsExcelExporter : NpoiExcelExporterBase, ILgaEkbProgressDetailsExcelExporter
    {
        public LgaEkbProgressDetailsExcelExporter(ITempFileCacheManager tempFileCacheManager) : base(tempFileCacheManager) { }
        public FileDto ExportToFile(List&lt;LgaEkbProgressDetailsDto&gt; progressdetails)
        {
            return CreateExcelPackage(
				"LogAEkbProgressDetails.xlsx",
				excelPackage =&gt;
				 {
					var sheet = excelPackage.CreateSheet("ProgressDetails");
					AddHeader(
								sheet,
								("ProdLine"),
								("WorkingDate"),
								("Shift"),
								("NoInShift"),
								("NoInDate"),
								("ProgressId"),
								("ProcessId"),
								("PartListId"),
								("PartNo"),
								("PartNoNormalized"),
								("BackNo"),
								("PcAddress"),
								("SpsAddress"),
								("Sorting"),
								("UsageQty"),
								("BodyNo"),
								("LotNo"),
								("NoInLot"),
								("Grade"),
								("Model"),
								("BodyColor"),
								("ScanQty"),
								("InputQty"),
								("IsZeroKb"),
								("NewtaktDatetime"),
								("PikStartDatetime"),
								("PikFinishDatetime"),
								("DelStartDatetime"),
								("DelFinishDatetime"),
								("Status"),
								("IsActive"),
							   );
					AddObjects(
						 sheet, 1, progressdetails,                                       
								_ =&gt; _.ProdLine,
								_ =&gt; _.WorkingDate,
								_ =&gt; _.Shift,
								_ =&gt; _.NoInShift,
								_ =&gt; _.NoInDate,
								_ =&gt; _.ProgressId,
								_ =&gt; _.ProcessId,
								_ =&gt; _.PartListId,
								_ =&gt; _.PartNo,
								_ =&gt; _.PartNoNormalized,
								_ =&gt; _.BackNo,
								_ =&gt; _.PcAddress,
								_ =&gt; _.SpsAddress,
								_ =&gt; _.Sorting,
								_ =&gt; _.UsageQty,
								_ =&gt; _.BodyNo,
								_ =&gt; _.LotNo,
								_ =&gt; _.NoInLot,
								_ =&gt; _.Grade,
								_ =&gt; _.Model,
								_ =&gt; _.BodyColor,
								_ =&gt; _.ScanQty,
								_ =&gt; _.InputQty,
								_ =&gt; _.IsZeroKb,
								_ =&gt; _.NewtaktDatetime,
								_ =&gt; _.PikStartDatetime,
								_ =&gt; _.PikFinishDatetime,
								_ =&gt; _.DelStartDatetime,
								_ =&gt; _.DelFinishDatetime,
								_ =&gt; _.Status,
								_ =&gt; _.IsActive,
								);
			for (var i = 0; i &lt; 8; i++)
				{
					sheet.AutoSizeColumn(i);
				}
			});
        }
    }
}</v>
      </c>
      <c r="M59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vovina.LogA.Ekb.Dto;
using vovina.LogA.Ekb.Exporting;
namespace vovina.LogA.Ekb
{
    [AbpAuthorize(AppPermissions.Pages_LogA_Ekb_ProgressDetails)]
    public class LgaEkbProgressDetailsAppService : vovinaAppServiceBase, ILgaEkbProgressDetailsAppService
    {
        private readonly IDapperRepository&lt;LgaEkbProgressDetails, long&gt; _dapperRepo;
        private readonly IRepository&lt;LgaEkbProgressDetails, long&gt; _repo;
        private readonly ILgaEkbProgressDetailsExcelExporter _calendarListExcelExporter;
        public LgaEkbProgressDetailsAppService(IRepository&lt;LgaEkbProgressDetails,long&gt; repo, 
                                         IDapperRepository&lt;LgaEkbProgressDetails,long&gt; dapperRepo,
                                        ILgaEkbProgressDetailsExcelExporter calendarListExcelExporter
            )
        {
            _repo = repo;
            _dapperRepo = dapperRepo;
            _calendarListExcelExporter = calendarListExcelExporter;
        }
        [AbpAuthorize(AppPermissions.Pages_LogA_Ekb_ProgressDetails_CreateEdit)]
        public async Task CreateOrEdit(CreateOrEditLgaEkbProgressDetailsDto input)
        {
            if (input.Id == null) await Create(input);
            else await Update(input);
        }
        //CREATE
        private async Task Create(CreateOrEditLgaEkbProgressDetailsDto input)
        {          
            var mainObj = ObjectMapper.Map&lt;LgaEkbProgressDetails&gt;(input);
            await CurrentUnitOfWork.GetDbContext&lt;vovinaDbContext&gt;().AddAsync(mainObj);
        }
        // EDIT
        private async Task Update(CreateOrEditLgaEkbProgressDetailsDto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[AbpAuthorize(AppPermissions.Pages_LogA_Ekb_ProgressDetails_Delete)]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Task&lt;PagedResultDto&lt;LgaEkbProgressDetailsDto&gt;&gt; GetAll(GetLgaEkbProgressDetailsInput input)
        {
            var filtered = _repo.GetAll()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.WhereIf(!string.IsNullOrWhiteSpace(input.PartNo), e =&gt; e.PartNo.Contains(input.PartNo))
				.WhereIf(!string.IsNullOrWhiteSpace(input.PartNoNormalized), e =&gt; e.PartNoNormalized.Contains(input.PartNoNormalized))
				.WhereIf(!string.IsNullOrWhiteSpace(input.BackNo), e =&gt; e.BackNo.Contains(input.BackNo))
				.WhereIf(!string.IsNullOrWhiteSpace(input.PcAddress), e =&gt; e.PcAddress.Contains(input.PcAddress))
				.WhereIf(!string.IsNullOrWhiteSpace(input.SpsAddress), e =&gt; e.SpsAddress.Contains(input.SpsAddress))
				.WhereIf(!string.IsNullOrWhiteSpace(input.BodyNo), e =&gt; e.BodyNo.Contains(input.BodyNo))
				.WhereIf(!string.IsNullOrWhiteSpace(input.LotNo), e =&gt; e.LotNo.Contains(input.LotNo))
				.WhereIf(!string.IsNullOrWhiteSpace(input.Grade), e =&gt; e.Grade.Contains(input.Grade))
				.WhereIf(!string.IsNullOrWhiteSpace(input.Model), e =&gt; e.Model.Contains(input.Model))
				.WhereIf(!string.IsNullOrWhiteSpace(input.BodyColor), e =&gt; e.BodyColor.Contains(input.BodyColor))
				.WhereIf(!string.IsNullOrWhiteSpace(input.IsZeroKb), e =&gt; e.IsZeroKb.Contains(input.IsZeroKb))
				.WhereIf(input.NewtaktDatetime.HasValue, t =&gt; t.NewtaktDatetime == input.NewtaktDatetime.Value)
				.WhereIf(input.PikStartDatetime.HasValue, t =&gt; t.PikStartDatetime == input.PikStartDatetime.Value)
				.WhereIf(input.PikFinishDatetime.HasValue, t =&gt; t.PikFinishDatetime == input.PikFinishDatetime.Value)
				.WhereIf(input.DelStartDatetime.HasValue, t =&gt; t.DelStartDatetime == input.DelStartDatetime.Value)
				.WhereIf(input.DelFinishDatetime.HasValue, t =&gt; t.DelFinishDatetime == input.DelFinishDatetime.Value)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LgaEkbProgressDetailsDto
                        {
							Id = o.Id,
							ProdLine = o.ProdLine,
							WorkingDate = o.WorkingDate,
							Shift = o.Shift,
							NoInShift = o.NoInShift,
							NoInDate = o.NoInDate,
							ProgressId = o.ProgressId,
							ProcessId = o.ProcessId,
							PartListId = o.PartListId,
							PartNo = o.PartNo,
							PartNoNormalized = o.PartNoNormalized,
							BackNo = o.BackNo,
							PcAddress = o.PcAddress,
							SpsAddress = o.SpsAddress,
							Sorting = o.Sorting,
							UsageQty = o.UsageQty,
							BodyNo = o.BodyNo,
							LotNo = o.LotNo,
							NoInLot = o.NoInLot,
							Grade = o.Grade,
							Model = o.Model,
							BodyColor = o.BodyColor,
							ScanQty = o.ScanQty,
							InputQty = o.InputQty,
							IsZeroKb = o.IsZeroKb,
							NewtaktDatetime = o.NewtaktDatetime,
							PikStartDatetime = o.PikStartDatetime,
							PikFinishDatetime = o.PikFinishDatetime,
							DelStartDatetime = o.DelStartDatetime,
							DelFinishDatetime = o.DelFinishDatetime,
							Status = o.Status,
							IsActive = o.IsActive,
                        };
            var totalCount = await filtered.CountAsync();
			var paged = system.PageBy(input);
            return new PagedResultDto&lt;LgaEkbProgressDetailsDto&gt;(
                totalCount,
                 await paged.ToListAsync()
            );
        }
        public async Task&lt;FileDto&gt; GetProgressDetailsToExcel(LgaEkbProgressDetailsExportInput input)
        {
            var query = from o in _repo.GetAll()
                        select new LgaEkbProgressDetailsDto
                        {
							Id = o.Id,
							ProdLine = o.ProdLine,
							WorkingDate = o.WorkingDate,
							Shift = o.Shift,
							NoInShift = o.NoInShift,
							NoInDate = o.NoInDate,
							ProgressId = o.ProgressId,
							ProcessId = o.ProcessId,
							PartListId = o.PartListId,
							PartNo = o.PartNo,
							PartNoNormalized = o.PartNoNormalized,
							BackNo = o.BackNo,
							PcAddress = o.PcAddress,
							SpsAddress = o.SpsAddress,
							Sorting = o.Sorting,
							UsageQty = o.UsageQty,
							BodyNo = o.BodyNo,
							LotNo = o.LotNo,
							NoInLot = o.NoInLot,
							Grade = o.Grade,
							Model = o.Model,
							BodyColor = o.BodyColor,
							ScanQty = o.ScanQty,
							InputQty = o.InputQty,
							IsZeroKb = o.IsZeroKb,
							NewtaktDatetime = o.NewtaktDatetime,
							PikStartDatetime = o.PikStartDatetime,
							PikFinishDatetime = o.PikFinishDatetime,
							DelStartDatetime = o.DelStartDatetime,
							DelFinishDatetime = o.DelFinishDatetime,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_dapperRepo.ExecuteAsync(LgaEkbProgressDetailsConsts.SP_MST_WPT_CALENDAR_GENERATE);
       // }
    }
}</v>
      </c>
      <c r="N59" s="62" t="str">
        <f>A.Backend!U7</f>
        <v xml:space="preserve">  configuration.CreateMap&lt;LgaEkbProgressDetailsDto, LgaEkbProgressDetails&gt;();
  configuration.CreateMap&lt;LgaEkbProgressDetails, LgaEkbProgressDetailsDto&gt;();
  configuration.CreateMap&lt;CreateOrEditLgaEkbProgressDetailsDto, LgaEkbProgressDetails&gt;();</v>
      </c>
    </row>
    <row r="60" spans="1:14" s="16" customFormat="1" ht="21.75" customHeight="1" x14ac:dyDescent="0.25">
      <c r="C60" s="65"/>
      <c r="D60" s="29"/>
      <c r="E60" s="29"/>
      <c r="F60" s="29"/>
      <c r="G60" s="29"/>
      <c r="H60" s="66"/>
      <c r="I60" s="67"/>
      <c r="J60" s="29"/>
      <c r="K60" s="29"/>
      <c r="M60" s="66"/>
    </row>
    <row r="61" spans="1:14" s="16" customFormat="1" ht="21.75" customHeight="1" x14ac:dyDescent="0.25">
      <c r="C61" s="29"/>
      <c r="D61" s="29"/>
      <c r="E61" s="29"/>
      <c r="F61" s="29"/>
      <c r="G61" s="29"/>
      <c r="H61" s="29"/>
      <c r="J61" s="29"/>
      <c r="K61" s="29"/>
      <c r="M61" s="29"/>
    </row>
    <row r="62" spans="1:14" s="16" customFormat="1" ht="21.75" customHeight="1" x14ac:dyDescent="0.25">
      <c r="C62" s="29"/>
      <c r="D62" s="29"/>
      <c r="E62" s="29"/>
      <c r="G62" s="29"/>
      <c r="H62" s="29"/>
    </row>
    <row r="63" spans="1:14" x14ac:dyDescent="0.25">
      <c r="B63" s="1" t="s">
        <v>73</v>
      </c>
    </row>
    <row r="64" spans="1:14" ht="21" x14ac:dyDescent="0.35">
      <c r="B64" t="str">
        <f>B.Frontend!B8</f>
        <v>progressdetails</v>
      </c>
      <c r="C64" s="72" t="str">
        <f>"create folder " &amp;B64</f>
        <v>create folder progressdetails</v>
      </c>
      <c r="D64" s="72"/>
      <c r="E64" s="72"/>
      <c r="F64" s="72"/>
      <c r="G64" s="72"/>
      <c r="H64" s="72"/>
      <c r="I64" s="72"/>
      <c r="J64" s="72"/>
      <c r="K64" s="73" t="s">
        <v>228</v>
      </c>
      <c r="L64" s="73"/>
      <c r="M64" s="31"/>
    </row>
    <row r="65" spans="2:13" s="28" customFormat="1" ht="18" customHeight="1" x14ac:dyDescent="0.25">
      <c r="B65" s="60" t="s">
        <v>229</v>
      </c>
      <c r="C65" s="31" t="str">
        <f>B.Frontend!H14</f>
        <v>progressdetails.component.ts</v>
      </c>
      <c r="D65" s="31" t="str">
        <f>B.Frontend!I14</f>
        <v>progressdetails.component.html</v>
      </c>
      <c r="E65" s="31" t="str">
        <f>B.Frontend!J14</f>
        <v>progressdetails.component.less</v>
      </c>
      <c r="F65" s="31" t="str">
        <f>B.Frontend!K14</f>
        <v>create-or-edit-progressdetails-modal.component.html</v>
      </c>
      <c r="G65" s="31" t="str">
        <f>B.Frontend!L14</f>
        <v>create-or-edit-progressdetails-modal.component.ts</v>
      </c>
      <c r="H65" s="31" t="str">
        <f>B.Frontend!M14</f>
        <v>create-or-edit-progressdetails-modal.component.less</v>
      </c>
      <c r="I65" s="31" t="str">
        <f>B.Frontend!N14</f>
        <v>progressdetails.module.ts</v>
      </c>
      <c r="J65" s="31" t="str">
        <f>B.Frontend!O14</f>
        <v>progressdetails-routing.module.ts</v>
      </c>
      <c r="K65" s="31" t="str">
        <f>B.Frontend!P14</f>
        <v>app.navigation.service.ts</v>
      </c>
      <c r="L65" s="31" t="str">
        <f>B.Frontend!Q14</f>
        <v>main.routing.module.ts</v>
      </c>
      <c r="M65" s="60" t="s">
        <v>232</v>
      </c>
    </row>
    <row r="66" spans="2:13" ht="21.75" customHeight="1" x14ac:dyDescent="0.25">
      <c r="B66" s="61" t="s">
        <v>226</v>
      </c>
      <c r="C66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LgaEkbProgressDetailsDto, LgaEkbProgressDetailsServiceProxy } from '@shared/service-proxies/service-proxies';
import { finalize } from 'rxjs/internal/operators/finalize';
import { CreateOrEditProgressDetailsModalComponent } from './create-or-edit-progressdetails-modal.component';
import { DatePipe } from '@angular/common';
import { FileDownloadService } from '@shared/utils/file-download.service';
import ceil from 'lodash-es/ceil';
import { Paginator } from 'primeng/paginator';
@Component({
    templateUrl: './progressdetails.component.html',
    styleUrls: ['./progressdetails.component.less'],
})
export class ProgressDetailsComponent extends AppComponentBase implements OnInit {
    @ViewChild('createOrEditModalProgressDetails', { static: true }) createOrEditModalProgressDetails:| CreateOrEditProgressDetailsModalComponent|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LgaEkbProgressDetailsDto = new LgaEkbProgressDetailsDto();
    saveSelectedRow: LgaEkbProgressDetailsDto = new LgaEkbProgressDetailsDto();
    datas: LgaEkbProgressDetailsDto = new LgaEkbProgressDetailsDto();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workingDate : any ;
	shift : string = '' ; 
	noInShift : number = 0 ;
	noInDate : number = 0 ;
	progressId
	processId
	partListId
	partNo : string = '' ; 
	partNoNormalized : string = '' ; 
	backNo : string = '' ; 
	pcAddress : string = '' ; 
	spsAddress : string = '' ; 
	sorting : number = 0 ;
	usageQty : number = 0 ;
	bodyNo : string = '' ; 
	lotNo : string = '' ; 
	noInLot : number = 0 ;
	grade : string = '' ; 
	model : string = '' ; 
	bodyColor : string = '' ; 
	scanQty : number = 0 ;
	inputQty : number = 0 ;
	isZeroKb : string = '' ; 
	newtaktDatetime : any ;
	pikStartDatetime : any ;
	pikFinishDatetime : any ;
	delStartDatetime : any ;
	delFinishDatetime : any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LgaEkbProgressDetailsServiceProxy,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this.l('No In Date'),headerTooltip: this.l('No In Date'),field: 'noInDate',flex: 1},
			{headerName: this.l('Progress Id'),headerTooltip: this.l('Progress Id'),field: 'progressId',flex: 1},
			{headerName: this.l('Process Id'),headerTooltip: this.l('Process Id'),field: 'processId',flex: 1},
			{headerName: this.l('Part List Id'),headerTooltip: this.l('Part List Id'),field: 'partListId',flex: 1},
			{headerName: this.l('Part No'),headerTooltip: this.l('Part No'),field: 'partNo',flex: 1},
			{headerName: this.l('Part No Normalized'),headerTooltip: this.l('Part No Normalized'),field: 'partNoNormalized',flex: 1},
			{headerName: this.l('Back No'),headerTooltip: this.l('Back No'),field: 'backNo',flex: 1},
			{headerName: this.l('Pc Address'),headerTooltip: this.l('Pc Address'),field: 'pcAddress',flex: 1},
			{headerName: this.l('Sps Address'),headerTooltip: this.l('Sps Address'),field: 'spsAddress',flex: 1},
			{headerName: this.l('Sorting'),headerTooltip: this.l('Sorting'),field: 'sorting',flex: 1},
			{headerName: this.l('Usage Qty'),headerTooltip: this.l('Usage Qty'),field: 'usageQty',flex: 1},
			{headerName: this.l('Body No'),headerTooltip: this.l('Body No'),field: 'bodyNo',flex: 1},
			{headerName: this.l('Lot No'),headerTooltip: this.l('Lot No'),field: 'lotNo',flex: 1},
			{headerName: this.l('No In Lot'),headerTooltip: this.l('No In Lot'),field: 'noInLot',flex: 1},
			{headerName: this.l('Grade'),headerTooltip: this.l('Grade'),field: 'grade',flex: 1},
			{headerName: this.l('Model'),headerTooltip: this.l('Model'),field: 'model',flex: 1},
			{headerName: this.l('Body Color'),headerTooltip: this.l('Body Color'),field: 'bodyColor',flex: 1},
			{headerName: this.l('Scan Qty'),headerTooltip: this.l('Scan Qty'),field: 'scanQty',flex: 1},
			{headerName: this.l('Input Qty'),headerTooltip: this.l('Input Qty'),field: 'inputQty',flex: 1},
			{headerName: this.l('Is Zero Kb'),headerTooltip: this.l('Is Zero Kb'),field:  'isZeroKb', cellClass: ['text-center'], width: 120, cellRenderer: 'agCellButtonComponent',
buttonDefTwo: { text: params =&gt; (params.data?.'isZeroKb' == 'Y') ? 'Active' : 'Inactive',iconName: 'fa fa-circle',className: params =&gt; (params.data?.'isZeroKb' == 'Y') ? 'btnActive' : 'btnInActive',},}
			{headerName: this.l('Newtakt Datetime'),headerTooltip: this.l('Newtakt Datetime'),field: 'newtaktDatetime',valueGetter: (params) =&gt; this.pipe.transform(params.data?.newtaktDatetime, 'dd/MM/yyyy'),flex: 1},
			{headerName: this.l('Pik Start Datetime'),headerTooltip: this.l('Pik Start Datetime'),field: 'pikStartDatetime',valueGetter: (params) =&gt; this.pipe.transform(params.data?.pikStartDatetime, 'dd/MM/yyyy'),flex: 1},
			{headerName: this.l('Pik Finish Datetime'),headerTooltip: this.l('Pik Finish Datetime'),field: 'pikFinishDatetime',valueGetter: (params) =&gt; this.pipe.transform(params.data?.pikFinishDatetime, 'dd/MM/yyyy'),flex: 1},
			{headerName: this.l('Del Start Datetime'),headerTooltip: this.l('Del Start Datetime'),field: 'delStartDatetime',valueGetter: (params) =&gt; this.pipe.transform(params.data?.delStartDatetime, 'dd/MM/yyyy'),flex: 1},
			{headerName: this.l('Del Finish Datetime'),headerTooltip: this.l('Del Finish Datetime'),field: 'delFinishDatetime',valueGetter: (params) =&gt; this.pipe.transform(params.data?.delFinishDatetime,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this.workingDate,
			this.shift,
			this.noInShift,
			this.noInDate,
			this.progressId,
			this.processId,
			this.partListId,
			this.partNo,
			this.partNoNormalized,
			this.backNo,
			this.pcAddress,
			this.spsAddress,
			this.sorting,
			this.usageQty,
			this.bodyNo,
			this.lotNo,
			this.noInLot,
			this.grade,
			this.model,
			this.bodyColor,
			this.scanQty,
			this.inputQty,
			this.isZeroKb,
			this.newtaktDatetime,
			this.pikStartDatetime,
			this.pikFinishDatetime,
			this.delStartDatetime,
			this.delFinishDatetime,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this.workingDate = '',
		this.shift = '',
		this.noInShift = 0,
		this.noInDate = 0,
		this.progressId = '',
		this.processId = '',
		this.partListId = '',
		this.partNo = '',
		this.partNoNormalized = '',
		this.backNo = '',
		this.pcAddress = '',
		this.spsAddress = '',
		this.sorting = 0,
		this.usageQty = 0,
		this.bodyNo = '',
		this.lotNo = '',
		this.noInLot = 0,
		this.grade = '',
		this.model = '',
		this.bodyColor = '',
		this.scanQty = 0,
		this.inputQty = 0,
		this.isZeroKb = '',
		this.newtaktDatetime = '',
		this.pikStartDatetime = '',
		this.pikFinishDatetime = '',
		this.delStartDatetime = '',
		this.delFinishDatetime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this.workingDate,
			this.shift,
			this.noInShift,
			this.noInDate,
			this.progressId,
			this.processId,
			this.partListId,
			this.partNo,
			this.partNoNormalized,
			this.backNo,
			this.pcAddress,
			this.spsAddress,
			this.sorting,
			this.usageQty,
			this.bodyNo,
			this.lotNo,
			this.noInLot,
			this.grade,
			this.model,
			this.bodyColor,
			this.scanQty,
			this.inputQty,
			this.isZeroKb,
			this.newtaktDatetime,
			this.pikStartDatetime,
			this.pikFinishDatetime,
			this.delStartDatetime,
			this.delFinishDatetime,
			this.status,
			this.isActive,
			'',
            this.paginationParams.skipCount,
            this.paginationParams.pageSize
        );
    }
    onChangeRowSelection(params: { api: { getSelectedRows: () =&gt; LgaEkbProgressDetailsDto[] } }) {
        this.saveSelectedRow = params.api.getSelectedRows()[0] ?? new LgaEkbProgressDetailsDto();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LgaEkbProgressDetailsDto):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this._service.getProgressDetailsToExcel(
			this.prodLine,
			this.workingDate,
			this.shift,
			this.noInShift,
			this.noInDate,
			this.progressId,
			this.processId,
			this.partListId,
			this.partNo,
			this.partNoNormalized,
			this.backNo,
			this.pcAddress,
			this.spsAddress,
			this.sorting,
			this.usageQty,
			this.bodyNo,
			this.lotNo,
			this.noInLot,
			this.grade,
			this.model,
			this.bodyColor,
			this.scanQty,
			this.inputQty,
			this.isZeroKb,
			this.newtaktDatetime,
			this.pikStartDatetime,
			this.pikFinishDatetime,
			this.delStartDatetime,
			this.delFinishDatetime,
			this.status,
			this.isActive,
            )
            .subscribe((result) =&gt; {
                this._fileDownloadService.downloadTempFile(result);
        });
    }
}</v>
      </c>
      <c r="D66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Ekanban Progress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[(ngModel)]='spsAddress' name='spsAddress'
									class='form-control' [placeholder]="l('Sps Address')"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[(ngModel)]='bodyColor' name='bodyColor'
									class='form-control' [placeholder]="l('Body Color')"
									type='text' (keyup.enter)='searchDatas()'&gt;
								&lt;/div&gt;
								&lt;div class='input-search'&gt;
									&lt;input [(ngModel)]='isZeroKb' name='isZeroKb'
									class='form-control' [placeholder]="l('Is Zero Kb')"
									type='text' (keyup.enter)='searchDatas()'&gt;
								&lt;/div&gt;
								&lt;div class='input-search'&gt;
									&lt;input type='text' [placeholder]="l('Newtakt Datetime')" [(ngModel)]='newtaktDatetime' 
									name='newtaktDatetime'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[placeholder]="l('Pik Start Datetime')" [(ngModel)]='pikStartDatetime' 
									name='pikStartDatetime'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[placeholder]="l('Pik Finish Datetime')" [(ngModel)]='pikFinishDatetime' 
									name='pikFinishDatetime'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[placeholder]="l('Del Start Datetime')" [(ngModel)]='delStartDatetime' 
									name='delStartDatetime'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[placeholder]="l('Del Finish Datetime')" [(ngModel)]='delFinishDatetime' 
									name='delFinishDatetime'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(click)="createOrEditModalProgressDetails.show()"&gt;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(click)="createOrEditModalProgressDetails.show(selectedRow)"&gt;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&lt;create-or-edit-progressdetails-modal
    #createOrEditModalProgressDetails
    (modalSave)="callBackDataGrid(dataParams)"
    (modalClose)="onChangeRowSelection(dataParams)"
&gt;
&lt;/create-or-edit-progressdetails-modal&gt;</v>
      </c>
      <c r="E66" s="49" t="str">
        <f>B.Frontend!J10</f>
        <v>.input-search{
    width: 250px;
    border-radius: 10px;
    margin-left: 10px;
}
.btn-search{
    width: 50px;
    margin-left: 10px;
}</v>
      </c>
      <c r="F66" s="49" t="str">
        <f ca="1">B.Frontend!K10</f>
        <v>&lt;div bsModal #createOrEditModalProgressDetails="bs-modal"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ProgressDetails')}}&lt;/h3&gt;
                    &lt;h3 *ngIf="!rowdata.id"&gt;{{('Create New ProgressDetails')}}&lt;/h3&gt;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title'&gt;No In Date&lt;/label&gt;
						&lt;input type='number' class='col-md-10 form-control input-text' name='NoInDate' [(ngModel)]='rowdata.noInDate'&gt;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title'&gt;Sps Address&lt;/label&gt;
						&lt;input type='text' class='col-md-10 form-control input-text' name='SpsAddress' [(ngModel)]='rowdata.spsAddress'&gt;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title'&gt;Usage Qty&lt;/label&gt;
						&lt;input type='number' class='col-md-10 form-control input-text' name='UsageQty' [(ngModel)]='rowdata.usageQty'&gt;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title'&gt;Body Color&lt;/label&gt;
						&lt;input type='text' class='col-md-10 form-control input-text' name='BodyColor' [(ngModel)]='rowdata.bodyColor'&gt;
					&lt;/div&gt;
					&lt;div class='col-md-12 form-group row'&gt;
						&lt;label class='col-md-2 form-control title'&gt;Scan Qty&lt;/label&gt;
						&lt;input type='number' class='col-md-10 form-control input-text' name='ScanQty' [(ngModel)]='rowdata.scanQty'&gt;
					&lt;/div&gt;
					&lt;div class='col-md-12 form-group row'&gt;
						&lt;label class='col-md-2 form-control title'&gt;Input Qty&lt;/label&gt;
						&lt;input type='number' class='col-md-10 form-control input-text' name='InputQty' [(ngModel)]='rowdata.inputQty'&gt;
					&lt;/div&gt;
					&lt;div class='col-md-12 form-group row'&gt;
						&lt;label class='col-md-2 form-control title'&gt;Is Zero Kb&lt;/label&gt;
						&lt;new-checkbox [(ngModel)]='_isZeroKb' name='isZeroKb' className='col-md-10' &gt; &lt;/new-checkbox&gt;
					&lt;/div&gt;
					&lt;div class='col-md-12 form-group row'&gt;
						&lt;label class='col-md-2 form-control title'&gt;Newtakt Datetime&lt;/label&gt;
						&lt;input type='text' class='col-md-10 form-control input-text' name='newtaktDatetime' 
						#datepicker='bsDatepicker' [(ngModel)]='rowdata.newtaktDatetime'  bsDatepicker &gt;
					&lt;/div&gt;
					&lt;div class='col-md-12 form-group row'&gt;
						&lt;label class='col-md-2 form-control title'&gt;Pik Start Datetime&lt;/label&gt;
						&lt;input type='text' class='col-md-10 form-control input-text' name='pikStartDatetime' 
						#datepicker='bsDatepicker' [(ngModel)]='rowdata.pikStartDatetime'  bsDatepicker &gt;
					&lt;/div&gt;
					&lt;div class='col-md-12 form-group row'&gt;
						&lt;label class='col-md-2 form-control title'&gt;Pik Finish Datetime&lt;/label&gt;
						&lt;input type='text' class='col-md-10 form-control input-text' name='pikFinishDatetime' 
						#datepicker='bsDatepicker' [(ngModel)]='rowdata.pikFinishDatetime'  bsDatepicker &gt;
					&lt;/div&gt;
					&lt;div class='col-md-12 form-group row'&gt;
						&lt;label class='col-md-2 form-control title'&gt;Del Start Datetime&lt;/label&gt;
						&lt;input type='text' class='col-md-10 form-control input-text' name='delStartDatetime' 
						#datepicker='bsDatepicker' [(ngModel)]='rowdata.delStartDatetime'  bsDatepicker &gt;
					&lt;/div&gt;
					&lt;div class='col-md-12 form-group row'&gt;
						&lt;label class='col-md-2 form-control title'&gt;Del Finish Datetime&lt;/label&gt;
						&lt;input type='text' class='col-md-10 form-control input-text' name='delFinishDatetime' 
						#datepicker='bsDatepicker' [(ngModel)]='rowdata.delFinishDatetime'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6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CreateOrEditLgaEkbProgressDetailsDto, LgaEkbProgressDetailsServiceProxy } from '@shared/service-proxies/service-proxies';
import { BsDatepickerDirective } from 'ngx-bootstrap/datepicker';
@Component({
    selector: 'create-or-edit-progressdetails-modal',
    templateUrl: './create-or-edit-progressdetails-modal.component.html',
    styleUrls: ['./create-or-edit-progressdetails-modal.component.less']
    })
export class CreateOrEditProgressDetailsModalComponent extends AppComponentBase {
    @ViewChild('createOrEditModalProgressDetails',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CreateOrEditLgaEkbProgressDetailsDto = new CreateOrEditLgaEkbProgressDetailsDto();
    active: boolean = false;
    saving: boolean = false;
    _isZeroKb
isActive: boolean;
    constructor(
        injector: Injector,
        private _mstwptProgressDetailsService: LgaEkbProgressDetailsServiceProxy,
    ) 
    {
        super(injector);
    }
    show(rowdata?: CreateOrEditLgaEkbProgressDetailsDto): void {
        if (!rowdata) this.rowdata = new CreateOrEditLgaEkbProgressDetailsDto();
        else this.rowdata = rowdata;
		const dateValue =  this.rowdata.workingDate ? new Date(this.rowdata.workingDate?.toString()) : new Date();
		this.datepicker?.bsValueChange.emit(dateValue);
		const dateValue =  this.rowdata.newtaktDatetime ? new Date(this.rowdata.newtaktDatetime?.toString()) : new Date();
		this.datepicker?.bsValueChange.emit(dateValue);
		const dateValue =  this.rowdata.pikStartDatetime ? new Date(this.rowdata.pikStartDatetime?.toString()) : new Date();
		this.datepicker?.bsValueChange.emit(dateValue);
		const dateValue =  this.rowdata.pikFinishDatetime ? new Date(this.rowdata.pikFinishDatetime?.toString()) : new Date();
		this.datepicker?.bsValueChange.emit(dateValue);
		const dateValue =  this.rowdata.delStartDatetime ? new Date(this.rowdata.delStartDatetime?.toString()) : new Date();
		this.datepicker?.bsValueChange.emit(dateValue);
		const dateValue =  this.rowdata.delFinishDatetime ? new Date(this.rowdata.delFinishDatetime?.toString()) : new Date();
		this.datepicker?.bsValueChange.emit(dateValue);
        this._isZeroKb
isActive = (this.rowdata.isZeroKb
isActive == "N")? false: true;
        this.active = true;
        this.modal.show();
    } 
    changeActive(event){
        this._isZeroKb
isActive = event.target.checked;
    }
    save(): void {
    this.saving = true; 
    this.rowdata.isZeroKb
isActive = (this._isZeroKb
isActive == true) ? 'Y' : 'N'
    this._mstwptProgressDetailsService.createOrEdit(this.rowdata)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6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6" s="49" t="str">
        <f>B.Frontend!N10</f>
        <v>import {NgModule} from '@angular/core';
import {AppSharedModule} from '@app/shared/app-shared.module';
import { ProgressDetailsRoutingModule } from './progressdetails-routing.module';
import { ProgressDetailsComponent } from './progressdetails.component';
import { CreateOrEditProgressDetailsModalComponent } from './create-or-edit-progressdetails-modal.component';
@NgModule({
    declarations: [
       ProgressDetailsComponent, 
        CreateOrEditProgressDetailsModalComponent
    ],
    imports: [
        AppSharedModule, ProgressDetailsRoutingModule]
})
export class ProgressDetailsModule {}</v>
      </c>
      <c r="J66" s="49" t="str">
        <f>B.Frontend!O10</f>
        <v>import {NgModule} from '@angular/core';
import {RouterModule, Routes} from '@angular/router';
import { ProgressDetailsComponent } from './progressdetails.component';
const routes: Routes = [{
    path: '',
    component: ProgressDetailsComponent,
    pathMatch: 'full'
}];
@NgModule({
    imports: [RouterModule.forChild(routes)],
    exports: [RouterModule],
})
export class ProgressDetailsRoutingModule {}</v>
      </c>
      <c r="K66" s="49" t="str">
        <f>B.Frontend!P10</f>
        <v xml:space="preserve"> new AppMenuItem("ProgressDetails", "Pages.LogA.Ekb.ProgressDetails", "flaticon-book",   "/app/main/loga/ekb/progressdetails"),</v>
      </c>
      <c r="L66" s="50" t="str">
        <f>B.Frontend!Q10</f>
        <v>{
    path: 'loga/ekb/progressdetails',
    loadChildren: () =&gt; import('./loga/ekb/progressdetails/progressdetails.module').then(m =&gt; m.ProgressDetailsModule),
    data: { permission: 'Pages.LogA.Ekb.ProgressDetails' }
},</v>
      </c>
      <c r="M66" s="48" t="str">
        <f>B.Frontend!R10</f>
        <v>ApiServiceProxies.LgaEkbProgressDetailsServiceProxy,</v>
      </c>
    </row>
    <row r="68" spans="2:13" x14ac:dyDescent="0.25">
      <c r="B68" s="1" t="s">
        <v>75</v>
      </c>
    </row>
  </sheetData>
  <mergeCells count="2">
    <mergeCell ref="C64:J64"/>
    <mergeCell ref="K64:L6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1"/>
  <sheetViews>
    <sheetView tabSelected="1" topLeftCell="A11" workbookViewId="0">
      <pane xSplit="1" topLeftCell="B1" activePane="topRight" state="frozen"/>
      <selection pane="topRight" activeCell="C30" sqref="C30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vovina.LogA.Ekb.Dto;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360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359</v>
      </c>
      <c r="C3" s="10" t="s">
        <v>43</v>
      </c>
      <c r="D3" s="10" t="s">
        <v>44</v>
      </c>
      <c r="E3" s="10" t="s">
        <v>39</v>
      </c>
      <c r="F3" s="11" t="str">
        <f>"J"&amp;COUNTA($A:$A)</f>
        <v>J39</v>
      </c>
      <c r="G3" s="4" t="s">
        <v>57</v>
      </c>
      <c r="H3" s="10" t="str">
        <f>"I"&amp;COUNTA($A:$A)</f>
        <v>I39</v>
      </c>
      <c r="I3" s="10" t="str">
        <f>REPT(CHAR(9),2)&amp;"[Required]"&amp;"
"</f>
        <v xml:space="preserve">		[Required]
</v>
      </c>
      <c r="J3" s="11" t="str">
        <f>"L"&amp;COUNTA($A:$A)</f>
        <v>L39</v>
      </c>
      <c r="K3" s="5" t="s">
        <v>56</v>
      </c>
      <c r="L3" s="11" t="str">
        <f>"M"&amp;COUNTA($A:$A)</f>
        <v>M39</v>
      </c>
      <c r="M3" s="11" t="str">
        <f>"N"&amp;COUNTA($A:$A)</f>
        <v>N39</v>
      </c>
      <c r="N3" s="11" t="str">
        <f>"O"&amp;COUNTA($A:$A)</f>
        <v>O39</v>
      </c>
      <c r="O3" s="11" t="str">
        <f>"P"&amp;COUNTA($A:$A)</f>
        <v>P39</v>
      </c>
      <c r="Q3" s="11" t="str">
        <f>RIGHT(B2,(LEN(B2)-FIND(".",B2,1)))</f>
        <v>Ekb</v>
      </c>
      <c r="R3" s="32" t="str">
        <f>REPT(CHAR(9),1)&amp;"public class "&amp;B3&amp;"ExportInput"&amp;C3</f>
        <v xml:space="preserve">	public class LgaEkbProgressDetailsExportInput{
</v>
      </c>
      <c r="S3" s="11" t="str">
        <f>"namespace "&amp;$B$6&amp;".Exporting
"&amp;$C$3</f>
        <v xml:space="preserve">namespace vovina.LogA.Ekb.Exporting
{
</v>
      </c>
      <c r="T3" s="11" t="str">
        <f>"T"&amp;COUNTA($A:$A)</f>
        <v>T39</v>
      </c>
      <c r="V3" s="11" t="str">
        <f>"V"&amp;COUNTA($A:$A)</f>
        <v>V39</v>
      </c>
      <c r="W3" s="10" t="str">
        <f>"W"&amp;COUNTA($A:$A)</f>
        <v>W39</v>
      </c>
    </row>
    <row r="4" spans="1:23" s="11" customFormat="1" ht="33" customHeight="1" x14ac:dyDescent="0.25">
      <c r="A4" s="1" t="s">
        <v>237</v>
      </c>
      <c r="B4" s="64" t="s">
        <v>307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331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vovina.LogA.Ekb</v>
      </c>
      <c r="C6" s="11" t="str">
        <f>"namespace "&amp;$B$6&amp;"
"&amp;$C$3</f>
        <v xml:space="preserve">namespace vovina.LogA.Ekb
{
</v>
      </c>
      <c r="D6" s="11" t="str">
        <f>REPT(CHAR(9),1)&amp;"public class "&amp;B3&amp;G3&amp;REPT(CHAR(9),1)&amp;"
"&amp;REPT(CHAR(9),1)&amp;C3</f>
        <v xml:space="preserve">	public class LgaEkbProgressDetails: FullAuditedEntity&lt;long&gt;, IEntity&lt;long&gt;	
	{
</v>
      </c>
      <c r="E6" s="11" t="str">
        <f>REPT(CHAR(9),1)&amp;"public class "&amp;B3&amp;"Consts"&amp;REPT(CHAR(9),1)&amp;"
"&amp;REPT(CHAR(9),1)&amp;C3</f>
        <v xml:space="preserve">	public class LgaEkbProgressDetailsConsts	
	{
</v>
      </c>
      <c r="F6" s="11" t="str">
        <f>REPT(CHAR(9),1)&amp;"public class "&amp;B3&amp;"Dto"&amp;K3&amp;REPT(CHAR(9),1)&amp;"
"&amp;REPT(CHAR(9),1)&amp;C3</f>
        <v xml:space="preserve">	public class LgaEkbProgressDetailsDto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CreateOrEditLgaEkbProgressDetailsDto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GetLgaEkbProgressDetailsInput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LgaEkbProgressDetails</v>
      </c>
      <c r="C7" s="11" t="str">
        <f>REPT(CHAR(9),1)&amp;"[Table("""&amp;B7&amp;""")]"&amp;"
"</f>
        <v xml:space="preserve">	[Table("LgaEkbProgressDetails")]
</v>
      </c>
      <c r="D7" s="11"/>
      <c r="E7" s="11"/>
      <c r="F7" s="11"/>
      <c r="G7" s="11"/>
      <c r="H7" s="11"/>
      <c r="I7" s="11"/>
      <c r="J7" s="6" t="str">
        <f ca="1">SUBSTITUTE(SUBSTITUTE((B1&amp;C6&amp;C7&amp;K41&amp;D6&amp;I41&amp;E3&amp;J41&amp;""&amp;REPT(CHAR(9),1)&amp;D3&amp;D3),"WorkingPattern",$Q$3),"Master",$B$4)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vovina.LogA.Ekb
{
	[Table("LgaEkbProgressDetails")]
	[Index(nameof(ProdLine), Name="IX_LgaEkbProgressDetails_ProdLine")]
	[Index(nameof(WorkingDate), Name="IX_LgaEkbProgressDetails_WorkingDate")]
	[Index(nameof(Shift), Name="IX_LgaEkbProgressDetails_Shift")]
	[Index(nameof(NoInShift), Name="IX_LgaEkbProgressDetails_NoInShift")]
	[Index(nameof(NoInDate), Name="IX_LgaEkbProgressDetails_NoInDate")]
	[Index(nameof(ProgressId), Name="IX_LgaEkbProgressDetails_ProgressId")]
	[Index(nameof(ProcessId), Name="IX_LgaEkbProgressDetails_ProcessId")]
	[Index(nameof(PartListId), Name="IX_LgaEkbProgressDetails_PartListId")]
	[Index(nameof(PartNo), Name="IX_LgaEkbProgressDetails_PartNo")]
	[Index(nameof(BackNo), Name="IX_LgaEkbProgressDetails_BackNo")]
	[Index(nameof(Sorting), Name="IX_LgaEkbProgressDetails_Sorting")]
	[Index(nameof(IsZeroKb), Name="IX_LgaEkbProgressDetails_IsZeroKb")]
	[Index(nameof(IsActive), Name="IX_LgaEkbProgressDetails_IsActive")]	public class LgaEkbProgressDetails: FullAuditedEntity&lt;long&gt;, IEntity&lt;long&gt;	
	{
		public const int MaxProdLineLength = 50;
		public const int MaxShiftLength = 50;
		public const int MaxPartNoLength = 50;
		public const int MaxPartNoNormalizedLength = 50;
		public const int MaxBackNoLength = 50;
		public const int MaxPcAddressLength = 200;
		public const int MaxSpsAddressLength = 200;
		public const int MaxBodyNoLength = 50;
		public const int MaxLotNoLength = 50;
		public const int MaxGradeLength = 50;
		public const int MaxModelLength = 50;
		public const int MaxBodyColorLength = 50;
		public const int MaxIsZeroKbLength = 1;
		public const int MaxStatusLength = 50;
		public const int MaxIsActiveLength = 1;
		[StringLength(MaxProdLineLength)]
		public virtual string ProdLine { get; set; }
		public virtual DateTime WorkingDate { get; set; }
		[StringLength(MaxShiftLength)]
		public virtual string Shift { get; set; }
		public virtual int NoInShift { get; set; }
		public virtual int NoInDate { get; set; }
		public virtual long ProgressId { get; set; }
		public virtual long ProcessId { get; set; }
		public virtual long PartListId { get; set; }
		[StringLength(MaxPartNoLength)]
		public virtual string PartNo { get; set; }
		[StringLength(MaxPartNoNormalizedLength)]
		public virtual string PartNoNormalized { get; set; }
		[StringLength(MaxBackNoLength)]
		public virtual string BackNo { get; set; }
		[StringLength(MaxPcAddressLength)]
		public virtual string PcAddress { get; set; }
		[StringLength(MaxSpsAddressLength)]
		public virtual string SpsAddress { get; set; }
		public virtual int Sorting { get; set; }
		public virtual int UsageQty { get; set; }
		[StringLength(MaxBodyNoLength)]
		public virtual string BodyNo { get; set; }
		[StringLength(MaxLotNoLength)]
		public virtual string LotNo { get; set; }
		public virtual int NoInLot { get; set; }
		[StringLength(MaxGradeLength)]
		public virtual string Grade { get; set; }
		[StringLength(MaxModelLength)]
		public virtual string Model { get; set; }
		[StringLength(MaxBodyColorLength)]
		public virtual string BodyColor { get; set; }
		public virtual int ScanQty { get; set; }
		public virtual int InputQty { get; set; }
		[StringLength(MaxIsZeroKbLength)]
		public virtual string IsZeroKb { get; set; }
		[Column(TypeName="datetime2(7)")]
		public virtual DateTime NewtaktDatetime { get; set; }
		[Column(TypeName="datetime2(7)")]
		public virtual DateTime PikStartDatetime { get; set; }
		[Column(TypeName="datetime2(7)")]
		public virtual DateTime PikFinishDatetime { get; set; }
		[Column(TypeName="datetime2(7)")]
		public virtual DateTime DelStartDatetime { get; set; }
		[Column(TypeName="datetime2(7)")]
		public virtual DateTime DelFinishDatetime { get; set; }
		[StringLength(MaxStatusLength)]
		public virtual string 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DbSet&lt;LgaEkbProgressDetails&gt; LgaEkbProgressDetailss { get; set; }</v>
      </c>
      <c r="L7" t="str">
        <f ca="1">SUBSTITUTE(SUBSTITUTE((C6&amp;E6&amp;I41&amp;"
"&amp;REPT(CHAR(9),2)&amp;"// Define Store Name: Format SP_ + &lt;Store Name&gt; = &lt;Store Name&gt;
"&amp;E3&amp;REPT(CHAR(9),1)&amp;D3&amp;D3),"WorkingPattern",$Q$3),"Master",$B$4)</f>
        <v xml:space="preserve">namespace vovina.LogA.Ekb
{
	public class LgaEkbProgressDetailsConsts	
	{
		public const int MaxProdLineLength = 50;
		public const int MaxShiftLength = 50;
		public const int MaxPartNoLength = 50;
		public const int MaxPartNoNormalizedLength = 50;
		public const int MaxBackNoLength = 50;
		public const int MaxPcAddressLength = 200;
		public const int MaxSpsAddressLength = 200;
		public const int MaxBodyNoLength = 50;
		public const int MaxLotNoLength = 50;
		public const int MaxGradeLength = 50;
		public const int MaxModelLength = 50;
		public const int MaxBodyColorLength = 50;
		public const int MaxIsZeroKbLength = 1;
		public const int MaxStatusLength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"&amp;B6&amp;".Dto"&amp;E3&amp;C3&amp;F6&amp;M41&amp;E3&amp;REPT(CHAR(9),1)&amp;D3&amp;G6&amp;N41&amp;REPT(CHAR(9),1)&amp;D3&amp;H6&amp;O41&amp;"
"&amp;REPT(CHAR(9),1)&amp;D3&amp;D3),"WorkingPattern",$Q$3),"Master",$B$4)</f>
        <v xml:space="preserve">using Abp.Application.Services.Dto;
using System;
using System.ComponentModel.DataAnnotations;
namespace vovina.LogA.Ekb.Dto
{
	public class LgaEkbProgressDetailsDto : EntityDto&lt;long?&gt;	
	{
		public virtual string ProdLine { get; set; }
		public virtual DateTime? WorkingDate { get; set; }
		public virtual string Shift { get; set; }
		public virtual int NoInShift { get; set; }
		public virtual int NoInDate { get; set; }
		public virtual long ProgressId { get; set; }
		public virtual long ProcessId { get; set; }
		public virtual long PartListId { get; set; }
		public virtual string PartNo { get; set; }
		public virtual string PartNoNormalized { get; set; }
		public virtual string BackNo { get; set; }
		public virtual string PcAddress { get; set; }
		public virtual string SpsAddress { get; set; }
		public virtual int Sorting { get; set; }
		public virtual int UsageQty { get; set; }
		public virtual string BodyNo { get; set; }
		public virtual string LotNo { get; set; }
		public virtual int NoInLot { get; set; }
		public virtual string Grade { get; set; }
		public virtual string Model { get; set; }
		public virtual string BodyColor { get; set; }
		public virtual int ScanQty { get; set; }
		public virtual int InputQty { get; set; }
		public virtual string IsZeroKb { get; set; }
		public virtual DateTime? NewtaktDatetime { get; set; }
		public virtual DateTime? PikStartDatetime { get; set; }
		public virtual DateTime? PikFinishDatetime { get; set; }
		public virtual DateTime? DelStartDatetime { get; set; }
		public virtual DateTime? DelFinishDatetime { get; set; }
		public virtual string Status { get; set; }
		public virtual string IsActive { get; set; }
	}
	public class CreateOrEditLgaEkbProgressDetailsDto : EntityDto&lt;long?&gt;	
	{
		[StringLength(LgaEkbProgressDetailsConsts.MaxProdLineLength)]
		public virtual string ProdLine { get; set; }
		public virtual DateTime? WorkingDate { get; set; }
		[StringLength(LgaEkbProgressDetailsConsts.MaxShiftLength)]
		public virtual string Shift { get; set; }
		public virtual int NoInShift { get; set; }
		public virtual int NoInDate { get; set; }
		public virtual long ProgressId { get; set; }
		public virtual long ProcessId { get; set; }
		public virtual long PartListId { get; set; }
		[StringLength(LgaEkbProgressDetailsConsts.MaxPartNoLength)]
		public virtual string PartNo { get; set; }
		[StringLength(LgaEkbProgressDetailsConsts.MaxPartNoNormalizedLength)]
		public virtual string PartNoNormalized { get; set; }
		[StringLength(LgaEkbProgressDetailsConsts.MaxBackNoLength)]
		public virtual string BackNo { get; set; }
		[StringLength(LgaEkbProgressDetailsConsts.MaxPcAddressLength)]
		public virtual string PcAddress { get; set; }
		[StringLength(LgaEkbProgressDetailsConsts.MaxSpsAddressLength)]
		public virtual string SpsAddress { get; set; }
		public virtual int Sorting { get; set; }
		public virtual int UsageQty { get; set; }
		[StringLength(LgaEkbProgressDetailsConsts.MaxBodyNoLength)]
		public virtual string BodyNo { get; set; }
		[StringLength(LgaEkbProgressDetailsConsts.MaxLotNoLength)]
		public virtual string LotNo { get; set; }
		public virtual int NoInLot { get; set; }
		[StringLength(LgaEkbProgressDetailsConsts.MaxGradeLength)]
		public virtual string Grade { get; set; }
		[StringLength(LgaEkbProgressDetailsConsts.MaxModelLength)]
		public virtual string Model { get; set; }
		[StringLength(LgaEkbProgressDetailsConsts.MaxBodyColorLength)]
		public virtual string BodyColor { get; set; }
		public virtual int ScanQty { get; set; }
		public virtual int InputQty { get; set; }
		[StringLength(LgaEkbProgressDetailsConsts.MaxIsZeroKbLength)]
		public virtual string IsZeroKb { get; set; }
		public virtual DateTime? NewtaktDatetime { get; set; }
		public virtual DateTime? PikStartDatetime { get; set; }
		public virtual DateTime? PikFinishDatetime { get; set; }
		public virtual DateTime? DelStartDatetime { get; set; }
		public virtual DateTime? DelFinishDatetime { get; set; }
		[StringLength(LgaEkbProgressDetailsConsts.MaxStatusLength)]
		public virtual string Status { get; set; }
		[StringLength(LgaEkbProgressDetailsConsts.MaxIsActiveLength)]
		public virtual string IsActive { get; set; }
	}
	public class GetLgaEkbProgressDetailsInput : PagedAndSortedResultRequestDto	
	{
		public virtual string ProdLine { get; set; }
		public virtual DateTime? WorkingDate { get; set; }
		public virtual string Shift { get; set; }
		public virtual int NoInShift { get; set; }
		public virtual int NoInDate { get; set; }
		public virtual string PartNo { get; set; }
		public virtual string PartNoNormalized { get; set; }
		public virtual string BackNo { get; set; }
		public virtual string PcAddress { get; set; }
		public virtual string SpsAddress { get; set; }
		public virtual int Sorting { get; set; }
		public virtual int UsageQty { get; set; }
		public virtual string BodyNo { get; set; }
		public virtual string LotNo { get; set; }
		public virtual int NoInLot { get; set; }
		public virtual string Grade { get; set; }
		public virtual string Model { get; set; }
		public virtual string BodyColor { get; set; }
		public virtual int ScanQty { get; set; }
		public virtual int InputQty { get; set; }
		public virtual string IsZeroKb { get; set; }
		public virtual DateTime? NewtaktDatetime { get; set; }
		public virtual DateTime? PikStartDatetime { get; set; }
		public virtual DateTime? PikFinishDatetime { get; set; }
		public virtual DateTime? DelStartDatetime { get; set; }
		public virtual DateTime? DelFinishDatetime { get; set; }
		public virtual string 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perLgaEkbProgressDetails = PARENTS.CreateChildPermission(AppPermissions.Pages_LogA_Ekb_ProgressDetails, L( "LogAEkbProgressDetails"), multiTenancySides: MultiTenancySides.Tenant);
		perLgaEkbProgressDetails.CreateChildPermission(AppPermissions.Pages_LogA_Ekb_ProgressDetails_CreateEdit, L( "LogAEkbProgressDetailsCreateEdit"), multiTenancySides: MultiTenancySides.Tenant);
		perLgaEkbProgressDetails.CreateChildPermission(AppPermissions.Pages_LogA_Ekb_ProgressDetails_Delete, L( "LogAEkbProgressDetailsDelete"),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Pages_LogA_Ekb_ProgressDetails = "Pages.LogA.Ekb.ProgressDetails";
		public const string Pages_LogA_Ekb_ProgressDetails_CreateEdit = "Pages.LogA.Ekb.ProgressDetails.CreateEdit";
		public const string Pages_LogA_Ekb_ProgressDetails_Delete = "Pages.LogA.Ekb.ProgressDetails.Delete";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vovina.LogA.Ekb.Dto;
namespace vovina.LogA.Ekb
{
	public interface ILgaEkbProgressDetailsAppService : IApplicationService
	{
		Task&lt;PagedResultDto&lt;LgaEkbProgressDetailsDto&gt;&gt; GetAll(GetLgaEkbProgressDetailsInput input);
		Task CreateOrEdit(CreateOrEditLgaEkbProgressDetailsDto input);
		Task Delete(EntityDto input);
	}
}
</v>
      </c>
      <c r="Q7" t="str">
        <f ca="1">SUBSTITUTE(SUBSTITUTE(SUBSTITUTE(SUBSTITUTE(SUBSTITUTE(SUBSTITUTE(E1,"MstWptCalendar",$B$3),"&lt;PROPERTIES&gt;",P41),"Calendar",$B$5),"WorkingPattern",$Q$3),"Master",$B$4),"&lt;PARAMS_SEARCH&gt;",$W$41)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vovina.LogA.Ekb.Dto;
using vovina.LogA.Ekb.Exporting;
namespace vovina.LogA.Ekb
{
    [AbpAuthorize(AppPermissions.Pages_LogA_Ekb_ProgressDetails)]
    public class LgaEkbProgressDetailsAppService : vovinaAppServiceBase, ILgaEkbProgressDetailsAppService
    {
        private readonly IDapperRepository&lt;LgaEkbProgressDetails, long&gt; _dapperRepo;
        private readonly IRepository&lt;LgaEkbProgressDetails, long&gt; _repo;
        private readonly ILgaEkbProgressDetailsExcelExporter _calendarListExcelExporter;
        public LgaEkbProgressDetailsAppService(IRepository&lt;LgaEkbProgressDetails,long&gt; repo, 
                                         IDapperRepository&lt;LgaEkbProgressDetails,long&gt; dapperRepo,
                                        ILgaEkbProgressDetailsExcelExporter calendarListExcelExporter
            )
        {
            _repo = repo;
            _dapperRepo = dapperRepo;
            _calendarListExcelExporter = calendarListExcelExporter;
        }
        [AbpAuthorize(AppPermissions.Pages_LogA_Ekb_ProgressDetails_CreateEdit)]
        public async Task CreateOrEdit(CreateOrEditLgaEkbProgressDetailsDto input)
        {
            if (input.Id == null) await Create(input);
            else await Update(input);
        }
        //CREATE
        private async Task Create(CreateOrEditLgaEkbProgressDetailsDto input)
        {          
            var mainObj = ObjectMapper.Map&lt;LgaEkbProgressDetails&gt;(input);
            await CurrentUnitOfWork.GetDbContext&lt;vovinaDbContext&gt;().AddAsync(mainObj);
        }
        // EDIT
        private async Task Update(CreateOrEditLgaEkbProgressDetailsDto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[AbpAuthorize(AppPermissions.Pages_LogA_Ekb_ProgressDetails_Delete)]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Task&lt;PagedResultDto&lt;LgaEkbProgressDetailsDto&gt;&gt; GetAll(GetLgaEkbProgressDetailsInput input)
        {
            var filtered = _repo.GetAll()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.WhereIf(!string.IsNullOrWhiteSpace(input.PartNo), e =&gt; e.PartNo.Contains(input.PartNo))
				.WhereIf(!string.IsNullOrWhiteSpace(input.PartNoNormalized), e =&gt; e.PartNoNormalized.Contains(input.PartNoNormalized))
				.WhereIf(!string.IsNullOrWhiteSpace(input.BackNo), e =&gt; e.BackNo.Contains(input.BackNo))
				.WhereIf(!string.IsNullOrWhiteSpace(input.PcAddress), e =&gt; e.PcAddress.Contains(input.PcAddress))
				.WhereIf(!string.IsNullOrWhiteSpace(input.SpsAddress), e =&gt; e.SpsAddress.Contains(input.SpsAddress))
				.WhereIf(!string.IsNullOrWhiteSpace(input.BodyNo), e =&gt; e.BodyNo.Contains(input.BodyNo))
				.WhereIf(!string.IsNullOrWhiteSpace(input.LotNo), e =&gt; e.LotNo.Contains(input.LotNo))
				.WhereIf(!string.IsNullOrWhiteSpace(input.Grade), e =&gt; e.Grade.Contains(input.Grade))
				.WhereIf(!string.IsNullOrWhiteSpace(input.Model), e =&gt; e.Model.Contains(input.Model))
				.WhereIf(!string.IsNullOrWhiteSpace(input.BodyColor), e =&gt; e.BodyColor.Contains(input.BodyColor))
				.WhereIf(!string.IsNullOrWhiteSpace(input.IsZeroKb), e =&gt; e.IsZeroKb.Contains(input.IsZeroKb))
				.WhereIf(input.NewtaktDatetime.HasValue, t =&gt; t.NewtaktDatetime == input.NewtaktDatetime.Value)
				.WhereIf(input.PikStartDatetime.HasValue, t =&gt; t.PikStartDatetime == input.PikStartDatetime.Value)
				.WhereIf(input.PikFinishDatetime.HasValue, t =&gt; t.PikFinishDatetime == input.PikFinishDatetime.Value)
				.WhereIf(input.DelStartDatetime.HasValue, t =&gt; t.DelStartDatetime == input.DelStartDatetime.Value)
				.WhereIf(input.DelFinishDatetime.HasValue, t =&gt; t.DelFinishDatetime == input.DelFinishDatetime.Value)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LgaEkbProgressDetailsDto
                        {
							Id = o.Id,
							ProdLine = o.ProdLine,
							WorkingDate = o.WorkingDate,
							Shift = o.Shift,
							NoInShift = o.NoInShift,
							NoInDate = o.NoInDate,
							ProgressId = o.ProgressId,
							ProcessId = o.ProcessId,
							PartListId = o.PartListId,
							PartNo = o.PartNo,
							PartNoNormalized = o.PartNoNormalized,
							BackNo = o.BackNo,
							PcAddress = o.PcAddress,
							SpsAddress = o.SpsAddress,
							Sorting = o.Sorting,
							UsageQty = o.UsageQty,
							BodyNo = o.BodyNo,
							LotNo = o.LotNo,
							NoInLot = o.NoInLot,
							Grade = o.Grade,
							Model = o.Model,
							BodyColor = o.BodyColor,
							ScanQty = o.ScanQty,
							InputQty = o.InputQty,
							IsZeroKb = o.IsZeroKb,
							NewtaktDatetime = o.NewtaktDatetime,
							PikStartDatetime = o.PikStartDatetime,
							PikFinishDatetime = o.PikFinishDatetime,
							DelStartDatetime = o.DelStartDatetime,
							DelFinishDatetime = o.DelFinishDatetime,
							Status = o.Status,
							IsActive = o.IsActive,
                        };
            var totalCount = await filtered.CountAsync();
			var paged = system.PageBy(input);
            return new PagedResultDto&lt;LgaEkbProgressDetailsDto&gt;(
                totalCount,
                 await paged.ToListAsync()
            );
        }
        public async Task&lt;FileDto&gt; GetProgressDetailsToExcel(LgaEkbProgressDetailsExportInput input)
        {
            var query = from o in _repo.GetAll()
                        select new LgaEkbProgressDetailsDto
                        {
							Id = o.Id,
							ProdLine = o.ProdLine,
							WorkingDate = o.WorkingDate,
							Shift = o.Shift,
							NoInShift = o.NoInShift,
							NoInDate = o.NoInDate,
							ProgressId = o.ProgressId,
							ProcessId = o.ProcessId,
							PartListId = o.PartListId,
							PartNo = o.PartNo,
							PartNoNormalized = o.PartNoNormalized,
							BackNo = o.BackNo,
							PcAddress = o.PcAddress,
							SpsAddress = o.SpsAddress,
							Sorting = o.Sorting,
							UsageQty = o.UsageQty,
							BodyNo = o.BodyNo,
							LotNo = o.LotNo,
							NoInLot = o.NoInLot,
							Grade = o.Grade,
							Model = o.Model,
							BodyColor = o.BodyColor,
							ScanQty = o.ScanQty,
							InputQty = o.InputQty,
							IsZeroKb = o.IsZeroKb,
							NewtaktDatetime = o.NewtaktDatetime,
							PikStartDatetime = o.PikStartDatetime,
							PikFinishDatetime = o.PikFinishDatetime,
							DelStartDatetime = o.DelStartDatetime,
							DelFinishDatetime = o.DelFinishDatetime,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_dapperRepo.ExecuteAsync(LgaEkbProgressDetailsConsts.SP_MST_WPT_CALENDAR_GENERATE);
       // }
    }
}</v>
      </c>
      <c r="R7" t="str">
        <f ca="1">SUBSTITUTE(SUBSTITUTE((C1&amp;"namespace "&amp;B6&amp;".Dto"&amp;E3&amp;C3&amp;R3&amp;M41&amp;E3&amp;REPT(CHAR(9),1)&amp;D3&amp;D3),"WorkingPattern",$Q$3),"Master",$B$4)</f>
        <v xml:space="preserve">using Abp.Application.Services.Dto;
using System;
using System.ComponentModel.DataAnnotations;
namespace vovina.LogA.Ekb.Dto
{
	public class LgaEkbProgressDetailsExportInput{
		public virtual string ProdLine { get; set; }
		public virtual DateTime? WorkingDate { get; set; }
		public virtual string Shift { get; set; }
		public virtual int NoInShift { get; set; }
		public virtual int NoInDate { get; set; }
		public virtual long ProgressId { get; set; }
		public virtual long ProcessId { get; set; }
		public virtual long PartListId { get; set; }
		public virtual string PartNo { get; set; }
		public virtual string PartNoNormalized { get; set; }
		public virtual string BackNo { get; set; }
		public virtual string PcAddress { get; set; }
		public virtual string SpsAddress { get; set; }
		public virtual int Sorting { get; set; }
		public virtual int UsageQty { get; set; }
		public virtual string BodyNo { get; set; }
		public virtual string LotNo { get; set; }
		public virtual int NoInLot { get; set; }
		public virtual string Grade { get; set; }
		public virtual string Model { get; set; }
		public virtual string BodyColor { get; set; }
		public virtual int ScanQty { get; set; }
		public virtual int InputQty { get; set; }
		public virtual string IsZeroKb { get; set; }
		public virtual DateTime? NewtaktDatetime { get; set; }
		public virtual DateTime? PikStartDatetime { get; set; }
		public virtual DateTime? PikFinishDatetime { get; set; }
		public virtual DateTime? DelStartDatetime { get; set; }
		public virtual DateTime? DelFinishDatetime { get; set; }
		public virtual string 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vovina.LogA.Ekb.Dto;
namespace vovina.LogA.Ekb.Exporting
{
	public interface ILgaEkbProgressDetailsExcelExporter : IApplicationService
	{
		FileDto ExportToFile(List&lt;LgaEkbProgressDetailsDto&gt; lgaekbprogressdetails);
	}
}
</v>
      </c>
      <c r="T7" s="28" t="str">
        <f ca="1">SUBSTITUTE(SUBSTITUTE(SUBSTITUTE(SUBSTITUTE(SUBSTITUTE(SUBSTITUTE(SUBSTITUTE(T1,"MstWptCalendar",$B$3),"&lt;PROPERTIES1&gt;",V41),"&lt;PROPERTIES&gt;",T41),"Calendar",$B$5),"calendar",LOWER(B5)),"WorkingPattern",$Q$3),"Master",$B$4)</f>
        <v>using System.Collections.Generic;
using vovina.DataExporting.Excel.NPOI;
using vovina.Dto;
using vovina.LogA.Ekb.Exporting;
using vovina.LogA.Ekb.Dto;
using vovina.Storage;
using vovina.LogA.Ekb.Dto;
namespace vovina.LogA.Ekb.Exporting
{
    public class LgaEkbProgressDetailsExcelExporter : NpoiExcelExporterBase, ILgaEkbProgressDetailsExcelExporter
    {
        public LgaEkbProgressDetailsExcelExporter(ITempFileCacheManager tempFileCacheManager) : base(tempFileCacheManager) { }
        public FileDto ExportToFile(List&lt;LgaEkbProgressDetailsDto&gt; progressdetails)
        {
            return CreateExcelPackage(
				"LogAEkbProgressDetails.xlsx",
				excelPackage =&gt;
				 {
					var sheet = excelPackage.CreateSheet("ProgressDetails");
					AddHeader(
								sheet,
								("ProdLine"),
								("WorkingDate"),
								("Shift"),
								("NoInShift"),
								("NoInDate"),
								("ProgressId"),
								("ProcessId"),
								("PartListId"),
								("PartNo"),
								("PartNoNormalized"),
								("BackNo"),
								("PcAddress"),
								("SpsAddress"),
								("Sorting"),
								("UsageQty"),
								("BodyNo"),
								("LotNo"),
								("NoInLot"),
								("Grade"),
								("Model"),
								("BodyColor"),
								("ScanQty"),
								("InputQty"),
								("IsZeroKb"),
								("NewtaktDatetime"),
								("PikStartDatetime"),
								("PikFinishDatetime"),
								("DelStartDatetime"),
								("DelFinishDatetime"),
								("Status"),
								("IsActive"),
							   );
					AddObjects(
						 sheet, 1, progressdetails,                                       
								_ =&gt; _.ProdLine,
								_ =&gt; _.WorkingDate,
								_ =&gt; _.Shift,
								_ =&gt; _.NoInShift,
								_ =&gt; _.NoInDate,
								_ =&gt; _.ProgressId,
								_ =&gt; _.ProcessId,
								_ =&gt; _.PartListId,
								_ =&gt; _.PartNo,
								_ =&gt; _.PartNoNormalized,
								_ =&gt; _.BackNo,
								_ =&gt; _.PcAddress,
								_ =&gt; _.SpsAddress,
								_ =&gt; _.Sorting,
								_ =&gt; _.UsageQty,
								_ =&gt; _.BodyNo,
								_ =&gt; _.LotNo,
								_ =&gt; _.NoInLot,
								_ =&gt; _.Grade,
								_ =&gt; _.Model,
								_ =&gt; _.BodyColor,
								_ =&gt; _.ScanQty,
								_ =&gt; _.InputQty,
								_ =&gt; _.IsZeroKb,
								_ =&gt; _.NewtaktDatetime,
								_ =&gt; _.PikStartDatetime,
								_ =&gt; _.PikFinishDatetime,
								_ =&gt; _.DelStartDatetime,
								_ =&gt; _.DelFinishDatetime,
								_ =&gt; _.Status,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configuration.CreateMap&lt;LgaEkbProgressDetailsDto, LgaEkbProgressDetails&gt;();
  configuration.CreateMap&lt;LgaEkbProgressDetails, LgaEkbProgressDetailsDto&gt;();
  configuration.CreateMap&lt;CreateOrEditLgaEkbProgressDetailsDto, LgaEkbProgressDetails&gt;();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322</v>
      </c>
      <c r="B9" t="s">
        <v>321</v>
      </c>
      <c r="C9" t="s">
        <v>1</v>
      </c>
      <c r="D9" t="str">
        <f t="shared" ref="D9" si="0">SUBSTITUTE(PROPER(A9),"_","")</f>
        <v>ProdLine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MaxProdLineLength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[StringLength(MaxProdLineLength)]
		public virtual string ProdLine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[Index(nameof(ProdLine), Name="IX_LgaEkbProgressDetails_ProdLine")]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ProdLine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[StringLength(LgaEkbProgressDetailsConsts.MaxProdLineLength)]
		public virtual string ProdLine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ProdLine { get; set; }
</v>
      </c>
      <c r="P9" t="str">
        <f t="shared" ref="P9" si="9">REPT(CHAR(9),7)&amp;D9&amp;" = o." &amp;D9 &amp;","</f>
        <v xml:space="preserve">							ProdLine = o.ProdLine,</v>
      </c>
      <c r="T9" s="69" t="str">
        <f t="shared" ref="T9" si="10">REPT(CHAR(9),8)&amp;"("""&amp;D9&amp;"""),"</f>
        <v xml:space="preserve">								("ProdLine"),</v>
      </c>
      <c r="V9" s="70" t="str">
        <f t="shared" ref="V9" si="11">REPT(CHAR(9),8)&amp;"_ =&gt; _."&amp;D9&amp;","</f>
        <v xml:space="preserve">								_ =&gt; _.ProdLine,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.WhereIf(!string.IsNullOrWhiteSpace(input.ProdLine), e =&gt; e.ProdLine.Contains(input.ProdLine))</v>
      </c>
    </row>
    <row r="10" spans="1:23" customFormat="1" ht="22.5" customHeight="1" x14ac:dyDescent="0.25">
      <c r="A10" t="s">
        <v>325</v>
      </c>
      <c r="B10" t="s">
        <v>2</v>
      </c>
      <c r="C10" t="s">
        <v>1</v>
      </c>
      <c r="D10" t="str">
        <f>SUBSTITUTE(PROPER(A10),"_","")</f>
        <v>WorkingDate</v>
      </c>
      <c r="E10" t="str">
        <f t="shared" ref="E10:E39" si="13">IFERROR(LEFT(B10, FIND("(",B10)-1),B10)</f>
        <v>date</v>
      </c>
      <c r="F10" s="7"/>
      <c r="G10" t="str">
        <f t="shared" ref="G10:G39" si="14">IFERROR(MID(B10,FIND("(",B10) +1, FIND(")",B10) - FIND("(",B10) - 1),"")</f>
        <v/>
      </c>
      <c r="H10" t="str">
        <f>+VLOOKUP(E10,'Data Type Mapping'!A:B,2,)</f>
        <v>DateTime</v>
      </c>
      <c r="I10" t="str">
        <f t="shared" ref="I10:I39" si="15">IF(H10="string",REPT(CHAR(9),2)&amp;"public const int Max"&amp;D10&amp;"Length = "&amp;G10&amp;";"&amp;$E$3,"" )</f>
        <v/>
      </c>
      <c r="J10" t="str">
        <f t="shared" ref="J10:J39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DateTime WorkingDate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[Index(nameof(WorkingDate), Name="IX_LgaEkbProgressDetails_WorkingDate")]</v>
      </c>
      <c r="M10" t="str">
        <f t="shared" ref="M10:M39" si="17">REPT(CHAR(9),2)&amp;"public virtual "&amp;IF(OR(H10="DateTime",H10="TimeSpan"),H10&amp;"?",H10)&amp;IF(C10="?","? "," ")&amp;D10&amp;" { get; set; }" &amp; "
"</f>
        <v xml:space="preserve">		public virtual DateTime? WorkingDate { get; set; }
</v>
      </c>
      <c r="N10" t="str">
        <f t="shared" ref="N10:N39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DateTime? WorkingDate { get; set; }
</v>
      </c>
      <c r="O10" t="str">
        <f t="shared" ref="O10:O39" si="19">IF(OR(H10="string",H10="DateTime",H10="int"),REPT(CHAR(9),2)&amp;"public virtual "&amp;IF(OR(H10="DateTime",H10="TimeSpan"),H10&amp;"?",H10)&amp;IF(C10="?","? "," ")&amp;D10&amp;" { get; set; }"&amp;$E$3,"")</f>
        <v xml:space="preserve">		public virtual DateTime? WorkingDate { get; set; }
</v>
      </c>
      <c r="P10" t="str">
        <f t="shared" ref="P10:P39" si="20">REPT(CHAR(9),7)&amp;D10&amp;" = o." &amp;D10 &amp;","</f>
        <v xml:space="preserve">							WorkingDate = o.WorkingDate,</v>
      </c>
      <c r="T10" s="69" t="str">
        <f t="shared" ref="T10:T39" si="21">REPT(CHAR(9),8)&amp;"("""&amp;D10&amp;"""),"</f>
        <v xml:space="preserve">								("WorkingDate"),</v>
      </c>
      <c r="V10" s="70" t="str">
        <f t="shared" ref="V10:V39" si="22">REPT(CHAR(9),8)&amp;"_ =&gt; _."&amp;D10&amp;","</f>
        <v xml:space="preserve">								_ =&gt; _.WorkingDate,</v>
      </c>
      <c r="W10" s="69" t="str">
        <f t="shared" ref="W10:W39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.WhereIf(input.WorkingDate.HasValue, t =&gt; t.WorkingDate == input.WorkingDate.Value)</v>
      </c>
    </row>
    <row r="11" spans="1:23" customFormat="1" ht="22.5" customHeight="1" x14ac:dyDescent="0.25">
      <c r="A11" t="s">
        <v>326</v>
      </c>
      <c r="B11" t="s">
        <v>321</v>
      </c>
      <c r="C11" t="s">
        <v>1</v>
      </c>
      <c r="D11" t="str">
        <f>SUBSTITUTE(PROPER(A11),"_","")</f>
        <v>Shift</v>
      </c>
      <c r="E11" t="str">
        <f t="shared" si="13"/>
        <v>varchar</v>
      </c>
      <c r="F11" s="7"/>
      <c r="G11" t="str">
        <f t="shared" si="14"/>
        <v>50</v>
      </c>
      <c r="H11" t="str">
        <f>+VLOOKUP(E11,'Data Type Mapping'!A:B,2,)</f>
        <v>string</v>
      </c>
      <c r="I11" t="str">
        <f t="shared" si="15"/>
        <v xml:space="preserve">		public const int MaxShiftLength = 50;
</v>
      </c>
      <c r="J11" t="str">
        <f t="shared" si="16"/>
        <v xml:space="preserve">		[StringLength(MaxShiftLength)]
		public virtual string Shift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[Index(nameof(Shift), Name="IX_LgaEkbProgressDetails_Shift")]</v>
      </c>
      <c r="M11" t="str">
        <f t="shared" si="17"/>
        <v xml:space="preserve">		public virtual string Shift { get; set; }
</v>
      </c>
      <c r="N11" t="str">
        <f t="shared" si="18"/>
        <v xml:space="preserve">		[StringLength(LgaEkbProgressDetailsConsts.MaxShiftLength)]
		public virtual string Shift { get; set; }
</v>
      </c>
      <c r="O11" t="str">
        <f t="shared" si="19"/>
        <v xml:space="preserve">		public virtual string Shift { get; set; }
</v>
      </c>
      <c r="P11" t="str">
        <f t="shared" si="20"/>
        <v xml:space="preserve">							Shift = o.Shift,</v>
      </c>
      <c r="T11" s="69" t="str">
        <f t="shared" si="21"/>
        <v xml:space="preserve">								("Shift"),</v>
      </c>
      <c r="V11" s="70" t="str">
        <f t="shared" si="22"/>
        <v xml:space="preserve">								_ =&gt; _.Shift,</v>
      </c>
      <c r="W11" s="69" t="str">
        <f t="shared" si="23"/>
        <v xml:space="preserve">				.WhereIf(!string.IsNullOrWhiteSpace(input.Shift), e =&gt; e.Shift.Contains(input.Shift))</v>
      </c>
    </row>
    <row r="12" spans="1:23" customFormat="1" ht="21" customHeight="1" x14ac:dyDescent="0.25">
      <c r="A12" t="s">
        <v>327</v>
      </c>
      <c r="B12" t="s">
        <v>4</v>
      </c>
      <c r="C12" t="s">
        <v>1</v>
      </c>
      <c r="D12" t="str">
        <f t="shared" ref="D12" si="24">SUBSTITUTE(PROPER(A12),"_","")</f>
        <v>NoInShift</v>
      </c>
      <c r="E12" t="str">
        <f t="shared" ref="E12" si="25">IFERROR(LEFT(B12, FIND("(",B12)-1),B12)</f>
        <v>int</v>
      </c>
      <c r="F12" s="7"/>
      <c r="G12" t="str">
        <f t="shared" ref="G12" si="26">IFERROR(MID(B12,FIND("(",B12) +1, FIND(")",B12) - FIND("(",B12) - 1),"")</f>
        <v/>
      </c>
      <c r="H12" t="str">
        <f>+VLOOKUP(E12,'Data Type Mapping'!A:B,2,)</f>
        <v>int</v>
      </c>
      <c r="I12" t="str">
        <f t="shared" ref="I12" si="27">IF(H12="string",REPT(CHAR(9),2)&amp;"public const int Max"&amp;D12&amp;"Length = "&amp;G12&amp;";"&amp;$E$3,"" )</f>
        <v/>
      </c>
      <c r="J12" t="str">
        <f t="shared" ref="J12" si="28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 NoInShift { get; set; }
</v>
      </c>
      <c r="K12" s="7" t="s">
        <v>206</v>
      </c>
      <c r="L12" t="str">
        <f t="shared" ref="L12" si="29">IF(K12="","",REPT(CHAR(9),1)&amp;"[Index(nameof("&amp;IF(D12="","",""&amp;D12)&amp;")"&amp;", Name="&amp;"""IX_"&amp;$B$7&amp;"_"&amp;D12&amp;""")]")</f>
        <v xml:space="preserve">	[Index(nameof(NoInShift), Name="IX_LgaEkbProgressDetails_NoInShift")]</v>
      </c>
      <c r="M12" t="str">
        <f t="shared" ref="M12" si="30">REPT(CHAR(9),2)&amp;"public virtual "&amp;IF(OR(H12="DateTime",H12="TimeSpan"),H12&amp;"?",H12)&amp;IF(C12="?","? "," ")&amp;D12&amp;" { get; set; }" &amp; "
"</f>
        <v xml:space="preserve">		public virtual int NoInShift { get; set; }
</v>
      </c>
      <c r="N12" t="str">
        <f t="shared" ref="N12" si="31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int NoInShift { get; set; }
</v>
      </c>
      <c r="O12" t="str">
        <f t="shared" ref="O12" si="32">IF(OR(H12="string",H12="DateTime",H12="int"),REPT(CHAR(9),2)&amp;"public virtual "&amp;IF(OR(H12="DateTime",H12="TimeSpan"),H12&amp;"?",H12)&amp;IF(C12="?","? "," ")&amp;D12&amp;" { get; set; }"&amp;$E$3,"")</f>
        <v xml:space="preserve">		public virtual int NoInShift { get; set; }
</v>
      </c>
      <c r="P12" t="str">
        <f t="shared" ref="P12" si="33">REPT(CHAR(9),7)&amp;D12&amp;" = o." &amp;D12 &amp;","</f>
        <v xml:space="preserve">							NoInShift = o.NoInShift,</v>
      </c>
      <c r="T12" s="69" t="str">
        <f t="shared" ref="T12" si="34">REPT(CHAR(9),8)&amp;"("""&amp;D12&amp;"""),"</f>
        <v xml:space="preserve">								("NoInShift"),</v>
      </c>
      <c r="V12" s="70" t="str">
        <f t="shared" ref="V12" si="35">REPT(CHAR(9),8)&amp;"_ =&gt; _."&amp;D12&amp;","</f>
        <v xml:space="preserve">								_ =&gt; _.NoInShift,</v>
      </c>
      <c r="W12" s="69" t="str">
        <f t="shared" ref="W12" si="36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21" customHeight="1" x14ac:dyDescent="0.25">
      <c r="A13" t="s">
        <v>358</v>
      </c>
      <c r="B13" t="s">
        <v>4</v>
      </c>
      <c r="C13" t="s">
        <v>1</v>
      </c>
      <c r="D13" t="str">
        <f>SUBSTITUTE(PROPER(A13),"_","")</f>
        <v>NoInDate</v>
      </c>
      <c r="E13" t="str">
        <f>IFERROR(LEFT(B13, FIND("(",B13)-1),B13)</f>
        <v>int</v>
      </c>
      <c r="F13" s="7"/>
      <c r="G13" t="str">
        <f>IFERROR(MID(B13,FIND("(",B13) +1, FIND(")",B13) - FIND("(",B13) - 1),"")</f>
        <v/>
      </c>
      <c r="H13" t="str">
        <f>+VLOOKUP(E13,'Data Type Mapping'!A:B,2,)</f>
        <v>int</v>
      </c>
      <c r="I13" t="str">
        <f>IF(H13="string",REPT(CHAR(9),2)&amp;"public const int Max"&amp;D13&amp;"Length = "&amp;G13&amp;";"&amp;$E$3,"" )</f>
        <v/>
      </c>
      <c r="J13" t="str">
        <f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public virtual int NoInDate { get; set; }
</v>
      </c>
      <c r="K13" s="7" t="s">
        <v>206</v>
      </c>
      <c r="L13" t="str">
        <f>IF(K13="","",REPT(CHAR(9),1)&amp;"[Index(nameof("&amp;IF(D13="","",""&amp;D13)&amp;")"&amp;", Name="&amp;"""IX_"&amp;$B$7&amp;"_"&amp;D13&amp;""")]")</f>
        <v xml:space="preserve">	[Index(nameof(NoInDate), Name="IX_LgaEkbProgressDetails_NoInDate")]</v>
      </c>
      <c r="M13" t="str">
        <f>REPT(CHAR(9),2)&amp;"public virtual "&amp;IF(OR(H13="DateTime",H13="TimeSpan"),H13&amp;"?",H13)&amp;IF(C13="?","? "," ")&amp;D13&amp;" { get; set; }" &amp; "
"</f>
        <v xml:space="preserve">		public virtual int NoInDate { get; set; }
</v>
      </c>
      <c r="N13" t="str">
        <f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public virtual int NoInDate { get; set; }
</v>
      </c>
      <c r="O13" t="str">
        <f>IF(OR(H13="string",H13="DateTime",H13="int"),REPT(CHAR(9),2)&amp;"public virtual "&amp;IF(OR(H13="DateTime",H13="TimeSpan"),H13&amp;"?",H13)&amp;IF(C13="?","? "," ")&amp;D13&amp;" { get; set; }"&amp;$E$3,"")</f>
        <v xml:space="preserve">		public virtual int NoInDate { get; set; }
</v>
      </c>
      <c r="P13" t="str">
        <f>REPT(CHAR(9),7)&amp;D13&amp;" = o." &amp;D13 &amp;","</f>
        <v xml:space="preserve">							NoInDate = o.NoInDate,</v>
      </c>
      <c r="T13" s="69" t="str">
        <f>REPT(CHAR(9),8)&amp;"("""&amp;D13&amp;"""),"</f>
        <v xml:space="preserve">								("NoInDate"),</v>
      </c>
      <c r="V13" s="70" t="str">
        <f>REPT(CHAR(9),8)&amp;"_ =&gt; _."&amp;D13&amp;","</f>
        <v xml:space="preserve">								_ =&gt; _.NoInDate,</v>
      </c>
      <c r="W13" s="69" t="str">
        <f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/>
      </c>
    </row>
    <row r="14" spans="1:23" customFormat="1" ht="18.75" customHeight="1" x14ac:dyDescent="0.25">
      <c r="A14" t="s">
        <v>335</v>
      </c>
      <c r="B14" t="s">
        <v>0</v>
      </c>
      <c r="C14" t="s">
        <v>1</v>
      </c>
      <c r="D14" t="str">
        <f>SUBSTITUTE(PROPER(A14),"_","")</f>
        <v>ProgressId</v>
      </c>
      <c r="E14" t="str">
        <f>IFERROR(LEFT(B14, FIND("(",B14)-1),B14)</f>
        <v>bigint</v>
      </c>
      <c r="F14" s="7"/>
      <c r="G14" t="str">
        <f>IFERROR(MID(B14,FIND("(",B14) +1, FIND(")",B14) - FIND("(",B14) - 1),"")</f>
        <v/>
      </c>
      <c r="H14" t="str">
        <f>+VLOOKUP(E14,'Data Type Mapping'!A:B,2,)</f>
        <v>long</v>
      </c>
      <c r="I14" t="str">
        <f>IF(H14="string",REPT(CHAR(9),2)&amp;"public const int Max"&amp;D14&amp;"Length = "&amp;G14&amp;";"&amp;$E$3,"" )</f>
        <v/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long ProgressId { get; set; }
</v>
      </c>
      <c r="K14" s="7" t="s">
        <v>206</v>
      </c>
      <c r="L14" t="str">
        <f>IF(K14="","",REPT(CHAR(9),1)&amp;"[Index(nameof("&amp;IF(D14="","",""&amp;D14)&amp;")"&amp;", Name="&amp;"""IX_"&amp;$B$7&amp;"_"&amp;D14&amp;""")]")</f>
        <v xml:space="preserve">	[Index(nameof(ProgressId), Name="IX_LgaEkbProgressDetails_ProgressId")]</v>
      </c>
      <c r="M14" t="str">
        <f>REPT(CHAR(9),2)&amp;"public virtual "&amp;IF(OR(H14="DateTime",H14="TimeSpan"),H14&amp;"?",H14)&amp;IF(C14="?","? "," ")&amp;D14&amp;" { get; set; }" &amp; "
"</f>
        <v xml:space="preserve">		public virtual long ProgressId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long ProgressId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/>
      </c>
      <c r="P14" t="str">
        <f>REPT(CHAR(9),7)&amp;D14&amp;" = o." &amp;D14 &amp;","</f>
        <v xml:space="preserve">							ProgressId = o.ProgressId,</v>
      </c>
      <c r="T14" s="69" t="str">
        <f>REPT(CHAR(9),8)&amp;"("""&amp;D14&amp;"""),"</f>
        <v xml:space="preserve">								("ProgressId"),</v>
      </c>
      <c r="V14" s="70" t="str">
        <f>REPT(CHAR(9),8)&amp;"_ =&gt; _."&amp;D14&amp;","</f>
        <v xml:space="preserve">								_ =&gt; _.ProgressId,</v>
      </c>
      <c r="W14" s="69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18.75" customHeight="1" x14ac:dyDescent="0.25">
      <c r="A15" t="s">
        <v>344</v>
      </c>
      <c r="B15" t="s">
        <v>0</v>
      </c>
      <c r="C15" t="s">
        <v>1</v>
      </c>
      <c r="D15" t="str">
        <f>SUBSTITUTE(PROPER(A15),"_","")</f>
        <v>ProcessId</v>
      </c>
      <c r="E15" t="str">
        <f>IFERROR(LEFT(B15, FIND("(",B15)-1),B15)</f>
        <v>bigint</v>
      </c>
      <c r="F15" s="7"/>
      <c r="G15" t="str">
        <f>IFERROR(MID(B15,FIND("(",B15) +1, FIND(")",B15) - FIND("(",B15) - 1),"")</f>
        <v/>
      </c>
      <c r="H15" t="str">
        <f>+VLOOKUP(E15,'Data Type Mapping'!A:B,2,)</f>
        <v>long</v>
      </c>
      <c r="I15" t="str">
        <f>IF(H15="string",REPT(CHAR(9),2)&amp;"public const int Max"&amp;D15&amp;"Length = "&amp;G15&amp;";"&amp;$E$3,"" )</f>
        <v/>
      </c>
      <c r="J15" t="str">
        <f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long ProcessId { get; set; }
</v>
      </c>
      <c r="K15" s="7" t="s">
        <v>206</v>
      </c>
      <c r="L15" t="str">
        <f>IF(K15="","",REPT(CHAR(9),1)&amp;"[Index(nameof("&amp;IF(D15="","",""&amp;D15)&amp;")"&amp;", Name="&amp;"""IX_"&amp;$B$7&amp;"_"&amp;D15&amp;""")]")</f>
        <v xml:space="preserve">	[Index(nameof(ProcessId), Name="IX_LgaEkbProgressDetails_ProcessId")]</v>
      </c>
      <c r="M15" t="str">
        <f>REPT(CHAR(9),2)&amp;"public virtual "&amp;IF(OR(H15="DateTime",H15="TimeSpan"),H15&amp;"?",H15)&amp;IF(C15="?","? "," ")&amp;D15&amp;" { get; set; }" &amp; "
"</f>
        <v xml:space="preserve">		public virtual long ProcessId { get; set; }
</v>
      </c>
      <c r="N15" t="str">
        <f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long ProcessId { get; set; }
</v>
      </c>
      <c r="O15" t="str">
        <f>IF(OR(H15="string",H15="DateTime",H15="int"),REPT(CHAR(9),2)&amp;"public virtual "&amp;IF(OR(H15="DateTime",H15="TimeSpan"),H15&amp;"?",H15)&amp;IF(C15="?","? "," ")&amp;D15&amp;" { get; set; }"&amp;$E$3,"")</f>
        <v/>
      </c>
      <c r="P15" t="str">
        <f>REPT(CHAR(9),7)&amp;D15&amp;" = o." &amp;D15 &amp;","</f>
        <v xml:space="preserve">							ProcessId = o.ProcessId,</v>
      </c>
      <c r="T15" s="69" t="str">
        <f>REPT(CHAR(9),8)&amp;"("""&amp;D15&amp;"""),"</f>
        <v xml:space="preserve">								("ProcessId"),</v>
      </c>
      <c r="V15" s="70" t="str">
        <f>REPT(CHAR(9),8)&amp;"_ =&gt; _."&amp;D15&amp;","</f>
        <v xml:space="preserve">								_ =&gt; _.ProcessId,</v>
      </c>
      <c r="W15" s="69" t="str">
        <f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5">
      <c r="A16" t="s">
        <v>333</v>
      </c>
      <c r="B16" t="s">
        <v>0</v>
      </c>
      <c r="C16" t="s">
        <v>1</v>
      </c>
      <c r="D16" t="str">
        <f>SUBSTITUTE(PROPER(A16),"_","")</f>
        <v>PartListId</v>
      </c>
      <c r="E16" t="str">
        <f>IFERROR(LEFT(B16, FIND("(",B16)-1),B16)</f>
        <v>bigint</v>
      </c>
      <c r="F16" s="7"/>
      <c r="G16" t="str">
        <f>IFERROR(MID(B16,FIND("(",B16) +1, FIND(")",B16) - FIND("(",B16) - 1),"")</f>
        <v/>
      </c>
      <c r="H16" t="str">
        <f>+VLOOKUP(E16,'Data Type Mapping'!A:B,2,)</f>
        <v>long</v>
      </c>
      <c r="I16" t="str">
        <f>IF(H16="string",REPT(CHAR(9),2)&amp;"public const int Max"&amp;D16&amp;"Length = "&amp;G16&amp;";"&amp;$E$3,"" )</f>
        <v/>
      </c>
      <c r="J16" t="str">
        <f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long PartListId { get; set; }
</v>
      </c>
      <c r="K16" s="7" t="s">
        <v>206</v>
      </c>
      <c r="L16" t="str">
        <f>IF(K16="","",REPT(CHAR(9),1)&amp;"[Index(nameof("&amp;IF(D16="","",""&amp;D16)&amp;")"&amp;", Name="&amp;"""IX_"&amp;$B$7&amp;"_"&amp;D16&amp;""")]")</f>
        <v xml:space="preserve">	[Index(nameof(PartListId), Name="IX_LgaEkbProgressDetails_PartListId")]</v>
      </c>
      <c r="M16" t="str">
        <f>REPT(CHAR(9),2)&amp;"public virtual "&amp;IF(OR(H16="DateTime",H16="TimeSpan"),H16&amp;"?",H16)&amp;IF(C16="?","? "," ")&amp;D16&amp;" { get; set; }" &amp; "
"</f>
        <v xml:space="preserve">		public virtual long PartListId { get; set; }
</v>
      </c>
      <c r="N16" t="str">
        <f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long PartListId { get; set; }
</v>
      </c>
      <c r="O16" t="str">
        <f>IF(OR(H16="string",H16="DateTime",H16="int"),REPT(CHAR(9),2)&amp;"public virtual "&amp;IF(OR(H16="DateTime",H16="TimeSpan"),H16&amp;"?",H16)&amp;IF(C16="?","? "," ")&amp;D16&amp;" { get; set; }"&amp;$E$3,"")</f>
        <v/>
      </c>
      <c r="P16" t="str">
        <f>REPT(CHAR(9),7)&amp;D16&amp;" = o." &amp;D16 &amp;","</f>
        <v xml:space="preserve">							PartListId = o.PartListId,</v>
      </c>
      <c r="T16" s="69" t="str">
        <f>REPT(CHAR(9),8)&amp;"("""&amp;D16&amp;"""),"</f>
        <v xml:space="preserve">								("PartListId"),</v>
      </c>
      <c r="V16" s="70" t="str">
        <f>REPT(CHAR(9),8)&amp;"_ =&gt; _."&amp;D16&amp;","</f>
        <v xml:space="preserve">								_ =&gt; _.PartListId,</v>
      </c>
      <c r="W16" s="69" t="str">
        <f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25">
      <c r="A17" t="s">
        <v>332</v>
      </c>
      <c r="B17" t="s">
        <v>321</v>
      </c>
      <c r="C17" t="s">
        <v>1</v>
      </c>
      <c r="D17" t="str">
        <f t="shared" ref="D17:D34" si="37">SUBSTITUTE(PROPER(A17),"_","")</f>
        <v>PartNo</v>
      </c>
      <c r="E17" t="str">
        <f t="shared" si="13"/>
        <v>varchar</v>
      </c>
      <c r="F17" s="7"/>
      <c r="G17" t="str">
        <f t="shared" si="14"/>
        <v>50</v>
      </c>
      <c r="H17" t="str">
        <f>+VLOOKUP(E17,'Data Type Mapping'!A:B,2,)</f>
        <v>string</v>
      </c>
      <c r="I17" t="str">
        <f t="shared" si="15"/>
        <v xml:space="preserve">		public const int MaxPartNoLength = 50;
</v>
      </c>
      <c r="J17" t="str">
        <f t="shared" si="16"/>
        <v xml:space="preserve">		[StringLength(MaxPartNoLength)]
		public virtual string PartNo { get; set; }
</v>
      </c>
      <c r="K17" s="7" t="s">
        <v>206</v>
      </c>
      <c r="L17" t="str">
        <f t="shared" ref="L17:L34" si="38">IF(K17="","",REPT(CHAR(9),1)&amp;"[Index(nameof("&amp;IF(D17="","",""&amp;D17)&amp;")"&amp;", Name="&amp;"""IX_"&amp;$B$7&amp;"_"&amp;D17&amp;""")]")</f>
        <v xml:space="preserve">	[Index(nameof(PartNo), Name="IX_LgaEkbProgressDetails_PartNo")]</v>
      </c>
      <c r="M17" t="str">
        <f t="shared" si="17"/>
        <v xml:space="preserve">		public virtual string PartNo { get; set; }
</v>
      </c>
      <c r="N17" t="str">
        <f t="shared" si="18"/>
        <v xml:space="preserve">		[StringLength(LgaEkbProgressDetailsConsts.MaxPartNoLength)]
		public virtual string PartNo { get; set; }
</v>
      </c>
      <c r="O17" t="str">
        <f t="shared" si="19"/>
        <v xml:space="preserve">		public virtual string PartNo { get; set; }
</v>
      </c>
      <c r="P17" t="str">
        <f t="shared" si="20"/>
        <v xml:space="preserve">							PartNo = o.PartNo,</v>
      </c>
      <c r="T17" s="69" t="str">
        <f t="shared" si="21"/>
        <v xml:space="preserve">								("PartNo"),</v>
      </c>
      <c r="V17" s="70" t="str">
        <f t="shared" si="22"/>
        <v xml:space="preserve">								_ =&gt; _.PartNo,</v>
      </c>
      <c r="W17" s="69" t="str">
        <f t="shared" si="23"/>
        <v xml:space="preserve">				.WhereIf(!string.IsNullOrWhiteSpace(input.PartNo), e =&gt; e.PartNo.Contains(input.PartNo))</v>
      </c>
    </row>
    <row r="18" spans="1:23" customFormat="1" ht="18.75" customHeight="1" x14ac:dyDescent="0.25">
      <c r="A18" t="s">
        <v>350</v>
      </c>
      <c r="B18" t="s">
        <v>321</v>
      </c>
      <c r="C18" t="s">
        <v>1</v>
      </c>
      <c r="D18" t="str">
        <f t="shared" ref="D18" si="39">SUBSTITUTE(PROPER(A18),"_","")</f>
        <v>PartNoNormalized</v>
      </c>
      <c r="E18" t="str">
        <f t="shared" ref="E18" si="40">IFERROR(LEFT(B18, FIND("(",B18)-1),B18)</f>
        <v>varchar</v>
      </c>
      <c r="F18" s="7"/>
      <c r="G18" t="str">
        <f t="shared" ref="G18" si="41">IFERROR(MID(B18,FIND("(",B18) +1, FIND(")",B18) - FIND("(",B18) - 1),"")</f>
        <v>50</v>
      </c>
      <c r="H18" t="str">
        <f>+VLOOKUP(E18,'Data Type Mapping'!A:B,2,)</f>
        <v>string</v>
      </c>
      <c r="I18" t="str">
        <f t="shared" ref="I18" si="42">IF(H18="string",REPT(CHAR(9),2)&amp;"public const int Max"&amp;D18&amp;"Length = "&amp;G18&amp;";"&amp;$E$3,"" )</f>
        <v xml:space="preserve">		public const int MaxPartNoNormalizedLength = 50;
</v>
      </c>
      <c r="J18" t="str">
        <f t="shared" ref="J18" si="43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[StringLength(MaxPartNoNormalizedLength)]
		public virtual string PartNoNormalized { get; set; }
</v>
      </c>
      <c r="K18" s="7"/>
      <c r="L18" t="str">
        <f t="shared" ref="L18" si="44">IF(K18="","",REPT(CHAR(9),1)&amp;"[Index(nameof("&amp;IF(D18="","",""&amp;D18)&amp;")"&amp;", Name="&amp;"""IX_"&amp;$B$7&amp;"_"&amp;D18&amp;""")]")</f>
        <v/>
      </c>
      <c r="M18" t="str">
        <f t="shared" ref="M18" si="45">REPT(CHAR(9),2)&amp;"public virtual "&amp;IF(OR(H18="DateTime",H18="TimeSpan"),H18&amp;"?",H18)&amp;IF(C18="?","? "," ")&amp;D18&amp;" { get; set; }" &amp; "
"</f>
        <v xml:space="preserve">		public virtual string PartNoNormalized { get; set; }
</v>
      </c>
      <c r="N18" t="str">
        <f t="shared" ref="N18" si="46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[StringLength(LgaEkbProgressDetailsConsts.MaxPartNoNormalizedLength)]
		public virtual string PartNoNormalized { get; set; }
</v>
      </c>
      <c r="O18" t="str">
        <f t="shared" ref="O18" si="47">IF(OR(H18="string",H18="DateTime",H18="int"),REPT(CHAR(9),2)&amp;"public virtual "&amp;IF(OR(H18="DateTime",H18="TimeSpan"),H18&amp;"?",H18)&amp;IF(C18="?","? "," ")&amp;D18&amp;" { get; set; }"&amp;$E$3,"")</f>
        <v xml:space="preserve">		public virtual string PartNoNormalized { get; set; }
</v>
      </c>
      <c r="P18" t="str">
        <f t="shared" ref="P18" si="48">REPT(CHAR(9),7)&amp;D18&amp;" = o." &amp;D18 &amp;","</f>
        <v xml:space="preserve">							PartNoNormalized = o.PartNoNormalized,</v>
      </c>
      <c r="T18" s="69" t="str">
        <f t="shared" ref="T18" si="49">REPT(CHAR(9),8)&amp;"("""&amp;D18&amp;"""),"</f>
        <v xml:space="preserve">								("PartNoNormalized"),</v>
      </c>
      <c r="V18" s="70" t="str">
        <f t="shared" ref="V18" si="50">REPT(CHAR(9),8)&amp;"_ =&gt; _."&amp;D18&amp;","</f>
        <v xml:space="preserve">								_ =&gt; _.PartNoNormalized,</v>
      </c>
      <c r="W18" s="69" t="str">
        <f t="shared" ref="W18" si="51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.WhereIf(!string.IsNullOrWhiteSpace(input.PartNoNormalized), e =&gt; e.PartNoNormalized.Contains(input.PartNoNormalized))</v>
      </c>
    </row>
    <row r="19" spans="1:23" customFormat="1" ht="22.5" customHeight="1" x14ac:dyDescent="0.25">
      <c r="A19" t="s">
        <v>347</v>
      </c>
      <c r="B19" t="s">
        <v>321</v>
      </c>
      <c r="C19" t="s">
        <v>1</v>
      </c>
      <c r="D19" t="str">
        <f>SUBSTITUTE(PROPER(A19),"_","")</f>
        <v>BackNo</v>
      </c>
      <c r="E19" t="str">
        <f t="shared" ref="E19" si="52">IFERROR(LEFT(B19, FIND("(",B19)-1),B19)</f>
        <v>varchar</v>
      </c>
      <c r="F19" s="7"/>
      <c r="G19" t="str">
        <f t="shared" ref="G19" si="53">IFERROR(MID(B19,FIND("(",B19) +1, FIND(")",B19) - FIND("(",B19) - 1),"")</f>
        <v>50</v>
      </c>
      <c r="H19" t="str">
        <f>+VLOOKUP(E19,'Data Type Mapping'!A:B,2,)</f>
        <v>string</v>
      </c>
      <c r="I19" t="str">
        <f t="shared" ref="I19" si="54">IF(H19="string",REPT(CHAR(9),2)&amp;"public const int Max"&amp;D19&amp;"Length = "&amp;G19&amp;";"&amp;$E$3,"" )</f>
        <v xml:space="preserve">		public const int MaxBackNoLength = 50;
</v>
      </c>
      <c r="J19" t="str">
        <f t="shared" ref="J19" si="55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[StringLength(MaxBackNoLength)]
		public virtual string BackNo { get; set; }
</v>
      </c>
      <c r="K19" s="7" t="s">
        <v>206</v>
      </c>
      <c r="L19" t="str">
        <f>IF(K19="","",REPT(CHAR(9),1)&amp;"[Index(nameof("&amp;IF(D19="","",""&amp;D19)&amp;")"&amp;", Name="&amp;"""IX_"&amp;$B$7&amp;"_"&amp;D19&amp;""")]")</f>
        <v xml:space="preserve">	[Index(nameof(BackNo), Name="IX_LgaEkbProgressDetails_BackNo")]</v>
      </c>
      <c r="M19" t="str">
        <f t="shared" ref="M19" si="56">REPT(CHAR(9),2)&amp;"public virtual "&amp;IF(OR(H19="DateTime",H19="TimeSpan"),H19&amp;"?",H19)&amp;IF(C19="?","? "," ")&amp;D19&amp;" { get; set; }" &amp; "
"</f>
        <v xml:space="preserve">		public virtual string BackNo { get; set; }
</v>
      </c>
      <c r="N19" t="str">
        <f t="shared" ref="N19" si="57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[StringLength(LgaEkbProgressDetailsConsts.MaxBackNoLength)]
		public virtual string BackNo { get; set; }
</v>
      </c>
      <c r="O19" t="str">
        <f t="shared" ref="O19" si="58">IF(OR(H19="string",H19="DateTime",H19="int"),REPT(CHAR(9),2)&amp;"public virtual "&amp;IF(OR(H19="DateTime",H19="TimeSpan"),H19&amp;"?",H19)&amp;IF(C19="?","? "," ")&amp;D19&amp;" { get; set; }"&amp;$E$3,"")</f>
        <v xml:space="preserve">		public virtual string BackNo { get; set; }
</v>
      </c>
      <c r="P19" t="str">
        <f t="shared" ref="P19" si="59">REPT(CHAR(9),7)&amp;D19&amp;" = o." &amp;D19 &amp;","</f>
        <v xml:space="preserve">							BackNo = o.BackNo,</v>
      </c>
      <c r="T19" s="69" t="str">
        <f t="shared" ref="T19" si="60">REPT(CHAR(9),8)&amp;"("""&amp;D19&amp;"""),"</f>
        <v xml:space="preserve">								("BackNo"),</v>
      </c>
      <c r="V19" s="70" t="str">
        <f t="shared" ref="V19" si="61">REPT(CHAR(9),8)&amp;"_ =&gt; _."&amp;D19&amp;","</f>
        <v xml:space="preserve">								_ =&gt; _.BackNo,</v>
      </c>
      <c r="W19" s="69" t="str">
        <f t="shared" ref="W19" si="62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.WhereIf(!string.IsNullOrWhiteSpace(input.BackNo), e =&gt; e.BackNo.Contains(input.BackNo))</v>
      </c>
    </row>
    <row r="20" spans="1:23" customFormat="1" ht="22.5" customHeight="1" x14ac:dyDescent="0.25">
      <c r="A20" t="s">
        <v>345</v>
      </c>
      <c r="B20" t="s">
        <v>353</v>
      </c>
      <c r="C20" t="s">
        <v>1</v>
      </c>
      <c r="D20" t="str">
        <f>SUBSTITUTE(PROPER(A20),"_","")</f>
        <v>PcAddress</v>
      </c>
      <c r="E20" t="str">
        <f t="shared" ref="E20" si="63">IFERROR(LEFT(B20, FIND("(",B20)-1),B20)</f>
        <v>varchar</v>
      </c>
      <c r="F20" s="7"/>
      <c r="G20" t="str">
        <f t="shared" ref="G20" si="64">IFERROR(MID(B20,FIND("(",B20) +1, FIND(")",B20) - FIND("(",B20) - 1),"")</f>
        <v>200</v>
      </c>
      <c r="H20" t="str">
        <f>+VLOOKUP(E20,'Data Type Mapping'!A:B,2,)</f>
        <v>string</v>
      </c>
      <c r="I20" t="str">
        <f t="shared" ref="I20" si="65">IF(H20="string",REPT(CHAR(9),2)&amp;"public const int Max"&amp;D20&amp;"Length = "&amp;G20&amp;";"&amp;$E$3,"" )</f>
        <v xml:space="preserve">		public const int MaxPcAddressLength = 200;
</v>
      </c>
      <c r="J20" t="str">
        <f t="shared" ref="J20" si="66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[StringLength(MaxPcAddressLength)]
		public virtual string PcAddress { get; set; }
</v>
      </c>
      <c r="K20" s="7"/>
      <c r="L20" t="str">
        <f>IF(K20="","",REPT(CHAR(9),1)&amp;"[Index(nameof("&amp;IF(D20="","",""&amp;D20)&amp;")"&amp;", Name="&amp;"""IX_"&amp;$B$7&amp;"_"&amp;D20&amp;""")]")</f>
        <v/>
      </c>
      <c r="M20" t="str">
        <f t="shared" ref="M20" si="67">REPT(CHAR(9),2)&amp;"public virtual "&amp;IF(OR(H20="DateTime",H20="TimeSpan"),H20&amp;"?",H20)&amp;IF(C20="?","? "," ")&amp;D20&amp;" { get; set; }" &amp; "
"</f>
        <v xml:space="preserve">		public virtual string PcAddress { get; set; }
</v>
      </c>
      <c r="N20" t="str">
        <f t="shared" ref="N20" si="68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[StringLength(LgaEkbProgressDetailsConsts.MaxPcAddressLength)]
		public virtual string PcAddress { get; set; }
</v>
      </c>
      <c r="O20" t="str">
        <f t="shared" ref="O20" si="69">IF(OR(H20="string",H20="DateTime",H20="int"),REPT(CHAR(9),2)&amp;"public virtual "&amp;IF(OR(H20="DateTime",H20="TimeSpan"),H20&amp;"?",H20)&amp;IF(C20="?","? "," ")&amp;D20&amp;" { get; set; }"&amp;$E$3,"")</f>
        <v xml:space="preserve">		public virtual string PcAddress { get; set; }
</v>
      </c>
      <c r="P20" t="str">
        <f t="shared" ref="P20" si="70">REPT(CHAR(9),7)&amp;D20&amp;" = o." &amp;D20 &amp;","</f>
        <v xml:space="preserve">							PcAddress = o.PcAddress,</v>
      </c>
      <c r="T20" s="69" t="str">
        <f t="shared" ref="T20" si="71">REPT(CHAR(9),8)&amp;"("""&amp;D20&amp;"""),"</f>
        <v xml:space="preserve">								("PcAddress"),</v>
      </c>
      <c r="V20" s="70" t="str">
        <f t="shared" ref="V20" si="72">REPT(CHAR(9),8)&amp;"_ =&gt; _."&amp;D20&amp;","</f>
        <v xml:space="preserve">								_ =&gt; _.PcAddress,</v>
      </c>
      <c r="W20" s="69" t="str">
        <f t="shared" ref="W20" si="73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.WhereIf(!string.IsNullOrWhiteSpace(input.PcAddress), e =&gt; e.PcAddress.Contains(input.PcAddress))</v>
      </c>
    </row>
    <row r="21" spans="1:23" customFormat="1" ht="22.5" customHeight="1" x14ac:dyDescent="0.25">
      <c r="A21" t="s">
        <v>346</v>
      </c>
      <c r="B21" t="s">
        <v>353</v>
      </c>
      <c r="C21" t="s">
        <v>1</v>
      </c>
      <c r="D21" t="str">
        <f>SUBSTITUTE(PROPER(A21),"_","")</f>
        <v>SpsAddress</v>
      </c>
      <c r="E21" t="str">
        <f t="shared" ref="E21" si="74">IFERROR(LEFT(B21, FIND("(",B21)-1),B21)</f>
        <v>varchar</v>
      </c>
      <c r="F21" s="7"/>
      <c r="G21" t="str">
        <f t="shared" ref="G21" si="75">IFERROR(MID(B21,FIND("(",B21) +1, FIND(")",B21) - FIND("(",B21) - 1),"")</f>
        <v>200</v>
      </c>
      <c r="H21" t="str">
        <f>+VLOOKUP(E21,'Data Type Mapping'!A:B,2,)</f>
        <v>string</v>
      </c>
      <c r="I21" t="str">
        <f t="shared" ref="I21" si="76">IF(H21="string",REPT(CHAR(9),2)&amp;"public const int Max"&amp;D21&amp;"Length = "&amp;G21&amp;";"&amp;$E$3,"" )</f>
        <v xml:space="preserve">		public const int MaxSpsAddressLength = 200;
</v>
      </c>
      <c r="J21" t="str">
        <f t="shared" ref="J21" si="77"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[StringLength(MaxSpsAddressLength)]
		public virtual string SpsAddress { get; set; }
</v>
      </c>
      <c r="K21" s="7"/>
      <c r="L21" t="str">
        <f>IF(K21="","",REPT(CHAR(9),1)&amp;"[Index(nameof("&amp;IF(D21="","",""&amp;D21)&amp;")"&amp;", Name="&amp;"""IX_"&amp;$B$7&amp;"_"&amp;D21&amp;""")]")</f>
        <v/>
      </c>
      <c r="M21" t="str">
        <f t="shared" ref="M21" si="78">REPT(CHAR(9),2)&amp;"public virtual "&amp;IF(OR(H21="DateTime",H21="TimeSpan"),H21&amp;"?",H21)&amp;IF(C21="?","? "," ")&amp;D21&amp;" { get; set; }" &amp; "
"</f>
        <v xml:space="preserve">		public virtual string SpsAddress { get; set; }
</v>
      </c>
      <c r="N21" t="str">
        <f t="shared" ref="N21" si="79"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[StringLength(LgaEkbProgressDetailsConsts.MaxSpsAddressLength)]
		public virtual string SpsAddress { get; set; }
</v>
      </c>
      <c r="O21" t="str">
        <f t="shared" ref="O21" si="80">IF(OR(H21="string",H21="DateTime",H21="int"),REPT(CHAR(9),2)&amp;"public virtual "&amp;IF(OR(H21="DateTime",H21="TimeSpan"),H21&amp;"?",H21)&amp;IF(C21="?","? "," ")&amp;D21&amp;" { get; set; }"&amp;$E$3,"")</f>
        <v xml:space="preserve">		public virtual string SpsAddress { get; set; }
</v>
      </c>
      <c r="P21" t="str">
        <f t="shared" ref="P21" si="81">REPT(CHAR(9),7)&amp;D21&amp;" = o." &amp;D21 &amp;","</f>
        <v xml:space="preserve">							SpsAddress = o.SpsAddress,</v>
      </c>
      <c r="T21" s="69" t="str">
        <f t="shared" ref="T21" si="82">REPT(CHAR(9),8)&amp;"("""&amp;D21&amp;"""),"</f>
        <v xml:space="preserve">								("SpsAddress"),</v>
      </c>
      <c r="V21" s="70" t="str">
        <f t="shared" ref="V21" si="83">REPT(CHAR(9),8)&amp;"_ =&gt; _."&amp;D21&amp;","</f>
        <v xml:space="preserve">								_ =&gt; _.SpsAddress,</v>
      </c>
      <c r="W21" s="69" t="str">
        <f t="shared" ref="W21" si="84"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 xml:space="preserve">				.WhereIf(!string.IsNullOrWhiteSpace(input.SpsAddress), e =&gt; e.SpsAddress.Contains(input.SpsAddress))</v>
      </c>
    </row>
    <row r="22" spans="1:23" customFormat="1" ht="21" customHeight="1" x14ac:dyDescent="0.25">
      <c r="A22" t="s">
        <v>334</v>
      </c>
      <c r="B22" t="s">
        <v>4</v>
      </c>
      <c r="C22" t="s">
        <v>1</v>
      </c>
      <c r="D22" t="str">
        <f t="shared" ref="D22:D33" si="85">SUBSTITUTE(PROPER(A22),"_","")</f>
        <v>Sorting</v>
      </c>
      <c r="E22" t="str">
        <f t="shared" ref="E22:E33" si="86">IFERROR(LEFT(B22, FIND("(",B22)-1),B22)</f>
        <v>int</v>
      </c>
      <c r="F22" s="7"/>
      <c r="G22" t="str">
        <f t="shared" ref="G22:G33" si="87">IFERROR(MID(B22,FIND("(",B22) +1, FIND(")",B22) - FIND("(",B22) - 1),"")</f>
        <v/>
      </c>
      <c r="H22" t="str">
        <f>+VLOOKUP(E22,'Data Type Mapping'!A:B,2,)</f>
        <v>int</v>
      </c>
      <c r="I22" t="str">
        <f t="shared" ref="I22:I33" si="88">IF(H22="string",REPT(CHAR(9),2)&amp;"public const int Max"&amp;D22&amp;"Length = "&amp;G22&amp;";"&amp;$E$3,"" )</f>
        <v/>
      </c>
      <c r="J22" t="str">
        <f t="shared" ref="J22:J33" si="89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public virtual int Sorting { get; set; }
</v>
      </c>
      <c r="K22" s="7" t="s">
        <v>206</v>
      </c>
      <c r="L22" t="str">
        <f t="shared" ref="L22:L33" si="90">IF(K22="","",REPT(CHAR(9),1)&amp;"[Index(nameof("&amp;IF(D22="","",""&amp;D22)&amp;")"&amp;", Name="&amp;"""IX_"&amp;$B$7&amp;"_"&amp;D22&amp;""")]")</f>
        <v xml:space="preserve">	[Index(nameof(Sorting), Name="IX_LgaEkbProgressDetails_Sorting")]</v>
      </c>
      <c r="M22" t="str">
        <f t="shared" ref="M22:M33" si="91">REPT(CHAR(9),2)&amp;"public virtual "&amp;IF(OR(H22="DateTime",H22="TimeSpan"),H22&amp;"?",H22)&amp;IF(C22="?","? "," ")&amp;D22&amp;" { get; set; }" &amp; "
"</f>
        <v xml:space="preserve">		public virtual int Sorting { get; set; }
</v>
      </c>
      <c r="N22" t="str">
        <f t="shared" ref="N22:N33" si="92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public virtual int Sorting { get; set; }
</v>
      </c>
      <c r="O22" t="str">
        <f t="shared" ref="O22:O33" si="93">IF(OR(H22="string",H22="DateTime",H22="int"),REPT(CHAR(9),2)&amp;"public virtual "&amp;IF(OR(H22="DateTime",H22="TimeSpan"),H22&amp;"?",H22)&amp;IF(C22="?","? "," ")&amp;D22&amp;" { get; set; }"&amp;$E$3,"")</f>
        <v xml:space="preserve">		public virtual int Sorting { get; set; }
</v>
      </c>
      <c r="P22" t="str">
        <f t="shared" ref="P22:P33" si="94">REPT(CHAR(9),7)&amp;D22&amp;" = o." &amp;D22 &amp;","</f>
        <v xml:space="preserve">							Sorting = o.Sorting,</v>
      </c>
      <c r="T22" s="69" t="str">
        <f t="shared" ref="T22:T33" si="95">REPT(CHAR(9),8)&amp;"("""&amp;D22&amp;"""),"</f>
        <v xml:space="preserve">								("Sorting"),</v>
      </c>
      <c r="V22" s="70" t="str">
        <f t="shared" ref="V22:V33" si="96">REPT(CHAR(9),8)&amp;"_ =&gt; _."&amp;D22&amp;","</f>
        <v xml:space="preserve">								_ =&gt; _.Sorting,</v>
      </c>
      <c r="W22" s="69" t="str">
        <f t="shared" ref="W22:W33" si="97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/>
      </c>
    </row>
    <row r="23" spans="1:23" customFormat="1" ht="21" customHeight="1" x14ac:dyDescent="0.25">
      <c r="A23" t="s">
        <v>348</v>
      </c>
      <c r="B23" t="s">
        <v>4</v>
      </c>
      <c r="C23" t="s">
        <v>1</v>
      </c>
      <c r="D23" t="str">
        <f t="shared" si="85"/>
        <v>UsageQty</v>
      </c>
      <c r="E23" t="str">
        <f t="shared" si="86"/>
        <v>int</v>
      </c>
      <c r="F23" s="7"/>
      <c r="G23" t="str">
        <f t="shared" si="87"/>
        <v/>
      </c>
      <c r="H23" t="str">
        <f>+VLOOKUP(E23,'Data Type Mapping'!A:B,2,)</f>
        <v>int</v>
      </c>
      <c r="I23" t="str">
        <f t="shared" si="88"/>
        <v/>
      </c>
      <c r="J23" t="str">
        <f t="shared" si="89"/>
        <v xml:space="preserve">		public virtual int UsageQty { get; set; }
</v>
      </c>
      <c r="K23" s="7"/>
      <c r="L23" t="str">
        <f t="shared" si="90"/>
        <v/>
      </c>
      <c r="M23" t="str">
        <f t="shared" si="91"/>
        <v xml:space="preserve">		public virtual int UsageQty { get; set; }
</v>
      </c>
      <c r="N23" t="str">
        <f t="shared" si="92"/>
        <v xml:space="preserve">		public virtual int UsageQty { get; set; }
</v>
      </c>
      <c r="O23" t="str">
        <f t="shared" si="93"/>
        <v xml:space="preserve">		public virtual int UsageQty { get; set; }
</v>
      </c>
      <c r="P23" t="str">
        <f t="shared" si="94"/>
        <v xml:space="preserve">							UsageQty = o.UsageQty,</v>
      </c>
      <c r="T23" s="69" t="str">
        <f t="shared" si="95"/>
        <v xml:space="preserve">								("UsageQty"),</v>
      </c>
      <c r="V23" s="70" t="str">
        <f t="shared" si="96"/>
        <v xml:space="preserve">								_ =&gt; _.UsageQty,</v>
      </c>
      <c r="W23" s="69" t="str">
        <f t="shared" si="97"/>
        <v/>
      </c>
    </row>
    <row r="24" spans="1:23" customFormat="1" ht="18.75" customHeight="1" x14ac:dyDescent="0.25">
      <c r="A24" t="s">
        <v>336</v>
      </c>
      <c r="B24" t="s">
        <v>321</v>
      </c>
      <c r="C24" t="s">
        <v>1</v>
      </c>
      <c r="D24" t="str">
        <f t="shared" si="85"/>
        <v>BodyNo</v>
      </c>
      <c r="E24" t="str">
        <f t="shared" si="86"/>
        <v>varchar</v>
      </c>
      <c r="F24" s="7"/>
      <c r="G24" t="str">
        <f t="shared" si="87"/>
        <v>50</v>
      </c>
      <c r="H24" t="str">
        <f>+VLOOKUP(E24,'Data Type Mapping'!A:B,2,)</f>
        <v>string</v>
      </c>
      <c r="I24" t="str">
        <f t="shared" si="88"/>
        <v xml:space="preserve">		public const int MaxBodyNoLength = 50;
</v>
      </c>
      <c r="J24" t="str">
        <f t="shared" si="89"/>
        <v xml:space="preserve">		[StringLength(MaxBodyNoLength)]
		public virtual string BodyNo { get; set; }
</v>
      </c>
      <c r="K24" s="7"/>
      <c r="L24" t="str">
        <f t="shared" si="90"/>
        <v/>
      </c>
      <c r="M24" t="str">
        <f t="shared" si="91"/>
        <v xml:space="preserve">		public virtual string BodyNo { get; set; }
</v>
      </c>
      <c r="N24" t="str">
        <f t="shared" si="92"/>
        <v xml:space="preserve">		[StringLength(LgaEkbProgressDetailsConsts.MaxBodyNoLength)]
		public virtual string BodyNo { get; set; }
</v>
      </c>
      <c r="O24" t="str">
        <f t="shared" si="93"/>
        <v xml:space="preserve">		public virtual string BodyNo { get; set; }
</v>
      </c>
      <c r="P24" t="str">
        <f t="shared" si="94"/>
        <v xml:space="preserve">							BodyNo = o.BodyNo,</v>
      </c>
      <c r="T24" s="69" t="str">
        <f t="shared" si="95"/>
        <v xml:space="preserve">								("BodyNo"),</v>
      </c>
      <c r="V24" s="70" t="str">
        <f t="shared" si="96"/>
        <v xml:space="preserve">								_ =&gt; _.BodyNo,</v>
      </c>
      <c r="W24" s="69" t="str">
        <f t="shared" si="97"/>
        <v xml:space="preserve">				.WhereIf(!string.IsNullOrWhiteSpace(input.BodyNo), e =&gt; e.BodyNo.Contains(input.BodyNo))</v>
      </c>
    </row>
    <row r="25" spans="1:23" customFormat="1" ht="22.5" customHeight="1" x14ac:dyDescent="0.25">
      <c r="A25" t="s">
        <v>337</v>
      </c>
      <c r="B25" t="s">
        <v>321</v>
      </c>
      <c r="C25" t="s">
        <v>1</v>
      </c>
      <c r="D25" t="str">
        <f>SUBSTITUTE(PROPER(A25),"_","")</f>
        <v>LotNo</v>
      </c>
      <c r="E25" t="str">
        <f t="shared" si="86"/>
        <v>varchar</v>
      </c>
      <c r="F25" s="7"/>
      <c r="G25" t="str">
        <f t="shared" si="87"/>
        <v>50</v>
      </c>
      <c r="H25" t="str">
        <f>+VLOOKUP(E25,'Data Type Mapping'!A:B,2,)</f>
        <v>string</v>
      </c>
      <c r="I25" t="str">
        <f t="shared" si="88"/>
        <v xml:space="preserve">		public const int MaxLotNoLength = 50;
</v>
      </c>
      <c r="J25" t="str">
        <f t="shared" si="89"/>
        <v xml:space="preserve">		[StringLength(MaxLotNoLength)]
		public virtual string LotNo { get; set; }
</v>
      </c>
      <c r="K25" s="7"/>
      <c r="L25" t="str">
        <f>IF(K25="","",REPT(CHAR(9),1)&amp;"[Index(nameof("&amp;IF(D25="","",""&amp;D25)&amp;")"&amp;", Name="&amp;"""IX_"&amp;$B$7&amp;"_"&amp;D25&amp;""")]")</f>
        <v/>
      </c>
      <c r="M25" t="str">
        <f t="shared" si="91"/>
        <v xml:space="preserve">		public virtual string LotNo { get; set; }
</v>
      </c>
      <c r="N25" t="str">
        <f t="shared" si="92"/>
        <v xml:space="preserve">		[StringLength(LgaEkbProgressDetailsConsts.MaxLotNoLength)]
		public virtual string LotNo { get; set; }
</v>
      </c>
      <c r="O25" t="str">
        <f t="shared" si="93"/>
        <v xml:space="preserve">		public virtual string LotNo { get; set; }
</v>
      </c>
      <c r="P25" t="str">
        <f t="shared" si="94"/>
        <v xml:space="preserve">							LotNo = o.LotNo,</v>
      </c>
      <c r="T25" s="69" t="str">
        <f t="shared" si="95"/>
        <v xml:space="preserve">								("LotNo"),</v>
      </c>
      <c r="V25" s="70" t="str">
        <f t="shared" si="96"/>
        <v xml:space="preserve">								_ =&gt; _.LotNo,</v>
      </c>
      <c r="W25" s="69" t="str">
        <f t="shared" si="97"/>
        <v xml:space="preserve">				.WhereIf(!string.IsNullOrWhiteSpace(input.LotNo), e =&gt; e.LotNo.Contains(input.LotNo))</v>
      </c>
    </row>
    <row r="26" spans="1:23" customFormat="1" ht="21" customHeight="1" x14ac:dyDescent="0.25">
      <c r="A26" t="s">
        <v>338</v>
      </c>
      <c r="B26" t="s">
        <v>4</v>
      </c>
      <c r="C26" t="s">
        <v>1</v>
      </c>
      <c r="D26" t="str">
        <f t="shared" ref="D26:D27" si="98">SUBSTITUTE(PROPER(A26),"_","")</f>
        <v>NoInLot</v>
      </c>
      <c r="E26" t="str">
        <f t="shared" ref="E26:E29" si="99">IFERROR(LEFT(B26, FIND("(",B26)-1),B26)</f>
        <v>int</v>
      </c>
      <c r="F26" s="7"/>
      <c r="G26" t="str">
        <f t="shared" ref="G26:G29" si="100">IFERROR(MID(B26,FIND("(",B26) +1, FIND(")",B26) - FIND("(",B26) - 1),"")</f>
        <v/>
      </c>
      <c r="H26" t="str">
        <f>+VLOOKUP(E26,'Data Type Mapping'!A:B,2,)</f>
        <v>int</v>
      </c>
      <c r="I26" t="str">
        <f t="shared" ref="I26:I29" si="101">IF(H26="string",REPT(CHAR(9),2)&amp;"public const int Max"&amp;D26&amp;"Length = "&amp;G26&amp;";"&amp;$E$3,"" )</f>
        <v/>
      </c>
      <c r="J26" t="str">
        <f t="shared" ref="J26:J29" si="102">IF(F26="","",REPT(CHAR(9),2)&amp;"[Column(TypeName="""&amp;F26&amp;""")]"&amp;$E$3)&amp;IF(C26="Checked","",$I$3)&amp;IF(H26="string",REPT(CHAR(9),2)&amp;"[StringLength(Max"&amp;D26&amp;"Length"&amp;")]"&amp;$E$3,"")&amp;REPT(CHAR(9),2)&amp;"public virtual "&amp;H26&amp;IF(C26="?","? "," ")&amp;D26&amp;" { get; set; }" &amp; "
"</f>
        <v xml:space="preserve">		public virtual int NoInLot { get; set; }
</v>
      </c>
      <c r="K26" s="7"/>
      <c r="L26" t="str">
        <f t="shared" ref="L26:L27" si="103">IF(K26="","",REPT(CHAR(9),1)&amp;"[Index(nameof("&amp;IF(D26="","",""&amp;D26)&amp;")"&amp;", Name="&amp;"""IX_"&amp;$B$7&amp;"_"&amp;D26&amp;""")]")</f>
        <v/>
      </c>
      <c r="M26" t="str">
        <f t="shared" ref="M26:M29" si="104">REPT(CHAR(9),2)&amp;"public virtual "&amp;IF(OR(H26="DateTime",H26="TimeSpan"),H26&amp;"?",H26)&amp;IF(C26="?","? "," ")&amp;D26&amp;" { get; set; }" &amp; "
"</f>
        <v xml:space="preserve">		public virtual int NoInLot { get; set; }
</v>
      </c>
      <c r="N26" t="str">
        <f t="shared" ref="N26:N29" si="105">IF(C26="Checked","",$I$3)&amp;IF(H26="string",REPT(CHAR(9),2)&amp;"[StringLength("&amp;$B$3&amp;"Consts.Max"&amp;D26&amp;"Length"&amp;")]"&amp;$E$3,"")&amp;REPT(CHAR(9),2)&amp;"public virtual "&amp;IF(OR(H26="DateTime",H26="TimeSpan"),H26&amp;"?",H26)&amp;IF(C26="?","? "," ")&amp;D26&amp;" { get; set; }" &amp; "
"</f>
        <v xml:space="preserve">		public virtual int NoInLot { get; set; }
</v>
      </c>
      <c r="O26" t="str">
        <f t="shared" ref="O26:O29" si="106">IF(OR(H26="string",H26="DateTime",H26="int"),REPT(CHAR(9),2)&amp;"public virtual "&amp;IF(OR(H26="DateTime",H26="TimeSpan"),H26&amp;"?",H26)&amp;IF(C26="?","? "," ")&amp;D26&amp;" { get; set; }"&amp;$E$3,"")</f>
        <v xml:space="preserve">		public virtual int NoInLot { get; set; }
</v>
      </c>
      <c r="P26" t="str">
        <f t="shared" ref="P26:P29" si="107">REPT(CHAR(9),7)&amp;D26&amp;" = o." &amp;D26 &amp;","</f>
        <v xml:space="preserve">							NoInLot = o.NoInLot,</v>
      </c>
      <c r="T26" s="69" t="str">
        <f t="shared" ref="T26:T29" si="108">REPT(CHAR(9),8)&amp;"("""&amp;D26&amp;"""),"</f>
        <v xml:space="preserve">								("NoInLot"),</v>
      </c>
      <c r="V26" s="70" t="str">
        <f t="shared" ref="V26:V29" si="109">REPT(CHAR(9),8)&amp;"_ =&gt; _."&amp;D26&amp;","</f>
        <v xml:space="preserve">								_ =&gt; _.NoInLot,</v>
      </c>
      <c r="W26" s="69" t="str">
        <f t="shared" ref="W26:W29" si="110">IF(H26="string",REPT(CHAR(9),4)&amp;".WhereIf(!string.IsNullOrWhiteSpace(input."&amp;D26&amp;"), e =&gt; e."&amp;D26&amp;".Contains(input."&amp;D26&amp;"))",IF(H26="DateTime",REPT(CHAR(9),4)&amp;".WhereIf(input."&amp;D26&amp;".HasValue, t =&gt; t."&amp;D26&amp;" == input."&amp;D26&amp;".Value)",""))</f>
        <v/>
      </c>
    </row>
    <row r="27" spans="1:23" customFormat="1" ht="18.75" customHeight="1" x14ac:dyDescent="0.25">
      <c r="A27" t="s">
        <v>339</v>
      </c>
      <c r="B27" t="s">
        <v>321</v>
      </c>
      <c r="C27" t="s">
        <v>1</v>
      </c>
      <c r="D27" t="str">
        <f t="shared" si="98"/>
        <v>Grade</v>
      </c>
      <c r="E27" t="str">
        <f t="shared" si="99"/>
        <v>varchar</v>
      </c>
      <c r="F27" s="7"/>
      <c r="G27" t="str">
        <f t="shared" si="100"/>
        <v>50</v>
      </c>
      <c r="H27" t="str">
        <f>+VLOOKUP(E27,'Data Type Mapping'!A:B,2,)</f>
        <v>string</v>
      </c>
      <c r="I27" t="str">
        <f t="shared" si="101"/>
        <v xml:space="preserve">		public const int MaxGradeLength = 50;
</v>
      </c>
      <c r="J27" t="str">
        <f t="shared" si="102"/>
        <v xml:space="preserve">		[StringLength(MaxGradeLength)]
		public virtual string Grade { get; set; }
</v>
      </c>
      <c r="K27" s="7"/>
      <c r="L27" t="str">
        <f t="shared" si="103"/>
        <v/>
      </c>
      <c r="M27" t="str">
        <f t="shared" si="104"/>
        <v xml:space="preserve">		public virtual string Grade { get; set; }
</v>
      </c>
      <c r="N27" t="str">
        <f t="shared" si="105"/>
        <v xml:space="preserve">		[StringLength(LgaEkbProgressDetailsConsts.MaxGradeLength)]
		public virtual string Grade { get; set; }
</v>
      </c>
      <c r="O27" t="str">
        <f t="shared" si="106"/>
        <v xml:space="preserve">		public virtual string Grade { get; set; }
</v>
      </c>
      <c r="P27" t="str">
        <f t="shared" si="107"/>
        <v xml:space="preserve">							Grade = o.Grade,</v>
      </c>
      <c r="T27" s="69" t="str">
        <f t="shared" si="108"/>
        <v xml:space="preserve">								("Grade"),</v>
      </c>
      <c r="V27" s="70" t="str">
        <f t="shared" si="109"/>
        <v xml:space="preserve">								_ =&gt; _.Grade,</v>
      </c>
      <c r="W27" s="69" t="str">
        <f t="shared" si="110"/>
        <v xml:space="preserve">				.WhereIf(!string.IsNullOrWhiteSpace(input.Grade), e =&gt; e.Grade.Contains(input.Grade))</v>
      </c>
    </row>
    <row r="28" spans="1:23" customFormat="1" ht="22.5" customHeight="1" x14ac:dyDescent="0.25">
      <c r="A28" t="s">
        <v>340</v>
      </c>
      <c r="B28" t="s">
        <v>321</v>
      </c>
      <c r="C28" t="s">
        <v>1</v>
      </c>
      <c r="D28" t="str">
        <f>SUBSTITUTE(PROPER(A28),"_","")</f>
        <v>Model</v>
      </c>
      <c r="E28" t="str">
        <f t="shared" si="99"/>
        <v>varchar</v>
      </c>
      <c r="F28" s="7"/>
      <c r="G28" t="str">
        <f t="shared" si="100"/>
        <v>50</v>
      </c>
      <c r="H28" t="str">
        <f>+VLOOKUP(E28,'Data Type Mapping'!A:B,2,)</f>
        <v>string</v>
      </c>
      <c r="I28" t="str">
        <f t="shared" si="101"/>
        <v xml:space="preserve">		public const int MaxModelLength = 50;
</v>
      </c>
      <c r="J28" t="str">
        <f t="shared" si="102"/>
        <v xml:space="preserve">		[StringLength(MaxModelLength)]
		public virtual string Model { get; set; }
</v>
      </c>
      <c r="K28" s="7"/>
      <c r="L28" t="str">
        <f>IF(K28="","",REPT(CHAR(9),1)&amp;"[Index(nameof("&amp;IF(D28="","",""&amp;D28)&amp;")"&amp;", Name="&amp;"""IX_"&amp;$B$7&amp;"_"&amp;D28&amp;""")]")</f>
        <v/>
      </c>
      <c r="M28" t="str">
        <f t="shared" si="104"/>
        <v xml:space="preserve">		public virtual string Model { get; set; }
</v>
      </c>
      <c r="N28" t="str">
        <f t="shared" si="105"/>
        <v xml:space="preserve">		[StringLength(LgaEkbProgressDetailsConsts.MaxModelLength)]
		public virtual string Model { get; set; }
</v>
      </c>
      <c r="O28" t="str">
        <f t="shared" si="106"/>
        <v xml:space="preserve">		public virtual string Model { get; set; }
</v>
      </c>
      <c r="P28" t="str">
        <f t="shared" si="107"/>
        <v xml:space="preserve">							Model = o.Model,</v>
      </c>
      <c r="T28" s="69" t="str">
        <f t="shared" si="108"/>
        <v xml:space="preserve">								("Model"),</v>
      </c>
      <c r="V28" s="70" t="str">
        <f t="shared" si="109"/>
        <v xml:space="preserve">								_ =&gt; _.Model,</v>
      </c>
      <c r="W28" s="69" t="str">
        <f t="shared" si="110"/>
        <v xml:space="preserve">				.WhereIf(!string.IsNullOrWhiteSpace(input.Model), e =&gt; e.Model.Contains(input.Model))</v>
      </c>
    </row>
    <row r="29" spans="1:23" customFormat="1" ht="18.75" customHeight="1" x14ac:dyDescent="0.25">
      <c r="A29" t="s">
        <v>362</v>
      </c>
      <c r="B29" t="s">
        <v>321</v>
      </c>
      <c r="C29" t="s">
        <v>1</v>
      </c>
      <c r="D29" t="str">
        <f t="shared" ref="D29" si="111">SUBSTITUTE(PROPER(A29),"_","")</f>
        <v>BodyColor</v>
      </c>
      <c r="E29" t="str">
        <f t="shared" si="99"/>
        <v>varchar</v>
      </c>
      <c r="F29" s="7"/>
      <c r="G29" t="str">
        <f t="shared" si="100"/>
        <v>50</v>
      </c>
      <c r="H29" t="str">
        <f>+VLOOKUP(E29,'Data Type Mapping'!A:B,2,)</f>
        <v>string</v>
      </c>
      <c r="I29" t="str">
        <f t="shared" si="101"/>
        <v xml:space="preserve">		public const int MaxBodyColorLength = 50;
</v>
      </c>
      <c r="J29" t="str">
        <f t="shared" si="102"/>
        <v xml:space="preserve">		[StringLength(MaxBodyColorLength)]
		public virtual string BodyColor { get; set; }
</v>
      </c>
      <c r="K29" s="7"/>
      <c r="L29" t="str">
        <f t="shared" ref="L29" si="112">IF(K29="","",REPT(CHAR(9),1)&amp;"[Index(nameof("&amp;IF(D29="","",""&amp;D29)&amp;")"&amp;", Name="&amp;"""IX_"&amp;$B$7&amp;"_"&amp;D29&amp;""")]")</f>
        <v/>
      </c>
      <c r="M29" t="str">
        <f t="shared" si="104"/>
        <v xml:space="preserve">		public virtual string BodyColor { get; set; }
</v>
      </c>
      <c r="N29" t="str">
        <f t="shared" si="105"/>
        <v xml:space="preserve">		[StringLength(LgaEkbProgressDetailsConsts.MaxBodyColorLength)]
		public virtual string BodyColor { get; set; }
</v>
      </c>
      <c r="O29" t="str">
        <f t="shared" si="106"/>
        <v xml:space="preserve">		public virtual string BodyColor { get; set; }
</v>
      </c>
      <c r="P29" t="str">
        <f t="shared" si="107"/>
        <v xml:space="preserve">							BodyColor = o.BodyColor,</v>
      </c>
      <c r="T29" s="69" t="str">
        <f t="shared" si="108"/>
        <v xml:space="preserve">								("BodyColor"),</v>
      </c>
      <c r="V29" s="70" t="str">
        <f t="shared" si="109"/>
        <v xml:space="preserve">								_ =&gt; _.BodyColor,</v>
      </c>
      <c r="W29" s="69" t="str">
        <f t="shared" si="110"/>
        <v xml:space="preserve">				.WhereIf(!string.IsNullOrWhiteSpace(input.BodyColor), e =&gt; e.BodyColor.Contains(input.BodyColor))</v>
      </c>
    </row>
    <row r="30" spans="1:23" customFormat="1" ht="21" customHeight="1" x14ac:dyDescent="0.25">
      <c r="A30" t="s">
        <v>349</v>
      </c>
      <c r="B30" t="s">
        <v>4</v>
      </c>
      <c r="C30" t="s">
        <v>1</v>
      </c>
      <c r="D30" t="str">
        <f t="shared" ref="D30" si="113">SUBSTITUTE(PROPER(A30),"_","")</f>
        <v>ScanQty</v>
      </c>
      <c r="E30" t="str">
        <f t="shared" ref="E30" si="114">IFERROR(LEFT(B30, FIND("(",B30)-1),B30)</f>
        <v>int</v>
      </c>
      <c r="F30" s="7"/>
      <c r="G30" t="str">
        <f t="shared" ref="G30" si="115">IFERROR(MID(B30,FIND("(",B30) +1, FIND(")",B30) - FIND("(",B30) - 1),"")</f>
        <v/>
      </c>
      <c r="H30" t="str">
        <f>+VLOOKUP(E30,'Data Type Mapping'!A:B,2,)</f>
        <v>int</v>
      </c>
      <c r="I30" t="str">
        <f t="shared" ref="I30" si="116">IF(H30="string",REPT(CHAR(9),2)&amp;"public const int Max"&amp;D30&amp;"Length = "&amp;G30&amp;";"&amp;$E$3,"" )</f>
        <v/>
      </c>
      <c r="J30" t="str">
        <f t="shared" ref="J30" si="117">IF(F30="","",REPT(CHAR(9),2)&amp;"[Column(TypeName="""&amp;F30&amp;""")]"&amp;$E$3)&amp;IF(C30="Checked","",$I$3)&amp;IF(H30="string",REPT(CHAR(9),2)&amp;"[StringLength(Max"&amp;D30&amp;"Length"&amp;")]"&amp;$E$3,"")&amp;REPT(CHAR(9),2)&amp;"public virtual "&amp;H30&amp;IF(C30="?","? "," ")&amp;D30&amp;" { get; set; }" &amp; "
"</f>
        <v xml:space="preserve">		public virtual int ScanQty { get; set; }
</v>
      </c>
      <c r="K30" s="7"/>
      <c r="L30" t="str">
        <f t="shared" ref="L30" si="118">IF(K30="","",REPT(CHAR(9),1)&amp;"[Index(nameof("&amp;IF(D30="","",""&amp;D30)&amp;")"&amp;", Name="&amp;"""IX_"&amp;$B$7&amp;"_"&amp;D30&amp;""")]")</f>
        <v/>
      </c>
      <c r="M30" t="str">
        <f t="shared" ref="M30" si="119">REPT(CHAR(9),2)&amp;"public virtual "&amp;IF(OR(H30="DateTime",H30="TimeSpan"),H30&amp;"?",H30)&amp;IF(C30="?","? "," ")&amp;D30&amp;" { get; set; }" &amp; "
"</f>
        <v xml:space="preserve">		public virtual int ScanQty { get; set; }
</v>
      </c>
      <c r="N30" t="str">
        <f t="shared" ref="N30" si="120">IF(C30="Checked","",$I$3)&amp;IF(H30="string",REPT(CHAR(9),2)&amp;"[StringLength("&amp;$B$3&amp;"Consts.Max"&amp;D30&amp;"Length"&amp;")]"&amp;$E$3,"")&amp;REPT(CHAR(9),2)&amp;"public virtual "&amp;IF(OR(H30="DateTime",H30="TimeSpan"),H30&amp;"?",H30)&amp;IF(C30="?","? "," ")&amp;D30&amp;" { get; set; }" &amp; "
"</f>
        <v xml:space="preserve">		public virtual int ScanQty { get; set; }
</v>
      </c>
      <c r="O30" t="str">
        <f t="shared" ref="O30" si="121">IF(OR(H30="string",H30="DateTime",H30="int"),REPT(CHAR(9),2)&amp;"public virtual "&amp;IF(OR(H30="DateTime",H30="TimeSpan"),H30&amp;"?",H30)&amp;IF(C30="?","? "," ")&amp;D30&amp;" { get; set; }"&amp;$E$3,"")</f>
        <v xml:space="preserve">		public virtual int ScanQty { get; set; }
</v>
      </c>
      <c r="P30" t="str">
        <f t="shared" ref="P30" si="122">REPT(CHAR(9),7)&amp;D30&amp;" = o." &amp;D30 &amp;","</f>
        <v xml:space="preserve">							ScanQty = o.ScanQty,</v>
      </c>
      <c r="T30" s="69" t="str">
        <f t="shared" ref="T30" si="123">REPT(CHAR(9),8)&amp;"("""&amp;D30&amp;"""),"</f>
        <v xml:space="preserve">								("ScanQty"),</v>
      </c>
      <c r="V30" s="70" t="str">
        <f t="shared" ref="V30" si="124">REPT(CHAR(9),8)&amp;"_ =&gt; _."&amp;D30&amp;","</f>
        <v xml:space="preserve">								_ =&gt; _.ScanQty,</v>
      </c>
      <c r="W30" s="69" t="str">
        <f t="shared" ref="W30" si="125">IF(H30="string",REPT(CHAR(9),4)&amp;".WhereIf(!string.IsNullOrWhiteSpace(input."&amp;D30&amp;"), e =&gt; e."&amp;D30&amp;".Contains(input."&amp;D30&amp;"))",IF(H30="DateTime",REPT(CHAR(9),4)&amp;".WhereIf(input."&amp;D30&amp;".HasValue, t =&gt; t."&amp;D30&amp;" == input."&amp;D30&amp;".Value)",""))</f>
        <v/>
      </c>
    </row>
    <row r="31" spans="1:23" customFormat="1" ht="21" customHeight="1" x14ac:dyDescent="0.25">
      <c r="A31" t="s">
        <v>351</v>
      </c>
      <c r="B31" t="s">
        <v>4</v>
      </c>
      <c r="C31" t="s">
        <v>1</v>
      </c>
      <c r="D31" t="str">
        <f t="shared" ref="D31" si="126">SUBSTITUTE(PROPER(A31),"_","")</f>
        <v>InputQty</v>
      </c>
      <c r="E31" t="str">
        <f t="shared" ref="E31:E32" si="127">IFERROR(LEFT(B31, FIND("(",B31)-1),B31)</f>
        <v>int</v>
      </c>
      <c r="F31" s="7"/>
      <c r="G31" t="str">
        <f t="shared" ref="G31:G32" si="128">IFERROR(MID(B31,FIND("(",B31) +1, FIND(")",B31) - FIND("(",B31) - 1),"")</f>
        <v/>
      </c>
      <c r="H31" t="str">
        <f>+VLOOKUP(E31,'Data Type Mapping'!A:B,2,)</f>
        <v>int</v>
      </c>
      <c r="I31" t="str">
        <f t="shared" ref="I31:I32" si="129">IF(H31="string",REPT(CHAR(9),2)&amp;"public const int Max"&amp;D31&amp;"Length = "&amp;G31&amp;";"&amp;$E$3,"" )</f>
        <v/>
      </c>
      <c r="J31" t="str">
        <f t="shared" ref="J31:J32" si="130">IF(F31="","",REPT(CHAR(9),2)&amp;"[Column(TypeName="""&amp;F31&amp;""")]"&amp;$E$3)&amp;IF(C31="Checked","",$I$3)&amp;IF(H31="string",REPT(CHAR(9),2)&amp;"[StringLength(Max"&amp;D31&amp;"Length"&amp;")]"&amp;$E$3,"")&amp;REPT(CHAR(9),2)&amp;"public virtual "&amp;H31&amp;IF(C31="?","? "," ")&amp;D31&amp;" { get; set; }" &amp; "
"</f>
        <v xml:space="preserve">		public virtual int InputQty { get; set; }
</v>
      </c>
      <c r="K31" s="7"/>
      <c r="L31" t="str">
        <f t="shared" ref="L31" si="131">IF(K31="","",REPT(CHAR(9),1)&amp;"[Index(nameof("&amp;IF(D31="","",""&amp;D31)&amp;")"&amp;", Name="&amp;"""IX_"&amp;$B$7&amp;"_"&amp;D31&amp;""")]")</f>
        <v/>
      </c>
      <c r="M31" t="str">
        <f t="shared" ref="M31:M32" si="132">REPT(CHAR(9),2)&amp;"public virtual "&amp;IF(OR(H31="DateTime",H31="TimeSpan"),H31&amp;"?",H31)&amp;IF(C31="?","? "," ")&amp;D31&amp;" { get; set; }" &amp; "
"</f>
        <v xml:space="preserve">		public virtual int InputQty { get; set; }
</v>
      </c>
      <c r="N31" t="str">
        <f t="shared" ref="N31:N32" si="133">IF(C31="Checked","",$I$3)&amp;IF(H31="string",REPT(CHAR(9),2)&amp;"[StringLength("&amp;$B$3&amp;"Consts.Max"&amp;D31&amp;"Length"&amp;")]"&amp;$E$3,"")&amp;REPT(CHAR(9),2)&amp;"public virtual "&amp;IF(OR(H31="DateTime",H31="TimeSpan"),H31&amp;"?",H31)&amp;IF(C31="?","? "," ")&amp;D31&amp;" { get; set; }" &amp; "
"</f>
        <v xml:space="preserve">		public virtual int InputQty { get; set; }
</v>
      </c>
      <c r="O31" t="str">
        <f t="shared" ref="O31:O32" si="134">IF(OR(H31="string",H31="DateTime",H31="int"),REPT(CHAR(9),2)&amp;"public virtual "&amp;IF(OR(H31="DateTime",H31="TimeSpan"),H31&amp;"?",H31)&amp;IF(C31="?","? "," ")&amp;D31&amp;" { get; set; }"&amp;$E$3,"")</f>
        <v xml:space="preserve">		public virtual int InputQty { get; set; }
</v>
      </c>
      <c r="P31" t="str">
        <f t="shared" ref="P31:P32" si="135">REPT(CHAR(9),7)&amp;D31&amp;" = o." &amp;D31 &amp;","</f>
        <v xml:space="preserve">							InputQty = o.InputQty,</v>
      </c>
      <c r="T31" s="69" t="str">
        <f t="shared" ref="T31:T32" si="136">REPT(CHAR(9),8)&amp;"("""&amp;D31&amp;"""),"</f>
        <v xml:space="preserve">								("InputQty"),</v>
      </c>
      <c r="V31" s="70" t="str">
        <f t="shared" ref="V31:V32" si="137">REPT(CHAR(9),8)&amp;"_ =&gt; _."&amp;D31&amp;","</f>
        <v xml:space="preserve">								_ =&gt; _.InputQty,</v>
      </c>
      <c r="W31" s="69" t="str">
        <f t="shared" ref="W31:W32" si="138">IF(H31="string",REPT(CHAR(9),4)&amp;".WhereIf(!string.IsNullOrWhiteSpace(input."&amp;D31&amp;"), e =&gt; e."&amp;D31&amp;".Contains(input."&amp;D31&amp;"))",IF(H31="DateTime",REPT(CHAR(9),4)&amp;".WhereIf(input."&amp;D31&amp;".HasValue, t =&gt; t."&amp;D31&amp;" == input."&amp;D31&amp;".Value)",""))</f>
        <v/>
      </c>
    </row>
    <row r="32" spans="1:23" customFormat="1" ht="22.5" customHeight="1" x14ac:dyDescent="0.25">
      <c r="A32" t="s">
        <v>352</v>
      </c>
      <c r="B32" t="s">
        <v>324</v>
      </c>
      <c r="C32" t="s">
        <v>1</v>
      </c>
      <c r="D32" t="str">
        <f>SUBSTITUTE(PROPER(A32),"_","")</f>
        <v>IsZeroKb</v>
      </c>
      <c r="E32" t="str">
        <f t="shared" si="127"/>
        <v>varchar</v>
      </c>
      <c r="F32" s="7"/>
      <c r="G32" t="str">
        <f t="shared" si="128"/>
        <v>1</v>
      </c>
      <c r="H32" t="str">
        <f>+VLOOKUP(E32,'Data Type Mapping'!A:B,2,)</f>
        <v>string</v>
      </c>
      <c r="I32" t="str">
        <f t="shared" si="129"/>
        <v xml:space="preserve">		public const int MaxIsZeroKbLength = 1;
</v>
      </c>
      <c r="J32" t="str">
        <f t="shared" si="130"/>
        <v xml:space="preserve">		[StringLength(MaxIsZeroKbLength)]
		public virtual string IsZeroKb { get; set; }
</v>
      </c>
      <c r="K32" s="7" t="s">
        <v>206</v>
      </c>
      <c r="L32" t="str">
        <f>IF(K32="","",REPT(CHAR(9),1)&amp;"[Index(nameof("&amp;IF(D32="","",""&amp;D32)&amp;")"&amp;", Name="&amp;"""IX_"&amp;$B$7&amp;"_"&amp;D32&amp;""")]")</f>
        <v xml:space="preserve">	[Index(nameof(IsZeroKb), Name="IX_LgaEkbProgressDetails_IsZeroKb")]</v>
      </c>
      <c r="M32" t="str">
        <f t="shared" si="132"/>
        <v xml:space="preserve">		public virtual string IsZeroKb { get; set; }
</v>
      </c>
      <c r="N32" t="str">
        <f t="shared" si="133"/>
        <v xml:space="preserve">		[StringLength(LgaEkbProgressDetailsConsts.MaxIsZeroKbLength)]
		public virtual string IsZeroKb { get; set; }
</v>
      </c>
      <c r="O32" t="str">
        <f t="shared" si="134"/>
        <v xml:space="preserve">		public virtual string IsZeroKb { get; set; }
</v>
      </c>
      <c r="P32" t="str">
        <f t="shared" si="135"/>
        <v xml:space="preserve">							IsZeroKb = o.IsZeroKb,</v>
      </c>
      <c r="T32" s="69" t="str">
        <f t="shared" si="136"/>
        <v xml:space="preserve">								("IsZeroKb"),</v>
      </c>
      <c r="V32" s="70" t="str">
        <f t="shared" si="137"/>
        <v xml:space="preserve">								_ =&gt; _.IsZeroKb,</v>
      </c>
      <c r="W32" s="69" t="str">
        <f t="shared" si="138"/>
        <v xml:space="preserve">				.WhereIf(!string.IsNullOrWhiteSpace(input.IsZeroKb), e =&gt; e.IsZeroKb.Contains(input.IsZeroKb))</v>
      </c>
    </row>
    <row r="33" spans="1:23" customFormat="1" ht="18.75" customHeight="1" x14ac:dyDescent="0.25">
      <c r="A33" t="s">
        <v>330</v>
      </c>
      <c r="B33" t="s">
        <v>328</v>
      </c>
      <c r="C33" t="s">
        <v>1</v>
      </c>
      <c r="D33" t="str">
        <f t="shared" si="85"/>
        <v>NewtaktDatetime</v>
      </c>
      <c r="E33" t="str">
        <f t="shared" si="86"/>
        <v>datetime2</v>
      </c>
      <c r="F33" s="7" t="s">
        <v>328</v>
      </c>
      <c r="G33" t="str">
        <f t="shared" si="87"/>
        <v>7</v>
      </c>
      <c r="H33" t="str">
        <f>+VLOOKUP(E33,'Data Type Mapping'!A:B,2,)</f>
        <v>DateTime</v>
      </c>
      <c r="I33" t="str">
        <f t="shared" si="88"/>
        <v/>
      </c>
      <c r="J33" t="str">
        <f t="shared" si="89"/>
        <v xml:space="preserve">		[Column(TypeName="datetime2(7)")]
		public virtual DateTime NewtaktDatetime { get; set; }
</v>
      </c>
      <c r="K33" s="7"/>
      <c r="L33" t="str">
        <f t="shared" si="90"/>
        <v/>
      </c>
      <c r="M33" t="str">
        <f t="shared" si="91"/>
        <v xml:space="preserve">		public virtual DateTime? NewtaktDatetime { get; set; }
</v>
      </c>
      <c r="N33" t="str">
        <f t="shared" si="92"/>
        <v xml:space="preserve">		public virtual DateTime? NewtaktDatetime { get; set; }
</v>
      </c>
      <c r="O33" t="str">
        <f t="shared" si="93"/>
        <v xml:space="preserve">		public virtual DateTime? NewtaktDatetime { get; set; }
</v>
      </c>
      <c r="P33" t="str">
        <f t="shared" si="94"/>
        <v xml:space="preserve">							NewtaktDatetime = o.NewtaktDatetime,</v>
      </c>
      <c r="T33" s="69" t="str">
        <f t="shared" si="95"/>
        <v xml:space="preserve">								("NewtaktDatetime"),</v>
      </c>
      <c r="V33" s="70" t="str">
        <f t="shared" si="96"/>
        <v xml:space="preserve">								_ =&gt; _.NewtaktDatetime,</v>
      </c>
      <c r="W33" s="69" t="str">
        <f t="shared" si="97"/>
        <v xml:space="preserve">				.WhereIf(input.NewtaktDatetime.HasValue, t =&gt; t.NewtaktDatetime == input.NewtaktDatetime.Value)</v>
      </c>
    </row>
    <row r="34" spans="1:23" customFormat="1" ht="18.75" customHeight="1" x14ac:dyDescent="0.25">
      <c r="A34" t="s">
        <v>354</v>
      </c>
      <c r="B34" t="s">
        <v>328</v>
      </c>
      <c r="C34" t="s">
        <v>1</v>
      </c>
      <c r="D34" t="str">
        <f t="shared" si="37"/>
        <v>PikStartDatetime</v>
      </c>
      <c r="E34" t="str">
        <f t="shared" si="13"/>
        <v>datetime2</v>
      </c>
      <c r="F34" s="7" t="s">
        <v>328</v>
      </c>
      <c r="G34" t="str">
        <f t="shared" si="14"/>
        <v>7</v>
      </c>
      <c r="H34" t="str">
        <f>+VLOOKUP(E34,'Data Type Mapping'!A:B,2,)</f>
        <v>DateTime</v>
      </c>
      <c r="I34" t="str">
        <f t="shared" si="15"/>
        <v/>
      </c>
      <c r="J34" t="str">
        <f t="shared" si="16"/>
        <v xml:space="preserve">		[Column(TypeName="datetime2(7)")]
		public virtual DateTime PikStartDatetime { get; set; }
</v>
      </c>
      <c r="K34" s="7"/>
      <c r="L34" t="str">
        <f t="shared" si="38"/>
        <v/>
      </c>
      <c r="M34" t="str">
        <f t="shared" si="17"/>
        <v xml:space="preserve">		public virtual DateTime? PikStartDatetime { get; set; }
</v>
      </c>
      <c r="N34" t="str">
        <f t="shared" si="18"/>
        <v xml:space="preserve">		public virtual DateTime? PikStartDatetime { get; set; }
</v>
      </c>
      <c r="O34" t="str">
        <f t="shared" si="19"/>
        <v xml:space="preserve">		public virtual DateTime? PikStartDatetime { get; set; }
</v>
      </c>
      <c r="P34" t="str">
        <f t="shared" si="20"/>
        <v xml:space="preserve">							PikStartDatetime = o.PikStartDatetime,</v>
      </c>
      <c r="T34" s="69" t="str">
        <f t="shared" si="21"/>
        <v xml:space="preserve">								("PikStartDatetime"),</v>
      </c>
      <c r="V34" s="70" t="str">
        <f t="shared" si="22"/>
        <v xml:space="preserve">								_ =&gt; _.PikStartDatetime,</v>
      </c>
      <c r="W34" s="69" t="str">
        <f t="shared" si="23"/>
        <v xml:space="preserve">				.WhereIf(input.PikStartDatetime.HasValue, t =&gt; t.PikStartDatetime == input.PikStartDatetime.Value)</v>
      </c>
    </row>
    <row r="35" spans="1:23" customFormat="1" ht="18.75" customHeight="1" x14ac:dyDescent="0.25">
      <c r="A35" t="s">
        <v>355</v>
      </c>
      <c r="B35" t="s">
        <v>328</v>
      </c>
      <c r="C35" t="s">
        <v>1</v>
      </c>
      <c r="D35" t="str">
        <f t="shared" ref="D35:D36" si="139">SUBSTITUTE(PROPER(A35),"_","")</f>
        <v>PikFinishDatetime</v>
      </c>
      <c r="E35" t="str">
        <f t="shared" ref="E35:E36" si="140">IFERROR(LEFT(B35, FIND("(",B35)-1),B35)</f>
        <v>datetime2</v>
      </c>
      <c r="F35" s="7" t="s">
        <v>328</v>
      </c>
      <c r="G35" t="str">
        <f t="shared" ref="G35:G36" si="141">IFERROR(MID(B35,FIND("(",B35) +1, FIND(")",B35) - FIND("(",B35) - 1),"")</f>
        <v>7</v>
      </c>
      <c r="H35" t="str">
        <f>+VLOOKUP(E35,'Data Type Mapping'!A:B,2,)</f>
        <v>DateTime</v>
      </c>
      <c r="I35" t="str">
        <f t="shared" ref="I35:I36" si="142">IF(H35="string",REPT(CHAR(9),2)&amp;"public const int Max"&amp;D35&amp;"Length = "&amp;G35&amp;";"&amp;$E$3,"" )</f>
        <v/>
      </c>
      <c r="J35" t="str">
        <f t="shared" ref="J35:J36" si="143">IF(F35="","",REPT(CHAR(9),2)&amp;"[Column(TypeName="""&amp;F35&amp;""")]"&amp;$E$3)&amp;IF(C35="Checked","",$I$3)&amp;IF(H35="string",REPT(CHAR(9),2)&amp;"[StringLength(Max"&amp;D35&amp;"Length"&amp;")]"&amp;$E$3,"")&amp;REPT(CHAR(9),2)&amp;"public virtual "&amp;H35&amp;IF(C35="?","? "," ")&amp;D35&amp;" { get; set; }" &amp; "
"</f>
        <v xml:space="preserve">		[Column(TypeName="datetime2(7)")]
		public virtual DateTime PikFinishDatetime { get; set; }
</v>
      </c>
      <c r="K35" s="7"/>
      <c r="L35" t="str">
        <f t="shared" ref="L35:L36" si="144">IF(K35="","",REPT(CHAR(9),1)&amp;"[Index(nameof("&amp;IF(D35="","",""&amp;D35)&amp;")"&amp;", Name="&amp;"""IX_"&amp;$B$7&amp;"_"&amp;D35&amp;""")]")</f>
        <v/>
      </c>
      <c r="M35" t="str">
        <f t="shared" ref="M35:M36" si="145">REPT(CHAR(9),2)&amp;"public virtual "&amp;IF(OR(H35="DateTime",H35="TimeSpan"),H35&amp;"?",H35)&amp;IF(C35="?","? "," ")&amp;D35&amp;" { get; set; }" &amp; "
"</f>
        <v xml:space="preserve">		public virtual DateTime? PikFinishDatetime { get; set; }
</v>
      </c>
      <c r="N35" t="str">
        <f t="shared" ref="N35:N36" si="146">IF(C35="Checked","",$I$3)&amp;IF(H35="string",REPT(CHAR(9),2)&amp;"[StringLength("&amp;$B$3&amp;"Consts.Max"&amp;D35&amp;"Length"&amp;")]"&amp;$E$3,"")&amp;REPT(CHAR(9),2)&amp;"public virtual "&amp;IF(OR(H35="DateTime",H35="TimeSpan"),H35&amp;"?",H35)&amp;IF(C35="?","? "," ")&amp;D35&amp;" { get; set; }" &amp; "
"</f>
        <v xml:space="preserve">		public virtual DateTime? PikFinishDatetime { get; set; }
</v>
      </c>
      <c r="O35" t="str">
        <f t="shared" ref="O35:O36" si="147">IF(OR(H35="string",H35="DateTime",H35="int"),REPT(CHAR(9),2)&amp;"public virtual "&amp;IF(OR(H35="DateTime",H35="TimeSpan"),H35&amp;"?",H35)&amp;IF(C35="?","? "," ")&amp;D35&amp;" { get; set; }"&amp;$E$3,"")</f>
        <v xml:space="preserve">		public virtual DateTime? PikFinishDatetime { get; set; }
</v>
      </c>
      <c r="P35" t="str">
        <f t="shared" ref="P35:P36" si="148">REPT(CHAR(9),7)&amp;D35&amp;" = o." &amp;D35 &amp;","</f>
        <v xml:space="preserve">							PikFinishDatetime = o.PikFinishDatetime,</v>
      </c>
      <c r="T35" s="69" t="str">
        <f t="shared" ref="T35:T36" si="149">REPT(CHAR(9),8)&amp;"("""&amp;D35&amp;"""),"</f>
        <v xml:space="preserve">								("PikFinishDatetime"),</v>
      </c>
      <c r="V35" s="70" t="str">
        <f t="shared" ref="V35:V36" si="150">REPT(CHAR(9),8)&amp;"_ =&gt; _."&amp;D35&amp;","</f>
        <v xml:space="preserve">								_ =&gt; _.PikFinishDatetime,</v>
      </c>
      <c r="W35" s="69" t="str">
        <f t="shared" ref="W35:W36" si="151">IF(H35="string",REPT(CHAR(9),4)&amp;".WhereIf(!string.IsNullOrWhiteSpace(input."&amp;D35&amp;"), e =&gt; e."&amp;D35&amp;".Contains(input."&amp;D35&amp;"))",IF(H35="DateTime",REPT(CHAR(9),4)&amp;".WhereIf(input."&amp;D35&amp;".HasValue, t =&gt; t."&amp;D35&amp;" == input."&amp;D35&amp;".Value)",""))</f>
        <v xml:space="preserve">				.WhereIf(input.PikFinishDatetime.HasValue, t =&gt; t.PikFinishDatetime == input.PikFinishDatetime.Value)</v>
      </c>
    </row>
    <row r="36" spans="1:23" customFormat="1" ht="18.75" customHeight="1" x14ac:dyDescent="0.25">
      <c r="A36" t="s">
        <v>356</v>
      </c>
      <c r="B36" t="s">
        <v>328</v>
      </c>
      <c r="C36" t="s">
        <v>1</v>
      </c>
      <c r="D36" t="str">
        <f t="shared" si="139"/>
        <v>DelStartDatetime</v>
      </c>
      <c r="E36" t="str">
        <f t="shared" si="140"/>
        <v>datetime2</v>
      </c>
      <c r="F36" s="7" t="s">
        <v>328</v>
      </c>
      <c r="G36" t="str">
        <f t="shared" si="141"/>
        <v>7</v>
      </c>
      <c r="H36" t="str">
        <f>+VLOOKUP(E36,'Data Type Mapping'!A:B,2,)</f>
        <v>DateTime</v>
      </c>
      <c r="I36" t="str">
        <f t="shared" si="142"/>
        <v/>
      </c>
      <c r="J36" t="str">
        <f t="shared" si="143"/>
        <v xml:space="preserve">		[Column(TypeName="datetime2(7)")]
		public virtual DateTime DelStartDatetime { get; set; }
</v>
      </c>
      <c r="K36" s="7"/>
      <c r="L36" t="str">
        <f t="shared" si="144"/>
        <v/>
      </c>
      <c r="M36" t="str">
        <f t="shared" si="145"/>
        <v xml:space="preserve">		public virtual DateTime? DelStartDatetime { get; set; }
</v>
      </c>
      <c r="N36" t="str">
        <f t="shared" si="146"/>
        <v xml:space="preserve">		public virtual DateTime? DelStartDatetime { get; set; }
</v>
      </c>
      <c r="O36" t="str">
        <f t="shared" si="147"/>
        <v xml:space="preserve">		public virtual DateTime? DelStartDatetime { get; set; }
</v>
      </c>
      <c r="P36" t="str">
        <f t="shared" si="148"/>
        <v xml:space="preserve">							DelStartDatetime = o.DelStartDatetime,</v>
      </c>
      <c r="T36" s="69" t="str">
        <f t="shared" si="149"/>
        <v xml:space="preserve">								("DelStartDatetime"),</v>
      </c>
      <c r="V36" s="70" t="str">
        <f t="shared" si="150"/>
        <v xml:space="preserve">								_ =&gt; _.DelStartDatetime,</v>
      </c>
      <c r="W36" s="69" t="str">
        <f t="shared" si="151"/>
        <v xml:space="preserve">				.WhereIf(input.DelStartDatetime.HasValue, t =&gt; t.DelStartDatetime == input.DelStartDatetime.Value)</v>
      </c>
    </row>
    <row r="37" spans="1:23" customFormat="1" ht="18.75" customHeight="1" x14ac:dyDescent="0.25">
      <c r="A37" t="s">
        <v>357</v>
      </c>
      <c r="B37" t="s">
        <v>328</v>
      </c>
      <c r="C37" t="s">
        <v>1</v>
      </c>
      <c r="D37" t="str">
        <f t="shared" ref="D37" si="152">SUBSTITUTE(PROPER(A37),"_","")</f>
        <v>DelFinishDatetime</v>
      </c>
      <c r="E37" t="str">
        <f t="shared" ref="E37" si="153">IFERROR(LEFT(B37, FIND("(",B37)-1),B37)</f>
        <v>datetime2</v>
      </c>
      <c r="F37" s="7" t="s">
        <v>328</v>
      </c>
      <c r="G37" t="str">
        <f t="shared" ref="G37" si="154">IFERROR(MID(B37,FIND("(",B37) +1, FIND(")",B37) - FIND("(",B37) - 1),"")</f>
        <v>7</v>
      </c>
      <c r="H37" t="str">
        <f>+VLOOKUP(E37,'Data Type Mapping'!A:B,2,)</f>
        <v>DateTime</v>
      </c>
      <c r="I37" t="str">
        <f t="shared" ref="I37" si="155">IF(H37="string",REPT(CHAR(9),2)&amp;"public const int Max"&amp;D37&amp;"Length = "&amp;G37&amp;";"&amp;$E$3,"" )</f>
        <v/>
      </c>
      <c r="J37" t="str">
        <f t="shared" ref="J37" si="156">IF(F37="","",REPT(CHAR(9),2)&amp;"[Column(TypeName="""&amp;F37&amp;""")]"&amp;$E$3)&amp;IF(C37="Checked","",$I$3)&amp;IF(H37="string",REPT(CHAR(9),2)&amp;"[StringLength(Max"&amp;D37&amp;"Length"&amp;")]"&amp;$E$3,"")&amp;REPT(CHAR(9),2)&amp;"public virtual "&amp;H37&amp;IF(C37="?","? "," ")&amp;D37&amp;" { get; set; }" &amp; "
"</f>
        <v xml:space="preserve">		[Column(TypeName="datetime2(7)")]
		public virtual DateTime DelFinishDatetime { get; set; }
</v>
      </c>
      <c r="K37" s="7"/>
      <c r="L37" t="str">
        <f t="shared" ref="L37" si="157">IF(K37="","",REPT(CHAR(9),1)&amp;"[Index(nameof("&amp;IF(D37="","",""&amp;D37)&amp;")"&amp;", Name="&amp;"""IX_"&amp;$B$7&amp;"_"&amp;D37&amp;""")]")</f>
        <v/>
      </c>
      <c r="M37" t="str">
        <f t="shared" ref="M37" si="158">REPT(CHAR(9),2)&amp;"public virtual "&amp;IF(OR(H37="DateTime",H37="TimeSpan"),H37&amp;"?",H37)&amp;IF(C37="?","? "," ")&amp;D37&amp;" { get; set; }" &amp; "
"</f>
        <v xml:space="preserve">		public virtual DateTime? DelFinishDatetime { get; set; }
</v>
      </c>
      <c r="N37" t="str">
        <f t="shared" ref="N37" si="159">IF(C37="Checked","",$I$3)&amp;IF(H37="string",REPT(CHAR(9),2)&amp;"[StringLength("&amp;$B$3&amp;"Consts.Max"&amp;D37&amp;"Length"&amp;")]"&amp;$E$3,"")&amp;REPT(CHAR(9),2)&amp;"public virtual "&amp;IF(OR(H37="DateTime",H37="TimeSpan"),H37&amp;"?",H37)&amp;IF(C37="?","? "," ")&amp;D37&amp;" { get; set; }" &amp; "
"</f>
        <v xml:space="preserve">		public virtual DateTime? DelFinishDatetime { get; set; }
</v>
      </c>
      <c r="O37" t="str">
        <f t="shared" ref="O37" si="160">IF(OR(H37="string",H37="DateTime",H37="int"),REPT(CHAR(9),2)&amp;"public virtual "&amp;IF(OR(H37="DateTime",H37="TimeSpan"),H37&amp;"?",H37)&amp;IF(C37="?","? "," ")&amp;D37&amp;" { get; set; }"&amp;$E$3,"")</f>
        <v xml:space="preserve">		public virtual DateTime? DelFinishDatetime { get; set; }
</v>
      </c>
      <c r="P37" t="str">
        <f t="shared" ref="P37" si="161">REPT(CHAR(9),7)&amp;D37&amp;" = o." &amp;D37 &amp;","</f>
        <v xml:space="preserve">							DelFinishDatetime = o.DelFinishDatetime,</v>
      </c>
      <c r="T37" s="69" t="str">
        <f t="shared" ref="T37" si="162">REPT(CHAR(9),8)&amp;"("""&amp;D37&amp;"""),"</f>
        <v xml:space="preserve">								("DelFinishDatetime"),</v>
      </c>
      <c r="V37" s="70" t="str">
        <f t="shared" ref="V37" si="163">REPT(CHAR(9),8)&amp;"_ =&gt; _."&amp;D37&amp;","</f>
        <v xml:space="preserve">								_ =&gt; _.DelFinishDatetime,</v>
      </c>
      <c r="W37" s="69" t="str">
        <f t="shared" ref="W37" si="164">IF(H37="string",REPT(CHAR(9),4)&amp;".WhereIf(!string.IsNullOrWhiteSpace(input."&amp;D37&amp;"), e =&gt; e."&amp;D37&amp;".Contains(input."&amp;D37&amp;"))",IF(H37="DateTime",REPT(CHAR(9),4)&amp;".WhereIf(input."&amp;D37&amp;".HasValue, t =&gt; t."&amp;D37&amp;" == input."&amp;D37&amp;".Value)",""))</f>
        <v xml:space="preserve">				.WhereIf(input.DelFinishDatetime.HasValue, t =&gt; t.DelFinishDatetime == input.DelFinishDatetime.Value)</v>
      </c>
    </row>
    <row r="38" spans="1:23" customFormat="1" ht="18.75" customHeight="1" x14ac:dyDescent="0.25">
      <c r="A38" t="s">
        <v>329</v>
      </c>
      <c r="B38" t="s">
        <v>321</v>
      </c>
      <c r="C38" t="s">
        <v>1</v>
      </c>
      <c r="D38" t="str">
        <f t="shared" ref="D38" si="165">SUBSTITUTE(PROPER(A38),"_","")</f>
        <v>Status</v>
      </c>
      <c r="E38" t="str">
        <f t="shared" ref="E38" si="166">IFERROR(LEFT(B38, FIND("(",B38)-1),B38)</f>
        <v>varchar</v>
      </c>
      <c r="F38" s="7"/>
      <c r="G38" t="str">
        <f t="shared" ref="G38" si="167">IFERROR(MID(B38,FIND("(",B38) +1, FIND(")",B38) - FIND("(",B38) - 1),"")</f>
        <v>50</v>
      </c>
      <c r="H38" t="str">
        <f>+VLOOKUP(E38,'Data Type Mapping'!A:B,2,)</f>
        <v>string</v>
      </c>
      <c r="I38" t="str">
        <f t="shared" ref="I38" si="168">IF(H38="string",REPT(CHAR(9),2)&amp;"public const int Max"&amp;D38&amp;"Length = "&amp;G38&amp;";"&amp;$E$3,"" )</f>
        <v xml:space="preserve">		public const int MaxStatusLength = 50;
</v>
      </c>
      <c r="J38" t="str">
        <f t="shared" ref="J38" si="169">IF(F38="","",REPT(CHAR(9),2)&amp;"[Column(TypeName="""&amp;F38&amp;""")]"&amp;$E$3)&amp;IF(C38="Checked","",$I$3)&amp;IF(H38="string",REPT(CHAR(9),2)&amp;"[StringLength(Max"&amp;D38&amp;"Length"&amp;")]"&amp;$E$3,"")&amp;REPT(CHAR(9),2)&amp;"public virtual "&amp;H38&amp;IF(C38="?","? "," ")&amp;D38&amp;" { get; set; }" &amp; "
"</f>
        <v xml:space="preserve">		[StringLength(MaxStatusLength)]
		public virtual string Status { get; set; }
</v>
      </c>
      <c r="K38" s="7"/>
      <c r="L38" t="str">
        <f t="shared" ref="L38" si="170">IF(K38="","",REPT(CHAR(9),1)&amp;"[Index(nameof("&amp;IF(D38="","",""&amp;D38)&amp;")"&amp;", Name="&amp;"""IX_"&amp;$B$7&amp;"_"&amp;D38&amp;""")]")</f>
        <v/>
      </c>
      <c r="M38" t="str">
        <f t="shared" ref="M38" si="171">REPT(CHAR(9),2)&amp;"public virtual "&amp;IF(OR(H38="DateTime",H38="TimeSpan"),H38&amp;"?",H38)&amp;IF(C38="?","? "," ")&amp;D38&amp;" { get; set; }" &amp; "
"</f>
        <v xml:space="preserve">		public virtual string Status { get; set; }
</v>
      </c>
      <c r="N38" t="str">
        <f t="shared" ref="N38" si="172">IF(C38="Checked","",$I$3)&amp;IF(H38="string",REPT(CHAR(9),2)&amp;"[StringLength("&amp;$B$3&amp;"Consts.Max"&amp;D38&amp;"Length"&amp;")]"&amp;$E$3,"")&amp;REPT(CHAR(9),2)&amp;"public virtual "&amp;IF(OR(H38="DateTime",H38="TimeSpan"),H38&amp;"?",H38)&amp;IF(C38="?","? "," ")&amp;D38&amp;" { get; set; }" &amp; "
"</f>
        <v xml:space="preserve">		[StringLength(LgaEkbProgressDetailsConsts.MaxStatusLength)]
		public virtual string Status { get; set; }
</v>
      </c>
      <c r="O38" t="str">
        <f t="shared" ref="O38" si="173">IF(OR(H38="string",H38="DateTime",H38="int"),REPT(CHAR(9),2)&amp;"public virtual "&amp;IF(OR(H38="DateTime",H38="TimeSpan"),H38&amp;"?",H38)&amp;IF(C38="?","? "," ")&amp;D38&amp;" { get; set; }"&amp;$E$3,"")</f>
        <v xml:space="preserve">		public virtual string Status { get; set; }
</v>
      </c>
      <c r="P38" t="str">
        <f t="shared" ref="P38" si="174">REPT(CHAR(9),7)&amp;D38&amp;" = o." &amp;D38 &amp;","</f>
        <v xml:space="preserve">							Status = o.Status,</v>
      </c>
      <c r="T38" s="69" t="str">
        <f t="shared" ref="T38" si="175">REPT(CHAR(9),8)&amp;"("""&amp;D38&amp;"""),"</f>
        <v xml:space="preserve">								("Status"),</v>
      </c>
      <c r="V38" s="70" t="str">
        <f t="shared" ref="V38" si="176">REPT(CHAR(9),8)&amp;"_ =&gt; _."&amp;D38&amp;","</f>
        <v xml:space="preserve">								_ =&gt; _.Status,</v>
      </c>
      <c r="W38" s="69" t="str">
        <f t="shared" ref="W38" si="177">IF(H38="string",REPT(CHAR(9),4)&amp;".WhereIf(!string.IsNullOrWhiteSpace(input."&amp;D38&amp;"), e =&gt; e."&amp;D38&amp;".Contains(input."&amp;D38&amp;"))",IF(H38="DateTime",REPT(CHAR(9),4)&amp;".WhereIf(input."&amp;D38&amp;".HasValue, t =&gt; t."&amp;D38&amp;" == input."&amp;D38&amp;".Value)",""))</f>
        <v xml:space="preserve">				.WhereIf(!string.IsNullOrWhiteSpace(input.Status), e =&gt; e.Status.Contains(input.Status))</v>
      </c>
    </row>
    <row r="39" spans="1:23" customFormat="1" ht="22.5" customHeight="1" x14ac:dyDescent="0.25">
      <c r="A39" t="s">
        <v>323</v>
      </c>
      <c r="B39" t="s">
        <v>324</v>
      </c>
      <c r="C39" t="s">
        <v>1</v>
      </c>
      <c r="D39" t="str">
        <f>SUBSTITUTE(PROPER(A39),"_","")</f>
        <v>IsActive</v>
      </c>
      <c r="E39" t="str">
        <f t="shared" si="13"/>
        <v>varchar</v>
      </c>
      <c r="F39" s="7"/>
      <c r="G39" t="str">
        <f t="shared" si="14"/>
        <v>1</v>
      </c>
      <c r="H39" t="str">
        <f>+VLOOKUP(E39,'Data Type Mapping'!A:B,2,)</f>
        <v>string</v>
      </c>
      <c r="I39" t="str">
        <f t="shared" si="15"/>
        <v xml:space="preserve">		public const int MaxIsActiveLength = 1;
</v>
      </c>
      <c r="J39" t="str">
        <f t="shared" si="16"/>
        <v xml:space="preserve">		[StringLength(MaxIsActiveLength)]
		public virtual string IsActive { get; set; }
</v>
      </c>
      <c r="K39" s="7" t="s">
        <v>206</v>
      </c>
      <c r="L39" t="str">
        <f>IF(K39="","",REPT(CHAR(9),1)&amp;"[Index(nameof("&amp;IF(D39="","",""&amp;D39)&amp;")"&amp;", Name="&amp;"""IX_"&amp;$B$7&amp;"_"&amp;D39&amp;""")]")</f>
        <v xml:space="preserve">	[Index(nameof(IsActive), Name="IX_LgaEkbProgressDetails_IsActive")]</v>
      </c>
      <c r="M39" t="str">
        <f t="shared" si="17"/>
        <v xml:space="preserve">		public virtual string IsActive { get; set; }
</v>
      </c>
      <c r="N39" t="str">
        <f t="shared" si="18"/>
        <v xml:space="preserve">		[StringLength(LgaEkbProgressDetailsConsts.MaxIsActiveLength)]
		public virtual string IsActive { get; set; }
</v>
      </c>
      <c r="O39" t="str">
        <f t="shared" si="19"/>
        <v xml:space="preserve">		public virtual string IsActive { get; set; }
</v>
      </c>
      <c r="P39" t="str">
        <f t="shared" si="20"/>
        <v xml:space="preserve">							IsActive = o.IsActive,</v>
      </c>
      <c r="T39" s="69" t="str">
        <f t="shared" si="21"/>
        <v xml:space="preserve">								("IsActive"),</v>
      </c>
      <c r="V39" s="70" t="str">
        <f t="shared" si="22"/>
        <v xml:space="preserve">								_ =&gt; _.IsActive,</v>
      </c>
      <c r="W39" s="69" t="str">
        <f t="shared" si="23"/>
        <v xml:space="preserve">				.WhereIf(!string.IsNullOrWhiteSpace(input.IsActive), e =&gt; e.IsActive.Contains(input.IsActive))</v>
      </c>
    </row>
    <row r="41" spans="1:23" ht="45.75" customHeight="1" x14ac:dyDescent="0.25">
      <c r="H41" s="12"/>
      <c r="I41" s="34" t="str">
        <f ca="1">TEXTJOIN2("
", TRUE,INDIRECT( $H$1):INDIRECT( $H$3))</f>
        <v xml:space="preserve">		public const int MaxProdLineLength = 50;
		public const int MaxShiftLength = 50;
		public const int MaxPartNoLength = 50;
		public const int MaxPartNoNormalizedLength = 50;
		public const int MaxBackNoLength = 50;
		public const int MaxPcAddressLength = 200;
		public const int MaxSpsAddressLength = 200;
		public const int MaxBodyNoLength = 50;
		public const int MaxLotNoLength = 50;
		public const int MaxGradeLength = 50;
		public const int MaxModelLength = 50;
		public const int MaxBodyColorLength = 50;
		public const int MaxIsZeroKbLength = 1;
		public const int MaxStatusLength = 50;
		public const int MaxIsActiveLength = 1;
</v>
      </c>
      <c r="J41" s="33" t="str">
        <f ca="1">TEXTJOIN2("
", TRUE,INDIRECT( $F$1):INDIRECT( $F$3))</f>
        <v xml:space="preserve">		[StringLength(MaxProdLineLength)]
		public virtual string ProdLine { get; set; }
		public virtual DateTime WorkingDate { get; set; }
		[StringLength(MaxShiftLength)]
		public virtual string Shift { get; set; }
		public virtual int NoInShift { get; set; }
		public virtual int NoInDate { get; set; }
		public virtual long ProgressId { get; set; }
		public virtual long ProcessId { get; set; }
		public virtual long PartListId { get; set; }
		[StringLength(MaxPartNoLength)]
		public virtual string PartNo { get; set; }
		[StringLength(MaxPartNoNormalizedLength)]
		public virtual string PartNoNormalized { get; set; }
		[StringLength(MaxBackNoLength)]
		public virtual string BackNo { get; set; }
		[StringLength(MaxPcAddressLength)]
		public virtual string PcAddress { get; set; }
		[StringLength(MaxSpsAddressLength)]
		public virtual string SpsAddress { get; set; }
		public virtual int Sorting { get; set; }
		public virtual int UsageQty { get; set; }
		[StringLength(MaxBodyNoLength)]
		public virtual string BodyNo { get; set; }
		[StringLength(MaxLotNoLength)]
		public virtual string LotNo { get; set; }
		public virtual int NoInLot { get; set; }
		[StringLength(MaxGradeLength)]
		public virtual string Grade { get; set; }
		[StringLength(MaxModelLength)]
		public virtual string Model { get; set; }
		[StringLength(MaxBodyColorLength)]
		public virtual string BodyColor { get; set; }
		public virtual int ScanQty { get; set; }
		public virtual int InputQty { get; set; }
		[StringLength(MaxIsZeroKbLength)]
		public virtual string IsZeroKb { get; set; }
		[Column(TypeName="datetime2(7)")]
		public virtual DateTime NewtaktDatetime { get; set; }
		[Column(TypeName="datetime2(7)")]
		public virtual DateTime PikStartDatetime { get; set; }
		[Column(TypeName="datetime2(7)")]
		public virtual DateTime PikFinishDatetime { get; set; }
		[Column(TypeName="datetime2(7)")]
		public virtual DateTime DelStartDatetime { get; set; }
		[Column(TypeName="datetime2(7)")]
		public virtual DateTime DelFinishDatetime { get; set; }
		[StringLength(MaxStatusLength)]
		public virtual string Status { get; set; }
		[StringLength(MaxIsActiveLength)]
		public virtual string IsActive { get; set; }
</v>
      </c>
      <c r="K41" s="35" t="str">
        <f ca="1">TEXTJOIN2("
", TRUE,INDIRECT( $J$1):INDIRECT( $J$3))</f>
        <v xml:space="preserve">	[Index(nameof(ProdLine), Name="IX_LgaEkbProgressDetails_ProdLine")]
	[Index(nameof(WorkingDate), Name="IX_LgaEkbProgressDetails_WorkingDate")]
	[Index(nameof(Shift), Name="IX_LgaEkbProgressDetails_Shift")]
	[Index(nameof(NoInShift), Name="IX_LgaEkbProgressDetails_NoInShift")]
	[Index(nameof(NoInDate), Name="IX_LgaEkbProgressDetails_NoInDate")]
	[Index(nameof(ProgressId), Name="IX_LgaEkbProgressDetails_ProgressId")]
	[Index(nameof(ProcessId), Name="IX_LgaEkbProgressDetails_ProcessId")]
	[Index(nameof(PartListId), Name="IX_LgaEkbProgressDetails_PartListId")]
	[Index(nameof(PartNo), Name="IX_LgaEkbProgressDetails_PartNo")]
	[Index(nameof(BackNo), Name="IX_LgaEkbProgressDetails_BackNo")]
	[Index(nameof(Sorting), Name="IX_LgaEkbProgressDetails_Sorting")]
	[Index(nameof(IsZeroKb), Name="IX_LgaEkbProgressDetails_IsZeroKb")]
	[Index(nameof(IsActive), Name="IX_LgaEkbProgressDetails_IsActive")]</v>
      </c>
      <c r="L41" s="13" t="s">
        <v>60</v>
      </c>
      <c r="M41" s="36" t="str">
        <f ca="1">TEXTJOIN2("
",TRUE,INDIRECT( $L$1):INDIRECT($L$3))</f>
        <v xml:space="preserve">		public virtual string ProdLine { get; set; }
		public virtual DateTime? WorkingDate { get; set; }
		public virtual string Shift { get; set; }
		public virtual int NoInShift { get; set; }
		public virtual int NoInDate { get; set; }
		public virtual long ProgressId { get; set; }
		public virtual long ProcessId { get; set; }
		public virtual long PartListId { get; set; }
		public virtual string PartNo { get; set; }
		public virtual string PartNoNormalized { get; set; }
		public virtual string BackNo { get; set; }
		public virtual string PcAddress { get; set; }
		public virtual string SpsAddress { get; set; }
		public virtual int Sorting { get; set; }
		public virtual int UsageQty { get; set; }
		public virtual string BodyNo { get; set; }
		public virtual string LotNo { get; set; }
		public virtual int NoInLot { get; set; }
		public virtual string Grade { get; set; }
		public virtual string Model { get; set; }
		public virtual string BodyColor { get; set; }
		public virtual int ScanQty { get; set; }
		public virtual int InputQty { get; set; }
		public virtual string IsZeroKb { get; set; }
		public virtual DateTime? NewtaktDatetime { get; set; }
		public virtual DateTime? PikStartDatetime { get; set; }
		public virtual DateTime? PikFinishDatetime { get; set; }
		public virtual DateTime? DelStartDatetime { get; set; }
		public virtual DateTime? DelFinishDatetime { get; set; }
		public virtual string Status { get; set; }
		public virtual string IsActive { get; set; }
</v>
      </c>
      <c r="N41" s="33" t="str">
        <f ca="1">TEXTJOIN2("
",TRUE,INDIRECT( $M$1):INDIRECT($M$3))</f>
        <v xml:space="preserve">		[StringLength(LgaEkbProgressDetailsConsts.MaxProdLineLength)]
		public virtual string ProdLine { get; set; }
		public virtual DateTime? WorkingDate { get; set; }
		[StringLength(LgaEkbProgressDetailsConsts.MaxShiftLength)]
		public virtual string Shift { get; set; }
		public virtual int NoInShift { get; set; }
		public virtual int NoInDate { get; set; }
		public virtual long ProgressId { get; set; }
		public virtual long ProcessId { get; set; }
		public virtual long PartListId { get; set; }
		[StringLength(LgaEkbProgressDetailsConsts.MaxPartNoLength)]
		public virtual string PartNo { get; set; }
		[StringLength(LgaEkbProgressDetailsConsts.MaxPartNoNormalizedLength)]
		public virtual string PartNoNormalized { get; set; }
		[StringLength(LgaEkbProgressDetailsConsts.MaxBackNoLength)]
		public virtual string BackNo { get; set; }
		[StringLength(LgaEkbProgressDetailsConsts.MaxPcAddressLength)]
		public virtual string PcAddress { get; set; }
		[StringLength(LgaEkbProgressDetailsConsts.MaxSpsAddressLength)]
		public virtual string SpsAddress { get; set; }
		public virtual int Sorting { get; set; }
		public virtual int UsageQty { get; set; }
		[StringLength(LgaEkbProgressDetailsConsts.MaxBodyNoLength)]
		public virtual string BodyNo { get; set; }
		[StringLength(LgaEkbProgressDetailsConsts.MaxLotNoLength)]
		public virtual string LotNo { get; set; }
		public virtual int NoInLot { get; set; }
		[StringLength(LgaEkbProgressDetailsConsts.MaxGradeLength)]
		public virtual string Grade { get; set; }
		[StringLength(LgaEkbProgressDetailsConsts.MaxModelLength)]
		public virtual string Model { get; set; }
		[StringLength(LgaEkbProgressDetailsConsts.MaxBodyColorLength)]
		public virtual string BodyColor { get; set; }
		public virtual int ScanQty { get; set; }
		public virtual int InputQty { get; set; }
		[StringLength(LgaEkbProgressDetailsConsts.MaxIsZeroKbLength)]
		public virtual string IsZeroKb { get; set; }
		public virtual DateTime? NewtaktDatetime { get; set; }
		public virtual DateTime? PikStartDatetime { get; set; }
		public virtual DateTime? PikFinishDatetime { get; set; }
		public virtual DateTime? DelStartDatetime { get; set; }
		public virtual DateTime? DelFinishDatetime { get; set; }
		[StringLength(LgaEkbProgressDetailsConsts.MaxStatusLength)]
		public virtual string Status { get; set; }
		[StringLength(LgaEkbProgressDetailsConsts.MaxIsActiveLength)]
		public virtual string IsActive { get; set; }
</v>
      </c>
      <c r="O41" s="33" t="str">
        <f ca="1">TEXTJOIN2("
",TRUE,INDIRECT( $N$1):INDIRECT($N$3))</f>
        <v xml:space="preserve">		public virtual string ProdLine { get; set; }
		public virtual DateTime? WorkingDate { get; set; }
		public virtual string Shift { get; set; }
		public virtual int NoInShift { get; set; }
		public virtual int NoInDate { get; set; }
		public virtual string PartNo { get; set; }
		public virtual string PartNoNormalized { get; set; }
		public virtual string BackNo { get; set; }
		public virtual string PcAddress { get; set; }
		public virtual string SpsAddress { get; set; }
		public virtual int Sorting { get; set; }
		public virtual int UsageQty { get; set; }
		public virtual string BodyNo { get; set; }
		public virtual string LotNo { get; set; }
		public virtual int NoInLot { get; set; }
		public virtual string Grade { get; set; }
		public virtual string Model { get; set; }
		public virtual string BodyColor { get; set; }
		public virtual int ScanQty { get; set; }
		public virtual int InputQty { get; set; }
		public virtual string IsZeroKb { get; set; }
		public virtual DateTime? NewtaktDatetime { get; set; }
		public virtual DateTime? PikStartDatetime { get; set; }
		public virtual DateTime? PikFinishDatetime { get; set; }
		public virtual DateTime? DelStartDatetime { get; set; }
		public virtual DateTime? DelFinishDatetime { get; set; }
		public virtual string Status { get; set; }
		public virtual string IsActive { get; set; }
</v>
      </c>
      <c r="P41" s="9" t="str">
        <f ca="1">TEXTJOIN2("
",TRUE,INDIRECT( $O$1):INDIRECT($O$3))</f>
        <v xml:space="preserve">							ProdLine = o.ProdLine,
							WorkingDate = o.WorkingDate,
							Shift = o.Shift,
							NoInShift = o.NoInShift,
							NoInDate = o.NoInDate,
							ProgressId = o.ProgressId,
							ProcessId = o.ProcessId,
							PartListId = o.PartListId,
							PartNo = o.PartNo,
							PartNoNormalized = o.PartNoNormalized,
							BackNo = o.BackNo,
							PcAddress = o.PcAddress,
							SpsAddress = o.SpsAddress,
							Sorting = o.Sorting,
							UsageQty = o.UsageQty,
							BodyNo = o.BodyNo,
							LotNo = o.LotNo,
							NoInLot = o.NoInLot,
							Grade = o.Grade,
							Model = o.Model,
							BodyColor = o.BodyColor,
							ScanQty = o.ScanQty,
							InputQty = o.InputQty,
							IsZeroKb = o.IsZeroKb,
							NewtaktDatetime = o.NewtaktDatetime,
							PikStartDatetime = o.PikStartDatetime,
							PikFinishDatetime = o.PikFinishDatetime,
							DelStartDatetime = o.DelStartDatetime,
							DelFinishDatetime = o.DelFinishDatetime,
							Status = o.Status,
							IsActive = o.IsActive,</v>
      </c>
      <c r="T41" s="9" t="str">
        <f ca="1">TEXTJOIN2("
",TRUE,INDIRECT( $T$2):INDIRECT($T$3))</f>
        <v xml:space="preserve">								("ProdLine"),
								("WorkingDate"),
								("Shift"),
								("NoInShift"),
								("NoInDate"),
								("ProgressId"),
								("ProcessId"),
								("PartListId"),
								("PartNo"),
								("PartNoNormalized"),
								("BackNo"),
								("PcAddress"),
								("SpsAddress"),
								("Sorting"),
								("UsageQty"),
								("BodyNo"),
								("LotNo"),
								("NoInLot"),
								("Grade"),
								("Model"),
								("BodyColor"),
								("ScanQty"),
								("InputQty"),
								("IsZeroKb"),
								("NewtaktDatetime"),
								("PikStartDatetime"),
								("PikFinishDatetime"),
								("DelStartDatetime"),
								("DelFinishDatetime"),
								("Status"),
								("IsActive"),</v>
      </c>
      <c r="V41" s="9" t="str">
        <f ca="1">TEXTJOIN2("
",TRUE,INDIRECT( $V$2):INDIRECT($V$3))</f>
        <v xml:space="preserve">								_ =&gt; _.ProdLine,
								_ =&gt; _.WorkingDate,
								_ =&gt; _.Shift,
								_ =&gt; _.NoInShift,
								_ =&gt; _.NoInDate,
								_ =&gt; _.ProgressId,
								_ =&gt; _.ProcessId,
								_ =&gt; _.PartListId,
								_ =&gt; _.PartNo,
								_ =&gt; _.PartNoNormalized,
								_ =&gt; _.BackNo,
								_ =&gt; _.PcAddress,
								_ =&gt; _.SpsAddress,
								_ =&gt; _.Sorting,
								_ =&gt; _.UsageQty,
								_ =&gt; _.BodyNo,
								_ =&gt; _.LotNo,
								_ =&gt; _.NoInLot,
								_ =&gt; _.Grade,
								_ =&gt; _.Model,
								_ =&gt; _.BodyColor,
								_ =&gt; _.ScanQty,
								_ =&gt; _.InputQty,
								_ =&gt; _.IsZeroKb,
								_ =&gt; _.NewtaktDatetime,
								_ =&gt; _.PikStartDatetime,
								_ =&gt; _.PikFinishDatetime,
								_ =&gt; _.DelStartDatetime,
								_ =&gt; _.DelFinishDatetime,
								_ =&gt; _.Status,
								_ =&gt; _.IsActive,</v>
      </c>
      <c r="W41" s="9" t="str">
        <f ca="1">TEXTJOIN2("
",TRUE,INDIRECT( $W$2):INDIRECT($W$3))</f>
        <v xml:space="preserve">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.WhereIf(!string.IsNullOrWhiteSpace(input.PartNo), e =&gt; e.PartNo.Contains(input.PartNo))
				.WhereIf(!string.IsNullOrWhiteSpace(input.PartNoNormalized), e =&gt; e.PartNoNormalized.Contains(input.PartNoNormalized))
				.WhereIf(!string.IsNullOrWhiteSpace(input.BackNo), e =&gt; e.BackNo.Contains(input.BackNo))
				.WhereIf(!string.IsNullOrWhiteSpace(input.PcAddress), e =&gt; e.PcAddress.Contains(input.PcAddress))
				.WhereIf(!string.IsNullOrWhiteSpace(input.SpsAddress), e =&gt; e.SpsAddress.Contains(input.SpsAddress))
				.WhereIf(!string.IsNullOrWhiteSpace(input.BodyNo), e =&gt; e.BodyNo.Contains(input.BodyNo))
				.WhereIf(!string.IsNullOrWhiteSpace(input.LotNo), e =&gt; e.LotNo.Contains(input.LotNo))
				.WhereIf(!string.IsNullOrWhiteSpace(input.Grade), e =&gt; e.Grade.Contains(input.Grade))
				.WhereIf(!string.IsNullOrWhiteSpace(input.Model), e =&gt; e.Model.Contains(input.Model))
				.WhereIf(!string.IsNullOrWhiteSpace(input.BodyColor), e =&gt; e.BodyColor.Contains(input.BodyColor))
				.WhereIf(!string.IsNullOrWhiteSpace(input.IsZeroKb), e =&gt; e.IsZeroKb.Contains(input.IsZeroKb))
				.WhereIf(input.NewtaktDatetime.HasValue, t =&gt; t.NewtaktDatetime == input.NewtaktDatetime.Value)
				.WhereIf(input.PikStartDatetime.HasValue, t =&gt; t.PikStartDatetime == input.PikStartDatetime.Value)
				.WhereIf(input.PikFinishDatetime.HasValue, t =&gt; t.PikFinishDatetime == input.PikFinishDatetime.Value)
				.WhereIf(input.DelStartDatetime.HasValue, t =&gt; t.DelStartDatetime == input.DelStartDatetime.Value)
				.WhereIf(input.DelFinishDatetime.HasValue, t =&gt; t.DelFinishDatetime == input.DelFinishDatetime.Value)
				.WhereIf(!string.IsNullOrWhiteSpace(input.Status), e =&gt; e.Status.Contains(input.Status))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8"/>
  <sheetViews>
    <sheetView topLeftCell="A21" workbookViewId="0">
      <selection activeCell="E39" sqref="E39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361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LogA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loga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Ekb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ekb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LgaEkbProgressDetails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ProgressDetails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progressdetails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LgaEkbProgressDetailsDto, LgaEkbProgressDetailsServiceProxy } from '@shared/service-proxies/service-proxies';
import { finalize } from 'rxjs/internal/operators/finalize';
import { CreateOrEditProgressDetailsModalComponent } from './create-or-edit-progressdetails-modal.component';
import { DatePipe } from '@angular/common';
import { FileDownloadService } from '@shared/utils/file-download.service';
import ceil from 'lodash-es/ceil';
import { Paginator } from 'primeng/paginator';
@Component({
    templateUrl: './progressdetails.component.html',
    styleUrls: ['./progressdetails.component.less'],
})
export class ProgressDetailsComponent extends AppComponentBase implements OnInit {
    @ViewChild('createOrEditModalProgressDetails', { static: true }) createOrEditModalProgressDetails:| CreateOrEditProgressDetailsModalComponent|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LgaEkbProgressDetailsDto = new LgaEkbProgressDetailsDto();
    saveSelectedRow: LgaEkbProgressDetailsDto = new LgaEkbProgressDetailsDto();
    datas: LgaEkbProgressDetailsDto = new LgaEkbProgressDetailsDto();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workingDate : any ;
	shift : string = '' ; 
	noInShift : number = 0 ;
	noInDate : number = 0 ;
	progressId
	processId
	partListId
	partNo : string = '' ; 
	partNoNormalized : string = '' ; 
	backNo : string = '' ; 
	pcAddress : string = '' ; 
	spsAddress : string = '' ; 
	sorting : number = 0 ;
	usageQty : number = 0 ;
	bodyNo : string = '' ; 
	lotNo : string = '' ; 
	noInLot : number = 0 ;
	grade : string = '' ; 
	model : string = '' ; 
	bodyColor : string = '' ; 
	scanQty : number = 0 ;
	inputQty : number = 0 ;
	isZeroKb : string = '' ; 
	newtaktDatetime : any ;
	pikStartDatetime : any ;
	pikFinishDatetime : any ;
	delStartDatetime : any ;
	delFinishDatetime : any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LgaEkbProgressDetailsServiceProxy,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this.l('No In Date'),headerTooltip: this.l('No In Date'),field: 'noInDate',flex: 1},
			{headerName: this.l('Progress Id'),headerTooltip: this.l('Progress Id'),field: 'progressId',flex: 1},
			{headerName: this.l('Process Id'),headerTooltip: this.l('Process Id'),field: 'processId',flex: 1},
			{headerName: this.l('Part List Id'),headerTooltip: this.l('Part List Id'),field: 'partListId',flex: 1},
			{headerName: this.l('Part No'),headerTooltip: this.l('Part No'),field: 'partNo',flex: 1},
			{headerName: this.l('Part No Normalized'),headerTooltip: this.l('Part No Normalized'),field: 'partNoNormalized',flex: 1},
			{headerName: this.l('Back No'),headerTooltip: this.l('Back No'),field: 'backNo',flex: 1},
			{headerName: this.l('Pc Address'),headerTooltip: this.l('Pc Address'),field: 'pcAddress',flex: 1},
			{headerName: this.l('Sps Address'),headerTooltip: this.l('Sps Address'),field: 'spsAddress',flex: 1},
			{headerName: this.l('Sorting'),headerTooltip: this.l('Sorting'),field: 'sorting',flex: 1},
			{headerName: this.l('Usage Qty'),headerTooltip: this.l('Usage Qty'),field: 'usageQty',flex: 1},
			{headerName: this.l('Body No'),headerTooltip: this.l('Body No'),field: 'bodyNo',flex: 1},
			{headerName: this.l('Lot No'),headerTooltip: this.l('Lot No'),field: 'lotNo',flex: 1},
			{headerName: this.l('No In Lot'),headerTooltip: this.l('No In Lot'),field: 'noInLot',flex: 1},
			{headerName: this.l('Grade'),headerTooltip: this.l('Grade'),field: 'grade',flex: 1},
			{headerName: this.l('Model'),headerTooltip: this.l('Model'),field: 'model',flex: 1},
			{headerName: this.l('Body Color'),headerTooltip: this.l('Body Color'),field: 'bodyColor',flex: 1},
			{headerName: this.l('Scan Qty'),headerTooltip: this.l('Scan Qty'),field: 'scanQty',flex: 1},
			{headerName: this.l('Input Qty'),headerTooltip: this.l('Input Qty'),field: 'inputQty',flex: 1},
			{headerName: this.l('Is Zero Kb'),headerTooltip: this.l('Is Zero Kb'),field:  'isZeroKb', cellClass: ['text-center'], width: 120, cellRenderer: 'agCellButtonComponent',
buttonDefTwo: { text: params =&gt; (params.data?.'isZeroKb' == 'Y') ? 'Active' : 'Inactive',iconName: 'fa fa-circle',className: params =&gt; (params.data?.'isZeroKb' == 'Y') ? 'btnActive' : 'btnInActive',},}
			{headerName: this.l('Newtakt Datetime'),headerTooltip: this.l('Newtakt Datetime'),field: 'newtaktDatetime',valueGetter: (params) =&gt; this.pipe.transform(params.data?.newtaktDatetime, 'dd/MM/yyyy'),flex: 1},
			{headerName: this.l('Pik Start Datetime'),headerTooltip: this.l('Pik Start Datetime'),field: 'pikStartDatetime',valueGetter: (params) =&gt; this.pipe.transform(params.data?.pikStartDatetime, 'dd/MM/yyyy'),flex: 1},
			{headerName: this.l('Pik Finish Datetime'),headerTooltip: this.l('Pik Finish Datetime'),field: 'pikFinishDatetime',valueGetter: (params) =&gt; this.pipe.transform(params.data?.pikFinishDatetime, 'dd/MM/yyyy'),flex: 1},
			{headerName: this.l('Del Start Datetime'),headerTooltip: this.l('Del Start Datetime'),field: 'delStartDatetime',valueGetter: (params) =&gt; this.pipe.transform(params.data?.delStartDatetime, 'dd/MM/yyyy'),flex: 1},
			{headerName: this.l('Del Finish Datetime'),headerTooltip: this.l('Del Finish Datetime'),field: 'delFinishDatetime',valueGetter: (params) =&gt; this.pipe.transform(params.data?.delFinishDatetime,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this.workingDate,
			this.shift,
			this.noInShift,
			this.noInDate,
			this.progressId,
			this.processId,
			this.partListId,
			this.partNo,
			this.partNoNormalized,
			this.backNo,
			this.pcAddress,
			this.spsAddress,
			this.sorting,
			this.usageQty,
			this.bodyNo,
			this.lotNo,
			this.noInLot,
			this.grade,
			this.model,
			this.bodyColor,
			this.scanQty,
			this.inputQty,
			this.isZeroKb,
			this.newtaktDatetime,
			this.pikStartDatetime,
			this.pikFinishDatetime,
			this.delStartDatetime,
			this.delFinishDatetime,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this.workingDate = '',
		this.shift = '',
		this.noInShift = 0,
		this.noInDate = 0,
		this.progressId = '',
		this.processId = '',
		this.partListId = '',
		this.partNo = '',
		this.partNoNormalized = '',
		this.backNo = '',
		this.pcAddress = '',
		this.spsAddress = '',
		this.sorting = 0,
		this.usageQty = 0,
		this.bodyNo = '',
		this.lotNo = '',
		this.noInLot = 0,
		this.grade = '',
		this.model = '',
		this.bodyColor = '',
		this.scanQty = 0,
		this.inputQty = 0,
		this.isZeroKb = '',
		this.newtaktDatetime = '',
		this.pikStartDatetime = '',
		this.pikFinishDatetime = '',
		this.delStartDatetime = '',
		this.delFinishDatetime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this.workingDate,
			this.shift,
			this.noInShift,
			this.noInDate,
			this.progressId,
			this.processId,
			this.partListId,
			this.partNo,
			this.partNoNormalized,
			this.backNo,
			this.pcAddress,
			this.spsAddress,
			this.sorting,
			this.usageQty,
			this.bodyNo,
			this.lotNo,
			this.noInLot,
			this.grade,
			this.model,
			this.bodyColor,
			this.scanQty,
			this.inputQty,
			this.isZeroKb,
			this.newtaktDatetime,
			this.pikStartDatetime,
			this.pikFinishDatetime,
			this.delStartDatetime,
			this.delFinishDatetime,
			this.status,
			this.isActive,
			'',
            this.paginationParams.skipCount,
            this.paginationParams.pageSize
        );
    }
    onChangeRowSelection(params: { api: { getSelectedRows: () =&gt; LgaEkbProgressDetailsDto[] } }) {
        this.saveSelectedRow = params.api.getSelectedRows()[0] ?? new LgaEkbProgressDetailsDto();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LgaEkbProgressDetailsDto):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this._service.getProgressDetailsToExcel(
			this.prodLine,
			this.workingDate,
			this.shift,
			this.noInShift,
			this.noInDate,
			this.progressId,
			this.processId,
			this.partListId,
			this.partNo,
			this.partNoNormalized,
			this.backNo,
			this.pcAddress,
			this.spsAddress,
			this.sorting,
			this.usageQty,
			this.bodyNo,
			this.lotNo,
			this.noInLot,
			this.grade,
			this.model,
			this.bodyColor,
			this.scanQty,
			this.inputQty,
			this.isZeroKb,
			this.newtaktDatetime,
			this.pikStartDatetime,
			this.pikFinishDatetime,
			this.delStartDatetime,
			this.delFinishDatetime,
			this.status,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Ekanban Progress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[(ngModel)]='spsAddress' name='spsAddress'
									class='form-control' [placeholder]="l('Sps Address')"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[(ngModel)]='bodyColor' name='bodyColor'
									class='form-control' [placeholder]="l('Body Color')"
									type='text' (keyup.enter)='searchDatas()'&gt;
								&lt;/div&gt;
								&lt;div class='input-search'&gt;
									&lt;input [(ngModel)]='isZeroKb' name='isZeroKb'
									class='form-control' [placeholder]="l('Is Zero Kb')"
									type='text' (keyup.enter)='searchDatas()'&gt;
								&lt;/div&gt;
								&lt;div class='input-search'&gt;
									&lt;input type='text' [placeholder]="l('Newtakt Datetime')" [(ngModel)]='newtaktDatetime' 
									name='newtaktDatetime'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[placeholder]="l('Pik Start Datetime')" [(ngModel)]='pikStartDatetime' 
									name='pikStartDatetime'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[placeholder]="l('Pik Finish Datetime')" [(ngModel)]='pikFinishDatetime' 
									name='pikFinishDatetime'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[placeholder]="l('Del Start Datetime')" [(ngModel)]='delStartDatetime' 
									name='delStartDatetime'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[placeholder]="l('Del Finish Datetime')" [(ngModel)]='delFinishDatetime' 
									name='delFinishDatetime'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(click)="createOrEditModalProgressDetails.show()"&gt;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(click)="createOrEditModalProgressDetails.show(selectedRow)"&gt;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&lt;create-or-edit-progressdetails-modal
    #createOrEditModalProgressDetails
    (modalSave)="callBackDataGrid(dataParams)"
    (modalClose)="onChangeRowSelection(dataParams)"
&gt;
&lt;/create-or-edit-progressdetails-modal&gt;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#createOrEditModalProgressDetails="bs-modal"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ProgressDetails')}}&lt;/h3&gt;
                    &lt;h3 *ngIf="!rowdata.id"&gt;{{('Create New ProgressDetails')}}&lt;/h3&gt;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title'&gt;No In Date&lt;/label&gt;
						&lt;input type='number' class='col-md-10 form-control input-text' name='NoInDate' [(ngModel)]='rowdata.noInDate'&gt;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title'&gt;Sps Address&lt;/label&gt;
						&lt;input type='text' class='col-md-10 form-control input-text' name='SpsAddress' [(ngModel)]='rowdata.spsAddress'&gt;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title'&gt;Usage Qty&lt;/label&gt;
						&lt;input type='number' class='col-md-10 form-control input-text' name='UsageQty' [(ngModel)]='rowdata.usageQty'&gt;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title'&gt;Body Color&lt;/label&gt;
						&lt;input type='text' class='col-md-10 form-control input-text' name='BodyColor' [(ngModel)]='rowdata.bodyColor'&gt;
					&lt;/div&gt;
					&lt;div class='col-md-12 form-group row'&gt;
						&lt;label class='col-md-2 form-control title'&gt;Scan Qty&lt;/label&gt;
						&lt;input type='number' class='col-md-10 form-control input-text' name='ScanQty' [(ngModel)]='rowdata.scanQty'&gt;
					&lt;/div&gt;
					&lt;div class='col-md-12 form-group row'&gt;
						&lt;label class='col-md-2 form-control title'&gt;Input Qty&lt;/label&gt;
						&lt;input type='number' class='col-md-10 form-control input-text' name='InputQty' [(ngModel)]='rowdata.inputQty'&gt;
					&lt;/div&gt;
					&lt;div class='col-md-12 form-group row'&gt;
						&lt;label class='col-md-2 form-control title'&gt;Is Zero Kb&lt;/label&gt;
						&lt;new-checkbox [(ngModel)]='_isZeroKb' name='isZeroKb' className='col-md-10' &gt; &lt;/new-checkbox&gt;
					&lt;/div&gt;
					&lt;div class='col-md-12 form-group row'&gt;
						&lt;label class='col-md-2 form-control title'&gt;Newtakt Datetime&lt;/label&gt;
						&lt;input type='text' class='col-md-10 form-control input-text' name='newtaktDatetime' 
						#datepicker='bsDatepicker' [(ngModel)]='rowdata.newtaktDatetime'  bsDatepicker &gt;
					&lt;/div&gt;
					&lt;div class='col-md-12 form-group row'&gt;
						&lt;label class='col-md-2 form-control title'&gt;Pik Start Datetime&lt;/label&gt;
						&lt;input type='text' class='col-md-10 form-control input-text' name='pikStartDatetime' 
						#datepicker='bsDatepicker' [(ngModel)]='rowdata.pikStartDatetime'  bsDatepicker &gt;
					&lt;/div&gt;
					&lt;div class='col-md-12 form-group row'&gt;
						&lt;label class='col-md-2 form-control title'&gt;Pik Finish Datetime&lt;/label&gt;
						&lt;input type='text' class='col-md-10 form-control input-text' name='pikFinishDatetime' 
						#datepicker='bsDatepicker' [(ngModel)]='rowdata.pikFinishDatetime'  bsDatepicker &gt;
					&lt;/div&gt;
					&lt;div class='col-md-12 form-group row'&gt;
						&lt;label class='col-md-2 form-control title'&gt;Del Start Datetime&lt;/label&gt;
						&lt;input type='text' class='col-md-10 form-control input-text' name='delStartDatetime' 
						#datepicker='bsDatepicker' [(ngModel)]='rowdata.delStartDatetime'  bsDatepicker &gt;
					&lt;/div&gt;
					&lt;div class='col-md-12 form-group row'&gt;
						&lt;label class='col-md-2 form-control title'&gt;Del Finish Datetime&lt;/label&gt;
						&lt;input type='text' class='col-md-10 form-control input-text' name='delFinishDatetime' 
						#datepicker='bsDatepicker' [(ngModel)]='rowdata.delFinishDatetime'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CreateOrEditLgaEkbProgressDetailsDto, LgaEkbProgressDetailsServiceProxy } from '@shared/service-proxies/service-proxies';
import { BsDatepickerDirective } from 'ngx-bootstrap/datepicker';
@Component({
    selector: 'create-or-edit-progressdetails-modal',
    templateUrl: './create-or-edit-progressdetails-modal.component.html',
    styleUrls: ['./create-or-edit-progressdetails-modal.component.less']
    })
export class CreateOrEditProgressDetailsModalComponent extends AppComponentBase {
    @ViewChild('createOrEditModalProgressDetails',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CreateOrEditLgaEkbProgressDetailsDto = new CreateOrEditLgaEkbProgressDetailsDto();
    active: boolean = false;
    saving: boolean = false;
    _isZeroKb
isActive: boolean;
    constructor(
        injector: Injector,
        private _mstwptProgressDetailsService: LgaEkbProgressDetailsServiceProxy,
    ) 
    {
        super(injector);
    }
    show(rowdata?: CreateOrEditLgaEkbProgressDetailsDto): void {
        if (!rowdata) this.rowdata = new CreateOrEditLgaEkbProgressDetailsDto();
        else this.rowdata = rowdata;
		const dateValue =  this.rowdata.workingDate ? new Date(this.rowdata.workingDate?.toString()) : new Date();
		this.datepicker?.bsValueChange.emit(dateValue);
		const dateValue =  this.rowdata.newtaktDatetime ? new Date(this.rowdata.newtaktDatetime?.toString()) : new Date();
		this.datepicker?.bsValueChange.emit(dateValue);
		const dateValue =  this.rowdata.pikStartDatetime ? new Date(this.rowdata.pikStartDatetime?.toString()) : new Date();
		this.datepicker?.bsValueChange.emit(dateValue);
		const dateValue =  this.rowdata.pikFinishDatetime ? new Date(this.rowdata.pikFinishDatetime?.toString()) : new Date();
		this.datepicker?.bsValueChange.emit(dateValue);
		const dateValue =  this.rowdata.delStartDatetime ? new Date(this.rowdata.delStartDatetime?.toString()) : new Date();
		this.datepicker?.bsValueChange.emit(dateValue);
		const dateValue =  this.rowdata.delFinishDatetime ? new Date(this.rowdata.delFinishDatetime?.toString()) : new Date();
		this.datepicker?.bsValueChange.emit(dateValue);
        this._isZeroKb
isActive = (this.rowdata.isZeroKb
isActive == "N")? false: true;
        this.active = true;
        this.modal.show();
    } 
    changeActive(event){
        this._isZeroKb
isActive = event.target.checked;
    }
    save(): void {
    this.saving = true; 
    this.rowdata.isZeroKb
isActive = (this._isZeroKb
isActive == true) ? 'Y' : 'N'
    this._mstwptProgressDetailsService.createOrEdit(this.rowdata)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ProgressDetailsRoutingModule } from './progressdetails-routing.module';
import { ProgressDetailsComponent } from './progressdetails.component';
import { CreateOrEditProgressDetailsModalComponent } from './create-or-edit-progressdetails-modal.component';
@NgModule({
    declarations: [
       ProgressDetailsComponent, 
        CreateOrEditProgressDetailsModalComponent
    ],
    imports: [
        AppSharedModule, ProgressDetailsRoutingModule]
})
export class ProgressDetailsModule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ProgressDetailsComponent } from './progressdetails.component';
const routes: Routes = [{
    path: '',
    component: ProgressDetailsComponent,
    pathMatch: 'full'
}];
@NgModule({
    imports: [RouterModule.forChild(routes)],
    exports: [RouterModule],
})
export class ProgressDetailsRoutingModule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AppMenuItem("ProgressDetails", "Pages.LogA.Ekb.ProgressDetails", "flaticon-book",   "/app/main/loga/ekb/progressdetails"),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'loga/ekb/progressdetails',
    loadChildren: () =&gt; import('./loga/ekb/progressdetails/progressdetails.module').then(m =&gt; m.ProgressDetailsModule),
    data: { permission: 'Pages.LogA.Ekb.ProgressDetails' }
},</v>
      </c>
      <c r="R10" s="50" t="str">
        <f>SUBSTITUTE(R9,"MstWptCalendar",$B$6)</f>
        <v>ApiServiceProxies.LgaEkbProgressDetailsServiceProxy,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H45</v>
      </c>
      <c r="I12" s="31" t="str">
        <f>"I"&amp;COUNTA($A:$A)</f>
        <v>I45</v>
      </c>
      <c r="J12" s="31"/>
      <c r="K12" s="31" t="str">
        <f>"K"&amp;COUNTA($A:$A)</f>
        <v>K45</v>
      </c>
      <c r="L12" s="31" t="str">
        <f>"L"&amp;COUNTA($A:$A)</f>
        <v>L45</v>
      </c>
      <c r="M12" s="31"/>
      <c r="N12" s="31"/>
      <c r="O12" s="31"/>
      <c r="P12" s="31"/>
      <c r="Q12" s="31"/>
      <c r="R12" s="31"/>
      <c r="S12" s="31" t="str">
        <f>"S"&amp;COUNTA($A:$A)</f>
        <v>S45</v>
      </c>
      <c r="T12" s="31" t="str">
        <f>"T"&amp;COUNTA($A:$A)</f>
        <v>T45</v>
      </c>
      <c r="U12" s="31" t="str">
        <f>"U"&amp;COUNTA($A:$A)</f>
        <v>U45</v>
      </c>
      <c r="V12" s="31" t="str">
        <f>"V"&amp;COUNTA($A:$A)</f>
        <v>V45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this.l('No In Date'),headerTooltip: this.l('No In Date'),field: 'noInDate',flex: 1},
			{headerName: this.l('Progress Id'),headerTooltip: this.l('Progress Id'),field: 'progressId',flex: 1},
			{headerName: this.l('Process Id'),headerTooltip: this.l('Process Id'),field: 'processId',flex: 1},
			{headerName: this.l('Part List Id'),headerTooltip: this.l('Part List Id'),field: 'partListId',flex: 1},
			{headerName: this.l('Part No'),headerTooltip: this.l('Part No'),field: 'partNo',flex: 1},
			{headerName: this.l('Part No Normalized'),headerTooltip: this.l('Part No Normalized'),field: 'partNoNormalized',flex: 1},
			{headerName: this.l('Back No'),headerTooltip: this.l('Back No'),field: 'backNo',flex: 1},
			{headerName: this.l('Pc Address'),headerTooltip: this.l('Pc Address'),field: 'pcAddress',flex: 1},
			{headerName: this.l('Sps Address'),headerTooltip: this.l('Sps Address'),field: 'spsAddress',flex: 1},
			{headerName: this.l('Sorting'),headerTooltip: this.l('Sorting'),field: 'sorting',flex: 1},
			{headerName: this.l('Usage Qty'),headerTooltip: this.l('Usage Qty'),field: 'usageQty',flex: 1},
			{headerName: this.l('Body No'),headerTooltip: this.l('Body No'),field: 'bodyNo',flex: 1},
			{headerName: this.l('Lot No'),headerTooltip: this.l('Lot No'),field: 'lotNo',flex: 1},
			{headerName: this.l('No In Lot'),headerTooltip: this.l('No In Lot'),field: 'noInLot',flex: 1},
			{headerName: this.l('Grade'),headerTooltip: this.l('Grade'),field: 'grade',flex: 1},
			{headerName: this.l('Model'),headerTooltip: this.l('Model'),field: 'model',flex: 1},
			{headerName: this.l('Body Color'),headerTooltip: this.l('Body Color'),field: 'bodyColor',flex: 1},
			{headerName: this.l('Scan Qty'),headerTooltip: this.l('Scan Qty'),field: 'scanQty',flex: 1},
			{headerName: this.l('Input Qty'),headerTooltip: this.l('Input Qty'),field: 'inputQty',flex: 1},
			{headerName: this.l('Is Zero Kb'),headerTooltip: this.l('Is Zero Kb'),field:  'isZeroKb', cellClass: ['text-center'], width: 120, cellRenderer: 'agCellButtonComponent',
buttonDefTwo: { text: params =&gt; (params.data?.'isZeroKb' == 'Y') ? 'Active' : 'Inactive',iconName: 'fa fa-circle',className: params =&gt; (params.data?.'isZeroKb' == 'Y') ? 'btnActive' : 'btnInActive',},}
			{headerName: this.l('Newtakt Datetime'),headerTooltip: this.l('Newtakt Datetime'),field: 'newtaktDatetime',valueGetter: (params) =&gt; this.pipe.transform(params.data?.newtaktDatetime, 'dd/MM/yyyy'),flex: 1},
			{headerName: this.l('Pik Start Datetime'),headerTooltip: this.l('Pik Start Datetime'),field: 'pikStartDatetime',valueGetter: (params) =&gt; this.pipe.transform(params.data?.pikStartDatetime, 'dd/MM/yyyy'),flex: 1},
			{headerName: this.l('Pik Finish Datetime'),headerTooltip: this.l('Pik Finish Datetime'),field: 'pikFinishDatetime',valueGetter: (params) =&gt; this.pipe.transform(params.data?.pikFinishDatetime, 'dd/MM/yyyy'),flex: 1},
			{headerName: this.l('Del Start Datetime'),headerTooltip: this.l('Del Start Datetime'),field: 'delStartDatetime',valueGetter: (params) =&gt; this.pipe.transform(params.data?.delStartDatetime, 'dd/MM/yyyy'),flex: 1},
			{headerName: this.l('Del Finish Datetime'),headerTooltip: this.l('Del Finish Datetime'),field: 'delFinishDatetime',valueGetter: (params) =&gt; this.pipe.transform(params.data?.delFinishDatetime,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[(ngModel)]='spsAddress' name='spsAddress'
									class='form-control' [placeholder]="l('Sps Address')"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[(ngModel)]='bodyColor' name='bodyColor'
									class='form-control' [placeholder]="l('Body Color')"
									type='text' (keyup.enter)='searchDatas()'&gt;
								&lt;/div&gt;
								&lt;div class='input-search'&gt;
									&lt;input [(ngModel)]='isZeroKb' name='isZeroKb'
									class='form-control' [placeholder]="l('Is Zero Kb')"
									type='text' (keyup.enter)='searchDatas()'&gt;
								&lt;/div&gt;
								&lt;div class='input-search'&gt;
									&lt;input type='text' [placeholder]="l('Newtakt Datetime')" [(ngModel)]='newtaktDatetime' 
									name='newtaktDatetime'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[placeholder]="l('Pik Start Datetime')" [(ngModel)]='pikStartDatetime' 
									name='pikStartDatetime'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[placeholder]="l('Pik Finish Datetime')" [(ngModel)]='pikFinishDatetime' 
									name='pikFinishDatetime'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[placeholder]="l('Del Start Datetime')" [(ngModel)]='delStartDatetime' 
									name='delStartDatetime'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[placeholder]="l('Del Finish Datetime')" [(ngModel)]='delFinishDatetime' 
									name='delFinishDatetime'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title'&gt;No In Date&lt;/label&gt;
						&lt;input type='number' class='col-md-10 form-control input-text' name='NoInDate' [(ngModel)]='rowdata.noInDate'&gt;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title'&gt;Sps Address&lt;/label&gt;
						&lt;input type='text' class='col-md-10 form-control input-text' name='SpsAddress' [(ngModel)]='rowdata.spsAddress'&gt;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title'&gt;Usage Qty&lt;/label&gt;
						&lt;input type='number' class='col-md-10 form-control input-text' name='UsageQty' [(ngModel)]='rowdata.usageQty'&gt;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title'&gt;Body Color&lt;/label&gt;
						&lt;input type='text' class='col-md-10 form-control input-text' name='BodyColor' [(ngModel)]='rowdata.bodyColor'&gt;
					&lt;/div&gt;
					&lt;div class='col-md-12 form-group row'&gt;
						&lt;label class='col-md-2 form-control title'&gt;Scan Qty&lt;/label&gt;
						&lt;input type='number' class='col-md-10 form-control input-text' name='ScanQty' [(ngModel)]='rowdata.scanQty'&gt;
					&lt;/div&gt;
					&lt;div class='col-md-12 form-group row'&gt;
						&lt;label class='col-md-2 form-control title'&gt;Input Qty&lt;/label&gt;
						&lt;input type='number' class='col-md-10 form-control input-text' name='InputQty' [(ngModel)]='rowdata.inputQty'&gt;
					&lt;/div&gt;
					&lt;div class='col-md-12 form-group row'&gt;
						&lt;label class='col-md-2 form-control title'&gt;Is Zero Kb&lt;/label&gt;
						&lt;new-checkbox [(ngModel)]='_isZeroKb' name='isZeroKb' className='col-md-10' &gt; &lt;/new-checkbox&gt;
					&lt;/div&gt;
					&lt;div class='col-md-12 form-group row'&gt;
						&lt;label class='col-md-2 form-control title'&gt;Newtakt Datetime&lt;/label&gt;
						&lt;input type='text' class='col-md-10 form-control input-text' name='newtaktDatetime' 
						#datepicker='bsDatepicker' [(ngModel)]='rowdata.newtaktDatetime'  bsDatepicker &gt;
					&lt;/div&gt;
					&lt;div class='col-md-12 form-group row'&gt;
						&lt;label class='col-md-2 form-control title'&gt;Pik Start Datetime&lt;/label&gt;
						&lt;input type='text' class='col-md-10 form-control input-text' name='pikStartDatetime' 
						#datepicker='bsDatepicker' [(ngModel)]='rowdata.pikStartDatetime'  bsDatepicker &gt;
					&lt;/div&gt;
					&lt;div class='col-md-12 form-group row'&gt;
						&lt;label class='col-md-2 form-control title'&gt;Pik Finish Datetime&lt;/label&gt;
						&lt;input type='text' class='col-md-10 form-control input-text' name='pikFinishDatetime' 
						#datepicker='bsDatepicker' [(ngModel)]='rowdata.pikFinishDatetime'  bsDatepicker &gt;
					&lt;/div&gt;
					&lt;div class='col-md-12 form-group row'&gt;
						&lt;label class='col-md-2 form-control title'&gt;Del Start Datetime&lt;/label&gt;
						&lt;input type='text' class='col-md-10 form-control input-text' name='delStartDatetime' 
						#datepicker='bsDatepicker' [(ngModel)]='rowdata.delStartDatetime'  bsDatepicker &gt;
					&lt;/div&gt;
					&lt;div class='col-md-12 form-group row'&gt;
						&lt;label class='col-md-2 form-control title'&gt;Del Finish Datetime&lt;/label&gt;
						&lt;input type='text' class='col-md-10 form-control input-text' name='delFinishDatetime' 
						#datepicker='bsDatepicker' [(ngModel)]='rowdata.delFinishDatetime'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		const dateValue =  this.rowdata.newtaktDatetime ? new Date(this.rowdata.newtaktDatetime?.toString()) : new Date();
		this.datepicker?.bsValueChange.emit(dateValue);
		const dateValue =  this.rowdata.pikStartDatetime ? new Date(this.rowdata.pikStartDatetime?.toString()) : new Date();
		this.datepicker?.bsValueChange.emit(dateValue);
		const dateValue =  this.rowdata.pikFinishDatetime ? new Date(this.rowdata.pikFinishDatetime?.toString()) : new Date();
		this.datepicker?.bsValueChange.emit(dateValue);
		const dateValue =  this.rowdata.delStartDatetime ? new Date(this.rowdata.delStartDatetime?.toString()) : new Date();
		this.datepicker?.bsValueChange.emit(dateValue);
		const dateValue =  this.rowdata.delFinishDatetime ? new Date(this.rowdata.delFinishDatetime?.toString())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prodLine : string = '' ; 
	workingDate : any ;
	shift : string = '' ; 
	noInShift : number = 0 ;
	noInDate : number = 0 ;
	progressId
	processId
	partListId
	partNo : string = '' ; 
	partNoNormalized : string = '' ; 
	backNo : string = '' ; 
	pcAddress : string = '' ; 
	spsAddress : string = '' ; 
	sorting : number = 0 ;
	usageQty : number = 0 ;
	bodyNo : string = '' ; 
	lotNo : string = '' ; 
	noInLot : number = 0 ;
	grade : string = '' ; 
	model : string = '' ; 
	bodyColor : string = '' ; 
	scanQty : number = 0 ;
	inputQty : number = 0 ;
	isZeroKb : string = '' ; 
	newtaktDatetime : any ;
	pikStartDatetime : any ;
	pikFinishDatetime : any ;
	delStartDatetime : any ;
	delFinishDatetime : any ;
	status : string = '' ; 
	isActive : string = '' ; </v>
      </c>
      <c r="T13" s="68" t="str">
        <f ca="1">TEXTJOIN2("
",TRUE,INDIRECT(T11):INDIRECT(T12))</f>
        <v xml:space="preserve">			this.prodLine,
			this.workingDate,
			this.shift,
			this.noInShift,
			this.noInDate,
			this.progressId,
			this.processId,
			this.partListId,
			this.partNo,
			this.partNoNormalized,
			this.backNo,
			this.pcAddress,
			this.spsAddress,
			this.sorting,
			this.usageQty,
			this.bodyNo,
			this.lotNo,
			this.noInLot,
			this.grade,
			this.model,
			this.bodyColor,
			this.scanQty,
			this.inputQty,
			this.isZeroKb,
			this.newtaktDatetime,
			this.pikStartDatetime,
			this.pikFinishDatetime,
			this.delStartDatetime,
			this.delFinishDatetime,
			this.status,
			this.isActive,</v>
      </c>
      <c r="U13" s="68" t="str">
        <f ca="1">TEXTJOIN2("
",TRUE,INDIRECT(U11):INDIRECT(U12))</f>
        <v>this.prodLine = '',
		this.workingDate = '',
		this.shift = '',
		this.noInShift = 0,
		this.noInDate = 0,
		this.progressId = '',
		this.processId = '',
		this.partListId = '',
		this.partNo = '',
		this.partNoNormalized = '',
		this.backNo = '',
		this.pcAddress = '',
		this.spsAddress = '',
		this.sorting = 0,
		this.usageQty = 0,
		this.bodyNo = '',
		this.lotNo = '',
		this.noInLot = 0,
		this.grade = '',
		this.model = '',
		this.bodyColor = '',
		this.scanQty = 0,
		this.inputQty = 0,
		this.isZeroKb = '',
		this.newtaktDatetime = '',
		this.pikStartDatetime = '',
		this.pikFinishDatetime = '',
		this.delStartDatetime = '',
		this.delFinishDatetime = '',
		this.status = '',
		this.isActive = '',</v>
      </c>
      <c r="V13" s="31" t="str">
        <f ca="1">TEXTJOIN2("
",TRUE,INDIRECT(V11):INDIRECT(V12))</f>
        <v>isZeroKb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progressdetails.component.ts</v>
      </c>
      <c r="I14" s="40" t="str">
        <f>B8&amp;".component.html"</f>
        <v>progressdetails.component.html</v>
      </c>
      <c r="J14" s="39" t="str">
        <f>B8&amp;".component.less"</f>
        <v>progressdetails.component.less</v>
      </c>
      <c r="K14" s="40" t="str">
        <f>"create-or-edit-"&amp;B8&amp;"-modal.component.html"</f>
        <v>create-or-edit-progressdetails-modal.component.html</v>
      </c>
      <c r="L14" s="40" t="str">
        <f>"create-or-edit-"&amp;B8&amp;"-modal.component.ts"</f>
        <v>create-or-edit-progressdetails-modal.component.ts</v>
      </c>
      <c r="M14" s="40" t="str">
        <f>"create-or-edit-"&amp;B8&amp;"-modal.component.less"</f>
        <v>create-or-edit-progressdetails-modal.component.less</v>
      </c>
      <c r="N14" s="40" t="str">
        <f>B8&amp;".module.ts"</f>
        <v>progressdetails.module.ts</v>
      </c>
      <c r="O14" s="40" t="str">
        <f>B8&amp;"-routing.module.ts"</f>
        <v>progressdetails-routing.module.ts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322</v>
      </c>
      <c r="B15" s="31" t="str">
        <f>SUBSTITUTE(PROPER(A15),"_","")</f>
        <v>ProdLine</v>
      </c>
      <c r="C15" s="31" t="str">
        <f>SUBSTITUTE(PROPER(A15),"_"," ")</f>
        <v>Prod Line</v>
      </c>
      <c r="D15" s="31" t="str">
        <f>LOWER(LEFT(B15,1))&amp;RIGHT(B15,LEN(B15) - 1)</f>
        <v>prodLine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this.l('Prod Line'),headerTooltip: this.l('Prod Line'),field: 'prodLine',flex: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prodLine : string = '' ; </v>
      </c>
      <c r="T15" s="31" t="str">
        <f>REPT(CHAR(9),3)&amp;"this."&amp;D15&amp;","</f>
        <v xml:space="preserve">			this.prodLine,</v>
      </c>
      <c r="U15" s="31" t="str">
        <f>IF(E15="int","this."&amp;D15&amp;" = 0,","this."&amp;D15&amp;" = '',")</f>
        <v>this.prodLine = '',</v>
      </c>
      <c r="V15" s="31" t="str">
        <f>IF(AND(E15="string",F15="1"),D15,"")</f>
        <v/>
      </c>
    </row>
    <row r="16" spans="1:22" ht="15" customHeight="1" x14ac:dyDescent="0.25">
      <c r="A16" s="31" t="s">
        <v>325</v>
      </c>
      <c r="B16" s="31" t="str">
        <f t="shared" ref="B16:B29" si="0">SUBSTITUTE(PROPER(A16),"_","")</f>
        <v>WorkingDate</v>
      </c>
      <c r="C16" s="31" t="str">
        <f t="shared" ref="C16:C29" si="1">SUBSTITUTE(PROPER(A16),"_"," ")</f>
        <v>Working Date</v>
      </c>
      <c r="D16" s="31" t="str">
        <f t="shared" ref="D16:D29" si="2">LOWER(LEFT(B16,1))&amp;RIGHT(B16,LEN(B16) - 1)</f>
        <v>workingDate</v>
      </c>
      <c r="E16" s="31" t="str">
        <f>A.Backend!H10</f>
        <v>DateTime</v>
      </c>
      <c r="F16" s="31" t="str">
        <f>A.Backend!G10</f>
        <v/>
      </c>
      <c r="G16" s="31" t="str">
        <f t="shared" ref="G16:G29" si="3">IF(E16="string"," : string = '' ; ",IF(OR(E16="DateTime",E16="TimeSpan")," : any ;",IF(E16="int"," : number = 0 ;","")))</f>
        <v xml:space="preserve"> : any ;</v>
      </c>
      <c r="H16" s="38" t="str">
        <f t="shared" ref="H16:H2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this.l('Working Date'),headerTooltip: this.l('Working Date'),field: 'workingDate',valueGetter: (params) =&gt; this.pipe.transform(params.data?.workingDate, 'dd/MM/yyyy'),flex: 1},</v>
      </c>
      <c r="I16" s="38" t="str">
        <f t="shared" ref="I16:I2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16" s="31"/>
      <c r="K16" s="38" t="str">
        <f t="shared" ref="K16:K2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6" s="60" t="str">
        <f t="shared" ref="L16:L29" si="7">IF(E16="DateTime",
REPT(CHAR(9),2)&amp;"const dateValue =  this.rowdata."&amp;D16&amp;" ? new Date(this.rowdata."&amp;D16&amp;"?.toString()) : new Date();
"&amp;REPT(CHAR(9),2)&amp;"this.datepicker?.bsValueChange.emit(dateValue);","")</f>
        <v xml:space="preserve">		const dateValue =  this.rowdata.workingDate ? new Date(this.rowdata.workingDate?.toString()) : new Date();
		this.datepicker?.bsValueChange.emit(dateValue);</v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workingDate : any ;</v>
      </c>
      <c r="T16" s="31" t="str">
        <f>REPT(CHAR(9),3)&amp;"this."&amp;D16&amp;","</f>
        <v xml:space="preserve">			this.workingDate,</v>
      </c>
      <c r="U16" s="31" t="str">
        <f>IF(E16="int",REPT(CHAR(9),2)&amp;"this."&amp;D16&amp;" = 0,",REPT(CHAR(9),2)&amp;"this."&amp;D16&amp;" = '',")</f>
        <v xml:space="preserve">		this.workingDate = '',</v>
      </c>
      <c r="V16" s="31" t="str">
        <f t="shared" ref="V16:V29" si="8">IF(AND(E16="string",F16="1"),D16,"")</f>
        <v/>
      </c>
    </row>
    <row r="17" spans="1:22" ht="18" customHeight="1" x14ac:dyDescent="0.25">
      <c r="A17" s="31" t="s">
        <v>326</v>
      </c>
      <c r="B17" s="31" t="str">
        <f t="shared" si="0"/>
        <v>Shift</v>
      </c>
      <c r="C17" s="31" t="str">
        <f t="shared" si="1"/>
        <v>Shift</v>
      </c>
      <c r="D17" s="31" t="str">
        <f t="shared" si="2"/>
        <v>shift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this.l('Shift'),headerTooltip: this.l('Shift'),field: 'shift',flex: 1},</v>
      </c>
      <c r="I17" s="38" t="str">
        <f t="shared" si="5"/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8" si="9">REPT(CHAR(9),1)&amp;D17&amp;G17</f>
        <v xml:space="preserve">	shift : string = '' ; </v>
      </c>
      <c r="T17" s="31" t="str">
        <f t="shared" ref="T17:T18" si="10">REPT(CHAR(9),3)&amp;"this."&amp;D17&amp;","</f>
        <v xml:space="preserve">			this.shift,</v>
      </c>
      <c r="U17" s="31" t="str">
        <f t="shared" ref="U17:U18" si="11">IF(E17="int",REPT(CHAR(9),2)&amp;"this."&amp;D17&amp;" = 0,",REPT(CHAR(9),2)&amp;"this."&amp;D17&amp;" = '',")</f>
        <v xml:space="preserve">		this.shift = '',</v>
      </c>
      <c r="V17" s="31" t="str">
        <f t="shared" si="8"/>
        <v/>
      </c>
    </row>
    <row r="18" spans="1:22" ht="18" customHeight="1" x14ac:dyDescent="0.25">
      <c r="A18" s="31" t="s">
        <v>327</v>
      </c>
      <c r="B18" s="31" t="str">
        <f t="shared" si="0"/>
        <v>NoInShift</v>
      </c>
      <c r="C18" s="31" t="str">
        <f t="shared" si="1"/>
        <v>No In Shift</v>
      </c>
      <c r="D18" s="31" t="str">
        <f t="shared" si="2"/>
        <v>noInShift</v>
      </c>
      <c r="E18" s="31" t="str">
        <f>A.Backend!H12</f>
        <v>int</v>
      </c>
      <c r="F18" s="31" t="str">
        <f>A.Backend!G12</f>
        <v/>
      </c>
      <c r="G18" s="31" t="str">
        <f t="shared" si="3"/>
        <v xml:space="preserve"> : number = 0 ;</v>
      </c>
      <c r="H18" s="38" t="str">
        <f t="shared" si="4"/>
        <v xml:space="preserve">			{headerName: this.l('No In Shift'),headerTooltip: this.l('No In Shift'),field: 'noInShift',flex: 1},</v>
      </c>
      <c r="I18" s="38" t="str">
        <f t="shared" si="5"/>
        <v/>
      </c>
      <c r="J18" s="31"/>
      <c r="K18" s="38" t="str">
        <f t="shared" si="6"/>
        <v xml:space="preserve">					&lt;div class='col-md-12 form-group row'&gt;
						&lt;label class='col-md-2 form-control title'&gt;No In Shift&lt;/label&gt;
						&lt;input type='number' class='col-md-10 form-control input-text' name='NoInShift' [(ngModel)]='rowdata.noInShift'&gt;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noInShift : number = 0 ;</v>
      </c>
      <c r="T18" s="31" t="str">
        <f t="shared" si="10"/>
        <v xml:space="preserve">			this.noInShift,</v>
      </c>
      <c r="U18" s="31" t="str">
        <f t="shared" si="11"/>
        <v xml:space="preserve">		this.noInShift = 0,</v>
      </c>
      <c r="V18" s="31" t="str">
        <f t="shared" si="8"/>
        <v/>
      </c>
    </row>
    <row r="19" spans="1:22" ht="15" customHeight="1" x14ac:dyDescent="0.25">
      <c r="A19" s="31" t="s">
        <v>358</v>
      </c>
      <c r="B19" s="31" t="str">
        <f t="shared" si="0"/>
        <v>NoInDate</v>
      </c>
      <c r="C19" s="31" t="str">
        <f t="shared" si="1"/>
        <v>No In Date</v>
      </c>
      <c r="D19" s="31" t="str">
        <f t="shared" si="2"/>
        <v>noInDate</v>
      </c>
      <c r="E19" s="31" t="str">
        <f>A.Backend!H13</f>
        <v>int</v>
      </c>
      <c r="F19" s="31" t="str">
        <f>A.Backend!G13</f>
        <v/>
      </c>
      <c r="G19" s="31" t="str">
        <f t="shared" si="3"/>
        <v xml:space="preserve"> : number = 0 ;</v>
      </c>
      <c r="H19" s="38" t="str">
        <f t="shared" si="4"/>
        <v xml:space="preserve">			{headerName: this.l('No In Date'),headerTooltip: this.l('No In Date'),field: 'noInDate',flex: 1},</v>
      </c>
      <c r="I19" s="38" t="str">
        <f t="shared" si="5"/>
        <v/>
      </c>
      <c r="J19" s="31"/>
      <c r="K19" s="38" t="str">
        <f t="shared" si="6"/>
        <v xml:space="preserve">					&lt;div class='col-md-12 form-group row'&gt;
						&lt;label class='col-md-2 form-control title'&gt;No In Date&lt;/label&gt;
						&lt;input type='number' class='col-md-10 form-control input-text' name='NoInDate' [(ngModel)]='rowdata.noInDate'&gt;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>REPT(CHAR(9),1)&amp;D19&amp;G19</f>
        <v xml:space="preserve">	noInDate : number = 0 ;</v>
      </c>
      <c r="T19" s="31" t="str">
        <f>REPT(CHAR(9),3)&amp;"this."&amp;D19&amp;","</f>
        <v xml:space="preserve">			this.noInDate,</v>
      </c>
      <c r="U19" s="31" t="str">
        <f>IF(E19="int",REPT(CHAR(9),2)&amp;"this."&amp;D19&amp;" = 0,",REPT(CHAR(9),2)&amp;"this."&amp;D19&amp;" = '',")</f>
        <v xml:space="preserve">		this.noInDate = 0,</v>
      </c>
      <c r="V19" s="31" t="str">
        <f t="shared" si="8"/>
        <v/>
      </c>
    </row>
    <row r="20" spans="1:22" ht="18" customHeight="1" x14ac:dyDescent="0.25">
      <c r="A20" s="31" t="s">
        <v>335</v>
      </c>
      <c r="B20" s="31" t="str">
        <f t="shared" si="0"/>
        <v>ProgressId</v>
      </c>
      <c r="C20" s="31" t="str">
        <f t="shared" si="1"/>
        <v>Progress Id</v>
      </c>
      <c r="D20" s="31" t="str">
        <f t="shared" si="2"/>
        <v>progressId</v>
      </c>
      <c r="E20" s="31" t="str">
        <f>A.Backend!H14</f>
        <v>long</v>
      </c>
      <c r="F20" s="31" t="str">
        <f>A.Backend!G14</f>
        <v/>
      </c>
      <c r="G20" s="31" t="str">
        <f t="shared" si="3"/>
        <v/>
      </c>
      <c r="H20" s="38" t="str">
        <f t="shared" si="4"/>
        <v xml:space="preserve">			{headerName: this.l('Progress Id'),headerTooltip: this.l('Progress Id'),field: 'progressId',flex: 1},</v>
      </c>
      <c r="I20" s="38" t="str">
        <f t="shared" si="5"/>
        <v/>
      </c>
      <c r="J20" s="31"/>
      <c r="K20" s="38" t="str">
        <f t="shared" si="6"/>
        <v/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ref="S20:S22" si="12">REPT(CHAR(9),1)&amp;D20&amp;G20</f>
        <v xml:space="preserve">	progressId</v>
      </c>
      <c r="T20" s="31" t="str">
        <f t="shared" ref="T20:T22" si="13">REPT(CHAR(9),3)&amp;"this."&amp;D20&amp;","</f>
        <v xml:space="preserve">			this.progressId,</v>
      </c>
      <c r="U20" s="31" t="str">
        <f t="shared" ref="U20:U22" si="14">IF(E20="int",REPT(CHAR(9),2)&amp;"this."&amp;D20&amp;" = 0,",REPT(CHAR(9),2)&amp;"this."&amp;D20&amp;" = '',")</f>
        <v xml:space="preserve">		this.progressId = '',</v>
      </c>
      <c r="V20" s="31" t="str">
        <f t="shared" si="8"/>
        <v/>
      </c>
    </row>
    <row r="21" spans="1:22" ht="18" customHeight="1" x14ac:dyDescent="0.25">
      <c r="A21" s="31" t="s">
        <v>344</v>
      </c>
      <c r="B21" s="31" t="str">
        <f t="shared" si="0"/>
        <v>ProcessId</v>
      </c>
      <c r="C21" s="31" t="str">
        <f t="shared" si="1"/>
        <v>Process Id</v>
      </c>
      <c r="D21" s="31" t="str">
        <f t="shared" si="2"/>
        <v>processId</v>
      </c>
      <c r="E21" s="31" t="str">
        <f>A.Backend!H15</f>
        <v>long</v>
      </c>
      <c r="F21" s="31" t="str">
        <f>A.Backend!G15</f>
        <v/>
      </c>
      <c r="G21" s="31" t="str">
        <f t="shared" si="3"/>
        <v/>
      </c>
      <c r="H21" s="38" t="str">
        <f t="shared" si="4"/>
        <v xml:space="preserve">			{headerName: this.l('Process Id'),headerTooltip: this.l('Process Id'),field: 'processId',flex: 1},</v>
      </c>
      <c r="I21" s="38" t="str">
        <f t="shared" si="5"/>
        <v/>
      </c>
      <c r="J21" s="31"/>
      <c r="K21" s="38" t="str">
        <f t="shared" si="6"/>
        <v/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si="12"/>
        <v xml:space="preserve">	processId</v>
      </c>
      <c r="T21" s="31" t="str">
        <f t="shared" si="13"/>
        <v xml:space="preserve">			this.processId,</v>
      </c>
      <c r="U21" s="31" t="str">
        <f t="shared" si="14"/>
        <v xml:space="preserve">		this.processId = '',</v>
      </c>
      <c r="V21" s="31" t="str">
        <f t="shared" si="8"/>
        <v/>
      </c>
    </row>
    <row r="22" spans="1:22" ht="18" customHeight="1" x14ac:dyDescent="0.25">
      <c r="A22" s="31" t="s">
        <v>333</v>
      </c>
      <c r="B22" s="31" t="str">
        <f t="shared" si="0"/>
        <v>PartListId</v>
      </c>
      <c r="C22" s="31" t="str">
        <f t="shared" si="1"/>
        <v>Part List Id</v>
      </c>
      <c r="D22" s="31" t="str">
        <f t="shared" si="2"/>
        <v>partListId</v>
      </c>
      <c r="E22" s="31" t="str">
        <f>A.Backend!H16</f>
        <v>long</v>
      </c>
      <c r="F22" s="31" t="str">
        <f>A.Backend!G16</f>
        <v/>
      </c>
      <c r="G22" s="31" t="str">
        <f t="shared" si="3"/>
        <v/>
      </c>
      <c r="H22" s="38" t="str">
        <f t="shared" si="4"/>
        <v xml:space="preserve">			{headerName: this.l('Part List Id'),headerTooltip: this.l('Part List Id'),field: 'partListId',flex: 1},</v>
      </c>
      <c r="I22" s="38" t="str">
        <f t="shared" si="5"/>
        <v/>
      </c>
      <c r="J22" s="31"/>
      <c r="K22" s="38" t="str">
        <f t="shared" si="6"/>
        <v/>
      </c>
      <c r="L22" s="60" t="str">
        <f t="shared" si="7"/>
        <v/>
      </c>
      <c r="M22" s="31"/>
      <c r="N22" s="31"/>
      <c r="O22" s="31"/>
      <c r="P22" s="31"/>
      <c r="Q22" s="31"/>
      <c r="R22" s="31"/>
      <c r="S22" s="31" t="str">
        <f t="shared" si="12"/>
        <v xml:space="preserve">	partListId</v>
      </c>
      <c r="T22" s="31" t="str">
        <f t="shared" si="13"/>
        <v xml:space="preserve">			this.partListId,</v>
      </c>
      <c r="U22" s="31" t="str">
        <f t="shared" si="14"/>
        <v xml:space="preserve">		this.partListId = '',</v>
      </c>
      <c r="V22" s="31" t="str">
        <f t="shared" si="8"/>
        <v/>
      </c>
    </row>
    <row r="23" spans="1:22" ht="15" customHeight="1" x14ac:dyDescent="0.25">
      <c r="A23" s="31" t="s">
        <v>332</v>
      </c>
      <c r="B23" s="31" t="str">
        <f t="shared" si="0"/>
        <v>PartNo</v>
      </c>
      <c r="C23" s="31" t="str">
        <f t="shared" si="1"/>
        <v>Part No</v>
      </c>
      <c r="D23" s="31" t="str">
        <f t="shared" si="2"/>
        <v>partNo</v>
      </c>
      <c r="E23" s="31" t="str">
        <f>A.Backend!H17</f>
        <v>string</v>
      </c>
      <c r="F23" s="31" t="str">
        <f>A.Backend!G17</f>
        <v>50</v>
      </c>
      <c r="G23" s="31" t="str">
        <f t="shared" si="3"/>
        <v xml:space="preserve"> : string = '' ; </v>
      </c>
      <c r="H23" s="38" t="str">
        <f t="shared" si="4"/>
        <v xml:space="preserve">			{headerName: this.l('Part No'),headerTooltip: this.l('Part No'),field: 'partNo',flex: 1},</v>
      </c>
      <c r="I23" s="38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23" s="31"/>
      <c r="K23" s="38" t="str">
        <f t="shared" si="6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23" s="60" t="str">
        <f t="shared" si="7"/>
        <v/>
      </c>
      <c r="M23" s="31"/>
      <c r="N23" s="31"/>
      <c r="O23" s="31"/>
      <c r="P23" s="31"/>
      <c r="Q23" s="31"/>
      <c r="R23" s="31"/>
      <c r="S23" s="31" t="str">
        <f>REPT(CHAR(9),1)&amp;D23&amp;G23</f>
        <v xml:space="preserve">	partNo : string = '' ; </v>
      </c>
      <c r="T23" s="31" t="str">
        <f>REPT(CHAR(9),3)&amp;"this."&amp;D23&amp;","</f>
        <v xml:space="preserve">			this.partNo,</v>
      </c>
      <c r="U23" s="31" t="str">
        <f>IF(E23="int",REPT(CHAR(9),2)&amp;"this."&amp;D23&amp;" = 0,",REPT(CHAR(9),2)&amp;"this."&amp;D23&amp;" = '',")</f>
        <v xml:space="preserve">		this.partNo = '',</v>
      </c>
      <c r="V23" s="31" t="str">
        <f t="shared" si="8"/>
        <v/>
      </c>
    </row>
    <row r="24" spans="1:22" ht="18" customHeight="1" x14ac:dyDescent="0.25">
      <c r="A24" s="31" t="s">
        <v>350</v>
      </c>
      <c r="B24" s="31" t="str">
        <f t="shared" si="0"/>
        <v>PartNoNormalized</v>
      </c>
      <c r="C24" s="31" t="str">
        <f t="shared" si="1"/>
        <v>Part No Normalized</v>
      </c>
      <c r="D24" s="31" t="str">
        <f t="shared" si="2"/>
        <v>partNoNormalized</v>
      </c>
      <c r="E24" s="31" t="str">
        <f>A.Backend!H18</f>
        <v>string</v>
      </c>
      <c r="F24" s="31" t="str">
        <f>A.Backend!G18</f>
        <v>50</v>
      </c>
      <c r="G24" s="31" t="str">
        <f t="shared" si="3"/>
        <v xml:space="preserve"> : string = '' ; </v>
      </c>
      <c r="H24" s="38" t="str">
        <f t="shared" si="4"/>
        <v xml:space="preserve">			{headerName: this.l('Part No Normalized'),headerTooltip: this.l('Part No Normalized'),field: 'partNoNormalized',flex: 1},</v>
      </c>
      <c r="I24" s="38" t="str">
        <f t="shared" si="5"/>
        <v xml:space="preserve">								&lt;div class='input-search'&gt;
									&lt;input [(ngModel)]='partNoNormalized' name='partNoNormalized'
									class='form-control' [placeholder]="l('Part No Normalized')"
									type='text' (keyup.enter)='searchDatas()'&gt;
								&lt;/div&gt;</v>
      </c>
      <c r="J24" s="31"/>
      <c r="K24" s="38" t="str">
        <f t="shared" si="6"/>
        <v xml:space="preserve">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</v>
      </c>
      <c r="L24" s="60" t="str">
        <f t="shared" si="7"/>
        <v/>
      </c>
      <c r="M24" s="31"/>
      <c r="N24" s="31"/>
      <c r="O24" s="31"/>
      <c r="P24" s="31"/>
      <c r="Q24" s="31"/>
      <c r="R24" s="31"/>
      <c r="S24" s="31" t="str">
        <f t="shared" ref="S24:S25" si="15">REPT(CHAR(9),1)&amp;D24&amp;G24</f>
        <v xml:space="preserve">	partNoNormalized : string = '' ; </v>
      </c>
      <c r="T24" s="31" t="str">
        <f t="shared" ref="T24:T25" si="16">REPT(CHAR(9),3)&amp;"this."&amp;D24&amp;","</f>
        <v xml:space="preserve">			this.partNoNormalized,</v>
      </c>
      <c r="U24" s="31" t="str">
        <f t="shared" ref="U24:U25" si="17">IF(E24="int",REPT(CHAR(9),2)&amp;"this."&amp;D24&amp;" = 0,",REPT(CHAR(9),2)&amp;"this."&amp;D24&amp;" = '',")</f>
        <v xml:space="preserve">		this.partNoNormalized = '',</v>
      </c>
      <c r="V24" s="31" t="str">
        <f t="shared" si="8"/>
        <v/>
      </c>
    </row>
    <row r="25" spans="1:22" ht="18" customHeight="1" x14ac:dyDescent="0.25">
      <c r="A25" s="31" t="s">
        <v>347</v>
      </c>
      <c r="B25" s="31" t="str">
        <f t="shared" si="0"/>
        <v>BackNo</v>
      </c>
      <c r="C25" s="31" t="str">
        <f t="shared" si="1"/>
        <v>Back No</v>
      </c>
      <c r="D25" s="31" t="str">
        <f t="shared" si="2"/>
        <v>backNo</v>
      </c>
      <c r="E25" s="31" t="str">
        <f>A.Backend!H19</f>
        <v>string</v>
      </c>
      <c r="F25" s="31" t="str">
        <f>A.Backend!G19</f>
        <v>50</v>
      </c>
      <c r="G25" s="31" t="str">
        <f t="shared" si="3"/>
        <v xml:space="preserve"> : string = '' ; </v>
      </c>
      <c r="H25" s="38" t="str">
        <f t="shared" si="4"/>
        <v xml:space="preserve">			{headerName: this.l('Back No'),headerTooltip: this.l('Back No'),field: 'backNo',flex: 1},</v>
      </c>
      <c r="I25" s="38" t="str">
        <f t="shared" si="5"/>
        <v xml:space="preserve">								&lt;div class='input-search'&gt;
									&lt;input [(ngModel)]='backNo' name='backNo'
									class='form-control' [placeholder]="l('Back No')"
									type='text' (keyup.enter)='searchDatas()'&gt;
								&lt;/div&gt;</v>
      </c>
      <c r="J25" s="31"/>
      <c r="K25" s="38" t="str">
        <f t="shared" si="6"/>
        <v xml:space="preserve">					&lt;div class='col-md-12 form-group row'&gt;
						&lt;label class='col-md-2 form-control title'&gt;Back No&lt;/label&gt;
						&lt;input type='text' class='col-md-10 form-control input-text' name='BackNo' [(ngModel)]='rowdata.backNo'&gt;
					&lt;/div&gt;</v>
      </c>
      <c r="L25" s="60" t="str">
        <f t="shared" si="7"/>
        <v/>
      </c>
      <c r="M25" s="31"/>
      <c r="N25" s="31"/>
      <c r="O25" s="31"/>
      <c r="P25" s="31"/>
      <c r="Q25" s="31"/>
      <c r="R25" s="31"/>
      <c r="S25" s="31" t="str">
        <f t="shared" si="15"/>
        <v xml:space="preserve">	backNo : string = '' ; </v>
      </c>
      <c r="T25" s="31" t="str">
        <f t="shared" si="16"/>
        <v xml:space="preserve">			this.backNo,</v>
      </c>
      <c r="U25" s="31" t="str">
        <f t="shared" si="17"/>
        <v xml:space="preserve">		this.backNo = '',</v>
      </c>
      <c r="V25" s="31" t="str">
        <f t="shared" si="8"/>
        <v/>
      </c>
    </row>
    <row r="26" spans="1:22" ht="15" customHeight="1" x14ac:dyDescent="0.25">
      <c r="A26" s="31" t="s">
        <v>345</v>
      </c>
      <c r="B26" s="31" t="str">
        <f t="shared" si="0"/>
        <v>PcAddress</v>
      </c>
      <c r="C26" s="31" t="str">
        <f t="shared" si="1"/>
        <v>Pc Address</v>
      </c>
      <c r="D26" s="31" t="str">
        <f t="shared" si="2"/>
        <v>pcAddress</v>
      </c>
      <c r="E26" s="31" t="str">
        <f>A.Backend!H20</f>
        <v>string</v>
      </c>
      <c r="F26" s="31" t="str">
        <f>A.Backend!G20</f>
        <v>200</v>
      </c>
      <c r="G26" s="31" t="str">
        <f t="shared" si="3"/>
        <v xml:space="preserve"> : string = '' ; </v>
      </c>
      <c r="H26" s="38" t="str">
        <f t="shared" si="4"/>
        <v xml:space="preserve">			{headerName: this.l('Pc Address'),headerTooltip: this.l('Pc Address'),field: 'pcAddress',flex: 1},</v>
      </c>
      <c r="I26" s="38" t="str">
        <f t="shared" si="5"/>
        <v xml:space="preserve">								&lt;div class='input-search'&gt;
									&lt;input [(ngModel)]='pcAddress' name='pcAddress'
									class='form-control' [placeholder]="l('Pc Address')"
									type='text' (keyup.enter)='searchDatas()'&gt;
								&lt;/div&gt;</v>
      </c>
      <c r="J26" s="31"/>
      <c r="K26" s="38" t="str">
        <f t="shared" si="6"/>
        <v xml:space="preserve">					&lt;div class='col-md-12 form-group row'&gt;
						&lt;label class='col-md-2 form-control title'&gt;Pc Address&lt;/label&gt;
						&lt;input type='text' class='col-md-10 form-control input-text' name='PcAddress' [(ngModel)]='rowdata.pcAddress'&gt;
					&lt;/div&gt;</v>
      </c>
      <c r="L26" s="60" t="str">
        <f t="shared" si="7"/>
        <v/>
      </c>
      <c r="M26" s="31"/>
      <c r="N26" s="31"/>
      <c r="O26" s="31"/>
      <c r="P26" s="31"/>
      <c r="Q26" s="31"/>
      <c r="R26" s="31"/>
      <c r="S26" s="31" t="str">
        <f>REPT(CHAR(9),1)&amp;D26&amp;G26</f>
        <v xml:space="preserve">	pcAddress : string = '' ; </v>
      </c>
      <c r="T26" s="31" t="str">
        <f>REPT(CHAR(9),3)&amp;"this."&amp;D26&amp;","</f>
        <v xml:space="preserve">			this.pcAddress,</v>
      </c>
      <c r="U26" s="31" t="str">
        <f>IF(E26="int",REPT(CHAR(9),2)&amp;"this."&amp;D26&amp;" = 0,",REPT(CHAR(9),2)&amp;"this."&amp;D26&amp;" = '',")</f>
        <v xml:space="preserve">		this.pcAddress = '',</v>
      </c>
      <c r="V26" s="31" t="str">
        <f t="shared" si="8"/>
        <v/>
      </c>
    </row>
    <row r="27" spans="1:22" ht="18" customHeight="1" x14ac:dyDescent="0.25">
      <c r="A27" s="31" t="s">
        <v>346</v>
      </c>
      <c r="B27" s="31" t="str">
        <f t="shared" si="0"/>
        <v>SpsAddress</v>
      </c>
      <c r="C27" s="31" t="str">
        <f t="shared" si="1"/>
        <v>Sps Address</v>
      </c>
      <c r="D27" s="31" t="str">
        <f t="shared" si="2"/>
        <v>spsAddress</v>
      </c>
      <c r="E27" s="31" t="str">
        <f>A.Backend!H21</f>
        <v>string</v>
      </c>
      <c r="F27" s="31" t="str">
        <f>A.Backend!G21</f>
        <v>200</v>
      </c>
      <c r="G27" s="31" t="str">
        <f t="shared" si="3"/>
        <v xml:space="preserve"> : string = '' ; </v>
      </c>
      <c r="H27" s="38" t="str">
        <f t="shared" si="4"/>
        <v xml:space="preserve">			{headerName: this.l('Sps Address'),headerTooltip: this.l('Sps Address'),field: 'spsAddress',flex: 1},</v>
      </c>
      <c r="I27" s="38" t="str">
        <f t="shared" si="5"/>
        <v xml:space="preserve">								&lt;div class='input-search'&gt;
									&lt;input [(ngModel)]='spsAddress' name='spsAddress'
									class='form-control' [placeholder]="l('Sps Address')"
									type='text' (keyup.enter)='searchDatas()'&gt;
								&lt;/div&gt;</v>
      </c>
      <c r="J27" s="31"/>
      <c r="K27" s="38" t="str">
        <f t="shared" si="6"/>
        <v xml:space="preserve">					&lt;div class='col-md-12 form-group row'&gt;
						&lt;label class='col-md-2 form-control title'&gt;Sps Address&lt;/label&gt;
						&lt;input type='text' class='col-md-10 form-control input-text' name='SpsAddress' [(ngModel)]='rowdata.spsAddress'&gt;
					&lt;/div&gt;</v>
      </c>
      <c r="L27" s="60" t="str">
        <f t="shared" si="7"/>
        <v/>
      </c>
      <c r="M27" s="31"/>
      <c r="N27" s="31"/>
      <c r="O27" s="31"/>
      <c r="P27" s="31"/>
      <c r="Q27" s="31"/>
      <c r="R27" s="31"/>
      <c r="S27" s="31" t="str">
        <f t="shared" ref="S27:S29" si="18">REPT(CHAR(9),1)&amp;D27&amp;G27</f>
        <v xml:space="preserve">	spsAddress : string = '' ; </v>
      </c>
      <c r="T27" s="31" t="str">
        <f t="shared" ref="T27:T29" si="19">REPT(CHAR(9),3)&amp;"this."&amp;D27&amp;","</f>
        <v xml:space="preserve">			this.spsAddress,</v>
      </c>
      <c r="U27" s="31" t="str">
        <f t="shared" ref="U27:U29" si="20">IF(E27="int",REPT(CHAR(9),2)&amp;"this."&amp;D27&amp;" = 0,",REPT(CHAR(9),2)&amp;"this."&amp;D27&amp;" = '',")</f>
        <v xml:space="preserve">		this.spsAddress = '',</v>
      </c>
      <c r="V27" s="31" t="str">
        <f t="shared" si="8"/>
        <v/>
      </c>
    </row>
    <row r="28" spans="1:22" ht="18" customHeight="1" x14ac:dyDescent="0.25">
      <c r="A28" s="31" t="s">
        <v>334</v>
      </c>
      <c r="B28" s="31" t="str">
        <f t="shared" si="0"/>
        <v>Sorting</v>
      </c>
      <c r="C28" s="31" t="str">
        <f t="shared" si="1"/>
        <v>Sorting</v>
      </c>
      <c r="D28" s="31" t="str">
        <f t="shared" si="2"/>
        <v>sorting</v>
      </c>
      <c r="E28" s="31" t="str">
        <f>A.Backend!H22</f>
        <v>int</v>
      </c>
      <c r="F28" s="31" t="str">
        <f>A.Backend!G22</f>
        <v/>
      </c>
      <c r="G28" s="31" t="str">
        <f t="shared" si="3"/>
        <v xml:space="preserve"> : number = 0 ;</v>
      </c>
      <c r="H28" s="38" t="str">
        <f t="shared" si="4"/>
        <v xml:space="preserve">			{headerName: this.l('Sorting'),headerTooltip: this.l('Sorting'),field: 'sorting',flex: 1},</v>
      </c>
      <c r="I28" s="38" t="str">
        <f t="shared" si="5"/>
        <v/>
      </c>
      <c r="J28" s="31"/>
      <c r="K28" s="38" t="str">
        <f t="shared" si="6"/>
        <v xml:space="preserve">					&lt;div class='col-md-12 form-group row'&gt;
						&lt;label class='col-md-2 form-control title'&gt;Sorting&lt;/label&gt;
						&lt;input type='number' class='col-md-10 form-control input-text' name='Sorting' [(ngModel)]='rowdata.sorting'&gt;
					&lt;/div&gt;</v>
      </c>
      <c r="L28" s="60" t="str">
        <f t="shared" si="7"/>
        <v/>
      </c>
      <c r="M28" s="31"/>
      <c r="N28" s="31"/>
      <c r="O28" s="31"/>
      <c r="P28" s="31"/>
      <c r="Q28" s="31"/>
      <c r="R28" s="31"/>
      <c r="S28" s="31" t="str">
        <f t="shared" si="18"/>
        <v xml:space="preserve">	sorting : number = 0 ;</v>
      </c>
      <c r="T28" s="31" t="str">
        <f t="shared" si="19"/>
        <v xml:space="preserve">			this.sorting,</v>
      </c>
      <c r="U28" s="31" t="str">
        <f t="shared" si="20"/>
        <v xml:space="preserve">		this.sorting = 0,</v>
      </c>
      <c r="V28" s="31" t="str">
        <f t="shared" si="8"/>
        <v/>
      </c>
    </row>
    <row r="29" spans="1:22" ht="18" customHeight="1" x14ac:dyDescent="0.25">
      <c r="A29" s="31" t="s">
        <v>348</v>
      </c>
      <c r="B29" s="31" t="str">
        <f t="shared" si="0"/>
        <v>UsageQty</v>
      </c>
      <c r="C29" s="31" t="str">
        <f t="shared" si="1"/>
        <v>Usage Qty</v>
      </c>
      <c r="D29" s="31" t="str">
        <f t="shared" si="2"/>
        <v>usageQty</v>
      </c>
      <c r="E29" s="31" t="str">
        <f>A.Backend!H23</f>
        <v>int</v>
      </c>
      <c r="F29" s="31" t="str">
        <f>A.Backend!G23</f>
        <v/>
      </c>
      <c r="G29" s="31" t="str">
        <f t="shared" si="3"/>
        <v xml:space="preserve"> : number = 0 ;</v>
      </c>
      <c r="H29" s="38" t="str">
        <f t="shared" si="4"/>
        <v xml:space="preserve">			{headerName: this.l('Usage Qty'),headerTooltip: this.l('Usage Qty'),field: 'usageQty',flex: 1},</v>
      </c>
      <c r="I29" s="38" t="str">
        <f t="shared" si="5"/>
        <v/>
      </c>
      <c r="J29" s="31"/>
      <c r="K29" s="38" t="str">
        <f t="shared" si="6"/>
        <v xml:space="preserve">					&lt;div class='col-md-12 form-group row'&gt;
						&lt;label class='col-md-2 form-control title'&gt;Usage Qty&lt;/label&gt;
						&lt;input type='number' class='col-md-10 form-control input-text' name='UsageQty' [(ngModel)]='rowdata.usageQty'&gt;
					&lt;/div&gt;</v>
      </c>
      <c r="L29" s="60" t="str">
        <f t="shared" si="7"/>
        <v/>
      </c>
      <c r="M29" s="31"/>
      <c r="N29" s="31"/>
      <c r="O29" s="31"/>
      <c r="P29" s="31"/>
      <c r="Q29" s="31"/>
      <c r="R29" s="31"/>
      <c r="S29" s="31" t="str">
        <f t="shared" si="18"/>
        <v xml:space="preserve">	usageQty : number = 0 ;</v>
      </c>
      <c r="T29" s="31" t="str">
        <f t="shared" si="19"/>
        <v xml:space="preserve">			this.usageQty,</v>
      </c>
      <c r="U29" s="31" t="str">
        <f t="shared" si="20"/>
        <v xml:space="preserve">		this.usageQty = 0,</v>
      </c>
      <c r="V29" s="31" t="str">
        <f t="shared" si="8"/>
        <v/>
      </c>
    </row>
    <row r="30" spans="1:22" ht="15" customHeight="1" x14ac:dyDescent="0.25">
      <c r="A30" s="31" t="s">
        <v>336</v>
      </c>
      <c r="B30" s="31" t="str">
        <f t="shared" ref="B30:B37" si="21">SUBSTITUTE(PROPER(A30),"_","")</f>
        <v>BodyNo</v>
      </c>
      <c r="C30" s="31" t="str">
        <f t="shared" ref="C30:C37" si="22">SUBSTITUTE(PROPER(A30),"_"," ")</f>
        <v>Body No</v>
      </c>
      <c r="D30" s="31" t="str">
        <f t="shared" ref="D30:D37" si="23">LOWER(LEFT(B30,1))&amp;RIGHT(B30,LEN(B30) - 1)</f>
        <v>bodyNo</v>
      </c>
      <c r="E30" s="31" t="str">
        <f>A.Backend!H24</f>
        <v>string</v>
      </c>
      <c r="F30" s="31" t="str">
        <f>A.Backend!G24</f>
        <v>50</v>
      </c>
      <c r="G30" s="31" t="str">
        <f t="shared" ref="G30:G37" si="24">IF(E30="string"," : string = '' ; ",IF(OR(E30="DateTime",E30="TimeSpan")," : any ;",IF(E30="int"," : number = 0 ;","")))</f>
        <v xml:space="preserve"> : string = '' ; </v>
      </c>
      <c r="H30" s="38" t="str">
        <f t="shared" ref="H30:H37" si="25">IF(E30="DateTime",
REPT(CHAR(9),3)&amp;"{headerName: this.l('"&amp;C30&amp;"'),headerTooltip: this.l('"&amp;C30&amp;"'),field: '"&amp;D30&amp;"',valueGetter: (params) =&gt; this.pipe.transform(params.data?."&amp;D30&amp;", 'dd/MM/yyyy'),flex: 1},",
IF(AND(E30="string",F30="1"),
REPT(CHAR(9),3)&amp;"{headerName: this.l('"&amp;C30&amp;"'),headerTooltip: this.l('"&amp;C30&amp;"'),field:  '"&amp;D30&amp;"', cellClass: ['text-center'], width: 120, cellRenderer: 'agCellButtonComponent',
buttonDefTwo: { text: params =&gt; (params.data?.'"&amp;D30&amp;"' == 'Y') ? 'Active' : 'Inactive',iconName: 'fa fa-circle',className: params =&gt; (params.data?.'"&amp;D30&amp;"' == 'Y') ? 'btnActive' : 'btnInActive',},}",
REPT(CHAR(9),3)&amp;"{headerName: this.l('"&amp;C30&amp;"'),headerTooltip: this.l('"&amp;C30&amp;"'),field: '"&amp;D30&amp;"',flex: 1},"))</f>
        <v xml:space="preserve">			{headerName: this.l('Body No'),headerTooltip: this.l('Body No'),field: 'bodyNo',flex: 1},</v>
      </c>
      <c r="I30" s="38" t="str">
        <f t="shared" ref="I30:I37" si="26"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IF(E30="string",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30" s="31"/>
      <c r="K30" s="38" t="str">
        <f t="shared" ref="K30:K37" si="27">IF(OR(E30="DateTime",E30="TimeSpan"),
REPT(CHAR(9),5)&amp;"&lt;div class='col-md-12 form-group row'&gt;
"&amp;REPT(CHAR(9),6)&amp;"&lt;label class='col-md-2 form-control title'&gt;"&amp;C30&amp;"&lt;/label&gt;
"&amp;REPT(CHAR(9),6)&amp;"&lt;input type='text' class='col-md-10 form-control input-text' name='"&amp;D30&amp;"' 
"&amp;REPT(CHAR(9),6)&amp;"#datepicker='bsDatepicker' [(ngModel)]='rowdata."&amp;D30&amp;"'  bsDatepicker &gt;
"&amp;REPT(CHAR(9),5)&amp;"&lt;/div&gt;",
IF(AND(E30="string",F30="1"),
REPT(CHAR(9),5)&amp;"&lt;div class='col-md-12 form-group row'&gt;
"&amp;REPT(CHAR(9),6)&amp;"&lt;label class='col-md-2 form-control title'&gt;"&amp;C30&amp;"&lt;/label&gt;
"&amp;REPT(CHAR(9),6)&amp;"&lt;new-checkbox [(ngModel)]='_"&amp;D30&amp;"' name='"&amp;D30&amp;"' className='col-md-10' &gt; &lt;/new-checkbox&gt;
"&amp;REPT(CHAR(9),5)&amp;"&lt;/div&gt;",
IF(E30="string",
REPT(CHAR(9),5)&amp;"&lt;div class='col-md-12 form-group row'&gt;
"&amp;REPT(CHAR(9),6)&amp;"&lt;label class='col-md-2 form-control title'&gt;"&amp;C30&amp;"&lt;/label&gt;
"&amp;REPT(CHAR(9),6)&amp;"&lt;input type='text' class='col-md-10 form-control input-text' name='"&amp;B30&amp;"' [(ngModel)]='rowdata."&amp;D30&amp;"'&gt;
"&amp;REPT(CHAR(9),5)&amp;"&lt;/div&gt;",
IF(E30="int",
REPT(CHAR(9),5)&amp;"&lt;div class='col-md-12 form-group row'&gt;
"&amp;REPT(CHAR(9),6)&amp;"&lt;label class='col-md-2 form-control title'&gt;"&amp;C30&amp;"&lt;/label&gt;
"&amp;REPT(CHAR(9),6)&amp;"&lt;input type='number' class='col-md-10 form-control input-text' name='"&amp;B30&amp;"' [(ngModel)]='rowdata."&amp;D30&amp;"'&gt;
"&amp;REPT(CHAR(9),5)&amp;"&lt;/div&gt;",""))))</f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30" s="60" t="str">
        <f t="shared" ref="L30:L37" si="28"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31"/>
      <c r="N30" s="31"/>
      <c r="O30" s="31"/>
      <c r="P30" s="31"/>
      <c r="Q30" s="31"/>
      <c r="R30" s="31"/>
      <c r="S30" s="31" t="str">
        <f>REPT(CHAR(9),1)&amp;D30&amp;G30</f>
        <v xml:space="preserve">	bodyNo : string = '' ; </v>
      </c>
      <c r="T30" s="31" t="str">
        <f>REPT(CHAR(9),3)&amp;"this."&amp;D30&amp;","</f>
        <v xml:space="preserve">			this.bodyNo,</v>
      </c>
      <c r="U30" s="31" t="str">
        <f>IF(E30="int",REPT(CHAR(9),2)&amp;"this."&amp;D30&amp;" = 0,",REPT(CHAR(9),2)&amp;"this."&amp;D30&amp;" = '',")</f>
        <v xml:space="preserve">		this.bodyNo = '',</v>
      </c>
      <c r="V30" s="31" t="str">
        <f t="shared" ref="V30:V37" si="29">IF(AND(E30="string",F30="1"),D30,"")</f>
        <v/>
      </c>
    </row>
    <row r="31" spans="1:22" ht="18" customHeight="1" x14ac:dyDescent="0.25">
      <c r="A31" s="31" t="s">
        <v>337</v>
      </c>
      <c r="B31" s="31" t="str">
        <f t="shared" si="21"/>
        <v>LotNo</v>
      </c>
      <c r="C31" s="31" t="str">
        <f t="shared" si="22"/>
        <v>Lot No</v>
      </c>
      <c r="D31" s="31" t="str">
        <f t="shared" si="23"/>
        <v>lotNo</v>
      </c>
      <c r="E31" s="31" t="str">
        <f>A.Backend!H25</f>
        <v>string</v>
      </c>
      <c r="F31" s="31" t="str">
        <f>A.Backend!G25</f>
        <v>50</v>
      </c>
      <c r="G31" s="31" t="str">
        <f t="shared" si="24"/>
        <v xml:space="preserve"> : string = '' ; </v>
      </c>
      <c r="H31" s="38" t="str">
        <f t="shared" si="25"/>
        <v xml:space="preserve">			{headerName: this.l('Lot No'),headerTooltip: this.l('Lot No'),field: 'lotNo',flex: 1},</v>
      </c>
      <c r="I31" s="38" t="str">
        <f t="shared" si="26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31" s="31"/>
      <c r="K31" s="38" t="str">
        <f t="shared" si="27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31" s="60" t="str">
        <f t="shared" si="28"/>
        <v/>
      </c>
      <c r="M31" s="31"/>
      <c r="N31" s="31"/>
      <c r="O31" s="31"/>
      <c r="P31" s="31"/>
      <c r="Q31" s="31"/>
      <c r="R31" s="31"/>
      <c r="S31" s="31" t="str">
        <f t="shared" ref="S31:S32" si="30">REPT(CHAR(9),1)&amp;D31&amp;G31</f>
        <v xml:space="preserve">	lotNo : string = '' ; </v>
      </c>
      <c r="T31" s="31" t="str">
        <f t="shared" ref="T31:T32" si="31">REPT(CHAR(9),3)&amp;"this."&amp;D31&amp;","</f>
        <v xml:space="preserve">			this.lotNo,</v>
      </c>
      <c r="U31" s="31" t="str">
        <f t="shared" ref="U31:U32" si="32">IF(E31="int",REPT(CHAR(9),2)&amp;"this."&amp;D31&amp;" = 0,",REPT(CHAR(9),2)&amp;"this."&amp;D31&amp;" = '',")</f>
        <v xml:space="preserve">		this.lotNo = '',</v>
      </c>
      <c r="V31" s="31" t="str">
        <f t="shared" si="29"/>
        <v/>
      </c>
    </row>
    <row r="32" spans="1:22" ht="18" customHeight="1" x14ac:dyDescent="0.25">
      <c r="A32" s="31" t="s">
        <v>338</v>
      </c>
      <c r="B32" s="31" t="str">
        <f t="shared" si="21"/>
        <v>NoInLot</v>
      </c>
      <c r="C32" s="31" t="str">
        <f t="shared" si="22"/>
        <v>No In Lot</v>
      </c>
      <c r="D32" s="31" t="str">
        <f t="shared" si="23"/>
        <v>noInLot</v>
      </c>
      <c r="E32" s="31" t="str">
        <f>A.Backend!H26</f>
        <v>int</v>
      </c>
      <c r="F32" s="31" t="str">
        <f>A.Backend!G26</f>
        <v/>
      </c>
      <c r="G32" s="31" t="str">
        <f t="shared" si="24"/>
        <v xml:space="preserve"> : number = 0 ;</v>
      </c>
      <c r="H32" s="38" t="str">
        <f t="shared" si="25"/>
        <v xml:space="preserve">			{headerName: this.l('No In Lot'),headerTooltip: this.l('No In Lot'),field: 'noInLot',flex: 1},</v>
      </c>
      <c r="I32" s="38" t="str">
        <f t="shared" si="26"/>
        <v/>
      </c>
      <c r="J32" s="31"/>
      <c r="K32" s="38" t="str">
        <f t="shared" si="27"/>
        <v xml:space="preserve">					&lt;div class='col-md-12 form-group row'&gt;
						&lt;label class='col-md-2 form-control title'&gt;No In Lot&lt;/label&gt;
						&lt;input type='number' class='col-md-10 form-control input-text' name='NoInLot' [(ngModel)]='rowdata.noInLot'&gt;
					&lt;/div&gt;</v>
      </c>
      <c r="L32" s="60" t="str">
        <f t="shared" si="28"/>
        <v/>
      </c>
      <c r="M32" s="31"/>
      <c r="N32" s="31"/>
      <c r="O32" s="31"/>
      <c r="P32" s="31"/>
      <c r="Q32" s="31"/>
      <c r="R32" s="31"/>
      <c r="S32" s="31" t="str">
        <f t="shared" si="30"/>
        <v xml:space="preserve">	noInLot : number = 0 ;</v>
      </c>
      <c r="T32" s="31" t="str">
        <f t="shared" si="31"/>
        <v xml:space="preserve">			this.noInLot,</v>
      </c>
      <c r="U32" s="31" t="str">
        <f t="shared" si="32"/>
        <v xml:space="preserve">		this.noInLot = 0,</v>
      </c>
      <c r="V32" s="31" t="str">
        <f t="shared" si="29"/>
        <v/>
      </c>
    </row>
    <row r="33" spans="1:22" ht="15" customHeight="1" x14ac:dyDescent="0.25">
      <c r="A33" s="31" t="s">
        <v>339</v>
      </c>
      <c r="B33" s="31" t="str">
        <f t="shared" si="21"/>
        <v>Grade</v>
      </c>
      <c r="C33" s="31" t="str">
        <f t="shared" si="22"/>
        <v>Grade</v>
      </c>
      <c r="D33" s="31" t="str">
        <f t="shared" si="23"/>
        <v>grade</v>
      </c>
      <c r="E33" s="31" t="str">
        <f>A.Backend!H27</f>
        <v>string</v>
      </c>
      <c r="F33" s="31" t="str">
        <f>A.Backend!G27</f>
        <v>50</v>
      </c>
      <c r="G33" s="31" t="str">
        <f t="shared" si="24"/>
        <v xml:space="preserve"> : string = '' ; </v>
      </c>
      <c r="H33" s="38" t="str">
        <f t="shared" si="25"/>
        <v xml:space="preserve">			{headerName: this.l('Grade'),headerTooltip: this.l('Grade'),field: 'grade',flex: 1},</v>
      </c>
      <c r="I33" s="38" t="str">
        <f t="shared" si="26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33" s="31"/>
      <c r="K33" s="38" t="str">
        <f t="shared" si="27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33" s="60" t="str">
        <f t="shared" si="28"/>
        <v/>
      </c>
      <c r="M33" s="31"/>
      <c r="N33" s="31"/>
      <c r="O33" s="31"/>
      <c r="P33" s="31"/>
      <c r="Q33" s="31"/>
      <c r="R33" s="31"/>
      <c r="S33" s="31" t="str">
        <f>REPT(CHAR(9),1)&amp;D33&amp;G33</f>
        <v xml:space="preserve">	grade : string = '' ; </v>
      </c>
      <c r="T33" s="31" t="str">
        <f>REPT(CHAR(9),3)&amp;"this."&amp;D33&amp;","</f>
        <v xml:space="preserve">			this.grade,</v>
      </c>
      <c r="U33" s="31" t="str">
        <f>IF(E33="int",REPT(CHAR(9),2)&amp;"this."&amp;D33&amp;" = 0,",REPT(CHAR(9),2)&amp;"this."&amp;D33&amp;" = '',")</f>
        <v xml:space="preserve">		this.grade = '',</v>
      </c>
      <c r="V33" s="31" t="str">
        <f t="shared" si="29"/>
        <v/>
      </c>
    </row>
    <row r="34" spans="1:22" ht="18" customHeight="1" x14ac:dyDescent="0.25">
      <c r="A34" s="31" t="s">
        <v>340</v>
      </c>
      <c r="B34" s="31" t="str">
        <f t="shared" ref="B34" si="33">SUBSTITUTE(PROPER(A34),"_","")</f>
        <v>Model</v>
      </c>
      <c r="C34" s="31" t="str">
        <f t="shared" ref="C34" si="34">SUBSTITUTE(PROPER(A34),"_"," ")</f>
        <v>Model</v>
      </c>
      <c r="D34" s="31" t="str">
        <f t="shared" ref="D34" si="35">LOWER(LEFT(B34,1))&amp;RIGHT(B34,LEN(B34) - 1)</f>
        <v>model</v>
      </c>
      <c r="E34" s="31" t="str">
        <f>A.Backend!H28</f>
        <v>string</v>
      </c>
      <c r="F34" s="31" t="str">
        <f>A.Backend!G28</f>
        <v>50</v>
      </c>
      <c r="G34" s="31" t="str">
        <f t="shared" ref="G34" si="36">IF(E34="string"," : string = '' ; ",IF(OR(E34="DateTime",E34="TimeSpan")," : any ;",IF(E34="int"," : number = 0 ;","")))</f>
        <v xml:space="preserve"> : string = '' ; </v>
      </c>
      <c r="H34" s="38" t="str">
        <f t="shared" ref="H34" si="37">IF(E34="DateTime",
REPT(CHAR(9),3)&amp;"{headerName: this.l('"&amp;C34&amp;"'),headerTooltip: this.l('"&amp;C34&amp;"'),field: '"&amp;D34&amp;"',valueGetter: (params) =&gt; this.pipe.transform(params.data?."&amp;D34&amp;", 'dd/MM/yyyy'),flex: 1},",
IF(AND(E34="string",F34="1"),
REPT(CHAR(9),3)&amp;"{headerName: this.l('"&amp;C34&amp;"'),headerTooltip: this.l('"&amp;C34&amp;"'),field:  '"&amp;D34&amp;"', cellClass: ['text-center'], width: 120, cellRenderer: 'agCellButtonComponent',
buttonDefTwo: { text: params =&gt; (params.data?.'"&amp;D34&amp;"' == 'Y') ? 'Active' : 'Inactive',iconName: 'fa fa-circle',className: params =&gt; (params.data?.'"&amp;D34&amp;"' == 'Y') ? 'btnActive' : 'btnInActive',},}",
REPT(CHAR(9),3)&amp;"{headerName: this.l('"&amp;C34&amp;"'),headerTooltip: this.l('"&amp;C34&amp;"'),field: '"&amp;D34&amp;"',flex: 1},"))</f>
        <v xml:space="preserve">			{headerName: this.l('Model'),headerTooltip: this.l('Model'),field: 'model',flex: 1},</v>
      </c>
      <c r="I34" s="38" t="str">
        <f t="shared" ref="I34" si="38">IF(E34="DateTime",
REPT(CHAR(9),8)&amp;"&lt;div class='input-search'&gt;
"&amp;REPT(CHAR(9),9)&amp;"&lt;input type='text' [placeholder]=""l('"&amp;C34&amp;"')"" [(ngModel)]='"&amp;D34&amp;"' 
"&amp;REPT(CHAR(9),9)&amp;"name='"&amp;D34&amp;"'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IF(E34="string",
REPT(CHAR(9),8)&amp;"&lt;div class='input-search'&gt;
"&amp;REPT(CHAR(9),9)&amp;"&lt;input [(ngModel)]='"&amp;D34&amp;"' name='"&amp;D34&amp;"'
"&amp;REPT(CHAR(9),9)&amp;"class='form-control' [placeholder]=""l('"&amp;C34&amp;"')""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34" s="31"/>
      <c r="K34" s="38" t="str">
        <f t="shared" ref="K34" si="39">IF(OR(E34="DateTime",E34="TimeSpan"),
REPT(CHAR(9),5)&amp;"&lt;div class='col-md-12 form-group row'&gt;
"&amp;REPT(CHAR(9),6)&amp;"&lt;label class='col-md-2 form-control title'&gt;"&amp;C34&amp;"&lt;/label&gt;
"&amp;REPT(CHAR(9),6)&amp;"&lt;input type='text' class='col-md-10 form-control input-text' name='"&amp;D34&amp;"' 
"&amp;REPT(CHAR(9),6)&amp;"#datepicker='bsDatepicker' [(ngModel)]='rowdata."&amp;D34&amp;"'  bsDatepicker &gt;
"&amp;REPT(CHAR(9),5)&amp;"&lt;/div&gt;",
IF(AND(E34="string",F34="1"),
REPT(CHAR(9),5)&amp;"&lt;div class='col-md-12 form-group row'&gt;
"&amp;REPT(CHAR(9),6)&amp;"&lt;label class='col-md-2 form-control title'&gt;"&amp;C34&amp;"&lt;/label&gt;
"&amp;REPT(CHAR(9),6)&amp;"&lt;new-checkbox [(ngModel)]='_"&amp;D34&amp;"' name='"&amp;D34&amp;"' className='col-md-10' &gt; &lt;/new-checkbox&gt;
"&amp;REPT(CHAR(9),5)&amp;"&lt;/div&gt;",
IF(E34="string",
REPT(CHAR(9),5)&amp;"&lt;div class='col-md-12 form-group row'&gt;
"&amp;REPT(CHAR(9),6)&amp;"&lt;label class='col-md-2 form-control title'&gt;"&amp;C34&amp;"&lt;/label&gt;
"&amp;REPT(CHAR(9),6)&amp;"&lt;input type='text' class='col-md-10 form-control input-text' name='"&amp;B34&amp;"' [(ngModel)]='rowdata."&amp;D34&amp;"'&gt;
"&amp;REPT(CHAR(9),5)&amp;"&lt;/div&gt;",
IF(E34="int",
REPT(CHAR(9),5)&amp;"&lt;div class='col-md-12 form-group row'&gt;
"&amp;REPT(CHAR(9),6)&amp;"&lt;label class='col-md-2 form-control title'&gt;"&amp;C34&amp;"&lt;/label&gt;
"&amp;REPT(CHAR(9),6)&amp;"&lt;input type='number' class='col-md-10 form-control input-text' name='"&amp;B34&amp;"' [(ngModel)]='rowdata."&amp;D34&amp;"'&gt;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34" s="60" t="str">
        <f t="shared" ref="L34" si="40">IF(E34="DateTime",
REPT(CHAR(9),2)&amp;"const dateValue =  this.rowdata."&amp;D34&amp;" ? new Date(this.rowdata."&amp;D34&amp;"?.toString()) : new Date();
"&amp;REPT(CHAR(9),2)&amp;"this.datepicker?.bsValueChange.emit(dateValue);","")</f>
        <v/>
      </c>
      <c r="M34" s="31"/>
      <c r="N34" s="31"/>
      <c r="O34" s="31"/>
      <c r="P34" s="31"/>
      <c r="Q34" s="31"/>
      <c r="R34" s="31"/>
      <c r="S34" s="31" t="str">
        <f t="shared" ref="S34" si="41">REPT(CHAR(9),1)&amp;D34&amp;G34</f>
        <v xml:space="preserve">	model : string = '' ; </v>
      </c>
      <c r="T34" s="31" t="str">
        <f t="shared" ref="T34" si="42">REPT(CHAR(9),3)&amp;"this."&amp;D34&amp;","</f>
        <v xml:space="preserve">			this.model,</v>
      </c>
      <c r="U34" s="31" t="str">
        <f t="shared" ref="U34" si="43">IF(E34="int",REPT(CHAR(9),2)&amp;"this."&amp;D34&amp;" = 0,",REPT(CHAR(9),2)&amp;"this."&amp;D34&amp;" = '',")</f>
        <v xml:space="preserve">		this.model = '',</v>
      </c>
      <c r="V34" s="31" t="str">
        <f t="shared" ref="V34" si="44">IF(AND(E34="string",F34="1"),D34,"")</f>
        <v/>
      </c>
    </row>
    <row r="35" spans="1:22" ht="18" customHeight="1" x14ac:dyDescent="0.25">
      <c r="A35" s="31" t="s">
        <v>362</v>
      </c>
      <c r="B35" s="31" t="str">
        <f>SUBSTITUTE(PROPER(A35),"_","")</f>
        <v>BodyColor</v>
      </c>
      <c r="C35" s="31" t="str">
        <f>SUBSTITUTE(PROPER(A35),"_"," ")</f>
        <v>Body Color</v>
      </c>
      <c r="D35" s="31" t="str">
        <f>LOWER(LEFT(B35,1))&amp;RIGHT(B35,LEN(B35) - 1)</f>
        <v>bodyColor</v>
      </c>
      <c r="E35" s="31" t="str">
        <f>A.Backend!H29</f>
        <v>string</v>
      </c>
      <c r="F35" s="31" t="str">
        <f>A.Backend!G29</f>
        <v>50</v>
      </c>
      <c r="G35" s="31" t="str">
        <f>IF(E35="string"," : string = '' ; ",IF(OR(E35="DateTime",E35="TimeSpan")," : any ;",IF(E35="int"," : number = 0 ;","")))</f>
        <v xml:space="preserve"> : string = '' ; </v>
      </c>
      <c r="H35" s="38" t="str">
        <f>IF(E35="DateTime",
REPT(CHAR(9),3)&amp;"{headerName: this.l('"&amp;C35&amp;"'),headerTooltip: this.l('"&amp;C35&amp;"'),field: '"&amp;D35&amp;"',valueGetter: (params) =&gt; this.pipe.transform(params.data?."&amp;D35&amp;", 'dd/MM/yyyy'),flex: 1},",
IF(AND(E35="string",F35="1"),
REPT(CHAR(9),3)&amp;"{headerName: this.l('"&amp;C35&amp;"'),headerTooltip: this.l('"&amp;C35&amp;"'),field:  '"&amp;D35&amp;"', cellClass: ['text-center'], width: 120, cellRenderer: 'agCellButtonComponent',
buttonDefTwo: { text: params =&gt; (params.data?.'"&amp;D35&amp;"' == 'Y') ? 'Active' : 'Inactive',iconName: 'fa fa-circle',className: params =&gt; (params.data?.'"&amp;D35&amp;"' == 'Y') ? 'btnActive' : 'btnInActive',},}",
REPT(CHAR(9),3)&amp;"{headerName: this.l('"&amp;C35&amp;"'),headerTooltip: this.l('"&amp;C35&amp;"'),field: '"&amp;D35&amp;"',flex: 1},"))</f>
        <v xml:space="preserve">			{headerName: this.l('Body Color'),headerTooltip: this.l('Body Color'),field: 'bodyColor',flex: 1},</v>
      </c>
      <c r="I35" s="38" t="str">
        <f>IF(E35="DateTime",
REPT(CHAR(9),8)&amp;"&lt;div class='input-search'&gt;
"&amp;REPT(CHAR(9),9)&amp;"&lt;input type='text' [placeholder]=""l('"&amp;C35&amp;"')"" [(ngModel)]='"&amp;D35&amp;"' 
"&amp;REPT(CHAR(9),9)&amp;"name='"&amp;D35&amp;"'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IF(E35="string",
REPT(CHAR(9),8)&amp;"&lt;div class='input-search'&gt;
"&amp;REPT(CHAR(9),9)&amp;"&lt;input [(ngModel)]='"&amp;D35&amp;"' name='"&amp;D35&amp;"'
"&amp;REPT(CHAR(9),9)&amp;"class='form-control' [placeholder]=""l('"&amp;C35&amp;"')""
"&amp;REPT(CHAR(9),9)&amp;"type='text' (keyup.enter)='searchDatas()'&gt;
"&amp;REPT(CHAR(9),8)&amp;"&lt;/div&gt;",""))</f>
        <v xml:space="preserve">								&lt;div class='input-search'&gt;
									&lt;input [(ngModel)]='bodyColor' name='bodyColor'
									class='form-control' [placeholder]="l('Body Color')"
									type='text' (keyup.enter)='searchDatas()'&gt;
								&lt;/div&gt;</v>
      </c>
      <c r="J35" s="31"/>
      <c r="K35" s="38" t="str">
        <f>IF(OR(E35="DateTime",E35="TimeSpan"),
REPT(CHAR(9),5)&amp;"&lt;div class='col-md-12 form-group row'&gt;
"&amp;REPT(CHAR(9),6)&amp;"&lt;label class='col-md-2 form-control title'&gt;"&amp;C35&amp;"&lt;/label&gt;
"&amp;REPT(CHAR(9),6)&amp;"&lt;input type='text' class='col-md-10 form-control input-text' name='"&amp;D35&amp;"' 
"&amp;REPT(CHAR(9),6)&amp;"#datepicker='bsDatepicker' [(ngModel)]='rowdata."&amp;D35&amp;"'  bsDatepicker &gt;
"&amp;REPT(CHAR(9),5)&amp;"&lt;/div&gt;",
IF(AND(E35="string",F35="1"),
REPT(CHAR(9),5)&amp;"&lt;div class='col-md-12 form-group row'&gt;
"&amp;REPT(CHAR(9),6)&amp;"&lt;label class='col-md-2 form-control title'&gt;"&amp;C35&amp;"&lt;/label&gt;
"&amp;REPT(CHAR(9),6)&amp;"&lt;new-checkbox [(ngModel)]='_"&amp;D35&amp;"' name='"&amp;D35&amp;"' className='col-md-10' &gt; &lt;/new-checkbox&gt;
"&amp;REPT(CHAR(9),5)&amp;"&lt;/div&gt;",
IF(E35="string",
REPT(CHAR(9),5)&amp;"&lt;div class='col-md-12 form-group row'&gt;
"&amp;REPT(CHAR(9),6)&amp;"&lt;label class='col-md-2 form-control title'&gt;"&amp;C35&amp;"&lt;/label&gt;
"&amp;REPT(CHAR(9),6)&amp;"&lt;input type='text' class='col-md-10 form-control input-text' name='"&amp;B35&amp;"' [(ngModel)]='rowdata."&amp;D35&amp;"'&gt;
"&amp;REPT(CHAR(9),5)&amp;"&lt;/div&gt;",
IF(E35="int",
REPT(CHAR(9),5)&amp;"&lt;div class='col-md-12 form-group row'&gt;
"&amp;REPT(CHAR(9),6)&amp;"&lt;label class='col-md-2 form-control title'&gt;"&amp;C35&amp;"&lt;/label&gt;
"&amp;REPT(CHAR(9),6)&amp;"&lt;input type='number' class='col-md-10 form-control input-text' name='"&amp;B35&amp;"' [(ngModel)]='rowdata."&amp;D35&amp;"'&gt;
"&amp;REPT(CHAR(9),5)&amp;"&lt;/div&gt;",""))))</f>
        <v xml:space="preserve">					&lt;div class='col-md-12 form-group row'&gt;
						&lt;label class='col-md-2 form-control title'&gt;Body Color&lt;/label&gt;
						&lt;input type='text' class='col-md-10 form-control input-text' name='BodyColor' [(ngModel)]='rowdata.bodyColor'&gt;
					&lt;/div&gt;</v>
      </c>
      <c r="L35" s="60" t="str">
        <f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31"/>
      <c r="N35" s="31"/>
      <c r="O35" s="31"/>
      <c r="P35" s="31"/>
      <c r="Q35" s="31"/>
      <c r="R35" s="31"/>
      <c r="S35" s="31" t="str">
        <f>REPT(CHAR(9),1)&amp;D35&amp;G35</f>
        <v xml:space="preserve">	bodyColor : string = '' ; </v>
      </c>
      <c r="T35" s="31" t="str">
        <f>REPT(CHAR(9),3)&amp;"this."&amp;D35&amp;","</f>
        <v xml:space="preserve">			this.bodyColor,</v>
      </c>
      <c r="U35" s="31" t="str">
        <f>IF(E35="int",REPT(CHAR(9),2)&amp;"this."&amp;D35&amp;" = 0,",REPT(CHAR(9),2)&amp;"this."&amp;D35&amp;" = '',")</f>
        <v xml:space="preserve">		this.bodyColor = '',</v>
      </c>
      <c r="V35" s="31" t="str">
        <f>IF(AND(E35="string",F35="1"),D35,"")</f>
        <v/>
      </c>
    </row>
    <row r="36" spans="1:22" ht="18" customHeight="1" x14ac:dyDescent="0.25">
      <c r="A36" s="31" t="s">
        <v>349</v>
      </c>
      <c r="B36" s="31" t="str">
        <f t="shared" si="21"/>
        <v>ScanQty</v>
      </c>
      <c r="C36" s="31" t="str">
        <f t="shared" si="22"/>
        <v>Scan Qty</v>
      </c>
      <c r="D36" s="31" t="str">
        <f t="shared" si="23"/>
        <v>scanQty</v>
      </c>
      <c r="E36" s="31" t="str">
        <f>A.Backend!H30</f>
        <v>int</v>
      </c>
      <c r="F36" s="31" t="str">
        <f>A.Backend!G30</f>
        <v/>
      </c>
      <c r="G36" s="31" t="str">
        <f t="shared" si="24"/>
        <v xml:space="preserve"> : number = 0 ;</v>
      </c>
      <c r="H36" s="38" t="str">
        <f t="shared" si="25"/>
        <v xml:space="preserve">			{headerName: this.l('Scan Qty'),headerTooltip: this.l('Scan Qty'),field: 'scanQty',flex: 1},</v>
      </c>
      <c r="I36" s="38" t="str">
        <f t="shared" si="26"/>
        <v/>
      </c>
      <c r="J36" s="31"/>
      <c r="K36" s="38" t="str">
        <f t="shared" si="27"/>
        <v xml:space="preserve">					&lt;div class='col-md-12 form-group row'&gt;
						&lt;label class='col-md-2 form-control title'&gt;Scan Qty&lt;/label&gt;
						&lt;input type='number' class='col-md-10 form-control input-text' name='ScanQty' [(ngModel)]='rowdata.scanQty'&gt;
					&lt;/div&gt;</v>
      </c>
      <c r="L36" s="60" t="str">
        <f t="shared" si="28"/>
        <v/>
      </c>
      <c r="M36" s="31"/>
      <c r="N36" s="31"/>
      <c r="O36" s="31"/>
      <c r="P36" s="31"/>
      <c r="Q36" s="31"/>
      <c r="R36" s="31"/>
      <c r="S36" s="31" t="str">
        <f t="shared" ref="S36:S37" si="45">REPT(CHAR(9),1)&amp;D36&amp;G36</f>
        <v xml:space="preserve">	scanQty : number = 0 ;</v>
      </c>
      <c r="T36" s="31" t="str">
        <f t="shared" ref="T36:T37" si="46">REPT(CHAR(9),3)&amp;"this."&amp;D36&amp;","</f>
        <v xml:space="preserve">			this.scanQty,</v>
      </c>
      <c r="U36" s="31" t="str">
        <f t="shared" ref="U36:U37" si="47">IF(E36="int",REPT(CHAR(9),2)&amp;"this."&amp;D36&amp;" = 0,",REPT(CHAR(9),2)&amp;"this."&amp;D36&amp;" = '',")</f>
        <v xml:space="preserve">		this.scanQty = 0,</v>
      </c>
      <c r="V36" s="31" t="str">
        <f t="shared" si="29"/>
        <v/>
      </c>
    </row>
    <row r="37" spans="1:22" ht="18" customHeight="1" x14ac:dyDescent="0.25">
      <c r="A37" s="31" t="s">
        <v>351</v>
      </c>
      <c r="B37" s="31" t="str">
        <f t="shared" si="21"/>
        <v>InputQty</v>
      </c>
      <c r="C37" s="31" t="str">
        <f t="shared" si="22"/>
        <v>Input Qty</v>
      </c>
      <c r="D37" s="31" t="str">
        <f t="shared" si="23"/>
        <v>inputQty</v>
      </c>
      <c r="E37" s="31" t="str">
        <f>A.Backend!H31</f>
        <v>int</v>
      </c>
      <c r="F37" s="31" t="str">
        <f>A.Backend!G31</f>
        <v/>
      </c>
      <c r="G37" s="31" t="str">
        <f t="shared" si="24"/>
        <v xml:space="preserve"> : number = 0 ;</v>
      </c>
      <c r="H37" s="38" t="str">
        <f t="shared" si="25"/>
        <v xml:space="preserve">			{headerName: this.l('Input Qty'),headerTooltip: this.l('Input Qty'),field: 'inputQty',flex: 1},</v>
      </c>
      <c r="I37" s="38" t="str">
        <f t="shared" si="26"/>
        <v/>
      </c>
      <c r="J37" s="31"/>
      <c r="K37" s="38" t="str">
        <f t="shared" si="27"/>
        <v xml:space="preserve">					&lt;div class='col-md-12 form-group row'&gt;
						&lt;label class='col-md-2 form-control title'&gt;Input Qty&lt;/label&gt;
						&lt;input type='number' class='col-md-10 form-control input-text' name='InputQty' [(ngModel)]='rowdata.inputQty'&gt;
					&lt;/div&gt;</v>
      </c>
      <c r="L37" s="60" t="str">
        <f t="shared" si="28"/>
        <v/>
      </c>
      <c r="M37" s="31"/>
      <c r="N37" s="31"/>
      <c r="O37" s="31"/>
      <c r="P37" s="31"/>
      <c r="Q37" s="31"/>
      <c r="R37" s="31"/>
      <c r="S37" s="31" t="str">
        <f t="shared" si="45"/>
        <v xml:space="preserve">	inputQty : number = 0 ;</v>
      </c>
      <c r="T37" s="31" t="str">
        <f t="shared" si="46"/>
        <v xml:space="preserve">			this.inputQty,</v>
      </c>
      <c r="U37" s="31" t="str">
        <f t="shared" si="47"/>
        <v xml:space="preserve">		this.inputQty = 0,</v>
      </c>
      <c r="V37" s="31" t="str">
        <f t="shared" si="29"/>
        <v/>
      </c>
    </row>
    <row r="38" spans="1:22" ht="15" customHeight="1" x14ac:dyDescent="0.25">
      <c r="A38" s="31" t="s">
        <v>352</v>
      </c>
      <c r="B38" s="31" t="str">
        <f t="shared" ref="B38:B40" si="48">SUBSTITUTE(PROPER(A38),"_","")</f>
        <v>IsZeroKb</v>
      </c>
      <c r="C38" s="31" t="str">
        <f t="shared" ref="C38:C40" si="49">SUBSTITUTE(PROPER(A38),"_"," ")</f>
        <v>Is Zero Kb</v>
      </c>
      <c r="D38" s="31" t="str">
        <f t="shared" ref="D38:D40" si="50">LOWER(LEFT(B38,1))&amp;RIGHT(B38,LEN(B38) - 1)</f>
        <v>isZeroKb</v>
      </c>
      <c r="E38" s="31" t="str">
        <f>A.Backend!H32</f>
        <v>string</v>
      </c>
      <c r="F38" s="31" t="str">
        <f>A.Backend!G32</f>
        <v>1</v>
      </c>
      <c r="G38" s="31" t="str">
        <f t="shared" ref="G38:G40" si="51">IF(E38="string"," : string = '' ; ",IF(OR(E38="DateTime",E38="TimeSpan")," : any ;",IF(E38="int"," : number = 0 ;","")))</f>
        <v xml:space="preserve"> : string = '' ; </v>
      </c>
      <c r="H38" s="38" t="str">
        <f t="shared" ref="H38:H40" si="52">IF(E38="DateTime",
REPT(CHAR(9),3)&amp;"{headerName: this.l('"&amp;C38&amp;"'),headerTooltip: this.l('"&amp;C38&amp;"'),field: '"&amp;D38&amp;"',valueGetter: (params) =&gt; this.pipe.transform(params.data?."&amp;D38&amp;", 'dd/MM/yyyy'),flex: 1},",
IF(AND(E38="string",F38="1"),
REPT(CHAR(9),3)&amp;"{headerName: this.l('"&amp;C38&amp;"'),headerTooltip: this.l('"&amp;C38&amp;"'),field:  '"&amp;D38&amp;"', cellClass: ['text-center'], width: 120, cellRenderer: 'agCellButtonComponent',
buttonDefTwo: { text: params =&gt; (params.data?.'"&amp;D38&amp;"' == 'Y') ? 'Active' : 'Inactive',iconName: 'fa fa-circle',className: params =&gt; (params.data?.'"&amp;D38&amp;"' == 'Y') ? 'btnActive' : 'btnInActive',},}",
REPT(CHAR(9),3)&amp;"{headerName: this.l('"&amp;C38&amp;"'),headerTooltip: this.l('"&amp;C38&amp;"'),field: '"&amp;D38&amp;"',flex: 1},"))</f>
        <v xml:space="preserve">			{headerName: this.l('Is Zero Kb'),headerTooltip: this.l('Is Zero Kb'),field:  'isZeroKb', cellClass: ['text-center'], width: 120, cellRenderer: 'agCellButtonComponent',
buttonDefTwo: { text: params =&gt; (params.data?.'isZeroKb' == 'Y') ? 'Active' : 'Inactive',iconName: 'fa fa-circle',className: params =&gt; (params.data?.'isZeroKb' == 'Y') ? 'btnActive' : 'btnInActive',},}</v>
      </c>
      <c r="I38" s="38" t="str">
        <f t="shared" ref="I38:I40" si="53">IF(E38="DateTime",
REPT(CHAR(9),8)&amp;"&lt;div class='input-search'&gt;
"&amp;REPT(CHAR(9),9)&amp;"&lt;input type='text' [placeholder]=""l('"&amp;C38&amp;"')"" [(ngModel)]='"&amp;D38&amp;"' 
"&amp;REPT(CHAR(9),9)&amp;"name='"&amp;D38&amp;"'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IF(E38="string",
REPT(CHAR(9),8)&amp;"&lt;div class='input-search'&gt;
"&amp;REPT(CHAR(9),9)&amp;"&lt;input [(ngModel)]='"&amp;D38&amp;"' name='"&amp;D38&amp;"'
"&amp;REPT(CHAR(9),9)&amp;"class='form-control' [placeholder]=""l('"&amp;C38&amp;"')""
"&amp;REPT(CHAR(9),9)&amp;"type='text' (keyup.enter)='searchDatas()'&gt;
"&amp;REPT(CHAR(9),8)&amp;"&lt;/div&gt;",""))</f>
        <v xml:space="preserve">								&lt;div class='input-search'&gt;
									&lt;input [(ngModel)]='isZeroKb' name='isZeroKb'
									class='form-control' [placeholder]="l('Is Zero Kb')"
									type='text' (keyup.enter)='searchDatas()'&gt;
								&lt;/div&gt;</v>
      </c>
      <c r="J38" s="31"/>
      <c r="K38" s="38" t="str">
        <f t="shared" ref="K38:K40" si="54">IF(OR(E38="DateTime",E38="TimeSpan"),
REPT(CHAR(9),5)&amp;"&lt;div class='col-md-12 form-group row'&gt;
"&amp;REPT(CHAR(9),6)&amp;"&lt;label class='col-md-2 form-control title'&gt;"&amp;C38&amp;"&lt;/label&gt;
"&amp;REPT(CHAR(9),6)&amp;"&lt;input type='text' class='col-md-10 form-control input-text' name='"&amp;D38&amp;"' 
"&amp;REPT(CHAR(9),6)&amp;"#datepicker='bsDatepicker' [(ngModel)]='rowdata."&amp;D38&amp;"'  bsDatepicker &gt;
"&amp;REPT(CHAR(9),5)&amp;"&lt;/div&gt;",
IF(AND(E38="string",F38="1"),
REPT(CHAR(9),5)&amp;"&lt;div class='col-md-12 form-group row'&gt;
"&amp;REPT(CHAR(9),6)&amp;"&lt;label class='col-md-2 form-control title'&gt;"&amp;C38&amp;"&lt;/label&gt;
"&amp;REPT(CHAR(9),6)&amp;"&lt;new-checkbox [(ngModel)]='_"&amp;D38&amp;"' name='"&amp;D38&amp;"' className='col-md-10' &gt; &lt;/new-checkbox&gt;
"&amp;REPT(CHAR(9),5)&amp;"&lt;/div&gt;",
IF(E38="string",
REPT(CHAR(9),5)&amp;"&lt;div class='col-md-12 form-group row'&gt;
"&amp;REPT(CHAR(9),6)&amp;"&lt;label class='col-md-2 form-control title'&gt;"&amp;C38&amp;"&lt;/label&gt;
"&amp;REPT(CHAR(9),6)&amp;"&lt;input type='text' class='col-md-10 form-control input-text' name='"&amp;B38&amp;"' [(ngModel)]='rowdata."&amp;D38&amp;"'&gt;
"&amp;REPT(CHAR(9),5)&amp;"&lt;/div&gt;",
IF(E38="int",
REPT(CHAR(9),5)&amp;"&lt;div class='col-md-12 form-group row'&gt;
"&amp;REPT(CHAR(9),6)&amp;"&lt;label class='col-md-2 form-control title'&gt;"&amp;C38&amp;"&lt;/label&gt;
"&amp;REPT(CHAR(9),6)&amp;"&lt;input type='number' class='col-md-10 form-control input-text' name='"&amp;B38&amp;"' [(ngModel)]='rowdata."&amp;D38&amp;"'&gt;
"&amp;REPT(CHAR(9),5)&amp;"&lt;/div&gt;",""))))</f>
        <v xml:space="preserve">					&lt;div class='col-md-12 form-group row'&gt;
						&lt;label class='col-md-2 form-control title'&gt;Is Zero Kb&lt;/label&gt;
						&lt;new-checkbox [(ngModel)]='_isZeroKb' name='isZeroKb' className='col-md-10' &gt; &lt;/new-checkbox&gt;
					&lt;/div&gt;</v>
      </c>
      <c r="L38" s="60" t="str">
        <f t="shared" ref="L38:L40" si="55">IF(E38="DateTime",
REPT(CHAR(9),2)&amp;"const dateValue =  this.rowdata."&amp;D38&amp;" ? new Date(this.rowdata."&amp;D38&amp;"?.toString()) : new Date();
"&amp;REPT(CHAR(9),2)&amp;"this.datepicker?.bsValueChange.emit(dateValue);","")</f>
        <v/>
      </c>
      <c r="M38" s="31"/>
      <c r="N38" s="31"/>
      <c r="O38" s="31"/>
      <c r="P38" s="31"/>
      <c r="Q38" s="31"/>
      <c r="R38" s="31"/>
      <c r="S38" s="31" t="str">
        <f>REPT(CHAR(9),1)&amp;D38&amp;G38</f>
        <v xml:space="preserve">	isZeroKb : string = '' ; </v>
      </c>
      <c r="T38" s="31" t="str">
        <f>REPT(CHAR(9),3)&amp;"this."&amp;D38&amp;","</f>
        <v xml:space="preserve">			this.isZeroKb,</v>
      </c>
      <c r="U38" s="31" t="str">
        <f>IF(E38="int",REPT(CHAR(9),2)&amp;"this."&amp;D38&amp;" = 0,",REPT(CHAR(9),2)&amp;"this."&amp;D38&amp;" = '',")</f>
        <v xml:space="preserve">		this.isZeroKb = '',</v>
      </c>
      <c r="V38" s="31" t="str">
        <f t="shared" ref="V38:V40" si="56">IF(AND(E38="string",F38="1"),D38,"")</f>
        <v>isZeroKb</v>
      </c>
    </row>
    <row r="39" spans="1:22" ht="18" customHeight="1" x14ac:dyDescent="0.25">
      <c r="A39" s="31" t="s">
        <v>330</v>
      </c>
      <c r="B39" s="31" t="str">
        <f t="shared" si="48"/>
        <v>NewtaktDatetime</v>
      </c>
      <c r="C39" s="31" t="str">
        <f t="shared" si="49"/>
        <v>Newtakt Datetime</v>
      </c>
      <c r="D39" s="31" t="str">
        <f t="shared" si="50"/>
        <v>newtaktDatetime</v>
      </c>
      <c r="E39" s="31" t="str">
        <f>A.Backend!H33</f>
        <v>DateTime</v>
      </c>
      <c r="F39" s="31" t="str">
        <f>A.Backend!G33</f>
        <v>7</v>
      </c>
      <c r="G39" s="31" t="str">
        <f t="shared" si="51"/>
        <v xml:space="preserve"> : any ;</v>
      </c>
      <c r="H39" s="38" t="str">
        <f t="shared" si="52"/>
        <v xml:space="preserve">			{headerName: this.l('Newtakt Datetime'),headerTooltip: this.l('Newtakt Datetime'),field: 'newtaktDatetime',valueGetter: (params) =&gt; this.pipe.transform(params.data?.newtaktDatetime, 'dd/MM/yyyy'),flex: 1},</v>
      </c>
      <c r="I39" s="38" t="str">
        <f t="shared" si="53"/>
        <v xml:space="preserve">								&lt;div class='input-search'&gt;
									&lt;input type='text' [placeholder]="l('Newtakt Datetime')" [(ngModel)]='newtaktDatetime' 
									name='newtaktDatetime' (keydown)='searchDatas()' class='form-control' 
									bsDatepicker #d='bsDatepicker' placement='bottom left'&gt;
									&lt;i class='fa fa-calendar-alt' (click)='d.toggle()'&gt;&lt;/i&gt;
								&lt;/div&gt;</v>
      </c>
      <c r="J39" s="31"/>
      <c r="K39" s="38" t="str">
        <f t="shared" si="54"/>
        <v xml:space="preserve">					&lt;div class='col-md-12 form-group row'&gt;
						&lt;label class='col-md-2 form-control title'&gt;Newtakt Datetime&lt;/label&gt;
						&lt;input type='text' class='col-md-10 form-control input-text' name='newtaktDatetime' 
						#datepicker='bsDatepicker' [(ngModel)]='rowdata.newtaktDatetime'  bsDatepicker &gt;
					&lt;/div&gt;</v>
      </c>
      <c r="L39" s="60" t="str">
        <f t="shared" si="55"/>
        <v xml:space="preserve">		const dateValue =  this.rowdata.newtaktDatetime ? new Date(this.rowdata.newtaktDatetime?.toString()) : new Date();
		this.datepicker?.bsValueChange.emit(dateValue);</v>
      </c>
      <c r="M39" s="31"/>
      <c r="N39" s="31"/>
      <c r="O39" s="31"/>
      <c r="P39" s="31"/>
      <c r="Q39" s="31"/>
      <c r="R39" s="31"/>
      <c r="S39" s="31" t="str">
        <f t="shared" ref="S39:S40" si="57">REPT(CHAR(9),1)&amp;D39&amp;G39</f>
        <v xml:space="preserve">	newtaktDatetime : any ;</v>
      </c>
      <c r="T39" s="31" t="str">
        <f t="shared" ref="T39:T40" si="58">REPT(CHAR(9),3)&amp;"this."&amp;D39&amp;","</f>
        <v xml:space="preserve">			this.newtaktDatetime,</v>
      </c>
      <c r="U39" s="31" t="str">
        <f t="shared" ref="U39:U40" si="59">IF(E39="int",REPT(CHAR(9),2)&amp;"this."&amp;D39&amp;" = 0,",REPT(CHAR(9),2)&amp;"this."&amp;D39&amp;" = '',")</f>
        <v xml:space="preserve">		this.newtaktDatetime = '',</v>
      </c>
      <c r="V39" s="31" t="str">
        <f t="shared" si="56"/>
        <v/>
      </c>
    </row>
    <row r="40" spans="1:22" ht="18" customHeight="1" x14ac:dyDescent="0.25">
      <c r="A40" s="31" t="s">
        <v>354</v>
      </c>
      <c r="B40" s="31" t="str">
        <f t="shared" si="48"/>
        <v>PikStartDatetime</v>
      </c>
      <c r="C40" s="31" t="str">
        <f t="shared" si="49"/>
        <v>Pik Start Datetime</v>
      </c>
      <c r="D40" s="31" t="str">
        <f t="shared" si="50"/>
        <v>pikStartDatetime</v>
      </c>
      <c r="E40" s="31" t="str">
        <f>A.Backend!H34</f>
        <v>DateTime</v>
      </c>
      <c r="F40" s="31" t="str">
        <f>A.Backend!G34</f>
        <v>7</v>
      </c>
      <c r="G40" s="31" t="str">
        <f t="shared" si="51"/>
        <v xml:space="preserve"> : any ;</v>
      </c>
      <c r="H40" s="38" t="str">
        <f t="shared" si="52"/>
        <v xml:space="preserve">			{headerName: this.l('Pik Start Datetime'),headerTooltip: this.l('Pik Start Datetime'),field: 'pikStartDatetime',valueGetter: (params) =&gt; this.pipe.transform(params.data?.pikStartDatetime, 'dd/MM/yyyy'),flex: 1},</v>
      </c>
      <c r="I40" s="38" t="str">
        <f t="shared" si="53"/>
        <v xml:space="preserve">								&lt;div class='input-search'&gt;
									&lt;input type='text' [placeholder]="l('Pik Start Datetime')" [(ngModel)]='pikStartDatetime' 
									name='pikStartDatetime' (keydown)='searchDatas()' class='form-control' 
									bsDatepicker #d='bsDatepicker' placement='bottom left'&gt;
									&lt;i class='fa fa-calendar-alt' (click)='d.toggle()'&gt;&lt;/i&gt;
								&lt;/div&gt;</v>
      </c>
      <c r="J40" s="31"/>
      <c r="K40" s="38" t="str">
        <f t="shared" si="54"/>
        <v xml:space="preserve">					&lt;div class='col-md-12 form-group row'&gt;
						&lt;label class='col-md-2 form-control title'&gt;Pik Start Datetime&lt;/label&gt;
						&lt;input type='text' class='col-md-10 form-control input-text' name='pikStartDatetime' 
						#datepicker='bsDatepicker' [(ngModel)]='rowdata.pikStartDatetime'  bsDatepicker &gt;
					&lt;/div&gt;</v>
      </c>
      <c r="L40" s="60" t="str">
        <f t="shared" si="55"/>
        <v xml:space="preserve">		const dateValue =  this.rowdata.pikStartDatetime ? new Date(this.rowdata.pikStartDatetime?.toString()) : new Date();
		this.datepicker?.bsValueChange.emit(dateValue);</v>
      </c>
      <c r="M40" s="31"/>
      <c r="N40" s="31"/>
      <c r="O40" s="31"/>
      <c r="P40" s="31"/>
      <c r="Q40" s="31"/>
      <c r="R40" s="31"/>
      <c r="S40" s="31" t="str">
        <f t="shared" si="57"/>
        <v xml:space="preserve">	pikStartDatetime : any ;</v>
      </c>
      <c r="T40" s="31" t="str">
        <f t="shared" si="58"/>
        <v xml:space="preserve">			this.pikStartDatetime,</v>
      </c>
      <c r="U40" s="31" t="str">
        <f t="shared" si="59"/>
        <v xml:space="preserve">		this.pikStartDatetime = '',</v>
      </c>
      <c r="V40" s="31" t="str">
        <f t="shared" si="56"/>
        <v/>
      </c>
    </row>
    <row r="41" spans="1:22" ht="15" customHeight="1" x14ac:dyDescent="0.25">
      <c r="A41" s="31" t="s">
        <v>355</v>
      </c>
      <c r="B41" s="31" t="str">
        <f t="shared" ref="B41:B44" si="60">SUBSTITUTE(PROPER(A41),"_","")</f>
        <v>PikFinishDatetime</v>
      </c>
      <c r="C41" s="31" t="str">
        <f t="shared" ref="C41:C44" si="61">SUBSTITUTE(PROPER(A41),"_"," ")</f>
        <v>Pik Finish Datetime</v>
      </c>
      <c r="D41" s="31" t="str">
        <f t="shared" ref="D41:D44" si="62">LOWER(LEFT(B41,1))&amp;RIGHT(B41,LEN(B41) - 1)</f>
        <v>pikFinishDatetime</v>
      </c>
      <c r="E41" s="31" t="str">
        <f>A.Backend!H35</f>
        <v>DateTime</v>
      </c>
      <c r="F41" s="31" t="str">
        <f>A.Backend!G35</f>
        <v>7</v>
      </c>
      <c r="G41" s="31" t="str">
        <f t="shared" ref="G41:G44" si="63">IF(E41="string"," : string = '' ; ",IF(OR(E41="DateTime",E41="TimeSpan")," : any ;",IF(E41="int"," : number = 0 ;","")))</f>
        <v xml:space="preserve"> : any ;</v>
      </c>
      <c r="H41" s="38" t="str">
        <f t="shared" ref="H41:H44" si="64">IF(E41="DateTime",
REPT(CHAR(9),3)&amp;"{headerName: this.l('"&amp;C41&amp;"'),headerTooltip: this.l('"&amp;C41&amp;"'),field: '"&amp;D41&amp;"',valueGetter: (params) =&gt; this.pipe.transform(params.data?."&amp;D41&amp;", 'dd/MM/yyyy'),flex: 1},",
IF(AND(E41="string",F41="1"),
REPT(CHAR(9),3)&amp;"{headerName: this.l('"&amp;C41&amp;"'),headerTooltip: this.l('"&amp;C41&amp;"'),field:  '"&amp;D41&amp;"', cellClass: ['text-center'], width: 120, cellRenderer: 'agCellButtonComponent',
buttonDefTwo: { text: params =&gt; (params.data?.'"&amp;D41&amp;"' == 'Y') ? 'Active' : 'Inactive',iconName: 'fa fa-circle',className: params =&gt; (params.data?.'"&amp;D41&amp;"' == 'Y') ? 'btnActive' : 'btnInActive',},}",
REPT(CHAR(9),3)&amp;"{headerName: this.l('"&amp;C41&amp;"'),headerTooltip: this.l('"&amp;C41&amp;"'),field: '"&amp;D41&amp;"',flex: 1},"))</f>
        <v xml:space="preserve">			{headerName: this.l('Pik Finish Datetime'),headerTooltip: this.l('Pik Finish Datetime'),field: 'pikFinishDatetime',valueGetter: (params) =&gt; this.pipe.transform(params.data?.pikFinishDatetime, 'dd/MM/yyyy'),flex: 1},</v>
      </c>
      <c r="I41" s="38" t="str">
        <f t="shared" ref="I41:I44" si="65">IF(E41="DateTime",
REPT(CHAR(9),8)&amp;"&lt;div class='input-search'&gt;
"&amp;REPT(CHAR(9),9)&amp;"&lt;input type='text' [placeholder]=""l('"&amp;C41&amp;"')"" [(ngModel)]='"&amp;D41&amp;"' 
"&amp;REPT(CHAR(9),9)&amp;"name='"&amp;D41&amp;"'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IF(E41="string",
REPT(CHAR(9),8)&amp;"&lt;div class='input-search'&gt;
"&amp;REPT(CHAR(9),9)&amp;"&lt;input [(ngModel)]='"&amp;D41&amp;"' name='"&amp;D41&amp;"'
"&amp;REPT(CHAR(9),9)&amp;"class='form-control' [placeholder]=""l('"&amp;C41&amp;"')""
"&amp;REPT(CHAR(9),9)&amp;"type='text' (keyup.enter)='searchDatas()'&gt;
"&amp;REPT(CHAR(9),8)&amp;"&lt;/div&gt;",""))</f>
        <v xml:space="preserve">								&lt;div class='input-search'&gt;
									&lt;input type='text' [placeholder]="l('Pik Finish Datetime')" [(ngModel)]='pikFinishDatetime' 
									name='pikFinishDatetime' (keydown)='searchDatas()' class='form-control' 
									bsDatepicker #d='bsDatepicker' placement='bottom left'&gt;
									&lt;i class='fa fa-calendar-alt' (click)='d.toggle()'&gt;&lt;/i&gt;
								&lt;/div&gt;</v>
      </c>
      <c r="J41" s="31"/>
      <c r="K41" s="38" t="str">
        <f t="shared" ref="K41:K44" si="66">IF(OR(E41="DateTime",E41="TimeSpan"),
REPT(CHAR(9),5)&amp;"&lt;div class='col-md-12 form-group row'&gt;
"&amp;REPT(CHAR(9),6)&amp;"&lt;label class='col-md-2 form-control title'&gt;"&amp;C41&amp;"&lt;/label&gt;
"&amp;REPT(CHAR(9),6)&amp;"&lt;input type='text' class='col-md-10 form-control input-text' name='"&amp;D41&amp;"' 
"&amp;REPT(CHAR(9),6)&amp;"#datepicker='bsDatepicker' [(ngModel)]='rowdata."&amp;D41&amp;"'  bsDatepicker &gt;
"&amp;REPT(CHAR(9),5)&amp;"&lt;/div&gt;",
IF(AND(E41="string",F41="1"),
REPT(CHAR(9),5)&amp;"&lt;div class='col-md-12 form-group row'&gt;
"&amp;REPT(CHAR(9),6)&amp;"&lt;label class='col-md-2 form-control title'&gt;"&amp;C41&amp;"&lt;/label&gt;
"&amp;REPT(CHAR(9),6)&amp;"&lt;new-checkbox [(ngModel)]='_"&amp;D41&amp;"' name='"&amp;D41&amp;"' className='col-md-10' &gt; &lt;/new-checkbox&gt;
"&amp;REPT(CHAR(9),5)&amp;"&lt;/div&gt;",
IF(E41="string",
REPT(CHAR(9),5)&amp;"&lt;div class='col-md-12 form-group row'&gt;
"&amp;REPT(CHAR(9),6)&amp;"&lt;label class='col-md-2 form-control title'&gt;"&amp;C41&amp;"&lt;/label&gt;
"&amp;REPT(CHAR(9),6)&amp;"&lt;input type='text' class='col-md-10 form-control input-text' name='"&amp;B41&amp;"' [(ngModel)]='rowdata."&amp;D41&amp;"'&gt;
"&amp;REPT(CHAR(9),5)&amp;"&lt;/div&gt;",
IF(E41="int",
REPT(CHAR(9),5)&amp;"&lt;div class='col-md-12 form-group row'&gt;
"&amp;REPT(CHAR(9),6)&amp;"&lt;label class='col-md-2 form-control title'&gt;"&amp;C41&amp;"&lt;/label&gt;
"&amp;REPT(CHAR(9),6)&amp;"&lt;input type='number' class='col-md-10 form-control input-text' name='"&amp;B41&amp;"' [(ngModel)]='rowdata."&amp;D41&amp;"'&gt;
"&amp;REPT(CHAR(9),5)&amp;"&lt;/div&gt;",""))))</f>
        <v xml:space="preserve">					&lt;div class='col-md-12 form-group row'&gt;
						&lt;label class='col-md-2 form-control title'&gt;Pik Finish Datetime&lt;/label&gt;
						&lt;input type='text' class='col-md-10 form-control input-text' name='pikFinishDatetime' 
						#datepicker='bsDatepicker' [(ngModel)]='rowdata.pikFinishDatetime'  bsDatepicker &gt;
					&lt;/div&gt;</v>
      </c>
      <c r="L41" s="60" t="str">
        <f t="shared" ref="L41:L44" si="67">IF(E41="DateTime",
REPT(CHAR(9),2)&amp;"const dateValue =  this.rowdata."&amp;D41&amp;" ? new Date(this.rowdata."&amp;D41&amp;"?.toString()) : new Date();
"&amp;REPT(CHAR(9),2)&amp;"this.datepicker?.bsValueChange.emit(dateValue);","")</f>
        <v xml:space="preserve">		const dateValue =  this.rowdata.pikFinishDatetime ? new Date(this.rowdata.pikFinishDatetime?.toString()) : new Date();
		this.datepicker?.bsValueChange.emit(dateValue);</v>
      </c>
      <c r="M41" s="31"/>
      <c r="N41" s="31"/>
      <c r="O41" s="31"/>
      <c r="P41" s="31"/>
      <c r="Q41" s="31"/>
      <c r="R41" s="31"/>
      <c r="S41" s="31" t="str">
        <f>REPT(CHAR(9),1)&amp;D41&amp;G41</f>
        <v xml:space="preserve">	pikFinishDatetime : any ;</v>
      </c>
      <c r="T41" s="31" t="str">
        <f>REPT(CHAR(9),3)&amp;"this."&amp;D41&amp;","</f>
        <v xml:space="preserve">			this.pikFinishDatetime,</v>
      </c>
      <c r="U41" s="31" t="str">
        <f>IF(E41="int",REPT(CHAR(9),2)&amp;"this."&amp;D41&amp;" = 0,",REPT(CHAR(9),2)&amp;"this."&amp;D41&amp;" = '',")</f>
        <v xml:space="preserve">		this.pikFinishDatetime = '',</v>
      </c>
      <c r="V41" s="31" t="str">
        <f t="shared" ref="V41:V44" si="68">IF(AND(E41="string",F41="1"),D41,"")</f>
        <v/>
      </c>
    </row>
    <row r="42" spans="1:22" ht="18" customHeight="1" x14ac:dyDescent="0.25">
      <c r="A42" s="31" t="s">
        <v>356</v>
      </c>
      <c r="B42" s="31" t="str">
        <f t="shared" si="60"/>
        <v>DelStartDatetime</v>
      </c>
      <c r="C42" s="31" t="str">
        <f t="shared" si="61"/>
        <v>Del Start Datetime</v>
      </c>
      <c r="D42" s="31" t="str">
        <f t="shared" si="62"/>
        <v>delStartDatetime</v>
      </c>
      <c r="E42" s="31" t="str">
        <f>A.Backend!H36</f>
        <v>DateTime</v>
      </c>
      <c r="F42" s="31" t="str">
        <f>A.Backend!G36</f>
        <v>7</v>
      </c>
      <c r="G42" s="31" t="str">
        <f t="shared" si="63"/>
        <v xml:space="preserve"> : any ;</v>
      </c>
      <c r="H42" s="38" t="str">
        <f t="shared" si="64"/>
        <v xml:space="preserve">			{headerName: this.l('Del Start Datetime'),headerTooltip: this.l('Del Start Datetime'),field: 'delStartDatetime',valueGetter: (params) =&gt; this.pipe.transform(params.data?.delStartDatetime, 'dd/MM/yyyy'),flex: 1},</v>
      </c>
      <c r="I42" s="38" t="str">
        <f t="shared" si="65"/>
        <v xml:space="preserve">								&lt;div class='input-search'&gt;
									&lt;input type='text' [placeholder]="l('Del Start Datetime')" [(ngModel)]='delStartDatetime' 
									name='delStartDatetime' (keydown)='searchDatas()' class='form-control' 
									bsDatepicker #d='bsDatepicker' placement='bottom left'&gt;
									&lt;i class='fa fa-calendar-alt' (click)='d.toggle()'&gt;&lt;/i&gt;
								&lt;/div&gt;</v>
      </c>
      <c r="J42" s="31"/>
      <c r="K42" s="38" t="str">
        <f t="shared" si="66"/>
        <v xml:space="preserve">					&lt;div class='col-md-12 form-group row'&gt;
						&lt;label class='col-md-2 form-control title'&gt;Del Start Datetime&lt;/label&gt;
						&lt;input type='text' class='col-md-10 form-control input-text' name='delStartDatetime' 
						#datepicker='bsDatepicker' [(ngModel)]='rowdata.delStartDatetime'  bsDatepicker &gt;
					&lt;/div&gt;</v>
      </c>
      <c r="L42" s="60" t="str">
        <f t="shared" si="67"/>
        <v xml:space="preserve">		const dateValue =  this.rowdata.delStartDatetime ? new Date(this.rowdata.delStartDatetime?.toString()) : new Date();
		this.datepicker?.bsValueChange.emit(dateValue);</v>
      </c>
      <c r="M42" s="31"/>
      <c r="N42" s="31"/>
      <c r="O42" s="31"/>
      <c r="P42" s="31"/>
      <c r="Q42" s="31"/>
      <c r="R42" s="31"/>
      <c r="S42" s="31" t="str">
        <f t="shared" ref="S42" si="69">REPT(CHAR(9),1)&amp;D42&amp;G42</f>
        <v xml:space="preserve">	delStartDatetime : any ;</v>
      </c>
      <c r="T42" s="31" t="str">
        <f t="shared" ref="T42" si="70">REPT(CHAR(9),3)&amp;"this."&amp;D42&amp;","</f>
        <v xml:space="preserve">			this.delStartDatetime,</v>
      </c>
      <c r="U42" s="31" t="str">
        <f t="shared" ref="U42" si="71">IF(E42="int",REPT(CHAR(9),2)&amp;"this."&amp;D42&amp;" = 0,",REPT(CHAR(9),2)&amp;"this."&amp;D42&amp;" = '',")</f>
        <v xml:space="preserve">		this.delStartDatetime = '',</v>
      </c>
      <c r="V42" s="31" t="str">
        <f t="shared" si="68"/>
        <v/>
      </c>
    </row>
    <row r="43" spans="1:22" ht="15" customHeight="1" x14ac:dyDescent="0.25">
      <c r="A43" s="31" t="s">
        <v>357</v>
      </c>
      <c r="B43" s="31" t="str">
        <f t="shared" ref="B43" si="72">SUBSTITUTE(PROPER(A43),"_","")</f>
        <v>DelFinishDatetime</v>
      </c>
      <c r="C43" s="31" t="str">
        <f t="shared" ref="C43" si="73">SUBSTITUTE(PROPER(A43),"_"," ")</f>
        <v>Del Finish Datetime</v>
      </c>
      <c r="D43" s="31" t="str">
        <f t="shared" ref="D43" si="74">LOWER(LEFT(B43,1))&amp;RIGHT(B43,LEN(B43) - 1)</f>
        <v>delFinishDatetime</v>
      </c>
      <c r="E43" s="31" t="str">
        <f>A.Backend!H37</f>
        <v>DateTime</v>
      </c>
      <c r="F43" s="31" t="str">
        <f>A.Backend!G37</f>
        <v>7</v>
      </c>
      <c r="G43" s="31" t="str">
        <f t="shared" ref="G43" si="75">IF(E43="string"," : string = '' ; ",IF(OR(E43="DateTime",E43="TimeSpan")," : any ;",IF(E43="int"," : number = 0 ;","")))</f>
        <v xml:space="preserve"> : any ;</v>
      </c>
      <c r="H43" s="38" t="str">
        <f t="shared" ref="H43" si="76">IF(E43="DateTime",
REPT(CHAR(9),3)&amp;"{headerName: this.l('"&amp;C43&amp;"'),headerTooltip: this.l('"&amp;C43&amp;"'),field: '"&amp;D43&amp;"',valueGetter: (params) =&gt; this.pipe.transform(params.data?."&amp;D43&amp;", 'dd/MM/yyyy'),flex: 1},",
IF(AND(E43="string",F43="1"),
REPT(CHAR(9),3)&amp;"{headerName: this.l('"&amp;C43&amp;"'),headerTooltip: this.l('"&amp;C43&amp;"'),field:  '"&amp;D43&amp;"', cellClass: ['text-center'], width: 120, cellRenderer: 'agCellButtonComponent',
buttonDefTwo: { text: params =&gt; (params.data?.'"&amp;D43&amp;"' == 'Y') ? 'Active' : 'Inactive',iconName: 'fa fa-circle',className: params =&gt; (params.data?.'"&amp;D43&amp;"' == 'Y') ? 'btnActive' : 'btnInActive',},}",
REPT(CHAR(9),3)&amp;"{headerName: this.l('"&amp;C43&amp;"'),headerTooltip: this.l('"&amp;C43&amp;"'),field: '"&amp;D43&amp;"',flex: 1},"))</f>
        <v xml:space="preserve">			{headerName: this.l('Del Finish Datetime'),headerTooltip: this.l('Del Finish Datetime'),field: 'delFinishDatetime',valueGetter: (params) =&gt; this.pipe.transform(params.data?.delFinishDatetime, 'dd/MM/yyyy'),flex: 1},</v>
      </c>
      <c r="I43" s="38" t="str">
        <f t="shared" ref="I43" si="77">IF(E43="DateTime",
REPT(CHAR(9),8)&amp;"&lt;div class='input-search'&gt;
"&amp;REPT(CHAR(9),9)&amp;"&lt;input type='text' [placeholder]=""l('"&amp;C43&amp;"')"" [(ngModel)]='"&amp;D43&amp;"' 
"&amp;REPT(CHAR(9),9)&amp;"name='"&amp;D43&amp;"'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IF(E43="string",
REPT(CHAR(9),8)&amp;"&lt;div class='input-search'&gt;
"&amp;REPT(CHAR(9),9)&amp;"&lt;input [(ngModel)]='"&amp;D43&amp;"' name='"&amp;D43&amp;"'
"&amp;REPT(CHAR(9),9)&amp;"class='form-control' [placeholder]=""l('"&amp;C43&amp;"')""
"&amp;REPT(CHAR(9),9)&amp;"type='text' (keyup.enter)='searchDatas()'&gt;
"&amp;REPT(CHAR(9),8)&amp;"&lt;/div&gt;",""))</f>
        <v xml:space="preserve">								&lt;div class='input-search'&gt;
									&lt;input type='text' [placeholder]="l('Del Finish Datetime')" [(ngModel)]='delFinishDatetime' 
									name='delFinishDatetime' (keydown)='searchDatas()' class='form-control' 
									bsDatepicker #d='bsDatepicker' placement='bottom left'&gt;
									&lt;i class='fa fa-calendar-alt' (click)='d.toggle()'&gt;&lt;/i&gt;
								&lt;/div&gt;</v>
      </c>
      <c r="J43" s="31"/>
      <c r="K43" s="38" t="str">
        <f t="shared" ref="K43" si="78">IF(OR(E43="DateTime",E43="TimeSpan"),
REPT(CHAR(9),5)&amp;"&lt;div class='col-md-12 form-group row'&gt;
"&amp;REPT(CHAR(9),6)&amp;"&lt;label class='col-md-2 form-control title'&gt;"&amp;C43&amp;"&lt;/label&gt;
"&amp;REPT(CHAR(9),6)&amp;"&lt;input type='text' class='col-md-10 form-control input-text' name='"&amp;D43&amp;"' 
"&amp;REPT(CHAR(9),6)&amp;"#datepicker='bsDatepicker' [(ngModel)]='rowdata."&amp;D43&amp;"'  bsDatepicker &gt;
"&amp;REPT(CHAR(9),5)&amp;"&lt;/div&gt;",
IF(AND(E43="string",F43="1"),
REPT(CHAR(9),5)&amp;"&lt;div class='col-md-12 form-group row'&gt;
"&amp;REPT(CHAR(9),6)&amp;"&lt;label class='col-md-2 form-control title'&gt;"&amp;C43&amp;"&lt;/label&gt;
"&amp;REPT(CHAR(9),6)&amp;"&lt;new-checkbox [(ngModel)]='_"&amp;D43&amp;"' name='"&amp;D43&amp;"' className='col-md-10' &gt; &lt;/new-checkbox&gt;
"&amp;REPT(CHAR(9),5)&amp;"&lt;/div&gt;",
IF(E43="string",
REPT(CHAR(9),5)&amp;"&lt;div class='col-md-12 form-group row'&gt;
"&amp;REPT(CHAR(9),6)&amp;"&lt;label class='col-md-2 form-control title'&gt;"&amp;C43&amp;"&lt;/label&gt;
"&amp;REPT(CHAR(9),6)&amp;"&lt;input type='text' class='col-md-10 form-control input-text' name='"&amp;B43&amp;"' [(ngModel)]='rowdata."&amp;D43&amp;"'&gt;
"&amp;REPT(CHAR(9),5)&amp;"&lt;/div&gt;",
IF(E43="int",
REPT(CHAR(9),5)&amp;"&lt;div class='col-md-12 form-group row'&gt;
"&amp;REPT(CHAR(9),6)&amp;"&lt;label class='col-md-2 form-control title'&gt;"&amp;C43&amp;"&lt;/label&gt;
"&amp;REPT(CHAR(9),6)&amp;"&lt;input type='number' class='col-md-10 form-control input-text' name='"&amp;B43&amp;"' [(ngModel)]='rowdata."&amp;D43&amp;"'&gt;
"&amp;REPT(CHAR(9),5)&amp;"&lt;/div&gt;",""))))</f>
        <v xml:space="preserve">					&lt;div class='col-md-12 form-group row'&gt;
						&lt;label class='col-md-2 form-control title'&gt;Del Finish Datetime&lt;/label&gt;
						&lt;input type='text' class='col-md-10 form-control input-text' name='delFinishDatetime' 
						#datepicker='bsDatepicker' [(ngModel)]='rowdata.delFinishDatetime'  bsDatepicker &gt;
					&lt;/div&gt;</v>
      </c>
      <c r="L43" s="60" t="str">
        <f t="shared" ref="L43" si="79">IF(E43="DateTime",
REPT(CHAR(9),2)&amp;"const dateValue =  this.rowdata."&amp;D43&amp;" ? new Date(this.rowdata."&amp;D43&amp;"?.toString()) : new Date();
"&amp;REPT(CHAR(9),2)&amp;"this.datepicker?.bsValueChange.emit(dateValue);","")</f>
        <v xml:space="preserve">		const dateValue =  this.rowdata.delFinishDatetime ? new Date(this.rowdata.delFinishDatetime?.toString()) : new Date();
		this.datepicker?.bsValueChange.emit(dateValue);</v>
      </c>
      <c r="M43" s="31"/>
      <c r="N43" s="31"/>
      <c r="O43" s="31"/>
      <c r="P43" s="31"/>
      <c r="Q43" s="31"/>
      <c r="R43" s="31"/>
      <c r="S43" s="31" t="str">
        <f>REPT(CHAR(9),1)&amp;D43&amp;G43</f>
        <v xml:space="preserve">	delFinishDatetime : any ;</v>
      </c>
      <c r="T43" s="31" t="str">
        <f>REPT(CHAR(9),3)&amp;"this."&amp;D43&amp;","</f>
        <v xml:space="preserve">			this.delFinishDatetime,</v>
      </c>
      <c r="U43" s="31" t="str">
        <f>IF(E43="int",REPT(CHAR(9),2)&amp;"this."&amp;D43&amp;" = 0,",REPT(CHAR(9),2)&amp;"this."&amp;D43&amp;" = '',")</f>
        <v xml:space="preserve">		this.delFinishDatetime = '',</v>
      </c>
      <c r="V43" s="31" t="str">
        <f t="shared" ref="V43" si="80">IF(AND(E43="string",F43="1"),D43,"")</f>
        <v/>
      </c>
    </row>
    <row r="44" spans="1:22" ht="18" customHeight="1" x14ac:dyDescent="0.25">
      <c r="A44" s="31" t="s">
        <v>329</v>
      </c>
      <c r="B44" s="31" t="str">
        <f t="shared" si="60"/>
        <v>Status</v>
      </c>
      <c r="C44" s="31" t="str">
        <f t="shared" si="61"/>
        <v>Status</v>
      </c>
      <c r="D44" s="31" t="str">
        <f t="shared" si="62"/>
        <v>status</v>
      </c>
      <c r="E44" s="31" t="str">
        <f>A.Backend!H38</f>
        <v>string</v>
      </c>
      <c r="F44" s="31" t="str">
        <f>A.Backend!G38</f>
        <v>50</v>
      </c>
      <c r="G44" s="31" t="str">
        <f t="shared" si="63"/>
        <v xml:space="preserve"> : string = '' ; </v>
      </c>
      <c r="H44" s="38" t="str">
        <f t="shared" si="64"/>
        <v xml:space="preserve">			{headerName: this.l('Status'),headerTooltip: this.l('Status'),field: 'status',flex: 1},</v>
      </c>
      <c r="I44" s="38" t="str">
        <f t="shared" si="65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44" s="31"/>
      <c r="K44" s="38" t="str">
        <f t="shared" si="66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44" s="60" t="str">
        <f t="shared" si="67"/>
        <v/>
      </c>
      <c r="M44" s="31"/>
      <c r="N44" s="31"/>
      <c r="O44" s="31"/>
      <c r="P44" s="31"/>
      <c r="Q44" s="31"/>
      <c r="R44" s="31"/>
      <c r="S44" s="31" t="str">
        <f t="shared" ref="S44" si="81">REPT(CHAR(9),1)&amp;D44&amp;G44</f>
        <v xml:space="preserve">	status : string = '' ; </v>
      </c>
      <c r="T44" s="31" t="str">
        <f t="shared" ref="T44" si="82">REPT(CHAR(9),3)&amp;"this."&amp;D44&amp;","</f>
        <v xml:space="preserve">			this.status,</v>
      </c>
      <c r="U44" s="31" t="str">
        <f t="shared" ref="U44" si="83">IF(E44="int",REPT(CHAR(9),2)&amp;"this."&amp;D44&amp;" = 0,",REPT(CHAR(9),2)&amp;"this."&amp;D44&amp;" = '',")</f>
        <v xml:space="preserve">		this.status = '',</v>
      </c>
      <c r="V44" s="31" t="str">
        <f t="shared" si="68"/>
        <v/>
      </c>
    </row>
    <row r="45" spans="1:22" ht="18" customHeight="1" x14ac:dyDescent="0.25">
      <c r="A45" s="31" t="s">
        <v>323</v>
      </c>
      <c r="B45" s="31" t="str">
        <f t="shared" ref="B45" si="84">SUBSTITUTE(PROPER(A45),"_","")</f>
        <v>IsActive</v>
      </c>
      <c r="C45" s="31" t="str">
        <f t="shared" ref="C45" si="85">SUBSTITUTE(PROPER(A45),"_"," ")</f>
        <v>Is Active</v>
      </c>
      <c r="D45" s="31" t="str">
        <f t="shared" ref="D45" si="86">LOWER(LEFT(B45,1))&amp;RIGHT(B45,LEN(B45) - 1)</f>
        <v>isActive</v>
      </c>
      <c r="E45" s="31" t="str">
        <f>A.Backend!H39</f>
        <v>string</v>
      </c>
      <c r="F45" s="31" t="str">
        <f>A.Backend!G39</f>
        <v>1</v>
      </c>
      <c r="G45" s="31" t="str">
        <f t="shared" ref="G45" si="87">IF(E45="string"," : string = '' ; ",IF(OR(E45="DateTime",E45="TimeSpan")," : any ;",IF(E45="int"," : number = 0 ;","")))</f>
        <v xml:space="preserve"> : string = '' ; </v>
      </c>
      <c r="H45" s="38" t="str">
        <f t="shared" ref="H45" si="88">IF(E45="DateTime",
REPT(CHAR(9),3)&amp;"{headerName: this.l('"&amp;C45&amp;"'),headerTooltip: this.l('"&amp;C45&amp;"'),field: '"&amp;D45&amp;"',valueGetter: (params) =&gt; this.pipe.transform(params.data?."&amp;D45&amp;", 'dd/MM/yyyy'),flex: 1},",
IF(AND(E45="string",F45="1"),
REPT(CHAR(9),3)&amp;"{headerName: this.l('"&amp;C45&amp;"'),headerTooltip: this.l('"&amp;C45&amp;"'),field:  '"&amp;D45&amp;"', cellClass: ['text-center'], width: 120, cellRenderer: 'agCellButtonComponent',
buttonDefTwo: { text: params =&gt; (params.data?.'"&amp;D45&amp;"' == 'Y') ? 'Active' : 'Inactive',iconName: 'fa fa-circle',className: params =&gt; (params.data?.'"&amp;D45&amp;"' == 'Y') ? 'btnActive' : 'btnInActive',},}",
REPT(CHAR(9),3)&amp;"{headerName: this.l('"&amp;C45&amp;"'),headerTooltip: this.l('"&amp;C45&amp;"'),field: '"&amp;D45&amp;"',flex: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45" s="38" t="str">
        <f t="shared" ref="I45" si="89">IF(E45="DateTime",
REPT(CHAR(9),8)&amp;"&lt;div class='input-search'&gt;
"&amp;REPT(CHAR(9),9)&amp;"&lt;input type='text' [placeholder]=""l('"&amp;C45&amp;"')"" [(ngModel)]='"&amp;D45&amp;"' 
"&amp;REPT(CHAR(9),9)&amp;"name='"&amp;D45&amp;"'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IF(E45="string",
REPT(CHAR(9),8)&amp;"&lt;div class='input-search'&gt;
"&amp;REPT(CHAR(9),9)&amp;"&lt;input [(ngModel)]='"&amp;D45&amp;"' name='"&amp;D45&amp;"'
"&amp;REPT(CHAR(9),9)&amp;"class='form-control' [placeholder]=""l('"&amp;C45&amp;"')""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45" s="31"/>
      <c r="K45" s="38" t="str">
        <f t="shared" ref="K45" si="90">IF(OR(E45="DateTime",E45="TimeSpan"),
REPT(CHAR(9),5)&amp;"&lt;div class='col-md-12 form-group row'&gt;
"&amp;REPT(CHAR(9),6)&amp;"&lt;label class='col-md-2 form-control title'&gt;"&amp;C45&amp;"&lt;/label&gt;
"&amp;REPT(CHAR(9),6)&amp;"&lt;input type='text' class='col-md-10 form-control input-text' name='"&amp;D45&amp;"' 
"&amp;REPT(CHAR(9),6)&amp;"#datepicker='bsDatepicker' [(ngModel)]='rowdata."&amp;D45&amp;"'  bsDatepicker &gt;
"&amp;REPT(CHAR(9),5)&amp;"&lt;/div&gt;",
IF(AND(E45="string",F45="1"),
REPT(CHAR(9),5)&amp;"&lt;div class='col-md-12 form-group row'&gt;
"&amp;REPT(CHAR(9),6)&amp;"&lt;label class='col-md-2 form-control title'&gt;"&amp;C45&amp;"&lt;/label&gt;
"&amp;REPT(CHAR(9),6)&amp;"&lt;new-checkbox [(ngModel)]='_"&amp;D45&amp;"' name='"&amp;D45&amp;"' className='col-md-10' &gt; &lt;/new-checkbox&gt;
"&amp;REPT(CHAR(9),5)&amp;"&lt;/div&gt;",
IF(E45="string",
REPT(CHAR(9),5)&amp;"&lt;div class='col-md-12 form-group row'&gt;
"&amp;REPT(CHAR(9),6)&amp;"&lt;label class='col-md-2 form-control title'&gt;"&amp;C45&amp;"&lt;/label&gt;
"&amp;REPT(CHAR(9),6)&amp;"&lt;input type='text' class='col-md-10 form-control input-text' name='"&amp;B45&amp;"' [(ngModel)]='rowdata."&amp;D45&amp;"'&gt;
"&amp;REPT(CHAR(9),5)&amp;"&lt;/div&gt;",
IF(E45="int",
REPT(CHAR(9),5)&amp;"&lt;div class='col-md-12 form-group row'&gt;
"&amp;REPT(CHAR(9),6)&amp;"&lt;label class='col-md-2 form-control title'&gt;"&amp;C45&amp;"&lt;/label&gt;
"&amp;REPT(CHAR(9),6)&amp;"&lt;input type='number' class='col-md-10 form-control input-text' name='"&amp;B45&amp;"' [(ngModel)]='rowdata."&amp;D45&amp;"'&gt;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45" s="60" t="str">
        <f t="shared" ref="L45" si="91">IF(E45="DateTime",
REPT(CHAR(9),2)&amp;"const dateValue =  this.rowdata."&amp;D45&amp;" ? new Date(this.rowdata."&amp;D45&amp;"?.toString()) : new Date();
"&amp;REPT(CHAR(9),2)&amp;"this.datepicker?.bsValueChange.emit(dateValue);","")</f>
        <v/>
      </c>
      <c r="M45" s="31"/>
      <c r="N45" s="31"/>
      <c r="O45" s="31"/>
      <c r="P45" s="31"/>
      <c r="Q45" s="31"/>
      <c r="R45" s="31"/>
      <c r="S45" s="31" t="str">
        <f t="shared" ref="S45" si="92">REPT(CHAR(9),1)&amp;D45&amp;G45</f>
        <v xml:space="preserve">	isActive : string = '' ; </v>
      </c>
      <c r="T45" s="31" t="str">
        <f t="shared" ref="T45" si="93">REPT(CHAR(9),3)&amp;"this."&amp;D45&amp;","</f>
        <v xml:space="preserve">			this.isActive,</v>
      </c>
      <c r="U45" s="31" t="str">
        <f t="shared" ref="U45" si="94">IF(E45="int",REPT(CHAR(9),2)&amp;"this."&amp;D45&amp;" = 0,",REPT(CHAR(9),2)&amp;"this."&amp;D45&amp;" = '',")</f>
        <v xml:space="preserve">		this.isActive = '',</v>
      </c>
      <c r="V45" s="31" t="str">
        <f t="shared" ref="V45" si="95">IF(AND(E45="string",F45="1"),D45,"")</f>
        <v>isActive</v>
      </c>
    </row>
    <row r="48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2023-03-11T09:38:09Z</dcterms:modified>
</cp:coreProperties>
</file>
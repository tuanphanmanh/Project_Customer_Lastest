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dvn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C30" i="5" l="1"/>
  <c r="B30" i="5"/>
  <c r="D30" i="5" s="1"/>
  <c r="C29" i="5"/>
  <c r="B29" i="5"/>
  <c r="D29" i="5" s="1"/>
  <c r="C28" i="5"/>
  <c r="B28" i="5"/>
  <c r="D28" i="5" s="1"/>
  <c r="D27" i="5"/>
  <c r="C27" i="5"/>
  <c r="B27" i="5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T23" i="5" s="1"/>
  <c r="C22" i="5"/>
  <c r="B22" i="5"/>
  <c r="D22" i="5" s="1"/>
  <c r="C21" i="5"/>
  <c r="B21" i="5"/>
  <c r="D21" i="5" s="1"/>
  <c r="T21" i="5" s="1"/>
  <c r="T30" i="5" l="1"/>
  <c r="T22" i="5"/>
  <c r="T24" i="5"/>
  <c r="T26" i="5"/>
  <c r="T28" i="5"/>
  <c r="T25" i="5"/>
  <c r="T27" i="5"/>
  <c r="T29" i="5"/>
  <c r="L24" i="1" l="1"/>
  <c r="G24" i="1"/>
  <c r="E24" i="1"/>
  <c r="H24" i="1" s="1"/>
  <c r="D24" i="1"/>
  <c r="V24" i="1" s="1"/>
  <c r="G23" i="1"/>
  <c r="E23" i="1"/>
  <c r="H23" i="1" s="1"/>
  <c r="D23" i="1"/>
  <c r="V23" i="1" s="1"/>
  <c r="H22" i="1"/>
  <c r="G22" i="1"/>
  <c r="E22" i="1"/>
  <c r="D22" i="1"/>
  <c r="V22" i="1" s="1"/>
  <c r="G21" i="1"/>
  <c r="E21" i="1"/>
  <c r="H21" i="1" s="1"/>
  <c r="D21" i="1"/>
  <c r="V21" i="1" s="1"/>
  <c r="L20" i="1"/>
  <c r="G20" i="1"/>
  <c r="E20" i="1"/>
  <c r="H20" i="1" s="1"/>
  <c r="D20" i="1"/>
  <c r="V20" i="1" s="1"/>
  <c r="L19" i="1"/>
  <c r="G19" i="1"/>
  <c r="E19" i="1"/>
  <c r="H19" i="1" s="1"/>
  <c r="D19" i="1"/>
  <c r="V19" i="1" s="1"/>
  <c r="G18" i="1"/>
  <c r="E18" i="1"/>
  <c r="H18" i="1" s="1"/>
  <c r="D18" i="1"/>
  <c r="V18" i="1" s="1"/>
  <c r="G17" i="1"/>
  <c r="E17" i="1"/>
  <c r="H17" i="1" s="1"/>
  <c r="D17" i="1"/>
  <c r="V17" i="1" s="1"/>
  <c r="V16" i="1"/>
  <c r="G16" i="1"/>
  <c r="E16" i="1"/>
  <c r="H16" i="1" s="1"/>
  <c r="D16" i="1"/>
  <c r="G15" i="1"/>
  <c r="E15" i="1"/>
  <c r="H15" i="1" s="1"/>
  <c r="D15" i="1"/>
  <c r="V15" i="1" s="1"/>
  <c r="M20" i="1" l="1"/>
  <c r="L21" i="5"/>
  <c r="G21" i="5"/>
  <c r="S21" i="5" s="1"/>
  <c r="U21" i="5"/>
  <c r="V21" i="5"/>
  <c r="I21" i="5"/>
  <c r="K21" i="5"/>
  <c r="I28" i="5"/>
  <c r="K28" i="5"/>
  <c r="L28" i="5"/>
  <c r="H28" i="5"/>
  <c r="V28" i="5"/>
  <c r="U28" i="5"/>
  <c r="G28" i="5"/>
  <c r="S28" i="5" s="1"/>
  <c r="N24" i="1"/>
  <c r="V25" i="5"/>
  <c r="G25" i="5"/>
  <c r="S25" i="5" s="1"/>
  <c r="U25" i="5"/>
  <c r="L25" i="5"/>
  <c r="I25" i="5"/>
  <c r="K25" i="5"/>
  <c r="H25" i="5"/>
  <c r="K24" i="5"/>
  <c r="I24" i="5"/>
  <c r="H24" i="5"/>
  <c r="G24" i="5"/>
  <c r="S24" i="5" s="1"/>
  <c r="U24" i="5"/>
  <c r="L24" i="5"/>
  <c r="V24" i="5"/>
  <c r="G29" i="5"/>
  <c r="S29" i="5" s="1"/>
  <c r="V29" i="5"/>
  <c r="L29" i="5"/>
  <c r="U29" i="5"/>
  <c r="H29" i="5"/>
  <c r="K29" i="5"/>
  <c r="I29" i="5"/>
  <c r="H21" i="5"/>
  <c r="K22" i="5"/>
  <c r="I22" i="5"/>
  <c r="U22" i="5"/>
  <c r="G22" i="5"/>
  <c r="S22" i="5" s="1"/>
  <c r="L22" i="5"/>
  <c r="H22" i="5"/>
  <c r="V22" i="5"/>
  <c r="U23" i="5"/>
  <c r="V23" i="5"/>
  <c r="L23" i="5"/>
  <c r="G23" i="5"/>
  <c r="S23" i="5" s="1"/>
  <c r="H23" i="5"/>
  <c r="I23" i="5"/>
  <c r="K23" i="5"/>
  <c r="U27" i="5"/>
  <c r="L27" i="5"/>
  <c r="G27" i="5"/>
  <c r="S27" i="5" s="1"/>
  <c r="I27" i="5"/>
  <c r="V27" i="5"/>
  <c r="H27" i="5"/>
  <c r="K27" i="5"/>
  <c r="M18" i="1"/>
  <c r="N18" i="1"/>
  <c r="M16" i="1"/>
  <c r="N16" i="1"/>
  <c r="P19" i="1"/>
  <c r="P17" i="1"/>
  <c r="P15" i="1"/>
  <c r="N20" i="1"/>
  <c r="P23" i="1"/>
  <c r="P21" i="1"/>
  <c r="W15" i="1"/>
  <c r="O15" i="1"/>
  <c r="J15" i="1"/>
  <c r="N15" i="1"/>
  <c r="I15" i="1"/>
  <c r="M15" i="1"/>
  <c r="T16" i="1"/>
  <c r="P16" i="1"/>
  <c r="I16" i="1"/>
  <c r="W17" i="1"/>
  <c r="O17" i="1"/>
  <c r="J17" i="1"/>
  <c r="N17" i="1"/>
  <c r="I17" i="1"/>
  <c r="M17" i="1"/>
  <c r="T18" i="1"/>
  <c r="P18" i="1"/>
  <c r="I18" i="1"/>
  <c r="W19" i="1"/>
  <c r="O19" i="1"/>
  <c r="J19" i="1"/>
  <c r="N19" i="1"/>
  <c r="I19" i="1"/>
  <c r="M19" i="1"/>
  <c r="T20" i="1"/>
  <c r="P20" i="1"/>
  <c r="I20" i="1"/>
  <c r="M22" i="1"/>
  <c r="M24" i="1"/>
  <c r="W21" i="1"/>
  <c r="O21" i="1"/>
  <c r="J21" i="1"/>
  <c r="N21" i="1"/>
  <c r="I21" i="1"/>
  <c r="M21" i="1"/>
  <c r="T22" i="1"/>
  <c r="P22" i="1"/>
  <c r="I22" i="1"/>
  <c r="W23" i="1"/>
  <c r="O23" i="1"/>
  <c r="J23" i="1"/>
  <c r="N23" i="1"/>
  <c r="I23" i="1"/>
  <c r="M23" i="1"/>
  <c r="T24" i="1"/>
  <c r="P24" i="1"/>
  <c r="I24" i="1"/>
  <c r="N22" i="1"/>
  <c r="T15" i="1"/>
  <c r="J16" i="1"/>
  <c r="O16" i="1"/>
  <c r="W16" i="1"/>
  <c r="T17" i="1"/>
  <c r="J18" i="1"/>
  <c r="O18" i="1"/>
  <c r="W18" i="1"/>
  <c r="T19" i="1"/>
  <c r="J20" i="1"/>
  <c r="O20" i="1"/>
  <c r="W20" i="1"/>
  <c r="T21" i="1"/>
  <c r="J22" i="1"/>
  <c r="O22" i="1"/>
  <c r="W22" i="1"/>
  <c r="T23" i="1"/>
  <c r="J24" i="1"/>
  <c r="O24" i="1"/>
  <c r="W24" i="1"/>
  <c r="I26" i="5" l="1"/>
  <c r="K26" i="5"/>
  <c r="U26" i="5"/>
  <c r="V26" i="5"/>
  <c r="G26" i="5"/>
  <c r="S26" i="5" s="1"/>
  <c r="H26" i="5"/>
  <c r="L26" i="5"/>
  <c r="I30" i="5"/>
  <c r="U30" i="5"/>
  <c r="G30" i="5"/>
  <c r="S30" i="5" s="1"/>
  <c r="L30" i="5"/>
  <c r="V30" i="5"/>
  <c r="H30" i="5"/>
  <c r="K30" i="5"/>
  <c r="C20" i="5"/>
  <c r="G14" i="1"/>
  <c r="E14" i="1"/>
  <c r="H14" i="1" s="1"/>
  <c r="D14" i="1"/>
  <c r="P14" i="1" s="1"/>
  <c r="V20" i="5" l="1"/>
  <c r="B20" i="5"/>
  <c r="D20" i="5" s="1"/>
  <c r="I20" i="5" s="1"/>
  <c r="G20" i="5"/>
  <c r="L20" i="5"/>
  <c r="W14" i="1"/>
  <c r="T14" i="1"/>
  <c r="M14" i="1"/>
  <c r="I14" i="1"/>
  <c r="N14" i="1"/>
  <c r="V14" i="1"/>
  <c r="J14" i="1"/>
  <c r="O14" i="1"/>
  <c r="K20" i="5" l="1"/>
  <c r="U20" i="5"/>
  <c r="T20" i="5"/>
  <c r="S20" i="5"/>
  <c r="H20" i="5"/>
  <c r="W3" i="1"/>
  <c r="V3" i="1"/>
  <c r="B2" i="5" l="1"/>
  <c r="B3" i="5" s="1"/>
  <c r="C19" i="5"/>
  <c r="B18" i="5"/>
  <c r="D18" i="5" s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6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6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6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H13" i="5"/>
  <c r="L13" i="5"/>
  <c r="S13" i="5"/>
  <c r="I13" i="5"/>
  <c r="V13" i="5"/>
  <c r="K13" i="5"/>
  <c r="U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5" i="1" l="1"/>
  <c r="L17" i="1"/>
  <c r="L23" i="1"/>
  <c r="L18" i="1"/>
  <c r="L21" i="1"/>
  <c r="L22" i="1"/>
  <c r="L16" i="1"/>
  <c r="L11" i="1"/>
  <c r="L13" i="1"/>
  <c r="L12" i="1"/>
  <c r="L14" i="1"/>
  <c r="L9" i="1"/>
  <c r="L10" i="1"/>
  <c r="J11" i="1"/>
  <c r="J9" i="1"/>
  <c r="J10" i="1"/>
  <c r="C7" i="1"/>
  <c r="O26" i="1"/>
  <c r="I26" i="1"/>
  <c r="P26" i="1"/>
  <c r="J26" i="1"/>
  <c r="N26" i="1"/>
  <c r="Q7" i="1" l="1"/>
  <c r="M47" i="3" s="1"/>
  <c r="L7" i="1"/>
  <c r="G47" i="3" s="1"/>
  <c r="K47" i="3"/>
  <c r="J47" i="3"/>
  <c r="K26" i="1"/>
  <c r="M26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<sst xmlns="http://schemas.openxmlformats.org/spreadsheetml/2006/main" count="436" uniqueCount="326">
  <si>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</si>
  <si>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</si>
  <si>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</si>
  <si>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</si>
  <si>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</si>
  <si>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</si>
  <si>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</si>
  <si>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</si>
  <si>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</si>
  <si>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</si>
  <si>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</si>
  <si>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</si>
  <si>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</si>
  <si>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</si>
  <si>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</si>
  <si>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</si>
  <si>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</si>
  <si>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</si>
  <si>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</si>
  <si>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</si>
  <si>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</si>
  <si>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</si>
  <si>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</si>
  <si>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</si>
  <si>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</si>
  <si>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</si>
  <si>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</si>
  <si>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</si>
  <si>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</si>
  <si>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</si>
  <si>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</si>
  <si>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</si>
  <si>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</si>
  <si>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</si>
  <si>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</si>
  <si>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</si>
  <si>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</si>
  <si>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</si>
  <si>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</si>
  <si>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</si>
  <si>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</si>
  <si>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</si>
  <si>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</si>
  <si>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</si>
  <si>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</si>
  <si>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</si>
  <si>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</si>
  <si>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</si>
  <si>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</si>
  <si>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</si>
  <si>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</si>
  <si>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</si>
  <si>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</si>
  <si>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</si>
  <si>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</si>
  <si>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</si>
  <si>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</si>
  <si>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</si>
  <si>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</si>
  <si>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</si>
  <si>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</si>
  <si>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</si>
  <si>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</si>
  <si>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</si>
  <si>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</si>
  <si>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</si>
  <si>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</si>
  <si>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</si>
  <si>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</si>
  <si>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</si>
  <si>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</si>
  <si>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</si>
  <si>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</si>
  <si>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</si>
  <si>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</si>
  <si>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</si>
  <si>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</si>
  <si>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</si>
  <si>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</si>
  <si>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</si>
  <si>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</si>
  <si>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</si>
  <si>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</si>
  <si>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</si>
  <si>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</si>
  <si>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</si>
  <si>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</si>
  <si>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</si>
  <si>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</si>
  <si>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</si>
  <si>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</si>
  <si>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</si>
  <si>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</si>
  <si>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</si>
  <si>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</si>
  <si>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</si>
  <si>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</si>
  <si>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</si>
  <si>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</si>
  <si>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</si>
  <si>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</si>
  <si>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</si>
  <si>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</si>
  <si>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</si>
  <si>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</si>
  <si>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</si>
  <si>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</si>
  <si>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</si>
  <si>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</si>
  <si>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</si>
  <si>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</si>
  <si>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</si>
  <si>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</si>
  <si>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</si>
  <si>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</si>
  <si>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</si>
  <si>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</si>
  <si>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</si>
  <si>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</si>
  <si>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</si>
  <si>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</si>
  <si>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</si>
  <si>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</si>
  <si>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</si>
  <si>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</si>
  <si>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</si>
  <si>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</si>
  <si>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</si>
  <si>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</si>
  <si>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</si>
  <si>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</si>
  <si>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</si>
  <si>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</si>
  <si>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</si>
  <si>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</si>
  <si>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</si>
  <si>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</si>
  <si>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</si>
  <si>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</si>
  <si>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</si>
  <si>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</si>
  <si>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</si>
  <si>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</si>
  <si>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</si>
  <si>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</si>
  <si>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</si>
  <si>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</si>
  <si>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</si>
  <si>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</si>
  <si>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</si>
  <si>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</si>
  <si>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</si>
  <si>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</si>
  <si>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</si>
  <si>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</si>
  <si>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</si>
  <si>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</si>
  <si>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</si>
  <si>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</si>
  <si>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</si>
  <si>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</si>
  <si>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</si>
  <si>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</si>
  <si>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</si>
  <si>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</si>
  <si>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</si>
  <si>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</si>
  <si>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</si>
  <si>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</si>
  <si>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</si>
  <si>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</si>
  <si>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</si>
  <si>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</si>
  <si>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</si>
  <si>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</si>
  <si>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</si>
  <si>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</si>
  <si>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</si>
  <si>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</si>
  <si>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</si>
  <si>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</si>
  <si>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</si>
  <si>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</si>
  <si>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</si>
  <si>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</si>
  <si>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</si>
  <si>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</si>
  <si>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</si>
  <si>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</si>
  <si>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</si>
  <si>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</si>
  <si>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</si>
  <si>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</si>
  <si>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</si>
  <si>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</si>
  <si>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</si>
  <si>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</si>
  <si>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</si>
  <si>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</si>
  <si>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</si>
  <si>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</si>
  <si>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</si>
  <si>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</si>
  <si>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</si>
  <si>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</si>
  <si>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</si>
  <si>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</si>
  <si>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</si>
  <si>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</si>
  <si>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</si>
  <si>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</si>
  <si>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</si>
  <si>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</si>
  <si>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</si>
  <si>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</si>
  <si>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</si>
  <si>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</si>
  <si>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</si>
  <si>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</si>
  <si>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</si>
  <si>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</si>
  <si>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</si>
  <si>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</si>
  <si>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</si>
  <si>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</si>
  <si>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</si>
  <si>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</si>
  <si>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</si>
  <si>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</si>
  <si>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</si>
  <si>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</si>
  <si>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</si>
  <si>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</si>
  <si>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</si>
  <si>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</si>
  <si>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</si>
  <si>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</si>
  <si>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</si>
  <si>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</si>
  <si>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</si>
  <si>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</si>
  <si>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</si>
  <si>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</si>
  <si>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</si>
  <si>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</si>
  <si>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</si>
  <si>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</si>
  <si>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</si>
  <si>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</si>
  <si>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</si>
  <si>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</si>
  <si>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</si>
  <si>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</si>
  <si>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</si>
  <si>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</si>
  <si>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</si>
  <si>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</si>
  <si>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</si>
  <si>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</si>
  <si>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</si>
  <si>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</si>
  <si>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</si>
  <si>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</si>
  <si>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</si>
  <si>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</si>
  <si>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</si>
  <si>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</si>
  <si>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</si>
  <si>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</si>
  <si>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</si>
  <si>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</si>
  <si>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</si>
  <si>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</si>
  <si>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</si>
  <si>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</si>
  <si>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</si>
  <si>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</si>
  <si>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</si>
  <si>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</si>
  <si>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</si>
  <si>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</si>
  <si>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</si>
  <si>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</si>
  <si>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</si>
  <si>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</si>
  <si>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</si>
  <si>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</si>
  <si>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</si>
  <si>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</si>
  <si>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</si>
  <si>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</si>
  <si>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</si>
  <si>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</si>
  <si>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</si>
  <si>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</si>
  <si>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</si>
  <si>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</si>
  <si>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</si>
  <si>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</si>
  <si>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</si>
  <si>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</si>
  <si>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</si>
  <si>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</si>
  <si>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varchar(1)</t>
  </si>
  <si>
    <t>varchar(50)</t>
  </si>
  <si>
    <t>RENBAN</t>
  </si>
  <si>
    <t>LOT_NO</t>
  </si>
  <si>
    <t>CONTAINER_NO</t>
  </si>
  <si>
    <t>STATUS</t>
  </si>
  <si>
    <t>datetime2(7)</t>
  </si>
  <si>
    <t>varchar(20)</t>
  </si>
  <si>
    <t>WORKING_DATE</t>
  </si>
  <si>
    <t>SHIFT_NO</t>
  </si>
  <si>
    <t>varchar(10)</t>
  </si>
  <si>
    <t>DEVANNING_DOCK</t>
  </si>
  <si>
    <t>PLAN_DEVANNING_DATE</t>
  </si>
  <si>
    <t>ACT_DEVANNING_DATE</t>
  </si>
  <si>
    <t>ACT_DEVANNING_DATE_FINISHED</t>
  </si>
  <si>
    <t>DEVANNING_TYPE</t>
  </si>
  <si>
    <t>DEV_LEADTIME</t>
  </si>
  <si>
    <t>PLAN_DEVANNING_LINE_OFF</t>
  </si>
  <si>
    <t>SORTING_STATUS</t>
  </si>
  <si>
    <t>LogW.Dvn</t>
  </si>
  <si>
    <t>LgwDvnContList</t>
  </si>
  <si>
    <t>ContList</t>
  </si>
  <si>
    <t>LogW Devanning Container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</si>
</sst>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36" workbookViewId="0">
      <selection activeCell="F47" sqref="F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vovina.LogW.Dvn
{
	[Table("LgwDvnContList")]
	[Index(nameof(ContainerNo), Name="IX_LgwDvnContList_ContainerNo")]
	[Index(nameof(Renban), Name="IX_LgwDvnContList_Renban")]
	[Index(nameof(SupplierNo), Name="IX_LgwDvnContList_SupplierNo")]
	[Index(nameof(IsActive), Name="IX_LgwDvnContList_IsActive")]	public class LgwDvnContList: FullAuditedEntity&lt;long&gt;, IEntity&lt;long&gt;	
	{
		public const int MaxContainerNoLength = 50;
		public const int MaxRenbanLength = 50;
		public const int MaxSupplierNoLength = 50;
		public const int MaxLotNoLength = 20;
		public const int MaxShiftNoLength = 10;
		public const int MaxDevanningDockLength = 10;
		public const int MaxDevanningTypeLength = 10;
		public const int MaxStatusLength = 50;
		public const int MaxSortingStatusLength = 10;
		public const int MaxIsActiveLength = 1;
		[StringLength(MaxContainerNoLength)]
		public virtual string ContainerNo { get; set; }
		[StringLength(MaxRenbanLength)]
		public virtual string Renban { get; set; }
		[StringLength(MaxSupplierNoLength)]
		public virtual string SupplierNo { get; set; }
		[StringLength(MaxLotNoLength)]
		public virtual string LotNo { get; set; }
		[Column(TypeName="date")]
		public virtual DateTime WorkingDate { get; set; }
		[StringLength(MaxShiftNoLength)]
		public virtual string ShiftNo { get; set; }
		[StringLength(MaxDevanningDockLength)]
		public virtual string DevanningDock { get; set; }
		[Column(TypeName="datetime2(7)")]
		public virtual DateTime PlanDevanningDate { get; set; }
		[Column(TypeName="datetime2(7)")]
		public virtual DateTime ActDevanningDate { get; set; }
		[Column(TypeName="datetime2(7)")]
		public virtual DateTime ActDevanningDateFinished { get; set; }
		[StringLength(MaxDevanningTypeLength)]
		public virtual string DevanningType { get; set; }
		[StringLength(MaxStatusLength)]
		public virtual string Status { get; set; }
		public virtual int DevLeadtime { get; set; }
		public virtual int PlanDevanningLineOff { get; set; }
		[StringLength(MaxSortingStatusLength)]
		public virtual string SortingStatus { get; set; }
		[StringLength(MaxIsActiveLength)]
		public virtual string IsActive { get; set; }
	}
}
</v>
      </c>
      <c r="D47" s="51" t="str">
        <f>A.Backend!O7</f>
        <v xml:space="preserve">		public const string Pages_LogW_Dvn_ContList = "Pages.LogW.Dvn.ContList";
		public const string Pages_LogW_Dvn_ContList_CreateEdit = "Pages.LogW.Dvn.ContList.CreateEdit";
		public const string Pages_LogW_Dvn_ContList_Delete = "Pages.LogW.Dvn.ContList.Delete";
</v>
      </c>
      <c r="E47" s="51" t="str">
        <f>A.Backend!N7</f>
        <v xml:space="preserve">		var perLgwDvnContList = PARENTS.CreateChildPermission(AppPermissions.Pages_LogW_Dvn_ContList, L( "LogWDvnContList"));
		perLgwDvnContList.CreateChildPermission(AppPermissions.Pages_LogW_Dvn_ContList_CreateEdit, L( "LogWDvnContListCreateEdit"));
		perLgwDvnContList.CreateChildPermission(AppPermissions.Pages_LogW_Dvn_ContList_Delete, L( "LogWDvnContListDelete"));</v>
      </c>
      <c r="F47" s="51" t="str">
        <f>A.Backend!K7</f>
        <v>public virtual DbSet&lt;LgwDvnContList&gt; LgwDvnContLists { get; set; }</v>
      </c>
      <c r="G47" s="51" t="str">
        <f ca="1">A.Backend!L7</f>
        <v xml:space="preserve">namespace vovina.LogW.Dvn
{
	public class LgwDvnContListConsts	
	{
		public const int MaxContainerNoLength = 50;
		public const int MaxRenbanLength = 50;
		public const int MaxSupplierNoLength = 50;
		public const int MaxLotNoLength = 20;
		public const int MaxShiftNoLength = 10;
		public const int MaxDevanningDockLength = 10;
		public const int MaxDevanningTypeLength = 10;
		public const int MaxStatusLength = 50;
		public const int MaxSortingStatusLength = 10;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vovina.LogW.Dvn.Dto
{
	public class LgwDvnContListDto : EntityDto&lt;long?&gt;	
	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	public class CreateOrEditLgwDvnContListDto : EntityDto&lt;long?&gt;	
	{
		[StringLength(LgwDvnContListConsts.MaxContainerNoLength)]
		public virtual string ContainerNo { get; set; }
		[StringLength(LgwDvnContListConsts.MaxRenbanLength)]
		public virtual string Renban { get; set; }
		[StringLength(LgwDvnContListConsts.MaxSupplierNoLength)]
		public virtual string SupplierNo { get; set; }
		[StringLength(LgwDvnContListConsts.MaxLotNoLength)]
		public virtual string LotNo { get; set; }
		public virtual DateTime? WorkingDate { get; set; }
		[StringLength(LgwDvnContListConsts.MaxShiftNoLength)]
		public virtual string ShiftNo { get; set; }
		[StringLength(LgwDvnContListConsts.MaxDevanningDockLength)]
		public virtual string DevanningDock { get; set; }
		public virtual DateTime? PlanDevanningDate { get; set; }
		public virtual DateTime? ActDevanningDate { get; set; }
		public virtual DateTime? ActDevanningDateFinished { get; set; }
		[StringLength(LgwDvnContListConsts.MaxDevanningTypeLength)]
		public virtual string DevanningType { get; set; }
		[StringLength(LgwDvnContListConsts.MaxStatusLength)]
		public virtual string Status { get; set; }
		public virtual int DevLeadtime { get; set; }
		public virtual int PlanDevanningLineOff { get; set; }
		[StringLength(LgwDvnContListConsts.MaxSortingStatusLength)]
		public virtual string SortingStatus { get; set; }
		[StringLength(LgwDvnContListConsts.MaxIsActiveLength)]
		public virtual string IsActive { get; set; }
	}
	public class GetLgwDvnContListInput : PagedAndSortedResultRequestDto	
	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vovina.LogW.Dvn.Dto
{
	public class LgwDvnContListExportInput{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vovina.LogW.Dvn.Dto;
namespace vovina.LogW.Dvn
{
	public interface ILgwDvnContListAppService : IApplicationService
	{
		Task&lt;PagedResultDto&lt;LgwDvnContListDto&gt;&gt; GetAll(GetLgwDvnContListInput input);
		Task CreateOrEdit(CreateOrEditLgwDvnContListDto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vovina.LogW.Dvn.Dto;
namespace vovina.LogW.Dvn.Exporting
{
	public interface ILgwDvnContListExcelExporter : IApplicationService
	{
		FileDto ExportToFile(List&lt;LgwDvnContListDto&gt; lgwdvncontlist);
	}
}
</v>
      </c>
      <c r="L47" s="51" t="str">
        <f ca="1">A.Backend!T7</f>
        <v>using System.Collections.Generic;
using vovina.DataExporting.Excel.NPOI;
using vovina.Dto;
using vovina.LogW.Dvn.Exporting;
using vovina.LogW.Dvn.Dto;
using vovina.Storage;
using vovina.LogW.Dvn.Dto;
namespace vovina.LogW.Dvn.Exporting
{
    public class LgwDvnContListExcelExporter : NpoiExcelExporterBase, ILgwDvnContListExcelExporter
    {
        public LgwDvnContListExcelExporter(ITempFileCacheManager tempFileCacheManager) : base(tempFileCacheManager) { }
        public FileDto ExportToFile(List&lt;LgwDvnContListDto&gt; contlist)
        {
            return CreateExcelPackage(
				"LogWDvnContList.xlsx",
				excelPackage =&gt;
				 {
					var sheet = excelPackage.CreateSheet("ContList");
					AddHeader(
								sheet,
								("ContainerNo"),
								("Renban"),
								("SupplierNo"),
								("LotNo"),
								("WorkingDate"),
								("ShiftNo"),
								("DevanningDock"),
								("PlanDevanningDate"),
								("ActDevanningDate"),
								("ActDevanningDateFinished"),
								("DevanningType"),
								("Status"),
								("DevLeadtime"),
								("PlanDevanningLineOff"),
								("SortingStatus"),
								("IsActive"),
							   );
					AddObjects(
						 sheet, 1, contlist,                                       
								_ =&gt; _.ContainerNo,
								_ =&gt; _.Renban,
								_ =&gt; _.SupplierNo,
								_ =&gt; _.LotNo,
								_ =&gt; _.WorkingDate,
								_ =&gt; _.ShiftNo,
								_ =&gt; _.DevanningDock,
								_ =&gt; _.PlanDevanningDate,
								_ =&gt; _.ActDevanningDate,
								_ =&gt; _.ActDevanningDateFinished,
								_ =&gt; _.DevanningType,
								_ =&gt; _.Status,
								_ =&gt; _.DevLeadtime,
								_ =&gt; _.PlanDevanningLineOff,
								_ =&gt; _.SortingStatus,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vovina.LogW.Dvn.Dto;
using vovina.LogW.Dvn.Exporting;
namespace vovina.LogW.Dvn
{
    [AbpAuthorize(AppPermissions.Pages_LogW_Dvn_ContList)]
    public class LgwDvnContListAppService : vovinaAppServiceBase, ILgwDvnContListAppService
    {
        private readonly IDapperRepository&lt;LgwDvnContList, long&gt; _dapperRepo;
        private readonly IRepository&lt;LgwDvnContList, long&gt; _repo;
        private readonly ILgwDvnContListExcelExporter _calendarListExcelExporter;
        public LgwDvnContListAppService(IRepository&lt;LgwDvnContList,long&gt; repo, 
                                         IDapperRepository&lt;LgwDvnContList,long&gt; dapperRepo,
                                        ILgwDvnContListExcelExporter calendarListExcelExporter
            )
        {
            _repo = repo;
            _dapperRepo = dapperRepo;
            _calendarListExcelExporter = calendarListExcelExporter;
        }
        [AbpAuthorize(AppPermissions.Pages_LogW_Dvn_ContList_CreateEdit)]
        public async Task CreateOrEdit(CreateOrEditLgwDvnContListDto input)
        {
            if (input.Id == null) await Create(input);
            else await Update(input);
        }
        //CREATE
        private async Task Create(CreateOrEditLgwDvnContListDto input)
        {          
            var mainObj = ObjectMapper.Map&lt;LgwDvnContList&gt;(input);
            await CurrentUnitOfWork.GetDbContext&lt;vovinaDbContext&gt;().AddAsync(mainObj);
        }
        // EDIT
        private async Task Update(CreateOrEditLgwDvnContListDto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[AbpAuthorize(AppPermissions.Pages_LogW_Dvn_ContList_Delete)]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Task&lt;PagedResultDto&lt;LgwDvnContListDto&gt;&gt; GetAll(GetLgwDvnContListInput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.WhereIf(!string.IsNullOrWhiteSpace(input.LotNo), e =&gt; e.LotNo.Contains(input.LotNo))
				.WhereIf(input.WorkingDate.HasValue, t =&gt; t.WorkingDate == input.WorkingDate.Value)
				.WhereIf(!string.IsNullOrWhiteSpace(input.ShiftNo), e =&gt; e.ShiftNo.Contains(input.ShiftNo))
				.WhereIf(!string.IsNullOrWhiteSpace(input.DevanningDock), e =&gt; e.DevanningDock.Contains(input.DevanningDock))
				.WhereIf(input.PlanDevanningDate.HasValue, t =&gt; t.PlanDevanningDate == input.PlanDevanningDate.Value)
				.WhereIf(input.ActDevanningDate.HasValue, t =&gt; t.ActDevanningDate == input.ActDevanningDate.Value)
				.WhereIf(input.ActDevanningDateFinished.HasValue, t =&gt; t.ActDevanningDateFinished == input.ActDevanningDateFinished.Value)
				.WhereIf(!string.IsNullOrWhiteSpace(input.DevanningType), e =&gt; e.DevanningType.Contains(input.DevanningType))
				.WhereIf(!string.IsNullOrWhiteSpace(input.Status), e =&gt; e.Status.Contains(input.Status))
				.WhereIf(!string.IsNullOrWhiteSpace(input.SortingStatus), e =&gt; e.SortingStatus.Contains(input.SortingStatus))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LgwDvnContListDto
                        {
							Id = o.Id,
							ContainerNo = o.ContainerNo,
							Renban = o.Renban,
							SupplierNo = o.SupplierNo,
							LotNo = o.LotNo,
							WorkingDate = o.WorkingDate,
							ShiftNo = o.ShiftNo,
							DevanningDock = o.DevanningDock,
							PlanDevanningDate = o.PlanDevanningDate,
							ActDevanningDate = o.ActDevanningDate,
							ActDevanningDateFinished = o.ActDevanningDateFinished,
							DevanningType = o.DevanningType,
							Status = o.Status,
							DevLeadtime = o.DevLeadtime,
							PlanDevanningLineOff = o.PlanDevanningLineOff,
							SortingStatus = o.SortingStatus,
							IsActive = o.IsActive,
                        };
            var totalCount = await filtered.CountAsync();
			var paged = system.PageBy(input);
            return new PagedResultDto&lt;LgwDvnContListDto&gt;(
                totalCount,
                 await paged.ToListAsync()
            );
        }
        public async Task&lt;FileDto&gt; GetContListToExcel(LgwDvnContListExportInput input)
        {
            var query = from o in _repo.GetAll()
                        select new LgwDvnContListDto
                        {
							Id = o.Id,
							ContainerNo = o.ContainerNo,
							Renban = o.Renban,
							SupplierNo = o.SupplierNo,
							LotNo = o.LotNo,
							WorkingDate = o.WorkingDate,
							ShiftNo = o.ShiftNo,
							DevanningDock = o.DevanningDock,
							PlanDevanningDate = o.PlanDevanningDate,
							ActDevanningDate = o.ActDevanningDate,
							ActDevanningDateFinished = o.ActDevanningDateFinished,
							DevanningType = o.DevanningType,
							Status = o.Status,
							DevLeadtime = o.DevLeadtime,
							PlanDevanningLineOff = o.PlanDevanningLineOff,
							SortingStatus = o.SortingStatus,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_dapperRepo.ExecuteAsync(LgwDvnContListConsts.SP_MST_WPT_CALENDAR_GENERATE);
       // }
    }
}</v>
      </c>
      <c r="N47" s="62" t="str">
        <f>A.Backend!U7</f>
        <v xml:space="preserve">  configuration.CreateMap&lt;LgwDvnContListDto, LgwDvnContList&gt;();
  configuration.CreateMap&lt;LgwDvnContList, LgwDvnContListDto&gt;();
  configuration.CreateMap&lt;CreateOrEditLgwDvnContListDto, LgwDvnContList&gt;();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contlist</v>
      </c>
      <c r="C52" s="72" t="str">
        <f>"create folder " &amp;B52</f>
        <v>create folder contlist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contlist.component.ts</v>
      </c>
      <c r="D53" s="31" t="str">
        <f>B.Frontend!I14</f>
        <v>contlist.component.html</v>
      </c>
      <c r="E53" s="31" t="str">
        <f>B.Frontend!J14</f>
        <v>contlist.component.less</v>
      </c>
      <c r="F53" s="31" t="str">
        <f>B.Frontend!K14</f>
        <v>create-or-edit-contlist-modal.component.html</v>
      </c>
      <c r="G53" s="31" t="str">
        <f>B.Frontend!L14</f>
        <v>create-or-edit-contlist-modal.component.ts</v>
      </c>
      <c r="H53" s="31" t="str">
        <f>B.Frontend!M14</f>
        <v>create-or-edit-contlist-modal.component.less</v>
      </c>
      <c r="I53" s="31" t="str">
        <f>B.Frontend!N14</f>
        <v>contlist.module.ts</v>
      </c>
      <c r="J53" s="31" t="str">
        <f>B.Frontend!O14</f>
        <v>contlist-routing.module.ts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LgwDvnContListDto, LgwDvnContListServiceProxy } from '@shared/service-proxies/service-proxies';
import { finalize } from 'rxjs/internal/operators/finalize';
import { CreateOrEditContListModalComponent } from './create-or-edit-contlist-modal.component';
import { DatePipe } from '@angular/common';
import { FileDownloadService } from '@shared/utils/file-download.service';
import ceil from 'lodash-es/ceil';
import { Paginator } from 'primeng/paginator';
@Component({
    templateUrl: './contlist.component.html',
    styleUrls: ['./contlist.component.less'],
})
export class ContListComponent extends AppComponentBase implements OnInit {
    @ViewChild('createOrEditModalContList', { static: true }) createOrEditModalContList:| CreateOrEditContListModalComponent|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LgwDvnContListDto = new LgwDvnContListDto();
    saveSelectedRow: LgwDvnContListDto = new LgwDvnContListDto();
    datas: LgwDvnContListDto = new LgwDvnContListDto();
    isLoading: boolean = false;
    dataParams: GridParams | undefined;
    rowData: any[] = [];
    gridApi!: GridApi;
    rowSelection = 'multiple';
    filter: string = '';
	pipe = new DatePipe('en-US');
	frameworkComponents: FrameworkComponent;
    containerNo : string = '' ; 
	renban : string = '' ; 
	supplierNo : string = '' ; 
	lotNo : string = '' ; 
	workingDate : any ;
shiftNo : string = '' ; 
	devanningDock : string = '' ; 
	planDevanningDate : any ;
	actDevanningDate : any ;
	actDevanningDateFinished : any ;
devanningType : string = '' ; 
	status : string = '' ; 
	devLeadtime : number = 0 ;
	planDevanningLineOff : number = 0 ;
	sortingStatus : string = '' ; 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LgwDvnContListServiceProxy,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this.l('Lot No'),headerTooltip: this.l('Lot No'),field: 'lotNo',flex: 1},
			{headerName: this.l('Working Date'),headerTooltip: this.l('Working Date'),field: 'workingDate',valueGetter: (params) =&gt; this.pipe.transform(params.data?.workingDate, 'dd/MM/yyyy'),flex: 1},
			{headerName: this.l('Shift No'),headerTooltip: this.l('Shift No'),field: 'shiftNo',flex: 1},
			{headerName: this.l('Devanning Dock'),headerTooltip: this.l('Devanning Dock'),field: 'devanningDock',flex: 1},
			{headerName: this.l('Plan Devanning Date'),headerTooltip: this.l('Plan Devanning Date'),field: 'planDevanningDate',valueGetter: (params) =&gt; this.pipe.transform(params.data?.planDevanningDate, 'dd/MM/yyyy'),flex: 1},
			{headerName: this.l('Act Devanning Date'),headerTooltip: this.l('Act Devanning Date'),field: 'actDevanningDate',valueGetter: (params) =&gt; this.pipe.transform(params.data?.actDevanningDate, 'dd/MM/yyyy'),flex: 1},
			{headerName: this.l('Act Devanning Date Finished'),headerTooltip: this.l('Act Devanning Date Finished'),field: 'actDevanningDateFinished',valueGetter: (params) =&gt; this.pipe.transform(params.data?.actDevanningDateFinished, 'dd/MM/yyyy'),flex: 1},
			{headerName: this.l('Devanning Type'),headerTooltip: this.l('Devanning Type'),field: 'devanningType',flex: 1},
			{headerName: this.l('Status'),headerTooltip: this.l('Status'),field: 'status',flex: 1},
			{headerName: this.l('Dev Leadtime'),headerTooltip: this.l('Dev Leadtime'),field: 'devLeadtime',flex: 1},
			{headerName: this.l('Plan Devanning Line Off'),headerTooltip: this.l('Plan Devanning Line Off'),field: 'planDevanningLineOff',flex: 1},
			{headerName: this.l('Sorting Status'),headerTooltip: this.l('Sorting Status'),field: 'sortingStatus',flex: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this.containerNo = '',
		this.renban = '',
		this.supplierNo = '',
		this.lotNo = '',
		this.workingDate = '',
this.shiftNo = '',
		this.devanningDock = '',
		this.planDevanningDate = '',
		this.actDevanningDate = '',
		this.actDevanningDateFinished = '',
this.devanningType = '',
		this.status = '',
		this.devLeadtime = 0,
		this.planDevanningLineOff = 0,
		this.sortingStatus = '',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			'',
            this.paginationParams.skipCount,
            this.paginationParams.pageSize
        );
    }
    onChangeRowSelection(params: { api: { getSelectedRows: () =&gt; LgwDvnContListDto[] } }) {
        this.saveSelectedRow = params.api.getSelectedRows()[0] ?? new LgwDvnContListDto();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LgwDvnContListDto):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this._service.getContListToExcel(
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Devanning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[(ngModel)]='shiftNo' name='shiftNo'
									class='form-control' [placeholder]="l('Shift No')"
									type='text' (keyup.enter)='searchDatas()'&gt;
								&lt;/div&gt;
								&lt;div class='input-search'&gt;
									&lt;input [(ngModel)]='devanningDock' name='devanningDock'
									class='form-control' [placeholder]="l('Devanning Dock')"
									type='text' (keyup.enter)='searchDatas()'&gt;
								&lt;/div&gt;
								&lt;div class='input-search'&gt;
									&lt;input type='text' [placeholder]="l('Plan Devanning Date')" [(ngModel)]='planDevanningDate' 
									name='planDevanningDate'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Date')" [(ngModel)]='actDevanningDate' 
									name='actDevanningDate'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 Finished')" [(ngModel)]='actDevanningDateFinished' 
									name='actDevanningDateFinished'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[(ngModel)]='devanningType' name='devanningType'
									class='form-control' [placeholder]="l('Devanning 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&lt;create-or-edit-contlist-modal
    #createOrEditModalContList
    (modalSave)="callBackDataGrid(dataParams)"
    (modalClose)="onChangeRowSelection(dataParams)"
&gt;
&lt;/create-or-edit-contlist-modal&gt;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#createOrEditModalContList="bs-modal"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ContList')}}&lt;/h3&gt;
                    &lt;h3 *ngIf="!rowdata.id"&gt;{{('Create New ContList')}}&lt;/h3&gt;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 No&lt;/label&gt;
						&lt;input type='text' class='col-md-10 form-control input-text' name='ShiftNo' [(ngModel)]='rowdata.shiftNo'&gt;
					&lt;/div&gt;
					&lt;div class='col-md-12 form-group row'&gt;
						&lt;label class='col-md-2 form-control title'&gt;Devanning Dock&lt;/label&gt;
						&lt;input type='text' class='col-md-10 form-control input-text' name='DevanningDock' [(ngModel)]='rowdata.devanningDock'&gt;
					&lt;/div&gt;
					&lt;div class='col-md-12 form-group row'&gt;
						&lt;label class='col-md-2 form-control title'&gt;Plan Devanning Date&lt;/label&gt;
						&lt;input type='text' class='col-md-10 form-control input-text' name='planDevanningDate' 
						#datepicker='bsDatepicker' [(ngModel)]='rowdata.planDevanningDate'  bsDatepicker &gt;
					&lt;/div&gt;
					&lt;div class='col-md-12 form-group row'&gt;
						&lt;label class='col-md-2 form-control title'&gt;Act Devanning Date&lt;/label&gt;
						&lt;input type='text' class='col-md-10 form-control input-text' name='actDevanningDate' 
						#datepicker='bsDatepicker' [(ngModel)]='rowdata.actDevanningDate'  bsDatepicker &gt;
					&lt;/div&gt;
					&lt;div class='col-md-12 form-group row'&gt;
						&lt;label class='col-md-2 form-control title'&gt;Act Devanning Date Finished&lt;/label&gt;
						&lt;input type='text' class='col-md-10 form-control input-text' name='actDevanningDateFinished' 
						#datepicker='bsDatepicker' [(ngModel)]='rowdata.actDevanningDateFinished'  bsDatepicker &gt;
					&lt;/div&gt;
					&lt;div class='col-md-12 form-group row'&gt;
						&lt;label class='col-md-2 form-control title'&gt;Devanning Type&lt;/label&gt;
						&lt;input type='text' class='col-md-10 form-control input-text' name='DevanningType' [(ngModel)]='rowdata.devanningType'&gt;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title'&gt;Plan Devanning Line Off&lt;/label&gt;
						&lt;input type='number' class='col-md-10 form-control input-text' name='PlanDevanningLineOff' [(ngModel)]='rowdata.planDevanningLineOff'&gt;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CreateOrEditLgwDvnContListDto, LgwDvnContListServiceProxy } from '@shared/service-proxies/service-proxies';
import { BsDatepickerDirective } from 'ngx-bootstrap/datepicker';
@Component({
    selector: 'create-or-edit-contlist-modal',
    templateUrl: './create-or-edit-contlist-modal.component.html',
    styleUrls: ['./create-or-edit-contlist-modal.component.less']
    })
export class CreateOrEditContListModalComponent extends AppComponentBase {
    @ViewChild('createOrEditModalContList',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CreateOrEditLgwDvnContListDto = new CreateOrEditLgwDvnContListDto();
    active: boolean = false;
    saving: boolean = false;
    _isActive: boolean;
    constructor(
        injector: Injector,
        private _mstwptContListService: LgwDvnContListServiceProxy,
    ) 
    {
        super(injector);
    }
    show(rowdata?: CreateOrEditLgwDvnContListDto): void {
        if (!rowdata) this.rowdata = new CreateOrEditLgwDvnContListDto();
        else this.rowdata = rowdata;
		const dateValue =  this.rowdata.workingDate ? new Date(this.rowdata.workingDate?.toString()) : new Date();
		this.datepicker?.bsValueChange.emit(dateValue);
		const dateValue =  this.rowdata.planDevanningDate ? new Date(this.rowdata.planDevanningDate?.toString()) : new Date();
		this.datepicker?.bsValueChange.emit(dateValue);
		const dateValue =  this.rowdata.actDevanningDate ? new Date(this.rowdata.actDevanningDate?.toString()) : new Date();
		this.datepicker?.bsValueChange.emit(dateValue);
		const dateValue =  this.rowdata.actDevanningDateFinished ? new Date(this.rowdata.actDevanningDateFinished?.toString())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ContListRoutingModule } from './contlist-routing.module';
import { ContListComponent } from './contlist.component';
import { CreateOrEditContListModalComponent } from './create-or-edit-contlist-modal.component';
@NgModule({
    declarations: [
       ContListComponent, 
        CreateOrEditContListModalComponent
    ],
    imports: [
        AppSharedModule, ContListRoutingModule]
})
export class ContListModule {}</v>
      </c>
      <c r="J54" s="49" t="str">
        <f>B.Frontend!O10</f>
        <v>import {NgModule} from '@angular/core';
import {RouterModule, Routes} from '@angular/router';
import { ContListComponent } from './contlist.component';
const routes: Routes = [{
    path: '',
    component: ContListComponent,
    pathMatch: 'full'
}];
@NgModule({
    imports: [RouterModule.forChild(routes)],
    exports: [RouterModule],
})
export class ContListRoutingModule {}</v>
      </c>
      <c r="K54" s="49" t="str">
        <f>B.Frontend!P10</f>
        <v xml:space="preserve"> new AppMenuItem("ContList", "Pages.LogW.Dvn.ContList", "flaticon-book",   "/app/main/logw/dvn/contlist"),</v>
      </c>
      <c r="L54" s="50" t="str">
        <f>B.Frontend!Q10</f>
        <v>{
    path: 'logw/dvn/contlist',
    loadChildren: () =&gt; import('./logw/dvn/contlist/contlist.module').then(m =&gt; m.ContListModule),
    data: { permission: 'Pages.LogW.Dvn.ContList' }
},</v>
      </c>
      <c r="M54" s="48" t="str">
        <f>B.Frontend!R10</f>
        <v>ApiServiceProxies.LgwDvnContListServiceProxy,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6"/>
  <sheetViews>
    <sheetView tabSelected="1" workbookViewId="0">
      <pane xSplit="1" topLeftCell="B1" activePane="topRight" state="frozen"/>
      <selection pane="topRight" activeCell="K24" sqref="K2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vovina.LogW.Dvn.Dto;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323</v>
      </c>
      <c r="C3" s="10" t="s">
        <v>43</v>
      </c>
      <c r="D3" s="10" t="s">
        <v>44</v>
      </c>
      <c r="E3" s="10" t="s">
        <v>39</v>
      </c>
      <c r="F3" s="11" t="str">
        <f>"J"&amp;COUNTA($A:$A)</f>
        <v>J24</v>
      </c>
      <c r="G3" s="4" t="s">
        <v>57</v>
      </c>
      <c r="H3" s="10" t="str">
        <f>"I"&amp;COUNTA($A:$A)</f>
        <v>I24</v>
      </c>
      <c r="I3" s="10" t="str">
        <f>REPT(CHAR(9),2)&amp;"[Required]"&amp;"
"</f>
        <v xml:space="preserve">		[Required]
</v>
      </c>
      <c r="J3" s="11" t="str">
        <f>"L"&amp;COUNTA($A:$A)</f>
        <v>L24</v>
      </c>
      <c r="K3" s="5" t="s">
        <v>56</v>
      </c>
      <c r="L3" s="11" t="str">
        <f>"M"&amp;COUNTA($A:$A)</f>
        <v>M24</v>
      </c>
      <c r="M3" s="11" t="str">
        <f>"N"&amp;COUNTA($A:$A)</f>
        <v>N24</v>
      </c>
      <c r="N3" s="11" t="str">
        <f>"O"&amp;COUNTA($A:$A)</f>
        <v>O24</v>
      </c>
      <c r="O3" s="11" t="str">
        <f>"P"&amp;COUNTA($A:$A)</f>
        <v>P24</v>
      </c>
      <c r="Q3" s="11" t="str">
        <f>RIGHT(B2,(LEN(B2)-FIND(".",B2,1)))</f>
        <v>Dvn</v>
      </c>
      <c r="R3" s="32" t="str">
        <f>REPT(CHAR(9),1)&amp;"public class "&amp;B3&amp;"ExportInput"&amp;C3</f>
        <v xml:space="preserve">	public class LgwDvnContListExportInput{
</v>
      </c>
      <c r="S3" s="11" t="str">
        <f>"namespace "&amp;$B$6&amp;".Exporting
"&amp;$C$3</f>
        <v xml:space="preserve">namespace vovina.LogW.Dvn.Exporting
{
</v>
      </c>
      <c r="T3" s="11" t="str">
        <f>"T"&amp;COUNTA($A:$A)</f>
        <v>T24</v>
      </c>
      <c r="V3" s="11" t="str">
        <f>"V"&amp;COUNTA($A:$A)</f>
        <v>V24</v>
      </c>
      <c r="W3" s="10" t="str">
        <f>"W"&amp;COUNTA($A:$A)</f>
        <v>W24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vovina.LogW.Dvn</v>
      </c>
      <c r="C6" s="11" t="str">
        <f>"namespace "&amp;$B$6&amp;"
"&amp;$C$3</f>
        <v xml:space="preserve">namespace vovina.LogW.Dvn
{
</v>
      </c>
      <c r="D6" s="11" t="str">
        <f>REPT(CHAR(9),1)&amp;"public class "&amp;B3&amp;G3&amp;REPT(CHAR(9),1)&amp;"
"&amp;REPT(CHAR(9),1)&amp;C3</f>
        <v xml:space="preserve">	public class LgwDvnContList: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LgwDvnContListConsts	
	{
</v>
      </c>
      <c r="F6" s="11" t="str">
        <f>REPT(CHAR(9),1)&amp;"public class "&amp;B3&amp;"Dto"&amp;K3&amp;REPT(CHAR(9),1)&amp;"
"&amp;REPT(CHAR(9),1)&amp;C3</f>
        <v xml:space="preserve">	public class LgwDvnContListDto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CreateOrEditLgwDvnContListDto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GetLgwDvnContListInput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LgwDvnContList</v>
      </c>
      <c r="C7" s="11" t="str">
        <f>REPT(CHAR(9),1)&amp;"[Table("""&amp;B7&amp;""")]"&amp;"
"</f>
        <v xml:space="preserve">	[Table("LgwDvnContList")]
</v>
      </c>
      <c r="D7" s="11"/>
      <c r="E7" s="11"/>
      <c r="F7" s="11"/>
      <c r="G7" s="11"/>
      <c r="H7" s="11"/>
      <c r="I7" s="11"/>
      <c r="J7" s="6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vovina.LogW.Dvn
{
	[Table("LgwDvnContList")]
	[Index(nameof(ContainerNo), Name="IX_LgwDvnContList_ContainerNo")]
	[Index(nameof(Renban), Name="IX_LgwDvnContList_Renban")]
	[Index(nameof(SupplierNo), Name="IX_LgwDvnContList_SupplierNo")]
	[Index(nameof(IsActive), Name="IX_LgwDvnContList_IsActive")]	public class LgwDvnContList: FullAuditedEntity&lt;long&gt;, IEntity&lt;long&gt;	
	{
		public const int MaxContainerNoLength = 50;
		public const int MaxRenbanLength = 50;
		public const int MaxSupplierNoLength = 50;
		public const int MaxLotNoLength = 20;
		public const int MaxShiftNoLength = 10;
		public const int MaxDevanningDockLength = 10;
		public const int MaxDevanningTypeLength = 10;
		public const int MaxStatusLength = 50;
		public const int MaxSortingStatusLength = 10;
		public const int MaxIsActiveLength = 1;
		[StringLength(MaxContainerNoLength)]
		public virtual string ContainerNo { get; set; }
		[StringLength(MaxRenbanLength)]
		public virtual string Renban { get; set; }
		[StringLength(MaxSupplierNoLength)]
		public virtual string SupplierNo { get; set; }
		[StringLength(MaxLotNoLength)]
		public virtual string LotNo { get; set; }
		[Column(TypeName="date")]
		public virtual DateTime WorkingDate { get; set; }
		[StringLength(MaxShiftNoLength)]
		public virtual string ShiftNo { get; set; }
		[StringLength(MaxDevanningDockLength)]
		public virtual string DevanningDock { get; set; }
		[Column(TypeName="datetime2(7)")]
		public virtual DateTime PlanDevanningDate { get; set; }
		[Column(TypeName="datetime2(7)")]
		public virtual DateTime ActDevanningDate { get; set; }
		[Column(TypeName="datetime2(7)")]
		public virtual DateTime ActDevanningDateFinished { get; set; }
		[StringLength(MaxDevanningTypeLength)]
		public virtual string DevanningType { get; set; }
		[StringLength(MaxStatusLength)]
		public virtual string Status { get; set; }
		public virtual int DevLeadtime { get; set; }
		public virtual int PlanDevanningLineOff { get; set; }
		[StringLength(MaxSortingStatusLength)]
		public virtual string SortingStatus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DbSet&lt;LgwDvnContList&gt; LgwDvnContLists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vovina.LogW.Dvn
{
	public class LgwDvnContListConsts	
	{
		public const int MaxContainerNoLength = 50;
		public const int MaxRenbanLength = 50;
		public const int MaxSupplierNoLength = 50;
		public const int MaxLotNoLength = 20;
		public const int MaxShiftNoLength = 10;
		public const int MaxDevanningDockLength = 10;
		public const int MaxDevanningTypeLength = 10;
		public const int MaxStatusLength = 50;
		public const int MaxSortingStatusLength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vovina.LogW.Dvn.Dto
{
	public class LgwDvnContListDto : EntityDto&lt;long?&gt;	
	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	public class CreateOrEditLgwDvnContListDto : EntityDto&lt;long?&gt;	
	{
		[StringLength(LgwDvnContListConsts.MaxContainerNoLength)]
		public virtual string ContainerNo { get; set; }
		[StringLength(LgwDvnContListConsts.MaxRenbanLength)]
		public virtual string Renban { get; set; }
		[StringLength(LgwDvnContListConsts.MaxSupplierNoLength)]
		public virtual string SupplierNo { get; set; }
		[StringLength(LgwDvnContListConsts.MaxLotNoLength)]
		public virtual string LotNo { get; set; }
		public virtual DateTime? WorkingDate { get; set; }
		[StringLength(LgwDvnContListConsts.MaxShiftNoLength)]
		public virtual string ShiftNo { get; set; }
		[StringLength(LgwDvnContListConsts.MaxDevanningDockLength)]
		public virtual string DevanningDock { get; set; }
		public virtual DateTime? PlanDevanningDate { get; set; }
		public virtual DateTime? ActDevanningDate { get; set; }
		public virtual DateTime? ActDevanningDateFinished { get; set; }
		[StringLength(LgwDvnContListConsts.MaxDevanningTypeLength)]
		public virtual string DevanningType { get; set; }
		[StringLength(LgwDvnContListConsts.MaxStatusLength)]
		public virtual string Status { get; set; }
		public virtual int DevLeadtime { get; set; }
		public virtual int PlanDevanningLineOff { get; set; }
		[StringLength(LgwDvnContListConsts.MaxSortingStatusLength)]
		public virtual string SortingStatus { get; set; }
		[StringLength(LgwDvnContListConsts.MaxIsActiveLength)]
		public virtual string IsActive { get; set; }
	}
	public class GetLgwDvnContListInput : PagedAndSortedResultRequestDto	
	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perLgwDvnContList = PARENTS.CreateChildPermission(AppPermissions.Pages_LogW_Dvn_ContList, L( "LogWDvnContList"));
		perLgwDvnContList.CreateChildPermission(AppPermissions.Pages_LogW_Dvn_ContList_CreateEdit, L( "LogWDvnContListCreateEdit"));
		perLgwDvnContList.CreateChildPermission(AppPermissions.Pages_LogW_Dvn_ContList_Delete, L( "LogWDvnContListDelete"));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Pages_LogW_Dvn_ContList = "Pages.LogW.Dvn.ContList";
		public const string Pages_LogW_Dvn_ContList_CreateEdit = "Pages.LogW.Dvn.ContList.CreateEdit";
		public const string Pages_LogW_Dvn_ContList_Delete = "Pages.LogW.Dvn.ContList.Delete";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vovina.LogW.Dvn.Dto;
namespace vovina.LogW.Dvn
{
	public interface ILgwDvnContListAppService : IApplicationService
	{
		Task&lt;PagedResultDto&lt;LgwDvnContListDto&gt;&gt; GetAll(GetLgwDvnContListInput input);
		Task CreateOrEdit(CreateOrEditLgwDvnContListDto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vovina.LogW.Dvn.Dto;
using vovina.LogW.Dvn.Exporting;
namespace vovina.LogW.Dvn
{
    [AbpAuthorize(AppPermissions.Pages_LogW_Dvn_ContList)]
    public class LgwDvnContListAppService : vovinaAppServiceBase, ILgwDvnContListAppService
    {
        private readonly IDapperRepository&lt;LgwDvnContList, long&gt; _dapperRepo;
        private readonly IRepository&lt;LgwDvnContList, long&gt; _repo;
        private readonly ILgwDvnContListExcelExporter _calendarListExcelExporter;
        public LgwDvnContListAppService(IRepository&lt;LgwDvnContList,long&gt; repo, 
                                         IDapperRepository&lt;LgwDvnContList,long&gt; dapperRepo,
                                        ILgwDvnContListExcelExporter calendarListExcelExporter
            )
        {
            _repo = repo;
            _dapperRepo = dapperRepo;
            _calendarListExcelExporter = calendarListExcelExporter;
        }
        [AbpAuthorize(AppPermissions.Pages_LogW_Dvn_ContList_CreateEdit)]
        public async Task CreateOrEdit(CreateOrEditLgwDvnContListDto input)
        {
            if (input.Id == null) await Create(input);
            else await Update(input);
        }
        //CREATE
        private async Task Create(CreateOrEditLgwDvnContListDto input)
        {          
            var mainObj = ObjectMapper.Map&lt;LgwDvnContList&gt;(input);
            await CurrentUnitOfWork.GetDbContext&lt;vovinaDbContext&gt;().AddAsync(mainObj);
        }
        // EDIT
        private async Task Update(CreateOrEditLgwDvnContListDto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[AbpAuthorize(AppPermissions.Pages_LogW_Dvn_ContList_Delete)]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Task&lt;PagedResultDto&lt;LgwDvnContListDto&gt;&gt; GetAll(GetLgwDvnContListInput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.WhereIf(!string.IsNullOrWhiteSpace(input.LotNo), e =&gt; e.LotNo.Contains(input.LotNo))
				.WhereIf(input.WorkingDate.HasValue, t =&gt; t.WorkingDate == input.WorkingDate.Value)
				.WhereIf(!string.IsNullOrWhiteSpace(input.ShiftNo), e =&gt; e.ShiftNo.Contains(input.ShiftNo))
				.WhereIf(!string.IsNullOrWhiteSpace(input.DevanningDock), e =&gt; e.DevanningDock.Contains(input.DevanningDock))
				.WhereIf(input.PlanDevanningDate.HasValue, t =&gt; t.PlanDevanningDate == input.PlanDevanningDate.Value)
				.WhereIf(input.ActDevanningDate.HasValue, t =&gt; t.ActDevanningDate == input.ActDevanningDate.Value)
				.WhereIf(input.ActDevanningDateFinished.HasValue, t =&gt; t.ActDevanningDateFinished == input.ActDevanningDateFinished.Value)
				.WhereIf(!string.IsNullOrWhiteSpace(input.DevanningType), e =&gt; e.DevanningType.Contains(input.DevanningType))
				.WhereIf(!string.IsNullOrWhiteSpace(input.Status), e =&gt; e.Status.Contains(input.Status))
				.WhereIf(!string.IsNullOrWhiteSpace(input.SortingStatus), e =&gt; e.SortingStatus.Contains(input.SortingStatus))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LgwDvnContListDto
                        {
							Id = o.Id,
							ContainerNo = o.ContainerNo,
							Renban = o.Renban,
							SupplierNo = o.SupplierNo,
							LotNo = o.LotNo,
							WorkingDate = o.WorkingDate,
							ShiftNo = o.ShiftNo,
							DevanningDock = o.DevanningDock,
							PlanDevanningDate = o.PlanDevanningDate,
							ActDevanningDate = o.ActDevanningDate,
							ActDevanningDateFinished = o.ActDevanningDateFinished,
							DevanningType = o.DevanningType,
							Status = o.Status,
							DevLeadtime = o.DevLeadtime,
							PlanDevanningLineOff = o.PlanDevanningLineOff,
							SortingStatus = o.SortingStatus,
							IsActive = o.IsActive,
                        };
            var totalCount = await filtered.CountAsync();
			var paged = system.PageBy(input);
            return new PagedResultDto&lt;LgwDvnContListDto&gt;(
                totalCount,
                 await paged.ToListAsync()
            );
        }
        public async Task&lt;FileDto&gt; GetContListToExcel(LgwDvnContListExportInput input)
        {
            var query = from o in _repo.GetAll()
                        select new LgwDvnContListDto
                        {
							Id = o.Id,
							ContainerNo = o.ContainerNo,
							Renban = o.Renban,
							SupplierNo = o.SupplierNo,
							LotNo = o.LotNo,
							WorkingDate = o.WorkingDate,
							ShiftNo = o.ShiftNo,
							DevanningDock = o.DevanningDock,
							PlanDevanningDate = o.PlanDevanningDate,
							ActDevanningDate = o.ActDevanningDate,
							ActDevanningDateFinished = o.ActDevanningDateFinished,
							DevanningType = o.DevanningType,
							Status = o.Status,
							DevLeadtime = o.DevLeadtime,
							PlanDevanningLineOff = o.PlanDevanningLineOff,
							SortingStatus = o.SortingStatus,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_dapperRepo.ExecuteAsync(LgwDvnContListConsts.SP_MST_WPT_CALENDAR_GENERATE);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vovina.LogW.Dvn.Dto
{
	public class LgwDvnContListExportInput{
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vovina.LogW.Dvn.Dto;
namespace vovina.LogW.Dvn.Exporting
{
	public interface ILgwDvnContListExcelExporter : IApplicationService
	{
		FileDto ExportToFile(List&lt;LgwDvnContListDto&gt; lgwdvncontlist);
	}
}
</v>
      </c>
      <c r="T7" s="28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vovina.LogW.Dvn.Exporting;
using vovina.LogW.Dvn.Dto;
using vovina.Storage;
using vovina.LogW.Dvn.Dto;
namespace vovina.LogW.Dvn.Exporting
{
    public class LgwDvnContListExcelExporter : NpoiExcelExporterBase, ILgwDvnContListExcelExporter
    {
        public LgwDvnContListExcelExporter(ITempFileCacheManager tempFileCacheManager) : base(tempFileCacheManager) { }
        public FileDto ExportToFile(List&lt;LgwDvnContListDto&gt; contlist)
        {
            return CreateExcelPackage(
				"LogWDvnContList.xlsx",
				excelPackage =&gt;
				 {
					var sheet = excelPackage.CreateSheet("ContList");
					AddHeader(
								sheet,
								("ContainerNo"),
								("Renban"),
								("SupplierNo"),
								("LotNo"),
								("WorkingDate"),
								("ShiftNo"),
								("DevanningDock"),
								("PlanDevanningDate"),
								("ActDevanningDate"),
								("ActDevanningDateFinished"),
								("DevanningType"),
								("Status"),
								("DevLeadtime"),
								("PlanDevanningLineOff"),
								("SortingStatus"),
								("IsActive"),
							   );
					AddObjects(
						 sheet, 1, contlist,                                       
								_ =&gt; _.ContainerNo,
								_ =&gt; _.Renban,
								_ =&gt; _.SupplierNo,
								_ =&gt; _.LotNo,
								_ =&gt; _.WorkingDate,
								_ =&gt; _.ShiftNo,
								_ =&gt; _.DevanningDock,
								_ =&gt; _.PlanDevanningDate,
								_ =&gt; _.ActDevanningDate,
								_ =&gt; _.ActDevanningDateFinished,
								_ =&gt; _.DevanningType,
								_ =&gt; _.Status,
								_ =&gt; _.DevLeadtime,
								_ =&gt; _.PlanDevanningLineOff,
								_ =&gt; _.SortingStatus,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configuration.CreateMap&lt;LgwDvnContListDto, LgwDvnContList&gt;();
  configuration.CreateMap&lt;LgwDvnContList, LgwDvnContListDto&gt;();
  configuration.CreateMap&lt;CreateOrEditLgwDvnContListDto, LgwDvnContList&gt;();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304</v>
      </c>
      <c r="C9" t="s">
        <v>1</v>
      </c>
      <c r="D9" t="str">
        <f>SUBSTITUTE(PROPER(A9),"_","")</f>
        <v>ContainerNo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MaxContainerNoLength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[Index(nameof(ContainerNo), Name="IX_LgwDvnContList_ContainerNo")]</v>
      </c>
      <c r="M9" t="str">
        <f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[StringLength(LgwDvnContListConsts.MaxContainerNoLength)]
		public virtual string ContainerNo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:P11" si="4">REPT(CHAR(9),7)&amp;D9&amp;" = o." &amp;D9 &amp;","</f>
        <v xml:space="preserve">							ContainerNo = o.ContainerNo,</v>
      </c>
      <c r="T9" s="69" t="str">
        <f>REPT(CHAR(9),8)&amp;"("""&amp;D9&amp;"""),"</f>
        <v xml:space="preserve">								("ContainerNo"),</v>
      </c>
      <c r="V9" s="70" t="str">
        <f>REPT(CHAR(9),8)&amp;"_ =&gt; _."&amp;D9&amp;","</f>
        <v xml:space="preserve">								_ =&gt; _.ContainerNo,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21" customHeight="1" x14ac:dyDescent="0.25">
      <c r="A10" t="s">
        <v>305</v>
      </c>
      <c r="B10" t="s">
        <v>304</v>
      </c>
      <c r="C10" t="s">
        <v>1</v>
      </c>
      <c r="D10" t="str">
        <f t="shared" ref="D10:D11" si="5">SUBSTITUTE(PROPER(A10),"_","")</f>
        <v>Renban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MaxRenbanLength = 50;
</v>
      </c>
      <c r="J10" t="str">
        <f t="shared" si="3"/>
        <v xml:space="preserve">		[StringLength(MaxRenbanLength)]
		public virtual string Renban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[Index(nameof(Renban), Name="IX_LgwDvnContList_Renban")]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[StringLength(LgwDvnContListConsts.MaxRenbanLength)]
		public virtual string Renban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si="4"/>
        <v xml:space="preserve">							Renban = o.Renban,</v>
      </c>
      <c r="T10" s="69" t="str">
        <f t="shared" ref="T10:T13" si="10">REPT(CHAR(9),8)&amp;"("""&amp;D10&amp;"""),"</f>
        <v xml:space="preserve">								("Renban"),</v>
      </c>
      <c r="V10" s="70" t="str">
        <f t="shared" ref="V10:V13" si="11">REPT(CHAR(9),8)&amp;"_ =&gt; _."&amp;D10&amp;","</f>
        <v xml:space="preserve">								_ =&gt; _.Renban,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25">
      <c r="A11" t="s">
        <v>301</v>
      </c>
      <c r="B11" t="s">
        <v>304</v>
      </c>
      <c r="C11" t="s">
        <v>1</v>
      </c>
      <c r="D11" t="str">
        <f t="shared" si="5"/>
        <v>SupplierNo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MaxSupplierNoLength = 50;
</v>
      </c>
      <c r="J11" t="str">
        <f t="shared" si="3"/>
        <v xml:space="preserve">		[StringLength(MaxSupplierNoLength)]
		public virtual string SupplierNo { get; set; }
</v>
      </c>
      <c r="K11" s="7" t="s">
        <v>206</v>
      </c>
      <c r="L11" t="str">
        <f t="shared" si="6"/>
        <v xml:space="preserve">	[Index(nameof(SupplierNo), Name="IX_LgwDvnContList_SupplierNo")]</v>
      </c>
      <c r="M11" t="str">
        <f t="shared" si="7"/>
        <v xml:space="preserve">		public virtual string SupplierNo { get; set; }
</v>
      </c>
      <c r="N11" t="str">
        <f t="shared" si="8"/>
        <v xml:space="preserve">		[StringLength(LgwDvnContListConsts.MaxSupplierNoLength)]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2.5" customHeight="1" x14ac:dyDescent="0.25">
      <c r="A12" t="s">
        <v>306</v>
      </c>
      <c r="B12" t="s">
        <v>310</v>
      </c>
      <c r="C12" t="s">
        <v>1</v>
      </c>
      <c r="D12" t="str">
        <f>SUBSTITUTE(PROPER(A12),"_","")</f>
        <v>LotNo</v>
      </c>
      <c r="E12" t="str">
        <f t="shared" ref="E12:E13" si="13">IFERROR(LEFT(B12, FIND("(",B12)-1),B12)</f>
        <v>varchar</v>
      </c>
      <c r="F12" s="7"/>
      <c r="G12" t="str">
        <f t="shared" ref="G12:G13" si="14">IFERROR(MID(B12,FIND("(",B12) +1, FIND(")",B12) - FIND("(",B12) - 1),"")</f>
        <v>20</v>
      </c>
      <c r="H12" t="str">
        <f>+VLOOKUP(E12,'Data Type Mapping'!A:B,2,)</f>
        <v>string</v>
      </c>
      <c r="I12" t="str">
        <f t="shared" ref="I12:I13" si="15">IF(H12="string",REPT(CHAR(9),2)&amp;"public const int Max"&amp;D12&amp;"Length = "&amp;G12&amp;";"&amp;$E$3,"" )</f>
        <v xml:space="preserve">		public const int MaxLotNoLength = 20;
</v>
      </c>
      <c r="J12" t="str">
        <f t="shared" ref="J12:J13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[StringLength(MaxLotNoLength)]
		public virtual string LotNo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LotNo { get; set; }
</v>
      </c>
      <c r="N12" t="str">
        <f t="shared" si="8"/>
        <v xml:space="preserve">		[StringLength(LgwDvnContListConsts.MaxLotNoLength)]
		public virtual string LotNo { get; set; }
</v>
      </c>
      <c r="O12" t="str">
        <f t="shared" si="9"/>
        <v xml:space="preserve">		public virtual string LotNo { get; set; }
</v>
      </c>
      <c r="P12" t="str">
        <f t="shared" ref="P12:P13" si="17">REPT(CHAR(9),7)&amp;D12&amp;" = o." &amp;D12 &amp;","</f>
        <v xml:space="preserve">							LotNo = o.LotNo,</v>
      </c>
      <c r="T12" s="69" t="str">
        <f t="shared" si="10"/>
        <v xml:space="preserve">								("LotNo"),</v>
      </c>
      <c r="V12" s="70" t="str">
        <f t="shared" si="11"/>
        <v xml:space="preserve">								_ =&gt; _.LotNo,</v>
      </c>
      <c r="W12" s="69" t="str">
        <f t="shared" si="12"/>
        <v xml:space="preserve">				.WhereIf(!string.IsNullOrWhiteSpace(input.LotNo), e =&gt; e.LotNo.Contains(input.LotNo))</v>
      </c>
    </row>
    <row r="13" spans="1:23" customFormat="1" ht="21" customHeight="1" x14ac:dyDescent="0.25">
      <c r="A13" t="s">
        <v>311</v>
      </c>
      <c r="B13" t="s">
        <v>2</v>
      </c>
      <c r="C13" t="s">
        <v>1</v>
      </c>
      <c r="D13" t="str">
        <f t="shared" ref="D13" si="18">SUBSTITUTE(PROPER(A13),"_","")</f>
        <v>WorkingDate</v>
      </c>
      <c r="E13" t="str">
        <f t="shared" si="13"/>
        <v>date</v>
      </c>
      <c r="F13" s="7" t="s">
        <v>2</v>
      </c>
      <c r="G13" t="str">
        <f t="shared" si="14"/>
        <v/>
      </c>
      <c r="H13" t="str">
        <f>+VLOOKUP(E13,'Data Type Mapping'!A:B,2,)</f>
        <v>DateTime</v>
      </c>
      <c r="I13" t="str">
        <f t="shared" si="15"/>
        <v/>
      </c>
      <c r="J13" t="str">
        <f t="shared" si="16"/>
        <v xml:space="preserve">		[Column(TypeName="date")]
		public virtual DateTime WorkingDate { get; set; }
</v>
      </c>
      <c r="K13" s="7"/>
      <c r="L13" t="str">
        <f t="shared" ref="L13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DateTime? WorkingDate { get; set; }
</v>
      </c>
      <c r="N13" t="str">
        <f t="shared" si="8"/>
        <v xml:space="preserve">		public virtual DateTime? WorkingDate { get; set; }
</v>
      </c>
      <c r="O13" t="str">
        <f t="shared" si="9"/>
        <v xml:space="preserve">		public virtual DateTime? WorkingDate { get; set; }
</v>
      </c>
      <c r="P13" t="str">
        <f t="shared" si="17"/>
        <v xml:space="preserve">							WorkingDate = o.WorkingDate,</v>
      </c>
      <c r="T13" s="69" t="str">
        <f t="shared" si="10"/>
        <v xml:space="preserve">								("WorkingDate"),</v>
      </c>
      <c r="V13" s="70" t="str">
        <f t="shared" si="11"/>
        <v xml:space="preserve">								_ =&gt; _.WorkingDate,</v>
      </c>
      <c r="W13" s="69" t="str">
        <f t="shared" si="12"/>
        <v xml:space="preserve">				.WhereIf(input.WorkingDate.HasValue, t =&gt; t.WorkingDate == input.WorkingDate.Value)</v>
      </c>
    </row>
    <row r="14" spans="1:23" customFormat="1" ht="22.5" customHeight="1" x14ac:dyDescent="0.25">
      <c r="A14" t="s">
        <v>312</v>
      </c>
      <c r="B14" t="s">
        <v>313</v>
      </c>
      <c r="C14" t="s">
        <v>1</v>
      </c>
      <c r="D14" t="str">
        <f>SUBSTITUTE(PROPER(A14),"_","")</f>
        <v>ShiftNo</v>
      </c>
      <c r="E14" t="str">
        <f t="shared" ref="E14:E18" si="20">IFERROR(LEFT(B14, FIND("(",B14)-1),B14)</f>
        <v>varchar</v>
      </c>
      <c r="F14" s="7"/>
      <c r="G14" t="str">
        <f t="shared" ref="G14:G18" si="21">IFERROR(MID(B14,FIND("(",B14) +1, FIND(")",B14) - FIND("(",B14) - 1),"")</f>
        <v>10</v>
      </c>
      <c r="H14" t="str">
        <f>+VLOOKUP(E14,'Data Type Mapping'!A:B,2,)</f>
        <v>string</v>
      </c>
      <c r="I14" t="str">
        <f t="shared" ref="I14:I18" si="22">IF(H14="string",REPT(CHAR(9),2)&amp;"public const int Max"&amp;D14&amp;"Length = "&amp;G14&amp;";"&amp;$E$3,"" )</f>
        <v xml:space="preserve">		public const int MaxShiftNoLength = 10;
</v>
      </c>
      <c r="J14" t="str">
        <f t="shared" ref="J14:J18" si="2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[StringLength(MaxShiftNoLength)]
		public virtual string ShiftNo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ref="M14:M18" si="24">REPT(CHAR(9),2)&amp;"public virtual "&amp;IF(OR(H14="DateTime",H14="TimeSpan"),H14&amp;"?",H14)&amp;IF(C14="?","? "," ")&amp;D14&amp;" { get; set; }" &amp; "
"</f>
        <v xml:space="preserve">		public virtual string ShiftNo { get; set; }
</v>
      </c>
      <c r="N14" t="str">
        <f t="shared" ref="N14:N18" si="25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[StringLength(LgwDvnContListConsts.MaxShiftNoLength)]
		public virtual string ShiftNo { get; set; }
</v>
      </c>
      <c r="O14" t="str">
        <f t="shared" ref="O14:O18" si="26">IF(OR(H14="string",H14="DateTime",H14="int"),REPT(CHAR(9),2)&amp;"public virtual "&amp;IF(OR(H14="DateTime",H14="TimeSpan"),H14&amp;"?",H14)&amp;IF(C14="?","? "," ")&amp;D14&amp;" { get; set; }"&amp;$E$3,"")</f>
        <v xml:space="preserve">		public virtual string ShiftNo { get; set; }
</v>
      </c>
      <c r="P14" t="str">
        <f t="shared" ref="P14:P18" si="27">REPT(CHAR(9),7)&amp;D14&amp;" = o." &amp;D14 &amp;","</f>
        <v xml:space="preserve">							ShiftNo = o.ShiftNo,</v>
      </c>
      <c r="T14" s="69" t="str">
        <f t="shared" ref="T14:T18" si="28">REPT(CHAR(9),8)&amp;"("""&amp;D14&amp;"""),"</f>
        <v xml:space="preserve">								("ShiftNo"),</v>
      </c>
      <c r="V14" s="70" t="str">
        <f t="shared" ref="V14:V18" si="29">REPT(CHAR(9),8)&amp;"_ =&gt; _."&amp;D14&amp;","</f>
        <v xml:space="preserve">								_ =&gt; _.ShiftNo,</v>
      </c>
      <c r="W14" s="69" t="str">
        <f t="shared" ref="W14:W18" si="30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.WhereIf(!string.IsNullOrWhiteSpace(input.ShiftNo), e =&gt; e.ShiftNo.Contains(input.ShiftNo))</v>
      </c>
    </row>
    <row r="15" spans="1:23" customFormat="1" ht="21" customHeight="1" x14ac:dyDescent="0.25">
      <c r="A15" t="s">
        <v>314</v>
      </c>
      <c r="B15" t="s">
        <v>313</v>
      </c>
      <c r="C15" t="s">
        <v>1</v>
      </c>
      <c r="D15" t="str">
        <f t="shared" ref="D15:D16" si="31">SUBSTITUTE(PROPER(A15),"_","")</f>
        <v>DevanningDock</v>
      </c>
      <c r="E15" t="str">
        <f t="shared" si="20"/>
        <v>varchar</v>
      </c>
      <c r="F15" s="7"/>
      <c r="G15" t="str">
        <f t="shared" si="21"/>
        <v>10</v>
      </c>
      <c r="H15" t="str">
        <f>+VLOOKUP(E15,'Data Type Mapping'!A:B,2,)</f>
        <v>string</v>
      </c>
      <c r="I15" t="str">
        <f t="shared" si="22"/>
        <v xml:space="preserve">		public const int MaxDevanningDockLength = 10;
</v>
      </c>
      <c r="J15" t="str">
        <f t="shared" si="23"/>
        <v xml:space="preserve">		[StringLength(MaxDevanningDockLength)]
		public virtual string DevanningDock { get; set; }
</v>
      </c>
      <c r="K15" s="7"/>
      <c r="L15" t="str">
        <f t="shared" ref="L15:L16" si="32">IF(K15="","",REPT(CHAR(9),1)&amp;"[Index(nameof("&amp;IF(D15="","",""&amp;D15)&amp;")"&amp;", Name="&amp;"""IX_"&amp;$B$7&amp;"_"&amp;D15&amp;""")]")</f>
        <v/>
      </c>
      <c r="M15" t="str">
        <f t="shared" si="24"/>
        <v xml:space="preserve">		public virtual string DevanningDock { get; set; }
</v>
      </c>
      <c r="N15" t="str">
        <f t="shared" si="25"/>
        <v xml:space="preserve">		[StringLength(LgwDvnContListConsts.MaxDevanningDockLength)]
		public virtual string DevanningDock { get; set; }
</v>
      </c>
      <c r="O15" t="str">
        <f t="shared" si="26"/>
        <v xml:space="preserve">		public virtual string DevanningDock { get; set; }
</v>
      </c>
      <c r="P15" t="str">
        <f t="shared" si="27"/>
        <v xml:space="preserve">							DevanningDock = o.DevanningDock,</v>
      </c>
      <c r="T15" s="69" t="str">
        <f t="shared" si="28"/>
        <v xml:space="preserve">								("DevanningDock"),</v>
      </c>
      <c r="V15" s="70" t="str">
        <f t="shared" si="29"/>
        <v xml:space="preserve">								_ =&gt; _.DevanningDock,</v>
      </c>
      <c r="W15" s="69" t="str">
        <f t="shared" si="30"/>
        <v xml:space="preserve">				.WhereIf(!string.IsNullOrWhiteSpace(input.DevanningDock), e =&gt; e.DevanningDock.Contains(input.DevanningDock))</v>
      </c>
    </row>
    <row r="16" spans="1:23" customFormat="1" ht="18.75" customHeight="1" x14ac:dyDescent="0.25">
      <c r="A16" t="s">
        <v>315</v>
      </c>
      <c r="B16" t="s">
        <v>309</v>
      </c>
      <c r="C16" t="s">
        <v>1</v>
      </c>
      <c r="D16" t="str">
        <f t="shared" si="31"/>
        <v>PlanDevanningDate</v>
      </c>
      <c r="E16" t="str">
        <f t="shared" si="20"/>
        <v>datetime2</v>
      </c>
      <c r="F16" s="7" t="s">
        <v>309</v>
      </c>
      <c r="G16" t="str">
        <f t="shared" si="21"/>
        <v>7</v>
      </c>
      <c r="H16" t="str">
        <f>+VLOOKUP(E16,'Data Type Mapping'!A:B,2,)</f>
        <v>DateTime</v>
      </c>
      <c r="I16" t="str">
        <f t="shared" si="22"/>
        <v/>
      </c>
      <c r="J16" t="str">
        <f t="shared" si="23"/>
        <v xml:space="preserve">		[Column(TypeName="datetime2(7)")]
		public virtual DateTime PlanDevanningDate { get; set; }
</v>
      </c>
      <c r="K16" s="7"/>
      <c r="L16" t="str">
        <f t="shared" si="32"/>
        <v/>
      </c>
      <c r="M16" t="str">
        <f t="shared" si="24"/>
        <v xml:space="preserve">		public virtual DateTime? PlanDevanningDate { get; set; }
</v>
      </c>
      <c r="N16" t="str">
        <f t="shared" si="25"/>
        <v xml:space="preserve">		public virtual DateTime? PlanDevanningDate { get; set; }
</v>
      </c>
      <c r="O16" t="str">
        <f t="shared" si="26"/>
        <v xml:space="preserve">		public virtual DateTime? PlanDevanningDate { get; set; }
</v>
      </c>
      <c r="P16" t="str">
        <f t="shared" si="27"/>
        <v xml:space="preserve">							PlanDevanningDate = o.PlanDevanningDate,</v>
      </c>
      <c r="T16" s="69" t="str">
        <f t="shared" si="28"/>
        <v xml:space="preserve">								("PlanDevanningDate"),</v>
      </c>
      <c r="V16" s="70" t="str">
        <f t="shared" si="29"/>
        <v xml:space="preserve">								_ =&gt; _.PlanDevanningDate,</v>
      </c>
      <c r="W16" s="69" t="str">
        <f t="shared" si="30"/>
        <v xml:space="preserve">				.WhereIf(input.PlanDevanningDate.HasValue, t =&gt; t.PlanDevanningDate == input.PlanDevanningDate.Value)</v>
      </c>
    </row>
    <row r="17" spans="1:23" customFormat="1" ht="22.5" customHeight="1" x14ac:dyDescent="0.25">
      <c r="A17" t="s">
        <v>316</v>
      </c>
      <c r="B17" t="s">
        <v>309</v>
      </c>
      <c r="C17" t="s">
        <v>1</v>
      </c>
      <c r="D17" t="str">
        <f>SUBSTITUTE(PROPER(A17),"_","")</f>
        <v>ActDevanningDate</v>
      </c>
      <c r="E17" t="str">
        <f t="shared" si="20"/>
        <v>datetime2</v>
      </c>
      <c r="F17" s="7" t="s">
        <v>309</v>
      </c>
      <c r="G17" t="str">
        <f t="shared" si="21"/>
        <v>7</v>
      </c>
      <c r="H17" t="str">
        <f>+VLOOKUP(E17,'Data Type Mapping'!A:B,2,)</f>
        <v>DateTime</v>
      </c>
      <c r="I17" t="str">
        <f t="shared" si="22"/>
        <v/>
      </c>
      <c r="J17" t="str">
        <f t="shared" si="23"/>
        <v xml:space="preserve">		[Column(TypeName="datetime2(7)")]
		public virtual DateTime ActDevanningDate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si="24"/>
        <v xml:space="preserve">		public virtual DateTime? ActDevanningDate { get; set; }
</v>
      </c>
      <c r="N17" t="str">
        <f t="shared" si="25"/>
        <v xml:space="preserve">		public virtual DateTime? ActDevanningDate { get; set; }
</v>
      </c>
      <c r="O17" t="str">
        <f t="shared" si="26"/>
        <v xml:space="preserve">		public virtual DateTime? ActDevanningDate { get; set; }
</v>
      </c>
      <c r="P17" t="str">
        <f t="shared" si="27"/>
        <v xml:space="preserve">							ActDevanningDate = o.ActDevanningDate,</v>
      </c>
      <c r="T17" s="69" t="str">
        <f t="shared" si="28"/>
        <v xml:space="preserve">								("ActDevanningDate"),</v>
      </c>
      <c r="V17" s="70" t="str">
        <f t="shared" si="29"/>
        <v xml:space="preserve">								_ =&gt; _.ActDevanningDate,</v>
      </c>
      <c r="W17" s="69" t="str">
        <f t="shared" si="30"/>
        <v xml:space="preserve">				.WhereIf(input.ActDevanningDate.HasValue, t =&gt; t.ActDevanningDate == input.ActDevanningDate.Value)</v>
      </c>
    </row>
    <row r="18" spans="1:23" customFormat="1" ht="21" customHeight="1" x14ac:dyDescent="0.25">
      <c r="A18" t="s">
        <v>317</v>
      </c>
      <c r="B18" t="s">
        <v>309</v>
      </c>
      <c r="C18" t="s">
        <v>1</v>
      </c>
      <c r="D18" t="str">
        <f t="shared" ref="D18" si="33">SUBSTITUTE(PROPER(A18),"_","")</f>
        <v>ActDevanningDateFinished</v>
      </c>
      <c r="E18" t="str">
        <f t="shared" si="20"/>
        <v>datetime2</v>
      </c>
      <c r="F18" s="7" t="s">
        <v>309</v>
      </c>
      <c r="G18" t="str">
        <f t="shared" si="21"/>
        <v>7</v>
      </c>
      <c r="H18" t="str">
        <f>+VLOOKUP(E18,'Data Type Mapping'!A:B,2,)</f>
        <v>DateTime</v>
      </c>
      <c r="I18" t="str">
        <f t="shared" si="22"/>
        <v/>
      </c>
      <c r="J18" t="str">
        <f t="shared" si="23"/>
        <v xml:space="preserve">		[Column(TypeName="datetime2(7)")]
		public virtual DateTime ActDevanningDateFinished { get; set; }
</v>
      </c>
      <c r="K18" s="7"/>
      <c r="L18" t="str">
        <f t="shared" ref="L18" si="34">IF(K18="","",REPT(CHAR(9),1)&amp;"[Index(nameof("&amp;IF(D18="","",""&amp;D18)&amp;")"&amp;", Name="&amp;"""IX_"&amp;$B$7&amp;"_"&amp;D18&amp;""")]")</f>
        <v/>
      </c>
      <c r="M18" t="str">
        <f t="shared" si="24"/>
        <v xml:space="preserve">		public virtual DateTime? ActDevanningDateFinished { get; set; }
</v>
      </c>
      <c r="N18" t="str">
        <f t="shared" si="25"/>
        <v xml:space="preserve">		public virtual DateTime? ActDevanningDateFinished { get; set; }
</v>
      </c>
      <c r="O18" t="str">
        <f t="shared" si="26"/>
        <v xml:space="preserve">		public virtual DateTime? ActDevanningDateFinished { get; set; }
</v>
      </c>
      <c r="P18" t="str">
        <f t="shared" si="27"/>
        <v xml:space="preserve">							ActDevanningDateFinished = o.ActDevanningDateFinished,</v>
      </c>
      <c r="T18" s="69" t="str">
        <f t="shared" si="28"/>
        <v xml:space="preserve">								("ActDevanningDateFinished"),</v>
      </c>
      <c r="V18" s="70" t="str">
        <f t="shared" si="29"/>
        <v xml:space="preserve">								_ =&gt; _.ActDevanningDateFinished,</v>
      </c>
      <c r="W18" s="69" t="str">
        <f t="shared" si="30"/>
        <v xml:space="preserve">				.WhereIf(input.ActDevanningDateFinished.HasValue, t =&gt; t.ActDevanningDateFinished == input.ActDevanningDateFinished.Value)</v>
      </c>
    </row>
    <row r="19" spans="1:23" customFormat="1" ht="22.5" customHeight="1" x14ac:dyDescent="0.25">
      <c r="A19" t="s">
        <v>318</v>
      </c>
      <c r="B19" t="s">
        <v>313</v>
      </c>
      <c r="C19" t="s">
        <v>1</v>
      </c>
      <c r="D19" t="str">
        <f>SUBSTITUTE(PROPER(A19),"_","")</f>
        <v>DevanningType</v>
      </c>
      <c r="E19" t="str">
        <f t="shared" ref="E19:E24" si="35">IFERROR(LEFT(B19, FIND("(",B19)-1),B19)</f>
        <v>varchar</v>
      </c>
      <c r="F19" s="7"/>
      <c r="G19" t="str">
        <f t="shared" ref="G19:G24" si="36">IFERROR(MID(B19,FIND("(",B19) +1, FIND(")",B19) - FIND("(",B19) - 1),"")</f>
        <v>10</v>
      </c>
      <c r="H19" t="str">
        <f>+VLOOKUP(E19,'Data Type Mapping'!A:B,2,)</f>
        <v>string</v>
      </c>
      <c r="I19" t="str">
        <f t="shared" ref="I19:I24" si="37">IF(H19="string",REPT(CHAR(9),2)&amp;"public const int Max"&amp;D19&amp;"Length = "&amp;G19&amp;";"&amp;$E$3,"" )</f>
        <v xml:space="preserve">		public const int MaxDevanningTypeLength = 10;
</v>
      </c>
      <c r="J19" t="str">
        <f t="shared" ref="J19:J24" si="3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[StringLength(MaxDevanningTypeLength)]
		public virtual string DevanningType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:M24" si="39">REPT(CHAR(9),2)&amp;"public virtual "&amp;IF(OR(H19="DateTime",H19="TimeSpan"),H19&amp;"?",H19)&amp;IF(C19="?","? "," ")&amp;D19&amp;" { get; set; }" &amp; "
"</f>
        <v xml:space="preserve">		public virtual string DevanningType { get; set; }
</v>
      </c>
      <c r="N19" t="str">
        <f t="shared" ref="N19:N24" si="40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[StringLength(LgwDvnContListConsts.MaxDevanningTypeLength)]
		public virtual string DevanningType { get; set; }
</v>
      </c>
      <c r="O19" t="str">
        <f t="shared" ref="O19:O24" si="41">IF(OR(H19="string",H19="DateTime",H19="int"),REPT(CHAR(9),2)&amp;"public virtual "&amp;IF(OR(H19="DateTime",H19="TimeSpan"),H19&amp;"?",H19)&amp;IF(C19="?","? "," ")&amp;D19&amp;" { get; set; }"&amp;$E$3,"")</f>
        <v xml:space="preserve">		public virtual string DevanningType { get; set; }
</v>
      </c>
      <c r="P19" t="str">
        <f t="shared" ref="P19:P24" si="42">REPT(CHAR(9),7)&amp;D19&amp;" = o." &amp;D19 &amp;","</f>
        <v xml:space="preserve">							DevanningType = o.DevanningType,</v>
      </c>
      <c r="T19" s="69" t="str">
        <f t="shared" ref="T19:T24" si="43">REPT(CHAR(9),8)&amp;"("""&amp;D19&amp;"""),"</f>
        <v xml:space="preserve">								("DevanningType"),</v>
      </c>
      <c r="V19" s="70" t="str">
        <f t="shared" ref="V19:V24" si="44">REPT(CHAR(9),8)&amp;"_ =&gt; _."&amp;D19&amp;","</f>
        <v xml:space="preserve">								_ =&gt; _.DevanningType,</v>
      </c>
      <c r="W19" s="69" t="str">
        <f t="shared" ref="W19:W24" si="45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.WhereIf(!string.IsNullOrWhiteSpace(input.DevanningType), e =&gt; e.DevanningType.Contains(input.DevanningType))</v>
      </c>
    </row>
    <row r="20" spans="1:23" customFormat="1" ht="21" customHeight="1" x14ac:dyDescent="0.25">
      <c r="A20" t="s">
        <v>308</v>
      </c>
      <c r="B20" t="s">
        <v>304</v>
      </c>
      <c r="C20" t="s">
        <v>1</v>
      </c>
      <c r="D20" t="str">
        <f t="shared" ref="D20:D21" si="46">SUBSTITUTE(PROPER(A20),"_","")</f>
        <v>Status</v>
      </c>
      <c r="E20" t="str">
        <f t="shared" si="35"/>
        <v>varchar</v>
      </c>
      <c r="F20" s="7"/>
      <c r="G20" t="str">
        <f t="shared" si="36"/>
        <v>50</v>
      </c>
      <c r="H20" t="str">
        <f>+VLOOKUP(E20,'Data Type Mapping'!A:B,2,)</f>
        <v>string</v>
      </c>
      <c r="I20" t="str">
        <f t="shared" si="37"/>
        <v xml:space="preserve">		public const int MaxStatusLength = 50;
</v>
      </c>
      <c r="J20" t="str">
        <f t="shared" si="38"/>
        <v xml:space="preserve">		[StringLength(MaxStatusLength)]
		public virtual string Status { get; set; }
</v>
      </c>
      <c r="K20" s="7"/>
      <c r="L20" t="str">
        <f t="shared" ref="L20:L21" si="47">IF(K20="","",REPT(CHAR(9),1)&amp;"[Index(nameof("&amp;IF(D20="","",""&amp;D20)&amp;")"&amp;", Name="&amp;"""IX_"&amp;$B$7&amp;"_"&amp;D20&amp;""")]")</f>
        <v/>
      </c>
      <c r="M20" t="str">
        <f t="shared" si="39"/>
        <v xml:space="preserve">		public virtual string Status { get; set; }
</v>
      </c>
      <c r="N20" t="str">
        <f t="shared" si="40"/>
        <v xml:space="preserve">		[StringLength(LgwDvnContListConsts.MaxStatusLength)]
		public virtual string Status { get; set; }
</v>
      </c>
      <c r="O20" t="str">
        <f t="shared" si="41"/>
        <v xml:space="preserve">		public virtual string Status { get; set; }
</v>
      </c>
      <c r="P20" t="str">
        <f t="shared" si="42"/>
        <v xml:space="preserve">							Status = o.Status,</v>
      </c>
      <c r="T20" s="69" t="str">
        <f t="shared" si="43"/>
        <v xml:space="preserve">								("Status"),</v>
      </c>
      <c r="V20" s="70" t="str">
        <f t="shared" si="44"/>
        <v xml:space="preserve">								_ =&gt; _.Status,</v>
      </c>
      <c r="W20" s="69" t="str">
        <f t="shared" si="45"/>
        <v xml:space="preserve">				.WhereIf(!string.IsNullOrWhiteSpace(input.Status), e =&gt; e.Status.Contains(input.Status))</v>
      </c>
    </row>
    <row r="21" spans="1:23" customFormat="1" ht="18.75" customHeight="1" x14ac:dyDescent="0.25">
      <c r="A21" t="s">
        <v>319</v>
      </c>
      <c r="B21" t="s">
        <v>4</v>
      </c>
      <c r="C21" t="s">
        <v>1</v>
      </c>
      <c r="D21" t="str">
        <f t="shared" si="46"/>
        <v>DevLeadtime</v>
      </c>
      <c r="E21" t="str">
        <f t="shared" si="35"/>
        <v>int</v>
      </c>
      <c r="F21" s="7"/>
      <c r="G21" t="str">
        <f t="shared" si="36"/>
        <v/>
      </c>
      <c r="H21" t="str">
        <f>+VLOOKUP(E21,'Data Type Mapping'!A:B,2,)</f>
        <v>int</v>
      </c>
      <c r="I21" t="str">
        <f t="shared" si="37"/>
        <v/>
      </c>
      <c r="J21" t="str">
        <f t="shared" si="38"/>
        <v xml:space="preserve">		public virtual int DevLeadtime { get; set; }
</v>
      </c>
      <c r="K21" s="7"/>
      <c r="L21" t="str">
        <f t="shared" si="47"/>
        <v/>
      </c>
      <c r="M21" t="str">
        <f t="shared" si="39"/>
        <v xml:space="preserve">		public virtual int DevLeadtime { get; set; }
</v>
      </c>
      <c r="N21" t="str">
        <f t="shared" si="40"/>
        <v xml:space="preserve">		public virtual int DevLeadtime { get; set; }
</v>
      </c>
      <c r="O21" t="str">
        <f t="shared" si="41"/>
        <v xml:space="preserve">		public virtual int DevLeadtime { get; set; }
</v>
      </c>
      <c r="P21" t="str">
        <f t="shared" si="42"/>
        <v xml:space="preserve">							DevLeadtime = o.DevLeadtime,</v>
      </c>
      <c r="T21" s="69" t="str">
        <f t="shared" si="43"/>
        <v xml:space="preserve">								("DevLeadtime"),</v>
      </c>
      <c r="V21" s="70" t="str">
        <f t="shared" si="44"/>
        <v xml:space="preserve">								_ =&gt; _.DevLeadtime,</v>
      </c>
      <c r="W21" s="69" t="str">
        <f t="shared" si="45"/>
        <v/>
      </c>
    </row>
    <row r="22" spans="1:23" customFormat="1" ht="22.5" customHeight="1" x14ac:dyDescent="0.25">
      <c r="A22" t="s">
        <v>320</v>
      </c>
      <c r="B22" t="s">
        <v>4</v>
      </c>
      <c r="C22" t="s">
        <v>1</v>
      </c>
      <c r="D22" t="str">
        <f>SUBSTITUTE(PROPER(A22),"_","")</f>
        <v>PlanDevanningLineOff</v>
      </c>
      <c r="E22" t="str">
        <f t="shared" si="35"/>
        <v>int</v>
      </c>
      <c r="F22" s="7"/>
      <c r="G22" t="str">
        <f t="shared" si="36"/>
        <v/>
      </c>
      <c r="H22" t="str">
        <f>+VLOOKUP(E22,'Data Type Mapping'!A:B,2,)</f>
        <v>int</v>
      </c>
      <c r="I22" t="str">
        <f t="shared" si="37"/>
        <v/>
      </c>
      <c r="J22" t="str">
        <f t="shared" si="38"/>
        <v xml:space="preserve">		public virtual int PlanDevanningLineOff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39"/>
        <v xml:space="preserve">		public virtual int PlanDevanningLineOff { get; set; }
</v>
      </c>
      <c r="N22" t="str">
        <f t="shared" si="40"/>
        <v xml:space="preserve">		public virtual int PlanDevanningLineOff { get; set; }
</v>
      </c>
      <c r="O22" t="str">
        <f t="shared" si="41"/>
        <v xml:space="preserve">		public virtual int PlanDevanningLineOff { get; set; }
</v>
      </c>
      <c r="P22" t="str">
        <f t="shared" si="42"/>
        <v xml:space="preserve">							PlanDevanningLineOff = o.PlanDevanningLineOff,</v>
      </c>
      <c r="T22" s="69" t="str">
        <f t="shared" si="43"/>
        <v xml:space="preserve">								("PlanDevanningLineOff"),</v>
      </c>
      <c r="V22" s="70" t="str">
        <f t="shared" si="44"/>
        <v xml:space="preserve">								_ =&gt; _.PlanDevanningLineOff,</v>
      </c>
      <c r="W22" s="69" t="str">
        <f t="shared" si="45"/>
        <v/>
      </c>
    </row>
    <row r="23" spans="1:23" customFormat="1" ht="21" customHeight="1" x14ac:dyDescent="0.25">
      <c r="A23" t="s">
        <v>321</v>
      </c>
      <c r="B23" t="s">
        <v>313</v>
      </c>
      <c r="C23" t="s">
        <v>1</v>
      </c>
      <c r="D23" t="str">
        <f t="shared" ref="D23" si="48">SUBSTITUTE(PROPER(A23),"_","")</f>
        <v>SortingStatus</v>
      </c>
      <c r="E23" t="str">
        <f t="shared" si="35"/>
        <v>varchar</v>
      </c>
      <c r="F23" s="7"/>
      <c r="G23" t="str">
        <f t="shared" si="36"/>
        <v>10</v>
      </c>
      <c r="H23" t="str">
        <f>+VLOOKUP(E23,'Data Type Mapping'!A:B,2,)</f>
        <v>string</v>
      </c>
      <c r="I23" t="str">
        <f t="shared" si="37"/>
        <v xml:space="preserve">		public const int MaxSortingStatusLength = 10;
</v>
      </c>
      <c r="J23" t="str">
        <f t="shared" si="38"/>
        <v xml:space="preserve">		[StringLength(MaxSortingStatusLength)]
		public virtual string SortingStatus { get; set; }
</v>
      </c>
      <c r="K23" s="7"/>
      <c r="L23" t="str">
        <f t="shared" ref="L23" si="49">IF(K23="","",REPT(CHAR(9),1)&amp;"[Index(nameof("&amp;IF(D23="","",""&amp;D23)&amp;")"&amp;", Name="&amp;"""IX_"&amp;$B$7&amp;"_"&amp;D23&amp;""")]")</f>
        <v/>
      </c>
      <c r="M23" t="str">
        <f t="shared" si="39"/>
        <v xml:space="preserve">		public virtual string SortingStatus { get; set; }
</v>
      </c>
      <c r="N23" t="str">
        <f t="shared" si="40"/>
        <v xml:space="preserve">		[StringLength(LgwDvnContListConsts.MaxSortingStatusLength)]
		public virtual string SortingStatus { get; set; }
</v>
      </c>
      <c r="O23" t="str">
        <f t="shared" si="41"/>
        <v xml:space="preserve">		public virtual string SortingStatus { get; set; }
</v>
      </c>
      <c r="P23" t="str">
        <f t="shared" si="42"/>
        <v xml:space="preserve">							SortingStatus = o.SortingStatus,</v>
      </c>
      <c r="T23" s="69" t="str">
        <f t="shared" si="43"/>
        <v xml:space="preserve">								("SortingStatus"),</v>
      </c>
      <c r="V23" s="70" t="str">
        <f t="shared" si="44"/>
        <v xml:space="preserve">								_ =&gt; _.SortingStatus,</v>
      </c>
      <c r="W23" s="69" t="str">
        <f t="shared" si="45"/>
        <v xml:space="preserve">				.WhereIf(!string.IsNullOrWhiteSpace(input.SortingStatus), e =&gt; e.SortingStatus.Contains(input.SortingStatus))</v>
      </c>
    </row>
    <row r="24" spans="1:23" customFormat="1" ht="22.5" customHeight="1" x14ac:dyDescent="0.25">
      <c r="A24" t="s">
        <v>302</v>
      </c>
      <c r="B24" t="s">
        <v>303</v>
      </c>
      <c r="C24" t="s">
        <v>1</v>
      </c>
      <c r="D24" t="str">
        <f>SUBSTITUTE(PROPER(A24),"_","")</f>
        <v>IsActive</v>
      </c>
      <c r="E24" t="str">
        <f t="shared" si="35"/>
        <v>varchar</v>
      </c>
      <c r="F24" s="7"/>
      <c r="G24" t="str">
        <f t="shared" si="36"/>
        <v>1</v>
      </c>
      <c r="H24" t="str">
        <f>+VLOOKUP(E24,'Data Type Mapping'!A:B,2,)</f>
        <v>string</v>
      </c>
      <c r="I24" t="str">
        <f t="shared" si="37"/>
        <v xml:space="preserve">		public const int MaxIsActiveLength = 1;
</v>
      </c>
      <c r="J24" t="str">
        <f t="shared" si="38"/>
        <v xml:space="preserve">		[StringLength(MaxIsActiveLength)]
		public virtual string IsActive { get; set; }
</v>
      </c>
      <c r="K24" s="7" t="s">
        <v>206</v>
      </c>
      <c r="L24" t="str">
        <f>IF(K24="","",REPT(CHAR(9),1)&amp;"[Index(nameof("&amp;IF(D24="","",""&amp;D24)&amp;")"&amp;", Name="&amp;"""IX_"&amp;$B$7&amp;"_"&amp;D24&amp;""")]")</f>
        <v xml:space="preserve">	[Index(nameof(IsActive), Name="IX_LgwDvnContList_IsActive")]</v>
      </c>
      <c r="M24" t="str">
        <f t="shared" si="39"/>
        <v xml:space="preserve">		public virtual string IsActive { get; set; }
</v>
      </c>
      <c r="N24" t="str">
        <f t="shared" si="40"/>
        <v xml:space="preserve">		[StringLength(LgwDvnContListConsts.MaxIsActiveLength)]
		public virtual string IsActive { get; set; }
</v>
      </c>
      <c r="O24" t="str">
        <f t="shared" si="41"/>
        <v xml:space="preserve">		public virtual string IsActive { get; set; }
</v>
      </c>
      <c r="P24" t="str">
        <f t="shared" si="42"/>
        <v xml:space="preserve">							IsActive = o.IsActive,</v>
      </c>
      <c r="T24" s="69" t="str">
        <f t="shared" si="43"/>
        <v xml:space="preserve">								("IsActive"),</v>
      </c>
      <c r="V24" s="70" t="str">
        <f t="shared" si="44"/>
        <v xml:space="preserve">								_ =&gt; _.IsActive,</v>
      </c>
      <c r="W24" s="69" t="str">
        <f t="shared" si="45"/>
        <v xml:space="preserve">				.WhereIf(!string.IsNullOrWhiteSpace(input.IsActive), e =&gt; e.IsActive.Contains(input.IsActive))</v>
      </c>
    </row>
    <row r="26" spans="1:23" ht="45.75" customHeight="1" x14ac:dyDescent="0.25">
      <c r="H26" s="12"/>
      <c r="I26" s="34" t="str">
        <f ca="1">TEXTJOIN2("
", TRUE,INDIRECT( $H$1):INDIRECT( $H$3))</f>
        <v xml:space="preserve">		public const int MaxContainerNoLength = 50;
		public const int MaxRenbanLength = 50;
		public const int MaxSupplierNoLength = 50;
		public const int MaxLotNoLength = 20;
		public const int MaxShiftNoLength = 10;
		public const int MaxDevanningDockLength = 10;
		public const int MaxDevanningTypeLength = 10;
		public const int MaxStatusLength = 50;
		public const int MaxSortingStatusLength = 10;
		public const int MaxIsActiveLength = 1;
</v>
      </c>
      <c r="J26" s="33" t="str">
        <f ca="1">TEXTJOIN2("
", TRUE,INDIRECT( $F$1):INDIRECT( $F$3))</f>
        <v xml:space="preserve">		[StringLength(MaxContainerNoLength)]
		public virtual string ContainerNo { get; set; }
		[StringLength(MaxRenbanLength)]
		public virtual string Renban { get; set; }
		[StringLength(MaxSupplierNoLength)]
		public virtual string SupplierNo { get; set; }
		[StringLength(MaxLotNoLength)]
		public virtual string LotNo { get; set; }
		[Column(TypeName="date")]
		public virtual DateTime WorkingDate { get; set; }
		[StringLength(MaxShiftNoLength)]
		public virtual string ShiftNo { get; set; }
		[StringLength(MaxDevanningDockLength)]
		public virtual string DevanningDock { get; set; }
		[Column(TypeName="datetime2(7)")]
		public virtual DateTime PlanDevanningDate { get; set; }
		[Column(TypeName="datetime2(7)")]
		public virtual DateTime ActDevanningDate { get; set; }
		[Column(TypeName="datetime2(7)")]
		public virtual DateTime ActDevanningDateFinished { get; set; }
		[StringLength(MaxDevanningTypeLength)]
		public virtual string DevanningType { get; set; }
		[StringLength(MaxStatusLength)]
		public virtual string Status { get; set; }
		public virtual int DevLeadtime { get; set; }
		public virtual int PlanDevanningLineOff { get; set; }
		[StringLength(MaxSortingStatusLength)]
		public virtual string SortingStatus { get; set; }
		[StringLength(MaxIsActiveLength)]
		public virtual string IsActive { get; set; }
</v>
      </c>
      <c r="K26" s="35" t="str">
        <f ca="1">TEXTJOIN2("
", TRUE,INDIRECT( $J$1):INDIRECT( $J$3))</f>
        <v xml:space="preserve">	[Index(nameof(ContainerNo), Name="IX_LgwDvnContList_ContainerNo")]
	[Index(nameof(Renban), Name="IX_LgwDvnContList_Renban")]
	[Index(nameof(SupplierNo), Name="IX_LgwDvnContList_SupplierNo")]
	[Index(nameof(IsActive), Name="IX_LgwDvnContList_IsActive")]</v>
      </c>
      <c r="L26" s="13" t="s">
        <v>60</v>
      </c>
      <c r="M26" s="36" t="str">
        <f ca="1">TEXTJOIN2("
",TRUE,INDIRECT( $L$1):INDIRECT($L$3))</f>
        <v xml:space="preserve">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</v>
      </c>
      <c r="N26" s="33" t="str">
        <f ca="1">TEXTJOIN2("
",TRUE,INDIRECT( $M$1):INDIRECT($M$3))</f>
        <v xml:space="preserve">		[StringLength(LgwDvnContListConsts.MaxContainerNoLength)]
		public virtual string ContainerNo { get; set; }
		[StringLength(LgwDvnContListConsts.MaxRenbanLength)]
		public virtual string Renban { get; set; }
		[StringLength(LgwDvnContListConsts.MaxSupplierNoLength)]
		public virtual string SupplierNo { get; set; }
		[StringLength(LgwDvnContListConsts.MaxLotNoLength)]
		public virtual string LotNo { get; set; }
		public virtual DateTime? WorkingDate { get; set; }
		[StringLength(LgwDvnContListConsts.MaxShiftNoLength)]
		public virtual string ShiftNo { get; set; }
		[StringLength(LgwDvnContListConsts.MaxDevanningDockLength)]
		public virtual string DevanningDock { get; set; }
		public virtual DateTime? PlanDevanningDate { get; set; }
		public virtual DateTime? ActDevanningDate { get; set; }
		public virtual DateTime? ActDevanningDateFinished { get; set; }
		[StringLength(LgwDvnContListConsts.MaxDevanningTypeLength)]
		public virtual string DevanningType { get; set; }
		[StringLength(LgwDvnContListConsts.MaxStatusLength)]
		public virtual string Status { get; set; }
		public virtual int DevLeadtime { get; set; }
		public virtual int PlanDevanningLineOff { get; set; }
		[StringLength(LgwDvnContListConsts.MaxSortingStatusLength)]
		public virtual string SortingStatus { get; set; }
		[StringLength(LgwDvnContListConsts.MaxIsActiveLength)]
		public virtual string IsActive { get; set; }
</v>
      </c>
      <c r="O26" s="33" t="str">
        <f ca="1">TEXTJOIN2("
",TRUE,INDIRECT( $N$1):INDIRECT($N$3))</f>
        <v xml:space="preserve">		public virtual string ContainerNo { get; set; }
		public virtual string Renban { get; set; }
		public virtual string SupplierNo { get; set; }
		public virtual string LotNo { get; set; }
		public virtual DateTime? WorkingDate { get; set; }
		public virtual string ShiftNo { get; set; }
		public virtual string DevanningDock { get; set; }
		public virtual DateTime? PlanDevanningDate { get; set; }
		public virtual DateTime? ActDevanningDate { get; set; }
		public virtual DateTime? ActDevanningDateFinished { get; set; }
		public virtual string DevanningType { get; set; }
		public virtual string Status { get; set; }
		public virtual int DevLeadtime { get; set; }
		public virtual int PlanDevanningLineOff { get; set; }
		public virtual string SortingStatus { get; set; }
		public virtual string IsActive { get; set; }
</v>
      </c>
      <c r="P26" s="9" t="str">
        <f ca="1">TEXTJOIN2("
",TRUE,INDIRECT( $O$1):INDIRECT($O$3))</f>
        <v xml:space="preserve">							ContainerNo = o.ContainerNo,
							Renban = o.Renban,
							SupplierNo = o.SupplierNo,
							LotNo = o.LotNo,
							WorkingDate = o.WorkingDate,
							ShiftNo = o.ShiftNo,
							DevanningDock = o.DevanningDock,
							PlanDevanningDate = o.PlanDevanningDate,
							ActDevanningDate = o.ActDevanningDate,
							ActDevanningDateFinished = o.ActDevanningDateFinished,
							DevanningType = o.DevanningType,
							Status = o.Status,
							DevLeadtime = o.DevLeadtime,
							PlanDevanningLineOff = o.PlanDevanningLineOff,
							SortingStatus = o.SortingStatus,
							IsActive = o.IsActive,</v>
      </c>
      <c r="T26" s="9" t="str">
        <f ca="1">TEXTJOIN2("
",TRUE,INDIRECT( $T$2):INDIRECT($T$3))</f>
        <v xml:space="preserve">								("ContainerNo"),
								("Renban"),
								("SupplierNo"),
								("LotNo"),
								("WorkingDate"),
								("ShiftNo"),
								("DevanningDock"),
								("PlanDevanningDate"),
								("ActDevanningDate"),
								("ActDevanningDateFinished"),
								("DevanningType"),
								("Status"),
								("DevLeadtime"),
								("PlanDevanningLineOff"),
								("SortingStatus"),
								("IsActive"),</v>
      </c>
      <c r="V26" s="9" t="str">
        <f ca="1">TEXTJOIN2("
",TRUE,INDIRECT( $V$2):INDIRECT($V$3))</f>
        <v xml:space="preserve">								_ =&gt; _.ContainerNo,
								_ =&gt; _.Renban,
								_ =&gt; _.SupplierNo,
								_ =&gt; _.LotNo,
								_ =&gt; _.WorkingDate,
								_ =&gt; _.ShiftNo,
								_ =&gt; _.DevanningDock,
								_ =&gt; _.PlanDevanningDate,
								_ =&gt; _.ActDevanningDate,
								_ =&gt; _.ActDevanningDateFinished,
								_ =&gt; _.DevanningType,
								_ =&gt; _.Status,
								_ =&gt; _.DevLeadtime,
								_ =&gt; _.PlanDevanningLineOff,
								_ =&gt; _.SortingStatus,
								_ =&gt; _.IsActive,</v>
      </c>
      <c r="W26" s="9" t="str">
        <f ca="1">TEXTJOIN2("
",TRUE,INDIRECT( $W$2):INDIRECT($W$3))</f>
        <v xml:space="preserve">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.WhereIf(!string.IsNullOrWhiteSpace(input.LotNo), e =&gt; e.LotNo.Contains(input.LotNo))
				.WhereIf(input.WorkingDate.HasValue, t =&gt; t.WorkingDate == input.WorkingDate.Value)
				.WhereIf(!string.IsNullOrWhiteSpace(input.ShiftNo), e =&gt; e.ShiftNo.Contains(input.ShiftNo))
				.WhereIf(!string.IsNullOrWhiteSpace(input.DevanningDock), e =&gt; e.DevanningDock.Contains(input.DevanningDock))
				.WhereIf(input.PlanDevanningDate.HasValue, t =&gt; t.PlanDevanningDate == input.PlanDevanningDate.Value)
				.WhereIf(input.ActDevanningDate.HasValue, t =&gt; t.ActDevanningDate == input.ActDevanningDate.Value)
				.WhereIf(input.ActDevanningDateFinished.HasValue, t =&gt; t.ActDevanningDateFinished == input.ActDevanningDateFinished.Value)
				.WhereIf(!string.IsNullOrWhiteSpace(input.DevanningType), e =&gt; e.DevanningType.Contains(input.DevanningType))
				.WhereIf(!string.IsNullOrWhiteSpace(input.Status), e =&gt; e.Status.Contains(input.Status))
				.WhereIf(!string.IsNullOrWhiteSpace(input.SortingStatus), e =&gt; e.SortingStatus.Contains(input.SortingStatus))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3"/>
  <sheetViews>
    <sheetView workbookViewId="0">
      <selection activeCell="C25" sqref="C2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325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Dvn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dvn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LgwDvnContList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ContList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contlist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LgwDvnContListDto, LgwDvnContListServiceProxy } from '@shared/service-proxies/service-proxies';
import { finalize } from 'rxjs/internal/operators/finalize';
import { CreateOrEditContListModalComponent } from './create-or-edit-contlist-modal.component';
import { DatePipe } from '@angular/common';
import { FileDownloadService } from '@shared/utils/file-download.service';
import ceil from 'lodash-es/ceil';
import { Paginator } from 'primeng/paginator';
@Component({
    templateUrl: './contlist.component.html',
    styleUrls: ['./contlist.component.less'],
})
export class ContListComponent extends AppComponentBase implements OnInit {
    @ViewChild('createOrEditModalContList', { static: true }) createOrEditModalContList:| CreateOrEditContListModalComponent|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LgwDvnContListDto = new LgwDvnContListDto();
    saveSelectedRow: LgwDvnContListDto = new LgwDvnContListDto();
    datas: LgwDvnContListDto = new LgwDvnContListDto();
    isLoading: boolean = false;
    dataParams: GridParams | undefined;
    rowData: any[] = [];
    gridApi!: GridApi;
    rowSelection = 'multiple';
    filter: string = '';
	pipe = new DatePipe('en-US');
	frameworkComponents: FrameworkComponent;
    containerNo : string = '' ; 
	renban : string = '' ; 
	supplierNo : string = '' ; 
	lotNo : string = '' ; 
	workingDate : any ;
shiftNo : string = '' ; 
	devanningDock : string = '' ; 
	planDevanningDate : any ;
	actDevanningDate : any ;
	actDevanningDateFinished : any ;
devanningType : string = '' ; 
	status : string = '' ; 
	devLeadtime : number = 0 ;
	planDevanningLineOff : number = 0 ;
	sortingStatus : string = '' ; 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LgwDvnContListServiceProxy,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this.l('Lot No'),headerTooltip: this.l('Lot No'),field: 'lotNo',flex: 1},
			{headerName: this.l('Working Date'),headerTooltip: this.l('Working Date'),field: 'workingDate',valueGetter: (params) =&gt; this.pipe.transform(params.data?.workingDate, 'dd/MM/yyyy'),flex: 1},
			{headerName: this.l('Shift No'),headerTooltip: this.l('Shift No'),field: 'shiftNo',flex: 1},
			{headerName: this.l('Devanning Dock'),headerTooltip: this.l('Devanning Dock'),field: 'devanningDock',flex: 1},
			{headerName: this.l('Plan Devanning Date'),headerTooltip: this.l('Plan Devanning Date'),field: 'planDevanningDate',valueGetter: (params) =&gt; this.pipe.transform(params.data?.planDevanningDate, 'dd/MM/yyyy'),flex: 1},
			{headerName: this.l('Act Devanning Date'),headerTooltip: this.l('Act Devanning Date'),field: 'actDevanningDate',valueGetter: (params) =&gt; this.pipe.transform(params.data?.actDevanningDate, 'dd/MM/yyyy'),flex: 1},
			{headerName: this.l('Act Devanning Date Finished'),headerTooltip: this.l('Act Devanning Date Finished'),field: 'actDevanningDateFinished',valueGetter: (params) =&gt; this.pipe.transform(params.data?.actDevanningDateFinished, 'dd/MM/yyyy'),flex: 1},
			{headerName: this.l('Devanning Type'),headerTooltip: this.l('Devanning Type'),field: 'devanningType',flex: 1},
			{headerName: this.l('Status'),headerTooltip: this.l('Status'),field: 'status',flex: 1},
			{headerName: this.l('Dev Leadtime'),headerTooltip: this.l('Dev Leadtime'),field: 'devLeadtime',flex: 1},
			{headerName: this.l('Plan Devanning Line Off'),headerTooltip: this.l('Plan Devanning Line Off'),field: 'planDevanningLineOff',flex: 1},
			{headerName: this.l('Sorting Status'),headerTooltip: this.l('Sorting Status'),field: 'sortingStatus',flex: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this.containerNo = '',
		this.renban = '',
		this.supplierNo = '',
		this.lotNo = '',
		this.workingDate = '',
this.shiftNo = '',
		this.devanningDock = '',
		this.planDevanningDate = '',
		this.actDevanningDate = '',
		this.actDevanningDateFinished = '',
this.devanningType = '',
		this.status = '',
		this.devLeadtime = 0,
		this.planDevanningLineOff = 0,
		this.sortingStatus = '',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			'',
            this.paginationParams.skipCount,
            this.paginationParams.pageSize
        );
    }
    onChangeRowSelection(params: { api: { getSelectedRows: () =&gt; LgwDvnContListDto[] } }) {
        this.saveSelectedRow = params.api.getSelectedRows()[0] ?? new LgwDvnContListDto();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LgwDvnContListDto):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this._service.getContListToExcel(
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Devanning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[(ngModel)]='shiftNo' name='shiftNo'
									class='form-control' [placeholder]="l('Shift No')"
									type='text' (keyup.enter)='searchDatas()'&gt;
								&lt;/div&gt;
								&lt;div class='input-search'&gt;
									&lt;input [(ngModel)]='devanningDock' name='devanningDock'
									class='form-control' [placeholder]="l('Devanning Dock')"
									type='text' (keyup.enter)='searchDatas()'&gt;
								&lt;/div&gt;
								&lt;div class='input-search'&gt;
									&lt;input type='text' [placeholder]="l('Plan Devanning Date')" [(ngModel)]='planDevanningDate' 
									name='planDevanningDate'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Date')" [(ngModel)]='actDevanningDate' 
									name='actDevanningDate'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 Finished')" [(ngModel)]='actDevanningDateFinished' 
									name='actDevanningDateFinished'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[(ngModel)]='devanningType' name='devanningType'
									class='form-control' [placeholder]="l('Devanning 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&lt;create-or-edit-contlist-modal
    #createOrEditModalContList
    (modalSave)="callBackDataGrid(dataParams)"
    (modalClose)="onChangeRowSelection(dataParams)"
&gt;
&lt;/create-or-edit-contlist-modal&gt;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#createOrEditModalContList="bs-modal"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ContList')}}&lt;/h3&gt;
                    &lt;h3 *ngIf="!rowdata.id"&gt;{{('Create New ContList')}}&lt;/h3&gt;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 No&lt;/label&gt;
						&lt;input type='text' class='col-md-10 form-control input-text' name='ShiftNo' [(ngModel)]='rowdata.shiftNo'&gt;
					&lt;/div&gt;
					&lt;div class='col-md-12 form-group row'&gt;
						&lt;label class='col-md-2 form-control title'&gt;Devanning Dock&lt;/label&gt;
						&lt;input type='text' class='col-md-10 form-control input-text' name='DevanningDock' [(ngModel)]='rowdata.devanningDock'&gt;
					&lt;/div&gt;
					&lt;div class='col-md-12 form-group row'&gt;
						&lt;label class='col-md-2 form-control title'&gt;Plan Devanning Date&lt;/label&gt;
						&lt;input type='text' class='col-md-10 form-control input-text' name='planDevanningDate' 
						#datepicker='bsDatepicker' [(ngModel)]='rowdata.planDevanningDate'  bsDatepicker &gt;
					&lt;/div&gt;
					&lt;div class='col-md-12 form-group row'&gt;
						&lt;label class='col-md-2 form-control title'&gt;Act Devanning Date&lt;/label&gt;
						&lt;input type='text' class='col-md-10 form-control input-text' name='actDevanningDate' 
						#datepicker='bsDatepicker' [(ngModel)]='rowdata.actDevanningDate'  bsDatepicker &gt;
					&lt;/div&gt;
					&lt;div class='col-md-12 form-group row'&gt;
						&lt;label class='col-md-2 form-control title'&gt;Act Devanning Date Finished&lt;/label&gt;
						&lt;input type='text' class='col-md-10 form-control input-text' name='actDevanningDateFinished' 
						#datepicker='bsDatepicker' [(ngModel)]='rowdata.actDevanningDateFinished'  bsDatepicker &gt;
					&lt;/div&gt;
					&lt;div class='col-md-12 form-group row'&gt;
						&lt;label class='col-md-2 form-control title'&gt;Devanning Type&lt;/label&gt;
						&lt;input type='text' class='col-md-10 form-control input-text' name='DevanningType' [(ngModel)]='rowdata.devanningType'&gt;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title'&gt;Plan Devanning Line Off&lt;/label&gt;
						&lt;input type='number' class='col-md-10 form-control input-text' name='PlanDevanningLineOff' [(ngModel)]='rowdata.planDevanningLineOff'&gt;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CreateOrEditLgwDvnContListDto, LgwDvnContListServiceProxy } from '@shared/service-proxies/service-proxies';
import { BsDatepickerDirective } from 'ngx-bootstrap/datepicker';
@Component({
    selector: 'create-or-edit-contlist-modal',
    templateUrl: './create-or-edit-contlist-modal.component.html',
    styleUrls: ['./create-or-edit-contlist-modal.component.less']
    })
export class CreateOrEditContListModalComponent extends AppComponentBase {
    @ViewChild('createOrEditModalContList',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CreateOrEditLgwDvnContListDto = new CreateOrEditLgwDvnContListDto();
    active: boolean = false;
    saving: boolean = false;
    _isActive: boolean;
    constructor(
        injector: Injector,
        private _mstwptContListService: LgwDvnContListServiceProxy,
    ) 
    {
        super(injector);
    }
    show(rowdata?: CreateOrEditLgwDvnContListDto): void {
        if (!rowdata) this.rowdata = new CreateOrEditLgwDvnContListDto();
        else this.rowdata = rowdata;
		const dateValue =  this.rowdata.workingDate ? new Date(this.rowdata.workingDate?.toString()) : new Date();
		this.datepicker?.bsValueChange.emit(dateValue);
		const dateValue =  this.rowdata.planDevanningDate ? new Date(this.rowdata.planDevanningDate?.toString()) : new Date();
		this.datepicker?.bsValueChange.emit(dateValue);
		const dateValue =  this.rowdata.actDevanningDate ? new Date(this.rowdata.actDevanningDate?.toString()) : new Date();
		this.datepicker?.bsValueChange.emit(dateValue);
		const dateValue =  this.rowdata.actDevanningDateFinished ? new Date(this.rowdata.actDevanningDateFinished?.toString())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ContListRoutingModule } from './contlist-routing.module';
import { ContListComponent } from './contlist.component';
import { CreateOrEditContListModalComponent } from './create-or-edit-contlist-modal.component';
@NgModule({
    declarations: [
       ContListComponent, 
        CreateOrEditContListModalComponent
    ],
    imports: [
        AppSharedModule, ContListRoutingModule]
})
export class ContListModule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ContListComponent } from './contlist.component';
const routes: Routes = [{
    path: '',
    component: ContListComponent,
    pathMatch: 'full'
}];
@NgModule({
    imports: [RouterModule.forChild(routes)],
    exports: [RouterModule],
})
export class ContListRoutingModule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AppMenuItem("ContList", "Pages.LogW.Dvn.ContList", "flaticon-book",   "/app/main/logw/dvn/contlist"),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'logw/dvn/contlist',
    loadChildren: () =&gt; import('./logw/dvn/contlist/contlist.module').then(m =&gt; m.ContListModule),
    data: { permission: 'Pages.LogW.Dvn.ContList' }
},</v>
      </c>
      <c r="R10" s="50" t="str">
        <f>SUBSTITUTE(R9,"MstWptCalendar",$B$6)</f>
        <v>ApiServiceProxies.LgwDvnContListServiceProxy,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H30</v>
      </c>
      <c r="I12" s="31" t="str">
        <f>"I"&amp;COUNTA($A:$A)</f>
        <v>I30</v>
      </c>
      <c r="J12" s="31"/>
      <c r="K12" s="31" t="str">
        <f>"K"&amp;COUNTA($A:$A)</f>
        <v>K30</v>
      </c>
      <c r="L12" s="31" t="str">
        <f>"L"&amp;COUNTA($A:$A)</f>
        <v>L30</v>
      </c>
      <c r="M12" s="31"/>
      <c r="N12" s="31"/>
      <c r="O12" s="31"/>
      <c r="P12" s="31"/>
      <c r="Q12" s="31"/>
      <c r="R12" s="31"/>
      <c r="S12" s="31" t="str">
        <f>"S"&amp;COUNTA($A:$A)</f>
        <v>S30</v>
      </c>
      <c r="T12" s="31" t="str">
        <f>"T"&amp;COUNTA($A:$A)</f>
        <v>T30</v>
      </c>
      <c r="U12" s="31" t="str">
        <f>"U"&amp;COUNTA($A:$A)</f>
        <v>U30</v>
      </c>
      <c r="V12" s="31" t="str">
        <f>"V"&amp;COUNTA($A:$A)</f>
        <v>V30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this.l('Lot No'),headerTooltip: this.l('Lot No'),field: 'lotNo',flex: 1},
			{headerName: this.l('Working Date'),headerTooltip: this.l('Working Date'),field: 'workingDate',valueGetter: (params) =&gt; this.pipe.transform(params.data?.workingDate, 'dd/MM/yyyy'),flex: 1},
			{headerName: this.l('Shift No'),headerTooltip: this.l('Shift No'),field: 'shiftNo',flex: 1},
			{headerName: this.l('Devanning Dock'),headerTooltip: this.l('Devanning Dock'),field: 'devanningDock',flex: 1},
			{headerName: this.l('Plan Devanning Date'),headerTooltip: this.l('Plan Devanning Date'),field: 'planDevanningDate',valueGetter: (params) =&gt; this.pipe.transform(params.data?.planDevanningDate, 'dd/MM/yyyy'),flex: 1},
			{headerName: this.l('Act Devanning Date'),headerTooltip: this.l('Act Devanning Date'),field: 'actDevanningDate',valueGetter: (params) =&gt; this.pipe.transform(params.data?.actDevanningDate, 'dd/MM/yyyy'),flex: 1},
			{headerName: this.l('Act Devanning Date Finished'),headerTooltip: this.l('Act Devanning Date Finished'),field: 'actDevanningDateFinished',valueGetter: (params) =&gt; this.pipe.transform(params.data?.actDevanningDateFinished, 'dd/MM/yyyy'),flex: 1},
			{headerName: this.l('Devanning Type'),headerTooltip: this.l('Devanning Type'),field: 'devanningType',flex: 1},
			{headerName: this.l('Status'),headerTooltip: this.l('Status'),field: 'status',flex: 1},
			{headerName: this.l('Dev Leadtime'),headerTooltip: this.l('Dev Leadtime'),field: 'devLeadtime',flex: 1},
			{headerName: this.l('Plan Devanning Line Off'),headerTooltip: this.l('Plan Devanning Line Off'),field: 'planDevanningLineOff',flex: 1},
			{headerName: this.l('Sorting Status'),headerTooltip: this.l('Sorting Status'),field: 'sortingStatus',flex: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[(ngModel)]='shiftNo' name='shiftNo'
									class='form-control' [placeholder]="l('Shift No')"
									type='text' (keyup.enter)='searchDatas()'&gt;
								&lt;/div&gt;
								&lt;div class='input-search'&gt;
									&lt;input [(ngModel)]='devanningDock' name='devanningDock'
									class='form-control' [placeholder]="l('Devanning Dock')"
									type='text' (keyup.enter)='searchDatas()'&gt;
								&lt;/div&gt;
								&lt;div class='input-search'&gt;
									&lt;input type='text' [placeholder]="l('Plan Devanning Date')" [(ngModel)]='planDevanningDate' 
									name='planDevanningDate'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Date')" [(ngModel)]='actDevanningDate' 
									name='actDevanningDate'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[placeholder]="l('Act Devanning Date Finished')" [(ngModel)]='actDevanningDateFinished' 
									name='actDevanningDateFinished'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[(ngModel)]='devanningType' name='devanningType'
									class='form-control' [placeholder]="l('Devanning Type')"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 No&lt;/label&gt;
						&lt;input type='text' class='col-md-10 form-control input-text' name='ShiftNo' [(ngModel)]='rowdata.shiftNo'&gt;
					&lt;/div&gt;
					&lt;div class='col-md-12 form-group row'&gt;
						&lt;label class='col-md-2 form-control title'&gt;Devanning Dock&lt;/label&gt;
						&lt;input type='text' class='col-md-10 form-control input-text' name='DevanningDock' [(ngModel)]='rowdata.devanningDock'&gt;
					&lt;/div&gt;
					&lt;div class='col-md-12 form-group row'&gt;
						&lt;label class='col-md-2 form-control title'&gt;Plan Devanning Date&lt;/label&gt;
						&lt;input type='text' class='col-md-10 form-control input-text' name='planDevanningDate' 
						#datepicker='bsDatepicker' [(ngModel)]='rowdata.planDevanningDate'  bsDatepicker &gt;
					&lt;/div&gt;
					&lt;div class='col-md-12 form-group row'&gt;
						&lt;label class='col-md-2 form-control title'&gt;Act Devanning Date&lt;/label&gt;
						&lt;input type='text' class='col-md-10 form-control input-text' name='actDevanningDate' 
						#datepicker='bsDatepicker' [(ngModel)]='rowdata.actDevanningDate'  bsDatepicker &gt;
					&lt;/div&gt;
					&lt;div class='col-md-12 form-group row'&gt;
						&lt;label class='col-md-2 form-control title'&gt;Act Devanning Date Finished&lt;/label&gt;
						&lt;input type='text' class='col-md-10 form-control input-text' name='actDevanningDateFinished' 
						#datepicker='bsDatepicker' [(ngModel)]='rowdata.actDevanningDateFinished'  bsDatepicker &gt;
					&lt;/div&gt;
					&lt;div class='col-md-12 form-group row'&gt;
						&lt;label class='col-md-2 form-control title'&gt;Devanning Type&lt;/label&gt;
						&lt;input type='text' class='col-md-10 form-control input-text' name='DevanningType' [(ngModel)]='rowdata.devanningType'&gt;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title'&gt;Plan Devanning Line Off&lt;/label&gt;
						&lt;input type='number' class='col-md-10 form-control input-text' name='PlanDevanningLineOff' [(ngModel)]='rowdata.planDevanningLineOff'&gt;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this.rowdata.planDevanningDate ? new Date(this.rowdata.planDevanningDate?.toString()) : new Date();
		this.datepicker?.bsValueChange.emit(dateValue);
		const dateValue =  this.rowdata.actDevanningDate ? new Date(this.rowdata.actDevanningDate?.toString()) : new Date();
		this.datepicker?.bsValueChange.emit(dateValue);
		const dateValue =  this.rowdata.actDevanningDateFinished ? new Date(this.rowdata.actDevanningDateFinished?.toString())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containerNo : string = '' ; 
	renban : string = '' ; 
	supplierNo : string = '' ; 
	lotNo : string = '' ; 
	workingDate : any ;
shiftNo : string = '' ; 
	devanningDock : string = '' ; 
	planDevanningDate : any ;
	actDevanningDate : any ;
	actDevanningDateFinished : any ;
devanningType : string = '' ; 
	status : string = '' ; 
	devLeadtime : number = 0 ;
	planDevanningLineOff : number = 0 ;
	sortingStatus : string = '' ; 
isActive : string = '' ; </v>
      </c>
      <c r="T13" s="68" t="str">
        <f ca="1">TEXTJOIN2("
",TRUE,INDIRECT(T11):INDIRECT(T12))</f>
        <v xml:space="preserve">			this.containerNo,
			this.renban,
			this.supplierNo,
			this.lotNo,
			this.workingDate,
			this.shiftNo,
			this.devanningDock,
			this.planDevanningDate,
			this.actDevanningDate,
			this.actDevanningDateFinished,
			this.devanningType,
			this.status,
			this.devLeadtime,
			this.planDevanningLineOff,
			this.sortingStatus,
			this.isActive,</v>
      </c>
      <c r="U13" s="68" t="str">
        <f ca="1">TEXTJOIN2("
",TRUE,INDIRECT(U11):INDIRECT(U12))</f>
        <v>this.containerNo = '',
		this.renban = '',
		this.supplierNo = '',
		this.lotNo = '',
		this.workingDate = '',
this.shiftNo = '',
		this.devanningDock = '',
		this.planDevanningDate = '',
		this.actDevanningDate = '',
		this.actDevanningDateFinished = '',
this.devanningType = '',
		this.status = '',
		this.devLeadtime = 0,
		this.planDevanningLineOff = 0,
		this.sortingStatus = '',
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contlist.component.ts</v>
      </c>
      <c r="I14" s="40" t="str">
        <f>B8&amp;".component.html"</f>
        <v>contlist.component.html</v>
      </c>
      <c r="J14" s="39" t="str">
        <f>B8&amp;".component.less"</f>
        <v>contlist.component.less</v>
      </c>
      <c r="K14" s="40" t="str">
        <f>"create-or-edit-"&amp;B8&amp;"-modal.component.html"</f>
        <v>create-or-edit-contlist-modal.component.html</v>
      </c>
      <c r="L14" s="40" t="str">
        <f>"create-or-edit-"&amp;B8&amp;"-modal.component.ts"</f>
        <v>create-or-edit-contlist-modal.component.ts</v>
      </c>
      <c r="M14" s="40" t="str">
        <f>"create-or-edit-"&amp;B8&amp;"-modal.component.less"</f>
        <v>create-or-edit-contlist-modal.component.less</v>
      </c>
      <c r="N14" s="40" t="str">
        <f>B8&amp;".module.ts"</f>
        <v>contlist.module.ts</v>
      </c>
      <c r="O14" s="40" t="str">
        <f>B8&amp;"-routing.module.ts"</f>
        <v>contlist-routing.module.ts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307</v>
      </c>
      <c r="B15" s="31" t="str">
        <f>SUBSTITUTE(PROPER(A15),"_","")</f>
        <v>ContainerNo</v>
      </c>
      <c r="C15" s="31" t="str">
        <f>SUBSTITUTE(PROPER(A15),"_"," ")</f>
        <v>Container No</v>
      </c>
      <c r="D15" s="31" t="str">
        <f>LOWER(LEFT(B15,1))&amp;RIGHT(B15,LEN(B15) - 1)</f>
        <v>containerNo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containerNo : string = '' ; </v>
      </c>
      <c r="T15" s="31" t="str">
        <f>REPT(CHAR(9),3)&amp;"this."&amp;D15&amp;","</f>
        <v xml:space="preserve">			this.containerNo,</v>
      </c>
      <c r="U15" s="31" t="str">
        <f>IF(E15="int","this."&amp;D15&amp;" = 0,","this."&amp;D15&amp;" = '',")</f>
        <v>this.containerNo = '',</v>
      </c>
      <c r="V15" s="31" t="str">
        <f>IF(AND(E15="string",F15="1"),D15,"")</f>
        <v/>
      </c>
    </row>
    <row r="16" spans="1:22" ht="15" customHeight="1" x14ac:dyDescent="0.25">
      <c r="A16" s="44" t="s">
        <v>305</v>
      </c>
      <c r="B16" s="31" t="str">
        <f t="shared" ref="B16:B17" si="0">SUBSTITUTE(PROPER(A16),"_","")</f>
        <v>Renban</v>
      </c>
      <c r="C16" s="31" t="str">
        <f t="shared" ref="C16:C17" si="1">SUBSTITUTE(PROPER(A16),"_"," ")</f>
        <v>Renban</v>
      </c>
      <c r="D16" s="31" t="str">
        <f t="shared" ref="D16:D17" si="2">LOWER(LEFT(B16,1))&amp;RIGHT(B16,LEN(B16) - 1)</f>
        <v>renban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this.l('Renban'),headerTooltip: this.l('Renban'),field: 'renban',flex: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renban : string = '' ; </v>
      </c>
      <c r="T16" s="31" t="str">
        <f>REPT(CHAR(9),3)&amp;"this."&amp;D16&amp;","</f>
        <v xml:space="preserve">			this.renban,</v>
      </c>
      <c r="U16" s="31" t="str">
        <f>IF(E16="int",REPT(CHAR(9),2)&amp;"this."&amp;D16&amp;" = 0,",REPT(CHAR(9),2)&amp;"this."&amp;D16&amp;" = '',")</f>
        <v xml:space="preserve">		this.renban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301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supplierNo : string = '' ; </v>
      </c>
      <c r="T17" s="31" t="str">
        <f t="shared" ref="T17:T19" si="10">REPT(CHAR(9),3)&amp;"this."&amp;D17&amp;","</f>
        <v xml:space="preserve">			this.supplierNo,</v>
      </c>
      <c r="U17" s="31" t="str">
        <f t="shared" ref="U17:U19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306</v>
      </c>
      <c r="B18" s="31" t="str">
        <f>SUBSTITUTE(PROPER(A18),"_","")</f>
        <v>LotNo</v>
      </c>
      <c r="C18" s="31" t="str">
        <f>SUBSTITUTE(PROPER(A18),"_"," ")</f>
        <v>Lot No</v>
      </c>
      <c r="D18" s="31" t="str">
        <f>LOWER(LEFT(B18,1))&amp;RIGHT(B18,LEN(B18) - 1)</f>
        <v>lotNo</v>
      </c>
      <c r="E18" s="31" t="str">
        <f>A.Backend!H12</f>
        <v>string</v>
      </c>
      <c r="F18" s="31" t="str">
        <f>A.Backend!G12</f>
        <v>20</v>
      </c>
      <c r="G18" s="31" t="str">
        <f t="shared" si="3"/>
        <v xml:space="preserve"> : string = '' ; </v>
      </c>
      <c r="H18" s="38" t="str">
        <f t="shared" si="4"/>
        <v xml:space="preserve">			{headerName: this.l('Lot No'),headerTooltip: this.l('Lot No'),field: 'lotNo',flex: 1},</v>
      </c>
      <c r="I18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lotNo : string = '' ; </v>
      </c>
      <c r="T18" s="31" t="str">
        <f t="shared" si="10"/>
        <v xml:space="preserve">			this.lotNo,</v>
      </c>
      <c r="U18" s="31" t="str">
        <f t="shared" si="11"/>
        <v xml:space="preserve">		this.lotNo = '',</v>
      </c>
      <c r="V18" s="31" t="str">
        <f t="shared" si="8"/>
        <v/>
      </c>
    </row>
    <row r="19" spans="1:22" ht="15" customHeight="1" x14ac:dyDescent="0.25">
      <c r="A19" s="44" t="s">
        <v>311</v>
      </c>
      <c r="B19" s="31" t="str">
        <f t="shared" ref="B19" si="12">SUBSTITUTE(PROPER(A19),"_","")</f>
        <v>WorkingDate</v>
      </c>
      <c r="C19" s="31" t="str">
        <f t="shared" ref="C19" si="13">SUBSTITUTE(PROPER(A19),"_"," ")</f>
        <v>Working Date</v>
      </c>
      <c r="D19" s="31" t="str">
        <f t="shared" ref="D19" si="14">LOWER(LEFT(B19,1))&amp;RIGHT(B19,LEN(B19) - 1)</f>
        <v>workingDate</v>
      </c>
      <c r="E19" s="31" t="str">
        <f>A.Backend!H13</f>
        <v>DateTime</v>
      </c>
      <c r="F19" s="31" t="str">
        <f>A.Backend!G13</f>
        <v/>
      </c>
      <c r="G19" s="31" t="str">
        <f t="shared" si="3"/>
        <v xml:space="preserve"> : any ;</v>
      </c>
      <c r="H19" s="38" t="str">
        <f t="shared" si="4"/>
        <v xml:space="preserve">			{headerName: this.l('Working Date'),headerTooltip: this.l('Working Date'),field: 'workingDate',valueGetter: (params) =&gt; this.pipe.transform(params.data?.workingDate, 'dd/MM/yyyy'),flex: 1},</v>
      </c>
      <c r="I19" s="38" t="str">
        <f t="shared" si="5"/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6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60" t="str">
        <f t="shared" si="7"/>
        <v xml:space="preserve">		const dateValue =  this.rowdata.workingDate ? new Date(this.rowdata.workingDate?.toString())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9"/>
        <v xml:space="preserve">	workingDate : any ;</v>
      </c>
      <c r="T19" s="31" t="str">
        <f t="shared" si="10"/>
        <v xml:space="preserve">			this.workingDate,</v>
      </c>
      <c r="U19" s="31" t="str">
        <f t="shared" si="11"/>
        <v xml:space="preserve">		this.workingDate = '',</v>
      </c>
      <c r="V19" s="31" t="str">
        <f t="shared" si="8"/>
        <v/>
      </c>
    </row>
    <row r="20" spans="1:22" ht="18" customHeight="1" x14ac:dyDescent="0.25">
      <c r="A20" s="44" t="s">
        <v>312</v>
      </c>
      <c r="B20" s="31" t="str">
        <f>SUBSTITUTE(PROPER(A20),"_","")</f>
        <v>ShiftNo</v>
      </c>
      <c r="C20" s="31" t="str">
        <f>SUBSTITUTE(PROPER(A20),"_"," ")</f>
        <v>Shift No</v>
      </c>
      <c r="D20" s="31" t="str">
        <f>LOWER(LEFT(B20,1))&amp;RIGHT(B20,LEN(B20) - 1)</f>
        <v>shiftNo</v>
      </c>
      <c r="E20" s="31" t="str">
        <f>A.Backend!H14</f>
        <v>string</v>
      </c>
      <c r="F20" s="31" t="str">
        <f>A.Backend!G14</f>
        <v>10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this.l('Shift No'),headerTooltip: this.l('Shift No'),field: 'shiftNo',flex: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[(ngModel)]='shiftNo' name='shiftNo'
									class='form-control' [placeholder]="l('Shift No')"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title'&gt;Shift No&lt;/label&gt;
						&lt;input type='text' class='col-md-10 form-control input-text' name='ShiftNo' [(ngModel)]='rowdata.shiftNo'&gt;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shiftNo : string = '' ; </v>
      </c>
      <c r="T20" s="31" t="str">
        <f>REPT(CHAR(9),3)&amp;"this."&amp;D20&amp;","</f>
        <v xml:space="preserve">			this.shiftNo,</v>
      </c>
      <c r="U20" s="31" t="str">
        <f>IF(E20="int","this."&amp;D20&amp;" = 0,","this."&amp;D20&amp;" = '',")</f>
        <v>this.shiftNo = '',</v>
      </c>
      <c r="V20" s="31" t="str">
        <f>IF(AND(E20="string",F20="1"),D20,"")</f>
        <v/>
      </c>
    </row>
    <row r="21" spans="1:22" ht="15" customHeight="1" x14ac:dyDescent="0.25">
      <c r="A21" s="44" t="s">
        <v>314</v>
      </c>
      <c r="B21" s="31" t="str">
        <f t="shared" ref="B21:B22" si="15">SUBSTITUTE(PROPER(A21),"_","")</f>
        <v>DevanningDock</v>
      </c>
      <c r="C21" s="31" t="str">
        <f t="shared" ref="C21:C22" si="16">SUBSTITUTE(PROPER(A21),"_"," ")</f>
        <v>Devanning Dock</v>
      </c>
      <c r="D21" s="31" t="str">
        <f t="shared" ref="D21:D22" si="17">LOWER(LEFT(B21,1))&amp;RIGHT(B21,LEN(B21) - 1)</f>
        <v>devanningDock</v>
      </c>
      <c r="E21" s="31" t="str">
        <f>A.Backend!H15</f>
        <v>string</v>
      </c>
      <c r="F21" s="31" t="str">
        <f>A.Backend!G15</f>
        <v>10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this.l('Devanning Dock'),headerTooltip: this.l('Devanning Dock'),field: 'devanningDock',flex: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[(ngModel)]='devanningDock' name='devanningDock'
									class='form-control' [placeholder]="l('Devanning Dock')"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title'&gt;Devanning Dock&lt;/label&gt;
						&lt;input type='text' class='col-md-10 form-control input-text' name='DevanningDock' [(ngModel)]='rowdata.devanningDock'&gt;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devanningDock : string = '' ; </v>
      </c>
      <c r="T21" s="31" t="str">
        <f>REPT(CHAR(9),3)&amp;"this."&amp;D21&amp;","</f>
        <v xml:space="preserve">			this.devanningDock,</v>
      </c>
      <c r="U21" s="31" t="str">
        <f>IF(E21="int",REPT(CHAR(9),2)&amp;"this."&amp;D21&amp;" = 0,",REPT(CHAR(9),2)&amp;"this."&amp;D21&amp;" = '',")</f>
        <v xml:space="preserve">		this.devanningDock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315</v>
      </c>
      <c r="B22" s="31" t="str">
        <f t="shared" si="15"/>
        <v>PlanDevanningDate</v>
      </c>
      <c r="C22" s="31" t="str">
        <f t="shared" si="16"/>
        <v>Plan Devanning Date</v>
      </c>
      <c r="D22" s="31" t="str">
        <f t="shared" si="17"/>
        <v>planDevanningDate</v>
      </c>
      <c r="E22" s="31" t="str">
        <f>A.Backend!H16</f>
        <v>DateTime</v>
      </c>
      <c r="F22" s="31" t="str">
        <f>A.Backend!G16</f>
        <v>7</v>
      </c>
      <c r="G22" s="31" t="str">
        <f t="shared" si="18"/>
        <v xml:space="preserve"> : any ;</v>
      </c>
      <c r="H22" s="38" t="str">
        <f t="shared" si="19"/>
        <v xml:space="preserve">			{headerName: this.l('Plan Devanning Date'),headerTooltip: this.l('Plan Devanning Date'),field: 'planDevanningDate',valueGetter: (params) =&gt; this.pipe.transform(params.data?.planDevanningDate, 'dd/MM/yyyy'),flex: 1},</v>
      </c>
      <c r="I22" s="38" t="str">
        <f t="shared" si="20"/>
        <v xml:space="preserve">								&lt;div class='input-search'&gt;
									&lt;input type='text' [placeholder]="l('Plan Devanning Date')" [(ngModel)]='planDevanningDate' 
									name='planDevanningDate'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21"/>
        <v xml:space="preserve">					&lt;div class='col-md-12 form-group row'&gt;
						&lt;label class='col-md-2 form-control title'&gt;Plan Devanning Date&lt;/label&gt;
						&lt;input type='text' class='col-md-10 form-control input-text' name='planDevanningDate' 
						#datepicker='bsDatepicker' [(ngModel)]='rowdata.planDevanningDate'  bsDatepicker &gt;
					&lt;/div&gt;</v>
      </c>
      <c r="L22" s="60" t="str">
        <f t="shared" si="22"/>
        <v xml:space="preserve">		const dateValue =  this.rowdata.planDevanningDate ? new Date(this.rowdata.planDevanningDate?.toString())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planDevanningDate : any ;</v>
      </c>
      <c r="T22" s="31" t="str">
        <f t="shared" ref="T22:T24" si="25">REPT(CHAR(9),3)&amp;"this."&amp;D22&amp;","</f>
        <v xml:space="preserve">			this.planDevanningDate,</v>
      </c>
      <c r="U22" s="31" t="str">
        <f t="shared" ref="U22:U24" si="26">IF(E22="int",REPT(CHAR(9),2)&amp;"this."&amp;D22&amp;" = 0,",REPT(CHAR(9),2)&amp;"this."&amp;D22&amp;" = '',")</f>
        <v xml:space="preserve">		this.planDevanningDate = '',</v>
      </c>
      <c r="V22" s="31" t="str">
        <f t="shared" si="23"/>
        <v/>
      </c>
    </row>
    <row r="23" spans="1:22" ht="18" customHeight="1" x14ac:dyDescent="0.25">
      <c r="A23" s="44" t="s">
        <v>316</v>
      </c>
      <c r="B23" s="31" t="str">
        <f>SUBSTITUTE(PROPER(A23),"_","")</f>
        <v>ActDevanningDate</v>
      </c>
      <c r="C23" s="31" t="str">
        <f>SUBSTITUTE(PROPER(A23),"_"," ")</f>
        <v>Act Devanning Date</v>
      </c>
      <c r="D23" s="31" t="str">
        <f>LOWER(LEFT(B23,1))&amp;RIGHT(B23,LEN(B23) - 1)</f>
        <v>actDevanningDate</v>
      </c>
      <c r="E23" s="31" t="str">
        <f>A.Backend!H17</f>
        <v>DateTime</v>
      </c>
      <c r="F23" s="31" t="str">
        <f>A.Backend!G17</f>
        <v>7</v>
      </c>
      <c r="G23" s="31" t="str">
        <f t="shared" si="18"/>
        <v xml:space="preserve"> : any ;</v>
      </c>
      <c r="H23" s="38" t="str">
        <f t="shared" si="19"/>
        <v xml:space="preserve">			{headerName: this.l('Act Devanning Date'),headerTooltip: this.l('Act Devanning Date'),field: 'actDevanningDate',valueGetter: (params) =&gt; this.pipe.transform(params.data?.actDevanningDate, 'dd/MM/yyyy'),flex: 1},</v>
      </c>
      <c r="I23" s="38" t="str">
        <f t="shared" si="20"/>
        <v xml:space="preserve">								&lt;div class='input-search'&gt;
									&lt;input type='text' [placeholder]="l('Act Devanning Date')" [(ngModel)]='actDevanningDate' 
									name='actDevanningDate'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21"/>
        <v xml:space="preserve">					&lt;div class='col-md-12 form-group row'&gt;
						&lt;label class='col-md-2 form-control title'&gt;Act Devanning Date&lt;/label&gt;
						&lt;input type='text' class='col-md-10 form-control input-text' name='actDevanningDate' 
						#datepicker='bsDatepicker' [(ngModel)]='rowdata.actDevanningDate'  bsDatepicker &gt;
					&lt;/div&gt;</v>
      </c>
      <c r="L23" s="60" t="str">
        <f t="shared" si="22"/>
        <v xml:space="preserve">		const dateValue =  this.rowdata.actDevanningDate ? new Date(this.rowdata.actDevanningDate?.toString())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si="24"/>
        <v xml:space="preserve">	actDevanningDate : any ;</v>
      </c>
      <c r="T23" s="31" t="str">
        <f t="shared" si="25"/>
        <v xml:space="preserve">			this.actDevanningDate,</v>
      </c>
      <c r="U23" s="31" t="str">
        <f t="shared" si="26"/>
        <v xml:space="preserve">		this.actDevanningDate = '',</v>
      </c>
      <c r="V23" s="31" t="str">
        <f t="shared" si="23"/>
        <v/>
      </c>
    </row>
    <row r="24" spans="1:22" ht="15" customHeight="1" x14ac:dyDescent="0.25">
      <c r="A24" s="44" t="s">
        <v>317</v>
      </c>
      <c r="B24" s="31" t="str">
        <f t="shared" ref="B24" si="27">SUBSTITUTE(PROPER(A24),"_","")</f>
        <v>ActDevanningDateFinished</v>
      </c>
      <c r="C24" s="31" t="str">
        <f t="shared" ref="C24" si="28">SUBSTITUTE(PROPER(A24),"_"," ")</f>
        <v>Act Devanning Date Finished</v>
      </c>
      <c r="D24" s="31" t="str">
        <f t="shared" ref="D24" si="29">LOWER(LEFT(B24,1))&amp;RIGHT(B24,LEN(B24) - 1)</f>
        <v>actDevanningDateFinished</v>
      </c>
      <c r="E24" s="31" t="str">
        <f>A.Backend!H18</f>
        <v>DateTime</v>
      </c>
      <c r="F24" s="31" t="str">
        <f>A.Backend!G18</f>
        <v>7</v>
      </c>
      <c r="G24" s="31" t="str">
        <f t="shared" si="18"/>
        <v xml:space="preserve"> : any ;</v>
      </c>
      <c r="H24" s="38" t="str">
        <f t="shared" si="19"/>
        <v xml:space="preserve">			{headerName: this.l('Act Devanning Date Finished'),headerTooltip: this.l('Act Devanning Date Finished'),field: 'actDevanningDateFinished',valueGetter: (params) =&gt; this.pipe.transform(params.data?.actDevanningDateFinished, 'dd/MM/yyyy'),flex: 1},</v>
      </c>
      <c r="I24" s="38" t="str">
        <f t="shared" si="20"/>
        <v xml:space="preserve">								&lt;div class='input-search'&gt;
									&lt;input type='text' [placeholder]="l('Act Devanning Date Finished')" [(ngModel)]='actDevanningDateFinished' 
									name='actDevanningDateFinished'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21"/>
        <v xml:space="preserve">					&lt;div class='col-md-12 form-group row'&gt;
						&lt;label class='col-md-2 form-control title'&gt;Act Devanning Date Finished&lt;/label&gt;
						&lt;input type='text' class='col-md-10 form-control input-text' name='actDevanningDateFinished' 
						#datepicker='bsDatepicker' [(ngModel)]='rowdata.actDevanningDateFinished'  bsDatepicker &gt;
					&lt;/div&gt;</v>
      </c>
      <c r="L24" s="60" t="str">
        <f t="shared" si="22"/>
        <v xml:space="preserve">		const dateValue =  this.rowdata.actDevanningDateFinished ? new Date(this.rowdata.actDevanningDateFinished?.toString())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24"/>
        <v xml:space="preserve">	actDevanningDateFinished : any ;</v>
      </c>
      <c r="T24" s="31" t="str">
        <f t="shared" si="25"/>
        <v xml:space="preserve">			this.actDevanningDateFinished,</v>
      </c>
      <c r="U24" s="31" t="str">
        <f t="shared" si="26"/>
        <v xml:space="preserve">		this.actDevanningDateFinished = '',</v>
      </c>
      <c r="V24" s="31" t="str">
        <f t="shared" si="23"/>
        <v/>
      </c>
    </row>
    <row r="25" spans="1:22" ht="18" customHeight="1" x14ac:dyDescent="0.25">
      <c r="A25" s="44" t="s">
        <v>318</v>
      </c>
      <c r="B25" s="31" t="str">
        <f>SUBSTITUTE(PROPER(A25),"_","")</f>
        <v>DevanningType</v>
      </c>
      <c r="C25" s="31" t="str">
        <f>SUBSTITUTE(PROPER(A25),"_"," ")</f>
        <v>Devanning Type</v>
      </c>
      <c r="D25" s="31" t="str">
        <f>LOWER(LEFT(B25,1))&amp;RIGHT(B25,LEN(B25) - 1)</f>
        <v>devanningType</v>
      </c>
      <c r="E25" s="31" t="str">
        <f>A.Backend!H19</f>
        <v>string</v>
      </c>
      <c r="F25" s="31" t="str">
        <f>A.Backend!G19</f>
        <v>10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this.l('Devanning Type'),headerTooltip: this.l('Devanning Type'),field: 'devanningType',flex: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[(ngModel)]='devanningType' name='devanningType'
									class='form-control' [placeholder]="l('Devanning Type')"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title'&gt;Devanning Type&lt;/label&gt;
						&lt;input type='text' class='col-md-10 form-control input-text' name='DevanningType' [(ngModel)]='rowdata.devanningType'&gt;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devanningType : string = '' ; </v>
      </c>
      <c r="T25" s="31" t="str">
        <f>REPT(CHAR(9),3)&amp;"this."&amp;D25&amp;","</f>
        <v xml:space="preserve">			this.devanningType,</v>
      </c>
      <c r="U25" s="31" t="str">
        <f>IF(E25="int","this."&amp;D25&amp;" = 0,","this."&amp;D25&amp;" = '',")</f>
        <v>this.devanningType = '',</v>
      </c>
      <c r="V25" s="31" t="str">
        <f>IF(AND(E25="string",F25="1"),D25,"")</f>
        <v/>
      </c>
    </row>
    <row r="26" spans="1:22" ht="15" customHeight="1" x14ac:dyDescent="0.25">
      <c r="A26" s="44" t="s">
        <v>308</v>
      </c>
      <c r="B26" s="31" t="str">
        <f t="shared" ref="B26:B27" si="30">SUBSTITUTE(PROPER(A26),"_","")</f>
        <v>Status</v>
      </c>
      <c r="C26" s="31" t="str">
        <f t="shared" ref="C26:C27" si="31">SUBSTITUTE(PROPER(A26),"_"," ")</f>
        <v>Status</v>
      </c>
      <c r="D26" s="31" t="str">
        <f t="shared" ref="D26:D27" si="32">LOWER(LEFT(B26,1))&amp;RIGHT(B26,LEN(B26) - 1)</f>
        <v>status</v>
      </c>
      <c r="E26" s="31" t="str">
        <f>A.Backend!H20</f>
        <v>string</v>
      </c>
      <c r="F26" s="31" t="str">
        <f>A.Backend!G20</f>
        <v>50</v>
      </c>
      <c r="G26" s="31" t="str">
        <f t="shared" ref="G26:G29" si="33">IF(E26="string"," : string = '' ; ",IF(OR(E26="DateTime",E26="TimeSpan")," : any ;",IF(E26="int"," : number = 0 ;","")))</f>
        <v xml:space="preserve"> : string = '' ; </v>
      </c>
      <c r="H26" s="38" t="str">
        <f t="shared" ref="H26:H29" si="34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this.l('Status'),headerTooltip: this.l('Status'),field: 'status',flex: 1},</v>
      </c>
      <c r="I26" s="38" t="str">
        <f t="shared" ref="I26:I29" si="35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6" s="31"/>
      <c r="K26" s="38" t="str">
        <f t="shared" ref="K26:K29" si="36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6" s="60" t="str">
        <f t="shared" ref="L26:L29" si="3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status : string = '' ; </v>
      </c>
      <c r="T26" s="31" t="str">
        <f>REPT(CHAR(9),3)&amp;"this."&amp;D26&amp;","</f>
        <v xml:space="preserve">			this.status,</v>
      </c>
      <c r="U26" s="31" t="str">
        <f>IF(E26="int",REPT(CHAR(9),2)&amp;"this."&amp;D26&amp;" = 0,",REPT(CHAR(9),2)&amp;"this."&amp;D26&amp;" = '',")</f>
        <v xml:space="preserve">		this.status = '',</v>
      </c>
      <c r="V26" s="31" t="str">
        <f t="shared" ref="V26:V29" si="38">IF(AND(E26="string",F26="1"),D26,"")</f>
        <v/>
      </c>
    </row>
    <row r="27" spans="1:22" ht="18" customHeight="1" x14ac:dyDescent="0.25">
      <c r="A27" s="44" t="s">
        <v>319</v>
      </c>
      <c r="B27" s="31" t="str">
        <f t="shared" si="30"/>
        <v>DevLeadtime</v>
      </c>
      <c r="C27" s="31" t="str">
        <f t="shared" si="31"/>
        <v>Dev Leadtime</v>
      </c>
      <c r="D27" s="31" t="str">
        <f t="shared" si="32"/>
        <v>devLeadtime</v>
      </c>
      <c r="E27" s="31" t="str">
        <f>A.Backend!H21</f>
        <v>int</v>
      </c>
      <c r="F27" s="31" t="str">
        <f>A.Backend!G21</f>
        <v/>
      </c>
      <c r="G27" s="31" t="str">
        <f t="shared" si="33"/>
        <v xml:space="preserve"> : number = 0 ;</v>
      </c>
      <c r="H27" s="38" t="str">
        <f t="shared" si="34"/>
        <v xml:space="preserve">			{headerName: this.l('Dev Leadtime'),headerTooltip: this.l('Dev Leadtime'),field: 'devLeadtime',flex: 1},</v>
      </c>
      <c r="I27" s="38" t="str">
        <f t="shared" si="35"/>
        <v/>
      </c>
      <c r="J27" s="31"/>
      <c r="K27" s="38" t="str">
        <f t="shared" si="36"/>
        <v xml:space="preserve">					&lt;div class='col-md-12 form-group row'&gt;
						&lt;label class='col-md-2 form-control title'&gt;Dev Leadtime&lt;/label&gt;
						&lt;input type='number' class='col-md-10 form-control input-text' name='DevLeadtime' [(ngModel)]='rowdata.devLeadtime'&gt;
					&lt;/div&gt;</v>
      </c>
      <c r="L27" s="60" t="str">
        <f t="shared" si="37"/>
        <v/>
      </c>
      <c r="M27" s="31"/>
      <c r="N27" s="31"/>
      <c r="O27" s="31"/>
      <c r="P27" s="31"/>
      <c r="Q27" s="31"/>
      <c r="R27" s="31"/>
      <c r="S27" s="31" t="str">
        <f t="shared" ref="S27:S29" si="39">REPT(CHAR(9),1)&amp;D27&amp;G27</f>
        <v xml:space="preserve">	devLeadtime : number = 0 ;</v>
      </c>
      <c r="T27" s="31" t="str">
        <f t="shared" ref="T27:T29" si="40">REPT(CHAR(9),3)&amp;"this."&amp;D27&amp;","</f>
        <v xml:space="preserve">			this.devLeadtime,</v>
      </c>
      <c r="U27" s="31" t="str">
        <f t="shared" ref="U27:U29" si="41">IF(E27="int",REPT(CHAR(9),2)&amp;"this."&amp;D27&amp;" = 0,",REPT(CHAR(9),2)&amp;"this."&amp;D27&amp;" = '',")</f>
        <v xml:space="preserve">		this.devLeadtime = 0,</v>
      </c>
      <c r="V27" s="31" t="str">
        <f t="shared" si="38"/>
        <v/>
      </c>
    </row>
    <row r="28" spans="1:22" ht="18" customHeight="1" x14ac:dyDescent="0.25">
      <c r="A28" s="44" t="s">
        <v>320</v>
      </c>
      <c r="B28" s="31" t="str">
        <f>SUBSTITUTE(PROPER(A28),"_","")</f>
        <v>PlanDevanningLineOff</v>
      </c>
      <c r="C28" s="31" t="str">
        <f>SUBSTITUTE(PROPER(A28),"_"," ")</f>
        <v>Plan Devanning Line Off</v>
      </c>
      <c r="D28" s="31" t="str">
        <f>LOWER(LEFT(B28,1))&amp;RIGHT(B28,LEN(B28) - 1)</f>
        <v>planDevanningLineOff</v>
      </c>
      <c r="E28" s="31" t="str">
        <f>A.Backend!H22</f>
        <v>int</v>
      </c>
      <c r="F28" s="31" t="str">
        <f>A.Backend!G22</f>
        <v/>
      </c>
      <c r="G28" s="31" t="str">
        <f t="shared" si="33"/>
        <v xml:space="preserve"> : number = 0 ;</v>
      </c>
      <c r="H28" s="38" t="str">
        <f t="shared" si="34"/>
        <v xml:space="preserve">			{headerName: this.l('Plan Devanning Line Off'),headerTooltip: this.l('Plan Devanning Line Off'),field: 'planDevanningLineOff',flex: 1},</v>
      </c>
      <c r="I28" s="38" t="str">
        <f t="shared" si="35"/>
        <v/>
      </c>
      <c r="J28" s="31"/>
      <c r="K28" s="38" t="str">
        <f t="shared" si="36"/>
        <v xml:space="preserve">					&lt;div class='col-md-12 form-group row'&gt;
						&lt;label class='col-md-2 form-control title'&gt;Plan Devanning Line Off&lt;/label&gt;
						&lt;input type='number' class='col-md-10 form-control input-text' name='PlanDevanningLineOff' [(ngModel)]='rowdata.planDevanningLineOff'&gt;
					&lt;/div&gt;</v>
      </c>
      <c r="L28" s="60" t="str">
        <f t="shared" si="37"/>
        <v/>
      </c>
      <c r="M28" s="31"/>
      <c r="N28" s="31"/>
      <c r="O28" s="31"/>
      <c r="P28" s="31"/>
      <c r="Q28" s="31"/>
      <c r="R28" s="31"/>
      <c r="S28" s="31" t="str">
        <f t="shared" si="39"/>
        <v xml:space="preserve">	planDevanningLineOff : number = 0 ;</v>
      </c>
      <c r="T28" s="31" t="str">
        <f t="shared" si="40"/>
        <v xml:space="preserve">			this.planDevanningLineOff,</v>
      </c>
      <c r="U28" s="31" t="str">
        <f t="shared" si="41"/>
        <v xml:space="preserve">		this.planDevanningLineOff = 0,</v>
      </c>
      <c r="V28" s="31" t="str">
        <f t="shared" si="38"/>
        <v/>
      </c>
    </row>
    <row r="29" spans="1:22" ht="15" customHeight="1" x14ac:dyDescent="0.25">
      <c r="A29" s="44" t="s">
        <v>321</v>
      </c>
      <c r="B29" s="31" t="str">
        <f t="shared" ref="B29" si="42">SUBSTITUTE(PROPER(A29),"_","")</f>
        <v>SortingStatus</v>
      </c>
      <c r="C29" s="31" t="str">
        <f t="shared" ref="C29" si="43">SUBSTITUTE(PROPER(A29),"_"," ")</f>
        <v>Sorting Status</v>
      </c>
      <c r="D29" s="31" t="str">
        <f t="shared" ref="D29" si="44">LOWER(LEFT(B29,1))&amp;RIGHT(B29,LEN(B29) - 1)</f>
        <v>sortingStatus</v>
      </c>
      <c r="E29" s="31" t="str">
        <f>A.Backend!H23</f>
        <v>string</v>
      </c>
      <c r="F29" s="31" t="str">
        <f>A.Backend!G23</f>
        <v>10</v>
      </c>
      <c r="G29" s="31" t="str">
        <f t="shared" si="33"/>
        <v xml:space="preserve"> : string = '' ; </v>
      </c>
      <c r="H29" s="38" t="str">
        <f t="shared" si="34"/>
        <v xml:space="preserve">			{headerName: this.l('Sorting Status'),headerTooltip: this.l('Sorting Status'),field: 'sortingStatus',flex: 1},</v>
      </c>
      <c r="I29" s="38" t="str">
        <f t="shared" si="35"/>
        <v xml:space="preserve">								&lt;div class='input-search'&gt;
									&lt;input [(ngModel)]='sortingStatus' name='sortingStatus'
									class='form-control' [placeholder]="l('Sorting Status')"
									type='text' (keyup.enter)='searchDatas()'&gt;
								&lt;/div&gt;</v>
      </c>
      <c r="J29" s="31"/>
      <c r="K29" s="38" t="str">
        <f t="shared" si="36"/>
        <v xml:space="preserve">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</v>
      </c>
      <c r="L29" s="60" t="str">
        <f t="shared" si="37"/>
        <v/>
      </c>
      <c r="M29" s="31"/>
      <c r="N29" s="31"/>
      <c r="O29" s="31"/>
      <c r="P29" s="31"/>
      <c r="Q29" s="31"/>
      <c r="R29" s="31"/>
      <c r="S29" s="31" t="str">
        <f t="shared" si="39"/>
        <v xml:space="preserve">	sortingStatus : string = '' ; </v>
      </c>
      <c r="T29" s="31" t="str">
        <f t="shared" si="40"/>
        <v xml:space="preserve">			this.sortingStatus,</v>
      </c>
      <c r="U29" s="31" t="str">
        <f t="shared" si="41"/>
        <v xml:space="preserve">		this.sortingStatus = '',</v>
      </c>
      <c r="V29" s="31" t="str">
        <f t="shared" si="38"/>
        <v/>
      </c>
    </row>
    <row r="30" spans="1:22" ht="18" customHeight="1" x14ac:dyDescent="0.25">
      <c r="A30" s="44" t="s">
        <v>302</v>
      </c>
      <c r="B30" s="31" t="str">
        <f>SUBSTITUTE(PROPER(A30),"_","")</f>
        <v>IsActive</v>
      </c>
      <c r="C30" s="31" t="str">
        <f>SUBSTITUTE(PROPER(A30),"_"," ")</f>
        <v>Is Active</v>
      </c>
      <c r="D30" s="31" t="str">
        <f>LOWER(LEFT(B30,1))&amp;RIGHT(B30,LEN(B30) - 1)</f>
        <v>isActive</v>
      </c>
      <c r="E30" s="31" t="str">
        <f>A.Backend!H24</f>
        <v>string</v>
      </c>
      <c r="F30" s="31" t="str">
        <f>A.Backend!G24</f>
        <v>1</v>
      </c>
      <c r="G30" s="31" t="str">
        <f>IF(E30="string"," : string = '' ; ",IF(OR(E30="DateTime",E30="TimeSpan")," : any ;",IF(E30="int"," : number = 0 ;","")))</f>
        <v xml:space="preserve"> : string = '' ; 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0" s="38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D30&amp;G30</f>
        <v xml:space="preserve">isActive : string = '' ; </v>
      </c>
      <c r="T30" s="31" t="str">
        <f>REPT(CHAR(9),3)&amp;"this."&amp;D30&amp;","</f>
        <v xml:space="preserve">			this.isActive,</v>
      </c>
      <c r="U30" s="31" t="str">
        <f>IF(E30="int","this."&amp;D30&amp;" = 0,","this."&amp;D30&amp;" = '',")</f>
        <v>this.isActive = '',</v>
      </c>
      <c r="V30" s="31" t="str">
        <f>IF(AND(E30="string",F30="1"),D30,"")</f>
        <v>isActive</v>
      </c>
    </row>
    <row r="33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2022-07-15T11:38:13Z</dcterms:modified>
</cp:coreProperties>
</file>
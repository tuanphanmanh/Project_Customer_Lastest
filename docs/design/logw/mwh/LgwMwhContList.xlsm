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Working\Production\prod\docs\design\logw\mwh\"/>
    </mc:Choice>
  </mc:AlternateContent>
  <xr:revisionPtr revIDLastSave="0" documentId="13_ncr:1_{6DC09D65-9262-481A-A8B1-A0ED2FF3991E}" xr6:coauthVersionLast="36" xr6:coauthVersionMax="36" xr10:uidLastSave="{00000000-0000-0000-0000-000000000000}"/>
  <bookViews>
    <workbookView xWindow="0" yWindow="0" windowWidth="28800" windowHeight="11805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V20" i="5"/>
  <c r="C20" i="5"/>
  <c r="B20" i="5"/>
  <c r="D20" i="5" s="1"/>
  <c r="C19" i="5"/>
  <c r="B19" i="5"/>
  <c r="D19" i="5" s="1"/>
  <c r="D18" i="5"/>
  <c r="T18" i="5" s="1"/>
  <c r="C18" i="5"/>
  <c r="B18" i="5"/>
  <c r="G16" i="1"/>
  <c r="E16" i="1"/>
  <c r="H16" i="1" s="1"/>
  <c r="D16" i="1"/>
  <c r="V16" i="1" s="1"/>
  <c r="V15" i="1"/>
  <c r="L15" i="1"/>
  <c r="G15" i="1"/>
  <c r="E15" i="1"/>
  <c r="H15" i="1" s="1"/>
  <c r="D15" i="1"/>
  <c r="T15" i="1" s="1"/>
  <c r="G14" i="1"/>
  <c r="E14" i="1"/>
  <c r="H14" i="1" s="1"/>
  <c r="O14" i="1" s="1"/>
  <c r="D14" i="1"/>
  <c r="V14" i="1" s="1"/>
  <c r="L18" i="5" l="1"/>
  <c r="L19" i="5"/>
  <c r="H19" i="5"/>
  <c r="G19" i="5"/>
  <c r="S19" i="5" s="1"/>
  <c r="U20" i="5"/>
  <c r="T20" i="5"/>
  <c r="I20" i="5"/>
  <c r="H20" i="5"/>
  <c r="K20" i="5"/>
  <c r="T19" i="5"/>
  <c r="I19" i="5"/>
  <c r="U19" i="5"/>
  <c r="U18" i="5"/>
  <c r="G18" i="5"/>
  <c r="S18" i="5" s="1"/>
  <c r="V18" i="5"/>
  <c r="L20" i="5"/>
  <c r="K19" i="5"/>
  <c r="H18" i="5"/>
  <c r="I18" i="5"/>
  <c r="V19" i="5"/>
  <c r="K18" i="5"/>
  <c r="G20" i="5"/>
  <c r="S20" i="5" s="1"/>
  <c r="L16" i="1"/>
  <c r="N15" i="1"/>
  <c r="M15" i="1"/>
  <c r="W15" i="1"/>
  <c r="J15" i="1"/>
  <c r="O15" i="1"/>
  <c r="I15" i="1"/>
  <c r="W16" i="1"/>
  <c r="J16" i="1"/>
  <c r="O16" i="1"/>
  <c r="N16" i="1"/>
  <c r="M16" i="1"/>
  <c r="I16" i="1"/>
  <c r="P16" i="1"/>
  <c r="P14" i="1"/>
  <c r="L14" i="1"/>
  <c r="T16" i="1"/>
  <c r="N14" i="1"/>
  <c r="P15" i="1"/>
  <c r="T14" i="1"/>
  <c r="I14" i="1"/>
  <c r="J14" i="1"/>
  <c r="W14" i="1"/>
  <c r="M14" i="1"/>
  <c r="B24" i="5"/>
  <c r="D24" i="5" s="1"/>
  <c r="C23" i="5"/>
  <c r="L18" i="1"/>
  <c r="G18" i="1"/>
  <c r="E18" i="1"/>
  <c r="H18" i="1" s="1"/>
  <c r="D18" i="1"/>
  <c r="V18" i="1" s="1"/>
  <c r="G17" i="1"/>
  <c r="E17" i="1"/>
  <c r="H17" i="1" s="1"/>
  <c r="D17" i="1"/>
  <c r="P17" i="1" s="1"/>
  <c r="T24" i="5" l="1"/>
  <c r="C24" i="5"/>
  <c r="I24" i="5" s="1"/>
  <c r="V24" i="5"/>
  <c r="U24" i="5"/>
  <c r="B23" i="5"/>
  <c r="D23" i="5" s="1"/>
  <c r="I23" i="5" s="1"/>
  <c r="G24" i="5"/>
  <c r="S24" i="5" s="1"/>
  <c r="L24" i="5"/>
  <c r="G23" i="5"/>
  <c r="L23" i="5"/>
  <c r="T18" i="1"/>
  <c r="W17" i="1"/>
  <c r="T17" i="1"/>
  <c r="P18" i="1"/>
  <c r="N18" i="1"/>
  <c r="I18" i="1"/>
  <c r="M18" i="1"/>
  <c r="W18" i="1"/>
  <c r="O18" i="1"/>
  <c r="J18" i="1"/>
  <c r="M17" i="1"/>
  <c r="I17" i="1"/>
  <c r="N17" i="1"/>
  <c r="V17" i="1"/>
  <c r="J17" i="1"/>
  <c r="O17" i="1"/>
  <c r="V23" i="5" l="1"/>
  <c r="K24" i="5"/>
  <c r="K23" i="5"/>
  <c r="U23" i="5"/>
  <c r="H24" i="5"/>
  <c r="T23" i="5"/>
  <c r="S23" i="5"/>
  <c r="H23" i="5"/>
  <c r="W3" i="1"/>
  <c r="V3" i="1"/>
  <c r="B2" i="5" l="1"/>
  <c r="B3" i="5" s="1"/>
  <c r="C22" i="5"/>
  <c r="B21" i="5"/>
  <c r="D21" i="5" s="1"/>
  <c r="G13" i="1"/>
  <c r="E13" i="1"/>
  <c r="H13" i="1" s="1"/>
  <c r="D13" i="1"/>
  <c r="G12" i="1"/>
  <c r="E12" i="1"/>
  <c r="H12" i="1" s="1"/>
  <c r="D12" i="1"/>
  <c r="V12" i="1" l="1"/>
  <c r="T12" i="1"/>
  <c r="N13" i="1"/>
  <c r="O13" i="1"/>
  <c r="M13" i="1"/>
  <c r="N12" i="1"/>
  <c r="M12" i="1"/>
  <c r="O12" i="1"/>
  <c r="T13" i="1"/>
  <c r="V13" i="1"/>
  <c r="W12" i="1"/>
  <c r="W13" i="1"/>
  <c r="T21" i="5"/>
  <c r="P13" i="1"/>
  <c r="C21" i="5"/>
  <c r="B22" i="5"/>
  <c r="D22" i="5" s="1"/>
  <c r="J12" i="1"/>
  <c r="I12" i="1"/>
  <c r="I13" i="1"/>
  <c r="P12" i="1"/>
  <c r="J13" i="1"/>
  <c r="B6" i="5"/>
  <c r="L22" i="5" l="1"/>
  <c r="I22" i="5"/>
  <c r="K22" i="5"/>
  <c r="H22" i="5"/>
  <c r="L21" i="5"/>
  <c r="K21" i="5"/>
  <c r="I21" i="5"/>
  <c r="H21" i="5"/>
  <c r="G22" i="5"/>
  <c r="S22" i="5" s="1"/>
  <c r="U22" i="5"/>
  <c r="V22" i="5"/>
  <c r="G21" i="5"/>
  <c r="S21" i="5" s="1"/>
  <c r="U21" i="5"/>
  <c r="V21" i="5"/>
  <c r="T22" i="5"/>
  <c r="U7" i="1" l="1"/>
  <c r="B7" i="5" l="1"/>
  <c r="Q3" i="1" l="1"/>
  <c r="O7" i="1" s="1"/>
  <c r="T3" i="1"/>
  <c r="F3" i="1"/>
  <c r="B4" i="5" l="1"/>
  <c r="N7" i="1"/>
  <c r="E47" i="3" s="1"/>
  <c r="K7" i="1"/>
  <c r="H6" i="1"/>
  <c r="R10" i="5" l="1"/>
  <c r="M54" i="3" s="1"/>
  <c r="N47" i="3" l="1"/>
  <c r="B8" i="5"/>
  <c r="B5" i="5"/>
  <c r="D9" i="1"/>
  <c r="V9" i="1" l="1"/>
  <c r="T9" i="1"/>
  <c r="P10" i="5"/>
  <c r="K54" i="3" s="1"/>
  <c r="Q10" i="5"/>
  <c r="L54" i="3" s="1"/>
  <c r="B52" i="3"/>
  <c r="C52" i="3" s="1"/>
  <c r="M14" i="5"/>
  <c r="H53" i="3" s="1"/>
  <c r="L14" i="5"/>
  <c r="G53" i="3" s="1"/>
  <c r="K14" i="5"/>
  <c r="F53" i="3" s="1"/>
  <c r="L53" i="3"/>
  <c r="K53" i="3"/>
  <c r="O14" i="5"/>
  <c r="J53" i="3" s="1"/>
  <c r="N14" i="5"/>
  <c r="I53" i="3" s="1"/>
  <c r="J14" i="5"/>
  <c r="E53" i="3" s="1"/>
  <c r="I14" i="5"/>
  <c r="D53" i="3" s="1"/>
  <c r="H14" i="5"/>
  <c r="C53" i="3" s="1"/>
  <c r="O10" i="5"/>
  <c r="J54" i="3" s="1"/>
  <c r="N10" i="5"/>
  <c r="I54" i="3" s="1"/>
  <c r="M10" i="5"/>
  <c r="H54" i="3" s="1"/>
  <c r="J10" i="5"/>
  <c r="E54" i="3" s="1"/>
  <c r="N3" i="1" l="1"/>
  <c r="M3" i="1"/>
  <c r="O3" i="1"/>
  <c r="D10" i="1"/>
  <c r="D11" i="1"/>
  <c r="V10" i="1" l="1"/>
  <c r="T10" i="1"/>
  <c r="V11" i="1"/>
  <c r="T11" i="1"/>
  <c r="C15" i="5"/>
  <c r="B15" i="5"/>
  <c r="D15" i="5" s="1"/>
  <c r="V20" i="1"/>
  <c r="V12" i="5" l="1"/>
  <c r="L12" i="5"/>
  <c r="U12" i="5"/>
  <c r="S12" i="5"/>
  <c r="H12" i="5"/>
  <c r="K12" i="5"/>
  <c r="T12" i="5"/>
  <c r="I12" i="5"/>
  <c r="T15" i="5"/>
  <c r="C17" i="5"/>
  <c r="B17" i="5"/>
  <c r="D17" i="5" s="1"/>
  <c r="C16" i="5"/>
  <c r="B16" i="5"/>
  <c r="D16" i="5" s="1"/>
  <c r="T16" i="5" s="1"/>
  <c r="T17" i="5" l="1"/>
  <c r="R3" i="1"/>
  <c r="D1" i="1"/>
  <c r="F6" i="1"/>
  <c r="T13" i="5"/>
  <c r="G9" i="1" l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20" i="1"/>
  <c r="O11" i="1" l="1"/>
  <c r="M11" i="1"/>
  <c r="N11" i="1"/>
  <c r="O10" i="1"/>
  <c r="M10" i="1"/>
  <c r="N10" i="1"/>
  <c r="O9" i="1"/>
  <c r="M9" i="1"/>
  <c r="N9" i="1"/>
  <c r="W11" i="1"/>
  <c r="E15" i="5"/>
  <c r="W9" i="1"/>
  <c r="W10" i="1"/>
  <c r="T7" i="1"/>
  <c r="I11" i="1"/>
  <c r="I10" i="1"/>
  <c r="I9" i="1"/>
  <c r="W20" i="1"/>
  <c r="L16" i="5" l="1"/>
  <c r="H16" i="5"/>
  <c r="I16" i="5"/>
  <c r="K16" i="5"/>
  <c r="L17" i="5"/>
  <c r="H17" i="5"/>
  <c r="I17" i="5"/>
  <c r="K17" i="5"/>
  <c r="L15" i="5"/>
  <c r="K15" i="5"/>
  <c r="I15" i="5"/>
  <c r="H15" i="5"/>
  <c r="G16" i="5"/>
  <c r="S16" i="5" s="1"/>
  <c r="U16" i="5"/>
  <c r="V16" i="5"/>
  <c r="G15" i="5"/>
  <c r="S15" i="5" s="1"/>
  <c r="V15" i="5"/>
  <c r="U15" i="5"/>
  <c r="G17" i="5"/>
  <c r="S17" i="5" s="1"/>
  <c r="U17" i="5"/>
  <c r="V17" i="5"/>
  <c r="G6" i="1"/>
  <c r="K13" i="5"/>
  <c r="H13" i="5"/>
  <c r="V13" i="5"/>
  <c r="I13" i="5"/>
  <c r="L13" i="5"/>
  <c r="U13" i="5"/>
  <c r="S13" i="5"/>
  <c r="K10" i="5" l="1"/>
  <c r="F54" i="3" s="1"/>
  <c r="I10" i="5"/>
  <c r="D54" i="3" s="1"/>
  <c r="H10" i="5"/>
  <c r="C54" i="3" s="1"/>
  <c r="L10" i="5"/>
  <c r="G54" i="3" s="1"/>
  <c r="L47" i="3"/>
  <c r="D47" i="3"/>
  <c r="D6" i="1"/>
  <c r="B6" i="1" l="1"/>
  <c r="L3" i="1"/>
  <c r="J3" i="1"/>
  <c r="H3" i="1"/>
  <c r="C6" i="1" l="1"/>
  <c r="P7" i="1" s="1"/>
  <c r="S3" i="1"/>
  <c r="S7" i="1" s="1"/>
  <c r="E6" i="1"/>
  <c r="F47" i="3"/>
  <c r="I3" i="1" l="1"/>
  <c r="B7" i="1"/>
  <c r="L11" i="1" l="1"/>
  <c r="L13" i="1"/>
  <c r="L12" i="1"/>
  <c r="L17" i="1"/>
  <c r="L9" i="1"/>
  <c r="L10" i="1"/>
  <c r="J11" i="1"/>
  <c r="J9" i="1"/>
  <c r="J10" i="1"/>
  <c r="C7" i="1"/>
  <c r="O20" i="1"/>
  <c r="J20" i="1"/>
  <c r="I20" i="1"/>
  <c r="N20" i="1"/>
  <c r="P20" i="1"/>
  <c r="Q7" i="1" l="1"/>
  <c r="M47" i="3" s="1"/>
  <c r="L7" i="1"/>
  <c r="G47" i="3" s="1"/>
  <c r="K47" i="3"/>
  <c r="J47" i="3"/>
  <c r="K20" i="1"/>
  <c r="M20" i="1"/>
  <c r="R7" i="1" l="1"/>
  <c r="I47" i="3" s="1"/>
  <c r="M7" i="1"/>
  <c r="H47" i="3" s="1"/>
  <c r="J7" i="1"/>
  <c r="C4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4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4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4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4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4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46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46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J46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46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L46" authorId="1" shapeId="0" xr:uid="{00000000-0006-0000-0000-00000A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M46" authorId="1" shapeId="0" xr:uid="{00000000-0006-0000-0000-00000B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
</t>
        </r>
      </text>
    </comment>
    <comment ref="N46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<sst xmlns="http://schemas.openxmlformats.org/spreadsheetml/2006/main" count="441" uniqueCount="317">
  <si>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</si>
  <si>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</si>
  <si>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</si>
  <si>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</si>
  <si>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</si>
  <si>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</si>
  <si>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</si>
  <si>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</si>
  <si>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</si>
  <si>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</si>
  <si>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</si>
  <si>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</si>
  <si>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</si>
  <si>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</si>
  <si>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</si>
  <si>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</si>
  <si>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</si>
  <si>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</si>
  <si>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</si>
  <si>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</si>
  <si>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</si>
  <si>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</si>
  <si>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</si>
  <si>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</si>
  <si>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</si>
  <si>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</si>
  <si>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</si>
  <si>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</si>
  <si>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</si>
  <si>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</si>
  <si>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</si>
  <si>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</si>
  <si>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</si>
  <si>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</si>
  <si>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</si>
  <si>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</si>
  <si>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</si>
  <si>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</si>
  <si>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</si>
  <si>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</si>
  <si>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</si>
  <si>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</si>
  <si>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</si>
  <si>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</si>
  <si>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</si>
  <si>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</si>
  <si>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</si>
  <si>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</si>
  <si>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</si>
  <si>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</si>
  <si>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</si>
  <si>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</si>
  <si>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</si>
  <si>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</si>
  <si>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</si>
  <si>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</si>
  <si>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</si>
  <si>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</si>
  <si>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</si>
  <si>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</si>
  <si>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</si>
  <si>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</si>
  <si>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</si>
  <si>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</si>
  <si>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</si>
  <si>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</si>
  <si>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</si>
  <si>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</si>
  <si>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</si>
  <si>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</si>
  <si>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</si>
  <si>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</si>
  <si>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</si>
  <si>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</si>
  <si>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</si>
  <si>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</si>
  <si>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</si>
  <si>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</si>
  <si>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</si>
  <si>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</si>
  <si>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</si>
  <si>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</si>
  <si>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</si>
  <si>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</si>
  <si>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</si>
  <si>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</si>
  <si>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</si>
  <si>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</si>
  <si>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</si>
  <si>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</si>
  <si>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</si>
  <si>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</si>
  <si>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</si>
  <si>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</si>
  <si>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</si>
  <si>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</si>
  <si>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</si>
  <si>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</si>
  <si>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</si>
  <si>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</si>
  <si>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</si>
  <si>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</si>
  <si>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</si>
  <si>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</si>
  <si>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</si>
  <si>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</si>
  <si>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</si>
  <si>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</si>
  <si>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</si>
  <si>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</si>
  <si>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</si>
  <si>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</si>
  <si>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</si>
  <si>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</si>
  <si>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</si>
  <si>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</si>
  <si>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</si>
  <si>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</si>
  <si>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</si>
  <si>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</si>
  <si>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</si>
  <si>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</si>
  <si>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</si>
  <si>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</si>
  <si>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</si>
  <si>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</si>
  <si>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</si>
  <si>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</si>
  <si>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</si>
  <si>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</si>
  <si>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</si>
  <si>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</si>
  <si>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</si>
  <si>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</si>
  <si>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</si>
  <si>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</si>
  <si>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</si>
  <si>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</si>
  <si>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</si>
  <si>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</si>
  <si>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</si>
  <si>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</si>
  <si>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</si>
  <si>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</si>
  <si>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</si>
  <si>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</si>
  <si>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</si>
  <si>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</si>
  <si>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</si>
  <si>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</si>
  <si>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</si>
  <si>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</si>
  <si>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</si>
  <si>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</si>
  <si>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</si>
  <si>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</si>
  <si>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</si>
  <si>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</si>
  <si>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</si>
  <si>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</si>
  <si>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</si>
  <si>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</si>
  <si>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</si>
  <si>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</si>
  <si>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</si>
  <si>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</si>
  <si>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</si>
  <si>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</si>
  <si>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</si>
  <si>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</si>
  <si>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</si>
  <si>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</si>
  <si>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</si>
  <si>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</si>
  <si>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</si>
  <si>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</si>
  <si>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</si>
  <si>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</si>
  <si>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</si>
  <si>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</si>
  <si>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</si>
  <si>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</si>
  <si>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</si>
  <si>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</si>
  <si>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</si>
  <si>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</si>
  <si>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</si>
  <si>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</si>
  <si>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</si>
  <si>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</si>
  <si>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</si>
  <si>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</si>
  <si>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</si>
  <si>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</si>
  <si>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</si>
  <si>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</si>
  <si>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</si>
  <si>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</si>
  <si>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</si>
  <si>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</si>
  <si>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</si>
  <si>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</si>
  <si>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</si>
  <si>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</si>
  <si>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</si>
  <si>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</si>
  <si>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</si>
  <si>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</si>
  <si>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</si>
  <si>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</si>
  <si>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</si>
  <si>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</si>
  <si>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</si>
  <si>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</si>
  <si>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</si>
  <si>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</si>
  <si>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</si>
  <si>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</si>
  <si>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</si>
  <si>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</si>
  <si>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</si>
  <si>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</si>
  <si>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</si>
  <si>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</si>
  <si>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</si>
  <si>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</si>
  <si>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</si>
  <si>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</si>
  <si>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</si>
  <si>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</si>
  <si>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</si>
  <si>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</si>
  <si>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</si>
  <si>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</si>
  <si>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</si>
  <si>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</si>
  <si>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</si>
  <si>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</si>
  <si>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</si>
  <si>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</si>
  <si>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</si>
  <si>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</si>
  <si>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</si>
  <si>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</si>
  <si>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</si>
  <si>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</si>
  <si>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</si>
  <si>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</si>
  <si>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</si>
  <si>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</si>
  <si>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</si>
  <si>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</si>
  <si>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</si>
  <si>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</si>
  <si>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</si>
  <si>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</si>
  <si>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</si>
  <si>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</si>
  <si>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</si>
  <si>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</si>
  <si>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</si>
  <si>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</si>
  <si>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</si>
  <si>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</si>
  <si>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</si>
  <si>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</si>
  <si>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</si>
  <si>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</si>
  <si>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</si>
  <si>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</si>
  <si>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</si>
  <si>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</si>
  <si>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</si>
  <si>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</si>
  <si>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</si>
  <si>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</si>
  <si>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</si>
  <si>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</si>
  <si>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</si>
  <si>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</si>
  <si>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</si>
  <si>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</si>
  <si>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</si>
  <si>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</si>
  <si>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</si>
  <si>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</si>
  <si>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</si>
  <si>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</si>
  <si>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</si>
  <si>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</si>
  <si>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</si>
  <si>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</si>
  <si>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</si>
  <si>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</si>
  <si>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</si>
  <si>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</si>
  <si>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</si>
  <si>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</si>
  <si>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</si>
  <si>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</si>
  <si>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</si>
  <si>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SUPPLIER_NO</t>
  </si>
  <si>
    <t>IS_ACTIVE</t>
  </si>
  <si>
    <t>varchar(50)</t>
  </si>
  <si>
    <t>RENBAN</t>
  </si>
  <si>
    <t>LogW.Mwh</t>
  </si>
  <si>
    <t>CONTAINER_NO</t>
  </si>
  <si>
    <t>DEVANNING_DATE</t>
  </si>
  <si>
    <t>START_DEVANNING_DATE</t>
  </si>
  <si>
    <t>datetime2(7)</t>
  </si>
  <si>
    <t>FINISH_DEVANNING_DATE</t>
  </si>
  <si>
    <t>STATUS</t>
  </si>
  <si>
    <t>CONT_SCHEDULE_ID</t>
  </si>
  <si>
    <t>SHOP</t>
  </si>
  <si>
    <t>LgwMwhContList</t>
  </si>
  <si>
    <t>ContList</t>
  </si>
  <si>
    <t>LogW Module Warehouse Container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</si>
</sst>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4"/>
  <sheetViews>
    <sheetView topLeftCell="A53" workbookViewId="0">
      <selection activeCell="C65" sqref="C65:E74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x14ac:dyDescent="0.25">
      <c r="A17" s="1"/>
      <c r="B17" s="17"/>
      <c r="C17" t="s">
        <v>91</v>
      </c>
      <c r="F17" s="1" t="s">
        <v>100</v>
      </c>
      <c r="G17" s="17" t="s">
        <v>100</v>
      </c>
    </row>
    <row r="18" spans="1:7" x14ac:dyDescent="0.25">
      <c r="A18" s="1"/>
      <c r="B18" s="17"/>
      <c r="D18" t="s">
        <v>95</v>
      </c>
      <c r="F18" s="1" t="s">
        <v>114</v>
      </c>
      <c r="G18" s="17" t="s">
        <v>293</v>
      </c>
    </row>
    <row r="19" spans="1:7" x14ac:dyDescent="0.25">
      <c r="A19" s="1"/>
      <c r="B19" s="17"/>
      <c r="D19" t="s">
        <v>96</v>
      </c>
      <c r="F19" s="1" t="s">
        <v>104</v>
      </c>
      <c r="G19" s="17" t="s">
        <v>294</v>
      </c>
    </row>
    <row r="20" spans="1:7" x14ac:dyDescent="0.25">
      <c r="A20" s="1"/>
      <c r="B20" s="17"/>
      <c r="C20" t="s">
        <v>92</v>
      </c>
      <c r="F20" s="1" t="s">
        <v>101</v>
      </c>
      <c r="G20" s="17" t="s">
        <v>101</v>
      </c>
    </row>
    <row r="21" spans="1:7" x14ac:dyDescent="0.25">
      <c r="A21" s="1"/>
      <c r="B21" s="17"/>
      <c r="C21" t="s">
        <v>93</v>
      </c>
      <c r="F21" s="1" t="s">
        <v>102</v>
      </c>
      <c r="G21" s="17" t="s">
        <v>102</v>
      </c>
    </row>
    <row r="22" spans="1:7" x14ac:dyDescent="0.25">
      <c r="A22" s="1"/>
      <c r="B22" s="17"/>
      <c r="C22" t="s">
        <v>271</v>
      </c>
      <c r="F22" s="1" t="s">
        <v>272</v>
      </c>
      <c r="G22" s="17" t="s">
        <v>272</v>
      </c>
    </row>
    <row r="23" spans="1:7" x14ac:dyDescent="0.25">
      <c r="A23" s="1"/>
      <c r="B23" s="17"/>
      <c r="D23" t="s">
        <v>273</v>
      </c>
      <c r="F23" s="1" t="s">
        <v>275</v>
      </c>
      <c r="G23" s="17" t="s">
        <v>295</v>
      </c>
    </row>
    <row r="24" spans="1:7" x14ac:dyDescent="0.25">
      <c r="A24" s="1"/>
      <c r="B24" s="17"/>
      <c r="D24" t="s">
        <v>276</v>
      </c>
      <c r="F24" s="1" t="s">
        <v>274</v>
      </c>
      <c r="G24" s="17" t="s">
        <v>296</v>
      </c>
    </row>
    <row r="25" spans="1:7" x14ac:dyDescent="0.25">
      <c r="A25" s="1"/>
      <c r="B25" s="17"/>
      <c r="D25" t="s">
        <v>277</v>
      </c>
      <c r="F25" s="1" t="s">
        <v>280</v>
      </c>
      <c r="G25" s="17" t="s">
        <v>297</v>
      </c>
    </row>
    <row r="26" spans="1:7" x14ac:dyDescent="0.25">
      <c r="A26" s="1"/>
      <c r="B26" s="17"/>
      <c r="D26" t="s">
        <v>278</v>
      </c>
      <c r="F26" s="1" t="s">
        <v>281</v>
      </c>
      <c r="G26" s="17" t="s">
        <v>298</v>
      </c>
    </row>
    <row r="27" spans="1:7" x14ac:dyDescent="0.25">
      <c r="A27" s="1"/>
      <c r="B27" s="17"/>
      <c r="D27" t="s">
        <v>279</v>
      </c>
      <c r="F27" s="1" t="s">
        <v>282</v>
      </c>
      <c r="G27" s="17" t="s">
        <v>299</v>
      </c>
    </row>
    <row r="28" spans="1:7" x14ac:dyDescent="0.25">
      <c r="A28" s="1"/>
      <c r="B28" s="17"/>
      <c r="D28" t="s">
        <v>284</v>
      </c>
      <c r="F28" s="1" t="s">
        <v>283</v>
      </c>
      <c r="G28" s="17" t="s">
        <v>300</v>
      </c>
    </row>
    <row r="29" spans="1:7" x14ac:dyDescent="0.25">
      <c r="A29" s="1"/>
      <c r="B29" s="17"/>
      <c r="F29" s="1"/>
    </row>
    <row r="30" spans="1:7" x14ac:dyDescent="0.25">
      <c r="A30" s="1"/>
      <c r="B30" s="17"/>
    </row>
    <row r="31" spans="1:7" x14ac:dyDescent="0.25">
      <c r="A31" s="1"/>
      <c r="B31" s="17" t="s">
        <v>86</v>
      </c>
    </row>
    <row r="32" spans="1:7" x14ac:dyDescent="0.25">
      <c r="A32" s="1"/>
      <c r="B32" s="17" t="s">
        <v>83</v>
      </c>
    </row>
    <row r="33" spans="1:14" x14ac:dyDescent="0.25">
      <c r="A33" s="1"/>
      <c r="B33" s="17"/>
      <c r="C33" s="19" t="s">
        <v>80</v>
      </c>
    </row>
    <row r="34" spans="1:14" x14ac:dyDescent="0.25">
      <c r="A34" s="1"/>
      <c r="B34" s="17"/>
      <c r="C34" s="18" t="s">
        <v>81</v>
      </c>
    </row>
    <row r="35" spans="1:14" x14ac:dyDescent="0.25">
      <c r="A35" s="1"/>
      <c r="B35" s="17"/>
      <c r="C35" s="18" t="s">
        <v>82</v>
      </c>
    </row>
    <row r="36" spans="1:14" x14ac:dyDescent="0.25">
      <c r="A36" s="1"/>
      <c r="B36" s="17" t="s">
        <v>106</v>
      </c>
      <c r="C36" s="18"/>
    </row>
    <row r="37" spans="1:14" x14ac:dyDescent="0.25">
      <c r="A37" s="1"/>
      <c r="B37" s="17"/>
      <c r="C37" s="18" t="s">
        <v>107</v>
      </c>
    </row>
    <row r="38" spans="1:14" x14ac:dyDescent="0.25">
      <c r="A38" s="1"/>
      <c r="B38" s="17"/>
      <c r="C38" s="18" t="s">
        <v>108</v>
      </c>
    </row>
    <row r="39" spans="1:14" x14ac:dyDescent="0.25">
      <c r="A39" s="1"/>
      <c r="B39" s="17"/>
      <c r="C39" s="18" t="s">
        <v>109</v>
      </c>
    </row>
    <row r="40" spans="1:14" x14ac:dyDescent="0.25">
      <c r="A40" s="1"/>
      <c r="B40" s="17"/>
      <c r="C40" s="18" t="s">
        <v>111</v>
      </c>
    </row>
    <row r="41" spans="1:14" x14ac:dyDescent="0.25">
      <c r="A41" s="1"/>
      <c r="B41" s="17"/>
      <c r="C41" s="18" t="s">
        <v>113</v>
      </c>
    </row>
    <row r="42" spans="1:14" x14ac:dyDescent="0.25">
      <c r="A42" s="1"/>
      <c r="B42" s="17"/>
      <c r="C42" s="18" t="s">
        <v>112</v>
      </c>
    </row>
    <row r="43" spans="1:14" x14ac:dyDescent="0.25">
      <c r="A43" s="1"/>
      <c r="B43" s="17"/>
      <c r="C43" s="18" t="s">
        <v>110</v>
      </c>
    </row>
    <row r="44" spans="1:14" ht="21" customHeight="1" x14ac:dyDescent="0.25">
      <c r="B44" s="21" t="s">
        <v>78</v>
      </c>
    </row>
    <row r="45" spans="1:14" ht="21" customHeight="1" x14ac:dyDescent="0.25">
      <c r="B45" s="63" t="s">
        <v>231</v>
      </c>
    </row>
    <row r="46" spans="1:14" ht="15.75" thickBot="1" x14ac:dyDescent="0.3">
      <c r="C46" s="1" t="s">
        <v>72</v>
      </c>
      <c r="D46" s="1" t="s">
        <v>207</v>
      </c>
      <c r="E46" s="1" t="s">
        <v>208</v>
      </c>
      <c r="F46" s="1" t="s">
        <v>198</v>
      </c>
      <c r="G46" s="1" t="s">
        <v>199</v>
      </c>
      <c r="H46" s="1" t="s">
        <v>200</v>
      </c>
      <c r="I46" s="1" t="s">
        <v>201</v>
      </c>
      <c r="J46" s="1" t="s">
        <v>205</v>
      </c>
      <c r="K46" s="1" t="s">
        <v>209</v>
      </c>
      <c r="L46" s="1" t="s">
        <v>210</v>
      </c>
      <c r="M46" s="1" t="s">
        <v>211</v>
      </c>
      <c r="N46" s="1" t="s">
        <v>227</v>
      </c>
    </row>
    <row r="47" spans="1:14" s="16" customFormat="1" ht="21.75" customHeight="1" thickBot="1" x14ac:dyDescent="0.3">
      <c r="B47" s="52" t="s">
        <v>226</v>
      </c>
      <c r="C47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vovina.LogW.Mwh
{
	[Table("LgwMwhContList")]
	[Index(nameof(ContainerNo), Name="IX_LgwMwhContList_ContainerNo")]
	[Index(nameof(Renban), Name="IX_LgwMwhContList_Renban")]
	[Index(nameof(SupplierNo), Name="IX_LgwMwhContList_SupplierNo")]
	[Index(nameof(IsActive), Name="IX_LgwMwhContList_IsActive")]	public class LgwMwhContList: FullAuditedEntity&lt;long&gt;, IEntity&lt;long&gt;	
	{
		public const int MaxContainerNoLength = 50;
		public const int MaxRenbanLength = 50;
		public const int MaxSupplierNoLength = 50;
		public const int MaxStatusLength = 50;
		public const int MaxShopLength = 50;
		public const int MaxIsActiveLength = 50;
		[StringLength(MaxContainerNoLength)]
		public virtual string ContainerNo { get; set; }
		[StringLength(MaxRenbanLength)]
		public virtual string Renban { get; set; }
		[StringLength(MaxSupplierNoLength)]
		public virtual string SupplierNo { get; set; }
		[Column(TypeName="date")]
		public virtual DateTime DevanningDate { get; set; }
		[Column(TypeName="datetime2(7)")]
		public virtual DateTime StartDevanningDate { get; set; }
		[Column(TypeName="datetime2(7)")]
		public virtual DateTime FinishDevanningDate { get; set; }
		[StringLength(MaxStatusLength)]
		public virtual string Status { get; set; }
		public virtual int ContScheduleId { get; set; }
		[StringLength(MaxShopLength)]
		public virtual string Shop { get; set; }
		[StringLength(MaxIsActiveLength)]
		public virtual string IsActive { get; set; }
	}
}
</v>
      </c>
      <c r="D47" s="51" t="str">
        <f>A.Backend!O7</f>
        <v xml:space="preserve">		public const string Pages_LogW_Mwh_ContList = "Pages.LogW.Mwh.ContList";
		public const string Pages_LogW_Mwh_ContList_CreateEdit = "Pages.LogW.Mwh.ContList.CreateEdit";
		public const string Pages_LogW_Mwh_ContList_Delete = "Pages.LogW.Mwh.ContList.Delete";
</v>
      </c>
      <c r="E47" s="51" t="str">
        <f>A.Backend!N7</f>
        <v xml:space="preserve">		var perLgwMwhContList = PARENTS.CreateChildPermission(AppPermissions.Pages_LogW_Mwh_ContList, L( "LogWMwhContList"));
		perLgwMwhContList.CreateChildPermission(AppPermissions.Pages_LogW_Mwh_ContList_CreateEdit, L( "LogWMwhContListCreateEdit"));
		perLgwMwhContList.CreateChildPermission(AppPermissions.Pages_LogW_Mwh_ContList_Delete, L( "LogWMwhContListDelete"));</v>
      </c>
      <c r="F47" s="51" t="str">
        <f>A.Backend!K7</f>
        <v>public virtual DbSet&lt;LgwMwhContList&gt; LgwMwhContLists { get; set; }</v>
      </c>
      <c r="G47" s="51" t="str">
        <f ca="1">A.Backend!L7</f>
        <v xml:space="preserve">namespace vovina.LogW.Mwh
{
	public class LgwMwhContListConsts	
	{
		public const int MaxContainerNoLength = 50;
		public const int MaxRenbanLength = 50;
		public const int MaxSupplierNoLength = 50;
		public const int MaxStatusLength = 50;
		public const int MaxShopLength = 50;
		public const int MaxIsActiveLength = 50;
		// Define Store Name: Format SP_ + &lt;Store Name&gt; = &lt;Store Name&gt;
	}
}
</v>
      </c>
      <c r="H47" s="51" t="str">
        <f ca="1">A.Backend!M7</f>
        <v xml:space="preserve">using Abp.Application.Services.Dto;
using System;
using System.ComponentModel.DataAnnotations;
namespace vovina.LogW.Mwh.Dto
{
	public class LgwMwhContListDto : EntityDto&lt;long?&gt;	
	{
		public virtual string ContainerNo { get; set; }
		public virtual string Renban { get; set; }
		public virtual string SupplierNo { get; set; }
		public virtual DateTime? DevanningDate { get; set; }
		public virtual DateTime? StartDevanningDate { get; set; }
		public virtual DateTime? FinishDevanningDate { get; set; }
		public virtual string Status { get; set; }
		public virtual int ContScheduleId { get; set; }
		public virtual string Shop { get; set; }
		public virtual string IsActive { get; set; }
	}
	public class CreateOrEditLgwMwhContListDto : EntityDto&lt;long?&gt;	
	{
		[StringLength(LgwMwhContListConsts.MaxContainerNoLength)]
		public virtual string ContainerNo { get; set; }
		[StringLength(LgwMwhContListConsts.MaxRenbanLength)]
		public virtual string Renban { get; set; }
		[StringLength(LgwMwhContListConsts.MaxSupplierNoLength)]
		public virtual string SupplierNo { get; set; }
		public virtual DateTime? DevanningDate { get; set; }
		public virtual DateTime? StartDevanningDate { get; set; }
		public virtual DateTime? FinishDevanningDate { get; set; }
		[StringLength(LgwMwhContListConsts.MaxStatusLength)]
		public virtual string Status { get; set; }
		public virtual int ContScheduleId { get; set; }
		[StringLength(LgwMwhContListConsts.MaxShopLength)]
		public virtual string Shop { get; set; }
		[StringLength(LgwMwhContListConsts.MaxIsActiveLength)]
		public virtual string IsActive { get; set; }
	}
	public class GetLgwMwhContListInput : PagedAndSortedResultRequestDto	
	{
		public virtual string ContainerNo { get; set; }
		public virtual string Renban { get; set; }
		public virtual string SupplierNo { get; set; }
		public virtual DateTime? DevanningDate { get; set; }
		public virtual DateTime? StartDevanningDate { get; set; }
		public virtual DateTime? FinishDevanningDate { get; set; }
		public virtual string Status { get; set; }
		public virtual int ContScheduleId { get; set; }
		public virtual string Shop { get; set; }
		public virtual string IsActive { get; set; }
	}
}
</v>
      </c>
      <c r="I47" s="51" t="str">
        <f ca="1">A.Backend!R7</f>
        <v xml:space="preserve">using Abp.Application.Services.Dto;
using System;
using System.ComponentModel.DataAnnotations;
namespace vovina.LogW.Mwh.Dto
{
	public class LgwMwhContListExportInput{
		public virtual string ContainerNo { get; set; }
		public virtual string Renban { get; set; }
		public virtual string SupplierNo { get; set; }
		public virtual DateTime? DevanningDate { get; set; }
		public virtual DateTime? StartDevanningDate { get; set; }
		public virtual DateTime? FinishDevanningDate { get; set; }
		public virtual string Status { get; set; }
		public virtual int ContScheduleId { get; set; }
		public virtual string Shop { get; set; }
		public virtual string IsActive { get; set; }
	}
}
</v>
      </c>
      <c r="J47" s="51" t="str">
        <f>A.Backend!P7</f>
        <v xml:space="preserve">using Abp.Application.Services;
using Abp.Application.Services.Dto;
using System.Collections.Generic;using vovina.Dto;
using System.Threading.Tasks;
using vovina.LogW.Mwh.Dto;
namespace vovina.LogW.Mwh
{
	public interface ILgwMwhContListAppService : IApplicationService
	{
		Task&lt;PagedResultDto&lt;LgwMwhContListDto&gt;&gt; GetAll(GetLgwMwhContListInput input);
		Task CreateOrEdit(CreateOrEditLgwMwhContListDto input);
		Task Delete(EntityDto input);
	}
}
</v>
      </c>
      <c r="K47" s="51" t="str">
        <f>A.Backend!S7</f>
        <v xml:space="preserve">using Abp.Application.Services;
using Abp.Application.Services.Dto;
using System.Collections.Generic;using vovina.Dto;
using System.Threading.Tasks;
using vovina.LogW.Mwh.Dto;
namespace vovina.LogW.Mwh.Exporting
{
	public interface ILgwMwhContListExcelExporter : IApplicationService
	{
		FileDto ExportToFile(List&lt;LgwMwhContListDto&gt; lgwmwhcontlist);
	}
}
</v>
      </c>
      <c r="L47" s="51" t="str">
        <f ca="1">A.Backend!T7</f>
        <v>using System.Collections.Generic;
using vovina.DataExporting.Excel.NPOI;
using vovina.Dto;
using vovina.LogW.Mwh.Exporting;
using vovina.LogW.Mwh.Dto;
using vovina.Storage;
using vovina.LogW.Mwh.Dto;
namespace vovina.LogW.Mwh.Exporting
{
    public class LgwMwhContListExcelExporter : NpoiExcelExporterBase, ILgwMwhContListExcelExporter
    {
        public LgwMwhContListExcelExporter(ITempFileCacheManager tempFileCacheManager) : base(tempFileCacheManager) { }
        public FileDto ExportToFile(List&lt;LgwMwhContListDto&gt; contlist)
        {
            return CreateExcelPackage(
				"LogWMwhContList.xlsx",
				excelPackage =&gt;
				 {
					var sheet = excelPackage.CreateSheet("ContList");
					AddHeader(
								sheet,
								("ContainerNo"),
								("Renban"),
								("SupplierNo"),
								("DevanningDate"),
								("StartDevanningDate"),
								("FinishDevanningDate"),
								("Status"),
								("ContScheduleId"),
								("Shop"),
								("IsActive"),
							   );
					AddObjects(
						 sheet, 1, contlist,                                       
								_ =&gt; _.ContainerNo,
								_ =&gt; _.Renban,
								_ =&gt; _.SupplierNo,
								_ =&gt; _.DevanningDate,
								_ =&gt; _.StartDevanningDate,
								_ =&gt; _.FinishDevanningDate,
								_ =&gt; _.Status,
								_ =&gt; _.ContScheduleId,
								_ =&gt; _.Shop,
								_ =&gt; _.IsActive,
								);
			for (var i = 0; i &lt; 8; i++)
				{
					sheet.AutoSizeColumn(i);
				}
			});
        }
    }
}</v>
      </c>
      <c r="M47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vovina.LogW.Mwh.Dto;
using vovina.LogW.Mwh.Exporting;
namespace vovina.LogW.Mwh
{
    [AbpAuthorize(AppPermissions.Pages_LogW_Mwh_ContList)]
    public class LgwMwhContListAppService : vovinaAppServiceBase, ILgwMwhContListAppService
    {
        private readonly IDapperRepository&lt;LgwMwhContList, long&gt; _dapperRepo;
        private readonly IRepository&lt;LgwMwhContList, long&gt; _repo;
        private readonly ILgwMwhContListExcelExporter _calendarListExcelExporter;
        public LgwMwhContListAppService(IRepository&lt;LgwMwhContList,long&gt; repo, 
                                         IDapperRepository&lt;LgwMwhContList,long&gt; dapperRepo,
                                        ILgwMwhContListExcelExporter calendarListExcelExporter
            )
        {
            _repo = repo;
            _dapperRepo = dapperRepo;
            _calendarListExcelExporter = calendarListExcelExporter;
        }
        [AbpAuthorize(AppPermissions.Pages_LogW_Mwh_ContList_CreateEdit)]
        public async Task CreateOrEdit(CreateOrEditLgwMwhContListDto input)
        {
            if (input.Id == null) await Create(input);
            else await Update(input);
        }
        //CREATE
        private async Task Create(CreateOrEditLgwMwhContListDto input)
        {          
            var mainObj = ObjectMapper.Map&lt;LgwMwhContList&gt;(input);
            await CurrentUnitOfWork.GetDbContext&lt;vovinaDbContext&gt;().AddAsync(mainObj);
        }
        // EDIT
        private async Task Update(CreateOrEditLgwMwhContListDto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[AbpAuthorize(AppPermissions.Pages_LogW_Mwh_ContList_Delete)]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Task&lt;PagedResultDto&lt;LgwMwhContListDto&gt;&gt; GetAll(GetLgwMwhContListInput input)
        {
            var filtered = _repo.GetAll()
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.WhereIf(input.DevanningDate.HasValue, t =&gt; t.DevanningDate == input.DevanningDate.Value)
				.WhereIf(input.StartDevanningDate.HasValue, t =&gt; t.StartDevanningDate == input.StartDevanningDate.Value)
				.WhereIf(input.FinishDevanningDate.HasValue, t =&gt; t.FinishDevanningDate == input.FinishDevanningDate.Value)
				.WhereIf(!string.IsNullOrWhiteSpace(input.Status), e =&gt; e.Status.Contains(input.Status))
				.WhereIf(!string.IsNullOrWhiteSpace(input.Shop), e =&gt; e.Shop.Contains(input.Shop))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LgwMwhContListDto
                        {
							Id = o.Id,
							ContainerNo = o.ContainerNo,
							Renban = o.Renban,
							SupplierNo = o.SupplierNo,
							DevanningDate = o.DevanningDate,
							StartDevanningDate = o.StartDevanningDate,
							FinishDevanningDate = o.FinishDevanningDate,
							Status = o.Status,
							ContScheduleId = o.ContScheduleId,
							Shop = o.Shop,
							IsActive = o.IsActive,
                        };
            var totalCount = await filtered.CountAsync();
			var paged = system.PageBy(input);
            return new PagedResultDto&lt;LgwMwhContListDto&gt;(
                totalCount,
                 await paged.ToListAsync()
            );
        }
        public async Task&lt;FileDto&gt; GetContListToExcel(LgwMwhContListExportInput input)
        {
            var query = from o in _repo.GetAll()
                        select new LgwMwhContListDto
                        {
							Id = o.Id,
							ContainerNo = o.ContainerNo,
							Renban = o.Renban,
							SupplierNo = o.SupplierNo,
							DevanningDate = o.DevanningDate,
							StartDevanningDate = o.StartDevanningDate,
							FinishDevanningDate = o.FinishDevanningDate,
							Status = o.Status,
							ContScheduleId = o.ContScheduleId,
							Shop = o.Shop,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_dapperRepo.ExecuteAsync(LgwMwhContListConsts.SP_MST_WPT_CALENDAR_GENERATE);
       // }
    }
}</v>
      </c>
      <c r="N47" s="62" t="str">
        <f>A.Backend!U7</f>
        <v xml:space="preserve">  configuration.CreateMap&lt;LgwMwhContListDto, LgwMwhContList&gt;();
  configuration.CreateMap&lt;LgwMwhContList, LgwMwhContListDto&gt;();
  configuration.CreateMap&lt;CreateOrEditLgwMwhContListDto, LgwMwhContList&gt;();</v>
      </c>
    </row>
    <row r="48" spans="1:14" s="16" customFormat="1" ht="21.75" customHeight="1" x14ac:dyDescent="0.25">
      <c r="C48" s="65"/>
      <c r="D48" s="29"/>
      <c r="E48" s="29"/>
      <c r="F48" s="29"/>
      <c r="G48" s="29"/>
      <c r="H48" s="66"/>
      <c r="I48" s="67"/>
      <c r="J48" s="29"/>
      <c r="K48" s="29"/>
      <c r="M48" s="66"/>
    </row>
    <row r="49" spans="2:13" s="16" customFormat="1" ht="21.75" customHeight="1" x14ac:dyDescent="0.25">
      <c r="C49" s="29"/>
      <c r="D49" s="29"/>
      <c r="E49" s="29"/>
      <c r="F49" s="29"/>
      <c r="G49" s="29"/>
      <c r="H49" s="29"/>
      <c r="J49" s="29"/>
      <c r="K49" s="29"/>
      <c r="M49" s="29"/>
    </row>
    <row r="50" spans="2:13" s="16" customFormat="1" ht="21.75" customHeight="1" x14ac:dyDescent="0.25">
      <c r="C50" s="29"/>
      <c r="D50" s="29"/>
      <c r="E50" s="29"/>
      <c r="G50" s="29"/>
      <c r="H50" s="29"/>
    </row>
    <row r="51" spans="2:13" x14ac:dyDescent="0.25">
      <c r="B51" s="1" t="s">
        <v>73</v>
      </c>
    </row>
    <row r="52" spans="2:13" ht="21" x14ac:dyDescent="0.35">
      <c r="B52" t="str">
        <f>B.Frontend!B8</f>
        <v>contlist</v>
      </c>
      <c r="C52" s="72" t="str">
        <f>"create folder " &amp;B52</f>
        <v>create folder contlist</v>
      </c>
      <c r="D52" s="72"/>
      <c r="E52" s="72"/>
      <c r="F52" s="72"/>
      <c r="G52" s="72"/>
      <c r="H52" s="72"/>
      <c r="I52" s="72"/>
      <c r="J52" s="72"/>
      <c r="K52" s="73" t="s">
        <v>228</v>
      </c>
      <c r="L52" s="73"/>
      <c r="M52" s="31"/>
    </row>
    <row r="53" spans="2:13" s="28" customFormat="1" ht="18" customHeight="1" x14ac:dyDescent="0.25">
      <c r="B53" s="60" t="s">
        <v>229</v>
      </c>
      <c r="C53" s="31" t="str">
        <f>B.Frontend!H14</f>
        <v>contlist.component.ts</v>
      </c>
      <c r="D53" s="31" t="str">
        <f>B.Frontend!I14</f>
        <v>contlist.component.html</v>
      </c>
      <c r="E53" s="31" t="str">
        <f>B.Frontend!J14</f>
        <v>contlist.component.less</v>
      </c>
      <c r="F53" s="31" t="str">
        <f>B.Frontend!K14</f>
        <v>create-or-edit-contlist-modal.component.html</v>
      </c>
      <c r="G53" s="31" t="str">
        <f>B.Frontend!L14</f>
        <v>create-or-edit-contlist-modal.component.ts</v>
      </c>
      <c r="H53" s="31" t="str">
        <f>B.Frontend!M14</f>
        <v>create-or-edit-contlist-modal.component.less</v>
      </c>
      <c r="I53" s="31" t="str">
        <f>B.Frontend!N14</f>
        <v>contlist.module.ts</v>
      </c>
      <c r="J53" s="31" t="str">
        <f>B.Frontend!O14</f>
        <v>contlist-routing.module.ts</v>
      </c>
      <c r="K53" s="31" t="str">
        <f>B.Frontend!P14</f>
        <v>app.navigation.service.ts</v>
      </c>
      <c r="L53" s="31" t="str">
        <f>B.Frontend!Q14</f>
        <v>main.routing.module.ts</v>
      </c>
      <c r="M53" s="60" t="s">
        <v>232</v>
      </c>
    </row>
    <row r="54" spans="2:13" ht="21.75" customHeight="1" x14ac:dyDescent="0.25">
      <c r="B54" s="61" t="s">
        <v>226</v>
      </c>
      <c r="C54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LgwMwhContListDto, LgwMwhContListServiceProxy } from '@shared/service-proxies/service-proxies';
import { finalize } from 'rxjs/internal/operators/finalize';
import { CreateOrEditContListModalComponent } from './create-or-edit-contlist-modal.component';
import { DatePipe } from '@angular/common';
import { FileDownloadService } from '@shared/utils/file-download.service';
import ceil from 'lodash-es/ceil';
import { Paginator } from 'primeng/paginator';
@Component({
    templateUrl: './contlist.component.html',
    styleUrls: ['./contlist.component.less'],
})
export class ContListComponent extends AppComponentBase implements OnInit {
    @ViewChild('createOrEditModalContList', { static: true }) createOrEditModalContList:| CreateOrEditContListModalComponent|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LgwMwhContListDto = new LgwMwhContListDto();
    saveSelectedRow: LgwMwhContListDto = new LgwMwhContListDto();
    datas: LgwMwhContListDto = new LgwMwhContListDto();
    isLoading: boolean = false;
    dataParams: GridParams | undefined;
    rowData: any[] = [];
    gridApi!: GridApi;
    rowSelection = 'multiple';
    filter: string = '';
	pipe = new DatePipe('en-US');
	frameworkComponents: FrameworkComponent;
    containerNo : string = '' ; 
	renban : string = '' ; 
	supplierNo : string = '' ; 
	devanningDate : any ;
	startDevanningDate : any ;
finishDevanningDate : any ;
	status : string = '' ; 
	contScheduleId : number = 0 ;
shop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LgwMwhContListServiceProxy,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this.l('Container No'),headerTooltip: this.l('Container No'),field: 'containerNo',flex: 1},
			{headerName: this.l('Renban'),headerTooltip: this.l('Renban'),field: 'renban',flex: 1},
			{headerName: this.l('Supplier No'),headerTooltip: this.l('Supplier No'),field: 'supplierNo',flex: 1},
			{headerName: this.l('Devanning Date'),headerTooltip: this.l('Devanning Date'),field: 'devanningDate',valueGetter: (params) =&gt; this.pipe.transform(params.data?.devanningDate, 'dd/MM/yyyy'),flex: 1},
			{headerName: this.l('Start Devanning Date'),headerTooltip: this.l('Start Devanning Date'),field: 'startDevanningDate',valueGetter: (params) =&gt; this.pipe.transform(params.data?.startDevanningDate, 'dd/MM/yyyy'),flex: 1},
			{headerName: this.l('Finish Devanning Date'),headerTooltip: this.l('Finish Devanning Date'),field: 'finishDevanningDate',valueGetter: (params) =&gt; this.pipe.transform(params.data?.finishDevanningDate, 'dd/MM/yyyy'),flex: 1},
			{headerName: this.l('Status'),headerTooltip: this.l('Status'),field: 'status',flex: 1},
			{headerName: this.l('Cont Schedule Id'),headerTooltip: this.l('Cont Schedule Id'),field: 'contScheduleId',flex: 1},
			{headerName: this.l('Shop'),headerTooltip: this.l('Shop'),field: 'shop',flex: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this.containerNo,
			this.renban,
			this.supplierNo,
			this.devanningDate,
			this.startDevanningDate,
			this.finishDevanningDate,
			this.status,
			this.contScheduleId,
			this.shop,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this.containerNo = '',
		this.renban = '',
		this.supplierNo = '',
		this.devanningDate = '',
		this.startDevanningDate = '',
this.finishDevanningDate = '',
		this.status = '',
		this.contScheduleId = 0,
this.shop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this.containerNo,
			this.renban,
			this.supplierNo,
			this.devanningDate,
			this.startDevanningDate,
			this.finishDevanningDate,
			this.status,
			this.contScheduleId,
			this.shop,
			this.isActive,
			'',
            this.paginationParams.skipCount,
            this.paginationParams.pageSize
        );
    }
    onChangeRowSelection(params: { api: { getSelectedRows: () =&gt; LgwMwhContListDto[] } }) {
        this.saveSelectedRow = params.api.getSelectedRows()[0] ?? new LgwMwhContListDto();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LgwMwhContListDto):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this._service.getContListToExcel(
			this.containerNo,
			this.renban,
			this.supplierNo,
			this.devanningDate,
			this.startDevanningDate,
			this.finishDevanningDate,
			this.status,
			this.contScheduleId,
			this.shop,
			this.isActive,
            )
            .subscribe((result) =&gt; {
                this._fileDownloadService.downloadTempFile(result);
        });
    }
}</v>
      </c>
      <c r="D54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Module Warehouse Container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type='text' [placeholder]="l('Devanning Date')" [(ngModel)]='devanningDate' 
									name='devanningDate'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Devanning Date')" [(ngModel)]='startDevanningDate' 
									name='startDevanningDate'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Devanning Date')" [(ngModel)]='finishDevanningDate' 
									name='finishDevanningDate'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&lt;create-or-edit-contlist-modal
    #createOrEditModalContList
    (modalSave)="callBackDataGrid(dataParams)"
    (modalClose)="onChangeRowSelection(dataParams)"
&gt;
&lt;/create-or-edit-contlist-modal&gt;</v>
      </c>
      <c r="E54" s="49" t="str">
        <f>B.Frontend!J10</f>
        <v>.input-search{
    width: 250px;
    border-radius: 10px;
    margin-left: 10px;
}
.btn-search{
    width: 50px;
    margin-left: 10px;
}</v>
      </c>
      <c r="F54" s="49" t="str">
        <f ca="1">B.Frontend!K10</f>
        <v>&lt;div bsModal #createOrEditModalContList="bs-modal"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ContList')}}&lt;/h3&gt;
                    &lt;h3 *ngIf="!rowdata.id"&gt;{{('Create New ContList')}}&lt;/h3&gt;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title'&gt;Devanning Date&lt;/label&gt;
						&lt;input type='text' class='col-md-10 form-control input-text' name='devanningDate' 
						#datepicker='bsDatepicker' [(ngModel)]='rowdata.devanningDate'  bsDatepicker &gt;
					&lt;/div&gt;
					&lt;div class='col-md-12 form-group row'&gt;
						&lt;label class='col-md-2 form-control title'&gt;Start Devanning Date&lt;/label&gt;
						&lt;input type='text' class='col-md-10 form-control input-text' name='startDevanningDate' 
						#datepicker='bsDatepicker' [(ngModel)]='rowdata.startDevanningDate'  bsDatepicker &gt;
					&lt;/div&gt;
					&lt;div class='col-md-12 form-group row'&gt;
						&lt;label class='col-md-2 form-control title'&gt;Finish Devanning Date&lt;/label&gt;
						&lt;input type='text' class='col-md-10 form-control input-text' name='finishDevanningDate' 
						#datepicker='bsDatepicker' [(ngModel)]='rowdata.finishDevanningDate'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title'&gt;Cont Schedule Id&lt;/label&gt;
						&lt;input type='number' class='col-md-10 form-control input-text' name='ContScheduleId' [(ngModel)]='rowdata.contScheduleId'&gt;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54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CreateOrEditLgwMwhContListDto, LgwMwhContListServiceProxy } from '@shared/service-proxies/service-proxies';
import { BsDatepickerDirective } from 'ngx-bootstrap/datepicker';
@Component({
    selector: 'create-or-edit-contlist-modal',
    templateUrl: './create-or-edit-contlist-modal.component.html',
    styleUrls: ['./create-or-edit-contlist-modal.component.less']
    })
export class CreateOrEditContListModalComponent extends AppComponentBase {
    @ViewChild('createOrEditModalContList',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CreateOrEditLgwMwhContListDto = new CreateOrEditLgwMwhContListDto();
    active: boolean = false;
    saving: boolean = false;
    _: boolean;
    constructor(
        injector: Injector,
        private _mstwptContListService: LgwMwhContListServiceProxy,
    ) 
    {
        super(injector);
    }
    show(rowdata?: CreateOrEditLgwMwhContListDto): void {
        if (!rowdata) this.rowdata = new CreateOrEditLgwMwhContListDto();
        else this.rowdata = rowdata;
		const dateValue =  this.rowdata.devanningDate ? new Date(this.rowdata.devanningDate?.toString()) : new Date();
		this.datepicker?.bsValueChange.emit(dateValue);
		const dateValue =  this.rowdata.startDevanningDate ? new Date(this.rowdata.startDevanningDate?.toString()) : new Date();
		this.datepicker?.bsValueChange.emit(dateValue);
		const dateValue =  this.rowdata.finishDevanningDate ? new Date(this.rowdata.finishDevanningDate?.toString())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this._mstwptContListService.createOrEdit(this.rowdata)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54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54" s="49" t="str">
        <f>B.Frontend!N10</f>
        <v>import {NgModule} from '@angular/core';
import {AppSharedModule} from '@app/shared/app-shared.module';
import { ContListRoutingModule } from './contlist-routing.module';
import { ContListComponent } from './contlist.component';
import { CreateOrEditContListModalComponent } from './create-or-edit-contlist-modal.component';
@NgModule({
    declarations: [
       ContListComponent, 
        CreateOrEditContListModalComponent
    ],
    imports: [
        AppSharedModule, ContListRoutingModule]
})
export class ContListModule {}</v>
      </c>
      <c r="J54" s="49" t="str">
        <f>B.Frontend!O10</f>
        <v>import {NgModule} from '@angular/core';
import {RouterModule, Routes} from '@angular/router';
import { ContListComponent } from './contlist.component';
const routes: Routes = [{
    path: '',
    component: ContListComponent,
    pathMatch: 'full'
}];
@NgModule({
    imports: [RouterModule.forChild(routes)],
    exports: [RouterModule],
})
export class ContListRoutingModule {}</v>
      </c>
      <c r="K54" s="49" t="str">
        <f>B.Frontend!P10</f>
        <v xml:space="preserve"> new AppMenuItem("ContList", "Pages.LogW.Mwh.ContList", "flaticon-book",   "/app/main/logw/mwh/contlist"),</v>
      </c>
      <c r="L54" s="50" t="str">
        <f>B.Frontend!Q10</f>
        <v>{
    path: 'logw/mwh/contlist',
    loadChildren: () =&gt; import('./logw/mwh/contlist/contlist.module').then(m =&gt; m.ContListModule),
    data: { permission: 'Pages.LogW.Mwh.ContList' }
},</v>
      </c>
      <c r="M54" s="48" t="str">
        <f>B.Frontend!R10</f>
        <v>ApiServiceProxies.LgwMwhContListServiceProxy,</v>
      </c>
    </row>
    <row r="56" spans="2:13" x14ac:dyDescent="0.25">
      <c r="B56" s="1" t="s">
        <v>75</v>
      </c>
    </row>
    <row r="65" spans="3:5" x14ac:dyDescent="0.25">
      <c r="C65" t="s">
        <v>306</v>
      </c>
      <c r="D65" t="s">
        <v>303</v>
      </c>
      <c r="E65" t="s">
        <v>1</v>
      </c>
    </row>
    <row r="66" spans="3:5" x14ac:dyDescent="0.25">
      <c r="C66" t="s">
        <v>304</v>
      </c>
      <c r="D66" t="s">
        <v>303</v>
      </c>
      <c r="E66" t="s">
        <v>1</v>
      </c>
    </row>
    <row r="67" spans="3:5" x14ac:dyDescent="0.25">
      <c r="C67" t="s">
        <v>301</v>
      </c>
      <c r="D67" t="s">
        <v>303</v>
      </c>
      <c r="E67" t="s">
        <v>1</v>
      </c>
    </row>
    <row r="68" spans="3:5" x14ac:dyDescent="0.25">
      <c r="C68" t="s">
        <v>307</v>
      </c>
      <c r="D68" t="s">
        <v>2</v>
      </c>
      <c r="E68" t="s">
        <v>1</v>
      </c>
    </row>
    <row r="69" spans="3:5" x14ac:dyDescent="0.25">
      <c r="C69" t="s">
        <v>308</v>
      </c>
      <c r="D69" t="s">
        <v>309</v>
      </c>
      <c r="E69" t="s">
        <v>1</v>
      </c>
    </row>
    <row r="70" spans="3:5" x14ac:dyDescent="0.25">
      <c r="C70" t="s">
        <v>310</v>
      </c>
      <c r="D70" t="s">
        <v>309</v>
      </c>
      <c r="E70" t="s">
        <v>1</v>
      </c>
    </row>
    <row r="71" spans="3:5" x14ac:dyDescent="0.25">
      <c r="C71" t="s">
        <v>311</v>
      </c>
      <c r="D71" t="s">
        <v>303</v>
      </c>
      <c r="E71" t="s">
        <v>1</v>
      </c>
    </row>
    <row r="72" spans="3:5" x14ac:dyDescent="0.25">
      <c r="C72" t="s">
        <v>312</v>
      </c>
      <c r="D72" t="s">
        <v>4</v>
      </c>
      <c r="E72" t="s">
        <v>1</v>
      </c>
    </row>
    <row r="73" spans="3:5" x14ac:dyDescent="0.25">
      <c r="C73" t="s">
        <v>313</v>
      </c>
      <c r="D73" t="s">
        <v>303</v>
      </c>
      <c r="E73" t="s">
        <v>1</v>
      </c>
    </row>
    <row r="74" spans="3:5" x14ac:dyDescent="0.25">
      <c r="C74" t="s">
        <v>302</v>
      </c>
      <c r="D74" t="s">
        <v>303</v>
      </c>
      <c r="E74" t="s">
        <v>1</v>
      </c>
    </row>
  </sheetData>
  <mergeCells count="2">
    <mergeCell ref="C52:J52"/>
    <mergeCell ref="K52:L52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0"/>
  <sheetViews>
    <sheetView workbookViewId="0">
      <pane xSplit="1" topLeftCell="B1" activePane="topRight" state="frozen"/>
      <selection pane="topRight" activeCell="A9" sqref="A9:A18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vovina.LogW.Mwh.Dto;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305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314</v>
      </c>
      <c r="C3" s="10" t="s">
        <v>43</v>
      </c>
      <c r="D3" s="10" t="s">
        <v>44</v>
      </c>
      <c r="E3" s="10" t="s">
        <v>39</v>
      </c>
      <c r="F3" s="11" t="str">
        <f>"J"&amp;COUNTA($A:$A)</f>
        <v>J18</v>
      </c>
      <c r="G3" s="4" t="s">
        <v>57</v>
      </c>
      <c r="H3" s="10" t="str">
        <f>"I"&amp;COUNTA($A:$A)</f>
        <v>I18</v>
      </c>
      <c r="I3" s="10" t="str">
        <f>REPT(CHAR(9),2)&amp;"[Required]"&amp;"
"</f>
        <v xml:space="preserve">		[Required]
</v>
      </c>
      <c r="J3" s="11" t="str">
        <f>"L"&amp;COUNTA($A:$A)</f>
        <v>L18</v>
      </c>
      <c r="K3" s="5" t="s">
        <v>56</v>
      </c>
      <c r="L3" s="11" t="str">
        <f>"M"&amp;COUNTA($A:$A)</f>
        <v>M18</v>
      </c>
      <c r="M3" s="11" t="str">
        <f>"N"&amp;COUNTA($A:$A)</f>
        <v>N18</v>
      </c>
      <c r="N3" s="11" t="str">
        <f>"O"&amp;COUNTA($A:$A)</f>
        <v>O18</v>
      </c>
      <c r="O3" s="11" t="str">
        <f>"P"&amp;COUNTA($A:$A)</f>
        <v>P18</v>
      </c>
      <c r="Q3" s="11" t="str">
        <f>RIGHT(B2,(LEN(B2)-FIND(".",B2,1)))</f>
        <v>Mwh</v>
      </c>
      <c r="R3" s="32" t="str">
        <f>REPT(CHAR(9),1)&amp;"public class "&amp;B3&amp;"ExportInput"&amp;C3</f>
        <v xml:space="preserve">	public class LgwMwhContListExportInput{
</v>
      </c>
      <c r="S3" s="11" t="str">
        <f>"namespace "&amp;$B$6&amp;".Exporting
"&amp;$C$3</f>
        <v xml:space="preserve">namespace vovina.LogW.Mwh.Exporting
{
</v>
      </c>
      <c r="T3" s="11" t="str">
        <f>"T"&amp;COUNTA($A:$A)</f>
        <v>T18</v>
      </c>
      <c r="V3" s="11" t="str">
        <f>"V"&amp;COUNTA($A:$A)</f>
        <v>V18</v>
      </c>
      <c r="W3" s="10" t="str">
        <f>"W"&amp;COUNTA($A:$A)</f>
        <v>W18</v>
      </c>
    </row>
    <row r="4" spans="1:23" s="11" customFormat="1" ht="33" customHeight="1" x14ac:dyDescent="0.25">
      <c r="A4" s="1" t="s">
        <v>237</v>
      </c>
      <c r="B4" s="64" t="s">
        <v>271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315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vovina.LogW.Mwh</v>
      </c>
      <c r="C6" s="11" t="str">
        <f>"namespace "&amp;$B$6&amp;"
"&amp;$C$3</f>
        <v xml:space="preserve">namespace vovina.LogW.Mwh
{
</v>
      </c>
      <c r="D6" s="11" t="str">
        <f>REPT(CHAR(9),1)&amp;"public class "&amp;B3&amp;G3&amp;REPT(CHAR(9),1)&amp;"
"&amp;REPT(CHAR(9),1)&amp;C3</f>
        <v xml:space="preserve">	public class LgwMwhContList: FullAuditedEntity&lt;long&gt;, IEntity&lt;long&gt;	
	{
</v>
      </c>
      <c r="E6" s="11" t="str">
        <f>REPT(CHAR(9),1)&amp;"public class "&amp;B3&amp;"Consts"&amp;REPT(CHAR(9),1)&amp;"
"&amp;REPT(CHAR(9),1)&amp;C3</f>
        <v xml:space="preserve">	public class LgwMwhContListConsts	
	{
</v>
      </c>
      <c r="F6" s="11" t="str">
        <f>REPT(CHAR(9),1)&amp;"public class "&amp;B3&amp;"Dto"&amp;K3&amp;REPT(CHAR(9),1)&amp;"
"&amp;REPT(CHAR(9),1)&amp;C3</f>
        <v xml:space="preserve">	public class LgwMwhContListDto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CreateOrEditLgwMwhContListDto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GetLgwMwhContListInput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LgwMwhContList</v>
      </c>
      <c r="C7" s="11" t="str">
        <f>REPT(CHAR(9),1)&amp;"[Table("""&amp;B7&amp;""")]"&amp;"
"</f>
        <v xml:space="preserve">	[Table("LgwMwhContList")]
</v>
      </c>
      <c r="D7" s="11"/>
      <c r="E7" s="11"/>
      <c r="F7" s="11"/>
      <c r="G7" s="11"/>
      <c r="H7" s="11"/>
      <c r="I7" s="11"/>
      <c r="J7" s="6" t="str">
        <f ca="1">SUBSTITUTE(SUBSTITUTE((B1&amp;C6&amp;C7&amp;K20&amp;D6&amp;I20&amp;E3&amp;J20&amp;""&amp;REPT(CHAR(9),1)&amp;D3&amp;D3),"WorkingPattern",$Q$3),"Master",$B$4)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vovina.LogW.Mwh
{
	[Table("LgwMwhContList")]
	[Index(nameof(ContainerNo), Name="IX_LgwMwhContList_ContainerNo")]
	[Index(nameof(Renban), Name="IX_LgwMwhContList_Renban")]
	[Index(nameof(SupplierNo), Name="IX_LgwMwhContList_SupplierNo")]
	[Index(nameof(IsActive), Name="IX_LgwMwhContList_IsActive")]	public class LgwMwhContList: FullAuditedEntity&lt;long&gt;, IEntity&lt;long&gt;	
	{
		public const int MaxContainerNoLength = 50;
		public const int MaxRenbanLength = 50;
		public const int MaxSupplierNoLength = 50;
		public const int MaxStatusLength = 50;
		public const int MaxShopLength = 50;
		public const int MaxIsActiveLength = 50;
		[StringLength(MaxContainerNoLength)]
		public virtual string ContainerNo { get; set; }
		[StringLength(MaxRenbanLength)]
		public virtual string Renban { get; set; }
		[StringLength(MaxSupplierNoLength)]
		public virtual string SupplierNo { get; set; }
		[Column(TypeName="date")]
		public virtual DateTime DevanningDate { get; set; }
		[Column(TypeName="datetime2(7)")]
		public virtual DateTime StartDevanningDate { get; set; }
		[Column(TypeName="datetime2(7)")]
		public virtual DateTime FinishDevanningDate { get; set; }
		[StringLength(MaxStatusLength)]
		public virtual string Status { get; set; }
		public virtual int ContScheduleId { get; set; }
		[StringLength(MaxShopLength)]
		public virtual string Shop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DbSet&lt;LgwMwhContList&gt; LgwMwhContLists { get; set; }</v>
      </c>
      <c r="L7" t="str">
        <f ca="1">SUBSTITUTE(SUBSTITUTE((C6&amp;E6&amp;I20&amp;"
"&amp;REPT(CHAR(9),2)&amp;"// Define Store Name: Format SP_ + &lt;Store Name&gt; = &lt;Store Name&gt;
"&amp;E3&amp;REPT(CHAR(9),1)&amp;D3&amp;D3),"WorkingPattern",$Q$3),"Master",$B$4)</f>
        <v xml:space="preserve">namespace vovina.LogW.Mwh
{
	public class LgwMwhContListConsts	
	{
		public const int MaxContainerNoLength = 50;
		public const int MaxRenbanLength = 50;
		public const int MaxSupplierNoLength = 50;
		public const int MaxStatusLength = 50;
		public const int MaxShopLength = 50;
		public const int MaxIsActiveLength = 50;
		// Define Store Name: Format SP_ + &lt;Store Name&gt; = &lt;Store Name&gt;
	}
}
</v>
      </c>
      <c r="M7" t="str">
        <f ca="1">SUBSTITUTE(SUBSTITUTE((C1&amp;"namespace "&amp;B6&amp;".Dto"&amp;E3&amp;C3&amp;F6&amp;M20&amp;E3&amp;REPT(CHAR(9),1)&amp;D3&amp;G6&amp;N20&amp;REPT(CHAR(9),1)&amp;D3&amp;H6&amp;O20&amp;"
"&amp;REPT(CHAR(9),1)&amp;D3&amp;D3),"WorkingPattern",$Q$3),"Master",$B$4)</f>
        <v xml:space="preserve">using Abp.Application.Services.Dto;
using System;
using System.ComponentModel.DataAnnotations;
namespace vovina.LogW.Mwh.Dto
{
	public class LgwMwhContListDto : EntityDto&lt;long?&gt;	
	{
		public virtual string ContainerNo { get; set; }
		public virtual string Renban { get; set; }
		public virtual string SupplierNo { get; set; }
		public virtual DateTime? DevanningDate { get; set; }
		public virtual DateTime? StartDevanningDate { get; set; }
		public virtual DateTime? FinishDevanningDate { get; set; }
		public virtual string Status { get; set; }
		public virtual int ContScheduleId { get; set; }
		public virtual string Shop { get; set; }
		public virtual string IsActive { get; set; }
	}
	public class CreateOrEditLgwMwhContListDto : EntityDto&lt;long?&gt;	
	{
		[StringLength(LgwMwhContListConsts.MaxContainerNoLength)]
		public virtual string ContainerNo { get; set; }
		[StringLength(LgwMwhContListConsts.MaxRenbanLength)]
		public virtual string Renban { get; set; }
		[StringLength(LgwMwhContListConsts.MaxSupplierNoLength)]
		public virtual string SupplierNo { get; set; }
		public virtual DateTime? DevanningDate { get; set; }
		public virtual DateTime? StartDevanningDate { get; set; }
		public virtual DateTime? FinishDevanningDate { get; set; }
		[StringLength(LgwMwhContListConsts.MaxStatusLength)]
		public virtual string Status { get; set; }
		public virtual int ContScheduleId { get; set; }
		[StringLength(LgwMwhContListConsts.MaxShopLength)]
		public virtual string Shop { get; set; }
		[StringLength(LgwMwhContListConsts.MaxIsActiveLength)]
		public virtual string IsActive { get; set; }
	}
	public class GetLgwMwhContListInput : PagedAndSortedResultRequestDto	
	{
		public virtual string ContainerNo { get; set; }
		public virtual string Renban { get; set; }
		public virtual string SupplierNo { get; set; }
		public virtual DateTime? DevanningDate { get; set; }
		public virtual DateTime? StartDevanningDate { get; set; }
		public virtual DateTime? FinishDevanningDate { get; set; }
		public virtual string Status { get; set; }
		public virtual int ContScheduleId { get; set; }
		public virtual string Shop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perLgwMwhContList = PARENTS.CreateChildPermission(AppPermissions.Pages_LogW_Mwh_ContList, L( "LogWMwhContList"));
		perLgwMwhContList.CreateChildPermission(AppPermissions.Pages_LogW_Mwh_ContList_CreateEdit, L( "LogWMwhContListCreateEdit"));
		perLgwMwhContList.CreateChildPermission(AppPermissions.Pages_LogW_Mwh_ContList_Delete, L( "LogWMwhContListDelete"));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Pages_LogW_Mwh_ContList = "Pages.LogW.Mwh.ContList";
		public const string Pages_LogW_Mwh_ContList_CreateEdit = "Pages.LogW.Mwh.ContList.CreateEdit";
		public const string Pages_LogW_Mwh_ContList_Delete = "Pages.LogW.Mwh.ContList.Delete";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vovina.LogW.Mwh.Dto;
namespace vovina.LogW.Mwh
{
	public interface ILgwMwhContListAppService : IApplicationService
	{
		Task&lt;PagedResultDto&lt;LgwMwhContListDto&gt;&gt; GetAll(GetLgwMwhContListInput input);
		Task CreateOrEdit(CreateOrEditLgwMwhContListDto input);
		Task Delete(EntityDto input);
	}
}
</v>
      </c>
      <c r="Q7" t="str">
        <f ca="1">SUBSTITUTE(SUBSTITUTE(SUBSTITUTE(SUBSTITUTE(SUBSTITUTE(SUBSTITUTE(E1,"MstWptCalendar",$B$3),"&lt;PROPERTIES&gt;",P20),"Calendar",$B$5),"WorkingPattern",$Q$3),"Master",$B$4),"&lt;PARAMS_SEARCH&gt;",$W$20)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vovina.LogW.Mwh.Dto;
using vovina.LogW.Mwh.Exporting;
namespace vovina.LogW.Mwh
{
    [AbpAuthorize(AppPermissions.Pages_LogW_Mwh_ContList)]
    public class LgwMwhContListAppService : vovinaAppServiceBase, ILgwMwhContListAppService
    {
        private readonly IDapperRepository&lt;LgwMwhContList, long&gt; _dapperRepo;
        private readonly IRepository&lt;LgwMwhContList, long&gt; _repo;
        private readonly ILgwMwhContListExcelExporter _calendarListExcelExporter;
        public LgwMwhContListAppService(IRepository&lt;LgwMwhContList,long&gt; repo, 
                                         IDapperRepository&lt;LgwMwhContList,long&gt; dapperRepo,
                                        ILgwMwhContListExcelExporter calendarListExcelExporter
            )
        {
            _repo = repo;
            _dapperRepo = dapperRepo;
            _calendarListExcelExporter = calendarListExcelExporter;
        }
        [AbpAuthorize(AppPermissions.Pages_LogW_Mwh_ContList_CreateEdit)]
        public async Task CreateOrEdit(CreateOrEditLgwMwhContListDto input)
        {
            if (input.Id == null) await Create(input);
            else await Update(input);
        }
        //CREATE
        private async Task Create(CreateOrEditLgwMwhContListDto input)
        {          
            var mainObj = ObjectMapper.Map&lt;LgwMwhContList&gt;(input);
            await CurrentUnitOfWork.GetDbContext&lt;vovinaDbContext&gt;().AddAsync(mainObj);
        }
        // EDIT
        private async Task Update(CreateOrEditLgwMwhContListDto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[AbpAuthorize(AppPermissions.Pages_LogW_Mwh_ContList_Delete)]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Task&lt;PagedResultDto&lt;LgwMwhContListDto&gt;&gt; GetAll(GetLgwMwhContListInput input)
        {
            var filtered = _repo.GetAll()
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.WhereIf(input.DevanningDate.HasValue, t =&gt; t.DevanningDate == input.DevanningDate.Value)
				.WhereIf(input.StartDevanningDate.HasValue, t =&gt; t.StartDevanningDate == input.StartDevanningDate.Value)
				.WhereIf(input.FinishDevanningDate.HasValue, t =&gt; t.FinishDevanningDate == input.FinishDevanningDate.Value)
				.WhereIf(!string.IsNullOrWhiteSpace(input.Status), e =&gt; e.Status.Contains(input.Status))
				.WhereIf(!string.IsNullOrWhiteSpace(input.Shop), e =&gt; e.Shop.Contains(input.Shop))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LgwMwhContListDto
                        {
							Id = o.Id,
							ContainerNo = o.ContainerNo,
							Renban = o.Renban,
							SupplierNo = o.SupplierNo,
							DevanningDate = o.DevanningDate,
							StartDevanningDate = o.StartDevanningDate,
							FinishDevanningDate = o.FinishDevanningDate,
							Status = o.Status,
							ContScheduleId = o.ContScheduleId,
							Shop = o.Shop,
							IsActive = o.IsActive,
                        };
            var totalCount = await filtered.CountAsync();
			var paged = system.PageBy(input);
            return new PagedResultDto&lt;LgwMwhContListDto&gt;(
                totalCount,
                 await paged.ToListAsync()
            );
        }
        public async Task&lt;FileDto&gt; GetContListToExcel(LgwMwhContListExportInput input)
        {
            var query = from o in _repo.GetAll()
                        select new LgwMwhContListDto
                        {
							Id = o.Id,
							ContainerNo = o.ContainerNo,
							Renban = o.Renban,
							SupplierNo = o.SupplierNo,
							DevanningDate = o.DevanningDate,
							StartDevanningDate = o.StartDevanningDate,
							FinishDevanningDate = o.FinishDevanningDate,
							Status = o.Status,
							ContScheduleId = o.ContScheduleId,
							Shop = o.Shop,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_dapperRepo.ExecuteAsync(LgwMwhContListConsts.SP_MST_WPT_CALENDAR_GENERATE);
       // }
    }
}</v>
      </c>
      <c r="R7" t="str">
        <f ca="1">SUBSTITUTE(SUBSTITUTE((C1&amp;"namespace "&amp;B6&amp;".Dto"&amp;E3&amp;C3&amp;R3&amp;M20&amp;E3&amp;REPT(CHAR(9),1)&amp;D3&amp;D3),"WorkingPattern",$Q$3),"Master",$B$4)</f>
        <v xml:space="preserve">using Abp.Application.Services.Dto;
using System;
using System.ComponentModel.DataAnnotations;
namespace vovina.LogW.Mwh.Dto
{
	public class LgwMwhContListExportInput{
		public virtual string ContainerNo { get; set; }
		public virtual string Renban { get; set; }
		public virtual string SupplierNo { get; set; }
		public virtual DateTime? DevanningDate { get; set; }
		public virtual DateTime? StartDevanningDate { get; set; }
		public virtual DateTime? FinishDevanningDate { get; set; }
		public virtual string Status { get; set; }
		public virtual int ContScheduleId { get; set; }
		public virtual string Shop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vovina.LogW.Mwh.Dto;
namespace vovina.LogW.Mwh.Exporting
{
	public interface ILgwMwhContListExcelExporter : IApplicationService
	{
		FileDto ExportToFile(List&lt;LgwMwhContListDto&gt; lgwmwhcontlist);
	}
}
</v>
      </c>
      <c r="T7" s="28" t="str">
        <f ca="1">SUBSTITUTE(SUBSTITUTE(SUBSTITUTE(SUBSTITUTE(SUBSTITUTE(SUBSTITUTE(SUBSTITUTE(T1,"MstWptCalendar",$B$3),"&lt;PROPERTIES1&gt;",V20),"&lt;PROPERTIES&gt;",T20),"Calendar",$B$5),"calendar",LOWER(B5)),"WorkingPattern",$Q$3),"Master",$B$4)</f>
        <v>using System.Collections.Generic;
using vovina.DataExporting.Excel.NPOI;
using vovina.Dto;
using vovina.LogW.Mwh.Exporting;
using vovina.LogW.Mwh.Dto;
using vovina.Storage;
using vovina.LogW.Mwh.Dto;
namespace vovina.LogW.Mwh.Exporting
{
    public class LgwMwhContListExcelExporter : NpoiExcelExporterBase, ILgwMwhContListExcelExporter
    {
        public LgwMwhContListExcelExporter(ITempFileCacheManager tempFileCacheManager) : base(tempFileCacheManager) { }
        public FileDto ExportToFile(List&lt;LgwMwhContListDto&gt; contlist)
        {
            return CreateExcelPackage(
				"LogWMwhContList.xlsx",
				excelPackage =&gt;
				 {
					var sheet = excelPackage.CreateSheet("ContList");
					AddHeader(
								sheet,
								("ContainerNo"),
								("Renban"),
								("SupplierNo"),
								("DevanningDate"),
								("StartDevanningDate"),
								("FinishDevanningDate"),
								("Status"),
								("ContScheduleId"),
								("Shop"),
								("IsActive"),
							   );
					AddObjects(
						 sheet, 1, contlist,                                       
								_ =&gt; _.ContainerNo,
								_ =&gt; _.Renban,
								_ =&gt; _.SupplierNo,
								_ =&gt; _.DevanningDate,
								_ =&gt; _.StartDevanningDate,
								_ =&gt; _.FinishDevanningDate,
								_ =&gt; _.Status,
								_ =&gt; _.ContScheduleId,
								_ =&gt; _.Shop,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configuration.CreateMap&lt;LgwMwhContListDto, LgwMwhContList&gt;();
  configuration.CreateMap&lt;LgwMwhContList, LgwMwhContListDto&gt;();
  configuration.CreateMap&lt;CreateOrEditLgwMwhContListDto, LgwMwhContList&gt;();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306</v>
      </c>
      <c r="B9" t="s">
        <v>303</v>
      </c>
      <c r="C9" t="s">
        <v>1</v>
      </c>
      <c r="D9" t="str">
        <f>SUBSTITUTE(PROPER(A9),"_","")</f>
        <v>ContainerNo</v>
      </c>
      <c r="E9" t="str">
        <f t="shared" ref="E9:E11" si="0">IFERROR(LEFT(B9, FIND("(",B9)-1),B9)</f>
        <v>varchar</v>
      </c>
      <c r="F9" s="7"/>
      <c r="G9" t="str">
        <f t="shared" ref="G9:G11" si="1">IFERROR(MID(B9,FIND("(",B9) +1, FIND(")",B9) - FIND("(",B9) - 1),"")</f>
        <v>50</v>
      </c>
      <c r="H9" t="str">
        <f>+VLOOKUP(E9,'Data Type Mapping'!A:B,2,)</f>
        <v>string</v>
      </c>
      <c r="I9" t="str">
        <f t="shared" ref="I9:I11" si="2">IF(H9="string",REPT(CHAR(9),2)&amp;"public const int Max"&amp;D9&amp;"Length = "&amp;G9&amp;";"&amp;$E$3,"" )</f>
        <v xml:space="preserve">		public const int MaxContainerNoLength = 50;
</v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[StringLength(MaxContainerNoLength)]
		public virtual string ContainerNo { get; set; }
</v>
      </c>
      <c r="K9" s="7" t="s">
        <v>206</v>
      </c>
      <c r="L9" t="str">
        <f>IF(K9="","",REPT(CHAR(9),1)&amp;"[Index(nameof("&amp;IF(D9="","",""&amp;D9)&amp;")"&amp;", Name="&amp;"""IX_"&amp;$B$7&amp;"_"&amp;D9&amp;""")]")</f>
        <v xml:space="preserve">	[Index(nameof(ContainerNo), Name="IX_LgwMwhContList_ContainerNo")]</v>
      </c>
      <c r="M9" t="str">
        <f>REPT(CHAR(9),2)&amp;"public virtual "&amp;IF(OR(H9="DateTime",H9="TimeSpan"),H9&amp;"?",H9)&amp;IF(C9="?","? "," ")&amp;D9&amp;" { get; set; }" &amp; "
"</f>
        <v xml:space="preserve">		public virtual string ContainerNo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[StringLength(LgwMwhContListConsts.MaxContainerNoLength)]
		public virtual string ContainerNo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ContainerNo { get; set; }
</v>
      </c>
      <c r="P9" t="str">
        <f t="shared" ref="P9:P11" si="4">REPT(CHAR(9),7)&amp;D9&amp;" = o." &amp;D9 &amp;","</f>
        <v xml:space="preserve">							ContainerNo = o.ContainerNo,</v>
      </c>
      <c r="T9" s="69" t="str">
        <f>REPT(CHAR(9),8)&amp;"("""&amp;D9&amp;"""),"</f>
        <v xml:space="preserve">								("ContainerNo"),</v>
      </c>
      <c r="V9" s="70" t="str">
        <f>REPT(CHAR(9),8)&amp;"_ =&gt; _."&amp;D9&amp;","</f>
        <v xml:space="preserve">								_ =&gt; _.ContainerNo,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.WhereIf(!string.IsNullOrWhiteSpace(input.ContainerNo), e =&gt; e.ContainerNo.Contains(input.ContainerNo))</v>
      </c>
    </row>
    <row r="10" spans="1:23" customFormat="1" ht="21" customHeight="1" x14ac:dyDescent="0.25">
      <c r="A10" t="s">
        <v>304</v>
      </c>
      <c r="B10" t="s">
        <v>303</v>
      </c>
      <c r="C10" t="s">
        <v>1</v>
      </c>
      <c r="D10" t="str">
        <f t="shared" ref="D10:D11" si="5">SUBSTITUTE(PROPER(A10),"_","")</f>
        <v>Renban</v>
      </c>
      <c r="E10" t="str">
        <f t="shared" si="0"/>
        <v>varchar</v>
      </c>
      <c r="F10" s="7"/>
      <c r="G10" t="str">
        <f t="shared" si="1"/>
        <v>50</v>
      </c>
      <c r="H10" t="str">
        <f>+VLOOKUP(E10,'Data Type Mapping'!A:B,2,)</f>
        <v>string</v>
      </c>
      <c r="I10" t="str">
        <f t="shared" si="2"/>
        <v xml:space="preserve">		public const int MaxRenbanLength = 50;
</v>
      </c>
      <c r="J10" t="str">
        <f t="shared" si="3"/>
        <v xml:space="preserve">		[StringLength(MaxRenbanLength)]
		public virtual string Renban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[Index(nameof(Renban), Name="IX_LgwMwhContList_Renban")]</v>
      </c>
      <c r="M10" t="str">
        <f t="shared" ref="M10:M13" si="7">REPT(CHAR(9),2)&amp;"public virtual "&amp;IF(OR(H10="DateTime",H10="TimeSpan"),H10&amp;"?",H10)&amp;IF(C10="?","? "," ")&amp;D10&amp;" { get; set; }" &amp; "
"</f>
        <v xml:space="preserve">		public virtual string Renban { get; set; }
</v>
      </c>
      <c r="N10" t="str">
        <f t="shared" ref="N10:N13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[StringLength(LgwMwhContListConsts.MaxRenbanLength)]
		public virtual string Renban { get; set; }
</v>
      </c>
      <c r="O10" t="str">
        <f t="shared" ref="O10:O13" si="9">IF(OR(H10="string",H10="DateTime",H10="int"),REPT(CHAR(9),2)&amp;"public virtual "&amp;IF(OR(H10="DateTime",H10="TimeSpan"),H10&amp;"?",H10)&amp;IF(C10="?","? "," ")&amp;D10&amp;" { get; set; }"&amp;$E$3,"")</f>
        <v xml:space="preserve">		public virtual string Renban { get; set; }
</v>
      </c>
      <c r="P10" t="str">
        <f t="shared" si="4"/>
        <v xml:space="preserve">							Renban = o.Renban,</v>
      </c>
      <c r="T10" s="69" t="str">
        <f t="shared" ref="T10:T13" si="10">REPT(CHAR(9),8)&amp;"("""&amp;D10&amp;"""),"</f>
        <v xml:space="preserve">								("Renban"),</v>
      </c>
      <c r="V10" s="70" t="str">
        <f t="shared" ref="V10:V13" si="11">REPT(CHAR(9),8)&amp;"_ =&gt; _."&amp;D10&amp;","</f>
        <v xml:space="preserve">								_ =&gt; _.Renban,</v>
      </c>
      <c r="W10" s="69" t="str">
        <f t="shared" ref="W10:W13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.WhereIf(!string.IsNullOrWhiteSpace(input.Renban), e =&gt; e.Renban.Contains(input.Renban))</v>
      </c>
    </row>
    <row r="11" spans="1:23" customFormat="1" ht="18.75" customHeight="1" x14ac:dyDescent="0.25">
      <c r="A11" t="s">
        <v>301</v>
      </c>
      <c r="B11" t="s">
        <v>303</v>
      </c>
      <c r="C11" t="s">
        <v>1</v>
      </c>
      <c r="D11" t="str">
        <f t="shared" si="5"/>
        <v>SupplierNo</v>
      </c>
      <c r="E11" t="str">
        <f t="shared" si="0"/>
        <v>varchar</v>
      </c>
      <c r="F11" s="7"/>
      <c r="G11" t="str">
        <f t="shared" si="1"/>
        <v>50</v>
      </c>
      <c r="H11" t="str">
        <f>+VLOOKUP(E11,'Data Type Mapping'!A:B,2,)</f>
        <v>string</v>
      </c>
      <c r="I11" t="str">
        <f t="shared" si="2"/>
        <v xml:space="preserve">		public const int MaxSupplierNoLength = 50;
</v>
      </c>
      <c r="J11" t="str">
        <f t="shared" si="3"/>
        <v xml:space="preserve">		[StringLength(MaxSupplierNoLength)]
		public virtual string SupplierNo { get; set; }
</v>
      </c>
      <c r="K11" s="7" t="s">
        <v>206</v>
      </c>
      <c r="L11" t="str">
        <f t="shared" si="6"/>
        <v xml:space="preserve">	[Index(nameof(SupplierNo), Name="IX_LgwMwhContList_SupplierNo")]</v>
      </c>
      <c r="M11" t="str">
        <f t="shared" si="7"/>
        <v xml:space="preserve">		public virtual string SupplierNo { get; set; }
</v>
      </c>
      <c r="N11" t="str">
        <f t="shared" si="8"/>
        <v xml:space="preserve">		[StringLength(LgwMwhContListConsts.MaxSupplierNoLength)]
		public virtual string SupplierNo { get; set; }
</v>
      </c>
      <c r="O11" t="str">
        <f t="shared" si="9"/>
        <v xml:space="preserve">		public virtual string SupplierNo { get; set; }
</v>
      </c>
      <c r="P11" t="str">
        <f t="shared" si="4"/>
        <v xml:space="preserve">							SupplierNo = o.SupplierNo,</v>
      </c>
      <c r="T11" s="69" t="str">
        <f t="shared" si="10"/>
        <v xml:space="preserve">								("SupplierNo"),</v>
      </c>
      <c r="V11" s="70" t="str">
        <f t="shared" si="11"/>
        <v xml:space="preserve">								_ =&gt; _.SupplierNo,</v>
      </c>
      <c r="W11" s="69" t="str">
        <f t="shared" si="12"/>
        <v xml:space="preserve">				.WhereIf(!string.IsNullOrWhiteSpace(input.SupplierNo), e =&gt; e.SupplierNo.Contains(input.SupplierNo))</v>
      </c>
    </row>
    <row r="12" spans="1:23" customFormat="1" ht="22.5" customHeight="1" x14ac:dyDescent="0.25">
      <c r="A12" t="s">
        <v>307</v>
      </c>
      <c r="B12" t="s">
        <v>2</v>
      </c>
      <c r="C12" t="s">
        <v>1</v>
      </c>
      <c r="D12" t="str">
        <f>SUBSTITUTE(PROPER(A12),"_","")</f>
        <v>DevanningDate</v>
      </c>
      <c r="E12" t="str">
        <f t="shared" ref="E12:E14" si="13">IFERROR(LEFT(B12, FIND("(",B12)-1),B12)</f>
        <v>date</v>
      </c>
      <c r="F12" s="7" t="s">
        <v>2</v>
      </c>
      <c r="G12" t="str">
        <f t="shared" ref="G12:G14" si="14">IFERROR(MID(B12,FIND("(",B12) +1, FIND(")",B12) - FIND("(",B12) - 1),"")</f>
        <v/>
      </c>
      <c r="H12" t="str">
        <f>+VLOOKUP(E12,'Data Type Mapping'!A:B,2,)</f>
        <v>DateTime</v>
      </c>
      <c r="I12" t="str">
        <f t="shared" ref="I12:I14" si="15">IF(H12="string",REPT(CHAR(9),2)&amp;"public const int Max"&amp;D12&amp;"Length = "&amp;G12&amp;";"&amp;$E$3,"" )</f>
        <v/>
      </c>
      <c r="J12" t="str">
        <f t="shared" ref="J12:J14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[Column(TypeName="date")]
		public virtual DateTime DevanningDate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DateTime? DevanningDate { get; set; }
</v>
      </c>
      <c r="N12" t="str">
        <f t="shared" si="8"/>
        <v xml:space="preserve">		public virtual DateTime? DevanningDate { get; set; }
</v>
      </c>
      <c r="O12" t="str">
        <f t="shared" si="9"/>
        <v xml:space="preserve">		public virtual DateTime? DevanningDate { get; set; }
</v>
      </c>
      <c r="P12" t="str">
        <f t="shared" ref="P12:P14" si="17">REPT(CHAR(9),7)&amp;D12&amp;" = o." &amp;D12 &amp;","</f>
        <v xml:space="preserve">							DevanningDate = o.DevanningDate,</v>
      </c>
      <c r="T12" s="69" t="str">
        <f t="shared" si="10"/>
        <v xml:space="preserve">								("DevanningDate"),</v>
      </c>
      <c r="V12" s="70" t="str">
        <f t="shared" si="11"/>
        <v xml:space="preserve">								_ =&gt; _.DevanningDate,</v>
      </c>
      <c r="W12" s="69" t="str">
        <f t="shared" si="12"/>
        <v xml:space="preserve">				.WhereIf(input.DevanningDate.HasValue, t =&gt; t.DevanningDate == input.DevanningDate.Value)</v>
      </c>
    </row>
    <row r="13" spans="1:23" customFormat="1" ht="21" customHeight="1" x14ac:dyDescent="0.25">
      <c r="A13" t="s">
        <v>308</v>
      </c>
      <c r="B13" t="s">
        <v>309</v>
      </c>
      <c r="C13" t="s">
        <v>1</v>
      </c>
      <c r="D13" t="str">
        <f t="shared" ref="D13:D14" si="18">SUBSTITUTE(PROPER(A13),"_","")</f>
        <v>StartDevanningDate</v>
      </c>
      <c r="E13" t="str">
        <f t="shared" si="13"/>
        <v>datetime2</v>
      </c>
      <c r="F13" s="7" t="s">
        <v>309</v>
      </c>
      <c r="G13" t="str">
        <f t="shared" si="14"/>
        <v>7</v>
      </c>
      <c r="H13" t="str">
        <f>+VLOOKUP(E13,'Data Type Mapping'!A:B,2,)</f>
        <v>DateTime</v>
      </c>
      <c r="I13" t="str">
        <f t="shared" si="15"/>
        <v/>
      </c>
      <c r="J13" t="str">
        <f t="shared" si="16"/>
        <v xml:space="preserve">		[Column(TypeName="datetime2(7)")]
		public virtual DateTime StartDevanningDate { get; set; }
</v>
      </c>
      <c r="K13" s="7"/>
      <c r="L13" t="str">
        <f t="shared" ref="L13:L14" si="19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DateTime? StartDevanningDate { get; set; }
</v>
      </c>
      <c r="N13" t="str">
        <f t="shared" si="8"/>
        <v xml:space="preserve">		public virtual DateTime? StartDevanningDate { get; set; }
</v>
      </c>
      <c r="O13" t="str">
        <f t="shared" si="9"/>
        <v xml:space="preserve">		public virtual DateTime? StartDevanningDate { get; set; }
</v>
      </c>
      <c r="P13" t="str">
        <f t="shared" si="17"/>
        <v xml:space="preserve">							StartDevanningDate = o.StartDevanningDate,</v>
      </c>
      <c r="T13" s="69" t="str">
        <f t="shared" si="10"/>
        <v xml:space="preserve">								("StartDevanningDate"),</v>
      </c>
      <c r="V13" s="70" t="str">
        <f t="shared" si="11"/>
        <v xml:space="preserve">								_ =&gt; _.StartDevanningDate,</v>
      </c>
      <c r="W13" s="69" t="str">
        <f t="shared" si="12"/>
        <v xml:space="preserve">				.WhereIf(input.StartDevanningDate.HasValue, t =&gt; t.StartDevanningDate == input.StartDevanningDate.Value)</v>
      </c>
    </row>
    <row r="14" spans="1:23" customFormat="1" ht="18.75" customHeight="1" x14ac:dyDescent="0.25">
      <c r="A14" t="s">
        <v>310</v>
      </c>
      <c r="B14" t="s">
        <v>309</v>
      </c>
      <c r="C14" t="s">
        <v>1</v>
      </c>
      <c r="D14" t="str">
        <f t="shared" si="18"/>
        <v>FinishDevanningDate</v>
      </c>
      <c r="E14" t="str">
        <f t="shared" si="13"/>
        <v>datetime2</v>
      </c>
      <c r="F14" s="7" t="s">
        <v>309</v>
      </c>
      <c r="G14" t="str">
        <f t="shared" si="14"/>
        <v>7</v>
      </c>
      <c r="H14" t="str">
        <f>+VLOOKUP(E14,'Data Type Mapping'!A:B,2,)</f>
        <v>DateTime</v>
      </c>
      <c r="I14" t="str">
        <f t="shared" si="15"/>
        <v/>
      </c>
      <c r="J14" t="str">
        <f t="shared" si="16"/>
        <v xml:space="preserve">		[Column(TypeName="datetime2(7)")]
		public virtual DateTime FinishDevanningDate { get; set; }
</v>
      </c>
      <c r="K14" s="7"/>
      <c r="L14" t="str">
        <f t="shared" si="19"/>
        <v/>
      </c>
      <c r="M14" t="str">
        <f t="shared" ref="M14:M16" si="20">REPT(CHAR(9),2)&amp;"public virtual "&amp;IF(OR(H14="DateTime",H14="TimeSpan"),H14&amp;"?",H14)&amp;IF(C14="?","? "," ")&amp;D14&amp;" { get; set; }" &amp; "
"</f>
        <v xml:space="preserve">		public virtual DateTime? FinishDevanningDate { get; set; }
</v>
      </c>
      <c r="N14" t="str">
        <f t="shared" ref="N14:N16" si="21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DateTime? FinishDevanningDate { get; set; }
</v>
      </c>
      <c r="O14" t="str">
        <f t="shared" ref="O14:O16" si="22">IF(OR(H14="string",H14="DateTime",H14="int"),REPT(CHAR(9),2)&amp;"public virtual "&amp;IF(OR(H14="DateTime",H14="TimeSpan"),H14&amp;"?",H14)&amp;IF(C14="?","? "," ")&amp;D14&amp;" { get; set; }"&amp;$E$3,"")</f>
        <v xml:space="preserve">		public virtual DateTime? FinishDevanningDate { get; set; }
</v>
      </c>
      <c r="P14" t="str">
        <f t="shared" si="17"/>
        <v xml:space="preserve">							FinishDevanningDate = o.FinishDevanningDate,</v>
      </c>
      <c r="T14" s="69" t="str">
        <f t="shared" ref="T14:T16" si="23">REPT(CHAR(9),8)&amp;"("""&amp;D14&amp;"""),"</f>
        <v xml:space="preserve">								("FinishDevanningDate"),</v>
      </c>
      <c r="V14" s="70" t="str">
        <f t="shared" ref="V14:V16" si="24">REPT(CHAR(9),8)&amp;"_ =&gt; _."&amp;D14&amp;","</f>
        <v xml:space="preserve">								_ =&gt; _.FinishDevanningDate,</v>
      </c>
      <c r="W14" s="69" t="str">
        <f t="shared" ref="W14:W16" si="25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.WhereIf(input.FinishDevanningDate.HasValue, t =&gt; t.FinishDevanningDate == input.FinishDevanningDate.Value)</v>
      </c>
    </row>
    <row r="15" spans="1:23" customFormat="1" ht="22.5" customHeight="1" x14ac:dyDescent="0.25">
      <c r="A15" t="s">
        <v>311</v>
      </c>
      <c r="B15" t="s">
        <v>303</v>
      </c>
      <c r="C15" t="s">
        <v>1</v>
      </c>
      <c r="D15" t="str">
        <f>SUBSTITUTE(PROPER(A15),"_","")</f>
        <v>Status</v>
      </c>
      <c r="E15" t="str">
        <f t="shared" ref="E15:E16" si="26">IFERROR(LEFT(B15, FIND("(",B15)-1),B15)</f>
        <v>varchar</v>
      </c>
      <c r="F15" s="7"/>
      <c r="G15" t="str">
        <f t="shared" ref="G15:G16" si="27">IFERROR(MID(B15,FIND("(",B15) +1, FIND(")",B15) - FIND("(",B15) - 1),"")</f>
        <v>50</v>
      </c>
      <c r="H15" t="str">
        <f>+VLOOKUP(E15,'Data Type Mapping'!A:B,2,)</f>
        <v>string</v>
      </c>
      <c r="I15" t="str">
        <f t="shared" ref="I15:I16" si="28">IF(H15="string",REPT(CHAR(9),2)&amp;"public const int Max"&amp;D15&amp;"Length = "&amp;G15&amp;";"&amp;$E$3,"" )</f>
        <v xml:space="preserve">		public const int MaxStatusLength = 50;
</v>
      </c>
      <c r="J15" t="str">
        <f t="shared" ref="J15:J16" si="29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[StringLength(MaxStatusLength)]
		public virtual string Status { get; set; }
</v>
      </c>
      <c r="K15" s="7"/>
      <c r="L15" t="str">
        <f>IF(K15="","",REPT(CHAR(9),1)&amp;"[Index(nameof("&amp;IF(D15="","",""&amp;D15)&amp;")"&amp;", Name="&amp;"""IX_"&amp;$B$7&amp;"_"&amp;D15&amp;""")]")</f>
        <v/>
      </c>
      <c r="M15" t="str">
        <f t="shared" si="20"/>
        <v xml:space="preserve">		public virtual string Status { get; set; }
</v>
      </c>
      <c r="N15" t="str">
        <f t="shared" si="21"/>
        <v xml:space="preserve">		[StringLength(LgwMwhContListConsts.MaxStatusLength)]
		public virtual string Status { get; set; }
</v>
      </c>
      <c r="O15" t="str">
        <f t="shared" si="22"/>
        <v xml:space="preserve">		public virtual string Status { get; set; }
</v>
      </c>
      <c r="P15" t="str">
        <f t="shared" ref="P15:P16" si="30">REPT(CHAR(9),7)&amp;D15&amp;" = o." &amp;D15 &amp;","</f>
        <v xml:space="preserve">							Status = o.Status,</v>
      </c>
      <c r="T15" s="69" t="str">
        <f t="shared" si="23"/>
        <v xml:space="preserve">								("Status"),</v>
      </c>
      <c r="V15" s="70" t="str">
        <f t="shared" si="24"/>
        <v xml:space="preserve">								_ =&gt; _.Status,</v>
      </c>
      <c r="W15" s="69" t="str">
        <f t="shared" si="25"/>
        <v xml:space="preserve">				.WhereIf(!string.IsNullOrWhiteSpace(input.Status), e =&gt; e.Status.Contains(input.Status))</v>
      </c>
    </row>
    <row r="16" spans="1:23" customFormat="1" ht="21" customHeight="1" x14ac:dyDescent="0.25">
      <c r="A16" t="s">
        <v>312</v>
      </c>
      <c r="B16" t="s">
        <v>4</v>
      </c>
      <c r="C16" t="s">
        <v>1</v>
      </c>
      <c r="D16" t="str">
        <f t="shared" ref="D16" si="31">SUBSTITUTE(PROPER(A16),"_","")</f>
        <v>ContScheduleId</v>
      </c>
      <c r="E16" t="str">
        <f t="shared" si="26"/>
        <v>int</v>
      </c>
      <c r="F16" s="7"/>
      <c r="G16" t="str">
        <f t="shared" si="27"/>
        <v/>
      </c>
      <c r="H16" t="str">
        <f>+VLOOKUP(E16,'Data Type Mapping'!A:B,2,)</f>
        <v>int</v>
      </c>
      <c r="I16" t="str">
        <f t="shared" si="28"/>
        <v/>
      </c>
      <c r="J16" t="str">
        <f t="shared" si="29"/>
        <v xml:space="preserve">		public virtual int ContScheduleId { get; set; }
</v>
      </c>
      <c r="K16" s="7"/>
      <c r="L16" t="str">
        <f t="shared" ref="L16" si="32">IF(K16="","",REPT(CHAR(9),1)&amp;"[Index(nameof("&amp;IF(D16="","",""&amp;D16)&amp;")"&amp;", Name="&amp;"""IX_"&amp;$B$7&amp;"_"&amp;D16&amp;""")]")</f>
        <v/>
      </c>
      <c r="M16" t="str">
        <f t="shared" si="20"/>
        <v xml:space="preserve">		public virtual int ContScheduleId { get; set; }
</v>
      </c>
      <c r="N16" t="str">
        <f t="shared" si="21"/>
        <v xml:space="preserve">		public virtual int ContScheduleId { get; set; }
</v>
      </c>
      <c r="O16" t="str">
        <f t="shared" si="22"/>
        <v xml:space="preserve">		public virtual int ContScheduleId { get; set; }
</v>
      </c>
      <c r="P16" t="str">
        <f t="shared" si="30"/>
        <v xml:space="preserve">							ContScheduleId = o.ContScheduleId,</v>
      </c>
      <c r="T16" s="69" t="str">
        <f t="shared" si="23"/>
        <v xml:space="preserve">								("ContScheduleId"),</v>
      </c>
      <c r="V16" s="70" t="str">
        <f t="shared" si="24"/>
        <v xml:space="preserve">								_ =&gt; _.ContScheduleId,</v>
      </c>
      <c r="W16" s="69" t="str">
        <f t="shared" si="25"/>
        <v/>
      </c>
    </row>
    <row r="17" spans="1:23" customFormat="1" ht="22.5" customHeight="1" x14ac:dyDescent="0.25">
      <c r="A17" t="s">
        <v>313</v>
      </c>
      <c r="B17" t="s">
        <v>303</v>
      </c>
      <c r="C17" t="s">
        <v>1</v>
      </c>
      <c r="D17" t="str">
        <f>SUBSTITUTE(PROPER(A17),"_","")</f>
        <v>Shop</v>
      </c>
      <c r="E17" t="str">
        <f t="shared" ref="E17:E18" si="33">IFERROR(LEFT(B17, FIND("(",B17)-1),B17)</f>
        <v>varchar</v>
      </c>
      <c r="F17" s="7"/>
      <c r="G17" t="str">
        <f t="shared" ref="G17:G18" si="34">IFERROR(MID(B17,FIND("(",B17) +1, FIND(")",B17) - FIND("(",B17) - 1),"")</f>
        <v>50</v>
      </c>
      <c r="H17" t="str">
        <f>+VLOOKUP(E17,'Data Type Mapping'!A:B,2,)</f>
        <v>string</v>
      </c>
      <c r="I17" t="str">
        <f t="shared" ref="I17:I18" si="35">IF(H17="string",REPT(CHAR(9),2)&amp;"public const int Max"&amp;D17&amp;"Length = "&amp;G17&amp;";"&amp;$E$3,"" )</f>
        <v xml:space="preserve">		public const int MaxShopLength = 50;
</v>
      </c>
      <c r="J17" t="str">
        <f t="shared" ref="J17:J18" si="36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[StringLength(MaxShopLength)]
		public virtual string Shop { get; set; }
</v>
      </c>
      <c r="K17" s="7"/>
      <c r="L17" t="str">
        <f>IF(K17="","",REPT(CHAR(9),1)&amp;"[Index(nameof("&amp;IF(D17="","",""&amp;D17)&amp;")"&amp;", Name="&amp;"""IX_"&amp;$B$7&amp;"_"&amp;D17&amp;""")]")</f>
        <v/>
      </c>
      <c r="M17" t="str">
        <f t="shared" ref="M17:M18" si="37">REPT(CHAR(9),2)&amp;"public virtual "&amp;IF(OR(H17="DateTime",H17="TimeSpan"),H17&amp;"?",H17)&amp;IF(C17="?","? "," ")&amp;D17&amp;" { get; set; }" &amp; "
"</f>
        <v xml:space="preserve">		public virtual string Shop { get; set; }
</v>
      </c>
      <c r="N17" t="str">
        <f t="shared" ref="N17:N18" si="38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[StringLength(LgwMwhContListConsts.MaxShopLength)]
		public virtual string Shop { get; set; }
</v>
      </c>
      <c r="O17" t="str">
        <f t="shared" ref="O17:O18" si="39">IF(OR(H17="string",H17="DateTime",H17="int"),REPT(CHAR(9),2)&amp;"public virtual "&amp;IF(OR(H17="DateTime",H17="TimeSpan"),H17&amp;"?",H17)&amp;IF(C17="?","? "," ")&amp;D17&amp;" { get; set; }"&amp;$E$3,"")</f>
        <v xml:space="preserve">		public virtual string Shop { get; set; }
</v>
      </c>
      <c r="P17" t="str">
        <f t="shared" ref="P17:P18" si="40">REPT(CHAR(9),7)&amp;D17&amp;" = o." &amp;D17 &amp;","</f>
        <v xml:space="preserve">							Shop = o.Shop,</v>
      </c>
      <c r="T17" s="69" t="str">
        <f t="shared" ref="T17:T18" si="41">REPT(CHAR(9),8)&amp;"("""&amp;D17&amp;"""),"</f>
        <v xml:space="preserve">								("Shop"),</v>
      </c>
      <c r="V17" s="70" t="str">
        <f t="shared" ref="V17:V18" si="42">REPT(CHAR(9),8)&amp;"_ =&gt; _."&amp;D17&amp;","</f>
        <v xml:space="preserve">								_ =&gt; _.Shop,</v>
      </c>
      <c r="W17" s="69" t="str">
        <f t="shared" ref="W17:W18" si="43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.WhereIf(!string.IsNullOrWhiteSpace(input.Shop), e =&gt; e.Shop.Contains(input.Shop))</v>
      </c>
    </row>
    <row r="18" spans="1:23" customFormat="1" ht="21" customHeight="1" x14ac:dyDescent="0.25">
      <c r="A18" t="s">
        <v>302</v>
      </c>
      <c r="B18" t="s">
        <v>303</v>
      </c>
      <c r="C18" t="s">
        <v>1</v>
      </c>
      <c r="D18" t="str">
        <f t="shared" ref="D18" si="44">SUBSTITUTE(PROPER(A18),"_","")</f>
        <v>IsActive</v>
      </c>
      <c r="E18" t="str">
        <f t="shared" si="33"/>
        <v>varchar</v>
      </c>
      <c r="F18" s="7"/>
      <c r="G18" t="str">
        <f t="shared" si="34"/>
        <v>50</v>
      </c>
      <c r="H18" t="str">
        <f>+VLOOKUP(E18,'Data Type Mapping'!A:B,2,)</f>
        <v>string</v>
      </c>
      <c r="I18" t="str">
        <f t="shared" si="35"/>
        <v xml:space="preserve">		public const int MaxIsActiveLength = 50;
</v>
      </c>
      <c r="J18" t="str">
        <f t="shared" si="36"/>
        <v xml:space="preserve">		[StringLength(MaxIsActiveLength)]
		public virtual string IsActive { get; set; }
</v>
      </c>
      <c r="K18" s="7" t="s">
        <v>206</v>
      </c>
      <c r="L18" t="str">
        <f t="shared" ref="L18" si="45">IF(K18="","",REPT(CHAR(9),1)&amp;"[Index(nameof("&amp;IF(D18="","",""&amp;D18)&amp;")"&amp;", Name="&amp;"""IX_"&amp;$B$7&amp;"_"&amp;D18&amp;""")]")</f>
        <v xml:space="preserve">	[Index(nameof(IsActive), Name="IX_LgwMwhContList_IsActive")]</v>
      </c>
      <c r="M18" t="str">
        <f t="shared" si="37"/>
        <v xml:space="preserve">		public virtual string IsActive { get; set; }
</v>
      </c>
      <c r="N18" t="str">
        <f t="shared" si="38"/>
        <v xml:space="preserve">		[StringLength(LgwMwhContListConsts.MaxIsActiveLength)]
		public virtual string IsActive { get; set; }
</v>
      </c>
      <c r="O18" t="str">
        <f t="shared" si="39"/>
        <v xml:space="preserve">		public virtual string IsActive { get; set; }
</v>
      </c>
      <c r="P18" t="str">
        <f t="shared" si="40"/>
        <v xml:space="preserve">							IsActive = o.IsActive,</v>
      </c>
      <c r="T18" s="69" t="str">
        <f t="shared" si="41"/>
        <v xml:space="preserve">								("IsActive"),</v>
      </c>
      <c r="V18" s="70" t="str">
        <f t="shared" si="42"/>
        <v xml:space="preserve">								_ =&gt; _.IsActive,</v>
      </c>
      <c r="W18" s="69" t="str">
        <f t="shared" si="43"/>
        <v xml:space="preserve">				.WhereIf(!string.IsNullOrWhiteSpace(input.IsActive), e =&gt; e.IsActive.Contains(input.IsActive))</v>
      </c>
    </row>
    <row r="20" spans="1:23" ht="45.75" customHeight="1" x14ac:dyDescent="0.25">
      <c r="H20" s="12"/>
      <c r="I20" s="34" t="str">
        <f ca="1">TEXTJOIN2("
", TRUE,INDIRECT( $H$1):INDIRECT( $H$3))</f>
        <v xml:space="preserve">		public const int MaxContainerNoLength = 50;
		public const int MaxRenbanLength = 50;
		public const int MaxSupplierNoLength = 50;
		public const int MaxStatusLength = 50;
		public const int MaxShopLength = 50;
		public const int MaxIsActiveLength = 50;
</v>
      </c>
      <c r="J20" s="33" t="str">
        <f ca="1">TEXTJOIN2("
", TRUE,INDIRECT( $F$1):INDIRECT( $F$3))</f>
        <v xml:space="preserve">		[StringLength(MaxContainerNoLength)]
		public virtual string ContainerNo { get; set; }
		[StringLength(MaxRenbanLength)]
		public virtual string Renban { get; set; }
		[StringLength(MaxSupplierNoLength)]
		public virtual string SupplierNo { get; set; }
		[Column(TypeName="date")]
		public virtual DateTime DevanningDate { get; set; }
		[Column(TypeName="datetime2(7)")]
		public virtual DateTime StartDevanningDate { get; set; }
		[Column(TypeName="datetime2(7)")]
		public virtual DateTime FinishDevanningDate { get; set; }
		[StringLength(MaxStatusLength)]
		public virtual string Status { get; set; }
		public virtual int ContScheduleId { get; set; }
		[StringLength(MaxShopLength)]
		public virtual string Shop { get; set; }
		[StringLength(MaxIsActiveLength)]
		public virtual string IsActive { get; set; }
</v>
      </c>
      <c r="K20" s="35" t="str">
        <f ca="1">TEXTJOIN2("
", TRUE,INDIRECT( $J$1):INDIRECT( $J$3))</f>
        <v xml:space="preserve">	[Index(nameof(ContainerNo), Name="IX_LgwMwhContList_ContainerNo")]
	[Index(nameof(Renban), Name="IX_LgwMwhContList_Renban")]
	[Index(nameof(SupplierNo), Name="IX_LgwMwhContList_SupplierNo")]
	[Index(nameof(IsActive), Name="IX_LgwMwhContList_IsActive")]</v>
      </c>
      <c r="L20" s="13" t="s">
        <v>60</v>
      </c>
      <c r="M20" s="36" t="str">
        <f ca="1">TEXTJOIN2("
",TRUE,INDIRECT( $L$1):INDIRECT($L$3))</f>
        <v xml:space="preserve">		public virtual string ContainerNo { get; set; }
		public virtual string Renban { get; set; }
		public virtual string SupplierNo { get; set; }
		public virtual DateTime? DevanningDate { get; set; }
		public virtual DateTime? StartDevanningDate { get; set; }
		public virtual DateTime? FinishDevanningDate { get; set; }
		public virtual string Status { get; set; }
		public virtual int ContScheduleId { get; set; }
		public virtual string Shop { get; set; }
		public virtual string IsActive { get; set; }
</v>
      </c>
      <c r="N20" s="33" t="str">
        <f ca="1">TEXTJOIN2("
",TRUE,INDIRECT( $M$1):INDIRECT($M$3))</f>
        <v xml:space="preserve">		[StringLength(LgwMwhContListConsts.MaxContainerNoLength)]
		public virtual string ContainerNo { get; set; }
		[StringLength(LgwMwhContListConsts.MaxRenbanLength)]
		public virtual string Renban { get; set; }
		[StringLength(LgwMwhContListConsts.MaxSupplierNoLength)]
		public virtual string SupplierNo { get; set; }
		public virtual DateTime? DevanningDate { get; set; }
		public virtual DateTime? StartDevanningDate { get; set; }
		public virtual DateTime? FinishDevanningDate { get; set; }
		[StringLength(LgwMwhContListConsts.MaxStatusLength)]
		public virtual string Status { get; set; }
		public virtual int ContScheduleId { get; set; }
		[StringLength(LgwMwhContListConsts.MaxShopLength)]
		public virtual string Shop { get; set; }
		[StringLength(LgwMwhContListConsts.MaxIsActiveLength)]
		public virtual string IsActive { get; set; }
</v>
      </c>
      <c r="O20" s="33" t="str">
        <f ca="1">TEXTJOIN2("
",TRUE,INDIRECT( $N$1):INDIRECT($N$3))</f>
        <v xml:space="preserve">		public virtual string ContainerNo { get; set; }
		public virtual string Renban { get; set; }
		public virtual string SupplierNo { get; set; }
		public virtual DateTime? DevanningDate { get; set; }
		public virtual DateTime? StartDevanningDate { get; set; }
		public virtual DateTime? FinishDevanningDate { get; set; }
		public virtual string Status { get; set; }
		public virtual int ContScheduleId { get; set; }
		public virtual string Shop { get; set; }
		public virtual string IsActive { get; set; }
</v>
      </c>
      <c r="P20" s="9" t="str">
        <f ca="1">TEXTJOIN2("
",TRUE,INDIRECT( $O$1):INDIRECT($O$3))</f>
        <v xml:space="preserve">							ContainerNo = o.ContainerNo,
							Renban = o.Renban,
							SupplierNo = o.SupplierNo,
							DevanningDate = o.DevanningDate,
							StartDevanningDate = o.StartDevanningDate,
							FinishDevanningDate = o.FinishDevanningDate,
							Status = o.Status,
							ContScheduleId = o.ContScheduleId,
							Shop = o.Shop,
							IsActive = o.IsActive,</v>
      </c>
      <c r="T20" s="9" t="str">
        <f ca="1">TEXTJOIN2("
",TRUE,INDIRECT( $T$2):INDIRECT($T$3))</f>
        <v xml:space="preserve">								("ContainerNo"),
								("Renban"),
								("SupplierNo"),
								("DevanningDate"),
								("StartDevanningDate"),
								("FinishDevanningDate"),
								("Status"),
								("ContScheduleId"),
								("Shop"),
								("IsActive"),</v>
      </c>
      <c r="V20" s="9" t="str">
        <f ca="1">TEXTJOIN2("
",TRUE,INDIRECT( $V$2):INDIRECT($V$3))</f>
        <v xml:space="preserve">								_ =&gt; _.ContainerNo,
								_ =&gt; _.Renban,
								_ =&gt; _.SupplierNo,
								_ =&gt; _.DevanningDate,
								_ =&gt; _.StartDevanningDate,
								_ =&gt; _.FinishDevanningDate,
								_ =&gt; _.Status,
								_ =&gt; _.ContScheduleId,
								_ =&gt; _.Shop,
								_ =&gt; _.IsActive,</v>
      </c>
      <c r="W20" s="9" t="str">
        <f ca="1">TEXTJOIN2("
",TRUE,INDIRECT( $W$2):INDIRECT($W$3))</f>
        <v xml:space="preserve">				.WhereIf(!string.IsNullOrWhiteSpace(input.ContainerNo), e =&gt; e.ContainerNo.Contains(input.ContainerNo))
				.WhereIf(!string.IsNullOrWhiteSpace(input.Renban), e =&gt; e.Renban.Contains(input.Renban))
				.WhereIf(!string.IsNullOrWhiteSpace(input.SupplierNo), e =&gt; e.SupplierNo.Contains(input.SupplierNo))
				.WhereIf(input.DevanningDate.HasValue, t =&gt; t.DevanningDate == input.DevanningDate.Value)
				.WhereIf(input.StartDevanningDate.HasValue, t =&gt; t.StartDevanningDate == input.StartDevanningDate.Value)
				.WhereIf(input.FinishDevanningDate.HasValue, t =&gt; t.FinishDevanningDate == input.FinishDevanningDate.Value)
				.WhereIf(!string.IsNullOrWhiteSpace(input.Status), e =&gt; e.Status.Contains(input.Status))
				.WhereIf(!string.IsNullOrWhiteSpace(input.Shop), e =&gt; e.Shop.Contains(input.Shop))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7"/>
  <sheetViews>
    <sheetView tabSelected="1" workbookViewId="0">
      <selection activeCell="F17" sqref="F17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45" x14ac:dyDescent="0.25">
      <c r="A1" s="41" t="s">
        <v>212</v>
      </c>
      <c r="B1" s="42" t="s">
        <v>316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LogW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logw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Mwh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mwh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LgwMwhContList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ContList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contlist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LgwMwhContListDto, LgwMwhContListServiceProxy } from '@shared/service-proxies/service-proxies';
import { finalize } from 'rxjs/internal/operators/finalize';
import { CreateOrEditContListModalComponent } from './create-or-edit-contlist-modal.component';
import { DatePipe } from '@angular/common';
import { FileDownloadService } from '@shared/utils/file-download.service';
import ceil from 'lodash-es/ceil';
import { Paginator } from 'primeng/paginator';
@Component({
    templateUrl: './contlist.component.html',
    styleUrls: ['./contlist.component.less'],
})
export class ContListComponent extends AppComponentBase implements OnInit {
    @ViewChild('createOrEditModalContList', { static: true }) createOrEditModalContList:| CreateOrEditContListModalComponent|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LgwMwhContListDto = new LgwMwhContListDto();
    saveSelectedRow: LgwMwhContListDto = new LgwMwhContListDto();
    datas: LgwMwhContListDto = new LgwMwhContListDto();
    isLoading: boolean = false;
    dataParams: GridParams | undefined;
    rowData: any[] = [];
    gridApi!: GridApi;
    rowSelection = 'multiple';
    filter: string = '';
	pipe = new DatePipe('en-US');
	frameworkComponents: FrameworkComponent;
    containerNo : string = '' ; 
	renban : string = '' ; 
	supplierNo : string = '' ; 
	devanningDate : any ;
	startDevanningDate : any ;
finishDevanningDate : any ;
	status : string = '' ; 
	contScheduleId : number = 0 ;
shop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LgwMwhContListServiceProxy,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this.l('Container No'),headerTooltip: this.l('Container No'),field: 'containerNo',flex: 1},
			{headerName: this.l('Renban'),headerTooltip: this.l('Renban'),field: 'renban',flex: 1},
			{headerName: this.l('Supplier No'),headerTooltip: this.l('Supplier No'),field: 'supplierNo',flex: 1},
			{headerName: this.l('Devanning Date'),headerTooltip: this.l('Devanning Date'),field: 'devanningDate',valueGetter: (params) =&gt; this.pipe.transform(params.data?.devanningDate, 'dd/MM/yyyy'),flex: 1},
			{headerName: this.l('Start Devanning Date'),headerTooltip: this.l('Start Devanning Date'),field: 'startDevanningDate',valueGetter: (params) =&gt; this.pipe.transform(params.data?.startDevanningDate, 'dd/MM/yyyy'),flex: 1},
			{headerName: this.l('Finish Devanning Date'),headerTooltip: this.l('Finish Devanning Date'),field: 'finishDevanningDate',valueGetter: (params) =&gt; this.pipe.transform(params.data?.finishDevanningDate, 'dd/MM/yyyy'),flex: 1},
			{headerName: this.l('Status'),headerTooltip: this.l('Status'),field: 'status',flex: 1},
			{headerName: this.l('Cont Schedule Id'),headerTooltip: this.l('Cont Schedule Id'),field: 'contScheduleId',flex: 1},
			{headerName: this.l('Shop'),headerTooltip: this.l('Shop'),field: 'shop',flex: 1},
			{headerName: this.l('Is Active'),headerTooltip: this.l('Is Active'),field: 'isActive',flex: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this.containerNo,
			this.renban,
			this.supplierNo,
			this.devanningDate,
			this.startDevanningDate,
			this.finishDevanningDate,
			this.status,
			this.contScheduleId,
			this.shop,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this.containerNo = '',
		this.renban = '',
		this.supplierNo = '',
		this.devanningDate = '',
		this.startDevanningDate = '',
this.finishDevanningDate = '',
		this.status = '',
		this.contScheduleId = 0,
this.shop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this.containerNo,
			this.renban,
			this.supplierNo,
			this.devanningDate,
			this.startDevanningDate,
			this.finishDevanningDate,
			this.status,
			this.contScheduleId,
			this.shop,
			this.isActive,
			'',
            this.paginationParams.skipCount,
            this.paginationParams.pageSize
        );
    }
    onChangeRowSelection(params: { api: { getSelectedRows: () =&gt; LgwMwhContListDto[] } }) {
        this.saveSelectedRow = params.api.getSelectedRows()[0] ?? new LgwMwhContListDto();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LgwMwhContListDto):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this._service.getContListToExcel(
			this.containerNo,
			this.renban,
			this.supplierNo,
			this.devanningDate,
			this.startDevanningDate,
			this.finishDevanningDate,
			this.status,
			this.contScheduleId,
			this.shop,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LogW Module Warehouse Container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type='text' [placeholder]="l('Devanning Date')" [(ngModel)]='devanningDate' 
									name='devanningDate'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Devanning Date')" [(ngModel)]='startDevanningDate' 
									name='startDevanningDate'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Devanning Date')" [(ngModel)]='finishDevanningDate' 
									name='finishDevanningDate'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(click)="createOrEditModalContList.show()"&gt;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(click)="createOrEditModalContList.show(selectedRow)"&gt;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&lt;create-or-edit-contlist-modal
    #createOrEditModalContList
    (modalSave)="callBackDataGrid(dataParams)"
    (modalClose)="onChangeRowSelection(dataParams)"
&gt;
&lt;/create-or-edit-contlist-modal&gt;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#createOrEditModalContList="bs-modal"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ContList')}}&lt;/h3&gt;
                    &lt;h3 *ngIf="!rowdata.id"&gt;{{('Create New ContList')}}&lt;/h3&gt;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title'&gt;Devanning Date&lt;/label&gt;
						&lt;input type='text' class='col-md-10 form-control input-text' name='devanningDate' 
						#datepicker='bsDatepicker' [(ngModel)]='rowdata.devanningDate'  bsDatepicker &gt;
					&lt;/div&gt;
					&lt;div class='col-md-12 form-group row'&gt;
						&lt;label class='col-md-2 form-control title'&gt;Start Devanning Date&lt;/label&gt;
						&lt;input type='text' class='col-md-10 form-control input-text' name='startDevanningDate' 
						#datepicker='bsDatepicker' [(ngModel)]='rowdata.startDevanningDate'  bsDatepicker &gt;
					&lt;/div&gt;
					&lt;div class='col-md-12 form-group row'&gt;
						&lt;label class='col-md-2 form-control title'&gt;Finish Devanning Date&lt;/label&gt;
						&lt;input type='text' class='col-md-10 form-control input-text' name='finishDevanningDate' 
						#datepicker='bsDatepicker' [(ngModel)]='rowdata.finishDevanningDate'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title'&gt;Cont Schedule Id&lt;/label&gt;
						&lt;input type='number' class='col-md-10 form-control input-text' name='ContScheduleId' [(ngModel)]='rowdata.contScheduleId'&gt;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CreateOrEditLgwMwhContListDto, LgwMwhContListServiceProxy } from '@shared/service-proxies/service-proxies';
import { BsDatepickerDirective } from 'ngx-bootstrap/datepicker';
@Component({
    selector: 'create-or-edit-contlist-modal',
    templateUrl: './create-or-edit-contlist-modal.component.html',
    styleUrls: ['./create-or-edit-contlist-modal.component.less']
    })
export class CreateOrEditContListModalComponent extends AppComponentBase {
    @ViewChild('createOrEditModalContList',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CreateOrEditLgwMwhContListDto = new CreateOrEditLgwMwhContListDto();
    active: boolean = false;
    saving: boolean = false;
    _: boolean;
    constructor(
        injector: Injector,
        private _mstwptContListService: LgwMwhContListServiceProxy,
    ) 
    {
        super(injector);
    }
    show(rowdata?: CreateOrEditLgwMwhContListDto): void {
        if (!rowdata) this.rowdata = new CreateOrEditLgwMwhContListDto();
        else this.rowdata = rowdata;
		const dateValue =  this.rowdata.devanningDate ? new Date(this.rowdata.devanningDate?.toString()) : new Date();
		this.datepicker?.bsValueChange.emit(dateValue);
		const dateValue =  this.rowdata.startDevanningDate ? new Date(this.rowdata.startDevanningDate?.toString()) : new Date();
		this.datepicker?.bsValueChange.emit(dateValue);
		const dateValue =  this.rowdata.finishDevanningDate ? new Date(this.rowdata.finishDevanningDate?.toString()) : new Date();
		this.datepicker?.bsValueChange.emit(dateValue);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this._mstwptContListService.createOrEdit(this.rowdata)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ContListRoutingModule } from './contlist-routing.module';
import { ContListComponent } from './contlist.component';
import { CreateOrEditContListModalComponent } from './create-or-edit-contlist-modal.component';
@NgModule({
    declarations: [
       ContListComponent, 
        CreateOrEditContListModalComponent
    ],
    imports: [
        AppSharedModule, ContListRoutingModule]
})
export class ContListModule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ContListComponent } from './contlist.component';
const routes: Routes = [{
    path: '',
    component: ContListComponent,
    pathMatch: 'full'
}];
@NgModule({
    imports: [RouterModule.forChild(routes)],
    exports: [RouterModule],
})
export class ContListRoutingModule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AppMenuItem("ContList", "Pages.LogW.Mwh.ContList", "flaticon-book",   "/app/main/logw/mwh/contlist"),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'logw/mwh/contlist',
    loadChildren: () =&gt; import('./logw/mwh/contlist/contlist.module').then(m =&gt; m.ContListModule),
    data: { permission: 'Pages.LogW.Mwh.ContList' }
},</v>
      </c>
      <c r="R10" s="50" t="str">
        <f>SUBSTITUTE(R9,"MstWptCalendar",$B$6)</f>
        <v>ApiServiceProxies.LgwMwhContListServiceProxy,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H24</v>
      </c>
      <c r="I12" s="31" t="str">
        <f>"I"&amp;COUNTA($A:$A)</f>
        <v>I24</v>
      </c>
      <c r="J12" s="31"/>
      <c r="K12" s="31" t="str">
        <f>"K"&amp;COUNTA($A:$A)</f>
        <v>K24</v>
      </c>
      <c r="L12" s="31" t="str">
        <f>"L"&amp;COUNTA($A:$A)</f>
        <v>L24</v>
      </c>
      <c r="M12" s="31"/>
      <c r="N12" s="31"/>
      <c r="O12" s="31"/>
      <c r="P12" s="31"/>
      <c r="Q12" s="31"/>
      <c r="R12" s="31"/>
      <c r="S12" s="31" t="str">
        <f>"S"&amp;COUNTA($A:$A)</f>
        <v>S24</v>
      </c>
      <c r="T12" s="31" t="str">
        <f>"T"&amp;COUNTA($A:$A)</f>
        <v>T24</v>
      </c>
      <c r="U12" s="31" t="str">
        <f>"U"&amp;COUNTA($A:$A)</f>
        <v>U24</v>
      </c>
      <c r="V12" s="31" t="str">
        <f>"V"&amp;COUNTA($A:$A)</f>
        <v>V24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this.l('Container No'),headerTooltip: this.l('Container No'),field: 'containerNo',flex: 1},
			{headerName: this.l('Renban'),headerTooltip: this.l('Renban'),field: 'renban',flex: 1},
			{headerName: this.l('Supplier No'),headerTooltip: this.l('Supplier No'),field: 'supplierNo',flex: 1},
			{headerName: this.l('Devanning Date'),headerTooltip: this.l('Devanning Date'),field: 'devanningDate',valueGetter: (params) =&gt; this.pipe.transform(params.data?.devanningDate, 'dd/MM/yyyy'),flex: 1},
			{headerName: this.l('Start Devanning Date'),headerTooltip: this.l('Start Devanning Date'),field: 'startDevanningDate',valueGetter: (params) =&gt; this.pipe.transform(params.data?.startDevanningDate, 'dd/MM/yyyy'),flex: 1},
			{headerName: this.l('Finish Devanning Date'),headerTooltip: this.l('Finish Devanning Date'),field: 'finishDevanningDate',valueGetter: (params) =&gt; this.pipe.transform(params.data?.finishDevanningDate, 'dd/MM/yyyy'),flex: 1},
			{headerName: this.l('Status'),headerTooltip: this.l('Status'),field: 'status',flex: 1},
			{headerName: this.l('Cont Schedule Id'),headerTooltip: this.l('Cont Schedule Id'),field: 'contScheduleId',flex: 1},
			{headerName: this.l('Shop'),headerTooltip: this.l('Shop'),field: 'shop',flex: 1},
			{headerName: this.l('Is Active'),headerTooltip: this.l('Is Active'),field: 'isActive',flex: 1},</v>
      </c>
      <c r="I13" s="38" t="str">
        <f ca="1">TEXTJOIN2("
",TRUE,INDIRECT(I11):INDIRECT(I12))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
								&lt;div class='input-search'&gt;
									&lt;input [(ngModel)]='renban' name='renban'
									class='form-control' [placeholder]="l('Renban')"
									type='text' (keyup.enter)='searchDatas()'&gt;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type='text' [placeholder]="l('Devanning Date')" [(ngModel)]='devanningDate' 
									name='devanningDate'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[placeholder]="l('Start Devanning Date')" [(ngModel)]='startDevanningDate' 
									name='startDevanningDate'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[placeholder]="l('Finish Devanning Date')" [(ngModel)]='finishDevanningDate' 
									name='finishDevanningDate'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
					&lt;div class='col-md-12 form-group row'&gt;
						&lt;label class='col-md-2 form-control title'&gt;Renban&lt;/label&gt;
						&lt;input type='text' class='col-md-10 form-control input-text' name='Renban' [(ngModel)]='rowdata.renban'&gt;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title'&gt;Devanning Date&lt;/label&gt;
						&lt;input type='text' class='col-md-10 form-control input-text' name='devanningDate' 
						#datepicker='bsDatepicker' [(ngModel)]='rowdata.devanningDate'  bsDatepicker &gt;
					&lt;/div&gt;
					&lt;div class='col-md-12 form-group row'&gt;
						&lt;label class='col-md-2 form-control title'&gt;Start Devanning Date&lt;/label&gt;
						&lt;input type='text' class='col-md-10 form-control input-text' name='startDevanningDate' 
						#datepicker='bsDatepicker' [(ngModel)]='rowdata.startDevanningDate'  bsDatepicker &gt;
					&lt;/div&gt;
					&lt;div class='col-md-12 form-group row'&gt;
						&lt;label class='col-md-2 form-control title'&gt;Finish Devanning Date&lt;/label&gt;
						&lt;input type='text' class='col-md-10 form-control input-text' name='finishDevanningDate' 
						#datepicker='bsDatepicker' [(ngModel)]='rowdata.finishDevanningDate'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title'&gt;Cont Schedule Id&lt;/label&gt;
						&lt;input type='number' class='col-md-10 form-control input-text' name='ContScheduleId' [(ngModel)]='rowdata.contScheduleId'&gt;
					&lt;/div&gt;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13" s="60" t="str">
        <f ca="1">TEXTJOIN2("
",TRUE,INDIRECT(L11):INDIRECT(L12))</f>
        <v xml:space="preserve">		const dateValue =  this.rowdata.devanningDate ? new Date(this.rowdata.devanningDate?.toString()) : new Date();
		this.datepicker?.bsValueChange.emit(dateValue);
		const dateValue =  this.rowdata.startDevanningDate ? new Date(this.rowdata.startDevanningDate?.toString()) : new Date();
		this.datepicker?.bsValueChange.emit(dateValue);
		const dateValue =  this.rowdata.finishDevanningDate ? new Date(this.rowdata.finishDevanningDate?.toString())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containerNo : string = '' ; 
	renban : string = '' ; 
	supplierNo : string = '' ; 
	devanningDate : any ;
	startDevanningDate : any ;
finishDevanningDate : any ;
	status : string = '' ; 
	contScheduleId : number = 0 ;
shop : string = '' ; 
	isActive : string = '' ; </v>
      </c>
      <c r="T13" s="68" t="str">
        <f ca="1">TEXTJOIN2("
",TRUE,INDIRECT(T11):INDIRECT(T12))</f>
        <v xml:space="preserve">			this.containerNo,
			this.renban,
			this.supplierNo,
			this.devanningDate,
			this.startDevanningDate,
			this.finishDevanningDate,
			this.status,
			this.contScheduleId,
			this.shop,
			this.isActive,</v>
      </c>
      <c r="U13" s="68" t="str">
        <f ca="1">TEXTJOIN2("
",TRUE,INDIRECT(U11):INDIRECT(U12))</f>
        <v>this.containerNo = '',
		this.renban = '',
		this.supplierNo = '',
		this.devanningDate = '',
		this.startDevanningDate = '',
this.finishDevanningDate = '',
		this.status = '',
		this.contScheduleId = 0,
this.shop = '',
		this.isActive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contlist.component.ts</v>
      </c>
      <c r="I14" s="40" t="str">
        <f>B8&amp;".component.html"</f>
        <v>contlist.component.html</v>
      </c>
      <c r="J14" s="39" t="str">
        <f>B8&amp;".component.less"</f>
        <v>contlist.component.less</v>
      </c>
      <c r="K14" s="40" t="str">
        <f>"create-or-edit-"&amp;B8&amp;"-modal.component.html"</f>
        <v>create-or-edit-contlist-modal.component.html</v>
      </c>
      <c r="L14" s="40" t="str">
        <f>"create-or-edit-"&amp;B8&amp;"-modal.component.ts"</f>
        <v>create-or-edit-contlist-modal.component.ts</v>
      </c>
      <c r="M14" s="40" t="str">
        <f>"create-or-edit-"&amp;B8&amp;"-modal.component.less"</f>
        <v>create-or-edit-contlist-modal.component.less</v>
      </c>
      <c r="N14" s="40" t="str">
        <f>B8&amp;".module.ts"</f>
        <v>contlist.module.ts</v>
      </c>
      <c r="O14" s="40" t="str">
        <f>B8&amp;"-routing.module.ts"</f>
        <v>contlist-routing.module.ts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44" t="s">
        <v>306</v>
      </c>
      <c r="B15" s="31" t="str">
        <f>SUBSTITUTE(PROPER(A15),"_","")</f>
        <v>ContainerNo</v>
      </c>
      <c r="C15" s="31" t="str">
        <f>SUBSTITUTE(PROPER(A15),"_"," ")</f>
        <v>Container No</v>
      </c>
      <c r="D15" s="31" t="str">
        <f>LOWER(LEFT(B15,1))&amp;RIGHT(B15,LEN(B15) - 1)</f>
        <v>containerNo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this.l('Container No'),headerTooltip: this.l('Container No'),field: 'containerNo',flex: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[(ngModel)]='containerNo' name='containerNo'
									class='form-control' [placeholder]="l('Container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title'&gt;Container No&lt;/label&gt;
						&lt;input type='text' class='col-md-10 form-control input-text' name='ContainerNo' [(ngModel)]='rowdata.containerNo'&gt;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containerNo : string = '' ; </v>
      </c>
      <c r="T15" s="31" t="str">
        <f>REPT(CHAR(9),3)&amp;"this."&amp;D15&amp;","</f>
        <v xml:space="preserve">			this.containerNo,</v>
      </c>
      <c r="U15" s="31" t="str">
        <f>IF(E15="int","this."&amp;D15&amp;" = 0,","this."&amp;D15&amp;" = '',")</f>
        <v>this.containerNo = '',</v>
      </c>
      <c r="V15" s="31" t="str">
        <f>IF(AND(E15="string",F15="1"),D15,"")</f>
        <v/>
      </c>
    </row>
    <row r="16" spans="1:22" ht="15" customHeight="1" x14ac:dyDescent="0.25">
      <c r="A16" s="44" t="s">
        <v>304</v>
      </c>
      <c r="B16" s="31" t="str">
        <f t="shared" ref="B16:B17" si="0">SUBSTITUTE(PROPER(A16),"_","")</f>
        <v>Renban</v>
      </c>
      <c r="C16" s="31" t="str">
        <f t="shared" ref="C16:C17" si="1">SUBSTITUTE(PROPER(A16),"_"," ")</f>
        <v>Renban</v>
      </c>
      <c r="D16" s="31" t="str">
        <f t="shared" ref="D16:D17" si="2">LOWER(LEFT(B16,1))&amp;RIGHT(B16,LEN(B16) - 1)</f>
        <v>renban</v>
      </c>
      <c r="E16" s="31" t="str">
        <f>A.Backend!H10</f>
        <v>string</v>
      </c>
      <c r="F16" s="31" t="str">
        <f>A.Backend!G10</f>
        <v>50</v>
      </c>
      <c r="G16" s="31" t="str">
        <f t="shared" ref="G16:G22" si="3">IF(E16="string"," : string = '' ; ",IF(OR(E16="DateTime",E16="TimeSpan")," : any ;",IF(E16="int"," : number = 0 ;","")))</f>
        <v xml:space="preserve"> : string = '' ; </v>
      </c>
      <c r="H16" s="38" t="str">
        <f t="shared" ref="H16:H22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this.l('Renban'),headerTooltip: this.l('Renban'),field: 'renban',flex: 1},</v>
      </c>
      <c r="I16" s="38" t="str">
        <f t="shared" ref="I16:I22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[(ngModel)]='renban' name='renban'
									class='form-control' [placeholder]="l('Renban')"
									type='text' (keyup.enter)='searchDatas()'&gt;
								&lt;/div&gt;</v>
      </c>
      <c r="J16" s="31"/>
      <c r="K16" s="38" t="str">
        <f t="shared" ref="K16:K22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title'&gt;Renban&lt;/label&gt;
						&lt;input type='text' class='col-md-10 form-control input-text' name='Renban' [(ngModel)]='rowdata.renban'&gt;
					&lt;/div&gt;</v>
      </c>
      <c r="L16" s="60" t="str">
        <f t="shared" ref="L16:L22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renban : string = '' ; </v>
      </c>
      <c r="T16" s="31" t="str">
        <f>REPT(CHAR(9),3)&amp;"this."&amp;D16&amp;","</f>
        <v xml:space="preserve">			this.renban,</v>
      </c>
      <c r="U16" s="31" t="str">
        <f>IF(E16="int",REPT(CHAR(9),2)&amp;"this."&amp;D16&amp;" = 0,",REPT(CHAR(9),2)&amp;"this."&amp;D16&amp;" = '',")</f>
        <v xml:space="preserve">		this.renban = '',</v>
      </c>
      <c r="V16" s="31" t="str">
        <f t="shared" ref="V16:V22" si="8">IF(AND(E16="string",F16="1"),D16,"")</f>
        <v/>
      </c>
    </row>
    <row r="17" spans="1:22" ht="18" customHeight="1" x14ac:dyDescent="0.25">
      <c r="A17" s="44" t="s">
        <v>301</v>
      </c>
      <c r="B17" s="31" t="str">
        <f t="shared" si="0"/>
        <v>SupplierNo</v>
      </c>
      <c r="C17" s="31" t="str">
        <f t="shared" si="1"/>
        <v>Supplier No</v>
      </c>
      <c r="D17" s="31" t="str">
        <f t="shared" si="2"/>
        <v>supplierNo</v>
      </c>
      <c r="E17" s="31" t="str">
        <f>A.Backend!H11</f>
        <v>string</v>
      </c>
      <c r="F17" s="31" t="str">
        <f>A.Backend!G11</f>
        <v>50</v>
      </c>
      <c r="G17" s="31" t="str">
        <f t="shared" si="3"/>
        <v xml:space="preserve"> : string = '' ; </v>
      </c>
      <c r="H17" s="38" t="str">
        <f t="shared" si="4"/>
        <v xml:space="preserve">			{headerName: this.l('Supplier No'),headerTooltip: this.l('Supplier No'),field: 'supplierNo',flex: 1},</v>
      </c>
      <c r="I17" s="38" t="str">
        <f t="shared" si="5"/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2" si="9">REPT(CHAR(9),1)&amp;D17&amp;G17</f>
        <v xml:space="preserve">	supplierNo : string = '' ; </v>
      </c>
      <c r="T17" s="31" t="str">
        <f t="shared" ref="T17:T22" si="10">REPT(CHAR(9),3)&amp;"this."&amp;D17&amp;","</f>
        <v xml:space="preserve">			this.supplierNo,</v>
      </c>
      <c r="U17" s="31" t="str">
        <f t="shared" ref="U17:U22" si="11">IF(E17="int",REPT(CHAR(9),2)&amp;"this."&amp;D17&amp;" = 0,",REPT(CHAR(9),2)&amp;"this."&amp;D17&amp;" = '',")</f>
        <v xml:space="preserve">		this.supplierNo = '',</v>
      </c>
      <c r="V17" s="31" t="str">
        <f t="shared" si="8"/>
        <v/>
      </c>
    </row>
    <row r="18" spans="1:22" ht="18" customHeight="1" x14ac:dyDescent="0.25">
      <c r="A18" s="44" t="s">
        <v>307</v>
      </c>
      <c r="B18" s="31" t="str">
        <f>SUBSTITUTE(PROPER(A18),"_","")</f>
        <v>DevanningDate</v>
      </c>
      <c r="C18" s="31" t="str">
        <f>SUBSTITUTE(PROPER(A18),"_"," ")</f>
        <v>Devanning Date</v>
      </c>
      <c r="D18" s="31" t="str">
        <f>LOWER(LEFT(B18,1))&amp;RIGHT(B18,LEN(B18) - 1)</f>
        <v>devanningDate</v>
      </c>
      <c r="E18" s="31" t="str">
        <f>A.Backend!H12</f>
        <v>DateTime</v>
      </c>
      <c r="F18" s="31" t="str">
        <f>A.Backend!G12</f>
        <v/>
      </c>
      <c r="G18" s="31" t="str">
        <f t="shared" ref="G18:G20" si="12">IF(E18="string"," : string = '' ; ",IF(OR(E18="DateTime",E18="TimeSpan")," : any ;",IF(E18="int"," : number = 0 ;","")))</f>
        <v xml:space="preserve"> : any ;</v>
      </c>
      <c r="H18" s="38" t="str">
        <f t="shared" ref="H18:H20" si="13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this.l('Devanning Date'),headerTooltip: this.l('Devanning Date'),field: 'devanningDate',valueGetter: (params) =&gt; this.pipe.transform(params.data?.devanningDate, 'dd/MM/yyyy'),flex: 1},</v>
      </c>
      <c r="I18" s="38" t="str">
        <f t="shared" ref="I18:I20" si="14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type='text' [placeholder]="l('Devanning Date')" [(ngModel)]='devanningDate' 
									name='devanningDate' (keydown)='searchDatas()' class='form-control' 
									bsDatepicker #d='bsDatepicker' placement='bottom left'&gt;
									&lt;i class='fa fa-calendar-alt' (click)='d.toggle()'&gt;&lt;/i&gt;
								&lt;/div&gt;</v>
      </c>
      <c r="J18" s="31"/>
      <c r="K18" s="38" t="str">
        <f t="shared" ref="K18:K20" si="15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title'&gt;Devanning Date&lt;/label&gt;
						&lt;input type='text' class='col-md-10 form-control input-text' name='devanningDate' 
						#datepicker='bsDatepicker' [(ngModel)]='rowdata.devanningDate'  bsDatepicker &gt;
					&lt;/div&gt;</v>
      </c>
      <c r="L18" s="60" t="str">
        <f t="shared" ref="L18:L20" si="16">IF(E18="DateTime",
REPT(CHAR(9),2)&amp;"const dateValue =  this.rowdata."&amp;D18&amp;" ? new Date(this.rowdata."&amp;D18&amp;"?.toString()) : new Date();
"&amp;REPT(CHAR(9),2)&amp;"this.datepicker?.bsValueChange.emit(dateValue);","")</f>
        <v xml:space="preserve">		const dateValue =  this.rowdata.devanningDate ? new Date(this.rowdata.devanningDate?.toString()) : new Date();
		this.datepicker?.bsValueChange.emit(dateValue);</v>
      </c>
      <c r="M18" s="31"/>
      <c r="N18" s="31"/>
      <c r="O18" s="31"/>
      <c r="P18" s="31"/>
      <c r="Q18" s="31"/>
      <c r="R18" s="31"/>
      <c r="S18" s="31" t="str">
        <f t="shared" ref="S18:S20" si="17">REPT(CHAR(9),1)&amp;D18&amp;G18</f>
        <v xml:space="preserve">	devanningDate : any ;</v>
      </c>
      <c r="T18" s="31" t="str">
        <f t="shared" ref="T18:T20" si="18">REPT(CHAR(9),3)&amp;"this."&amp;D18&amp;","</f>
        <v xml:space="preserve">			this.devanningDate,</v>
      </c>
      <c r="U18" s="31" t="str">
        <f t="shared" ref="U18:U20" si="19">IF(E18="int",REPT(CHAR(9),2)&amp;"this."&amp;D18&amp;" = 0,",REPT(CHAR(9),2)&amp;"this."&amp;D18&amp;" = '',")</f>
        <v xml:space="preserve">		this.devanningDate = '',</v>
      </c>
      <c r="V18" s="31" t="str">
        <f t="shared" ref="V18:V20" si="20">IF(AND(E18="string",F18="1"),D18,"")</f>
        <v/>
      </c>
    </row>
    <row r="19" spans="1:22" ht="15" customHeight="1" x14ac:dyDescent="0.25">
      <c r="A19" s="44" t="s">
        <v>308</v>
      </c>
      <c r="B19" s="31" t="str">
        <f t="shared" ref="B19" si="21">SUBSTITUTE(PROPER(A19),"_","")</f>
        <v>StartDevanningDate</v>
      </c>
      <c r="C19" s="31" t="str">
        <f t="shared" ref="C19" si="22">SUBSTITUTE(PROPER(A19),"_"," ")</f>
        <v>Start Devanning Date</v>
      </c>
      <c r="D19" s="31" t="str">
        <f t="shared" ref="D19" si="23">LOWER(LEFT(B19,1))&amp;RIGHT(B19,LEN(B19) - 1)</f>
        <v>startDevanningDate</v>
      </c>
      <c r="E19" s="31" t="str">
        <f>A.Backend!H13</f>
        <v>DateTime</v>
      </c>
      <c r="F19" s="31" t="str">
        <f>A.Backend!G13</f>
        <v>7</v>
      </c>
      <c r="G19" s="31" t="str">
        <f t="shared" si="12"/>
        <v xml:space="preserve"> : any ;</v>
      </c>
      <c r="H19" s="38" t="str">
        <f t="shared" si="13"/>
        <v xml:space="preserve">			{headerName: this.l('Start Devanning Date'),headerTooltip: this.l('Start Devanning Date'),field: 'startDevanningDate',valueGetter: (params) =&gt; this.pipe.transform(params.data?.startDevanningDate, 'dd/MM/yyyy'),flex: 1},</v>
      </c>
      <c r="I19" s="38" t="str">
        <f t="shared" si="14"/>
        <v xml:space="preserve">								&lt;div class='input-search'&gt;
									&lt;input type='text' [placeholder]="l('Start Devanning Date')" [(ngModel)]='startDevanningDate' 
									name='startDevanningDate' (keydown)='searchDatas()' class='form-control' 
									bsDatepicker #d='bsDatepicker' placement='bottom left'&gt;
									&lt;i class='fa fa-calendar-alt' (click)='d.toggle()'&gt;&lt;/i&gt;
								&lt;/div&gt;</v>
      </c>
      <c r="J19" s="31"/>
      <c r="K19" s="38" t="str">
        <f t="shared" si="15"/>
        <v xml:space="preserve">					&lt;div class='col-md-12 form-group row'&gt;
						&lt;label class='col-md-2 form-control title'&gt;Start Devanning Date&lt;/label&gt;
						&lt;input type='text' class='col-md-10 form-control input-text' name='startDevanningDate' 
						#datepicker='bsDatepicker' [(ngModel)]='rowdata.startDevanningDate'  bsDatepicker &gt;
					&lt;/div&gt;</v>
      </c>
      <c r="L19" s="60" t="str">
        <f t="shared" si="16"/>
        <v xml:space="preserve">		const dateValue =  this.rowdata.startDevanningDate ? new Date(this.rowdata.startDevanningDate?.toString()) : new Date();
		this.datepicker?.bsValueChange.emit(dateValue);</v>
      </c>
      <c r="M19" s="31"/>
      <c r="N19" s="31"/>
      <c r="O19" s="31"/>
      <c r="P19" s="31"/>
      <c r="Q19" s="31"/>
      <c r="R19" s="31"/>
      <c r="S19" s="31" t="str">
        <f t="shared" si="17"/>
        <v xml:space="preserve">	startDevanningDate : any ;</v>
      </c>
      <c r="T19" s="31" t="str">
        <f t="shared" si="18"/>
        <v xml:space="preserve">			this.startDevanningDate,</v>
      </c>
      <c r="U19" s="31" t="str">
        <f t="shared" si="19"/>
        <v xml:space="preserve">		this.startDevanningDate = '',</v>
      </c>
      <c r="V19" s="31" t="str">
        <f t="shared" si="20"/>
        <v/>
      </c>
    </row>
    <row r="20" spans="1:22" ht="18" customHeight="1" x14ac:dyDescent="0.25">
      <c r="A20" s="44" t="s">
        <v>310</v>
      </c>
      <c r="B20" s="31" t="str">
        <f>SUBSTITUTE(PROPER(A20),"_","")</f>
        <v>FinishDevanningDate</v>
      </c>
      <c r="C20" s="31" t="str">
        <f>SUBSTITUTE(PROPER(A20),"_"," ")</f>
        <v>Finish Devanning Date</v>
      </c>
      <c r="D20" s="31" t="str">
        <f>LOWER(LEFT(B20,1))&amp;RIGHT(B20,LEN(B20) - 1)</f>
        <v>finishDevanningDate</v>
      </c>
      <c r="E20" s="31" t="str">
        <f>A.Backend!H14</f>
        <v>DateTime</v>
      </c>
      <c r="F20" s="31" t="str">
        <f>A.Backend!G14</f>
        <v>7</v>
      </c>
      <c r="G20" s="31" t="str">
        <f>IF(E20="string"," : string = '' ; ",IF(OR(E20="DateTime",E20="TimeSpan")," : any ;",IF(E20="int"," : number = 0 ;","")))</f>
        <v xml:space="preserve"> : any ;</v>
      </c>
      <c r="H20" s="38" t="str">
        <f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this.l('Finish Devanning Date'),headerTooltip: this.l('Finish Devanning Date'),field: 'finishDevanningDate',valueGetter: (params) =&gt; this.pipe.transform(params.data?.finishDevanningDate, 'dd/MM/yyyy'),flex: 1},</v>
      </c>
      <c r="I20" s="38" t="str">
        <f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type='text' [placeholder]="l('Finish Devanning Date')" [(ngModel)]='finishDevanningDate' 
									name='finishDevanningDate' (keydown)='searchDatas()' class='form-control' 
									bsDatepicker #d='bsDatepicker' placement='bottom left'&gt;
									&lt;i class='fa fa-calendar-alt' (click)='d.toggle()'&gt;&lt;/i&gt;
								&lt;/div&gt;</v>
      </c>
      <c r="J20" s="31"/>
      <c r="K20" s="38" t="str">
        <f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title'&gt;Finish Devanning Date&lt;/label&gt;
						&lt;input type='text' class='col-md-10 form-control input-text' name='finishDevanningDate' 
						#datepicker='bsDatepicker' [(ngModel)]='rowdata.finishDevanningDate'  bsDatepicker &gt;
					&lt;/div&gt;</v>
      </c>
      <c r="L20" s="60" t="str">
        <f>IF(E20="DateTime",
REPT(CHAR(9),2)&amp;"const dateValue =  this.rowdata."&amp;D20&amp;" ? new Date(this.rowdata."&amp;D20&amp;"?.toString()) : new Date();
"&amp;REPT(CHAR(9),2)&amp;"this.datepicker?.bsValueChange.emit(dateValue);","")</f>
        <v xml:space="preserve">		const dateValue =  this.rowdata.finishDevanningDate ? new Date(this.rowdata.finishDevanningDate?.toString()) : new Date();
		this.datepicker?.bsValueChange.emit(dateValue);</v>
      </c>
      <c r="M20" s="31"/>
      <c r="N20" s="31"/>
      <c r="O20" s="31"/>
      <c r="P20" s="31"/>
      <c r="Q20" s="31"/>
      <c r="R20" s="31"/>
      <c r="S20" s="31" t="str">
        <f>D20&amp;G20</f>
        <v>finishDevanningDate : any ;</v>
      </c>
      <c r="T20" s="31" t="str">
        <f>REPT(CHAR(9),3)&amp;"this."&amp;D20&amp;","</f>
        <v xml:space="preserve">			this.finishDevanningDate,</v>
      </c>
      <c r="U20" s="31" t="str">
        <f>IF(E20="int","this."&amp;D20&amp;" = 0,","this."&amp;D20&amp;" = '',")</f>
        <v>this.finishDevanningDate = '',</v>
      </c>
      <c r="V20" s="31" t="str">
        <f>IF(AND(E20="string",F20="1"),D20,"")</f>
        <v/>
      </c>
    </row>
    <row r="21" spans="1:22" ht="18" customHeight="1" x14ac:dyDescent="0.25">
      <c r="A21" s="44" t="s">
        <v>311</v>
      </c>
      <c r="B21" s="31" t="str">
        <f>SUBSTITUTE(PROPER(A21),"_","")</f>
        <v>Status</v>
      </c>
      <c r="C21" s="31" t="str">
        <f>SUBSTITUTE(PROPER(A21),"_"," ")</f>
        <v>Status</v>
      </c>
      <c r="D21" s="31" t="str">
        <f>LOWER(LEFT(B21,1))&amp;RIGHT(B21,LEN(B21) - 1)</f>
        <v>status</v>
      </c>
      <c r="E21" s="31" t="str">
        <f>A.Backend!H15</f>
        <v>string</v>
      </c>
      <c r="F21" s="31" t="str">
        <f>A.Backend!G15</f>
        <v>50</v>
      </c>
      <c r="G21" s="31" t="str">
        <f t="shared" si="3"/>
        <v xml:space="preserve"> : string = '' ; </v>
      </c>
      <c r="H21" s="38" t="str">
        <f t="shared" si="4"/>
        <v xml:space="preserve">			{headerName: this.l('Status'),headerTooltip: this.l('Status'),field: 'status',flex: 1},</v>
      </c>
      <c r="I21" s="38" t="str">
        <f t="shared" si="5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1" s="31"/>
      <c r="K21" s="38" t="str">
        <f t="shared" si="6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1" s="60" t="str">
        <f t="shared" si="7"/>
        <v/>
      </c>
      <c r="M21" s="31"/>
      <c r="N21" s="31"/>
      <c r="O21" s="31"/>
      <c r="P21" s="31"/>
      <c r="Q21" s="31"/>
      <c r="R21" s="31"/>
      <c r="S21" s="31" t="str">
        <f t="shared" si="9"/>
        <v xml:space="preserve">	status : string = '' ; </v>
      </c>
      <c r="T21" s="31" t="str">
        <f t="shared" si="10"/>
        <v xml:space="preserve">			this.status,</v>
      </c>
      <c r="U21" s="31" t="str">
        <f t="shared" si="11"/>
        <v xml:space="preserve">		this.status = '',</v>
      </c>
      <c r="V21" s="31" t="str">
        <f t="shared" si="8"/>
        <v/>
      </c>
    </row>
    <row r="22" spans="1:22" ht="15" customHeight="1" x14ac:dyDescent="0.25">
      <c r="A22" s="44" t="s">
        <v>312</v>
      </c>
      <c r="B22" s="31" t="str">
        <f t="shared" ref="B22" si="24">SUBSTITUTE(PROPER(A22),"_","")</f>
        <v>ContScheduleId</v>
      </c>
      <c r="C22" s="31" t="str">
        <f t="shared" ref="C22" si="25">SUBSTITUTE(PROPER(A22),"_"," ")</f>
        <v>Cont Schedule Id</v>
      </c>
      <c r="D22" s="31" t="str">
        <f t="shared" ref="D22" si="26">LOWER(LEFT(B22,1))&amp;RIGHT(B22,LEN(B22) - 1)</f>
        <v>contScheduleId</v>
      </c>
      <c r="E22" s="31" t="str">
        <f>A.Backend!H16</f>
        <v>int</v>
      </c>
      <c r="F22" s="31" t="str">
        <f>A.Backend!G16</f>
        <v/>
      </c>
      <c r="G22" s="31" t="str">
        <f t="shared" si="3"/>
        <v xml:space="preserve"> : number = 0 ;</v>
      </c>
      <c r="H22" s="38" t="str">
        <f t="shared" si="4"/>
        <v xml:space="preserve">			{headerName: this.l('Cont Schedule Id'),headerTooltip: this.l('Cont Schedule Id'),field: 'contScheduleId',flex: 1},</v>
      </c>
      <c r="I22" s="38" t="str">
        <f t="shared" si="5"/>
        <v/>
      </c>
      <c r="J22" s="31"/>
      <c r="K22" s="38" t="str">
        <f t="shared" si="6"/>
        <v xml:space="preserve">					&lt;div class='col-md-12 form-group row'&gt;
						&lt;label class='col-md-2 form-control title'&gt;Cont Schedule Id&lt;/label&gt;
						&lt;input type='number' class='col-md-10 form-control input-text' name='ContScheduleId' [(ngModel)]='rowdata.contScheduleId'&gt;
					&lt;/div&gt;</v>
      </c>
      <c r="L22" s="60" t="str">
        <f t="shared" si="7"/>
        <v/>
      </c>
      <c r="M22" s="31"/>
      <c r="N22" s="31"/>
      <c r="O22" s="31"/>
      <c r="P22" s="31"/>
      <c r="Q22" s="31"/>
      <c r="R22" s="31"/>
      <c r="S22" s="31" t="str">
        <f t="shared" si="9"/>
        <v xml:space="preserve">	contScheduleId : number = 0 ;</v>
      </c>
      <c r="T22" s="31" t="str">
        <f t="shared" si="10"/>
        <v xml:space="preserve">			this.contScheduleId,</v>
      </c>
      <c r="U22" s="31" t="str">
        <f t="shared" si="11"/>
        <v xml:space="preserve">		this.contScheduleId = 0,</v>
      </c>
      <c r="V22" s="31" t="str">
        <f t="shared" si="8"/>
        <v/>
      </c>
    </row>
    <row r="23" spans="1:22" ht="18" customHeight="1" x14ac:dyDescent="0.25">
      <c r="A23" s="44" t="s">
        <v>313</v>
      </c>
      <c r="B23" s="31" t="str">
        <f>SUBSTITUTE(PROPER(A23),"_","")</f>
        <v>Shop</v>
      </c>
      <c r="C23" s="31" t="str">
        <f>SUBSTITUTE(PROPER(A23),"_"," ")</f>
        <v>Shop</v>
      </c>
      <c r="D23" s="31" t="str">
        <f>LOWER(LEFT(B23,1))&amp;RIGHT(B23,LEN(B23) - 1)</f>
        <v>shop</v>
      </c>
      <c r="E23" s="31" t="str">
        <f>A.Backend!H17</f>
        <v>string</v>
      </c>
      <c r="F23" s="31" t="str">
        <f>A.Backend!G17</f>
        <v>50</v>
      </c>
      <c r="G23" s="31" t="str">
        <f>IF(E23="string"," : string = '' ; ",IF(OR(E23="DateTime",E23="TimeSpan")," : any ;",IF(E23="int"," : number = 0 ;","")))</f>
        <v xml:space="preserve"> : string = '' ; </v>
      </c>
      <c r="H23" s="38" t="str">
        <f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this.l('Shop'),headerTooltip: this.l('Shop'),field: 'shop',flex: 1},</v>
      </c>
      <c r="I23" s="38" t="str">
        <f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23" s="31"/>
      <c r="K23" s="38" t="str">
        <f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</v>
      </c>
      <c r="L23" s="60" t="str">
        <f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31"/>
      <c r="N23" s="31"/>
      <c r="O23" s="31"/>
      <c r="P23" s="31"/>
      <c r="Q23" s="31"/>
      <c r="R23" s="31"/>
      <c r="S23" s="31" t="str">
        <f>D23&amp;G23</f>
        <v xml:space="preserve">shop : string = '' ; </v>
      </c>
      <c r="T23" s="31" t="str">
        <f>REPT(CHAR(9),3)&amp;"this."&amp;D23&amp;","</f>
        <v xml:space="preserve">			this.shop,</v>
      </c>
      <c r="U23" s="31" t="str">
        <f>IF(E23="int","this."&amp;D23&amp;" = 0,","this."&amp;D23&amp;" = '',")</f>
        <v>this.shop = '',</v>
      </c>
      <c r="V23" s="31" t="str">
        <f>IF(AND(E23="string",F23="1"),D23,"")</f>
        <v/>
      </c>
    </row>
    <row r="24" spans="1:22" ht="15" customHeight="1" x14ac:dyDescent="0.25">
      <c r="A24" s="44" t="s">
        <v>302</v>
      </c>
      <c r="B24" s="31" t="str">
        <f t="shared" ref="B24" si="27">SUBSTITUTE(PROPER(A24),"_","")</f>
        <v>IsActive</v>
      </c>
      <c r="C24" s="31" t="str">
        <f t="shared" ref="C24" si="28">SUBSTITUTE(PROPER(A24),"_"," ")</f>
        <v>Is Active</v>
      </c>
      <c r="D24" s="31" t="str">
        <f t="shared" ref="D24" si="29">LOWER(LEFT(B24,1))&amp;RIGHT(B24,LEN(B24) - 1)</f>
        <v>isActive</v>
      </c>
      <c r="E24" s="31" t="str">
        <f>A.Backend!H18</f>
        <v>string</v>
      </c>
      <c r="F24" s="31" t="str">
        <f>A.Backend!G18</f>
        <v>50</v>
      </c>
      <c r="G24" s="31" t="str">
        <f t="shared" ref="G24" si="30">IF(E24="string"," : string = '' ; ",IF(OR(E24="DateTime",E24="TimeSpan")," : any ;",IF(E24="int"," : number = 0 ;","")))</f>
        <v xml:space="preserve"> : string = '' ; </v>
      </c>
      <c r="H24" s="38" t="str">
        <f t="shared" ref="H24" si="31"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this.l('Is Active'),headerTooltip: this.l('Is Active'),field: 'isActive',flex: 1},</v>
      </c>
      <c r="I24" s="38" t="str">
        <f t="shared" ref="I24" si="32"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4" s="31"/>
      <c r="K24" s="38" t="str">
        <f t="shared" ref="K24" si="33"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title'&gt;Is Active&lt;/label&gt;
						&lt;input type='text' class='col-md-10 form-control input-text' name='IsActive' [(ngModel)]='rowdata.isActive'&gt;
					&lt;/div&gt;</v>
      </c>
      <c r="L24" s="60" t="str">
        <f t="shared" ref="L24" si="34"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31"/>
      <c r="N24" s="31"/>
      <c r="O24" s="31"/>
      <c r="P24" s="31"/>
      <c r="Q24" s="31"/>
      <c r="R24" s="31"/>
      <c r="S24" s="31" t="str">
        <f>REPT(CHAR(9),1)&amp;D24&amp;G24</f>
        <v xml:space="preserve">	isActive : string = '' ; </v>
      </c>
      <c r="T24" s="31" t="str">
        <f>REPT(CHAR(9),3)&amp;"this."&amp;D24&amp;","</f>
        <v xml:space="preserve">			this.isActive,</v>
      </c>
      <c r="U24" s="31" t="str">
        <f>IF(E24="int",REPT(CHAR(9),2)&amp;"this."&amp;D24&amp;" = 0,",REPT(CHAR(9),2)&amp;"this."&amp;D24&amp;" = '',")</f>
        <v xml:space="preserve">		this.isActive = '',</v>
      </c>
      <c r="V24" s="31" t="str">
        <f t="shared" ref="V24" si="35">IF(AND(E24="string",F24="1"),D24,"")</f>
        <v/>
      </c>
    </row>
    <row r="2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helpdesk</cp:lastModifiedBy>
  <dcterms:created xsi:type="dcterms:W3CDTF">2022-04-01T07:31:40Z</dcterms:created>
  <dcterms:modified xsi:type="dcterms:W3CDTF">2022-07-14T09:29:11Z</dcterms:modified>
</cp:coreProperties>
</file>
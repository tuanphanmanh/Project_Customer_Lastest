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orking\Production\prod\docs\design\logw\mwh\"/>
    </mc:Choice>
  </mc:AlternateContent>
  <bookViews>
    <workbookView xWindow="0" yWindow="0" windowWidth="28800" windowHeight="11805" activeTab="2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" i="5" l="1"/>
  <c r="F16" i="5"/>
  <c r="E17" i="5"/>
  <c r="F17" i="5"/>
  <c r="E18" i="5"/>
  <c r="F18" i="5"/>
  <c r="E19" i="5"/>
  <c r="F19" i="5"/>
  <c r="E20" i="5"/>
  <c r="F20" i="5"/>
  <c r="E21" i="5"/>
  <c r="F21" i="5"/>
  <c r="E22" i="5"/>
  <c r="F22" i="5"/>
  <c r="E23" i="5"/>
  <c r="F23" i="5"/>
  <c r="E24" i="5"/>
  <c r="F24" i="5"/>
  <c r="E25" i="5"/>
  <c r="F25" i="5"/>
  <c r="E26" i="5"/>
  <c r="F26" i="5"/>
  <c r="E27" i="5"/>
  <c r="F27" i="5"/>
  <c r="E28" i="5"/>
  <c r="F28" i="5"/>
  <c r="E29" i="5"/>
  <c r="F29" i="5"/>
  <c r="C28" i="5" l="1"/>
  <c r="B28" i="5"/>
  <c r="D28" i="5" s="1"/>
  <c r="C27" i="5"/>
  <c r="B27" i="5"/>
  <c r="D27" i="5" s="1"/>
  <c r="C26" i="5"/>
  <c r="B26" i="5"/>
  <c r="D26" i="5" s="1"/>
  <c r="C25" i="5"/>
  <c r="B25" i="5"/>
  <c r="D25" i="5" s="1"/>
  <c r="C24" i="5"/>
  <c r="B24" i="5"/>
  <c r="D24" i="5" s="1"/>
  <c r="C23" i="5"/>
  <c r="B23" i="5"/>
  <c r="D23" i="5" s="1"/>
  <c r="T23" i="5" s="1"/>
  <c r="C22" i="5"/>
  <c r="B22" i="5"/>
  <c r="D22" i="5" s="1"/>
  <c r="D21" i="5"/>
  <c r="T21" i="5" s="1"/>
  <c r="C21" i="5"/>
  <c r="B21" i="5"/>
  <c r="T22" i="5" l="1"/>
  <c r="T24" i="5"/>
  <c r="T26" i="5"/>
  <c r="T28" i="5"/>
  <c r="T25" i="5"/>
  <c r="T27" i="5"/>
  <c r="G22" i="1" l="1"/>
  <c r="E22" i="1"/>
  <c r="H22" i="1" s="1"/>
  <c r="D22" i="1"/>
  <c r="V22" i="1" s="1"/>
  <c r="G21" i="1"/>
  <c r="E21" i="1"/>
  <c r="H21" i="1" s="1"/>
  <c r="D21" i="1"/>
  <c r="V21" i="1" s="1"/>
  <c r="V20" i="1"/>
  <c r="L20" i="1"/>
  <c r="H20" i="1"/>
  <c r="G20" i="1"/>
  <c r="E20" i="1"/>
  <c r="D20" i="1"/>
  <c r="L19" i="1"/>
  <c r="G19" i="1"/>
  <c r="E19" i="1"/>
  <c r="H19" i="1" s="1"/>
  <c r="D19" i="1"/>
  <c r="V19" i="1" s="1"/>
  <c r="G18" i="1"/>
  <c r="E18" i="1"/>
  <c r="H18" i="1" s="1"/>
  <c r="D18" i="1"/>
  <c r="V18" i="1" s="1"/>
  <c r="G17" i="1"/>
  <c r="E17" i="1"/>
  <c r="H17" i="1" s="1"/>
  <c r="D17" i="1"/>
  <c r="V17" i="1" s="1"/>
  <c r="G16" i="1"/>
  <c r="E16" i="1"/>
  <c r="H16" i="1" s="1"/>
  <c r="D16" i="1"/>
  <c r="V16" i="1" s="1"/>
  <c r="G15" i="1"/>
  <c r="E15" i="1"/>
  <c r="H15" i="1" s="1"/>
  <c r="D15" i="1"/>
  <c r="V15" i="1" s="1"/>
  <c r="H21" i="5" l="1"/>
  <c r="K28" i="5"/>
  <c r="I28" i="5"/>
  <c r="U28" i="5"/>
  <c r="G28" i="5"/>
  <c r="S28" i="5" s="1"/>
  <c r="L28" i="5"/>
  <c r="H28" i="5"/>
  <c r="V28" i="5"/>
  <c r="V25" i="5"/>
  <c r="L25" i="5"/>
  <c r="G25" i="5"/>
  <c r="S25" i="5" s="1"/>
  <c r="U25" i="5"/>
  <c r="H25" i="5"/>
  <c r="I25" i="5"/>
  <c r="K25" i="5"/>
  <c r="I24" i="5"/>
  <c r="K24" i="5"/>
  <c r="U24" i="5"/>
  <c r="L24" i="5"/>
  <c r="V24" i="5"/>
  <c r="H24" i="5"/>
  <c r="G24" i="5"/>
  <c r="S24" i="5" s="1"/>
  <c r="K22" i="5"/>
  <c r="I22" i="5"/>
  <c r="L22" i="5"/>
  <c r="H22" i="5"/>
  <c r="V22" i="5"/>
  <c r="U22" i="5"/>
  <c r="G22" i="5"/>
  <c r="S22" i="5" s="1"/>
  <c r="M20" i="1"/>
  <c r="U27" i="5"/>
  <c r="L27" i="5"/>
  <c r="G27" i="5"/>
  <c r="S27" i="5" s="1"/>
  <c r="V27" i="5"/>
  <c r="H27" i="5"/>
  <c r="K27" i="5"/>
  <c r="I27" i="5"/>
  <c r="L23" i="5"/>
  <c r="G23" i="5"/>
  <c r="S23" i="5" s="1"/>
  <c r="U23" i="5"/>
  <c r="V23" i="5"/>
  <c r="K23" i="5"/>
  <c r="H23" i="5"/>
  <c r="I23" i="5"/>
  <c r="U21" i="5"/>
  <c r="L21" i="5"/>
  <c r="G21" i="5"/>
  <c r="S21" i="5" s="1"/>
  <c r="K21" i="5"/>
  <c r="V21" i="5"/>
  <c r="I21" i="5"/>
  <c r="M18" i="1"/>
  <c r="N18" i="1"/>
  <c r="M16" i="1"/>
  <c r="N16" i="1"/>
  <c r="P19" i="1"/>
  <c r="P17" i="1"/>
  <c r="P15" i="1"/>
  <c r="N20" i="1"/>
  <c r="P21" i="1"/>
  <c r="W15" i="1"/>
  <c r="O15" i="1"/>
  <c r="J15" i="1"/>
  <c r="N15" i="1"/>
  <c r="I15" i="1"/>
  <c r="M15" i="1"/>
  <c r="T16" i="1"/>
  <c r="P16" i="1"/>
  <c r="I16" i="1"/>
  <c r="W17" i="1"/>
  <c r="O17" i="1"/>
  <c r="J17" i="1"/>
  <c r="N17" i="1"/>
  <c r="I17" i="1"/>
  <c r="M17" i="1"/>
  <c r="T18" i="1"/>
  <c r="P18" i="1"/>
  <c r="I18" i="1"/>
  <c r="W19" i="1"/>
  <c r="O19" i="1"/>
  <c r="J19" i="1"/>
  <c r="N19" i="1"/>
  <c r="I19" i="1"/>
  <c r="M19" i="1"/>
  <c r="T20" i="1"/>
  <c r="P20" i="1"/>
  <c r="I20" i="1"/>
  <c r="M22" i="1"/>
  <c r="W21" i="1"/>
  <c r="O21" i="1"/>
  <c r="I21" i="1"/>
  <c r="M21" i="1"/>
  <c r="T22" i="1"/>
  <c r="P22" i="1"/>
  <c r="I22" i="1"/>
  <c r="N22" i="1"/>
  <c r="T15" i="1"/>
  <c r="J16" i="1"/>
  <c r="O16" i="1"/>
  <c r="W16" i="1"/>
  <c r="T17" i="1"/>
  <c r="J18" i="1"/>
  <c r="O18" i="1"/>
  <c r="W18" i="1"/>
  <c r="T19" i="1"/>
  <c r="J20" i="1"/>
  <c r="O20" i="1"/>
  <c r="W20" i="1"/>
  <c r="T21" i="1"/>
  <c r="J22" i="1"/>
  <c r="O22" i="1"/>
  <c r="W22" i="1"/>
  <c r="K26" i="5" l="1"/>
  <c r="I26" i="5"/>
  <c r="G26" i="5"/>
  <c r="S26" i="5" s="1"/>
  <c r="H26" i="5"/>
  <c r="L26" i="5"/>
  <c r="U26" i="5"/>
  <c r="V26" i="5"/>
  <c r="B29" i="5"/>
  <c r="D29" i="5" s="1"/>
  <c r="C20" i="5"/>
  <c r="G23" i="1"/>
  <c r="E23" i="1"/>
  <c r="H23" i="1" s="1"/>
  <c r="D23" i="1"/>
  <c r="V23" i="1" s="1"/>
  <c r="G14" i="1"/>
  <c r="E14" i="1"/>
  <c r="H14" i="1" s="1"/>
  <c r="D14" i="1"/>
  <c r="P14" i="1" s="1"/>
  <c r="V20" i="5" l="1"/>
  <c r="T29" i="5"/>
  <c r="C29" i="5"/>
  <c r="I29" i="5" s="1"/>
  <c r="V29" i="5"/>
  <c r="U29" i="5"/>
  <c r="B20" i="5"/>
  <c r="D20" i="5" s="1"/>
  <c r="I20" i="5" s="1"/>
  <c r="G29" i="5"/>
  <c r="S29" i="5" s="1"/>
  <c r="L29" i="5"/>
  <c r="G20" i="5"/>
  <c r="L20" i="5"/>
  <c r="T23" i="1"/>
  <c r="W14" i="1"/>
  <c r="T14" i="1"/>
  <c r="P23" i="1"/>
  <c r="N23" i="1"/>
  <c r="I23" i="1"/>
  <c r="M23" i="1"/>
  <c r="W23" i="1"/>
  <c r="O23" i="1"/>
  <c r="J23" i="1"/>
  <c r="M14" i="1"/>
  <c r="I14" i="1"/>
  <c r="N14" i="1"/>
  <c r="V14" i="1"/>
  <c r="J14" i="1"/>
  <c r="O14" i="1"/>
  <c r="K29" i="5" l="1"/>
  <c r="K20" i="5"/>
  <c r="U20" i="5"/>
  <c r="H29" i="5"/>
  <c r="T20" i="5"/>
  <c r="S20" i="5"/>
  <c r="H20" i="5"/>
  <c r="W3" i="1"/>
  <c r="V3" i="1"/>
  <c r="B2" i="5" l="1"/>
  <c r="B3" i="5" s="1"/>
  <c r="C19" i="5"/>
  <c r="B18" i="5"/>
  <c r="D18" i="5" s="1"/>
  <c r="G13" i="1"/>
  <c r="E13" i="1"/>
  <c r="H13" i="1" s="1"/>
  <c r="D13" i="1"/>
  <c r="G12" i="1"/>
  <c r="E12" i="1"/>
  <c r="H12" i="1" s="1"/>
  <c r="D12" i="1"/>
  <c r="V12" i="1" l="1"/>
  <c r="T12" i="1"/>
  <c r="N13" i="1"/>
  <c r="O13" i="1"/>
  <c r="M13" i="1"/>
  <c r="N12" i="1"/>
  <c r="M12" i="1"/>
  <c r="O12" i="1"/>
  <c r="T13" i="1"/>
  <c r="V13" i="1"/>
  <c r="W12" i="1"/>
  <c r="W13" i="1"/>
  <c r="T18" i="5"/>
  <c r="P13" i="1"/>
  <c r="C18" i="5"/>
  <c r="B19" i="5"/>
  <c r="D19" i="5" s="1"/>
  <c r="J12" i="1"/>
  <c r="I12" i="1"/>
  <c r="I13" i="1"/>
  <c r="P12" i="1"/>
  <c r="J13" i="1"/>
  <c r="B6" i="5"/>
  <c r="L19" i="5" l="1"/>
  <c r="I19" i="5"/>
  <c r="K19" i="5"/>
  <c r="H19" i="5"/>
  <c r="L18" i="5"/>
  <c r="K18" i="5"/>
  <c r="I18" i="5"/>
  <c r="H18" i="5"/>
  <c r="G19" i="5"/>
  <c r="S19" i="5" s="1"/>
  <c r="U19" i="5"/>
  <c r="V19" i="5"/>
  <c r="G18" i="5"/>
  <c r="S18" i="5" s="1"/>
  <c r="U18" i="5"/>
  <c r="V18" i="5"/>
  <c r="T19" i="5"/>
  <c r="U7" i="1" l="1"/>
  <c r="B7" i="5" l="1"/>
  <c r="Q3" i="1" l="1"/>
  <c r="O7" i="1" s="1"/>
  <c r="T3" i="1"/>
  <c r="F3" i="1"/>
  <c r="B4" i="5" l="1"/>
  <c r="N7" i="1"/>
  <c r="E47" i="3" s="1"/>
  <c r="K7" i="1"/>
  <c r="H6" i="1"/>
  <c r="R10" i="5" l="1"/>
  <c r="M54" i="3" s="1"/>
  <c r="N47" i="3" l="1"/>
  <c r="B8" i="5"/>
  <c r="B5" i="5"/>
  <c r="D9" i="1"/>
  <c r="V9" i="1" l="1"/>
  <c r="T9" i="1"/>
  <c r="P10" i="5"/>
  <c r="K54" i="3" s="1"/>
  <c r="Q10" i="5"/>
  <c r="L54" i="3" s="1"/>
  <c r="B52" i="3"/>
  <c r="C52" i="3" s="1"/>
  <c r="M14" i="5"/>
  <c r="H53" i="3" s="1"/>
  <c r="L14" i="5"/>
  <c r="G53" i="3" s="1"/>
  <c r="K14" i="5"/>
  <c r="F53" i="3" s="1"/>
  <c r="L53" i="3"/>
  <c r="K53" i="3"/>
  <c r="O14" i="5"/>
  <c r="J53" i="3" s="1"/>
  <c r="N14" i="5"/>
  <c r="I53" i="3" s="1"/>
  <c r="J14" i="5"/>
  <c r="E53" i="3" s="1"/>
  <c r="I14" i="5"/>
  <c r="D53" i="3" s="1"/>
  <c r="H14" i="5"/>
  <c r="C53" i="3" s="1"/>
  <c r="O10" i="5"/>
  <c r="J54" i="3" s="1"/>
  <c r="N10" i="5"/>
  <c r="I54" i="3" s="1"/>
  <c r="M10" i="5"/>
  <c r="H54" i="3" s="1"/>
  <c r="J10" i="5"/>
  <c r="E54" i="3" s="1"/>
  <c r="N3" i="1" l="1"/>
  <c r="M3" i="1"/>
  <c r="O3" i="1"/>
  <c r="D10" i="1"/>
  <c r="D11" i="1"/>
  <c r="V10" i="1" l="1"/>
  <c r="T10" i="1"/>
  <c r="V11" i="1"/>
  <c r="T11" i="1"/>
  <c r="C15" i="5"/>
  <c r="B15" i="5"/>
  <c r="D15" i="5" s="1"/>
  <c r="V25" i="1"/>
  <c r="V12" i="5" l="1"/>
  <c r="L12" i="5"/>
  <c r="U12" i="5"/>
  <c r="S12" i="5"/>
  <c r="H12" i="5"/>
  <c r="K12" i="5"/>
  <c r="T12" i="5"/>
  <c r="I12" i="5"/>
  <c r="T15" i="5"/>
  <c r="C17" i="5"/>
  <c r="B17" i="5"/>
  <c r="D17" i="5" s="1"/>
  <c r="C16" i="5"/>
  <c r="B16" i="5"/>
  <c r="D16" i="5" s="1"/>
  <c r="T16" i="5" s="1"/>
  <c r="T17" i="5" l="1"/>
  <c r="R3" i="1"/>
  <c r="D1" i="1"/>
  <c r="F6" i="1"/>
  <c r="T13" i="5"/>
  <c r="G9" i="1" l="1"/>
  <c r="F15" i="5" s="1"/>
  <c r="G10" i="1"/>
  <c r="G11" i="1"/>
  <c r="E9" i="1"/>
  <c r="H9" i="1" s="1"/>
  <c r="E10" i="1"/>
  <c r="H10" i="1" s="1"/>
  <c r="E11" i="1"/>
  <c r="H11" i="1" s="1"/>
  <c r="P9" i="1"/>
  <c r="P10" i="1"/>
  <c r="P11" i="1"/>
  <c r="T25" i="1"/>
  <c r="O11" i="1" l="1"/>
  <c r="M11" i="1"/>
  <c r="N11" i="1"/>
  <c r="O10" i="1"/>
  <c r="M10" i="1"/>
  <c r="N10" i="1"/>
  <c r="O9" i="1"/>
  <c r="M9" i="1"/>
  <c r="W11" i="1"/>
  <c r="E15" i="5"/>
  <c r="W9" i="1"/>
  <c r="W10" i="1"/>
  <c r="T7" i="1"/>
  <c r="I11" i="1"/>
  <c r="I10" i="1"/>
  <c r="I9" i="1"/>
  <c r="W25" i="1"/>
  <c r="L16" i="5" l="1"/>
  <c r="H16" i="5"/>
  <c r="I16" i="5"/>
  <c r="K16" i="5"/>
  <c r="L17" i="5"/>
  <c r="H17" i="5"/>
  <c r="I17" i="5"/>
  <c r="K17" i="5"/>
  <c r="L15" i="5"/>
  <c r="K15" i="5"/>
  <c r="I15" i="5"/>
  <c r="H15" i="5"/>
  <c r="G16" i="5"/>
  <c r="S16" i="5" s="1"/>
  <c r="U16" i="5"/>
  <c r="V16" i="5"/>
  <c r="G15" i="5"/>
  <c r="S15" i="5" s="1"/>
  <c r="V15" i="5"/>
  <c r="U15" i="5"/>
  <c r="G17" i="5"/>
  <c r="S17" i="5" s="1"/>
  <c r="U17" i="5"/>
  <c r="V17" i="5"/>
  <c r="G6" i="1"/>
  <c r="H13" i="5"/>
  <c r="L13" i="5"/>
  <c r="S13" i="5"/>
  <c r="I13" i="5"/>
  <c r="V13" i="5"/>
  <c r="K13" i="5"/>
  <c r="U13" i="5"/>
  <c r="K10" i="5" l="1"/>
  <c r="F54" i="3" s="1"/>
  <c r="I10" i="5"/>
  <c r="D54" i="3" s="1"/>
  <c r="H10" i="5"/>
  <c r="C54" i="3" s="1"/>
  <c r="L10" i="5"/>
  <c r="G54" i="3" s="1"/>
  <c r="L47" i="3"/>
  <c r="D47" i="3"/>
  <c r="D6" i="1"/>
  <c r="B6" i="1" l="1"/>
  <c r="L3" i="1"/>
  <c r="J3" i="1"/>
  <c r="H3" i="1"/>
  <c r="C6" i="1" l="1"/>
  <c r="P7" i="1" s="1"/>
  <c r="S3" i="1"/>
  <c r="S7" i="1" s="1"/>
  <c r="E6" i="1"/>
  <c r="F47" i="3"/>
  <c r="I3" i="1" l="1"/>
  <c r="B7" i="1"/>
  <c r="N21" i="1" l="1"/>
  <c r="J21" i="1"/>
  <c r="N9" i="1"/>
  <c r="L15" i="1"/>
  <c r="L23" i="1"/>
  <c r="L17" i="1"/>
  <c r="L18" i="1"/>
  <c r="L21" i="1"/>
  <c r="L22" i="1"/>
  <c r="L16" i="1"/>
  <c r="L11" i="1"/>
  <c r="L13" i="1"/>
  <c r="L12" i="1"/>
  <c r="L14" i="1"/>
  <c r="L9" i="1"/>
  <c r="L10" i="1"/>
  <c r="J11" i="1"/>
  <c r="J9" i="1"/>
  <c r="J10" i="1"/>
  <c r="C7" i="1"/>
  <c r="I25" i="1"/>
  <c r="P25" i="1"/>
  <c r="J25" i="1"/>
  <c r="N25" i="1"/>
  <c r="O25" i="1"/>
  <c r="Q7" i="1" l="1"/>
  <c r="M47" i="3" s="1"/>
  <c r="L7" i="1"/>
  <c r="G47" i="3" s="1"/>
  <c r="K47" i="3"/>
  <c r="J47" i="3"/>
  <c r="K25" i="1"/>
  <c r="M25" i="1"/>
  <c r="R7" i="1" l="1"/>
  <c r="I47" i="3" s="1"/>
  <c r="M7" i="1"/>
  <c r="H47" i="3" s="1"/>
  <c r="J7" i="1"/>
  <c r="C47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</t>
        </r>
      </text>
    </comment>
    <comment ref="D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E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F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EF Core</t>
        </r>
      </text>
    </comment>
    <comment ref="G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H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I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 Share</t>
        </r>
      </text>
    </comment>
    <comment ref="J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Application Share</t>
        </r>
      </text>
    </comment>
    <comment ref="K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L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M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N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<sst xmlns="http://schemas.openxmlformats.org/spreadsheetml/2006/main" count="433" uniqueCount="330">
  <si>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</si>
  <si>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</si>
  <si>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</si>
  <si>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</si>
  <si>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</si>
  <si>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</si>
  <si>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</si>
  <si>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</si>
  <si>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</si>
  <si>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</si>
  <si>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</si>
  <si>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</si>
  <si>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</si>
  <si>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</si>
  <si>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</si>
  <si>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</si>
  <si>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</si>
  <si>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</si>
  <si>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</si>
  <si>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</si>
  <si>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</si>
  <si>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</si>
  <si>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</si>
  <si>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</si>
  <si>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</si>
  <si>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</si>
  <si>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</si>
  <si>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</si>
  <si>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</si>
  <si>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</si>
  <si>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</si>
  <si>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</si>
  <si>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</si>
  <si>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</si>
  <si>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</si>
  <si>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</si>
  <si>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</si>
  <si>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</si>
  <si>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</si>
  <si>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</si>
  <si>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</si>
  <si>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</si>
  <si>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</si>
  <si>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</si>
  <si>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</si>
  <si>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</si>
  <si>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</si>
  <si>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</si>
  <si>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</si>
  <si>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</si>
  <si>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</si>
  <si>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</si>
  <si>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</si>
  <si>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</si>
  <si>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</si>
  <si>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</si>
  <si>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</si>
  <si>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</si>
  <si>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</si>
  <si>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</si>
  <si>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</si>
  <si>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</si>
  <si>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</si>
  <si>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</si>
  <si>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</si>
  <si>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</si>
  <si>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</si>
  <si>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</si>
  <si>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</si>
  <si>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</si>
  <si>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</si>
  <si>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</si>
  <si>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</si>
  <si>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</si>
  <si>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</si>
  <si>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</si>
  <si>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</si>
  <si>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</si>
  <si>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</si>
  <si>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</si>
  <si>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</si>
  <si>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</si>
  <si>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</si>
  <si>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</si>
  <si>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</si>
  <si>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</si>
  <si>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</si>
  <si>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</si>
  <si>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</si>
  <si>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</si>
  <si>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</si>
  <si>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</si>
  <si>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</si>
  <si>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</si>
  <si>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</si>
  <si>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</si>
  <si>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</si>
  <si>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</si>
  <si>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</si>
  <si>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</si>
  <si>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</si>
  <si>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</si>
  <si>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</si>
  <si>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</si>
  <si>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</si>
  <si>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</si>
  <si>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</si>
  <si>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</si>
  <si>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</si>
  <si>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</si>
  <si>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</si>
  <si>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</si>
  <si>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</si>
  <si>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</si>
  <si>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</si>
  <si>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</si>
  <si>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</si>
  <si>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</si>
  <si>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</si>
  <si>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</si>
  <si>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</si>
  <si>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</si>
  <si>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</si>
  <si>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</si>
  <si>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</si>
  <si>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</si>
  <si>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</si>
  <si>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</si>
  <si>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</si>
  <si>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</si>
  <si>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</si>
  <si>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</si>
  <si>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</si>
  <si>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</si>
  <si>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</si>
  <si>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</si>
  <si>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</si>
  <si>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</si>
  <si>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</si>
  <si>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</si>
  <si>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</si>
  <si>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</si>
  <si>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</si>
  <si>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</si>
  <si>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</si>
  <si>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</si>
  <si>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</si>
  <si>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</si>
  <si>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</si>
  <si>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</si>
  <si>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</si>
  <si>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</si>
  <si>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</si>
  <si>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</si>
  <si>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</si>
  <si>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</si>
  <si>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</si>
  <si>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</si>
  <si>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</si>
  <si>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</si>
  <si>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</si>
  <si>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</si>
  <si>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</si>
  <si>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</si>
  <si>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</si>
  <si>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</si>
  <si>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</si>
  <si>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</si>
  <si>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</si>
  <si>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</si>
  <si>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</si>
  <si>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</si>
  <si>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</si>
  <si>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</si>
  <si>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</si>
  <si>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</si>
  <si>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</si>
  <si>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</si>
  <si>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</si>
  <si>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</si>
  <si>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</si>
  <si>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</si>
  <si>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</si>
  <si>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</si>
  <si>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</si>
  <si>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</si>
  <si>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</si>
  <si>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</si>
  <si>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</si>
  <si>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</si>
  <si>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</si>
  <si>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</si>
  <si>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</si>
  <si>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</si>
  <si>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</si>
  <si>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</si>
  <si>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</si>
  <si>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</si>
  <si>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</si>
  <si>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</si>
  <si>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</si>
  <si>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</si>
  <si>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</si>
  <si>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</si>
  <si>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</si>
  <si>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</si>
  <si>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</si>
  <si>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</si>
  <si>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</si>
  <si>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</si>
  <si>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</si>
  <si>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</si>
  <si>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</si>
  <si>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</si>
  <si>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</si>
  <si>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</si>
  <si>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</si>
  <si>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</si>
  <si>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</si>
  <si>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</si>
  <si>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</si>
  <si>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</si>
  <si>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</si>
  <si>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</si>
  <si>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</si>
  <si>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</si>
  <si>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</si>
  <si>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</si>
  <si>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</si>
  <si>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</si>
  <si>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</si>
  <si>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</si>
  <si>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</si>
  <si>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</si>
  <si>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</si>
  <si>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</si>
  <si>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</si>
  <si>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</si>
  <si>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</si>
  <si>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</si>
  <si>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</si>
  <si>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</si>
  <si>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</si>
  <si>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</si>
  <si>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</si>
  <si>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</si>
  <si>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</si>
  <si>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</si>
  <si>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</si>
  <si>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</si>
  <si>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</si>
  <si>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</si>
  <si>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</si>
  <si>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</si>
  <si>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</si>
  <si>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</si>
  <si>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</si>
  <si>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</si>
  <si>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</si>
  <si>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</si>
  <si>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</si>
  <si>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</si>
  <si>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</si>
  <si>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</si>
  <si>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</si>
  <si>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</si>
  <si>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</si>
  <si>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</si>
  <si>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</si>
  <si>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</si>
  <si>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</si>
  <si>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</si>
  <si>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</si>
  <si>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</si>
  <si>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</si>
  <si>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</si>
  <si>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</si>
  <si>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</si>
  <si>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</si>
  <si>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</si>
  <si>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</si>
  <si>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</si>
  <si>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</si>
  <si>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</si>
  <si>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</si>
  <si>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</si>
  <si>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</si>
  <si>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</si>
  <si>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</si>
  <si>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</si>
  <si>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</si>
  <si>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</si>
  <si>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</si>
  <si>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</si>
  <si>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</si>
  <si>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</si>
  <si>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</si>
  <si>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</si>
  <si>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</si>
  <si>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</si>
  <si>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</si>
  <si>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SUPPLIER_NO</t>
  </si>
  <si>
    <t>IS_ACTIVE</t>
  </si>
  <si>
    <t>varchar(1)</t>
  </si>
  <si>
    <t>varchar(50)</t>
  </si>
  <si>
    <t>LogW.Mwh</t>
  </si>
  <si>
    <t>CASE_NO</t>
  </si>
  <si>
    <t>LOT_NO</t>
  </si>
  <si>
    <t>CONTAINER_NO</t>
  </si>
  <si>
    <t>ORDER_TYPE</t>
  </si>
  <si>
    <t>LgwMwhPartData</t>
  </si>
  <si>
    <t>PartData</t>
  </si>
  <si>
    <t>PXPPART_ID</t>
  </si>
  <si>
    <t>Unchecked</t>
  </si>
  <si>
    <t>PART_NO</t>
  </si>
  <si>
    <t>nvarchar(12)</t>
  </si>
  <si>
    <t>nvarchar(10)</t>
  </si>
  <si>
    <t>FIXLOT</t>
  </si>
  <si>
    <t>nvarchar(4)</t>
  </si>
  <si>
    <t>nvarchar(30)</t>
  </si>
  <si>
    <t>MODULE_NO</t>
  </si>
  <si>
    <t>nvarchar(15)</t>
  </si>
  <si>
    <t>USAGE_QTY</t>
  </si>
  <si>
    <t>numeric(6, 0)</t>
  </si>
  <si>
    <t>PART_NAME</t>
  </si>
  <si>
    <t>nvarchar(300)</t>
  </si>
  <si>
    <t>CARFAMILY_CODE</t>
  </si>
  <si>
    <t>INVOICE_PARENT_ID</t>
  </si>
  <si>
    <t>PXPCASE_ID</t>
  </si>
  <si>
    <t>LogW Module Warehouse Part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</si>
</sst>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Border="1" applyAlignment="1">
      <alignment vertical="center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 applyAlignment="1"/>
    <xf numFmtId="0" fontId="0" fillId="10" borderId="3" xfId="0" applyFill="1" applyBorder="1" applyAlignment="1">
      <alignment wrapText="1"/>
    </xf>
    <xf numFmtId="0" fontId="0" fillId="10" borderId="1" xfId="0" applyFill="1" applyBorder="1" applyAlignment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ont="1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10" borderId="3" xfId="0" applyFill="1" applyBorder="1"/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Border="1" applyAlignment="1">
      <alignment wrapText="1"/>
    </xf>
    <xf numFmtId="0" fontId="16" fillId="3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3" xfId="0" applyFill="1" applyBorder="1"/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56"/>
  <sheetViews>
    <sheetView topLeftCell="A41" workbookViewId="0">
      <selection activeCell="C56" sqref="C56"/>
    </sheetView>
  </sheetViews>
  <sheetFormatPr defaultRowHeight="15" x14ac:dyDescent="0.25"/>
  <cols>
    <col min="1" max="1" width="3.5703125" customWidth="1"/>
    <col min="2" max="2" width="18.5703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5703125" customWidth="1"/>
    <col min="14" max="18" width="18.5703125" customWidth="1"/>
  </cols>
  <sheetData>
    <row r="1" spans="1:7" ht="23.25" x14ac:dyDescent="0.35">
      <c r="A1" s="15" t="s">
        <v>74</v>
      </c>
    </row>
    <row r="2" spans="1:7" ht="15.75" x14ac:dyDescent="0.25">
      <c r="A2" s="1"/>
      <c r="B2" s="27" t="s">
        <v>196</v>
      </c>
    </row>
    <row r="3" spans="1:7" x14ac:dyDescent="0.25">
      <c r="A3" s="1"/>
      <c r="B3" s="1" t="s">
        <v>77</v>
      </c>
    </row>
    <row r="4" spans="1:7" x14ac:dyDescent="0.25">
      <c r="A4" s="1"/>
      <c r="B4" s="17" t="s">
        <v>76</v>
      </c>
    </row>
    <row r="5" spans="1:7" x14ac:dyDescent="0.25">
      <c r="A5" s="1"/>
      <c r="B5" s="17" t="s">
        <v>79</v>
      </c>
    </row>
    <row r="6" spans="1:7" x14ac:dyDescent="0.25">
      <c r="A6" s="1"/>
      <c r="B6" s="17" t="s">
        <v>87</v>
      </c>
    </row>
    <row r="7" spans="1:7" x14ac:dyDescent="0.25">
      <c r="A7" s="1"/>
      <c r="B7" s="17"/>
      <c r="C7" s="2" t="s">
        <v>97</v>
      </c>
      <c r="D7" s="2"/>
      <c r="E7" s="2"/>
      <c r="F7" s="2" t="s">
        <v>105</v>
      </c>
      <c r="G7" s="2" t="s">
        <v>285</v>
      </c>
    </row>
    <row r="8" spans="1:7" x14ac:dyDescent="0.25">
      <c r="A8" s="1"/>
      <c r="B8" s="17"/>
      <c r="C8" t="s">
        <v>89</v>
      </c>
      <c r="F8" s="1" t="s">
        <v>234</v>
      </c>
      <c r="G8" s="17" t="s">
        <v>234</v>
      </c>
    </row>
    <row r="9" spans="1:7" x14ac:dyDescent="0.25">
      <c r="A9" s="1"/>
      <c r="B9" s="17"/>
      <c r="C9" t="s">
        <v>88</v>
      </c>
      <c r="F9" s="1" t="s">
        <v>98</v>
      </c>
      <c r="G9" s="17" t="s">
        <v>98</v>
      </c>
    </row>
    <row r="10" spans="1:7" x14ac:dyDescent="0.25">
      <c r="A10" s="1"/>
      <c r="B10" s="17"/>
      <c r="D10" t="s">
        <v>89</v>
      </c>
      <c r="F10" s="1" t="s">
        <v>234</v>
      </c>
      <c r="G10" s="17" t="s">
        <v>286</v>
      </c>
    </row>
    <row r="11" spans="1:7" x14ac:dyDescent="0.25">
      <c r="A11" s="1"/>
      <c r="B11" s="17"/>
      <c r="D11" t="s">
        <v>90</v>
      </c>
      <c r="F11" s="1" t="s">
        <v>99</v>
      </c>
      <c r="G11" s="17" t="s">
        <v>287</v>
      </c>
    </row>
    <row r="12" spans="1:7" x14ac:dyDescent="0.25">
      <c r="A12" s="1"/>
      <c r="B12" s="17"/>
      <c r="D12" t="s">
        <v>91</v>
      </c>
      <c r="F12" s="1" t="s">
        <v>100</v>
      </c>
      <c r="G12" s="17" t="s">
        <v>288</v>
      </c>
    </row>
    <row r="13" spans="1:7" x14ac:dyDescent="0.25">
      <c r="A13" s="1"/>
      <c r="B13" s="17"/>
      <c r="D13" t="s">
        <v>92</v>
      </c>
      <c r="F13" s="1" t="s">
        <v>101</v>
      </c>
      <c r="G13" s="17" t="s">
        <v>289</v>
      </c>
    </row>
    <row r="14" spans="1:7" x14ac:dyDescent="0.25">
      <c r="A14" s="1"/>
      <c r="B14" s="17"/>
      <c r="D14" t="s">
        <v>93</v>
      </c>
      <c r="F14" s="1" t="s">
        <v>102</v>
      </c>
      <c r="G14" s="17" t="s">
        <v>290</v>
      </c>
    </row>
    <row r="15" spans="1:7" x14ac:dyDescent="0.25">
      <c r="A15" s="1"/>
      <c r="B15" s="17"/>
      <c r="D15" t="s">
        <v>94</v>
      </c>
      <c r="F15" s="1" t="s">
        <v>103</v>
      </c>
      <c r="G15" s="17" t="s">
        <v>291</v>
      </c>
    </row>
    <row r="16" spans="1:7" ht="12" customHeight="1" x14ac:dyDescent="0.25">
      <c r="A16" s="1"/>
      <c r="B16" s="17"/>
      <c r="D16" t="s">
        <v>271</v>
      </c>
      <c r="F16" s="1" t="s">
        <v>272</v>
      </c>
      <c r="G16" s="17" t="s">
        <v>292</v>
      </c>
    </row>
    <row r="17" spans="1:7" x14ac:dyDescent="0.25">
      <c r="A17" s="1"/>
      <c r="B17" s="17"/>
      <c r="C17" t="s">
        <v>91</v>
      </c>
      <c r="F17" s="1" t="s">
        <v>100</v>
      </c>
      <c r="G17" s="17" t="s">
        <v>100</v>
      </c>
    </row>
    <row r="18" spans="1:7" x14ac:dyDescent="0.25">
      <c r="A18" s="1"/>
      <c r="B18" s="17"/>
      <c r="D18" t="s">
        <v>95</v>
      </c>
      <c r="F18" s="1" t="s">
        <v>114</v>
      </c>
      <c r="G18" s="17" t="s">
        <v>293</v>
      </c>
    </row>
    <row r="19" spans="1:7" x14ac:dyDescent="0.25">
      <c r="A19" s="1"/>
      <c r="B19" s="17"/>
      <c r="D19" t="s">
        <v>96</v>
      </c>
      <c r="F19" s="1" t="s">
        <v>104</v>
      </c>
      <c r="G19" s="17" t="s">
        <v>294</v>
      </c>
    </row>
    <row r="20" spans="1:7" x14ac:dyDescent="0.25">
      <c r="A20" s="1"/>
      <c r="B20" s="17"/>
      <c r="C20" t="s">
        <v>92</v>
      </c>
      <c r="F20" s="1" t="s">
        <v>101</v>
      </c>
      <c r="G20" s="17" t="s">
        <v>101</v>
      </c>
    </row>
    <row r="21" spans="1:7" x14ac:dyDescent="0.25">
      <c r="A21" s="1"/>
      <c r="B21" s="17"/>
      <c r="C21" t="s">
        <v>93</v>
      </c>
      <c r="F21" s="1" t="s">
        <v>102</v>
      </c>
      <c r="G21" s="17" t="s">
        <v>102</v>
      </c>
    </row>
    <row r="22" spans="1:7" x14ac:dyDescent="0.25">
      <c r="A22" s="1"/>
      <c r="B22" s="17"/>
      <c r="C22" t="s">
        <v>271</v>
      </c>
      <c r="F22" s="1" t="s">
        <v>272</v>
      </c>
      <c r="G22" s="17" t="s">
        <v>272</v>
      </c>
    </row>
    <row r="23" spans="1:7" x14ac:dyDescent="0.25">
      <c r="A23" s="1"/>
      <c r="B23" s="17"/>
      <c r="D23" t="s">
        <v>273</v>
      </c>
      <c r="F23" s="1" t="s">
        <v>275</v>
      </c>
      <c r="G23" s="17" t="s">
        <v>295</v>
      </c>
    </row>
    <row r="24" spans="1:7" x14ac:dyDescent="0.25">
      <c r="A24" s="1"/>
      <c r="B24" s="17"/>
      <c r="D24" t="s">
        <v>276</v>
      </c>
      <c r="F24" s="1" t="s">
        <v>274</v>
      </c>
      <c r="G24" s="17" t="s">
        <v>296</v>
      </c>
    </row>
    <row r="25" spans="1:7" x14ac:dyDescent="0.25">
      <c r="A25" s="1"/>
      <c r="B25" s="17"/>
      <c r="D25" t="s">
        <v>277</v>
      </c>
      <c r="F25" s="1" t="s">
        <v>280</v>
      </c>
      <c r="G25" s="17" t="s">
        <v>297</v>
      </c>
    </row>
    <row r="26" spans="1:7" x14ac:dyDescent="0.25">
      <c r="A26" s="1"/>
      <c r="B26" s="17"/>
      <c r="D26" t="s">
        <v>278</v>
      </c>
      <c r="F26" s="1" t="s">
        <v>281</v>
      </c>
      <c r="G26" s="17" t="s">
        <v>298</v>
      </c>
    </row>
    <row r="27" spans="1:7" x14ac:dyDescent="0.25">
      <c r="A27" s="1"/>
      <c r="B27" s="17"/>
      <c r="D27" t="s">
        <v>279</v>
      </c>
      <c r="F27" s="1" t="s">
        <v>282</v>
      </c>
      <c r="G27" s="17" t="s">
        <v>299</v>
      </c>
    </row>
    <row r="28" spans="1:7" x14ac:dyDescent="0.25">
      <c r="A28" s="1"/>
      <c r="B28" s="17"/>
      <c r="D28" t="s">
        <v>284</v>
      </c>
      <c r="F28" s="1" t="s">
        <v>283</v>
      </c>
      <c r="G28" s="17" t="s">
        <v>300</v>
      </c>
    </row>
    <row r="29" spans="1:7" x14ac:dyDescent="0.25">
      <c r="A29" s="1"/>
      <c r="B29" s="17"/>
      <c r="F29" s="1"/>
    </row>
    <row r="30" spans="1:7" x14ac:dyDescent="0.25">
      <c r="A30" s="1"/>
      <c r="B30" s="17"/>
    </row>
    <row r="31" spans="1:7" x14ac:dyDescent="0.25">
      <c r="A31" s="1"/>
      <c r="B31" s="17" t="s">
        <v>86</v>
      </c>
    </row>
    <row r="32" spans="1:7" x14ac:dyDescent="0.25">
      <c r="A32" s="1"/>
      <c r="B32" s="17" t="s">
        <v>83</v>
      </c>
    </row>
    <row r="33" spans="1:14" x14ac:dyDescent="0.25">
      <c r="A33" s="1"/>
      <c r="B33" s="17"/>
      <c r="C33" s="19" t="s">
        <v>80</v>
      </c>
    </row>
    <row r="34" spans="1:14" x14ac:dyDescent="0.25">
      <c r="A34" s="1"/>
      <c r="B34" s="17"/>
      <c r="C34" s="18" t="s">
        <v>81</v>
      </c>
    </row>
    <row r="35" spans="1:14" x14ac:dyDescent="0.25">
      <c r="A35" s="1"/>
      <c r="B35" s="17"/>
      <c r="C35" s="18" t="s">
        <v>82</v>
      </c>
    </row>
    <row r="36" spans="1:14" x14ac:dyDescent="0.25">
      <c r="A36" s="1"/>
      <c r="B36" s="17" t="s">
        <v>106</v>
      </c>
      <c r="C36" s="18"/>
    </row>
    <row r="37" spans="1:14" x14ac:dyDescent="0.25">
      <c r="A37" s="1"/>
      <c r="B37" s="17"/>
      <c r="C37" s="18" t="s">
        <v>107</v>
      </c>
    </row>
    <row r="38" spans="1:14" x14ac:dyDescent="0.25">
      <c r="A38" s="1"/>
      <c r="B38" s="17"/>
      <c r="C38" s="18" t="s">
        <v>108</v>
      </c>
    </row>
    <row r="39" spans="1:14" x14ac:dyDescent="0.25">
      <c r="A39" s="1"/>
      <c r="B39" s="17"/>
      <c r="C39" s="18" t="s">
        <v>109</v>
      </c>
    </row>
    <row r="40" spans="1:14" x14ac:dyDescent="0.25">
      <c r="A40" s="1"/>
      <c r="B40" s="17"/>
      <c r="C40" s="18" t="s">
        <v>111</v>
      </c>
    </row>
    <row r="41" spans="1:14" x14ac:dyDescent="0.25">
      <c r="A41" s="1"/>
      <c r="B41" s="17"/>
      <c r="C41" s="18" t="s">
        <v>113</v>
      </c>
    </row>
    <row r="42" spans="1:14" x14ac:dyDescent="0.25">
      <c r="A42" s="1"/>
      <c r="B42" s="17"/>
      <c r="C42" s="18" t="s">
        <v>112</v>
      </c>
    </row>
    <row r="43" spans="1:14" x14ac:dyDescent="0.25">
      <c r="A43" s="1"/>
      <c r="B43" s="17"/>
      <c r="C43" s="18" t="s">
        <v>110</v>
      </c>
    </row>
    <row r="44" spans="1:14" ht="21" customHeight="1" x14ac:dyDescent="0.25">
      <c r="B44" s="21" t="s">
        <v>78</v>
      </c>
    </row>
    <row r="45" spans="1:14" ht="21" customHeight="1" x14ac:dyDescent="0.25">
      <c r="B45" s="63" t="s">
        <v>231</v>
      </c>
    </row>
    <row r="46" spans="1:14" ht="15.75" thickBot="1" x14ac:dyDescent="0.3">
      <c r="C46" s="1" t="s">
        <v>72</v>
      </c>
      <c r="D46" s="1" t="s">
        <v>207</v>
      </c>
      <c r="E46" s="1" t="s">
        <v>208</v>
      </c>
      <c r="F46" s="1" t="s">
        <v>198</v>
      </c>
      <c r="G46" s="1" t="s">
        <v>199</v>
      </c>
      <c r="H46" s="1" t="s">
        <v>200</v>
      </c>
      <c r="I46" s="1" t="s">
        <v>201</v>
      </c>
      <c r="J46" s="1" t="s">
        <v>205</v>
      </c>
      <c r="K46" s="1" t="s">
        <v>209</v>
      </c>
      <c r="L46" s="1" t="s">
        <v>210</v>
      </c>
      <c r="M46" s="1" t="s">
        <v>211</v>
      </c>
      <c r="N46" s="1" t="s">
        <v>227</v>
      </c>
    </row>
    <row r="47" spans="1:14" s="16" customFormat="1" ht="21.75" customHeight="1" thickBot="1" x14ac:dyDescent="0.3">
      <c r="B47" s="52" t="s">
        <v>226</v>
      </c>
      <c r="C47" s="51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vovina.LogW.Mwh
{
	[Table("LgwMwhPartData")]
	[Index(nameof(PxppartId), Name="IX_LgwMwhPartData_PxppartId")]
	[Index(nameof(PartNo), Name="IX_LgwMwhPartData_PartNo")]
	[Index(nameof(CaseNo), Name="IX_LgwMwhPartData_CaseNo")]
	[Index(nameof(ModuleNo), Name="IX_LgwMwhPartData_ModuleNo")]
	[Index(nameof(ContainerNo), Name="IX_LgwMwhPartData_ContainerNo")]
	[Index(nameof(SupplierNo), Name="IX_LgwMwhPartData_SupplierNo")]
	[Index(nameof(PxpcaseId), Name="IX_LgwMwhPartData_PxpcaseId")]
	[Index(nameof(OrderType), Name="IX_LgwMwhPartData_OrderType")]
	[Index(nameof(IsActive), Name="IX_LgwMwhPartData_IsActive")]	public class LgwMwhPartData: FullAuditedEntity&lt;long&gt;, IEntity&lt;long&gt;	
	{
		public const int MaxPartNoLength = 12;
		public const int MaxLotNoLength = 10;
		public const int MaxFixlotLength = 4;
		public const int MaxCaseNoLength = 30;
		public const int MaxModuleNoLength = 30;
		public const int MaxContainerNoLength = 15;
		public const int MaxSupplierNoLength = 10;
		public const int MaxPartNameLength = 300;
		public const int MaxCarfamilyCodeLength = 4;
		public const int MaxOrderTypeLength = 50;
		public const int MaxIsActiveLength = 1;
		[Required]
		public virtual long PxppartId { get; set; }
		[StringLength(MaxPartNoLength)]
		public virtual string PartNo { get; set; }
		[StringLength(MaxLotNoLength)]
		public virtual string LotNo { get; set; }
		[StringLength(MaxFixlotLength)]
		public virtual string Fixlot { get; set; }
		[StringLength(MaxCaseNoLength)]
		public virtual string CaseNo { get; set; }
		[StringLength(MaxModuleNoLength)]
		public virtual string ModuleNo { get; set; }
		[StringLength(MaxContainerNoLength)]
		public virtual string ContainerNo { get; set; }
		[StringLength(MaxSupplierNoLength)]
		public virtual string SupplierNo { get; set; }
		public virtual decimal UsageQty { get; set; }
		[StringLength(MaxPartNameLength)]
		public virtual string PartName { get; set; }
		[StringLength(MaxCarfamilyCodeLength)]
		public virtual string CarfamilyCode { get; set; }
		public virtual long InvoiceParentId { get; set; }
		[Required]
		public virtual long PxpcaseId { get; set; }
		[StringLength(MaxOrderTypeLength)]
		public virtual string OrderType { get; set; }
		[StringLength(MaxIsActiveLength)]
		public virtual string IsActive { get; set; }
	}
}
</v>
      </c>
      <c r="D47" s="51" t="str">
        <f>A.Backend!O7</f>
        <v xml:space="preserve">		public const string Pages_LogW_Mwh_PartData = "Pages.LogW.Mwh.PartData";
		public const string Pages_LogW_Mwh_PartData_CreateEdit = "Pages.LogW.Mwh.PartData.CreateEdit";
		public const string Pages_LogW_Mwh_PartData_Delete = "Pages.LogW.Mwh.PartData.Delete";
</v>
      </c>
      <c r="E47" s="51" t="str">
        <f>A.Backend!N7</f>
        <v xml:space="preserve">		var perLgwMwhPartData = PARENTS.CreateChildPermission(AppPermissions.Pages_LogW_Mwh_PartData, L( "LogWMwhPartData"));
		perLgwMwhPartData.CreateChildPermission(AppPermissions.Pages_LogW_Mwh_PartData_CreateEdit, L( "LogWMwhPartDataCreateEdit"));
		perLgwMwhPartData.CreateChildPermission(AppPermissions.Pages_LogW_Mwh_PartData_Delete, L( "LogWMwhPartDataDelete"));</v>
      </c>
      <c r="F47" s="51" t="str">
        <f>A.Backend!K7</f>
        <v>public virtual DbSet&lt;LgwMwhPartData&gt; LgwMwhPartDatas { get; set; }</v>
      </c>
      <c r="G47" s="51" t="str">
        <f ca="1">A.Backend!L7</f>
        <v xml:space="preserve">namespace vovina.LogW.Mwh
{
	public class LgwMwhPartDataConsts	
	{
		public const int MaxPartNoLength = 12;
		public const int MaxLotNoLength = 10;
		public const int MaxFixlotLength = 4;
		public const int MaxCaseNoLength = 30;
		public const int MaxModuleNoLength = 30;
		public const int MaxContainerNoLength = 15;
		public const int MaxSupplierNoLength = 10;
		public const int MaxPartNameLength = 300;
		public const int MaxCarfamilyCodeLength = 4;
		public const int MaxOrderTypeLength = 50;
		public const int MaxIsActiveLength = 1;
		// Define Store Name: Format SP_ + &lt;Store Name&gt; = &lt;Store Name&gt;
	}
}
</v>
      </c>
      <c r="H47" s="51" t="str">
        <f ca="1">A.Backend!M7</f>
        <v xml:space="preserve">using Abp.Application.Services.Dto;
using System;
using System.ComponentModel.DataAnnotations;
namespace vovina.LogW.Mwh.Dto
{
	public class LgwMwhPartDataDto : EntityDto&lt;long?&gt;	
	{
		public virtual long PxppartId { get; set; }
		public virtual string PartNo { get; set; }
		public virtual string LotNo { get; set; }
		public virtual string Fixlot { get; set; }
		public virtual string CaseNo { get; set; }
		public virtual string ModuleNo { get; set; }
		public virtual string ContainerNo { get; set; }
		public virtual string SupplierNo { get; set; }
		public virtual decimal UsageQty { get; set; }
		public virtual string PartName { get; set; }
		public virtual string CarfamilyCode { get; set; }
		public virtual long InvoiceParentId { get; set; }
		public virtual long PxpcaseId { get; set; }
		public virtual string OrderType { get; set; }
		public virtual string IsActive { get; set; }
	}
	public class CreateOrEditLgwMwhPartDataDto : EntityDto&lt;long?&gt;	
	{
		[Required]
		public virtual long PxppartId { get; set; }
		[StringLength(LgwMwhPartDataConsts.MaxPartNoLength)]
		public virtual string PartNo { get; set; }
		[StringLength(LgwMwhPartDataConsts.MaxLotNoLength)]
		public virtual string LotNo { get; set; }
		[StringLength(LgwMwhPartDataConsts.MaxFixlotLength)]
		public virtual string Fixlot { get; set; }
		[StringLength(LgwMwhPartDataConsts.MaxCaseNoLength)]
		public virtual string CaseNo { get; set; }
		[StringLength(LgwMwhPartDataConsts.MaxModuleNoLength)]
		public virtual string ModuleNo { get; set; }
		[StringLength(LgwMwhPartDataConsts.MaxContainerNoLength)]
		public virtual string ContainerNo { get; set; }
		[StringLength(LgwMwhPartDataConsts.MaxSupplierNoLength)]
		public virtual string SupplierNo { get; set; }
		public virtual decimal UsageQty { get; set; }
		[StringLength(LgwMwhPartDataConsts.MaxPartNameLength)]
		public virtual string PartName { get; set; }
		[StringLength(LgwMwhPartDataConsts.MaxCarfamilyCodeLength)]
		public virtual string CarfamilyCode { get; set; }
		public virtual long InvoiceParentId { get; set; }
		[Required]
		public virtual long PxpcaseId { get; set; }
		[StringLength(LgwMwhPartDataConsts.MaxOrderTypeLength)]
		public virtual string OrderType { get; set; }
		[StringLength(LgwMwhPartDataConsts.MaxIsActiveLength)]
		public virtual string IsActive { get; set; }
	}
	public class GetLgwMwhPartDataInput : PagedAndSortedResultRequestDto	
	{
		public virtual string PartNo { get; set; }
		public virtual string LotNo { get; set; }
		public virtual string Fixlot { get; set; }
		public virtual string CaseNo { get; set; }
		public virtual string ModuleNo { get; set; }
		public virtual string ContainerNo { get; set; }
		public virtual string SupplierNo { get; set; }
		public virtual string PartName { get; set; }
		public virtual string CarfamilyCode { get; set; }
		public virtual string OrderType { get; set; }
		public virtual string IsActive { get; set; }
	}
}
</v>
      </c>
      <c r="I47" s="51" t="str">
        <f ca="1">A.Backend!R7</f>
        <v xml:space="preserve">using Abp.Application.Services.Dto;
using System;
using System.ComponentModel.DataAnnotations;
namespace vovina.LogW.Mwh.Dto
{
	public class LgwMwhPartDataExportInput{
		public virtual long PxppartId { get; set; }
		public virtual string PartNo { get; set; }
		public virtual string LotNo { get; set; }
		public virtual string Fixlot { get; set; }
		public virtual string CaseNo { get; set; }
		public virtual string ModuleNo { get; set; }
		public virtual string ContainerNo { get; set; }
		public virtual string SupplierNo { get; set; }
		public virtual decimal UsageQty { get; set; }
		public virtual string PartName { get; set; }
		public virtual string CarfamilyCode { get; set; }
		public virtual long InvoiceParentId { get; set; }
		public virtual long PxpcaseId { get; set; }
		public virtual string OrderType { get; set; }
		public virtual string IsActive { get; set; }
	}
}
</v>
      </c>
      <c r="J47" s="51" t="str">
        <f>A.Backend!P7</f>
        <v xml:space="preserve">using Abp.Application.Services;
using Abp.Application.Services.Dto;
using System.Collections.Generic;using vovina.Dto;
using System.Threading.Tasks;
using vovina.LogW.Mwh.Dto;
namespace vovina.LogW.Mwh
{
	public interface ILgwMwhPartDataAppService : IApplicationService
	{
		Task&lt;PagedResultDto&lt;LgwMwhPartDataDto&gt;&gt; GetAll(GetLgwMwhPartDataInput input);
		Task CreateOrEdit(CreateOrEditLgwMwhPartDataDto input);
		Task Delete(EntityDto input);
	}
}
</v>
      </c>
      <c r="K47" s="51" t="str">
        <f>A.Backend!S7</f>
        <v xml:space="preserve">using Abp.Application.Services;
using Abp.Application.Services.Dto;
using System.Collections.Generic;using vovina.Dto;
using System.Threading.Tasks;
using vovina.LogW.Mwh.Dto;
namespace vovina.LogW.Mwh.Exporting
{
	public interface ILgwMwhPartDataExcelExporter : IApplicationService
	{
		FileDto ExportToFile(List&lt;LgwMwhPartDataDto&gt; lgwmwhpartdata);
	}
}
</v>
      </c>
      <c r="L47" s="51" t="str">
        <f ca="1">A.Backend!T7</f>
        <v>using System.Collections.Generic;
using vovina.DataExporting.Excel.NPOI;
using vovina.Dto;
using vovina.LogW.Mwh.Exporting;
using vovina.LogW.Mwh.Dto;
using vovina.Storage;
using vovina.LogW.Mwh.Dto;
namespace vovina.LogW.Mwh.Exporting
{
    public class LgwMwhPartDataExcelExporter : NpoiExcelExporterBase, ILgwMwhPartDataExcelExporter
    {
        public LgwMwhPartDataExcelExporter(ITempFileCacheManager tempFileCacheManager) : base(tempFileCacheManager) { }
        public FileDto ExportToFile(List&lt;LgwMwhPartDataDto&gt; partdata)
        {
            return CreateExcelPackage(
				"LogWMwhPartData.xlsx",
				excelPackage =&gt;
				 {
					var sheet = excelPackage.CreateSheet("PartData");
					AddHeader(
								sheet,
								("PxppartId"),
								("PartNo"),
								("LotNo"),
								("Fixlot"),
								("CaseNo"),
								("ModuleNo"),
								("ContainerNo"),
								("SupplierNo"),
								("UsageQty"),
								("PartName"),
								("CarfamilyCode"),
								("InvoiceParentId"),
								("PxpcaseId"),
								("OrderType"),
								("IsActive"),
							   );
					AddObjects(
						 sheet, 1, partdata,                                       
								_ =&gt; _.PxppartId,
								_ =&gt; _.PartNo,
								_ =&gt; _.LotNo,
								_ =&gt; _.Fixlot,
								_ =&gt; _.CaseNo,
								_ =&gt; _.ModuleNo,
								_ =&gt; _.ContainerNo,
								_ =&gt; _.SupplierNo,
								_ =&gt; _.UsageQty,
								_ =&gt; _.PartName,
								_ =&gt; _.CarfamilyCode,
								_ =&gt; _.InvoiceParentId,
								_ =&gt; _.PxpcaseId,
								_ =&gt; _.OrderType,
								_ =&gt; _.IsActive,
								);
			for (var i = 0; i &lt; 8; i++)
				{
					sheet.AutoSizeColumn(i);
				}
			});
        }
    }
}</v>
      </c>
      <c r="M47" s="59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vovina.LogW.Mwh.Dto;
using vovina.LogW.Mwh.Exporting;
namespace vovina.LogW.Mwh
{
    [AbpAuthorize(AppPermissions.Pages_LogW_Mwh_PartData)]
    public class LgwMwhPartDataAppService : vovinaAppServiceBase, ILgwMwhPartDataAppService
    {
        private readonly IDapperRepository&lt;LgwMwhPartData, long&gt; _dapperRepo;
        private readonly IRepository&lt;LgwMwhPartData, long&gt; _repo;
        private readonly ILgwMwhPartDataExcelExporter _calendarListExcelExporter;
        public LgwMwhPartDataAppService(IRepository&lt;LgwMwhPartData,long&gt; repo, 
                                         IDapperRepository&lt;LgwMwhPartData,long&gt; dapperRepo,
                                        ILgwMwhPartDataExcelExporter calendarListExcelExporter
            )
        {
            _repo = repo;
            _dapperRepo = dapperRepo;
            _calendarListExcelExporter = calendarListExcelExporter;
        }
        [AbpAuthorize(AppPermissions.Pages_LogW_Mwh_PartData_CreateEdit)]
        public async Task CreateOrEdit(CreateOrEditLgwMwhPartDataDto input)
        {
            if (input.Id == null) await Create(input);
            else await Update(input);
        }
        //CREATE
        private async Task Create(CreateOrEditLgwMwhPartDataDto input)
        {          
            var mainObj = ObjectMapper.Map&lt;LgwMwhPartData&gt;(input);
            await CurrentUnitOfWork.GetDbContext&lt;vovinaDbContext&gt;().AddAsync(mainObj);
        }
        // EDIT
        private async Task Update(CreateOrEditLgwMwhPartDataDto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[AbpAuthorize(AppPermissions.Pages_LogW_Mwh_PartData_Delete)]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Task&lt;PagedResultDto&lt;LgwMwhPartDataDto&gt;&gt; GetAll(GetLgwMwhPartDataInput input)
        {
            var filtered = _repo.GetAll()
				.WhereIf(!string.IsNullOrWhiteSpace(input.PartNo), e =&gt; e.PartNo.Contains(input.PartNo))
				.WhereIf(!string.IsNullOrWhiteSpace(input.LotNo), e =&gt; e.LotNo.Contains(input.LotNo))
				.WhereIf(!string.IsNullOrWhiteSpace(input.Fixlot), e =&gt; e.Fixlot.Contains(input.Fixlot))
				.WhereIf(!string.IsNullOrWhiteSpace(input.CaseNo), e =&gt; e.CaseNo.Contains(input.CaseNo))
				.WhereIf(!string.IsNullOrWhiteSpace(input.ModuleNo), e =&gt; e.ModuleNo.Contains(input.ModuleNo))
				.WhereIf(!string.IsNullOrWhiteSpace(input.ContainerNo), e =&gt; e.ContainerNo.Contains(input.ContainerNo))
				.WhereIf(!string.IsNullOrWhiteSpace(input.SupplierNo), e =&gt; e.SupplierNo.Contains(input.SupplierNo))
				.WhereIf(!string.IsNullOrWhiteSpace(input.PartName), e =&gt; e.PartName.Contains(input.PartName))
				.WhereIf(!string.IsNullOrWhiteSpace(input.CarfamilyCode), e =&gt; e.CarfamilyCode.Contains(input.CarfamilyCode))
				.WhereIf(!string.IsNullOrWhiteSpace(input.OrderType), e =&gt; e.OrderType.Contains(input.OrderType))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LgwMwhPartDataDto
                        {
							Id = o.Id,
							PxppartId = o.PxppartId,
							PartNo = o.PartNo,
							LotNo = o.LotNo,
							Fixlot = o.Fixlot,
							CaseNo = o.CaseNo,
							ModuleNo = o.ModuleNo,
							ContainerNo = o.ContainerNo,
							SupplierNo = o.SupplierNo,
							UsageQty = o.UsageQty,
							PartName = o.PartName,
							CarfamilyCode = o.CarfamilyCode,
							InvoiceParentId = o.InvoiceParentId,
							PxpcaseId = o.PxpcaseId,
							OrderType = o.OrderType,
							IsActive = o.IsActive,
                        };
            var totalCount = await filtered.CountAsync();
			var paged = system.PageBy(input);
            return new PagedResultDto&lt;LgwMwhPartDataDto&gt;(
                totalCount,
                 await paged.ToListAsync()
            );
        }
        public async Task&lt;FileDto&gt; GetPartDataToExcel(LgwMwhPartDataExportInput input)
        {
            var query = from o in _repo.GetAll()
                        select new LgwMwhPartDataDto
                        {
							Id = o.Id,
							PxppartId = o.PxppartId,
							PartNo = o.PartNo,
							LotNo = o.LotNo,
							Fixlot = o.Fixlot,
							CaseNo = o.CaseNo,
							ModuleNo = o.ModuleNo,
							ContainerNo = o.ContainerNo,
							SupplierNo = o.SupplierNo,
							UsageQty = o.UsageQty,
							PartName = o.PartName,
							CarfamilyCode = o.CarfamilyCode,
							InvoiceParentId = o.InvoiceParentId,
							PxpcaseId = o.PxpcaseId,
							OrderType = o.OrderType,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_dapperRepo.ExecuteAsync(LgwMwhPartDataConsts.SP_MST_WPT_CALENDAR_GENERATE);
       // }
    }
}</v>
      </c>
      <c r="N47" s="62" t="str">
        <f>A.Backend!U7</f>
        <v xml:space="preserve">  configuration.CreateMap&lt;LgwMwhPartDataDto, LgwMwhPartData&gt;();
  configuration.CreateMap&lt;LgwMwhPartData, LgwMwhPartDataDto&gt;();
  configuration.CreateMap&lt;CreateOrEditLgwMwhPartDataDto, LgwMwhPartData&gt;();</v>
      </c>
    </row>
    <row r="48" spans="1:14" s="16" customFormat="1" ht="21.75" customHeight="1" x14ac:dyDescent="0.25">
      <c r="C48" s="65"/>
      <c r="D48" s="29"/>
      <c r="E48" s="29"/>
      <c r="F48" s="29"/>
      <c r="G48" s="29"/>
      <c r="H48" s="66"/>
      <c r="I48" s="67"/>
      <c r="J48" s="29"/>
      <c r="K48" s="29"/>
      <c r="M48" s="66"/>
    </row>
    <row r="49" spans="2:13" s="16" customFormat="1" ht="21.75" customHeight="1" x14ac:dyDescent="0.25">
      <c r="C49" s="29"/>
      <c r="D49" s="29"/>
      <c r="E49" s="29"/>
      <c r="F49" s="29"/>
      <c r="G49" s="29"/>
      <c r="H49" s="29"/>
      <c r="J49" s="29"/>
      <c r="K49" s="29"/>
      <c r="M49" s="29"/>
    </row>
    <row r="50" spans="2:13" s="16" customFormat="1" ht="21.75" customHeight="1" x14ac:dyDescent="0.25">
      <c r="C50" s="29"/>
      <c r="D50" s="29"/>
      <c r="E50" s="29"/>
      <c r="G50" s="29"/>
      <c r="H50" s="29"/>
    </row>
    <row r="51" spans="2:13" x14ac:dyDescent="0.25">
      <c r="B51" s="1" t="s">
        <v>73</v>
      </c>
    </row>
    <row r="52" spans="2:13" ht="21" x14ac:dyDescent="0.35">
      <c r="B52" t="str">
        <f>B.Frontend!B8</f>
        <v>partdata</v>
      </c>
      <c r="C52" s="72" t="str">
        <f>"create folder " &amp;B52</f>
        <v>create folder partdata</v>
      </c>
      <c r="D52" s="72"/>
      <c r="E52" s="72"/>
      <c r="F52" s="72"/>
      <c r="G52" s="72"/>
      <c r="H52" s="72"/>
      <c r="I52" s="72"/>
      <c r="J52" s="72"/>
      <c r="K52" s="73" t="s">
        <v>228</v>
      </c>
      <c r="L52" s="73"/>
      <c r="M52" s="31"/>
    </row>
    <row r="53" spans="2:13" s="28" customFormat="1" ht="18" customHeight="1" x14ac:dyDescent="0.25">
      <c r="B53" s="60" t="s">
        <v>229</v>
      </c>
      <c r="C53" s="31" t="str">
        <f>B.Frontend!H14</f>
        <v>partdata.component.ts</v>
      </c>
      <c r="D53" s="31" t="str">
        <f>B.Frontend!I14</f>
        <v>partdata.component.html</v>
      </c>
      <c r="E53" s="31" t="str">
        <f>B.Frontend!J14</f>
        <v>partdata.component.less</v>
      </c>
      <c r="F53" s="31" t="str">
        <f>B.Frontend!K14</f>
        <v>create-or-edit-partdata-modal.component.html</v>
      </c>
      <c r="G53" s="31" t="str">
        <f>B.Frontend!L14</f>
        <v>create-or-edit-partdata-modal.component.ts</v>
      </c>
      <c r="H53" s="31" t="str">
        <f>B.Frontend!M14</f>
        <v>create-or-edit-partdata-modal.component.less</v>
      </c>
      <c r="I53" s="31" t="str">
        <f>B.Frontend!N14</f>
        <v>partdata.module.ts</v>
      </c>
      <c r="J53" s="31" t="str">
        <f>B.Frontend!O14</f>
        <v>partdata-routing.module.ts</v>
      </c>
      <c r="K53" s="31" t="str">
        <f>B.Frontend!P14</f>
        <v>app.navigation.service.ts</v>
      </c>
      <c r="L53" s="31" t="str">
        <f>B.Frontend!Q14</f>
        <v>main.routing.module.ts</v>
      </c>
      <c r="M53" s="60" t="s">
        <v>232</v>
      </c>
    </row>
    <row r="54" spans="2:13" ht="21.75" customHeight="1" x14ac:dyDescent="0.25">
      <c r="B54" s="61" t="s">
        <v>226</v>
      </c>
      <c r="C54" s="49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LgwMwhPartDataDto, LgwMwhPartDataServiceProxy } from '@shared/service-proxies/service-proxies';
import { finalize } from 'rxjs/internal/operators/finalize';
import { CreateOrEditPartDataModalComponent } from './create-or-edit-partdata-modal.component';
import { DatePipe } from '@angular/common';
import { FileDownloadService } from '@shared/utils/file-download.service';
import ceil from 'lodash-es/ceil';
import { Paginator } from 'primeng/paginator';
@Component({
    templateUrl: './partdata.component.html',
    styleUrls: ['./partdata.component.less'],
})
export class PartDataComponent extends AppComponentBase implements OnInit {
    @ViewChild('createOrEditModalPartData', { static: true }) createOrEditModalPartData:| CreateOrEditPartDataModalComponent|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LgwMwhPartDataDto = new LgwMwhPartDataDto();
    saveSelectedRow: LgwMwhPartDataDto = new LgwMwhPartDataDto();
    datas: LgwMwhPartDataDto = new LgwMwhPartDataDto();
    isLoading: boolean = false;
    dataParams: GridParams | undefined;
    rowData: any[] = [];
    gridApi!: GridApi;
    rowSelection = 'multiple';
    filter: string = '';
	pipe = new DatePipe('en-US');
	frameworkComponents: FrameworkComponent;
    pxppartId
	partNo : string = '' ; 
	lotNo : string = '' ; 
	fixlot : string = '' ; 
	caseNo : string = '' ; 
moduleNo : string = '' ; 
	containerNo : string = '' ; 
	supplierNo : string = '' ; 
	usageQty
	partName : string = '' ; 
carfamilyCode : string = '' ; 
	invoiceParentId
	pxpcaseId
	orderType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LgwMwhPartDataServiceProxy,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this.l('Pxppart Id'),headerTooltip: this.l('Pxppart Id'),field: 'pxppartId',flex: 1},
			{headerName: this.l('Part No'),headerTooltip: this.l('Part No'),field: 'partNo',flex: 1},
			{headerName: this.l('Lot No'),headerTooltip: this.l('Lot No'),field: 'lotNo',flex: 1},
			{headerName: this.l('Fixlot'),headerTooltip: this.l('Fixlot'),field: 'fixlot',flex: 1},
			{headerName: this.l('Case No'),headerTooltip: this.l('Case No'),field: 'caseNo',flex: 1},
			{headerName: this.l('Module No'),headerTooltip: this.l('Module No'),field: 'moduleNo',flex: 1},
			{headerName: this.l('Container No'),headerTooltip: this.l('Container No'),field: 'containerNo',flex: 1},
			{headerName: this.l('Supplier No'),headerTooltip: this.l('Supplier No'),field: 'supplierNo',flex: 1},
			{headerName: this.l('Usage Qty'),headerTooltip: this.l('Usage Qty'),field: 'usageQty',flex: 1},
			{headerName: this.l('Part Name'),headerTooltip: this.l('Part Name'),field: 'partName',flex: 1},
			{headerName: this.l('Carfamily Code'),headerTooltip: this.l('Carfamily Code'),field: 'carfamilyCode',flex: 1},
			{headerName: this.l('Invoice Parent Id'),headerTooltip: this.l('Invoice Parent Id'),field: 'invoiceParentId',flex: 1},
			{headerName: this.l('Pxpcase Id'),headerTooltip: this.l('Pxpcase Id'),field: 'pxpcaseId',flex: 1},
			{headerName: this.l('Order Type'),headerTooltip: this.l('Order Type'),field: 'orderType',flex: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this.pxppartId,
			this.partNo,
			this.lotNo,
			this.fixlot,
			this.caseNo,
			this.moduleNo,
			this.containerNo,
			this.supplierNo,
			this.usageQty,
			this.partName,
			this.carfamilyCode,
			this.invoiceParentId,
			this.pxpcaseId,
			this.orderType,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this.pxppartId = '',
		this.partNo = '',
		this.lotNo = '',
		this.fixlot = '',
		this.caseNo = '',
this.moduleNo = '',
		this.containerNo = '',
		this.supplierNo = '',
		this.usageQty = '',
		this.partName = '',
this.carfamilyCode = '',
		this.invoiceParentId = '',
		this.pxpcaseId = '',
		this.orderType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this.pxppartId,
			this.partNo,
			this.lotNo,
			this.fixlot,
			this.caseNo,
			this.moduleNo,
			this.containerNo,
			this.supplierNo,
			this.usageQty,
			this.partName,
			this.carfamilyCode,
			this.invoiceParentId,
			this.pxpcaseId,
			this.orderType,
			this.isActive,
			'',
            this.paginationParams.skipCount,
            this.paginationParams.pageSize
        );
    }
    onChangeRowSelection(params: { api: { getSelectedRows: () =&gt; LgwMwhPartDataDto[] } }) {
        this.saveSelectedRow = params.api.getSelectedRows()[0] ?? new LgwMwhPartDataDto();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LgwMwhPartDataDto):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this._service.getPartDataToExcel(
			this.pxppartId,
			this.partNo,
			this.lotNo,
			this.fixlot,
			this.caseNo,
			this.moduleNo,
			this.containerNo,
			this.supplierNo,
			this.usageQty,
			this.partName,
			this.carfamilyCode,
			this.invoiceParentId,
			this.pxpcaseId,
			this.orderType,
			this.isActive,
            )
            .subscribe((result) =&gt; {
                this._fileDownloadService.downloadTempFile(result);
        });
    }
}</v>
      </c>
      <c r="D54" s="49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LogW Module Warehouse Case Data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[(ngModel)]='lotNo' name='lotNo'
									class='form-control' [placeholder]="l('Lot No')"
									type='text' (keyup.enter)='searchDatas()'&gt;
								&lt;/div&gt;
								&lt;div class='input-search'&gt;
									&lt;input [(ngModel)]='fixlot' name='fixlot'
									class='form-control' [placeholder]="l('Fixlot')"
									type='text' (keyup.enter)='searchDatas()'&gt;
								&lt;/div&gt;
								&lt;div class='input-search'&gt;
									&lt;input [(ngModel)]='caseNo' name='caseNo'
									class='form-control' [placeholder]="l('Case No')"
									type='text' (keyup.enter)='searchDatas()'&gt;
								&lt;/div&gt;
								&lt;div class='input-search'&gt;
									&lt;input [(ngModel)]='moduleNo' name='moduleNo'
									class='form-control' [placeholder]="l('Module No')"
									type='text' (keyup.enter)='searchDatas()'&gt;
								&lt;/div&gt;
								&lt;div class='input-search'&gt;
									&lt;input [(ngModel)]='containerNo' name='containerNo'
									class='form-control' [placeholder]="l('Container No')"
									type='text' (keyup.enter)='searchDatas()'&gt;
								&lt;/div&gt;
								&lt;div class='input-search'&gt;
									&lt;input [(ngModel)]='supplierNo' name='supplierNo'
									class='form-control' [placeholder]="l('Supplier No')"
									type='text' (keyup.enter)='searchDatas()'&gt;
								&lt;/div&gt;
								&lt;div class='input-search'&gt;
									&lt;input [(ngModel)]='partName' name='partName'
									class='form-control' [placeholder]="l('Part Name')"
									type='text' (keyup.enter)='searchDatas()'&gt;
								&lt;/div&gt;
								&lt;div class='input-search'&gt;
									&lt;input [(ngModel)]='carfamilyCode' name='carfamilyCode'
									class='form-control' [placeholder]="l('Carfamily Code')"
									type='text' (keyup.enter)='searchDatas()'&gt;
								&lt;/div&gt;
								&lt;div class='input-search'&gt;
									&lt;input [(ngModel)]='orderType' name='orderType'
									class='form-control' [placeholder]="l('Order Type')"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(click)="createOrEditModalPartData.show()"&gt;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(click)="createOrEditModalPartData.show(selectedRow)"&gt;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&lt;create-or-edit-partdata-modal
    #createOrEditModalPartData
    (modalSave)="callBackDataGrid(dataParams)"
    (modalClose)="onChangeRowSelection(dataParams)"
&gt;
&lt;/create-or-edit-partdata-modal&gt;</v>
      </c>
      <c r="E54" s="49" t="str">
        <f>B.Frontend!J10</f>
        <v>.input-search{
    width: 250px;
    border-radius: 10px;
    margin-left: 10px;
}
.btn-search{
    width: 50px;
    margin-left: 10px;
}</v>
      </c>
      <c r="F54" s="49" t="str">
        <f ca="1">B.Frontend!K10</f>
        <v>&lt;div bsModal #createOrEditModalPartData="bs-modal"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PartData')}}&lt;/h3&gt;
                    &lt;h3 *ngIf="!rowdata.id"&gt;{{('Create New PartData')}}&lt;/h3&gt;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title'&gt;Lot No&lt;/label&gt;
						&lt;input type='text' class='col-md-10 form-control input-text' name='LotNo' [(ngModel)]='rowdata.lotNo'&gt;
					&lt;/div&gt;
					&lt;div class='col-md-12 form-group row'&gt;
						&lt;label class='col-md-2 form-control title'&gt;Fixlot&lt;/label&gt;
						&lt;input type='text' class='col-md-10 form-control input-text' name='Fixlot' [(ngModel)]='rowdata.fixlot'&gt;
					&lt;/div&gt;
					&lt;div class='col-md-12 form-group row'&gt;
						&lt;label class='col-md-2 form-control title'&gt;Case No&lt;/label&gt;
						&lt;input type='text' class='col-md-10 form-control input-text' name='CaseNo' [(ngModel)]='rowdata.caseNo'&gt;
					&lt;/div&gt;
					&lt;div class='col-md-12 form-group row'&gt;
						&lt;label class='col-md-2 form-control title'&gt;Module No&lt;/label&gt;
						&lt;input type='text' class='col-md-10 form-control input-text' name='ModuleNo' [(ngModel)]='rowdata.moduleNo'&gt;
					&lt;/div&gt;
					&lt;div class='col-md-12 form-group row'&gt;
						&lt;label class='col-md-2 form-control title'&gt;Container No&lt;/label&gt;
						&lt;input type='text' class='col-md-10 form-control input-text' name='ContainerNo' [(ngModel)]='rowdata.containerNo'&gt;
					&lt;/div&gt;
					&lt;div class='col-md-12 form-group row'&gt;
						&lt;label class='col-md-2 form-control title'&gt;Supplier No&lt;/label&gt;
						&lt;input type='text' class='col-md-10 form-control input-text' name='SupplierNo' [(ngModel)]='rowdata.supplierNo'&gt;
					&lt;/div&gt;
					&lt;div class='col-md-12 form-group row'&gt;
						&lt;label class='col-md-2 form-control title'&gt;Part Name&lt;/label&gt;
						&lt;input type='text' class='col-md-10 form-control input-text' name='PartName' [(ngModel)]='rowdata.partName'&gt;
					&lt;/div&gt;
					&lt;div class='col-md-12 form-group row'&gt;
						&lt;label class='col-md-2 form-control title'&gt;Carfamily Code&lt;/label&gt;
						&lt;input type='text' class='col-md-10 form-control input-text' name='CarfamilyCode' [(ngModel)]='rowdata.carfamilyCode'&gt;
					&lt;/div&gt;
					&lt;div class='col-md-12 form-group row'&gt;
						&lt;label class='col-md-2 form-control title'&gt;Order Type&lt;/label&gt;
						&lt;input type='text' class='col-md-10 form-control input-text' name='OrderType' [(ngModel)]='rowdata.orderType'&gt;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54" s="49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CreateOrEditLgwMwhPartDataDto, LgwMwhPartDataServiceProxy } from '@shared/service-proxies/service-proxies';
import { BsDatepickerDirective } from 'ngx-bootstrap/datepicker';
@Component({
    selector: 'create-or-edit-partdata-modal',
    templateUrl: './create-or-edit-partdata-modal.component.html',
    styleUrls: ['./create-or-edit-partdata-modal.component.less']
    })
export class CreateOrEditPartDataModalComponent extends AppComponentBase {
    @ViewChild('createOrEditModalPartData',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CreateOrEditLgwMwhPartDataDto = new CreateOrEditLgwMwhPartDataDto();
    active: boolean = false;
    saving: boolean = false;
    _isActive: boolean;
    constructor(
        injector: Injector,
        private _mstwptPartDataService: LgwMwhPartDataServiceProxy,
    ) 
    {
        super(injector);
    }
    show(rowdata?: CreateOrEditLgwMwhPartDataDto): void {
        if (!rowdata) this.rowdata = new CreateOrEditLgwMwhPartDataDto();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this._mstwptPartDataService.createOrEdit(this.rowdata)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54" s="49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54" s="49" t="str">
        <f>B.Frontend!N10</f>
        <v>import {NgModule} from '@angular/core';
import {AppSharedModule} from '@app/shared/app-shared.module';
import { PartDataRoutingModule } from './partdata-routing.module';
import { PartDataComponent } from './partdata.component';
import { CreateOrEditPartDataModalComponent } from './create-or-edit-partdata-modal.component';
@NgModule({
    declarations: [
       PartDataComponent, 
        CreateOrEditPartDataModalComponent
    ],
    imports: [
        AppSharedModule, PartDataRoutingModule]
})
export class PartDataModule {}</v>
      </c>
      <c r="J54" s="49" t="str">
        <f>B.Frontend!O10</f>
        <v>import {NgModule} from '@angular/core';
import {RouterModule, Routes} from '@angular/router';
import { PartDataComponent } from './partdata.component';
const routes: Routes = [{
    path: '',
    component: PartDataComponent,
    pathMatch: 'full'
}];
@NgModule({
    imports: [RouterModule.forChild(routes)],
    exports: [RouterModule],
})
export class PartDataRoutingModule {}</v>
      </c>
      <c r="K54" s="49" t="str">
        <f>B.Frontend!P10</f>
        <v xml:space="preserve"> new AppMenuItem("PartData", "Pages.LogW.Mwh.PartData", "flaticon-book",   "/app/main/logw/mwh/partdata"),</v>
      </c>
      <c r="L54" s="50" t="str">
        <f>B.Frontend!Q10</f>
        <v>{
    path: 'logw/mwh/partdata',
    loadChildren: () =&gt; import('./logw/mwh/partdata/partdata.module').then(m =&gt; m.PartDataModule),
    data: { permission: 'Pages.LogW.Mwh.PartData' }
},</v>
      </c>
      <c r="M54" s="48" t="str">
        <f>B.Frontend!R10</f>
        <v>ApiServiceProxies.LgwMwhPartDataServiceProxy,</v>
      </c>
    </row>
    <row r="56" spans="2:13" x14ac:dyDescent="0.25">
      <c r="B56" s="1" t="s">
        <v>75</v>
      </c>
    </row>
  </sheetData>
  <mergeCells count="2">
    <mergeCell ref="C52:J52"/>
    <mergeCell ref="K52:L52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25"/>
  <sheetViews>
    <sheetView workbookViewId="0">
      <pane xSplit="1" topLeftCell="B1" activePane="topRight" state="frozen"/>
      <selection pane="topRight" activeCell="A9" sqref="A9:A22"/>
    </sheetView>
  </sheetViews>
  <sheetFormatPr defaultColWidth="9.140625" defaultRowHeight="15" x14ac:dyDescent="0.25"/>
  <cols>
    <col min="1" max="1" width="20.85546875" style="8" customWidth="1"/>
    <col min="2" max="2" width="20.42578125" style="9" customWidth="1"/>
    <col min="3" max="3" width="19.42578125" style="8" customWidth="1"/>
    <col min="4" max="4" width="23.42578125" style="8" customWidth="1"/>
    <col min="5" max="5" width="14.42578125" style="8" customWidth="1"/>
    <col min="6" max="6" width="14.85546875" style="8" customWidth="1"/>
    <col min="7" max="7" width="17.28515625" style="8" bestFit="1" customWidth="1"/>
    <col min="8" max="8" width="15" style="8" customWidth="1"/>
    <col min="9" max="9" width="16" style="8" customWidth="1"/>
    <col min="10" max="10" width="15.85546875" style="8" customWidth="1"/>
    <col min="11" max="11" width="16" style="8" customWidth="1"/>
    <col min="12" max="12" width="16.7109375" style="8" customWidth="1"/>
    <col min="13" max="13" width="17.42578125" style="8" customWidth="1"/>
    <col min="14" max="14" width="16.140625" style="8" customWidth="1"/>
    <col min="15" max="15" width="14.7109375" style="8" customWidth="1"/>
    <col min="16" max="16" width="16" style="8" customWidth="1"/>
    <col min="17" max="17" width="15.7109375" style="8" customWidth="1"/>
    <col min="18" max="18" width="19.5703125" style="8" customWidth="1"/>
    <col min="19" max="19" width="20.5703125" style="8" customWidth="1"/>
    <col min="20" max="20" width="17" style="8" customWidth="1"/>
    <col min="21" max="21" width="14" style="8" customWidth="1"/>
    <col min="22" max="22" width="15.140625" style="8" customWidth="1"/>
    <col min="23" max="23" width="27.85546875" style="9" customWidth="1"/>
    <col min="24" max="16384" width="9.140625" style="8"/>
  </cols>
  <sheetData>
    <row r="1" spans="1:23" s="11" customFormat="1" ht="14.25" customHeight="1" x14ac:dyDescent="0.25">
      <c r="A1" s="1" t="s">
        <v>11</v>
      </c>
      <c r="B1" s="10" t="s">
        <v>71</v>
      </c>
      <c r="C1" s="10" t="s">
        <v>54</v>
      </c>
      <c r="D1" s="10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vovina.LogW.Mwh.Dto;</v>
      </c>
      <c r="E1" s="10" t="s">
        <v>266</v>
      </c>
      <c r="F1" s="11" t="s">
        <v>239</v>
      </c>
      <c r="H1" s="11" t="s">
        <v>240</v>
      </c>
      <c r="J1" s="11" t="s">
        <v>241</v>
      </c>
      <c r="L1" s="11" t="s">
        <v>242</v>
      </c>
      <c r="M1" s="11" t="s">
        <v>243</v>
      </c>
      <c r="N1" s="11" t="s">
        <v>244</v>
      </c>
      <c r="O1" s="11" t="s">
        <v>245</v>
      </c>
      <c r="T1" s="10" t="s">
        <v>258</v>
      </c>
      <c r="U1" s="10" t="s">
        <v>230</v>
      </c>
      <c r="W1" s="10"/>
    </row>
    <row r="2" spans="1:23" s="11" customFormat="1" x14ac:dyDescent="0.25">
      <c r="A2" s="1" t="s">
        <v>12</v>
      </c>
      <c r="B2" s="30" t="s">
        <v>305</v>
      </c>
      <c r="C2" s="14" t="s">
        <v>40</v>
      </c>
      <c r="D2" s="14" t="s">
        <v>41</v>
      </c>
      <c r="E2" s="14" t="s">
        <v>42</v>
      </c>
      <c r="F2" s="14" t="s">
        <v>51</v>
      </c>
      <c r="G2" s="14" t="s">
        <v>49</v>
      </c>
      <c r="H2" s="14" t="s">
        <v>52</v>
      </c>
      <c r="I2" s="14" t="s">
        <v>45</v>
      </c>
      <c r="J2" s="14" t="s">
        <v>53</v>
      </c>
      <c r="K2" s="14" t="s">
        <v>55</v>
      </c>
      <c r="L2" s="14" t="s">
        <v>62</v>
      </c>
      <c r="M2" s="14" t="s">
        <v>61</v>
      </c>
      <c r="N2" s="14" t="s">
        <v>65</v>
      </c>
      <c r="O2" s="14" t="s">
        <v>85</v>
      </c>
      <c r="T2" s="11" t="s">
        <v>246</v>
      </c>
      <c r="V2" s="11" t="s">
        <v>247</v>
      </c>
      <c r="W2" s="10" t="s">
        <v>257</v>
      </c>
    </row>
    <row r="3" spans="1:23" s="11" customFormat="1" ht="33" customHeight="1" x14ac:dyDescent="0.25">
      <c r="A3" s="1" t="s">
        <v>5</v>
      </c>
      <c r="B3" s="30" t="s">
        <v>310</v>
      </c>
      <c r="C3" s="10" t="s">
        <v>43</v>
      </c>
      <c r="D3" s="10" t="s">
        <v>44</v>
      </c>
      <c r="E3" s="10" t="s">
        <v>39</v>
      </c>
      <c r="F3" s="11" t="str">
        <f>"J"&amp;COUNTA($A:$A)</f>
        <v>J23</v>
      </c>
      <c r="G3" s="4" t="s">
        <v>57</v>
      </c>
      <c r="H3" s="10" t="str">
        <f>"I"&amp;COUNTA($A:$A)</f>
        <v>I23</v>
      </c>
      <c r="I3" s="10" t="str">
        <f>REPT(CHAR(9),2)&amp;"[Required]"&amp;"
"</f>
        <v xml:space="preserve">		[Required]
</v>
      </c>
      <c r="J3" s="11" t="str">
        <f>"L"&amp;COUNTA($A:$A)</f>
        <v>L23</v>
      </c>
      <c r="K3" s="5" t="s">
        <v>56</v>
      </c>
      <c r="L3" s="11" t="str">
        <f>"M"&amp;COUNTA($A:$A)</f>
        <v>M23</v>
      </c>
      <c r="M3" s="11" t="str">
        <f>"N"&amp;COUNTA($A:$A)</f>
        <v>N23</v>
      </c>
      <c r="N3" s="11" t="str">
        <f>"O"&amp;COUNTA($A:$A)</f>
        <v>O23</v>
      </c>
      <c r="O3" s="11" t="str">
        <f>"P"&amp;COUNTA($A:$A)</f>
        <v>P23</v>
      </c>
      <c r="Q3" s="11" t="str">
        <f>RIGHT(B2,(LEN(B2)-FIND(".",B2,1)))</f>
        <v>Mwh</v>
      </c>
      <c r="R3" s="32" t="str">
        <f>REPT(CHAR(9),1)&amp;"public class "&amp;B3&amp;"ExportInput"&amp;C3</f>
        <v xml:space="preserve">	public class LgwMwhPartDataExportInput{
</v>
      </c>
      <c r="S3" s="11" t="str">
        <f>"namespace "&amp;$B$6&amp;".Exporting
"&amp;$C$3</f>
        <v xml:space="preserve">namespace vovina.LogW.Mwh.Exporting
{
</v>
      </c>
      <c r="T3" s="11" t="str">
        <f>"T"&amp;COUNTA($A:$A)</f>
        <v>T23</v>
      </c>
      <c r="V3" s="11" t="str">
        <f>"V"&amp;COUNTA($A:$A)</f>
        <v>V23</v>
      </c>
      <c r="W3" s="10" t="str">
        <f>"W"&amp;COUNTA($A:$A)</f>
        <v>W23</v>
      </c>
    </row>
    <row r="4" spans="1:23" s="11" customFormat="1" ht="33" customHeight="1" x14ac:dyDescent="0.25">
      <c r="A4" s="1" t="s">
        <v>237</v>
      </c>
      <c r="B4" s="64" t="s">
        <v>271</v>
      </c>
      <c r="C4" s="10"/>
      <c r="D4" s="10"/>
      <c r="E4" s="10"/>
      <c r="G4" s="4"/>
      <c r="H4" s="10"/>
      <c r="I4" s="10"/>
      <c r="K4" s="5"/>
      <c r="R4" s="32"/>
      <c r="W4" s="10"/>
    </row>
    <row r="5" spans="1:23" s="11" customFormat="1" ht="33" customHeight="1" x14ac:dyDescent="0.25">
      <c r="A5" s="1" t="s">
        <v>238</v>
      </c>
      <c r="B5" s="64" t="s">
        <v>311</v>
      </c>
      <c r="C5" s="10"/>
      <c r="D5" s="10"/>
      <c r="E5" s="10"/>
      <c r="G5" s="4"/>
      <c r="H5" s="10"/>
      <c r="I5" s="10"/>
      <c r="K5" s="5"/>
      <c r="R5" s="32"/>
      <c r="W5" s="10"/>
    </row>
    <row r="6" spans="1:23" customFormat="1" ht="16.5" customHeight="1" x14ac:dyDescent="0.25">
      <c r="A6" s="1" t="s">
        <v>6</v>
      </c>
      <c r="B6" s="10" t="str">
        <f>"vovina."&amp;B2</f>
        <v>vovina.LogW.Mwh</v>
      </c>
      <c r="C6" s="11" t="str">
        <f>"namespace "&amp;$B$6&amp;"
"&amp;$C$3</f>
        <v xml:space="preserve">namespace vovina.LogW.Mwh
{
</v>
      </c>
      <c r="D6" s="11" t="str">
        <f>REPT(CHAR(9),1)&amp;"public class "&amp;B3&amp;G3&amp;REPT(CHAR(9),1)&amp;"
"&amp;REPT(CHAR(9),1)&amp;C3</f>
        <v xml:space="preserve">	public class LgwMwhPartData: FullAuditedEntity&lt;long&gt;, IEntity&lt;long&gt;	
	{
</v>
      </c>
      <c r="E6" s="11" t="str">
        <f>REPT(CHAR(9),1)&amp;"public class "&amp;B3&amp;"Consts"&amp;REPT(CHAR(9),1)&amp;"
"&amp;REPT(CHAR(9),1)&amp;C3</f>
        <v xml:space="preserve">	public class LgwMwhPartDataConsts	
	{
</v>
      </c>
      <c r="F6" s="11" t="str">
        <f>REPT(CHAR(9),1)&amp;"public class "&amp;B3&amp;"Dto"&amp;K3&amp;REPT(CHAR(9),1)&amp;"
"&amp;REPT(CHAR(9),1)&amp;C3</f>
        <v xml:space="preserve">	public class LgwMwhPartDataDto : EntityDto&lt;long?&gt;	
	{
</v>
      </c>
      <c r="G6" s="11" t="str">
        <f>REPT(CHAR(9),1)&amp;"public class CreateOrEdit"&amp;B3&amp;"Dto"&amp;K3&amp;REPT(CHAR(9),1)&amp;"
"&amp;REPT(CHAR(9),1)&amp;C3</f>
        <v xml:space="preserve">	public class CreateOrEditLgwMwhPartDataDto : EntityDto&lt;long?&gt;	
	{
</v>
      </c>
      <c r="H6" s="11" t="str">
        <f>REPT(CHAR(9),1)&amp;"public class Get"&amp;B3&amp;"Input : PagedAndSortedResultRequestDto"&amp;REPT(CHAR(9),1)&amp;"
"&amp;REPT(CHAR(9),1)&amp;C3</f>
        <v xml:space="preserve">	public class GetLgwMwhPartDataInput : PagedAndSortedResultRequestDto	
	{
</v>
      </c>
      <c r="I6" s="11"/>
      <c r="J6" s="1" t="s">
        <v>72</v>
      </c>
      <c r="K6" s="1" t="s">
        <v>66</v>
      </c>
      <c r="L6" s="1" t="s">
        <v>67</v>
      </c>
      <c r="M6" s="1" t="s">
        <v>68</v>
      </c>
      <c r="N6" s="1" t="s">
        <v>236</v>
      </c>
      <c r="O6" s="1" t="s">
        <v>235</v>
      </c>
      <c r="P6" s="1" t="s">
        <v>69</v>
      </c>
      <c r="Q6" s="1" t="s">
        <v>70</v>
      </c>
      <c r="R6" s="1" t="s">
        <v>202</v>
      </c>
      <c r="S6" s="1" t="s">
        <v>204</v>
      </c>
      <c r="T6" s="1" t="s">
        <v>203</v>
      </c>
      <c r="U6" s="1" t="s">
        <v>227</v>
      </c>
      <c r="W6" s="28"/>
    </row>
    <row r="7" spans="1:23" customFormat="1" ht="15.75" customHeight="1" x14ac:dyDescent="0.25">
      <c r="A7" s="1" t="s">
        <v>13</v>
      </c>
      <c r="B7" s="10" t="str">
        <f>B3</f>
        <v>LgwMwhPartData</v>
      </c>
      <c r="C7" s="11" t="str">
        <f>REPT(CHAR(9),1)&amp;"[Table("""&amp;B7&amp;""")]"&amp;"
"</f>
        <v xml:space="preserve">	[Table("LgwMwhPartData")]
</v>
      </c>
      <c r="D7" s="11"/>
      <c r="E7" s="11"/>
      <c r="F7" s="11"/>
      <c r="G7" s="11"/>
      <c r="H7" s="11"/>
      <c r="I7" s="11"/>
      <c r="J7" s="6" t="str">
        <f ca="1">SUBSTITUTE(SUBSTITUTE((B1&amp;C6&amp;C7&amp;K25&amp;D6&amp;I25&amp;E3&amp;J25&amp;""&amp;REPT(CHAR(9),1)&amp;D3&amp;D3),"WorkingPattern",$Q$3),"Master",$B$4)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vovina.LogW.Mwh
{
	[Table("LgwMwhPartData")]
	[Index(nameof(PxppartId), Name="IX_LgwMwhPartData_PxppartId")]
	[Index(nameof(PartNo), Name="IX_LgwMwhPartData_PartNo")]
	[Index(nameof(CaseNo), Name="IX_LgwMwhPartData_CaseNo")]
	[Index(nameof(ModuleNo), Name="IX_LgwMwhPartData_ModuleNo")]
	[Index(nameof(ContainerNo), Name="IX_LgwMwhPartData_ContainerNo")]
	[Index(nameof(SupplierNo), Name="IX_LgwMwhPartData_SupplierNo")]
	[Index(nameof(PxpcaseId), Name="IX_LgwMwhPartData_PxpcaseId")]
	[Index(nameof(OrderType), Name="IX_LgwMwhPartData_OrderType")]
	[Index(nameof(IsActive), Name="IX_LgwMwhPartData_IsActive")]	public class LgwMwhPartData: FullAuditedEntity&lt;long&gt;, IEntity&lt;long&gt;	
	{
		public const int MaxPartNoLength = 12;
		public const int MaxLotNoLength = 10;
		public const int MaxFixlotLength = 4;
		public const int MaxCaseNoLength = 30;
		public const int MaxModuleNoLength = 30;
		public const int MaxContainerNoLength = 15;
		public const int MaxSupplierNoLength = 10;
		public const int MaxPartNameLength = 300;
		public const int MaxCarfamilyCodeLength = 4;
		public const int MaxOrderTypeLength = 50;
		public const int MaxIsActiveLength = 1;
		[Required]
		public virtual long PxppartId { get; set; }
		[StringLength(MaxPartNoLength)]
		public virtual string PartNo { get; set; }
		[StringLength(MaxLotNoLength)]
		public virtual string LotNo { get; set; }
		[StringLength(MaxFixlotLength)]
		public virtual string Fixlot { get; set; }
		[StringLength(MaxCaseNoLength)]
		public virtual string CaseNo { get; set; }
		[StringLength(MaxModuleNoLength)]
		public virtual string ModuleNo { get; set; }
		[StringLength(MaxContainerNoLength)]
		public virtual string ContainerNo { get; set; }
		[StringLength(MaxSupplierNoLength)]
		public virtual string SupplierNo { get; set; }
		public virtual decimal UsageQty { get; set; }
		[StringLength(MaxPartNameLength)]
		public virtual string PartName { get; set; }
		[StringLength(MaxCarfamilyCodeLength)]
		public virtual string CarfamilyCode { get; set; }
		public virtual long InvoiceParentId { get; set; }
		[Required]
		public virtual long PxpcaseId { get; set; }
		[StringLength(MaxOrderTypeLength)]
		public virtual string OrderType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DbSet&lt;LgwMwhPartData&gt; LgwMwhPartDatas { get; set; }</v>
      </c>
      <c r="L7" t="str">
        <f ca="1">SUBSTITUTE(SUBSTITUTE((C6&amp;E6&amp;I25&amp;"
"&amp;REPT(CHAR(9),2)&amp;"// Define Store Name: Format SP_ + &lt;Store Name&gt; = &lt;Store Name&gt;
"&amp;E3&amp;REPT(CHAR(9),1)&amp;D3&amp;D3),"WorkingPattern",$Q$3),"Master",$B$4)</f>
        <v xml:space="preserve">namespace vovina.LogW.Mwh
{
	public class LgwMwhPartDataConsts	
	{
		public const int MaxPartNoLength = 12;
		public const int MaxLotNoLength = 10;
		public const int MaxFixlotLength = 4;
		public const int MaxCaseNoLength = 30;
		public const int MaxModuleNoLength = 30;
		public const int MaxContainerNoLength = 15;
		public const int MaxSupplierNoLength = 10;
		public const int MaxPartNameLength = 300;
		public const int MaxCarfamilyCodeLength = 4;
		public const int MaxOrderTypeLength = 50;
		public const int MaxIsActiveLength = 1;
		// Define Store Name: Format SP_ + &lt;Store Name&gt; = &lt;Store Name&gt;
	}
}
</v>
      </c>
      <c r="M7" t="str">
        <f ca="1">SUBSTITUTE(SUBSTITUTE((C1&amp;"namespace "&amp;B6&amp;".Dto"&amp;E3&amp;C3&amp;F6&amp;M25&amp;E3&amp;REPT(CHAR(9),1)&amp;D3&amp;G6&amp;N25&amp;REPT(CHAR(9),1)&amp;D3&amp;H6&amp;O25&amp;"
"&amp;REPT(CHAR(9),1)&amp;D3&amp;D3),"WorkingPattern",$Q$3),"Master",$B$4)</f>
        <v xml:space="preserve">using Abp.Application.Services.Dto;
using System;
using System.ComponentModel.DataAnnotations;
namespace vovina.LogW.Mwh.Dto
{
	public class LgwMwhPartDataDto : EntityDto&lt;long?&gt;	
	{
		public virtual long PxppartId { get; set; }
		public virtual string PartNo { get; set; }
		public virtual string LotNo { get; set; }
		public virtual string Fixlot { get; set; }
		public virtual string CaseNo { get; set; }
		public virtual string ModuleNo { get; set; }
		public virtual string ContainerNo { get; set; }
		public virtual string SupplierNo { get; set; }
		public virtual decimal UsageQty { get; set; }
		public virtual string PartName { get; set; }
		public virtual string CarfamilyCode { get; set; }
		public virtual long InvoiceParentId { get; set; }
		public virtual long PxpcaseId { get; set; }
		public virtual string OrderType { get; set; }
		public virtual string IsActive { get; set; }
	}
	public class CreateOrEditLgwMwhPartDataDto : EntityDto&lt;long?&gt;	
	{
		[Required]
		public virtual long PxppartId { get; set; }
		[StringLength(LgwMwhPartDataConsts.MaxPartNoLength)]
		public virtual string PartNo { get; set; }
		[StringLength(LgwMwhPartDataConsts.MaxLotNoLength)]
		public virtual string LotNo { get; set; }
		[StringLength(LgwMwhPartDataConsts.MaxFixlotLength)]
		public virtual string Fixlot { get; set; }
		[StringLength(LgwMwhPartDataConsts.MaxCaseNoLength)]
		public virtual string CaseNo { get; set; }
		[StringLength(LgwMwhPartDataConsts.MaxModuleNoLength)]
		public virtual string ModuleNo { get; set; }
		[StringLength(LgwMwhPartDataConsts.MaxContainerNoLength)]
		public virtual string ContainerNo { get; set; }
		[StringLength(LgwMwhPartDataConsts.MaxSupplierNoLength)]
		public virtual string SupplierNo { get; set; }
		public virtual decimal UsageQty { get; set; }
		[StringLength(LgwMwhPartDataConsts.MaxPartNameLength)]
		public virtual string PartName { get; set; }
		[StringLength(LgwMwhPartDataConsts.MaxCarfamilyCodeLength)]
		public virtual string CarfamilyCode { get; set; }
		public virtual long InvoiceParentId { get; set; }
		[Required]
		public virtual long PxpcaseId { get; set; }
		[StringLength(LgwMwhPartDataConsts.MaxOrderTypeLength)]
		public virtual string OrderType { get; set; }
		[StringLength(LgwMwhPartDataConsts.MaxIsActiveLength)]
		public virtual string IsActive { get; set; }
	}
	public class GetLgwMwhPartDataInput : PagedAndSortedResultRequestDto	
	{
		public virtual string PartNo { get; set; }
		public virtual string LotNo { get; set; }
		public virtual string Fixlot { get; set; }
		public virtual string CaseNo { get; set; }
		public virtual string ModuleNo { get; set; }
		public virtual string ContainerNo { get; set; }
		public virtual string SupplierNo { get; set; }
		public virtual string PartName { get; set; }
		public virtual string CarfamilyCode { get; set; }
		public virtual string OrderType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"""&amp;SUBSTITUTE(B2,".","")&amp;B5&amp;"""));"
&amp;E3&amp;REPT(CHAR(9),2)&amp;"per"&amp;B3&amp;".CreateChildPermission(AppPermissions.Pages_"&amp;SUBSTITUTE(B2,".","_")&amp;"_"&amp;B5&amp;"_CreateEdit, L( """&amp;SUBSTITUTE(B2,".","")&amp;B5&amp;"CreateEdit"&amp;"""));"
&amp;E3&amp;REPT(CHAR(9),2)&amp;"per"&amp;B3&amp;".CreateChildPermission(AppPermissions.Pages_"&amp;SUBSTITUTE(B2,".","_")&amp;"_"&amp;B5&amp;"_Delete, L( """&amp;SUBSTITUTE(B2,".","")&amp;B5&amp;"Delete"&amp;"""));"),"WorkingPattern",$Q$3),"Master",$B$4)</f>
        <v xml:space="preserve">		var perLgwMwhPartData = PARENTS.CreateChildPermission(AppPermissions.Pages_LogW_Mwh_PartData, L( "LogWMwhPartData"));
		perLgwMwhPartData.CreateChildPermission(AppPermissions.Pages_LogW_Mwh_PartData_CreateEdit, L( "LogWMwhPartDataCreateEdit"));
		perLgwMwhPartData.CreateChildPermission(AppPermissions.Pages_LogW_Mwh_PartData_Delete, L( "LogWMwhPartDataDelete"));</v>
      </c>
      <c r="O7" s="28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Pages_LogW_Mwh_PartData = "Pages.LogW.Mwh.PartData";
		public const string Pages_LogW_Mwh_PartData_CreateEdit = "Pages.LogW.Mwh.PartData.CreateEdit";
		public const string Pages_LogW_Mwh_PartData_Delete = "Pages.LogW.Mwh.PartData.Delete";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vovina.LogW.Mwh.Dto;
namespace vovina.LogW.Mwh
{
	public interface ILgwMwhPartDataAppService : IApplicationService
	{
		Task&lt;PagedResultDto&lt;LgwMwhPartDataDto&gt;&gt; GetAll(GetLgwMwhPartDataInput input);
		Task CreateOrEdit(CreateOrEditLgwMwhPartDataDto input);
		Task Delete(EntityDto input);
	}
}
</v>
      </c>
      <c r="Q7" t="str">
        <f ca="1">SUBSTITUTE(SUBSTITUTE(SUBSTITUTE(SUBSTITUTE(SUBSTITUTE(SUBSTITUTE(E1,"MstWptCalendar",$B$3),"&lt;PROPERTIES&gt;",P25),"Calendar",$B$5),"WorkingPattern",$Q$3),"Master",$B$4),"&lt;PARAMS_SEARCH&gt;",$W$25)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vovina.LogW.Mwh.Dto;
using vovina.LogW.Mwh.Exporting;
namespace vovina.LogW.Mwh
{
    [AbpAuthorize(AppPermissions.Pages_LogW_Mwh_PartData)]
    public class LgwMwhPartDataAppService : vovinaAppServiceBase, ILgwMwhPartDataAppService
    {
        private readonly IDapperRepository&lt;LgwMwhPartData, long&gt; _dapperRepo;
        private readonly IRepository&lt;LgwMwhPartData, long&gt; _repo;
        private readonly ILgwMwhPartDataExcelExporter _calendarListExcelExporter;
        public LgwMwhPartDataAppService(IRepository&lt;LgwMwhPartData,long&gt; repo, 
                                         IDapperRepository&lt;LgwMwhPartData,long&gt; dapperRepo,
                                        ILgwMwhPartDataExcelExporter calendarListExcelExporter
            )
        {
            _repo = repo;
            _dapperRepo = dapperRepo;
            _calendarListExcelExporter = calendarListExcelExporter;
        }
        [AbpAuthorize(AppPermissions.Pages_LogW_Mwh_PartData_CreateEdit)]
        public async Task CreateOrEdit(CreateOrEditLgwMwhPartDataDto input)
        {
            if (input.Id == null) await Create(input);
            else await Update(input);
        }
        //CREATE
        private async Task Create(CreateOrEditLgwMwhPartDataDto input)
        {          
            var mainObj = ObjectMapper.Map&lt;LgwMwhPartData&gt;(input);
            await CurrentUnitOfWork.GetDbContext&lt;vovinaDbContext&gt;().AddAsync(mainObj);
        }
        // EDIT
        private async Task Update(CreateOrEditLgwMwhPartDataDto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[AbpAuthorize(AppPermissions.Pages_LogW_Mwh_PartData_Delete)]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Task&lt;PagedResultDto&lt;LgwMwhPartDataDto&gt;&gt; GetAll(GetLgwMwhPartDataInput input)
        {
            var filtered = _repo.GetAll()
				.WhereIf(!string.IsNullOrWhiteSpace(input.PartNo), e =&gt; e.PartNo.Contains(input.PartNo))
				.WhereIf(!string.IsNullOrWhiteSpace(input.LotNo), e =&gt; e.LotNo.Contains(input.LotNo))
				.WhereIf(!string.IsNullOrWhiteSpace(input.Fixlot), e =&gt; e.Fixlot.Contains(input.Fixlot))
				.WhereIf(!string.IsNullOrWhiteSpace(input.CaseNo), e =&gt; e.CaseNo.Contains(input.CaseNo))
				.WhereIf(!string.IsNullOrWhiteSpace(input.ModuleNo), e =&gt; e.ModuleNo.Contains(input.ModuleNo))
				.WhereIf(!string.IsNullOrWhiteSpace(input.ContainerNo), e =&gt; e.ContainerNo.Contains(input.ContainerNo))
				.WhereIf(!string.IsNullOrWhiteSpace(input.SupplierNo), e =&gt; e.SupplierNo.Contains(input.SupplierNo))
				.WhereIf(!string.IsNullOrWhiteSpace(input.PartName), e =&gt; e.PartName.Contains(input.PartName))
				.WhereIf(!string.IsNullOrWhiteSpace(input.CarfamilyCode), e =&gt; e.CarfamilyCode.Contains(input.CarfamilyCode))
				.WhereIf(!string.IsNullOrWhiteSpace(input.OrderType), e =&gt; e.OrderType.Contains(input.OrderType))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LgwMwhPartDataDto
                        {
							Id = o.Id,
							PxppartId = o.PxppartId,
							PartNo = o.PartNo,
							LotNo = o.LotNo,
							Fixlot = o.Fixlot,
							CaseNo = o.CaseNo,
							ModuleNo = o.ModuleNo,
							ContainerNo = o.ContainerNo,
							SupplierNo = o.SupplierNo,
							UsageQty = o.UsageQty,
							PartName = o.PartName,
							CarfamilyCode = o.CarfamilyCode,
							InvoiceParentId = o.InvoiceParentId,
							PxpcaseId = o.PxpcaseId,
							OrderType = o.OrderType,
							IsActive = o.IsActive,
                        };
            var totalCount = await filtered.CountAsync();
			var paged = system.PageBy(input);
            return new PagedResultDto&lt;LgwMwhPartDataDto&gt;(
                totalCount,
                 await paged.ToListAsync()
            );
        }
        public async Task&lt;FileDto&gt; GetPartDataToExcel(LgwMwhPartDataExportInput input)
        {
            var query = from o in _repo.GetAll()
                        select new LgwMwhPartDataDto
                        {
							Id = o.Id,
							PxppartId = o.PxppartId,
							PartNo = o.PartNo,
							LotNo = o.LotNo,
							Fixlot = o.Fixlot,
							CaseNo = o.CaseNo,
							ModuleNo = o.ModuleNo,
							ContainerNo = o.ContainerNo,
							SupplierNo = o.SupplierNo,
							UsageQty = o.UsageQty,
							PartName = o.PartName,
							CarfamilyCode = o.CarfamilyCode,
							InvoiceParentId = o.InvoiceParentId,
							PxpcaseId = o.PxpcaseId,
							OrderType = o.OrderType,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_dapperRepo.ExecuteAsync(LgwMwhPartDataConsts.SP_MST_WPT_CALENDAR_GENERATE);
       // }
    }
}</v>
      </c>
      <c r="R7" t="str">
        <f ca="1">SUBSTITUTE(SUBSTITUTE((C1&amp;"namespace "&amp;B6&amp;".Dto"&amp;E3&amp;C3&amp;R3&amp;M25&amp;E3&amp;REPT(CHAR(9),1)&amp;D3&amp;D3),"WorkingPattern",$Q$3),"Master",$B$4)</f>
        <v xml:space="preserve">using Abp.Application.Services.Dto;
using System;
using System.ComponentModel.DataAnnotations;
namespace vovina.LogW.Mwh.Dto
{
	public class LgwMwhPartDataExportInput{
		public virtual long PxppartId { get; set; }
		public virtual string PartNo { get; set; }
		public virtual string LotNo { get; set; }
		public virtual string Fixlot { get; set; }
		public virtual string CaseNo { get; set; }
		public virtual string ModuleNo { get; set; }
		public virtual string ContainerNo { get; set; }
		public virtual string SupplierNo { get; set; }
		public virtual decimal UsageQty { get; set; }
		public virtual string PartName { get; set; }
		public virtual string CarfamilyCode { get; set; }
		public virtual long InvoiceParentId { get; set; }
		public virtual long PxpcaseId { get; set; }
		public virtual string OrderType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vovina.LogW.Mwh.Dto;
namespace vovina.LogW.Mwh.Exporting
{
	public interface ILgwMwhPartDataExcelExporter : IApplicationService
	{
		FileDto ExportToFile(List&lt;LgwMwhPartDataDto&gt; lgwmwhpartdata);
	}
}
</v>
      </c>
      <c r="T7" s="28" t="str">
        <f ca="1">SUBSTITUTE(SUBSTITUTE(SUBSTITUTE(SUBSTITUTE(SUBSTITUTE(SUBSTITUTE(SUBSTITUTE(T1,"MstWptCalendar",$B$3),"&lt;PROPERTIES1&gt;",V25),"&lt;PROPERTIES&gt;",T25),"Calendar",$B$5),"calendar",LOWER(B5)),"WorkingPattern",$Q$3),"Master",$B$4)</f>
        <v>using System.Collections.Generic;
using vovina.DataExporting.Excel.NPOI;
using vovina.Dto;
using vovina.LogW.Mwh.Exporting;
using vovina.LogW.Mwh.Dto;
using vovina.Storage;
using vovina.LogW.Mwh.Dto;
namespace vovina.LogW.Mwh.Exporting
{
    public class LgwMwhPartDataExcelExporter : NpoiExcelExporterBase, ILgwMwhPartDataExcelExporter
    {
        public LgwMwhPartDataExcelExporter(ITempFileCacheManager tempFileCacheManager) : base(tempFileCacheManager) { }
        public FileDto ExportToFile(List&lt;LgwMwhPartDataDto&gt; partdata)
        {
            return CreateExcelPackage(
				"LogWMwhPartData.xlsx",
				excelPackage =&gt;
				 {
					var sheet = excelPackage.CreateSheet("PartData");
					AddHeader(
								sheet,
								("PxppartId"),
								("PartNo"),
								("LotNo"),
								("Fixlot"),
								("CaseNo"),
								("ModuleNo"),
								("ContainerNo"),
								("SupplierNo"),
								("UsageQty"),
								("PartName"),
								("CarfamilyCode"),
								("InvoiceParentId"),
								("PxpcaseId"),
								("OrderType"),
								("IsActive"),
							   );
					AddObjects(
						 sheet, 1, partdata,                                       
								_ =&gt; _.PxppartId,
								_ =&gt; _.PartNo,
								_ =&gt; _.LotNo,
								_ =&gt; _.Fixlot,
								_ =&gt; _.CaseNo,
								_ =&gt; _.ModuleNo,
								_ =&gt; _.ContainerNo,
								_ =&gt; _.SupplierNo,
								_ =&gt; _.UsageQty,
								_ =&gt; _.PartName,
								_ =&gt; _.CarfamilyCode,
								_ =&gt; _.InvoiceParentId,
								_ =&gt; _.PxpcaseId,
								_ =&gt; _.OrderType,
								_ =&gt; _.IsActive,
								);
			for (var i = 0; i &lt; 8; i++)
				{
					sheet.AutoSizeColumn(i);
				}
			});
        }
    }
}</v>
      </c>
      <c r="U7" s="28" t="str">
        <f>SUBSTITUTE(SUBSTITUTE(U1,"MstWptCalendar",$B$3),"Master",$B$4)</f>
        <v xml:space="preserve">  configuration.CreateMap&lt;LgwMwhPartDataDto, LgwMwhPartData&gt;();
  configuration.CreateMap&lt;LgwMwhPartData, LgwMwhPartDataDto&gt;();
  configuration.CreateMap&lt;CreateOrEditLgwMwhPartDataDto, LgwMwhPartData&gt;();</v>
      </c>
      <c r="V7" s="28"/>
      <c r="W7" s="28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20" t="s">
        <v>84</v>
      </c>
      <c r="W8" s="3"/>
    </row>
    <row r="9" spans="1:23" customFormat="1" ht="22.5" customHeight="1" x14ac:dyDescent="0.25">
      <c r="A9" t="s">
        <v>312</v>
      </c>
      <c r="B9" t="s">
        <v>0</v>
      </c>
      <c r="C9" t="s">
        <v>313</v>
      </c>
      <c r="D9" t="str">
        <f>SUBSTITUTE(PROPER(A9),"_","")</f>
        <v>PxppartId</v>
      </c>
      <c r="E9" t="str">
        <f t="shared" ref="E9:E11" si="0">IFERROR(LEFT(B9, FIND("(",B9)-1),B9)</f>
        <v>bigint</v>
      </c>
      <c r="F9" s="7"/>
      <c r="G9" t="str">
        <f t="shared" ref="G9:G11" si="1">IFERROR(MID(B9,FIND("(",B9) +1, FIND(")",B9) - FIND("(",B9) - 1),"")</f>
        <v/>
      </c>
      <c r="H9" t="str">
        <f>+VLOOKUP(E9,'Data Type Mapping'!A:B,2,)</f>
        <v>long</v>
      </c>
      <c r="I9" t="str">
        <f t="shared" ref="I9:I11" si="2">IF(H9="string",REPT(CHAR(9),2)&amp;"public const int Max"&amp;D9&amp;"Length = "&amp;G9&amp;";"&amp;$E$3,"" )</f>
        <v/>
      </c>
      <c r="J9" t="str">
        <f t="shared" ref="J9:J11" si="3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[Required]
		public virtual long PxppartId { get; set; }
</v>
      </c>
      <c r="K9" s="7" t="s">
        <v>206</v>
      </c>
      <c r="L9" t="str">
        <f>IF(K9="","",REPT(CHAR(9),1)&amp;"[Index(nameof("&amp;IF(D9="","",""&amp;D9)&amp;")"&amp;", Name="&amp;"""IX_"&amp;$B$7&amp;"_"&amp;D9&amp;""")]")</f>
        <v xml:space="preserve">	[Index(nameof(PxppartId), Name="IX_LgwMwhPartData_PxppartId")]</v>
      </c>
      <c r="M9" t="str">
        <f>REPT(CHAR(9),2)&amp;"public virtual "&amp;IF(OR(H9="DateTime",H9="TimeSpan"),H9&amp;"?",H9)&amp;IF(C9="?","? "," ")&amp;D9&amp;" { get; set; }" &amp; "
"</f>
        <v xml:space="preserve">		public virtual long PxppartId { get; set; }
</v>
      </c>
      <c r="N9" t="str">
        <f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[Required]
		public virtual long PxppartId { get; set; }
</v>
      </c>
      <c r="O9" t="str">
        <f>IF(OR(H9="string",H9="DateTime",H9="int"),REPT(CHAR(9),2)&amp;"public virtual "&amp;IF(OR(H9="DateTime",H9="TimeSpan"),H9&amp;"?",H9)&amp;IF(C9="?","? "," ")&amp;D9&amp;" { get; set; }"&amp;$E$3,"")</f>
        <v/>
      </c>
      <c r="P9" t="str">
        <f t="shared" ref="P9:P11" si="4">REPT(CHAR(9),7)&amp;D9&amp;" = o." &amp;D9 &amp;","</f>
        <v xml:space="preserve">							PxppartId = o.PxppartId,</v>
      </c>
      <c r="T9" s="69" t="str">
        <f>REPT(CHAR(9),8)&amp;"("""&amp;D9&amp;"""),"</f>
        <v xml:space="preserve">								("PxppartId"),</v>
      </c>
      <c r="V9" s="70" t="str">
        <f>REPT(CHAR(9),8)&amp;"_ =&gt; _."&amp;D9&amp;","</f>
        <v xml:space="preserve">								_ =&gt; _.PxppartId,</v>
      </c>
      <c r="W9" s="69" t="str">
        <f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/>
      </c>
    </row>
    <row r="10" spans="1:23" customFormat="1" ht="21" customHeight="1" x14ac:dyDescent="0.25">
      <c r="A10" t="s">
        <v>314</v>
      </c>
      <c r="B10" t="s">
        <v>315</v>
      </c>
      <c r="C10" t="s">
        <v>1</v>
      </c>
      <c r="D10" t="str">
        <f t="shared" ref="D10:D11" si="5">SUBSTITUTE(PROPER(A10),"_","")</f>
        <v>PartNo</v>
      </c>
      <c r="E10" t="str">
        <f t="shared" si="0"/>
        <v>nvarchar</v>
      </c>
      <c r="F10" s="7"/>
      <c r="G10" t="str">
        <f t="shared" si="1"/>
        <v>12</v>
      </c>
      <c r="H10" t="str">
        <f>+VLOOKUP(E10,'Data Type Mapping'!A:B,2,)</f>
        <v>string</v>
      </c>
      <c r="I10" t="str">
        <f t="shared" si="2"/>
        <v xml:space="preserve">		public const int MaxPartNoLength = 12;
</v>
      </c>
      <c r="J10" t="str">
        <f t="shared" si="3"/>
        <v xml:space="preserve">		[StringLength(MaxPartNoLength)]
		public virtual string PartNo { get; set; }
</v>
      </c>
      <c r="K10" s="7" t="s">
        <v>206</v>
      </c>
      <c r="L10" t="str">
        <f t="shared" ref="L10:L11" si="6">IF(K10="","",REPT(CHAR(9),1)&amp;"[Index(nameof("&amp;IF(D10="","",""&amp;D10)&amp;")"&amp;", Name="&amp;"""IX_"&amp;$B$7&amp;"_"&amp;D10&amp;""")]")</f>
        <v xml:space="preserve">	[Index(nameof(PartNo), Name="IX_LgwMwhPartData_PartNo")]</v>
      </c>
      <c r="M10" t="str">
        <f t="shared" ref="M10:M13" si="7">REPT(CHAR(9),2)&amp;"public virtual "&amp;IF(OR(H10="DateTime",H10="TimeSpan"),H10&amp;"?",H10)&amp;IF(C10="?","? "," ")&amp;D10&amp;" { get; set; }" &amp; "
"</f>
        <v xml:space="preserve">		public virtual string PartNo { get; set; }
</v>
      </c>
      <c r="N10" t="str">
        <f t="shared" ref="N10:N13" si="8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[StringLength(LgwMwhPartDataConsts.MaxPartNoLength)]
		public virtual string PartNo { get; set; }
</v>
      </c>
      <c r="O10" t="str">
        <f t="shared" ref="O10:O13" si="9">IF(OR(H10="string",H10="DateTime",H10="int"),REPT(CHAR(9),2)&amp;"public virtual "&amp;IF(OR(H10="DateTime",H10="TimeSpan"),H10&amp;"?",H10)&amp;IF(C10="?","? "," ")&amp;D10&amp;" { get; set; }"&amp;$E$3,"")</f>
        <v xml:space="preserve">		public virtual string PartNo { get; set; }
</v>
      </c>
      <c r="P10" t="str">
        <f t="shared" si="4"/>
        <v xml:space="preserve">							PartNo = o.PartNo,</v>
      </c>
      <c r="T10" s="69" t="str">
        <f t="shared" ref="T10:T13" si="10">REPT(CHAR(9),8)&amp;"("""&amp;D10&amp;"""),"</f>
        <v xml:space="preserve">								("PartNo"),</v>
      </c>
      <c r="V10" s="70" t="str">
        <f t="shared" ref="V10:V13" si="11">REPT(CHAR(9),8)&amp;"_ =&gt; _."&amp;D10&amp;","</f>
        <v xml:space="preserve">								_ =&gt; _.PartNo,</v>
      </c>
      <c r="W10" s="69" t="str">
        <f t="shared" ref="W10:W13" si="12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.WhereIf(!string.IsNullOrWhiteSpace(input.PartNo), e =&gt; e.PartNo.Contains(input.PartNo))</v>
      </c>
    </row>
    <row r="11" spans="1:23" customFormat="1" ht="18.75" customHeight="1" x14ac:dyDescent="0.25">
      <c r="A11" t="s">
        <v>307</v>
      </c>
      <c r="B11" t="s">
        <v>316</v>
      </c>
      <c r="C11" t="s">
        <v>1</v>
      </c>
      <c r="D11" t="str">
        <f t="shared" si="5"/>
        <v>LotNo</v>
      </c>
      <c r="E11" t="str">
        <f t="shared" si="0"/>
        <v>nvarchar</v>
      </c>
      <c r="F11" s="7"/>
      <c r="G11" t="str">
        <f t="shared" si="1"/>
        <v>10</v>
      </c>
      <c r="H11" t="str">
        <f>+VLOOKUP(E11,'Data Type Mapping'!A:B,2,)</f>
        <v>string</v>
      </c>
      <c r="I11" t="str">
        <f t="shared" si="2"/>
        <v xml:space="preserve">		public const int MaxLotNoLength = 10;
</v>
      </c>
      <c r="J11" t="str">
        <f t="shared" si="3"/>
        <v xml:space="preserve">		[StringLength(MaxLotNoLength)]
		public virtual string LotNo { get; set; }
</v>
      </c>
      <c r="K11" s="7"/>
      <c r="L11" t="str">
        <f t="shared" si="6"/>
        <v/>
      </c>
      <c r="M11" t="str">
        <f t="shared" si="7"/>
        <v xml:space="preserve">		public virtual string LotNo { get; set; }
</v>
      </c>
      <c r="N11" t="str">
        <f t="shared" si="8"/>
        <v xml:space="preserve">		[StringLength(LgwMwhPartDataConsts.MaxLotNoLength)]
		public virtual string LotNo { get; set; }
</v>
      </c>
      <c r="O11" t="str">
        <f t="shared" si="9"/>
        <v xml:space="preserve">		public virtual string LotNo { get; set; }
</v>
      </c>
      <c r="P11" t="str">
        <f t="shared" si="4"/>
        <v xml:space="preserve">							LotNo = o.LotNo,</v>
      </c>
      <c r="T11" s="69" t="str">
        <f t="shared" si="10"/>
        <v xml:space="preserve">								("LotNo"),</v>
      </c>
      <c r="V11" s="70" t="str">
        <f t="shared" si="11"/>
        <v xml:space="preserve">								_ =&gt; _.LotNo,</v>
      </c>
      <c r="W11" s="69" t="str">
        <f t="shared" si="12"/>
        <v xml:space="preserve">				.WhereIf(!string.IsNullOrWhiteSpace(input.LotNo), e =&gt; e.LotNo.Contains(input.LotNo))</v>
      </c>
    </row>
    <row r="12" spans="1:23" customFormat="1" ht="22.5" customHeight="1" x14ac:dyDescent="0.25">
      <c r="A12" t="s">
        <v>317</v>
      </c>
      <c r="B12" t="s">
        <v>318</v>
      </c>
      <c r="C12" t="s">
        <v>1</v>
      </c>
      <c r="D12" t="str">
        <f>SUBSTITUTE(PROPER(A12),"_","")</f>
        <v>Fixlot</v>
      </c>
      <c r="E12" t="str">
        <f t="shared" ref="E12:E13" si="13">IFERROR(LEFT(B12, FIND("(",B12)-1),B12)</f>
        <v>nvarchar</v>
      </c>
      <c r="F12" s="7"/>
      <c r="G12" t="str">
        <f t="shared" ref="G12:G13" si="14">IFERROR(MID(B12,FIND("(",B12) +1, FIND(")",B12) - FIND("(",B12) - 1),"")</f>
        <v>4</v>
      </c>
      <c r="H12" t="str">
        <f>+VLOOKUP(E12,'Data Type Mapping'!A:B,2,)</f>
        <v>string</v>
      </c>
      <c r="I12" t="str">
        <f t="shared" ref="I12:I13" si="15">IF(H12="string",REPT(CHAR(9),2)&amp;"public const int Max"&amp;D12&amp;"Length = "&amp;G12&amp;";"&amp;$E$3,"" )</f>
        <v xml:space="preserve">		public const int MaxFixlotLength = 4;
</v>
      </c>
      <c r="J12" t="str">
        <f t="shared" ref="J12:J13" si="16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[StringLength(MaxFixlotLength)]
		public virtual string Fixlot { get; set; }
</v>
      </c>
      <c r="K12" s="7"/>
      <c r="L12" t="str">
        <f>IF(K12="","",REPT(CHAR(9),1)&amp;"[Index(nameof("&amp;IF(D12="","",""&amp;D12)&amp;")"&amp;", Name="&amp;"""IX_"&amp;$B$7&amp;"_"&amp;D12&amp;""")]")</f>
        <v/>
      </c>
      <c r="M12" t="str">
        <f t="shared" si="7"/>
        <v xml:space="preserve">		public virtual string Fixlot { get; set; }
</v>
      </c>
      <c r="N12" t="str">
        <f t="shared" si="8"/>
        <v xml:space="preserve">		[StringLength(LgwMwhPartDataConsts.MaxFixlotLength)]
		public virtual string Fixlot { get; set; }
</v>
      </c>
      <c r="O12" t="str">
        <f t="shared" si="9"/>
        <v xml:space="preserve">		public virtual string Fixlot { get; set; }
</v>
      </c>
      <c r="P12" t="str">
        <f t="shared" ref="P12:P13" si="17">REPT(CHAR(9),7)&amp;D12&amp;" = o." &amp;D12 &amp;","</f>
        <v xml:space="preserve">							Fixlot = o.Fixlot,</v>
      </c>
      <c r="T12" s="69" t="str">
        <f t="shared" si="10"/>
        <v xml:space="preserve">								("Fixlot"),</v>
      </c>
      <c r="V12" s="70" t="str">
        <f t="shared" si="11"/>
        <v xml:space="preserve">								_ =&gt; _.Fixlot,</v>
      </c>
      <c r="W12" s="69" t="str">
        <f t="shared" si="12"/>
        <v xml:space="preserve">				.WhereIf(!string.IsNullOrWhiteSpace(input.Fixlot), e =&gt; e.Fixlot.Contains(input.Fixlot))</v>
      </c>
    </row>
    <row r="13" spans="1:23" customFormat="1" ht="21" customHeight="1" x14ac:dyDescent="0.25">
      <c r="A13" t="s">
        <v>306</v>
      </c>
      <c r="B13" t="s">
        <v>319</v>
      </c>
      <c r="C13" t="s">
        <v>1</v>
      </c>
      <c r="D13" t="str">
        <f t="shared" ref="D13" si="18">SUBSTITUTE(PROPER(A13),"_","")</f>
        <v>CaseNo</v>
      </c>
      <c r="E13" t="str">
        <f t="shared" si="13"/>
        <v>nvarchar</v>
      </c>
      <c r="F13" s="7"/>
      <c r="G13" t="str">
        <f t="shared" si="14"/>
        <v>30</v>
      </c>
      <c r="H13" t="str">
        <f>+VLOOKUP(E13,'Data Type Mapping'!A:B,2,)</f>
        <v>string</v>
      </c>
      <c r="I13" t="str">
        <f t="shared" si="15"/>
        <v xml:space="preserve">		public const int MaxCaseNoLength = 30;
</v>
      </c>
      <c r="J13" t="str">
        <f t="shared" si="16"/>
        <v xml:space="preserve">		[StringLength(MaxCaseNoLength)]
		public virtual string CaseNo { get; set; }
</v>
      </c>
      <c r="K13" s="7" t="s">
        <v>206</v>
      </c>
      <c r="L13" t="str">
        <f t="shared" ref="L13" si="19">IF(K13="","",REPT(CHAR(9),1)&amp;"[Index(nameof("&amp;IF(D13="","",""&amp;D13)&amp;")"&amp;", Name="&amp;"""IX_"&amp;$B$7&amp;"_"&amp;D13&amp;""")]")</f>
        <v xml:space="preserve">	[Index(nameof(CaseNo), Name="IX_LgwMwhPartData_CaseNo")]</v>
      </c>
      <c r="M13" t="str">
        <f t="shared" si="7"/>
        <v xml:space="preserve">		public virtual string CaseNo { get; set; }
</v>
      </c>
      <c r="N13" t="str">
        <f t="shared" si="8"/>
        <v xml:space="preserve">		[StringLength(LgwMwhPartDataConsts.MaxCaseNoLength)]
		public virtual string CaseNo { get; set; }
</v>
      </c>
      <c r="O13" t="str">
        <f t="shared" si="9"/>
        <v xml:space="preserve">		public virtual string CaseNo { get; set; }
</v>
      </c>
      <c r="P13" t="str">
        <f t="shared" si="17"/>
        <v xml:space="preserve">							CaseNo = o.CaseNo,</v>
      </c>
      <c r="T13" s="69" t="str">
        <f t="shared" si="10"/>
        <v xml:space="preserve">								("CaseNo"),</v>
      </c>
      <c r="V13" s="70" t="str">
        <f t="shared" si="11"/>
        <v xml:space="preserve">								_ =&gt; _.CaseNo,</v>
      </c>
      <c r="W13" s="69" t="str">
        <f t="shared" si="12"/>
        <v xml:space="preserve">				.WhereIf(!string.IsNullOrWhiteSpace(input.CaseNo), e =&gt; e.CaseNo.Contains(input.CaseNo))</v>
      </c>
    </row>
    <row r="14" spans="1:23" customFormat="1" ht="22.5" customHeight="1" x14ac:dyDescent="0.25">
      <c r="A14" t="s">
        <v>320</v>
      </c>
      <c r="B14" t="s">
        <v>319</v>
      </c>
      <c r="C14" t="s">
        <v>1</v>
      </c>
      <c r="D14" t="str">
        <f>SUBSTITUTE(PROPER(A14),"_","")</f>
        <v>ModuleNo</v>
      </c>
      <c r="E14" t="str">
        <f t="shared" ref="E14:E23" si="20">IFERROR(LEFT(B14, FIND("(",B14)-1),B14)</f>
        <v>nvarchar</v>
      </c>
      <c r="F14" s="7"/>
      <c r="G14" t="str">
        <f t="shared" ref="G14:G23" si="21">IFERROR(MID(B14,FIND("(",B14) +1, FIND(")",B14) - FIND("(",B14) - 1),"")</f>
        <v>30</v>
      </c>
      <c r="H14" t="str">
        <f>+VLOOKUP(E14,'Data Type Mapping'!A:B,2,)</f>
        <v>string</v>
      </c>
      <c r="I14" t="str">
        <f t="shared" ref="I14:I23" si="22">IF(H14="string",REPT(CHAR(9),2)&amp;"public const int Max"&amp;D14&amp;"Length = "&amp;G14&amp;";"&amp;$E$3,"" )</f>
        <v xml:space="preserve">		public const int MaxModuleNoLength = 30;
</v>
      </c>
      <c r="J14" t="str">
        <f t="shared" ref="J14:J23" si="23">IF(F14="","",REPT(CHAR(9),2)&amp;"[Column(TypeName="""&amp;F14&amp;""")]"&amp;$E$3)&amp;IF(C14="Checked","",$I$3)&amp;IF(H14="string",REPT(CHAR(9),2)&amp;"[StringLength(Max"&amp;D14&amp;"Length"&amp;")]"&amp;$E$3,"")&amp;REPT(CHAR(9),2)&amp;"public virtual "&amp;H14&amp;IF(C14="?","? "," ")&amp;D14&amp;" { get; set; }" &amp; "
"</f>
        <v xml:space="preserve">		[StringLength(MaxModuleNoLength)]
		public virtual string ModuleNo { get; set; }
</v>
      </c>
      <c r="K14" s="7" t="s">
        <v>206</v>
      </c>
      <c r="L14" t="str">
        <f>IF(K14="","",REPT(CHAR(9),1)&amp;"[Index(nameof("&amp;IF(D14="","",""&amp;D14)&amp;")"&amp;", Name="&amp;"""IX_"&amp;$B$7&amp;"_"&amp;D14&amp;""")]")</f>
        <v xml:space="preserve">	[Index(nameof(ModuleNo), Name="IX_LgwMwhPartData_ModuleNo")]</v>
      </c>
      <c r="M14" t="str">
        <f t="shared" ref="M14:M23" si="24">REPT(CHAR(9),2)&amp;"public virtual "&amp;IF(OR(H14="DateTime",H14="TimeSpan"),H14&amp;"?",H14)&amp;IF(C14="?","? "," ")&amp;D14&amp;" { get; set; }" &amp; "
"</f>
        <v xml:space="preserve">		public virtual string ModuleNo { get; set; }
</v>
      </c>
      <c r="N14" t="str">
        <f t="shared" ref="N14:N23" si="25">IF(C14="Checked","",$I$3)&amp;IF(H14="string",REPT(CHAR(9),2)&amp;"[StringLength("&amp;$B$3&amp;"Consts.Max"&amp;D14&amp;"Length"&amp;")]"&amp;$E$3,"")&amp;REPT(CHAR(9),2)&amp;"public virtual "&amp;IF(OR(H14="DateTime",H14="TimeSpan"),H14&amp;"?",H14)&amp;IF(C14="?","? "," ")&amp;D14&amp;" { get; set; }" &amp; "
"</f>
        <v xml:space="preserve">		[StringLength(LgwMwhPartDataConsts.MaxModuleNoLength)]
		public virtual string ModuleNo { get; set; }
</v>
      </c>
      <c r="O14" t="str">
        <f t="shared" ref="O14:O23" si="26">IF(OR(H14="string",H14="DateTime",H14="int"),REPT(CHAR(9),2)&amp;"public virtual "&amp;IF(OR(H14="DateTime",H14="TimeSpan"),H14&amp;"?",H14)&amp;IF(C14="?","? "," ")&amp;D14&amp;" { get; set; }"&amp;$E$3,"")</f>
        <v xml:space="preserve">		public virtual string ModuleNo { get; set; }
</v>
      </c>
      <c r="P14" t="str">
        <f t="shared" ref="P14:P23" si="27">REPT(CHAR(9),7)&amp;D14&amp;" = o." &amp;D14 &amp;","</f>
        <v xml:space="preserve">							ModuleNo = o.ModuleNo,</v>
      </c>
      <c r="T14" s="69" t="str">
        <f t="shared" ref="T14:T23" si="28">REPT(CHAR(9),8)&amp;"("""&amp;D14&amp;"""),"</f>
        <v xml:space="preserve">								("ModuleNo"),</v>
      </c>
      <c r="V14" s="70" t="str">
        <f t="shared" ref="V14:V23" si="29">REPT(CHAR(9),8)&amp;"_ =&gt; _."&amp;D14&amp;","</f>
        <v xml:space="preserve">								_ =&gt; _.ModuleNo,</v>
      </c>
      <c r="W14" s="69" t="str">
        <f t="shared" ref="W14:W23" si="30">IF(H14="string",REPT(CHAR(9),4)&amp;".WhereIf(!string.IsNullOrWhiteSpace(input."&amp;D14&amp;"), e =&gt; e."&amp;D14&amp;".Contains(input."&amp;D14&amp;"))",IF(H14="DateTime",REPT(CHAR(9),4)&amp;".WhereIf(input."&amp;D14&amp;".HasValue, t =&gt; t."&amp;D14&amp;" == input."&amp;D14&amp;".Value)",""))</f>
        <v xml:space="preserve">				.WhereIf(!string.IsNullOrWhiteSpace(input.ModuleNo), e =&gt; e.ModuleNo.Contains(input.ModuleNo))</v>
      </c>
    </row>
    <row r="15" spans="1:23" customFormat="1" ht="21" customHeight="1" x14ac:dyDescent="0.25">
      <c r="A15" t="s">
        <v>308</v>
      </c>
      <c r="B15" t="s">
        <v>321</v>
      </c>
      <c r="C15" t="s">
        <v>1</v>
      </c>
      <c r="D15" t="str">
        <f t="shared" ref="D15:D16" si="31">SUBSTITUTE(PROPER(A15),"_","")</f>
        <v>ContainerNo</v>
      </c>
      <c r="E15" t="str">
        <f t="shared" si="20"/>
        <v>nvarchar</v>
      </c>
      <c r="F15" s="7"/>
      <c r="G15" t="str">
        <f t="shared" si="21"/>
        <v>15</v>
      </c>
      <c r="H15" t="str">
        <f>+VLOOKUP(E15,'Data Type Mapping'!A:B,2,)</f>
        <v>string</v>
      </c>
      <c r="I15" t="str">
        <f t="shared" si="22"/>
        <v xml:space="preserve">		public const int MaxContainerNoLength = 15;
</v>
      </c>
      <c r="J15" t="str">
        <f t="shared" si="23"/>
        <v xml:space="preserve">		[StringLength(MaxContainerNoLength)]
		public virtual string ContainerNo { get; set; }
</v>
      </c>
      <c r="K15" s="7" t="s">
        <v>206</v>
      </c>
      <c r="L15" t="str">
        <f t="shared" ref="L15:L16" si="32">IF(K15="","",REPT(CHAR(9),1)&amp;"[Index(nameof("&amp;IF(D15="","",""&amp;D15)&amp;")"&amp;", Name="&amp;"""IX_"&amp;$B$7&amp;"_"&amp;D15&amp;""")]")</f>
        <v xml:space="preserve">	[Index(nameof(ContainerNo), Name="IX_LgwMwhPartData_ContainerNo")]</v>
      </c>
      <c r="M15" t="str">
        <f t="shared" si="24"/>
        <v xml:space="preserve">		public virtual string ContainerNo { get; set; }
</v>
      </c>
      <c r="N15" t="str">
        <f t="shared" si="25"/>
        <v xml:space="preserve">		[StringLength(LgwMwhPartDataConsts.MaxContainerNoLength)]
		public virtual string ContainerNo { get; set; }
</v>
      </c>
      <c r="O15" t="str">
        <f t="shared" si="26"/>
        <v xml:space="preserve">		public virtual string ContainerNo { get; set; }
</v>
      </c>
      <c r="P15" t="str">
        <f t="shared" si="27"/>
        <v xml:space="preserve">							ContainerNo = o.ContainerNo,</v>
      </c>
      <c r="T15" s="69" t="str">
        <f t="shared" si="28"/>
        <v xml:space="preserve">								("ContainerNo"),</v>
      </c>
      <c r="V15" s="70" t="str">
        <f t="shared" si="29"/>
        <v xml:space="preserve">								_ =&gt; _.ContainerNo,</v>
      </c>
      <c r="W15" s="69" t="str">
        <f t="shared" si="30"/>
        <v xml:space="preserve">				.WhereIf(!string.IsNullOrWhiteSpace(input.ContainerNo), e =&gt; e.ContainerNo.Contains(input.ContainerNo))</v>
      </c>
    </row>
    <row r="16" spans="1:23" customFormat="1" ht="18.75" customHeight="1" x14ac:dyDescent="0.25">
      <c r="A16" t="s">
        <v>301</v>
      </c>
      <c r="B16" t="s">
        <v>316</v>
      </c>
      <c r="C16" t="s">
        <v>1</v>
      </c>
      <c r="D16" t="str">
        <f t="shared" si="31"/>
        <v>SupplierNo</v>
      </c>
      <c r="E16" t="str">
        <f t="shared" si="20"/>
        <v>nvarchar</v>
      </c>
      <c r="F16" s="7"/>
      <c r="G16" t="str">
        <f t="shared" si="21"/>
        <v>10</v>
      </c>
      <c r="H16" t="str">
        <f>+VLOOKUP(E16,'Data Type Mapping'!A:B,2,)</f>
        <v>string</v>
      </c>
      <c r="I16" t="str">
        <f t="shared" si="22"/>
        <v xml:space="preserve">		public const int MaxSupplierNoLength = 10;
</v>
      </c>
      <c r="J16" t="str">
        <f t="shared" si="23"/>
        <v xml:space="preserve">		[StringLength(MaxSupplierNoLength)]
		public virtual string SupplierNo { get; set; }
</v>
      </c>
      <c r="K16" s="7" t="s">
        <v>206</v>
      </c>
      <c r="L16" t="str">
        <f t="shared" si="32"/>
        <v xml:space="preserve">	[Index(nameof(SupplierNo), Name="IX_LgwMwhPartData_SupplierNo")]</v>
      </c>
      <c r="M16" t="str">
        <f t="shared" si="24"/>
        <v xml:space="preserve">		public virtual string SupplierNo { get; set; }
</v>
      </c>
      <c r="N16" t="str">
        <f t="shared" si="25"/>
        <v xml:space="preserve">		[StringLength(LgwMwhPartDataConsts.MaxSupplierNoLength)]
		public virtual string SupplierNo { get; set; }
</v>
      </c>
      <c r="O16" t="str">
        <f t="shared" si="26"/>
        <v xml:space="preserve">		public virtual string SupplierNo { get; set; }
</v>
      </c>
      <c r="P16" t="str">
        <f t="shared" si="27"/>
        <v xml:space="preserve">							SupplierNo = o.SupplierNo,</v>
      </c>
      <c r="T16" s="69" t="str">
        <f t="shared" si="28"/>
        <v xml:space="preserve">								("SupplierNo"),</v>
      </c>
      <c r="V16" s="70" t="str">
        <f t="shared" si="29"/>
        <v xml:space="preserve">								_ =&gt; _.SupplierNo,</v>
      </c>
      <c r="W16" s="69" t="str">
        <f t="shared" si="30"/>
        <v xml:space="preserve">				.WhereIf(!string.IsNullOrWhiteSpace(input.SupplierNo), e =&gt; e.SupplierNo.Contains(input.SupplierNo))</v>
      </c>
    </row>
    <row r="17" spans="1:23" customFormat="1" ht="22.5" customHeight="1" x14ac:dyDescent="0.25">
      <c r="A17" t="s">
        <v>322</v>
      </c>
      <c r="B17" t="s">
        <v>323</v>
      </c>
      <c r="C17" t="s">
        <v>1</v>
      </c>
      <c r="D17" t="str">
        <f>SUBSTITUTE(PROPER(A17),"_","")</f>
        <v>UsageQty</v>
      </c>
      <c r="E17" t="str">
        <f t="shared" si="20"/>
        <v>numeric</v>
      </c>
      <c r="F17" s="7"/>
      <c r="G17" t="str">
        <f t="shared" si="21"/>
        <v>6, 0</v>
      </c>
      <c r="H17" t="str">
        <f>+VLOOKUP(E17,'Data Type Mapping'!A:B,2,)</f>
        <v>decimal</v>
      </c>
      <c r="I17" t="str">
        <f t="shared" si="22"/>
        <v/>
      </c>
      <c r="J17" t="str">
        <f t="shared" si="23"/>
        <v xml:space="preserve">		public virtual decimal UsageQty { get; set; }
</v>
      </c>
      <c r="K17" s="7"/>
      <c r="L17" t="str">
        <f>IF(K17="","",REPT(CHAR(9),1)&amp;"[Index(nameof("&amp;IF(D17="","",""&amp;D17)&amp;")"&amp;", Name="&amp;"""IX_"&amp;$B$7&amp;"_"&amp;D17&amp;""")]")</f>
        <v/>
      </c>
      <c r="M17" t="str">
        <f t="shared" si="24"/>
        <v xml:space="preserve">		public virtual decimal UsageQty { get; set; }
</v>
      </c>
      <c r="N17" t="str">
        <f t="shared" si="25"/>
        <v xml:space="preserve">		public virtual decimal UsageQty { get; set; }
</v>
      </c>
      <c r="O17" t="str">
        <f t="shared" si="26"/>
        <v/>
      </c>
      <c r="P17" t="str">
        <f t="shared" si="27"/>
        <v xml:space="preserve">							UsageQty = o.UsageQty,</v>
      </c>
      <c r="T17" s="69" t="str">
        <f t="shared" si="28"/>
        <v xml:space="preserve">								("UsageQty"),</v>
      </c>
      <c r="V17" s="70" t="str">
        <f t="shared" si="29"/>
        <v xml:space="preserve">								_ =&gt; _.UsageQty,</v>
      </c>
      <c r="W17" s="69" t="str">
        <f t="shared" si="30"/>
        <v/>
      </c>
    </row>
    <row r="18" spans="1:23" customFormat="1" ht="21" customHeight="1" x14ac:dyDescent="0.25">
      <c r="A18" t="s">
        <v>324</v>
      </c>
      <c r="B18" t="s">
        <v>325</v>
      </c>
      <c r="C18" t="s">
        <v>1</v>
      </c>
      <c r="D18" t="str">
        <f t="shared" ref="D18" si="33">SUBSTITUTE(PROPER(A18),"_","")</f>
        <v>PartName</v>
      </c>
      <c r="E18" t="str">
        <f t="shared" si="20"/>
        <v>nvarchar</v>
      </c>
      <c r="F18" s="7"/>
      <c r="G18" t="str">
        <f t="shared" si="21"/>
        <v>300</v>
      </c>
      <c r="H18" t="str">
        <f>+VLOOKUP(E18,'Data Type Mapping'!A:B,2,)</f>
        <v>string</v>
      </c>
      <c r="I18" t="str">
        <f t="shared" si="22"/>
        <v xml:space="preserve">		public const int MaxPartNameLength = 300;
</v>
      </c>
      <c r="J18" t="str">
        <f t="shared" si="23"/>
        <v xml:space="preserve">		[StringLength(MaxPartNameLength)]
		public virtual string PartName { get; set; }
</v>
      </c>
      <c r="K18" s="7"/>
      <c r="L18" t="str">
        <f t="shared" ref="L18" si="34">IF(K18="","",REPT(CHAR(9),1)&amp;"[Index(nameof("&amp;IF(D18="","",""&amp;D18)&amp;")"&amp;", Name="&amp;"""IX_"&amp;$B$7&amp;"_"&amp;D18&amp;""")]")</f>
        <v/>
      </c>
      <c r="M18" t="str">
        <f t="shared" si="24"/>
        <v xml:space="preserve">		public virtual string PartName { get; set; }
</v>
      </c>
      <c r="N18" t="str">
        <f t="shared" si="25"/>
        <v xml:space="preserve">		[StringLength(LgwMwhPartDataConsts.MaxPartNameLength)]
		public virtual string PartName { get; set; }
</v>
      </c>
      <c r="O18" t="str">
        <f t="shared" si="26"/>
        <v xml:space="preserve">		public virtual string PartName { get; set; }
</v>
      </c>
      <c r="P18" t="str">
        <f t="shared" si="27"/>
        <v xml:space="preserve">							PartName = o.PartName,</v>
      </c>
      <c r="T18" s="69" t="str">
        <f t="shared" si="28"/>
        <v xml:space="preserve">								("PartName"),</v>
      </c>
      <c r="V18" s="70" t="str">
        <f t="shared" si="29"/>
        <v xml:space="preserve">								_ =&gt; _.PartName,</v>
      </c>
      <c r="W18" s="69" t="str">
        <f t="shared" si="30"/>
        <v xml:space="preserve">				.WhereIf(!string.IsNullOrWhiteSpace(input.PartName), e =&gt; e.PartName.Contains(input.PartName))</v>
      </c>
    </row>
    <row r="19" spans="1:23" customFormat="1" ht="22.5" customHeight="1" x14ac:dyDescent="0.25">
      <c r="A19" t="s">
        <v>326</v>
      </c>
      <c r="B19" t="s">
        <v>318</v>
      </c>
      <c r="C19" t="s">
        <v>1</v>
      </c>
      <c r="D19" t="str">
        <f>SUBSTITUTE(PROPER(A19),"_","")</f>
        <v>CarfamilyCode</v>
      </c>
      <c r="E19" t="str">
        <f t="shared" ref="E19:E22" si="35">IFERROR(LEFT(B19, FIND("(",B19)-1),B19)</f>
        <v>nvarchar</v>
      </c>
      <c r="F19" s="7"/>
      <c r="G19" t="str">
        <f t="shared" ref="G19:G22" si="36">IFERROR(MID(B19,FIND("(",B19) +1, FIND(")",B19) - FIND("(",B19) - 1),"")</f>
        <v>4</v>
      </c>
      <c r="H19" t="str">
        <f>+VLOOKUP(E19,'Data Type Mapping'!A:B,2,)</f>
        <v>string</v>
      </c>
      <c r="I19" t="str">
        <f t="shared" ref="I19:I22" si="37">IF(H19="string",REPT(CHAR(9),2)&amp;"public const int Max"&amp;D19&amp;"Length = "&amp;G19&amp;";"&amp;$E$3,"" )</f>
        <v xml:space="preserve">		public const int MaxCarfamilyCodeLength = 4;
</v>
      </c>
      <c r="J19" t="str">
        <f t="shared" ref="J19:J22" si="38">IF(F19="","",REPT(CHAR(9),2)&amp;"[Column(TypeName="""&amp;F19&amp;""")]"&amp;$E$3)&amp;IF(C19="Checked","",$I$3)&amp;IF(H19="string",REPT(CHAR(9),2)&amp;"[StringLength(Max"&amp;D19&amp;"Length"&amp;")]"&amp;$E$3,"")&amp;REPT(CHAR(9),2)&amp;"public virtual "&amp;H19&amp;IF(C19="?","? "," ")&amp;D19&amp;" { get; set; }" &amp; "
"</f>
        <v xml:space="preserve">		[StringLength(MaxCarfamilyCodeLength)]
		public virtual string CarfamilyCode { get; set; }
</v>
      </c>
      <c r="K19" s="7"/>
      <c r="L19" t="str">
        <f>IF(K19="","",REPT(CHAR(9),1)&amp;"[Index(nameof("&amp;IF(D19="","",""&amp;D19)&amp;")"&amp;", Name="&amp;"""IX_"&amp;$B$7&amp;"_"&amp;D19&amp;""")]")</f>
        <v/>
      </c>
      <c r="M19" t="str">
        <f t="shared" ref="M19:M22" si="39">REPT(CHAR(9),2)&amp;"public virtual "&amp;IF(OR(H19="DateTime",H19="TimeSpan"),H19&amp;"?",H19)&amp;IF(C19="?","? "," ")&amp;D19&amp;" { get; set; }" &amp; "
"</f>
        <v xml:space="preserve">		public virtual string CarfamilyCode { get; set; }
</v>
      </c>
      <c r="N19" t="str">
        <f t="shared" ref="N19:N22" si="40">IF(C19="Checked","",$I$3)&amp;IF(H19="string",REPT(CHAR(9),2)&amp;"[StringLength("&amp;$B$3&amp;"Consts.Max"&amp;D19&amp;"Length"&amp;")]"&amp;$E$3,"")&amp;REPT(CHAR(9),2)&amp;"public virtual "&amp;IF(OR(H19="DateTime",H19="TimeSpan"),H19&amp;"?",H19)&amp;IF(C19="?","? "," ")&amp;D19&amp;" { get; set; }" &amp; "
"</f>
        <v xml:space="preserve">		[StringLength(LgwMwhPartDataConsts.MaxCarfamilyCodeLength)]
		public virtual string CarfamilyCode { get; set; }
</v>
      </c>
      <c r="O19" t="str">
        <f t="shared" ref="O19:O22" si="41">IF(OR(H19="string",H19="DateTime",H19="int"),REPT(CHAR(9),2)&amp;"public virtual "&amp;IF(OR(H19="DateTime",H19="TimeSpan"),H19&amp;"?",H19)&amp;IF(C19="?","? "," ")&amp;D19&amp;" { get; set; }"&amp;$E$3,"")</f>
        <v xml:space="preserve">		public virtual string CarfamilyCode { get; set; }
</v>
      </c>
      <c r="P19" t="str">
        <f t="shared" ref="P19:P22" si="42">REPT(CHAR(9),7)&amp;D19&amp;" = o." &amp;D19 &amp;","</f>
        <v xml:space="preserve">							CarfamilyCode = o.CarfamilyCode,</v>
      </c>
      <c r="T19" s="69" t="str">
        <f t="shared" ref="T19:T22" si="43">REPT(CHAR(9),8)&amp;"("""&amp;D19&amp;"""),"</f>
        <v xml:space="preserve">								("CarfamilyCode"),</v>
      </c>
      <c r="V19" s="70" t="str">
        <f t="shared" ref="V19:V22" si="44">REPT(CHAR(9),8)&amp;"_ =&gt; _."&amp;D19&amp;","</f>
        <v xml:space="preserve">								_ =&gt; _.CarfamilyCode,</v>
      </c>
      <c r="W19" s="69" t="str">
        <f t="shared" ref="W19:W22" si="45">IF(H19="string",REPT(CHAR(9),4)&amp;".WhereIf(!string.IsNullOrWhiteSpace(input."&amp;D19&amp;"), e =&gt; e."&amp;D19&amp;".Contains(input."&amp;D19&amp;"))",IF(H19="DateTime",REPT(CHAR(9),4)&amp;".WhereIf(input."&amp;D19&amp;".HasValue, t =&gt; t."&amp;D19&amp;" == input."&amp;D19&amp;".Value)",""))</f>
        <v xml:space="preserve">				.WhereIf(!string.IsNullOrWhiteSpace(input.CarfamilyCode), e =&gt; e.CarfamilyCode.Contains(input.CarfamilyCode))</v>
      </c>
    </row>
    <row r="20" spans="1:23" customFormat="1" ht="21" customHeight="1" x14ac:dyDescent="0.25">
      <c r="A20" t="s">
        <v>327</v>
      </c>
      <c r="B20" t="s">
        <v>0</v>
      </c>
      <c r="C20" t="s">
        <v>1</v>
      </c>
      <c r="D20" t="str">
        <f t="shared" ref="D20:D21" si="46">SUBSTITUTE(PROPER(A20),"_","")</f>
        <v>InvoiceParentId</v>
      </c>
      <c r="E20" t="str">
        <f t="shared" si="35"/>
        <v>bigint</v>
      </c>
      <c r="F20" s="7"/>
      <c r="G20" t="str">
        <f t="shared" si="36"/>
        <v/>
      </c>
      <c r="H20" t="str">
        <f>+VLOOKUP(E20,'Data Type Mapping'!A:B,2,)</f>
        <v>long</v>
      </c>
      <c r="I20" t="str">
        <f t="shared" si="37"/>
        <v/>
      </c>
      <c r="J20" t="str">
        <f t="shared" si="38"/>
        <v xml:space="preserve">		public virtual long InvoiceParentId { get; set; }
</v>
      </c>
      <c r="K20" s="7"/>
      <c r="L20" t="str">
        <f t="shared" ref="L20:L21" si="47">IF(K20="","",REPT(CHAR(9),1)&amp;"[Index(nameof("&amp;IF(D20="","",""&amp;D20)&amp;")"&amp;", Name="&amp;"""IX_"&amp;$B$7&amp;"_"&amp;D20&amp;""")]")</f>
        <v/>
      </c>
      <c r="M20" t="str">
        <f t="shared" si="39"/>
        <v xml:space="preserve">		public virtual long InvoiceParentId { get; set; }
</v>
      </c>
      <c r="N20" t="str">
        <f t="shared" si="40"/>
        <v xml:space="preserve">		public virtual long InvoiceParentId { get; set; }
</v>
      </c>
      <c r="O20" t="str">
        <f t="shared" si="41"/>
        <v/>
      </c>
      <c r="P20" t="str">
        <f t="shared" si="42"/>
        <v xml:space="preserve">							InvoiceParentId = o.InvoiceParentId,</v>
      </c>
      <c r="T20" s="69" t="str">
        <f t="shared" si="43"/>
        <v xml:space="preserve">								("InvoiceParentId"),</v>
      </c>
      <c r="V20" s="70" t="str">
        <f t="shared" si="44"/>
        <v xml:space="preserve">								_ =&gt; _.InvoiceParentId,</v>
      </c>
      <c r="W20" s="69" t="str">
        <f t="shared" si="45"/>
        <v/>
      </c>
    </row>
    <row r="21" spans="1:23" customFormat="1" ht="18.75" customHeight="1" x14ac:dyDescent="0.25">
      <c r="A21" t="s">
        <v>328</v>
      </c>
      <c r="B21" t="s">
        <v>0</v>
      </c>
      <c r="C21" t="s">
        <v>313</v>
      </c>
      <c r="D21" t="str">
        <f t="shared" si="46"/>
        <v>PxpcaseId</v>
      </c>
      <c r="E21" t="str">
        <f t="shared" si="35"/>
        <v>bigint</v>
      </c>
      <c r="F21" s="7"/>
      <c r="G21" t="str">
        <f t="shared" si="36"/>
        <v/>
      </c>
      <c r="H21" t="str">
        <f>+VLOOKUP(E21,'Data Type Mapping'!A:B,2,)</f>
        <v>long</v>
      </c>
      <c r="I21" t="str">
        <f t="shared" si="37"/>
        <v/>
      </c>
      <c r="J21" t="str">
        <f t="shared" si="38"/>
        <v xml:space="preserve">		[Required]
		public virtual long PxpcaseId { get; set; }
</v>
      </c>
      <c r="K21" s="7" t="s">
        <v>206</v>
      </c>
      <c r="L21" t="str">
        <f t="shared" si="47"/>
        <v xml:space="preserve">	[Index(nameof(PxpcaseId), Name="IX_LgwMwhPartData_PxpcaseId")]</v>
      </c>
      <c r="M21" t="str">
        <f t="shared" si="39"/>
        <v xml:space="preserve">		public virtual long PxpcaseId { get; set; }
</v>
      </c>
      <c r="N21" t="str">
        <f t="shared" si="40"/>
        <v xml:space="preserve">		[Required]
		public virtual long PxpcaseId { get; set; }
</v>
      </c>
      <c r="O21" t="str">
        <f t="shared" si="41"/>
        <v/>
      </c>
      <c r="P21" t="str">
        <f t="shared" si="42"/>
        <v xml:space="preserve">							PxpcaseId = o.PxpcaseId,</v>
      </c>
      <c r="T21" s="69" t="str">
        <f t="shared" si="43"/>
        <v xml:space="preserve">								("PxpcaseId"),</v>
      </c>
      <c r="V21" s="70" t="str">
        <f t="shared" si="44"/>
        <v xml:space="preserve">								_ =&gt; _.PxpcaseId,</v>
      </c>
      <c r="W21" s="69" t="str">
        <f t="shared" si="45"/>
        <v/>
      </c>
    </row>
    <row r="22" spans="1:23" customFormat="1" ht="22.5" customHeight="1" x14ac:dyDescent="0.25">
      <c r="A22" t="s">
        <v>309</v>
      </c>
      <c r="B22" t="s">
        <v>304</v>
      </c>
      <c r="C22" t="s">
        <v>1</v>
      </c>
      <c r="D22" t="str">
        <f>SUBSTITUTE(PROPER(A22),"_","")</f>
        <v>OrderType</v>
      </c>
      <c r="E22" t="str">
        <f t="shared" si="35"/>
        <v>varchar</v>
      </c>
      <c r="F22" s="7"/>
      <c r="G22" t="str">
        <f t="shared" si="36"/>
        <v>50</v>
      </c>
      <c r="H22" t="str">
        <f>+VLOOKUP(E22,'Data Type Mapping'!A:B,2,)</f>
        <v>string</v>
      </c>
      <c r="I22" t="str">
        <f t="shared" si="37"/>
        <v xml:space="preserve">		public const int MaxOrderTypeLength = 50;
</v>
      </c>
      <c r="J22" t="str">
        <f t="shared" si="38"/>
        <v xml:space="preserve">		[StringLength(MaxOrderTypeLength)]
		public virtual string OrderType { get; set; }
</v>
      </c>
      <c r="K22" s="7" t="s">
        <v>206</v>
      </c>
      <c r="L22" t="str">
        <f>IF(K22="","",REPT(CHAR(9),1)&amp;"[Index(nameof("&amp;IF(D22="","",""&amp;D22)&amp;")"&amp;", Name="&amp;"""IX_"&amp;$B$7&amp;"_"&amp;D22&amp;""")]")</f>
        <v xml:space="preserve">	[Index(nameof(OrderType), Name="IX_LgwMwhPartData_OrderType")]</v>
      </c>
      <c r="M22" t="str">
        <f t="shared" si="39"/>
        <v xml:space="preserve">		public virtual string OrderType { get; set; }
</v>
      </c>
      <c r="N22" t="str">
        <f t="shared" si="40"/>
        <v xml:space="preserve">		[StringLength(LgwMwhPartDataConsts.MaxOrderTypeLength)]
		public virtual string OrderType { get; set; }
</v>
      </c>
      <c r="O22" t="str">
        <f t="shared" si="41"/>
        <v xml:space="preserve">		public virtual string OrderType { get; set; }
</v>
      </c>
      <c r="P22" t="str">
        <f t="shared" si="42"/>
        <v xml:space="preserve">							OrderType = o.OrderType,</v>
      </c>
      <c r="T22" s="69" t="str">
        <f t="shared" si="43"/>
        <v xml:space="preserve">								("OrderType"),</v>
      </c>
      <c r="V22" s="70" t="str">
        <f t="shared" si="44"/>
        <v xml:space="preserve">								_ =&gt; _.OrderType,</v>
      </c>
      <c r="W22" s="69" t="str">
        <f t="shared" si="45"/>
        <v xml:space="preserve">				.WhereIf(!string.IsNullOrWhiteSpace(input.OrderType), e =&gt; e.OrderType.Contains(input.OrderType))</v>
      </c>
    </row>
    <row r="23" spans="1:23" customFormat="1" ht="21" customHeight="1" x14ac:dyDescent="0.25">
      <c r="A23" t="s">
        <v>302</v>
      </c>
      <c r="B23" t="s">
        <v>303</v>
      </c>
      <c r="C23" t="s">
        <v>1</v>
      </c>
      <c r="D23" t="str">
        <f t="shared" ref="D23" si="48">SUBSTITUTE(PROPER(A23),"_","")</f>
        <v>IsActive</v>
      </c>
      <c r="E23" t="str">
        <f t="shared" si="20"/>
        <v>varchar</v>
      </c>
      <c r="F23" s="7"/>
      <c r="G23" t="str">
        <f t="shared" si="21"/>
        <v>1</v>
      </c>
      <c r="H23" t="str">
        <f>+VLOOKUP(E23,'Data Type Mapping'!A:B,2,)</f>
        <v>string</v>
      </c>
      <c r="I23" t="str">
        <f t="shared" si="22"/>
        <v xml:space="preserve">		public const int MaxIsActiveLength = 1;
</v>
      </c>
      <c r="J23" t="str">
        <f t="shared" si="23"/>
        <v xml:space="preserve">		[StringLength(MaxIsActiveLength)]
		public virtual string IsActive { get; set; }
</v>
      </c>
      <c r="K23" s="7" t="s">
        <v>206</v>
      </c>
      <c r="L23" t="str">
        <f t="shared" ref="L23" si="49">IF(K23="","",REPT(CHAR(9),1)&amp;"[Index(nameof("&amp;IF(D23="","",""&amp;D23)&amp;")"&amp;", Name="&amp;"""IX_"&amp;$B$7&amp;"_"&amp;D23&amp;""")]")</f>
        <v xml:space="preserve">	[Index(nameof(IsActive), Name="IX_LgwMwhPartData_IsActive")]</v>
      </c>
      <c r="M23" t="str">
        <f t="shared" si="24"/>
        <v xml:space="preserve">		public virtual string IsActive { get; set; }
</v>
      </c>
      <c r="N23" t="str">
        <f t="shared" si="25"/>
        <v xml:space="preserve">		[StringLength(LgwMwhPartDataConsts.MaxIsActiveLength)]
		public virtual string IsActive { get; set; }
</v>
      </c>
      <c r="O23" t="str">
        <f t="shared" si="26"/>
        <v xml:space="preserve">		public virtual string IsActive { get; set; }
</v>
      </c>
      <c r="P23" t="str">
        <f t="shared" si="27"/>
        <v xml:space="preserve">							IsActive = o.IsActive,</v>
      </c>
      <c r="T23" s="69" t="str">
        <f t="shared" si="28"/>
        <v xml:space="preserve">								("IsActive"),</v>
      </c>
      <c r="V23" s="70" t="str">
        <f t="shared" si="29"/>
        <v xml:space="preserve">								_ =&gt; _.IsActive,</v>
      </c>
      <c r="W23" s="69" t="str">
        <f t="shared" si="30"/>
        <v xml:space="preserve">				.WhereIf(!string.IsNullOrWhiteSpace(input.IsActive), e =&gt; e.IsActive.Contains(input.IsActive))</v>
      </c>
    </row>
    <row r="25" spans="1:23" ht="45.75" customHeight="1" x14ac:dyDescent="0.25">
      <c r="H25" s="12"/>
      <c r="I25" s="34" t="str">
        <f ca="1">TEXTJOIN2("
", TRUE,INDIRECT( $H$1):INDIRECT( $H$3))</f>
        <v xml:space="preserve">		public const int MaxPartNoLength = 12;
		public const int MaxLotNoLength = 10;
		public const int MaxFixlotLength = 4;
		public const int MaxCaseNoLength = 30;
		public const int MaxModuleNoLength = 30;
		public const int MaxContainerNoLength = 15;
		public const int MaxSupplierNoLength = 10;
		public const int MaxPartNameLength = 300;
		public const int MaxCarfamilyCodeLength = 4;
		public const int MaxOrderTypeLength = 50;
		public const int MaxIsActiveLength = 1;
</v>
      </c>
      <c r="J25" s="33" t="str">
        <f ca="1">TEXTJOIN2("
", TRUE,INDIRECT( $F$1):INDIRECT( $F$3))</f>
        <v xml:space="preserve">		[Required]
		public virtual long PxppartId { get; set; }
		[StringLength(MaxPartNoLength)]
		public virtual string PartNo { get; set; }
		[StringLength(MaxLotNoLength)]
		public virtual string LotNo { get; set; }
		[StringLength(MaxFixlotLength)]
		public virtual string Fixlot { get; set; }
		[StringLength(MaxCaseNoLength)]
		public virtual string CaseNo { get; set; }
		[StringLength(MaxModuleNoLength)]
		public virtual string ModuleNo { get; set; }
		[StringLength(MaxContainerNoLength)]
		public virtual string ContainerNo { get; set; }
		[StringLength(MaxSupplierNoLength)]
		public virtual string SupplierNo { get; set; }
		public virtual decimal UsageQty { get; set; }
		[StringLength(MaxPartNameLength)]
		public virtual string PartName { get; set; }
		[StringLength(MaxCarfamilyCodeLength)]
		public virtual string CarfamilyCode { get; set; }
		public virtual long InvoiceParentId { get; set; }
		[Required]
		public virtual long PxpcaseId { get; set; }
		[StringLength(MaxOrderTypeLength)]
		public virtual string OrderType { get; set; }
		[StringLength(MaxIsActiveLength)]
		public virtual string IsActive { get; set; }
</v>
      </c>
      <c r="K25" s="35" t="str">
        <f ca="1">TEXTJOIN2("
", TRUE,INDIRECT( $J$1):INDIRECT( $J$3))</f>
        <v xml:space="preserve">	[Index(nameof(PxppartId), Name="IX_LgwMwhPartData_PxppartId")]
	[Index(nameof(PartNo), Name="IX_LgwMwhPartData_PartNo")]
	[Index(nameof(CaseNo), Name="IX_LgwMwhPartData_CaseNo")]
	[Index(nameof(ModuleNo), Name="IX_LgwMwhPartData_ModuleNo")]
	[Index(nameof(ContainerNo), Name="IX_LgwMwhPartData_ContainerNo")]
	[Index(nameof(SupplierNo), Name="IX_LgwMwhPartData_SupplierNo")]
	[Index(nameof(PxpcaseId), Name="IX_LgwMwhPartData_PxpcaseId")]
	[Index(nameof(OrderType), Name="IX_LgwMwhPartData_OrderType")]
	[Index(nameof(IsActive), Name="IX_LgwMwhPartData_IsActive")]</v>
      </c>
      <c r="L25" s="13" t="s">
        <v>60</v>
      </c>
      <c r="M25" s="36" t="str">
        <f ca="1">TEXTJOIN2("
",TRUE,INDIRECT( $L$1):INDIRECT($L$3))</f>
        <v xml:space="preserve">		public virtual long PxppartId { get; set; }
		public virtual string PartNo { get; set; }
		public virtual string LotNo { get; set; }
		public virtual string Fixlot { get; set; }
		public virtual string CaseNo { get; set; }
		public virtual string ModuleNo { get; set; }
		public virtual string ContainerNo { get; set; }
		public virtual string SupplierNo { get; set; }
		public virtual decimal UsageQty { get; set; }
		public virtual string PartName { get; set; }
		public virtual string CarfamilyCode { get; set; }
		public virtual long InvoiceParentId { get; set; }
		public virtual long PxpcaseId { get; set; }
		public virtual string OrderType { get; set; }
		public virtual string IsActive { get; set; }
</v>
      </c>
      <c r="N25" s="33" t="str">
        <f ca="1">TEXTJOIN2("
",TRUE,INDIRECT( $M$1):INDIRECT($M$3))</f>
        <v xml:space="preserve">		[Required]
		public virtual long PxppartId { get; set; }
		[StringLength(LgwMwhPartDataConsts.MaxPartNoLength)]
		public virtual string PartNo { get; set; }
		[StringLength(LgwMwhPartDataConsts.MaxLotNoLength)]
		public virtual string LotNo { get; set; }
		[StringLength(LgwMwhPartDataConsts.MaxFixlotLength)]
		public virtual string Fixlot { get; set; }
		[StringLength(LgwMwhPartDataConsts.MaxCaseNoLength)]
		public virtual string CaseNo { get; set; }
		[StringLength(LgwMwhPartDataConsts.MaxModuleNoLength)]
		public virtual string ModuleNo { get; set; }
		[StringLength(LgwMwhPartDataConsts.MaxContainerNoLength)]
		public virtual string ContainerNo { get; set; }
		[StringLength(LgwMwhPartDataConsts.MaxSupplierNoLength)]
		public virtual string SupplierNo { get; set; }
		public virtual decimal UsageQty { get; set; }
		[StringLength(LgwMwhPartDataConsts.MaxPartNameLength)]
		public virtual string PartName { get; set; }
		[StringLength(LgwMwhPartDataConsts.MaxCarfamilyCodeLength)]
		public virtual string CarfamilyCode { get; set; }
		public virtual long InvoiceParentId { get; set; }
		[Required]
		public virtual long PxpcaseId { get; set; }
		[StringLength(LgwMwhPartDataConsts.MaxOrderTypeLength)]
		public virtual string OrderType { get; set; }
		[StringLength(LgwMwhPartDataConsts.MaxIsActiveLength)]
		public virtual string IsActive { get; set; }
</v>
      </c>
      <c r="O25" s="33" t="str">
        <f ca="1">TEXTJOIN2("
",TRUE,INDIRECT( $N$1):INDIRECT($N$3))</f>
        <v xml:space="preserve">		public virtual string PartNo { get; set; }
		public virtual string LotNo { get; set; }
		public virtual string Fixlot { get; set; }
		public virtual string CaseNo { get; set; }
		public virtual string ModuleNo { get; set; }
		public virtual string ContainerNo { get; set; }
		public virtual string SupplierNo { get; set; }
		public virtual string PartName { get; set; }
		public virtual string CarfamilyCode { get; set; }
		public virtual string OrderType { get; set; }
		public virtual string IsActive { get; set; }
</v>
      </c>
      <c r="P25" s="9" t="str">
        <f ca="1">TEXTJOIN2("
",TRUE,INDIRECT( $O$1):INDIRECT($O$3))</f>
        <v xml:space="preserve">							PxppartId = o.PxppartId,
							PartNo = o.PartNo,
							LotNo = o.LotNo,
							Fixlot = o.Fixlot,
							CaseNo = o.CaseNo,
							ModuleNo = o.ModuleNo,
							ContainerNo = o.ContainerNo,
							SupplierNo = o.SupplierNo,
							UsageQty = o.UsageQty,
							PartName = o.PartName,
							CarfamilyCode = o.CarfamilyCode,
							InvoiceParentId = o.InvoiceParentId,
							PxpcaseId = o.PxpcaseId,
							OrderType = o.OrderType,
							IsActive = o.IsActive,</v>
      </c>
      <c r="T25" s="9" t="str">
        <f ca="1">TEXTJOIN2("
",TRUE,INDIRECT( $T$2):INDIRECT($T$3))</f>
        <v xml:space="preserve">								("PxppartId"),
								("PartNo"),
								("LotNo"),
								("Fixlot"),
								("CaseNo"),
								("ModuleNo"),
								("ContainerNo"),
								("SupplierNo"),
								("UsageQty"),
								("PartName"),
								("CarfamilyCode"),
								("InvoiceParentId"),
								("PxpcaseId"),
								("OrderType"),
								("IsActive"),</v>
      </c>
      <c r="V25" s="9" t="str">
        <f ca="1">TEXTJOIN2("
",TRUE,INDIRECT( $V$2):INDIRECT($V$3))</f>
        <v xml:space="preserve">								_ =&gt; _.PxppartId,
								_ =&gt; _.PartNo,
								_ =&gt; _.LotNo,
								_ =&gt; _.Fixlot,
								_ =&gt; _.CaseNo,
								_ =&gt; _.ModuleNo,
								_ =&gt; _.ContainerNo,
								_ =&gt; _.SupplierNo,
								_ =&gt; _.UsageQty,
								_ =&gt; _.PartName,
								_ =&gt; _.CarfamilyCode,
								_ =&gt; _.InvoiceParentId,
								_ =&gt; _.PxpcaseId,
								_ =&gt; _.OrderType,
								_ =&gt; _.IsActive,</v>
      </c>
      <c r="W25" s="9" t="str">
        <f ca="1">TEXTJOIN2("
",TRUE,INDIRECT( $W$2):INDIRECT($W$3))</f>
        <v xml:space="preserve">				.WhereIf(!string.IsNullOrWhiteSpace(input.PartNo), e =&gt; e.PartNo.Contains(input.PartNo))
				.WhereIf(!string.IsNullOrWhiteSpace(input.LotNo), e =&gt; e.LotNo.Contains(input.LotNo))
				.WhereIf(!string.IsNullOrWhiteSpace(input.Fixlot), e =&gt; e.Fixlot.Contains(input.Fixlot))
				.WhereIf(!string.IsNullOrWhiteSpace(input.CaseNo), e =&gt; e.CaseNo.Contains(input.CaseNo))
				.WhereIf(!string.IsNullOrWhiteSpace(input.ModuleNo), e =&gt; e.ModuleNo.Contains(input.ModuleNo))
				.WhereIf(!string.IsNullOrWhiteSpace(input.ContainerNo), e =&gt; e.ContainerNo.Contains(input.ContainerNo))
				.WhereIf(!string.IsNullOrWhiteSpace(input.SupplierNo), e =&gt; e.SupplierNo.Contains(input.SupplierNo))
				.WhereIf(!string.IsNullOrWhiteSpace(input.PartName), e =&gt; e.PartName.Contains(input.PartName))
				.WhereIf(!string.IsNullOrWhiteSpace(input.CarfamilyCode), e =&gt; e.CarfamilyCode.Contains(input.CarfamilyCode))
				.WhereIf(!string.IsNullOrWhiteSpace(input.OrderType), e =&gt; e.OrderType.Contains(input.OrderType))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32"/>
  <sheetViews>
    <sheetView tabSelected="1" workbookViewId="0">
      <selection activeCell="A20" sqref="A20"/>
    </sheetView>
  </sheetViews>
  <sheetFormatPr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4" width="20.42578125" customWidth="1"/>
    <col min="15" max="15" width="20.5703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45" x14ac:dyDescent="0.25">
      <c r="A1" s="41" t="s">
        <v>212</v>
      </c>
      <c r="B1" s="42" t="s">
        <v>329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</row>
    <row r="2" spans="1:22" x14ac:dyDescent="0.25">
      <c r="A2" s="41" t="s">
        <v>237</v>
      </c>
      <c r="B2" s="42" t="str">
        <f>A.Backend!B4</f>
        <v>LogW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</row>
    <row r="3" spans="1:22" x14ac:dyDescent="0.25">
      <c r="A3" s="41" t="s">
        <v>237</v>
      </c>
      <c r="B3" s="42" t="str">
        <f>LOWER(B2)</f>
        <v>logw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</row>
    <row r="4" spans="1:22" x14ac:dyDescent="0.25">
      <c r="A4" s="41" t="s">
        <v>214</v>
      </c>
      <c r="B4" s="43" t="str">
        <f>A.Backend!Q3</f>
        <v>Mwh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</row>
    <row r="5" spans="1:22" x14ac:dyDescent="0.25">
      <c r="A5" s="41" t="s">
        <v>214</v>
      </c>
      <c r="B5" s="43" t="str">
        <f>LOWER(B4)</f>
        <v>mwh</v>
      </c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</row>
    <row r="6" spans="1:22" x14ac:dyDescent="0.25">
      <c r="A6" s="41" t="s">
        <v>224</v>
      </c>
      <c r="B6" s="44" t="str">
        <f>A.Backend!B3</f>
        <v>LgwMwhPartData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</row>
    <row r="7" spans="1:22" x14ac:dyDescent="0.25">
      <c r="A7" s="41" t="s">
        <v>215</v>
      </c>
      <c r="B7" s="43" t="str">
        <f>A.Backend!B5</f>
        <v>PartData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</row>
    <row r="8" spans="1:22" x14ac:dyDescent="0.25">
      <c r="A8" s="41" t="s">
        <v>213</v>
      </c>
      <c r="B8" s="43" t="str">
        <f>LOWER(B7)</f>
        <v>partdata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</row>
    <row r="9" spans="1:22" ht="18.75" customHeight="1" x14ac:dyDescent="0.25">
      <c r="A9" s="53" t="s">
        <v>216</v>
      </c>
      <c r="B9" s="54"/>
      <c r="C9" s="53"/>
      <c r="D9" s="53"/>
      <c r="E9" s="53"/>
      <c r="F9" s="53"/>
      <c r="G9" s="53"/>
      <c r="H9" s="45" t="s">
        <v>269</v>
      </c>
      <c r="I9" s="46" t="s">
        <v>270</v>
      </c>
      <c r="J9" s="45" t="s">
        <v>219</v>
      </c>
      <c r="K9" s="47" t="s">
        <v>256</v>
      </c>
      <c r="L9" s="46" t="s">
        <v>260</v>
      </c>
      <c r="M9" s="45" t="s">
        <v>249</v>
      </c>
      <c r="N9" s="45" t="s">
        <v>220</v>
      </c>
      <c r="O9" s="45" t="s">
        <v>221</v>
      </c>
      <c r="P9" s="46" t="s">
        <v>223</v>
      </c>
      <c r="Q9" s="45" t="s">
        <v>250</v>
      </c>
      <c r="R9" s="45" t="s">
        <v>233</v>
      </c>
      <c r="S9" s="31"/>
      <c r="T9" s="31"/>
      <c r="U9" s="31"/>
      <c r="V9" s="31"/>
    </row>
    <row r="10" spans="1:22" ht="18.75" customHeight="1" x14ac:dyDescent="0.25">
      <c r="A10" s="55" t="s">
        <v>217</v>
      </c>
      <c r="B10" s="56"/>
      <c r="C10" s="57"/>
      <c r="D10" s="57"/>
      <c r="E10" s="57"/>
      <c r="F10" s="57"/>
      <c r="G10" s="57"/>
      <c r="H10" s="48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LgwMwhPartDataDto, LgwMwhPartDataServiceProxy } from '@shared/service-proxies/service-proxies';
import { finalize } from 'rxjs/internal/operators/finalize';
import { CreateOrEditPartDataModalComponent } from './create-or-edit-partdata-modal.component';
import { DatePipe } from '@angular/common';
import { FileDownloadService } from '@shared/utils/file-download.service';
import ceil from 'lodash-es/ceil';
import { Paginator } from 'primeng/paginator';
@Component({
    templateUrl: './partdata.component.html',
    styleUrls: ['./partdata.component.less'],
})
export class PartDataComponent extends AppComponentBase implements OnInit {
    @ViewChild('createOrEditModalPartData', { static: true }) createOrEditModalPartData:| CreateOrEditPartDataModalComponent|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LgwMwhPartDataDto = new LgwMwhPartDataDto();
    saveSelectedRow: LgwMwhPartDataDto = new LgwMwhPartDataDto();
    datas: LgwMwhPartDataDto = new LgwMwhPartDataDto();
    isLoading: boolean = false;
    dataParams: GridParams | undefined;
    rowData: any[] = [];
    gridApi!: GridApi;
    rowSelection = 'multiple';
    filter: string = '';
	pipe = new DatePipe('en-US');
	frameworkComponents: FrameworkComponent;
    pxppartId
	partNo : string = '' ; 
	lotNo : string = '' ; 
	fixlot : string = '' ; 
	caseNo : string = '' ; 
moduleNo : string = '' ; 
	containerNo : string = '' ; 
	supplierNo : string = '' ; 
	usageQty
	partName : string = '' ; 
carfamilyCode : string = '' ; 
	invoiceParentId
	pxpcaseId
	orderType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LgwMwhPartDataServiceProxy,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this.l('Pxppart Id'),headerTooltip: this.l('Pxppart Id'),field: 'pxppartId',flex: 1},
			{headerName: this.l('Part No'),headerTooltip: this.l('Part No'),field: 'partNo',flex: 1},
			{headerName: this.l('Lot No'),headerTooltip: this.l('Lot No'),field: 'lotNo',flex: 1},
			{headerName: this.l('Fixlot'),headerTooltip: this.l('Fixlot'),field: 'fixlot',flex: 1},
			{headerName: this.l('Case No'),headerTooltip: this.l('Case No'),field: 'caseNo',flex: 1},
			{headerName: this.l('Module No'),headerTooltip: this.l('Module No'),field: 'moduleNo',flex: 1},
			{headerName: this.l('Container No'),headerTooltip: this.l('Container No'),field: 'containerNo',flex: 1},
			{headerName: this.l('Supplier No'),headerTooltip: this.l('Supplier No'),field: 'supplierNo',flex: 1},
			{headerName: this.l('Usage Qty'),headerTooltip: this.l('Usage Qty'),field: 'usageQty',flex: 1},
			{headerName: this.l('Part Name'),headerTooltip: this.l('Part Name'),field: 'partName',flex: 1},
			{headerName: this.l('Carfamily Code'),headerTooltip: this.l('Carfamily Code'),field: 'carfamilyCode',flex: 1},
			{headerName: this.l('Invoice Parent Id'),headerTooltip: this.l('Invoice Parent Id'),field: 'invoiceParentId',flex: 1},
			{headerName: this.l('Pxpcase Id'),headerTooltip: this.l('Pxpcase Id'),field: 'pxpcaseId',flex: 1},
			{headerName: this.l('Order Type'),headerTooltip: this.l('Order Type'),field: 'orderType',flex: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this.pxppartId,
			this.partNo,
			this.lotNo,
			this.fixlot,
			this.caseNo,
			this.moduleNo,
			this.containerNo,
			this.supplierNo,
			this.usageQty,
			this.partName,
			this.carfamilyCode,
			this.invoiceParentId,
			this.pxpcaseId,
			this.orderType,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this.pxppartId = '',
		this.partNo = '',
		this.lotNo = '',
		this.fixlot = '',
		this.caseNo = '',
this.moduleNo = '',
		this.containerNo = '',
		this.supplierNo = '',
		this.usageQty = '',
		this.partName = '',
this.carfamilyCode = '',
		this.invoiceParentId = '',
		this.pxpcaseId = '',
		this.orderType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this.pxppartId,
			this.partNo,
			this.lotNo,
			this.fixlot,
			this.caseNo,
			this.moduleNo,
			this.containerNo,
			this.supplierNo,
			this.usageQty,
			this.partName,
			this.carfamilyCode,
			this.invoiceParentId,
			this.pxpcaseId,
			this.orderType,
			this.isActive,
			'',
            this.paginationParams.skipCount,
            this.paginationParams.pageSize
        );
    }
    onChangeRowSelection(params: { api: { getSelectedRows: () =&gt; LgwMwhPartDataDto[] } }) {
        this.saveSelectedRow = params.api.getSelectedRows()[0] ?? new LgwMwhPartDataDto();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LgwMwhPartDataDto):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this._service.getPartDataToExcel(
			this.pxppartId,
			this.partNo,
			this.lotNo,
			this.fixlot,
			this.caseNo,
			this.moduleNo,
			this.containerNo,
			this.supplierNo,
			this.usageQty,
			this.partName,
			this.carfamilyCode,
			this.invoiceParentId,
			this.pxpcaseId,
			this.orderType,
			this.isActive,
            )
            .subscribe((result) =&gt; {
                this._fileDownloadService.downloadTempFile(result);
        });
    }
}</v>
      </c>
      <c r="I10" s="48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LogW Module Warehouse Case Data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[(ngModel)]='lotNo' name='lotNo'
									class='form-control' [placeholder]="l('Lot No')"
									type='text' (keyup.enter)='searchDatas()'&gt;
								&lt;/div&gt;
								&lt;div class='input-search'&gt;
									&lt;input [(ngModel)]='fixlot' name='fixlot'
									class='form-control' [placeholder]="l('Fixlot')"
									type='text' (keyup.enter)='searchDatas()'&gt;
								&lt;/div&gt;
								&lt;div class='input-search'&gt;
									&lt;input [(ngModel)]='caseNo' name='caseNo'
									class='form-control' [placeholder]="l('Case No')"
									type='text' (keyup.enter)='searchDatas()'&gt;
								&lt;/div&gt;
								&lt;div class='input-search'&gt;
									&lt;input [(ngModel)]='moduleNo' name='moduleNo'
									class='form-control' [placeholder]="l('Module No')"
									type='text' (keyup.enter)='searchDatas()'&gt;
								&lt;/div&gt;
								&lt;div class='input-search'&gt;
									&lt;input [(ngModel)]='containerNo' name='containerNo'
									class='form-control' [placeholder]="l('Container No')"
									type='text' (keyup.enter)='searchDatas()'&gt;
								&lt;/div&gt;
								&lt;div class='input-search'&gt;
									&lt;input [(ngModel)]='supplierNo' name='supplierNo'
									class='form-control' [placeholder]="l('Supplier No')"
									type='text' (keyup.enter)='searchDatas()'&gt;
								&lt;/div&gt;
								&lt;div class='input-search'&gt;
									&lt;input [(ngModel)]='partName' name='partName'
									class='form-control' [placeholder]="l('Part Name')"
									type='text' (keyup.enter)='searchDatas()'&gt;
								&lt;/div&gt;
								&lt;div class='input-search'&gt;
									&lt;input [(ngModel)]='carfamilyCode' name='carfamilyCode'
									class='form-control' [placeholder]="l('Carfamily Code')"
									type='text' (keyup.enter)='searchDatas()'&gt;
								&lt;/div&gt;
								&lt;div class='input-search'&gt;
									&lt;input [(ngModel)]='orderType' name='orderType'
									class='form-control' [placeholder]="l('Order Type')"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(click)="createOrEditModalPartData.show()"&gt;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(click)="createOrEditModalPartData.show(selectedRow)"&gt;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&lt;create-or-edit-partdata-modal
    #createOrEditModalPartData
    (modalSave)="callBackDataGrid(dataParams)"
    (modalClose)="onChangeRowSelection(dataParams)"
&gt;
&lt;/create-or-edit-partdata-modal&gt;</v>
      </c>
      <c r="J10" s="48" t="str">
        <f>J9</f>
        <v>.input-search{
    width: 250px;
    border-radius: 10px;
    margin-left: 10px;
}
.btn-search{
    width: 50px;
    margin-left: 10px;
}</v>
      </c>
      <c r="K10" s="48" t="str">
        <f ca="1">SUBSTITUTE(SUBSTITUTE(SUBSTITUTE(SUBSTITUTE(K9,"MstWptCalendar",$B$6),"Calendar",$B$7),"calendar",$B$8),"&lt;PROPERTIES&gt;",K13)</f>
        <v>&lt;div bsModal #createOrEditModalPartData="bs-modal"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PartData')}}&lt;/h3&gt;
                    &lt;h3 *ngIf="!rowdata.id"&gt;{{('Create New PartData')}}&lt;/h3&gt;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title'&gt;Lot No&lt;/label&gt;
						&lt;input type='text' class='col-md-10 form-control input-text' name='LotNo' [(ngModel)]='rowdata.lotNo'&gt;
					&lt;/div&gt;
					&lt;div class='col-md-12 form-group row'&gt;
						&lt;label class='col-md-2 form-control title'&gt;Fixlot&lt;/label&gt;
						&lt;input type='text' class='col-md-10 form-control input-text' name='Fixlot' [(ngModel)]='rowdata.fixlot'&gt;
					&lt;/div&gt;
					&lt;div class='col-md-12 form-group row'&gt;
						&lt;label class='col-md-2 form-control title'&gt;Case No&lt;/label&gt;
						&lt;input type='text' class='col-md-10 form-control input-text' name='CaseNo' [(ngModel)]='rowdata.caseNo'&gt;
					&lt;/div&gt;
					&lt;div class='col-md-12 form-group row'&gt;
						&lt;label class='col-md-2 form-control title'&gt;Module No&lt;/label&gt;
						&lt;input type='text' class='col-md-10 form-control input-text' name='ModuleNo' [(ngModel)]='rowdata.moduleNo'&gt;
					&lt;/div&gt;
					&lt;div class='col-md-12 form-group row'&gt;
						&lt;label class='col-md-2 form-control title'&gt;Container No&lt;/label&gt;
						&lt;input type='text' class='col-md-10 form-control input-text' name='ContainerNo' [(ngModel)]='rowdata.containerNo'&gt;
					&lt;/div&gt;
					&lt;div class='col-md-12 form-group row'&gt;
						&lt;label class='col-md-2 form-control title'&gt;Supplier No&lt;/label&gt;
						&lt;input type='text' class='col-md-10 form-control input-text' name='SupplierNo' [(ngModel)]='rowdata.supplierNo'&gt;
					&lt;/div&gt;
					&lt;div class='col-md-12 form-group row'&gt;
						&lt;label class='col-md-2 form-control title'&gt;Part Name&lt;/label&gt;
						&lt;input type='text' class='col-md-10 form-control input-text' name='PartName' [(ngModel)]='rowdata.partName'&gt;
					&lt;/div&gt;
					&lt;div class='col-md-12 form-group row'&gt;
						&lt;label class='col-md-2 form-control title'&gt;Carfamily Code&lt;/label&gt;
						&lt;input type='text' class='col-md-10 form-control input-text' name='CarfamilyCode' [(ngModel)]='rowdata.carfamilyCode'&gt;
					&lt;/div&gt;
					&lt;div class='col-md-12 form-group row'&gt;
						&lt;label class='col-md-2 form-control title'&gt;Order Type&lt;/label&gt;
						&lt;input type='text' class='col-md-10 form-control input-text' name='OrderType' [(ngModel)]='rowdata.orderType'&gt;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8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CreateOrEditLgwMwhPartDataDto, LgwMwhPartDataServiceProxy } from '@shared/service-proxies/service-proxies';
import { BsDatepickerDirective } from 'ngx-bootstrap/datepicker';
@Component({
    selector: 'create-or-edit-partdata-modal',
    templateUrl: './create-or-edit-partdata-modal.component.html',
    styleUrls: ['./create-or-edit-partdata-modal.component.less']
    })
export class CreateOrEditPartDataModalComponent extends AppComponentBase {
    @ViewChild('createOrEditModalPartData',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CreateOrEditLgwMwhPartDataDto = new CreateOrEditLgwMwhPartDataDto();
    active: boolean = false;
    saving: boolean = false;
    _isActive: boolean;
    constructor(
        injector: Injector,
        private _mstwptPartDataService: LgwMwhPartDataServiceProxy,
    ) 
    {
        super(injector);
    }
    show(rowdata?: CreateOrEditLgwMwhPartDataDto): void {
        if (!rowdata) this.rowdata = new CreateOrEditLgwMwhPartDataDto();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this._mstwptPartDataService.createOrEdit(this.rowdata)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8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8" t="str">
        <f>SUBSTITUTE(SUBSTITUTE(SUBSTITUTE(N9,"MstWptCalendar",$B$6),"Calendar",$B$7),"calendar",$B$8)</f>
        <v>import {NgModule} from '@angular/core';
import {AppSharedModule} from '@app/shared/app-shared.module';
import { PartDataRoutingModule } from './partdata-routing.module';
import { PartDataComponent } from './partdata.component';
import { CreateOrEditPartDataModalComponent } from './create-or-edit-partdata-modal.component';
@NgModule({
    declarations: [
       PartDataComponent, 
        CreateOrEditPartDataModalComponent
    ],
    imports: [
        AppSharedModule, PartDataRoutingModule]
})
export class PartDataModule {}</v>
      </c>
      <c r="O10" s="48" t="str">
        <f>SUBSTITUTE(SUBSTITUTE(SUBSTITUTE(O9,"MstWptCalendar",$B$6),"Calendar",$B$7),"calendar",$B$8)</f>
        <v>import {NgModule} from '@angular/core';
import {RouterModule, Routes} from '@angular/router';
import { PartDataComponent } from './partdata.component';
const routes: Routes = [{
    path: '',
    component: PartDataComponent,
    pathMatch: 'full'
}];
@NgModule({
    imports: [RouterModule.forChild(routes)],
    exports: [RouterModule],
})
export class PartDataRoutingModule {}</v>
      </c>
      <c r="P10" s="48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AppMenuItem("PartData", "Pages.LogW.Mwh.PartData", "flaticon-book",   "/app/main/logw/mwh/partdata"),</v>
      </c>
      <c r="Q10" s="48" t="str">
        <f>SUBSTITUTE(SUBSTITUTE(SUBSTITUTE(SUBSTITUTE(SUBSTITUTE(SUBSTITUTE(SUBSTITUTE(Q9,"MstWptCalendar",$B$6),"Calendar",$B$7),"calendar",$B$8),"WorkingPattern",$B$4),"workingpattern",$B$5),"Master",$B$2),"master",$B$3)</f>
        <v>{
    path: 'logw/mwh/partdata',
    loadChildren: () =&gt; import('./logw/mwh/partdata/partdata.module').then(m =&gt; m.PartDataModule),
    data: { permission: 'Pages.LogW.Mwh.PartData' }
},</v>
      </c>
      <c r="R10" s="50" t="str">
        <f>SUBSTITUTE(R9,"MstWptCalendar",$B$6)</f>
        <v>ApiServiceProxies.LgwMwhPartDataServiceProxy,</v>
      </c>
      <c r="S10" s="31"/>
      <c r="T10" s="31"/>
      <c r="U10" s="31"/>
      <c r="V10" s="31"/>
    </row>
    <row r="11" spans="1:22" x14ac:dyDescent="0.25">
      <c r="A11" s="58">
        <v>1</v>
      </c>
      <c r="B11" s="37">
        <v>1</v>
      </c>
      <c r="C11" s="31"/>
      <c r="D11" s="31"/>
      <c r="E11" s="31"/>
      <c r="F11" s="31"/>
      <c r="G11" s="31"/>
      <c r="H11" s="31" t="s">
        <v>248</v>
      </c>
      <c r="I11" s="31" t="s">
        <v>261</v>
      </c>
      <c r="J11" s="31"/>
      <c r="K11" s="31" t="s">
        <v>259</v>
      </c>
      <c r="L11" s="31" t="s">
        <v>262</v>
      </c>
      <c r="M11" s="38"/>
      <c r="N11" s="31"/>
      <c r="O11" s="31"/>
      <c r="P11" s="31"/>
      <c r="Q11" s="31"/>
      <c r="R11" s="31"/>
      <c r="S11" s="31" t="s">
        <v>253</v>
      </c>
      <c r="T11" s="31" t="s">
        <v>254</v>
      </c>
      <c r="U11" s="31" t="s">
        <v>263</v>
      </c>
      <c r="V11" s="71" t="s">
        <v>265</v>
      </c>
    </row>
    <row r="12" spans="1:22" x14ac:dyDescent="0.25">
      <c r="A12" s="58">
        <v>2</v>
      </c>
      <c r="B12" s="37"/>
      <c r="C12" s="31"/>
      <c r="D12" s="31"/>
      <c r="E12" s="31"/>
      <c r="F12" s="31"/>
      <c r="G12" s="31"/>
      <c r="H12" s="31" t="str">
        <f>"H"&amp;COUNTA($A:$A)</f>
        <v>H29</v>
      </c>
      <c r="I12" s="31" t="str">
        <f>"I"&amp;COUNTA($A:$A)</f>
        <v>I29</v>
      </c>
      <c r="J12" s="31"/>
      <c r="K12" s="31" t="str">
        <f>"K"&amp;COUNTA($A:$A)</f>
        <v>K29</v>
      </c>
      <c r="L12" s="31" t="str">
        <f>"L"&amp;COUNTA($A:$A)</f>
        <v>L29</v>
      </c>
      <c r="M12" s="31"/>
      <c r="N12" s="31"/>
      <c r="O12" s="31"/>
      <c r="P12" s="31"/>
      <c r="Q12" s="31"/>
      <c r="R12" s="31"/>
      <c r="S12" s="31" t="str">
        <f>"S"&amp;COUNTA($A:$A)</f>
        <v>S29</v>
      </c>
      <c r="T12" s="31" t="str">
        <f>"T"&amp;COUNTA($A:$A)</f>
        <v>T29</v>
      </c>
      <c r="U12" s="31" t="str">
        <f>"U"&amp;COUNTA($A:$A)</f>
        <v>U29</v>
      </c>
      <c r="V12" s="31" t="str">
        <f>"V"&amp;COUNTA($A:$A)</f>
        <v>V29</v>
      </c>
    </row>
    <row r="13" spans="1:22" ht="17.25" customHeight="1" x14ac:dyDescent="0.25">
      <c r="A13" s="58">
        <v>3</v>
      </c>
      <c r="B13" s="31"/>
      <c r="C13" s="31"/>
      <c r="D13" s="31"/>
      <c r="E13" s="31"/>
      <c r="F13" s="31"/>
      <c r="G13" s="31"/>
      <c r="H13" s="38" t="str">
        <f ca="1">TEXTJOIN2("
",TRUE,INDIRECT(H11):INDIRECT(H12))</f>
        <v xml:space="preserve">			{headerName: this.l('Pxppart Id'),headerTooltip: this.l('Pxppart Id'),field: 'pxppartId',flex: 1},
			{headerName: this.l('Part No'),headerTooltip: this.l('Part No'),field: 'partNo',flex: 1},
			{headerName: this.l('Lot No'),headerTooltip: this.l('Lot No'),field: 'lotNo',flex: 1},
			{headerName: this.l('Fixlot'),headerTooltip: this.l('Fixlot'),field: 'fixlot',flex: 1},
			{headerName: this.l('Case No'),headerTooltip: this.l('Case No'),field: 'caseNo',flex: 1},
			{headerName: this.l('Module No'),headerTooltip: this.l('Module No'),field: 'moduleNo',flex: 1},
			{headerName: this.l('Container No'),headerTooltip: this.l('Container No'),field: 'containerNo',flex: 1},
			{headerName: this.l('Supplier No'),headerTooltip: this.l('Supplier No'),field: 'supplierNo',flex: 1},
			{headerName: this.l('Usage Qty'),headerTooltip: this.l('Usage Qty'),field: 'usageQty',flex: 1},
			{headerName: this.l('Part Name'),headerTooltip: this.l('Part Name'),field: 'partName',flex: 1},
			{headerName: this.l('Carfamily Code'),headerTooltip: this.l('Carfamily Code'),field: 'carfamilyCode',flex: 1},
			{headerName: this.l('Invoice Parent Id'),headerTooltip: this.l('Invoice Parent Id'),field: 'invoiceParentId',flex: 1},
			{headerName: this.l('Pxpcase Id'),headerTooltip: this.l('Pxpcase Id'),field: 'pxpcaseId',flex: 1},
			{headerName: this.l('Order Type'),headerTooltip: this.l('Order Type'),field: 'orderType',flex: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8" t="str">
        <f ca="1">TEXTJOIN2("
",TRUE,INDIRECT(I11):INDIRECT(I12))</f>
        <v xml:space="preserve">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[(ngModel)]='lotNo' name='lotNo'
									class='form-control' [placeholder]="l('Lot No')"
									type='text' (keyup.enter)='searchDatas()'&gt;
								&lt;/div&gt;
								&lt;div class='input-search'&gt;
									&lt;input [(ngModel)]='fixlot' name='fixlot'
									class='form-control' [placeholder]="l('Fixlot')"
									type='text' (keyup.enter)='searchDatas()'&gt;
								&lt;/div&gt;
								&lt;div class='input-search'&gt;
									&lt;input [(ngModel)]='caseNo' name='caseNo'
									class='form-control' [placeholder]="l('Case No')"
									type='text' (keyup.enter)='searchDatas()'&gt;
								&lt;/div&gt;
								&lt;div class='input-search'&gt;
									&lt;input [(ngModel)]='moduleNo' name='moduleNo'
									class='form-control' [placeholder]="l('Module No')"
									type='text' (keyup.enter)='searchDatas()'&gt;
								&lt;/div&gt;
								&lt;div class='input-search'&gt;
									&lt;input [(ngModel)]='containerNo' name='containerNo'
									class='form-control' [placeholder]="l('Container No')"
									type='text' (keyup.enter)='searchDatas()'&gt;
								&lt;/div&gt;
								&lt;div class='input-search'&gt;
									&lt;input [(ngModel)]='supplierNo' name='supplierNo'
									class='form-control' [placeholder]="l('Supplier No')"
									type='text' (keyup.enter)='searchDatas()'&gt;
								&lt;/div&gt;
								&lt;div class='input-search'&gt;
									&lt;input [(ngModel)]='partName' name='partName'
									class='form-control' [placeholder]="l('Part Name')"
									type='text' (keyup.enter)='searchDatas()'&gt;
								&lt;/div&gt;
								&lt;div class='input-search'&gt;
									&lt;input [(ngModel)]='carfamilyCode' name='carfamilyCode'
									class='form-control' [placeholder]="l('Carfamily Code')"
									type='text' (keyup.enter)='searchDatas()'&gt;
								&lt;/div&gt;
								&lt;div class='input-search'&gt;
									&lt;input [(ngModel)]='orderType' name='orderType'
									class='form-control' [placeholder]="l('Order Type')"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31"/>
      <c r="K13" s="38" t="str">
        <f ca="1">TEXTJOIN2("
",TRUE,INDIRECT(K11):INDIRECT(K12))</f>
        <v xml:space="preserve">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title'&gt;Lot No&lt;/label&gt;
						&lt;input type='text' class='col-md-10 form-control input-text' name='LotNo' [(ngModel)]='rowdata.lotNo'&gt;
					&lt;/div&gt;
					&lt;div class='col-md-12 form-group row'&gt;
						&lt;label class='col-md-2 form-control title'&gt;Fixlot&lt;/label&gt;
						&lt;input type='text' class='col-md-10 form-control input-text' name='Fixlot' [(ngModel)]='rowdata.fixlot'&gt;
					&lt;/div&gt;
					&lt;div class='col-md-12 form-group row'&gt;
						&lt;label class='col-md-2 form-control title'&gt;Case No&lt;/label&gt;
						&lt;input type='text' class='col-md-10 form-control input-text' name='CaseNo' [(ngModel)]='rowdata.caseNo'&gt;
					&lt;/div&gt;
					&lt;div class='col-md-12 form-group row'&gt;
						&lt;label class='col-md-2 form-control title'&gt;Module No&lt;/label&gt;
						&lt;input type='text' class='col-md-10 form-control input-text' name='ModuleNo' [(ngModel)]='rowdata.moduleNo'&gt;
					&lt;/div&gt;
					&lt;div class='col-md-12 form-group row'&gt;
						&lt;label class='col-md-2 form-control title'&gt;Container No&lt;/label&gt;
						&lt;input type='text' class='col-md-10 form-control input-text' name='ContainerNo' [(ngModel)]='rowdata.containerNo'&gt;
					&lt;/div&gt;
					&lt;div class='col-md-12 form-group row'&gt;
						&lt;label class='col-md-2 form-control title'&gt;Supplier No&lt;/label&gt;
						&lt;input type='text' class='col-md-10 form-control input-text' name='SupplierNo' [(ngModel)]='rowdata.supplierNo'&gt;
					&lt;/div&gt;
					&lt;div class='col-md-12 form-group row'&gt;
						&lt;label class='col-md-2 form-control title'&gt;Part Name&lt;/label&gt;
						&lt;input type='text' class='col-md-10 form-control input-text' name='PartName' [(ngModel)]='rowdata.partName'&gt;
					&lt;/div&gt;
					&lt;div class='col-md-12 form-group row'&gt;
						&lt;label class='col-md-2 form-control title'&gt;Carfamily Code&lt;/label&gt;
						&lt;input type='text' class='col-md-10 form-control input-text' name='CarfamilyCode' [(ngModel)]='rowdata.carfamilyCode'&gt;
					&lt;/div&gt;
					&lt;div class='col-md-12 form-group row'&gt;
						&lt;label class='col-md-2 form-control title'&gt;Order Type&lt;/label&gt;
						&lt;input type='text' class='col-md-10 form-control input-text' name='OrderType' [(ngModel)]='rowdata.orderType'&gt;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60" t="str">
        <f ca="1">TEXTJOIN2("
",TRUE,INDIRECT(L11):INDIRECT(L12))</f>
        <v/>
      </c>
      <c r="M13" s="31"/>
      <c r="N13" s="31"/>
      <c r="O13" s="31"/>
      <c r="P13" s="31"/>
      <c r="Q13" s="31"/>
      <c r="R13" s="31"/>
      <c r="S13" s="68" t="str">
        <f ca="1">TEXTJOIN2("
",TRUE,INDIRECT(S11):INDIRECT(S12))</f>
        <v xml:space="preserve">pxppartId
	partNo : string = '' ; 
	lotNo : string = '' ; 
	fixlot : string = '' ; 
	caseNo : string = '' ; 
moduleNo : string = '' ; 
	containerNo : string = '' ; 
	supplierNo : string = '' ; 
	usageQty
	partName : string = '' ; 
carfamilyCode : string = '' ; 
	invoiceParentId
	pxpcaseId
	orderType : string = '' ; 
	isActive : string = '' ; </v>
      </c>
      <c r="T13" s="68" t="str">
        <f ca="1">TEXTJOIN2("
",TRUE,INDIRECT(T11):INDIRECT(T12))</f>
        <v xml:space="preserve">			this.pxppartId,
			this.partNo,
			this.lotNo,
			this.fixlot,
			this.caseNo,
			this.moduleNo,
			this.containerNo,
			this.supplierNo,
			this.usageQty,
			this.partName,
			this.carfamilyCode,
			this.invoiceParentId,
			this.pxpcaseId,
			this.orderType,
			this.isActive,</v>
      </c>
      <c r="U13" s="68" t="str">
        <f ca="1">TEXTJOIN2("
",TRUE,INDIRECT(U11):INDIRECT(U12))</f>
        <v>this.pxppartId = '',
		this.partNo = '',
		this.lotNo = '',
		this.fixlot = '',
		this.caseNo = '',
this.moduleNo = '',
		this.containerNo = '',
		this.supplierNo = '',
		this.usageQty = '',
		this.partName = '',
this.carfamilyCode = '',
		this.invoiceParentId = '',
		this.pxpcaseId = '',
		this.orderType = '',
		this.isActive = '',</v>
      </c>
      <c r="V13" s="31" t="str">
        <f ca="1">TEXTJOIN2("
",TRUE,INDIRECT(V11):INDIRECT(V12))</f>
        <v>isActive</v>
      </c>
    </row>
    <row r="14" spans="1:22" x14ac:dyDescent="0.25">
      <c r="A14" s="41" t="s">
        <v>218</v>
      </c>
      <c r="B14" s="31"/>
      <c r="C14" s="31"/>
      <c r="D14" s="31"/>
      <c r="E14" s="31"/>
      <c r="F14" s="31"/>
      <c r="G14" s="31"/>
      <c r="H14" s="39" t="str">
        <f>B8&amp;".component.ts"</f>
        <v>partdata.component.ts</v>
      </c>
      <c r="I14" s="40" t="str">
        <f>B8&amp;".component.html"</f>
        <v>partdata.component.html</v>
      </c>
      <c r="J14" s="39" t="str">
        <f>B8&amp;".component.less"</f>
        <v>partdata.component.less</v>
      </c>
      <c r="K14" s="40" t="str">
        <f>"create-or-edit-"&amp;B8&amp;"-modal.component.html"</f>
        <v>create-or-edit-partdata-modal.component.html</v>
      </c>
      <c r="L14" s="40" t="str">
        <f>"create-or-edit-"&amp;B8&amp;"-modal.component.ts"</f>
        <v>create-or-edit-partdata-modal.component.ts</v>
      </c>
      <c r="M14" s="40" t="str">
        <f>"create-or-edit-"&amp;B8&amp;"-modal.component.less"</f>
        <v>create-or-edit-partdata-modal.component.less</v>
      </c>
      <c r="N14" s="40" t="str">
        <f>B8&amp;".module.ts"</f>
        <v>partdata.module.ts</v>
      </c>
      <c r="O14" s="40" t="str">
        <f>B8&amp;"-routing.module.ts"</f>
        <v>partdata-routing.module.ts</v>
      </c>
      <c r="P14" s="40" t="s">
        <v>222</v>
      </c>
      <c r="Q14" s="40" t="s">
        <v>225</v>
      </c>
      <c r="R14" s="41" t="s">
        <v>232</v>
      </c>
      <c r="S14" s="40" t="s">
        <v>251</v>
      </c>
      <c r="T14" s="40" t="s">
        <v>252</v>
      </c>
      <c r="U14" s="40" t="s">
        <v>255</v>
      </c>
      <c r="V14" s="40" t="s">
        <v>264</v>
      </c>
    </row>
    <row r="15" spans="1:22" ht="18" customHeight="1" x14ac:dyDescent="0.25">
      <c r="A15" s="44" t="s">
        <v>312</v>
      </c>
      <c r="B15" s="31" t="str">
        <f>SUBSTITUTE(PROPER(A15),"_","")</f>
        <v>PxppartId</v>
      </c>
      <c r="C15" s="31" t="str">
        <f>SUBSTITUTE(PROPER(A15),"_"," ")</f>
        <v>Pxppart Id</v>
      </c>
      <c r="D15" s="31" t="str">
        <f>LOWER(LEFT(B15,1))&amp;RIGHT(B15,LEN(B15) - 1)</f>
        <v>pxppartId</v>
      </c>
      <c r="E15" s="31" t="str">
        <f>A.Backend!H9</f>
        <v>long</v>
      </c>
      <c r="F15" s="31" t="str">
        <f>A.Backend!G9</f>
        <v/>
      </c>
      <c r="G15" s="31" t="str">
        <f>IF(E15="string"," : string = '' ; ",IF(OR(E15="DateTime",E15="TimeSpan")," : any ;",IF(E15="int"," : number = 0 ;","")))</f>
        <v/>
      </c>
      <c r="H15" s="38" t="str">
        <f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this.l('Pxppart Id'),headerTooltip: this.l('Pxppart Id'),field: 'pxppartId',flex: 1},</v>
      </c>
      <c r="I15" s="38" t="str">
        <f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/>
      </c>
      <c r="J15" s="31"/>
      <c r="K15" s="38" t="str">
        <f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/>
      </c>
      <c r="L15" s="60" t="str">
        <f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31"/>
      <c r="N15" s="31"/>
      <c r="O15" s="31"/>
      <c r="P15" s="31"/>
      <c r="Q15" s="31"/>
      <c r="R15" s="31"/>
      <c r="S15" s="31" t="str">
        <f>D15&amp;G15</f>
        <v>pxppartId</v>
      </c>
      <c r="T15" s="31" t="str">
        <f>REPT(CHAR(9),3)&amp;"this."&amp;D15&amp;","</f>
        <v xml:space="preserve">			this.pxppartId,</v>
      </c>
      <c r="U15" s="31" t="str">
        <f>IF(E15="int","this."&amp;D15&amp;" = 0,","this."&amp;D15&amp;" = '',")</f>
        <v>this.pxppartId = '',</v>
      </c>
      <c r="V15" s="31" t="str">
        <f>IF(AND(E15="string",F15="1"),D15,"")</f>
        <v/>
      </c>
    </row>
    <row r="16" spans="1:22" ht="15" customHeight="1" x14ac:dyDescent="0.25">
      <c r="A16" s="44" t="s">
        <v>314</v>
      </c>
      <c r="B16" s="31" t="str">
        <f t="shared" ref="B16:B17" si="0">SUBSTITUTE(PROPER(A16),"_","")</f>
        <v>PartNo</v>
      </c>
      <c r="C16" s="31" t="str">
        <f t="shared" ref="C16:C17" si="1">SUBSTITUTE(PROPER(A16),"_"," ")</f>
        <v>Part No</v>
      </c>
      <c r="D16" s="31" t="str">
        <f t="shared" ref="D16:D17" si="2">LOWER(LEFT(B16,1))&amp;RIGHT(B16,LEN(B16) - 1)</f>
        <v>partNo</v>
      </c>
      <c r="E16" s="31" t="str">
        <f>A.Backend!H10</f>
        <v>string</v>
      </c>
      <c r="F16" s="31" t="str">
        <f>A.Backend!G10</f>
        <v>12</v>
      </c>
      <c r="G16" s="31" t="str">
        <f t="shared" ref="G16:G19" si="3">IF(E16="string"," : string = '' ; ",IF(OR(E16="DateTime",E16="TimeSpan")," : any ;",IF(E16="int"," : number = 0 ;","")))</f>
        <v xml:space="preserve"> : string = '' ; </v>
      </c>
      <c r="H16" s="38" t="str">
        <f t="shared" ref="H16:H19" si="4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this.l('Part No'),headerTooltip: this.l('Part No'),field: 'partNo',flex: 1},</v>
      </c>
      <c r="I16" s="38" t="str">
        <f t="shared" ref="I16:I19" si="5"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IF(E16="string",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[(ngModel)]='partNo' name='partNo'
									class='form-control' [placeholder]="l('Part No')"
									type='text' (keyup.enter)='searchDatas()'&gt;
								&lt;/div&gt;</v>
      </c>
      <c r="J16" s="31"/>
      <c r="K16" s="38" t="str">
        <f t="shared" ref="K16:K19" si="6">IF(OR(E16="DateTime",E16="TimeSpan"),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IF(E16="int",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title'&gt;Part No&lt;/label&gt;
						&lt;input type='text' class='col-md-10 form-control input-text' name='PartNo' [(ngModel)]='rowdata.partNo'&gt;
					&lt;/div&gt;</v>
      </c>
      <c r="L16" s="60" t="str">
        <f t="shared" ref="L16:L19" si="7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31"/>
      <c r="N16" s="31"/>
      <c r="O16" s="31"/>
      <c r="P16" s="31"/>
      <c r="Q16" s="31"/>
      <c r="R16" s="31"/>
      <c r="S16" s="31" t="str">
        <f>REPT(CHAR(9),1)&amp;D16&amp;G16</f>
        <v xml:space="preserve">	partNo : string = '' ; </v>
      </c>
      <c r="T16" s="31" t="str">
        <f>REPT(CHAR(9),3)&amp;"this."&amp;D16&amp;","</f>
        <v xml:space="preserve">			this.partNo,</v>
      </c>
      <c r="U16" s="31" t="str">
        <f>IF(E16="int",REPT(CHAR(9),2)&amp;"this."&amp;D16&amp;" = 0,",REPT(CHAR(9),2)&amp;"this."&amp;D16&amp;" = '',")</f>
        <v xml:space="preserve">		this.partNo = '',</v>
      </c>
      <c r="V16" s="31" t="str">
        <f t="shared" ref="V16:V19" si="8">IF(AND(E16="string",F16="1"),D16,"")</f>
        <v/>
      </c>
    </row>
    <row r="17" spans="1:22" ht="18" customHeight="1" x14ac:dyDescent="0.25">
      <c r="A17" s="44" t="s">
        <v>307</v>
      </c>
      <c r="B17" s="31" t="str">
        <f t="shared" si="0"/>
        <v>LotNo</v>
      </c>
      <c r="C17" s="31" t="str">
        <f t="shared" si="1"/>
        <v>Lot No</v>
      </c>
      <c r="D17" s="31" t="str">
        <f t="shared" si="2"/>
        <v>lotNo</v>
      </c>
      <c r="E17" s="31" t="str">
        <f>A.Backend!H11</f>
        <v>string</v>
      </c>
      <c r="F17" s="31" t="str">
        <f>A.Backend!G11</f>
        <v>10</v>
      </c>
      <c r="G17" s="31" t="str">
        <f t="shared" si="3"/>
        <v xml:space="preserve"> : string = '' ; </v>
      </c>
      <c r="H17" s="38" t="str">
        <f t="shared" si="4"/>
        <v xml:space="preserve">			{headerName: this.l('Lot No'),headerTooltip: this.l('Lot No'),field: 'lotNo',flex: 1},</v>
      </c>
      <c r="I17" s="38" t="str">
        <f t="shared" si="5"/>
        <v xml:space="preserve">								&lt;div class='input-search'&gt;
									&lt;input [(ngModel)]='lotNo' name='lotNo'
									class='form-control' [placeholder]="l('Lot No')"
									type='text' (keyup.enter)='searchDatas()'&gt;
								&lt;/div&gt;</v>
      </c>
      <c r="J17" s="31"/>
      <c r="K17" s="38" t="str">
        <f t="shared" si="6"/>
        <v xml:space="preserve">					&lt;div class='col-md-12 form-group row'&gt;
						&lt;label class='col-md-2 form-control title'&gt;Lot No&lt;/label&gt;
						&lt;input type='text' class='col-md-10 form-control input-text' name='LotNo' [(ngModel)]='rowdata.lotNo'&gt;
					&lt;/div&gt;</v>
      </c>
      <c r="L17" s="60" t="str">
        <f t="shared" si="7"/>
        <v/>
      </c>
      <c r="M17" s="31"/>
      <c r="N17" s="31"/>
      <c r="O17" s="31"/>
      <c r="P17" s="31"/>
      <c r="Q17" s="31"/>
      <c r="R17" s="31"/>
      <c r="S17" s="31" t="str">
        <f t="shared" ref="S17:S19" si="9">REPT(CHAR(9),1)&amp;D17&amp;G17</f>
        <v xml:space="preserve">	lotNo : string = '' ; </v>
      </c>
      <c r="T17" s="31" t="str">
        <f t="shared" ref="T17:T19" si="10">REPT(CHAR(9),3)&amp;"this."&amp;D17&amp;","</f>
        <v xml:space="preserve">			this.lotNo,</v>
      </c>
      <c r="U17" s="31" t="str">
        <f t="shared" ref="U17:U19" si="11">IF(E17="int",REPT(CHAR(9),2)&amp;"this."&amp;D17&amp;" = 0,",REPT(CHAR(9),2)&amp;"this."&amp;D17&amp;" = '',")</f>
        <v xml:space="preserve">		this.lotNo = '',</v>
      </c>
      <c r="V17" s="31" t="str">
        <f t="shared" si="8"/>
        <v/>
      </c>
    </row>
    <row r="18" spans="1:22" ht="18" customHeight="1" x14ac:dyDescent="0.25">
      <c r="A18" s="44" t="s">
        <v>317</v>
      </c>
      <c r="B18" s="31" t="str">
        <f>SUBSTITUTE(PROPER(A18),"_","")</f>
        <v>Fixlot</v>
      </c>
      <c r="C18" s="31" t="str">
        <f>SUBSTITUTE(PROPER(A18),"_"," ")</f>
        <v>Fixlot</v>
      </c>
      <c r="D18" s="31" t="str">
        <f>LOWER(LEFT(B18,1))&amp;RIGHT(B18,LEN(B18) - 1)</f>
        <v>fixlot</v>
      </c>
      <c r="E18" s="31" t="str">
        <f>A.Backend!H12</f>
        <v>string</v>
      </c>
      <c r="F18" s="31" t="str">
        <f>A.Backend!G12</f>
        <v>4</v>
      </c>
      <c r="G18" s="31" t="str">
        <f t="shared" si="3"/>
        <v xml:space="preserve"> : string = '' ; </v>
      </c>
      <c r="H18" s="38" t="str">
        <f t="shared" si="4"/>
        <v xml:space="preserve">			{headerName: this.l('Fixlot'),headerTooltip: this.l('Fixlot'),field: 'fixlot',flex: 1},</v>
      </c>
      <c r="I18" s="38" t="str">
        <f t="shared" si="5"/>
        <v xml:space="preserve">								&lt;div class='input-search'&gt;
									&lt;input [(ngModel)]='fixlot' name='fixlot'
									class='form-control' [placeholder]="l('Fixlot')"
									type='text' (keyup.enter)='searchDatas()'&gt;
								&lt;/div&gt;</v>
      </c>
      <c r="J18" s="31"/>
      <c r="K18" s="38" t="str">
        <f t="shared" si="6"/>
        <v xml:space="preserve">					&lt;div class='col-md-12 form-group row'&gt;
						&lt;label class='col-md-2 form-control title'&gt;Fixlot&lt;/label&gt;
						&lt;input type='text' class='col-md-10 form-control input-text' name='Fixlot' [(ngModel)]='rowdata.fixlot'&gt;
					&lt;/div&gt;</v>
      </c>
      <c r="L18" s="60" t="str">
        <f t="shared" si="7"/>
        <v/>
      </c>
      <c r="M18" s="31"/>
      <c r="N18" s="31"/>
      <c r="O18" s="31"/>
      <c r="P18" s="31"/>
      <c r="Q18" s="31"/>
      <c r="R18" s="31"/>
      <c r="S18" s="31" t="str">
        <f t="shared" si="9"/>
        <v xml:space="preserve">	fixlot : string = '' ; </v>
      </c>
      <c r="T18" s="31" t="str">
        <f t="shared" si="10"/>
        <v xml:space="preserve">			this.fixlot,</v>
      </c>
      <c r="U18" s="31" t="str">
        <f t="shared" si="11"/>
        <v xml:space="preserve">		this.fixlot = '',</v>
      </c>
      <c r="V18" s="31" t="str">
        <f t="shared" si="8"/>
        <v/>
      </c>
    </row>
    <row r="19" spans="1:22" ht="15" customHeight="1" x14ac:dyDescent="0.25">
      <c r="A19" s="44" t="s">
        <v>306</v>
      </c>
      <c r="B19" s="31" t="str">
        <f t="shared" ref="B19" si="12">SUBSTITUTE(PROPER(A19),"_","")</f>
        <v>CaseNo</v>
      </c>
      <c r="C19" s="31" t="str">
        <f t="shared" ref="C19" si="13">SUBSTITUTE(PROPER(A19),"_"," ")</f>
        <v>Case No</v>
      </c>
      <c r="D19" s="31" t="str">
        <f t="shared" ref="D19" si="14">LOWER(LEFT(B19,1))&amp;RIGHT(B19,LEN(B19) - 1)</f>
        <v>caseNo</v>
      </c>
      <c r="E19" s="31" t="str">
        <f>A.Backend!H13</f>
        <v>string</v>
      </c>
      <c r="F19" s="31" t="str">
        <f>A.Backend!G13</f>
        <v>30</v>
      </c>
      <c r="G19" s="31" t="str">
        <f t="shared" si="3"/>
        <v xml:space="preserve"> : string = '' ; </v>
      </c>
      <c r="H19" s="38" t="str">
        <f t="shared" si="4"/>
        <v xml:space="preserve">			{headerName: this.l('Case No'),headerTooltip: this.l('Case No'),field: 'caseNo',flex: 1},</v>
      </c>
      <c r="I19" s="38" t="str">
        <f t="shared" si="5"/>
        <v xml:space="preserve">								&lt;div class='input-search'&gt;
									&lt;input [(ngModel)]='caseNo' name='caseNo'
									class='form-control' [placeholder]="l('Case No')"
									type='text' (keyup.enter)='searchDatas()'&gt;
								&lt;/div&gt;</v>
      </c>
      <c r="J19" s="31"/>
      <c r="K19" s="38" t="str">
        <f t="shared" si="6"/>
        <v xml:space="preserve">					&lt;div class='col-md-12 form-group row'&gt;
						&lt;label class='col-md-2 form-control title'&gt;Case No&lt;/label&gt;
						&lt;input type='text' class='col-md-10 form-control input-text' name='CaseNo' [(ngModel)]='rowdata.caseNo'&gt;
					&lt;/div&gt;</v>
      </c>
      <c r="L19" s="60" t="str">
        <f t="shared" si="7"/>
        <v/>
      </c>
      <c r="M19" s="31"/>
      <c r="N19" s="31"/>
      <c r="O19" s="31"/>
      <c r="P19" s="31"/>
      <c r="Q19" s="31"/>
      <c r="R19" s="31"/>
      <c r="S19" s="31" t="str">
        <f t="shared" si="9"/>
        <v xml:space="preserve">	caseNo : string = '' ; </v>
      </c>
      <c r="T19" s="31" t="str">
        <f t="shared" si="10"/>
        <v xml:space="preserve">			this.caseNo,</v>
      </c>
      <c r="U19" s="31" t="str">
        <f t="shared" si="11"/>
        <v xml:space="preserve">		this.caseNo = '',</v>
      </c>
      <c r="V19" s="31" t="str">
        <f t="shared" si="8"/>
        <v/>
      </c>
    </row>
    <row r="20" spans="1:22" ht="18" customHeight="1" x14ac:dyDescent="0.25">
      <c r="A20" s="44" t="s">
        <v>320</v>
      </c>
      <c r="B20" s="31" t="str">
        <f>SUBSTITUTE(PROPER(A20),"_","")</f>
        <v>ModuleNo</v>
      </c>
      <c r="C20" s="31" t="str">
        <f>SUBSTITUTE(PROPER(A20),"_"," ")</f>
        <v>Module No</v>
      </c>
      <c r="D20" s="31" t="str">
        <f>LOWER(LEFT(B20,1))&amp;RIGHT(B20,LEN(B20) - 1)</f>
        <v>moduleNo</v>
      </c>
      <c r="E20" s="31" t="str">
        <f>A.Backend!H14</f>
        <v>string</v>
      </c>
      <c r="F20" s="31" t="str">
        <f>A.Backend!G14</f>
        <v>30</v>
      </c>
      <c r="G20" s="31" t="str">
        <f>IF(E20="string"," : string = '' ; ",IF(OR(E20="DateTime",E20="TimeSpan")," : any ;",IF(E20="int"," : number = 0 ;","")))</f>
        <v xml:space="preserve"> : string = '' ; </v>
      </c>
      <c r="H20" s="38" t="str">
        <f>IF(E20="DateTime",
REPT(CHAR(9),3)&amp;"{headerName: this.l('"&amp;C20&amp;"'),headerTooltip: this.l('"&amp;C20&amp;"'),field: '"&amp;D20&amp;"',valueGetter: (params) =&gt; this.pipe.transform(params.data?."&amp;D20&amp;", 'dd/MM/yyyy'),flex: 1},",
IF(AND(E20="string",F20="1"),
REPT(CHAR(9),3)&amp;"{headerName: this.l('"&amp;C20&amp;"'),headerTooltip: this.l('"&amp;C20&amp;"'),field:  '"&amp;D20&amp;"', cellClass: ['text-center'], width: 120, cellRenderer: 'agCellButtonComponent',
buttonDefTwo: { text: params =&gt; (params.data?.'"&amp;D20&amp;"' == 'Y') ? 'Active' : 'Inactive',iconName: 'fa fa-circle',className: params =&gt; (params.data?.'"&amp;D20&amp;"' == 'Y') ? 'btnActive' : 'btnInActive',},}",
REPT(CHAR(9),3)&amp;"{headerName: this.l('"&amp;C20&amp;"'),headerTooltip: this.l('"&amp;C20&amp;"'),field: '"&amp;D20&amp;"',flex: 1},"))</f>
        <v xml:space="preserve">			{headerName: this.l('Module No'),headerTooltip: this.l('Module No'),field: 'moduleNo',flex: 1},</v>
      </c>
      <c r="I20" s="38" t="str">
        <f>IF(E20="DateTime",
REPT(CHAR(9),8)&amp;"&lt;div class='input-search'&gt;
"&amp;REPT(CHAR(9),9)&amp;"&lt;input type='text' [placeholder]=""l('"&amp;C20&amp;"')"" [(ngModel)]='"&amp;D20&amp;"' 
"&amp;REPT(CHAR(9),9)&amp;"name='"&amp;D20&amp;"'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IF(E20="string",
REPT(CHAR(9),8)&amp;"&lt;div class='input-search'&gt;
"&amp;REPT(CHAR(9),9)&amp;"&lt;input [(ngModel)]='"&amp;D20&amp;"' name='"&amp;D20&amp;"'
"&amp;REPT(CHAR(9),9)&amp;"class='form-control' [placeholder]=""l('"&amp;C20&amp;"')""
"&amp;REPT(CHAR(9),9)&amp;"type='text' (keyup.enter)='searchDatas()'&gt;
"&amp;REPT(CHAR(9),8)&amp;"&lt;/div&gt;",""))</f>
        <v xml:space="preserve">								&lt;div class='input-search'&gt;
									&lt;input [(ngModel)]='moduleNo' name='moduleNo'
									class='form-control' [placeholder]="l('Module No')"
									type='text' (keyup.enter)='searchDatas()'&gt;
								&lt;/div&gt;</v>
      </c>
      <c r="J20" s="31"/>
      <c r="K20" s="38" t="str">
        <f>IF(OR(E20="DateTime",E20="TimeSpan"),
REPT(CHAR(9),5)&amp;"&lt;div class='col-md-12 form-group row'&gt;
"&amp;REPT(CHAR(9),6)&amp;"&lt;label class='col-md-2 form-control title'&gt;"&amp;C20&amp;"&lt;/label&gt;
"&amp;REPT(CHAR(9),6)&amp;"&lt;input type='text' class='col-md-10 form-control input-text' name='"&amp;D20&amp;"' 
"&amp;REPT(CHAR(9),6)&amp;"#datepicker='bsDatepicker' [(ngModel)]='rowdata."&amp;D20&amp;"'  bsDatepicker &gt;
"&amp;REPT(CHAR(9),5)&amp;"&lt;/div&gt;",
IF(AND(E20="string",F20="1"),
REPT(CHAR(9),5)&amp;"&lt;div class='col-md-12 form-group row'&gt;
"&amp;REPT(CHAR(9),6)&amp;"&lt;label class='col-md-2 form-control title'&gt;"&amp;C20&amp;"&lt;/label&gt;
"&amp;REPT(CHAR(9),6)&amp;"&lt;new-checkbox [(ngModel)]='_"&amp;D20&amp;"' name='"&amp;D20&amp;"' className='col-md-10' &gt; &lt;/new-checkbox&gt;
"&amp;REPT(CHAR(9),5)&amp;"&lt;/div&gt;",
IF(E20="string",
REPT(CHAR(9),5)&amp;"&lt;div class='col-md-12 form-group row'&gt;
"&amp;REPT(CHAR(9),6)&amp;"&lt;label class='col-md-2 form-control title'&gt;"&amp;C20&amp;"&lt;/label&gt;
"&amp;REPT(CHAR(9),6)&amp;"&lt;input type='text' class='col-md-10 form-control input-text' name='"&amp;B20&amp;"' [(ngModel)]='rowdata."&amp;D20&amp;"'&gt;
"&amp;REPT(CHAR(9),5)&amp;"&lt;/div&gt;",
IF(E20="int",
REPT(CHAR(9),5)&amp;"&lt;div class='col-md-12 form-group row'&gt;
"&amp;REPT(CHAR(9),6)&amp;"&lt;label class='col-md-2 form-control title'&gt;"&amp;C20&amp;"&lt;/label&gt;
"&amp;REPT(CHAR(9),6)&amp;"&lt;input type='number' class='col-md-10 form-control input-text' name='"&amp;B20&amp;"' [(ngModel)]='rowdata."&amp;D20&amp;"'&gt;
"&amp;REPT(CHAR(9),5)&amp;"&lt;/div&gt;",""))))</f>
        <v xml:space="preserve">					&lt;div class='col-md-12 form-group row'&gt;
						&lt;label class='col-md-2 form-control title'&gt;Module No&lt;/label&gt;
						&lt;input type='text' class='col-md-10 form-control input-text' name='ModuleNo' [(ngModel)]='rowdata.moduleNo'&gt;
					&lt;/div&gt;</v>
      </c>
      <c r="L20" s="60" t="str">
        <f>IF(E20="DateTime",
REPT(CHAR(9),2)&amp;"const dateValue =  this.rowdata."&amp;D20&amp;" ? new Date(this.rowdata."&amp;D20&amp;"?.toString()) : new Date();
"&amp;REPT(CHAR(9),2)&amp;"this.datepicker?.bsValueChange.emit(dateValue);","")</f>
        <v/>
      </c>
      <c r="M20" s="31"/>
      <c r="N20" s="31"/>
      <c r="O20" s="31"/>
      <c r="P20" s="31"/>
      <c r="Q20" s="31"/>
      <c r="R20" s="31"/>
      <c r="S20" s="31" t="str">
        <f>D20&amp;G20</f>
        <v xml:space="preserve">moduleNo : string = '' ; </v>
      </c>
      <c r="T20" s="31" t="str">
        <f>REPT(CHAR(9),3)&amp;"this."&amp;D20&amp;","</f>
        <v xml:space="preserve">			this.moduleNo,</v>
      </c>
      <c r="U20" s="31" t="str">
        <f>IF(E20="int","this."&amp;D20&amp;" = 0,","this."&amp;D20&amp;" = '',")</f>
        <v>this.moduleNo = '',</v>
      </c>
      <c r="V20" s="31" t="str">
        <f>IF(AND(E20="string",F20="1"),D20,"")</f>
        <v/>
      </c>
    </row>
    <row r="21" spans="1:22" ht="15" customHeight="1" x14ac:dyDescent="0.25">
      <c r="A21" s="44" t="s">
        <v>308</v>
      </c>
      <c r="B21" s="31" t="str">
        <f t="shared" ref="B21:B22" si="15">SUBSTITUTE(PROPER(A21),"_","")</f>
        <v>ContainerNo</v>
      </c>
      <c r="C21" s="31" t="str">
        <f t="shared" ref="C21:C22" si="16">SUBSTITUTE(PROPER(A21),"_"," ")</f>
        <v>Container No</v>
      </c>
      <c r="D21" s="31" t="str">
        <f t="shared" ref="D21:D22" si="17">LOWER(LEFT(B21,1))&amp;RIGHT(B21,LEN(B21) - 1)</f>
        <v>containerNo</v>
      </c>
      <c r="E21" s="31" t="str">
        <f>A.Backend!H15</f>
        <v>string</v>
      </c>
      <c r="F21" s="31" t="str">
        <f>A.Backend!G15</f>
        <v>15</v>
      </c>
      <c r="G21" s="31" t="str">
        <f t="shared" ref="G21:G24" si="18">IF(E21="string"," : string = '' ; ",IF(OR(E21="DateTime",E21="TimeSpan")," : any ;",IF(E21="int"," : number = 0 ;","")))</f>
        <v xml:space="preserve"> : string = '' ; </v>
      </c>
      <c r="H21" s="38" t="str">
        <f t="shared" ref="H21:H24" si="19">IF(E21="DateTime",
REPT(CHAR(9),3)&amp;"{headerName: this.l('"&amp;C21&amp;"'),headerTooltip: this.l('"&amp;C21&amp;"'),field: '"&amp;D21&amp;"',valueGetter: (params) =&gt; this.pipe.transform(params.data?."&amp;D21&amp;", 'dd/MM/yyyy'),flex: 1},",
IF(AND(E21="string",F21="1"),
REPT(CHAR(9),3)&amp;"{headerName: this.l('"&amp;C21&amp;"'),headerTooltip: this.l('"&amp;C21&amp;"'),field:  '"&amp;D21&amp;"', cellClass: ['text-center'], width: 120, cellRenderer: 'agCellButtonComponent',
buttonDefTwo: { text: params =&gt; (params.data?.'"&amp;D21&amp;"' == 'Y') ? 'Active' : 'Inactive',iconName: 'fa fa-circle',className: params =&gt; (params.data?.'"&amp;D21&amp;"' == 'Y') ? 'btnActive' : 'btnInActive',},}",
REPT(CHAR(9),3)&amp;"{headerName: this.l('"&amp;C21&amp;"'),headerTooltip: this.l('"&amp;C21&amp;"'),field: '"&amp;D21&amp;"',flex: 1},"))</f>
        <v xml:space="preserve">			{headerName: this.l('Container No'),headerTooltip: this.l('Container No'),field: 'containerNo',flex: 1},</v>
      </c>
      <c r="I21" s="38" t="str">
        <f t="shared" ref="I21:I24" si="20">IF(E21="DateTime",
REPT(CHAR(9),8)&amp;"&lt;div class='input-search'&gt;
"&amp;REPT(CHAR(9),9)&amp;"&lt;input type='text' [placeholder]=""l('"&amp;C21&amp;"')"" [(ngModel)]='"&amp;D21&amp;"' 
"&amp;REPT(CHAR(9),9)&amp;"name='"&amp;D21&amp;"'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IF(E21="string",
REPT(CHAR(9),8)&amp;"&lt;div class='input-search'&gt;
"&amp;REPT(CHAR(9),9)&amp;"&lt;input [(ngModel)]='"&amp;D21&amp;"' name='"&amp;D21&amp;"'
"&amp;REPT(CHAR(9),9)&amp;"class='form-control' [placeholder]=""l('"&amp;C21&amp;"')""
"&amp;REPT(CHAR(9),9)&amp;"type='text' (keyup.enter)='searchDatas()'&gt;
"&amp;REPT(CHAR(9),8)&amp;"&lt;/div&gt;",""))</f>
        <v xml:space="preserve">								&lt;div class='input-search'&gt;
									&lt;input [(ngModel)]='containerNo' name='containerNo'
									class='form-control' [placeholder]="l('Container No')"
									type='text' (keyup.enter)='searchDatas()'&gt;
								&lt;/div&gt;</v>
      </c>
      <c r="J21" s="31"/>
      <c r="K21" s="38" t="str">
        <f t="shared" ref="K21:K24" si="21">IF(OR(E21="DateTime",E21="TimeSpan"),
REPT(CHAR(9),5)&amp;"&lt;div class='col-md-12 form-group row'&gt;
"&amp;REPT(CHAR(9),6)&amp;"&lt;label class='col-md-2 form-control title'&gt;"&amp;C21&amp;"&lt;/label&gt;
"&amp;REPT(CHAR(9),6)&amp;"&lt;input type='text' class='col-md-10 form-control input-text' name='"&amp;D21&amp;"' 
"&amp;REPT(CHAR(9),6)&amp;"#datepicker='bsDatepicker' [(ngModel)]='rowdata."&amp;D21&amp;"'  bsDatepicker &gt;
"&amp;REPT(CHAR(9),5)&amp;"&lt;/div&gt;",
IF(AND(E21="string",F21="1"),
REPT(CHAR(9),5)&amp;"&lt;div class='col-md-12 form-group row'&gt;
"&amp;REPT(CHAR(9),6)&amp;"&lt;label class='col-md-2 form-control title'&gt;"&amp;C21&amp;"&lt;/label&gt;
"&amp;REPT(CHAR(9),6)&amp;"&lt;new-checkbox [(ngModel)]='_"&amp;D21&amp;"' name='"&amp;D21&amp;"' className='col-md-10' &gt; &lt;/new-checkbox&gt;
"&amp;REPT(CHAR(9),5)&amp;"&lt;/div&gt;",
IF(E21="string",
REPT(CHAR(9),5)&amp;"&lt;div class='col-md-12 form-group row'&gt;
"&amp;REPT(CHAR(9),6)&amp;"&lt;label class='col-md-2 form-control title'&gt;"&amp;C21&amp;"&lt;/label&gt;
"&amp;REPT(CHAR(9),6)&amp;"&lt;input type='text' class='col-md-10 form-control input-text' name='"&amp;B21&amp;"' [(ngModel)]='rowdata."&amp;D21&amp;"'&gt;
"&amp;REPT(CHAR(9),5)&amp;"&lt;/div&gt;",
IF(E21="int",
REPT(CHAR(9),5)&amp;"&lt;div class='col-md-12 form-group row'&gt;
"&amp;REPT(CHAR(9),6)&amp;"&lt;label class='col-md-2 form-control title'&gt;"&amp;C21&amp;"&lt;/label&gt;
"&amp;REPT(CHAR(9),6)&amp;"&lt;input type='number' class='col-md-10 form-control input-text' name='"&amp;B21&amp;"' [(ngModel)]='rowdata."&amp;D21&amp;"'&gt;
"&amp;REPT(CHAR(9),5)&amp;"&lt;/div&gt;",""))))</f>
        <v xml:space="preserve">					&lt;div class='col-md-12 form-group row'&gt;
						&lt;label class='col-md-2 form-control title'&gt;Container No&lt;/label&gt;
						&lt;input type='text' class='col-md-10 form-control input-text' name='ContainerNo' [(ngModel)]='rowdata.containerNo'&gt;
					&lt;/div&gt;</v>
      </c>
      <c r="L21" s="60" t="str">
        <f t="shared" ref="L21:L24" si="22">IF(E21="DateTime",
REPT(CHAR(9),2)&amp;"const dateValue =  this.rowdata."&amp;D21&amp;" ? new Date(this.rowdata."&amp;D21&amp;"?.toString()) : new Date();
"&amp;REPT(CHAR(9),2)&amp;"this.datepicker?.bsValueChange.emit(dateValue);","")</f>
        <v/>
      </c>
      <c r="M21" s="31"/>
      <c r="N21" s="31"/>
      <c r="O21" s="31"/>
      <c r="P21" s="31"/>
      <c r="Q21" s="31"/>
      <c r="R21" s="31"/>
      <c r="S21" s="31" t="str">
        <f>REPT(CHAR(9),1)&amp;D21&amp;G21</f>
        <v xml:space="preserve">	containerNo : string = '' ; </v>
      </c>
      <c r="T21" s="31" t="str">
        <f>REPT(CHAR(9),3)&amp;"this."&amp;D21&amp;","</f>
        <v xml:space="preserve">			this.containerNo,</v>
      </c>
      <c r="U21" s="31" t="str">
        <f>IF(E21="int",REPT(CHAR(9),2)&amp;"this."&amp;D21&amp;" = 0,",REPT(CHAR(9),2)&amp;"this."&amp;D21&amp;" = '',")</f>
        <v xml:space="preserve">		this.containerNo = '',</v>
      </c>
      <c r="V21" s="31" t="str">
        <f t="shared" ref="V21:V24" si="23">IF(AND(E21="string",F21="1"),D21,"")</f>
        <v/>
      </c>
    </row>
    <row r="22" spans="1:22" ht="18" customHeight="1" x14ac:dyDescent="0.25">
      <c r="A22" s="44" t="s">
        <v>301</v>
      </c>
      <c r="B22" s="31" t="str">
        <f t="shared" si="15"/>
        <v>SupplierNo</v>
      </c>
      <c r="C22" s="31" t="str">
        <f t="shared" si="16"/>
        <v>Supplier No</v>
      </c>
      <c r="D22" s="31" t="str">
        <f t="shared" si="17"/>
        <v>supplierNo</v>
      </c>
      <c r="E22" s="31" t="str">
        <f>A.Backend!H16</f>
        <v>string</v>
      </c>
      <c r="F22" s="31" t="str">
        <f>A.Backend!G16</f>
        <v>10</v>
      </c>
      <c r="G22" s="31" t="str">
        <f t="shared" si="18"/>
        <v xml:space="preserve"> : string = '' ; </v>
      </c>
      <c r="H22" s="38" t="str">
        <f t="shared" si="19"/>
        <v xml:space="preserve">			{headerName: this.l('Supplier No'),headerTooltip: this.l('Supplier No'),field: 'supplierNo',flex: 1},</v>
      </c>
      <c r="I22" s="38" t="str">
        <f t="shared" si="20"/>
        <v xml:space="preserve">								&lt;div class='input-search'&gt;
									&lt;input [(ngModel)]='supplierNo' name='supplierNo'
									class='form-control' [placeholder]="l('Supplier No')"
									type='text' (keyup.enter)='searchDatas()'&gt;
								&lt;/div&gt;</v>
      </c>
      <c r="J22" s="31"/>
      <c r="K22" s="38" t="str">
        <f t="shared" si="21"/>
        <v xml:space="preserve">					&lt;div class='col-md-12 form-group row'&gt;
						&lt;label class='col-md-2 form-control title'&gt;Supplier No&lt;/label&gt;
						&lt;input type='text' class='col-md-10 form-control input-text' name='SupplierNo' [(ngModel)]='rowdata.supplierNo'&gt;
					&lt;/div&gt;</v>
      </c>
      <c r="L22" s="60" t="str">
        <f t="shared" si="22"/>
        <v/>
      </c>
      <c r="M22" s="31"/>
      <c r="N22" s="31"/>
      <c r="O22" s="31"/>
      <c r="P22" s="31"/>
      <c r="Q22" s="31"/>
      <c r="R22" s="31"/>
      <c r="S22" s="31" t="str">
        <f t="shared" ref="S22:S24" si="24">REPT(CHAR(9),1)&amp;D22&amp;G22</f>
        <v xml:space="preserve">	supplierNo : string = '' ; </v>
      </c>
      <c r="T22" s="31" t="str">
        <f t="shared" ref="T22:T24" si="25">REPT(CHAR(9),3)&amp;"this."&amp;D22&amp;","</f>
        <v xml:space="preserve">			this.supplierNo,</v>
      </c>
      <c r="U22" s="31" t="str">
        <f t="shared" ref="U22:U24" si="26">IF(E22="int",REPT(CHAR(9),2)&amp;"this."&amp;D22&amp;" = 0,",REPT(CHAR(9),2)&amp;"this."&amp;D22&amp;" = '',")</f>
        <v xml:space="preserve">		this.supplierNo = '',</v>
      </c>
      <c r="V22" s="31" t="str">
        <f t="shared" si="23"/>
        <v/>
      </c>
    </row>
    <row r="23" spans="1:22" ht="18" customHeight="1" x14ac:dyDescent="0.25">
      <c r="A23" s="44" t="s">
        <v>322</v>
      </c>
      <c r="B23" s="31" t="str">
        <f>SUBSTITUTE(PROPER(A23),"_","")</f>
        <v>UsageQty</v>
      </c>
      <c r="C23" s="31" t="str">
        <f>SUBSTITUTE(PROPER(A23),"_"," ")</f>
        <v>Usage Qty</v>
      </c>
      <c r="D23" s="31" t="str">
        <f>LOWER(LEFT(B23,1))&amp;RIGHT(B23,LEN(B23) - 1)</f>
        <v>usageQty</v>
      </c>
      <c r="E23" s="31" t="str">
        <f>A.Backend!H17</f>
        <v>decimal</v>
      </c>
      <c r="F23" s="31" t="str">
        <f>A.Backend!G17</f>
        <v>6, 0</v>
      </c>
      <c r="G23" s="31" t="str">
        <f t="shared" si="18"/>
        <v/>
      </c>
      <c r="H23" s="38" t="str">
        <f t="shared" si="19"/>
        <v xml:space="preserve">			{headerName: this.l('Usage Qty'),headerTooltip: this.l('Usage Qty'),field: 'usageQty',flex: 1},</v>
      </c>
      <c r="I23" s="38" t="str">
        <f t="shared" si="20"/>
        <v/>
      </c>
      <c r="J23" s="31"/>
      <c r="K23" s="38" t="str">
        <f t="shared" si="21"/>
        <v/>
      </c>
      <c r="L23" s="60" t="str">
        <f t="shared" si="22"/>
        <v/>
      </c>
      <c r="M23" s="31"/>
      <c r="N23" s="31"/>
      <c r="O23" s="31"/>
      <c r="P23" s="31"/>
      <c r="Q23" s="31"/>
      <c r="R23" s="31"/>
      <c r="S23" s="31" t="str">
        <f t="shared" si="24"/>
        <v xml:space="preserve">	usageQty</v>
      </c>
      <c r="T23" s="31" t="str">
        <f t="shared" si="25"/>
        <v xml:space="preserve">			this.usageQty,</v>
      </c>
      <c r="U23" s="31" t="str">
        <f t="shared" si="26"/>
        <v xml:space="preserve">		this.usageQty = '',</v>
      </c>
      <c r="V23" s="31" t="str">
        <f t="shared" si="23"/>
        <v/>
      </c>
    </row>
    <row r="24" spans="1:22" ht="15" customHeight="1" x14ac:dyDescent="0.25">
      <c r="A24" s="44" t="s">
        <v>324</v>
      </c>
      <c r="B24" s="31" t="str">
        <f t="shared" ref="B24" si="27">SUBSTITUTE(PROPER(A24),"_","")</f>
        <v>PartName</v>
      </c>
      <c r="C24" s="31" t="str">
        <f t="shared" ref="C24" si="28">SUBSTITUTE(PROPER(A24),"_"," ")</f>
        <v>Part Name</v>
      </c>
      <c r="D24" s="31" t="str">
        <f t="shared" ref="D24" si="29">LOWER(LEFT(B24,1))&amp;RIGHT(B24,LEN(B24) - 1)</f>
        <v>partName</v>
      </c>
      <c r="E24" s="31" t="str">
        <f>A.Backend!H18</f>
        <v>string</v>
      </c>
      <c r="F24" s="31" t="str">
        <f>A.Backend!G18</f>
        <v>300</v>
      </c>
      <c r="G24" s="31" t="str">
        <f t="shared" si="18"/>
        <v xml:space="preserve"> : string = '' ; </v>
      </c>
      <c r="H24" s="38" t="str">
        <f t="shared" si="19"/>
        <v xml:space="preserve">			{headerName: this.l('Part Name'),headerTooltip: this.l('Part Name'),field: 'partName',flex: 1},</v>
      </c>
      <c r="I24" s="38" t="str">
        <f t="shared" si="20"/>
        <v xml:space="preserve">								&lt;div class='input-search'&gt;
									&lt;input [(ngModel)]='partName' name='partName'
									class='form-control' [placeholder]="l('Part Name')"
									type='text' (keyup.enter)='searchDatas()'&gt;
								&lt;/div&gt;</v>
      </c>
      <c r="J24" s="31"/>
      <c r="K24" s="38" t="str">
        <f t="shared" si="21"/>
        <v xml:space="preserve">					&lt;div class='col-md-12 form-group row'&gt;
						&lt;label class='col-md-2 form-control title'&gt;Part Name&lt;/label&gt;
						&lt;input type='text' class='col-md-10 form-control input-text' name='PartName' [(ngModel)]='rowdata.partName'&gt;
					&lt;/div&gt;</v>
      </c>
      <c r="L24" s="60" t="str">
        <f t="shared" si="22"/>
        <v/>
      </c>
      <c r="M24" s="31"/>
      <c r="N24" s="31"/>
      <c r="O24" s="31"/>
      <c r="P24" s="31"/>
      <c r="Q24" s="31"/>
      <c r="R24" s="31"/>
      <c r="S24" s="31" t="str">
        <f t="shared" si="24"/>
        <v xml:space="preserve">	partName : string = '' ; </v>
      </c>
      <c r="T24" s="31" t="str">
        <f t="shared" si="25"/>
        <v xml:space="preserve">			this.partName,</v>
      </c>
      <c r="U24" s="31" t="str">
        <f t="shared" si="26"/>
        <v xml:space="preserve">		this.partName = '',</v>
      </c>
      <c r="V24" s="31" t="str">
        <f t="shared" si="23"/>
        <v/>
      </c>
    </row>
    <row r="25" spans="1:22" ht="18" customHeight="1" x14ac:dyDescent="0.25">
      <c r="A25" s="44" t="s">
        <v>326</v>
      </c>
      <c r="B25" s="31" t="str">
        <f>SUBSTITUTE(PROPER(A25),"_","")</f>
        <v>CarfamilyCode</v>
      </c>
      <c r="C25" s="31" t="str">
        <f>SUBSTITUTE(PROPER(A25),"_"," ")</f>
        <v>Carfamily Code</v>
      </c>
      <c r="D25" s="31" t="str">
        <f>LOWER(LEFT(B25,1))&amp;RIGHT(B25,LEN(B25) - 1)</f>
        <v>carfamilyCode</v>
      </c>
      <c r="E25" s="31" t="str">
        <f>A.Backend!H19</f>
        <v>string</v>
      </c>
      <c r="F25" s="31" t="str">
        <f>A.Backend!G19</f>
        <v>4</v>
      </c>
      <c r="G25" s="31" t="str">
        <f>IF(E25="string"," : string = '' ; ",IF(OR(E25="DateTime",E25="TimeSpan")," : any ;",IF(E25="int"," : number = 0 ;","")))</f>
        <v xml:space="preserve"> : string = '' ; </v>
      </c>
      <c r="H25" s="38" t="str">
        <f>IF(E25="DateTime",
REPT(CHAR(9),3)&amp;"{headerName: this.l('"&amp;C25&amp;"'),headerTooltip: this.l('"&amp;C25&amp;"'),field: '"&amp;D25&amp;"',valueGetter: (params) =&gt; this.pipe.transform(params.data?."&amp;D25&amp;", 'dd/MM/yyyy'),flex: 1},",
IF(AND(E25="string",F25="1"),
REPT(CHAR(9),3)&amp;"{headerName: this.l('"&amp;C25&amp;"'),headerTooltip: this.l('"&amp;C25&amp;"'),field:  '"&amp;D25&amp;"', cellClass: ['text-center'], width: 120, cellRenderer: 'agCellButtonComponent',
buttonDefTwo: { text: params =&gt; (params.data?.'"&amp;D25&amp;"' == 'Y') ? 'Active' : 'Inactive',iconName: 'fa fa-circle',className: params =&gt; (params.data?.'"&amp;D25&amp;"' == 'Y') ? 'btnActive' : 'btnInActive',},}",
REPT(CHAR(9),3)&amp;"{headerName: this.l('"&amp;C25&amp;"'),headerTooltip: this.l('"&amp;C25&amp;"'),field: '"&amp;D25&amp;"',flex: 1},"))</f>
        <v xml:space="preserve">			{headerName: this.l('Carfamily Code'),headerTooltip: this.l('Carfamily Code'),field: 'carfamilyCode',flex: 1},</v>
      </c>
      <c r="I25" s="38" t="str">
        <f>IF(E25="DateTime",
REPT(CHAR(9),8)&amp;"&lt;div class='input-search'&gt;
"&amp;REPT(CHAR(9),9)&amp;"&lt;input type='text' [placeholder]=""l('"&amp;C25&amp;"')"" [(ngModel)]='"&amp;D25&amp;"' 
"&amp;REPT(CHAR(9),9)&amp;"name='"&amp;D25&amp;"'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IF(E25="string",
REPT(CHAR(9),8)&amp;"&lt;div class='input-search'&gt;
"&amp;REPT(CHAR(9),9)&amp;"&lt;input [(ngModel)]='"&amp;D25&amp;"' name='"&amp;D25&amp;"'
"&amp;REPT(CHAR(9),9)&amp;"class='form-control' [placeholder]=""l('"&amp;C25&amp;"')""
"&amp;REPT(CHAR(9),9)&amp;"type='text' (keyup.enter)='searchDatas()'&gt;
"&amp;REPT(CHAR(9),8)&amp;"&lt;/div&gt;",""))</f>
        <v xml:space="preserve">								&lt;div class='input-search'&gt;
									&lt;input [(ngModel)]='carfamilyCode' name='carfamilyCode'
									class='form-control' [placeholder]="l('Carfamily Code')"
									type='text' (keyup.enter)='searchDatas()'&gt;
								&lt;/div&gt;</v>
      </c>
      <c r="J25" s="31"/>
      <c r="K25" s="38" t="str">
        <f>IF(OR(E25="DateTime",E25="TimeSpan"),
REPT(CHAR(9),5)&amp;"&lt;div class='col-md-12 form-group row'&gt;
"&amp;REPT(CHAR(9),6)&amp;"&lt;label class='col-md-2 form-control title'&gt;"&amp;C25&amp;"&lt;/label&gt;
"&amp;REPT(CHAR(9),6)&amp;"&lt;input type='text' class='col-md-10 form-control input-text' name='"&amp;D25&amp;"' 
"&amp;REPT(CHAR(9),6)&amp;"#datepicker='bsDatepicker' [(ngModel)]='rowdata."&amp;D25&amp;"'  bsDatepicker &gt;
"&amp;REPT(CHAR(9),5)&amp;"&lt;/div&gt;",
IF(AND(E25="string",F25="1"),
REPT(CHAR(9),5)&amp;"&lt;div class='col-md-12 form-group row'&gt;
"&amp;REPT(CHAR(9),6)&amp;"&lt;label class='col-md-2 form-control title'&gt;"&amp;C25&amp;"&lt;/label&gt;
"&amp;REPT(CHAR(9),6)&amp;"&lt;new-checkbox [(ngModel)]='_"&amp;D25&amp;"' name='"&amp;D25&amp;"' className='col-md-10' &gt; &lt;/new-checkbox&gt;
"&amp;REPT(CHAR(9),5)&amp;"&lt;/div&gt;",
IF(E25="string",
REPT(CHAR(9),5)&amp;"&lt;div class='col-md-12 form-group row'&gt;
"&amp;REPT(CHAR(9),6)&amp;"&lt;label class='col-md-2 form-control title'&gt;"&amp;C25&amp;"&lt;/label&gt;
"&amp;REPT(CHAR(9),6)&amp;"&lt;input type='text' class='col-md-10 form-control input-text' name='"&amp;B25&amp;"' [(ngModel)]='rowdata."&amp;D25&amp;"'&gt;
"&amp;REPT(CHAR(9),5)&amp;"&lt;/div&gt;",
IF(E25="int",
REPT(CHAR(9),5)&amp;"&lt;div class='col-md-12 form-group row'&gt;
"&amp;REPT(CHAR(9),6)&amp;"&lt;label class='col-md-2 form-control title'&gt;"&amp;C25&amp;"&lt;/label&gt;
"&amp;REPT(CHAR(9),6)&amp;"&lt;input type='number' class='col-md-10 form-control input-text' name='"&amp;B25&amp;"' [(ngModel)]='rowdata."&amp;D25&amp;"'&gt;
"&amp;REPT(CHAR(9),5)&amp;"&lt;/div&gt;",""))))</f>
        <v xml:space="preserve">					&lt;div class='col-md-12 form-group row'&gt;
						&lt;label class='col-md-2 form-control title'&gt;Carfamily Code&lt;/label&gt;
						&lt;input type='text' class='col-md-10 form-control input-text' name='CarfamilyCode' [(ngModel)]='rowdata.carfamilyCode'&gt;
					&lt;/div&gt;</v>
      </c>
      <c r="L25" s="60" t="str">
        <f>IF(E25="DateTime",
REPT(CHAR(9),2)&amp;"const dateValue =  this.rowdata."&amp;D25&amp;" ? new Date(this.rowdata."&amp;D25&amp;"?.toString()) : new Date();
"&amp;REPT(CHAR(9),2)&amp;"this.datepicker?.bsValueChange.emit(dateValue);","")</f>
        <v/>
      </c>
      <c r="M25" s="31"/>
      <c r="N25" s="31"/>
      <c r="O25" s="31"/>
      <c r="P25" s="31"/>
      <c r="Q25" s="31"/>
      <c r="R25" s="31"/>
      <c r="S25" s="31" t="str">
        <f>D25&amp;G25</f>
        <v xml:space="preserve">carfamilyCode : string = '' ; </v>
      </c>
      <c r="T25" s="31" t="str">
        <f>REPT(CHAR(9),3)&amp;"this."&amp;D25&amp;","</f>
        <v xml:space="preserve">			this.carfamilyCode,</v>
      </c>
      <c r="U25" s="31" t="str">
        <f>IF(E25="int","this."&amp;D25&amp;" = 0,","this."&amp;D25&amp;" = '',")</f>
        <v>this.carfamilyCode = '',</v>
      </c>
      <c r="V25" s="31" t="str">
        <f>IF(AND(E25="string",F25="1"),D25,"")</f>
        <v/>
      </c>
    </row>
    <row r="26" spans="1:22" ht="15" customHeight="1" x14ac:dyDescent="0.25">
      <c r="A26" s="44" t="s">
        <v>327</v>
      </c>
      <c r="B26" s="31" t="str">
        <f t="shared" ref="B26:B27" si="30">SUBSTITUTE(PROPER(A26),"_","")</f>
        <v>InvoiceParentId</v>
      </c>
      <c r="C26" s="31" t="str">
        <f t="shared" ref="C26:C27" si="31">SUBSTITUTE(PROPER(A26),"_"," ")</f>
        <v>Invoice Parent Id</v>
      </c>
      <c r="D26" s="31" t="str">
        <f t="shared" ref="D26:D27" si="32">LOWER(LEFT(B26,1))&amp;RIGHT(B26,LEN(B26) - 1)</f>
        <v>invoiceParentId</v>
      </c>
      <c r="E26" s="31" t="str">
        <f>A.Backend!H20</f>
        <v>long</v>
      </c>
      <c r="F26" s="31" t="str">
        <f>A.Backend!G20</f>
        <v/>
      </c>
      <c r="G26" s="31" t="str">
        <f t="shared" ref="G26:G28" si="33">IF(E26="string"," : string = '' ; ",IF(OR(E26="DateTime",E26="TimeSpan")," : any ;",IF(E26="int"," : number = 0 ;","")))</f>
        <v/>
      </c>
      <c r="H26" s="38" t="str">
        <f t="shared" ref="H26:H28" si="34">IF(E26="DateTime",
REPT(CHAR(9),3)&amp;"{headerName: this.l('"&amp;C26&amp;"'),headerTooltip: this.l('"&amp;C26&amp;"'),field: '"&amp;D26&amp;"',valueGetter: (params) =&gt; this.pipe.transform(params.data?."&amp;D26&amp;", 'dd/MM/yyyy'),flex: 1},",
IF(AND(E26="string",F26="1"),
REPT(CHAR(9),3)&amp;"{headerName: this.l('"&amp;C26&amp;"'),headerTooltip: this.l('"&amp;C26&amp;"'),field:  '"&amp;D26&amp;"', cellClass: ['text-center'], width: 120, cellRenderer: 'agCellButtonComponent',
buttonDefTwo: { text: params =&gt; (params.data?.'"&amp;D26&amp;"' == 'Y') ? 'Active' : 'Inactive',iconName: 'fa fa-circle',className: params =&gt; (params.data?.'"&amp;D26&amp;"' == 'Y') ? 'btnActive' : 'btnInActive',},}",
REPT(CHAR(9),3)&amp;"{headerName: this.l('"&amp;C26&amp;"'),headerTooltip: this.l('"&amp;C26&amp;"'),field: '"&amp;D26&amp;"',flex: 1},"))</f>
        <v xml:space="preserve">			{headerName: this.l('Invoice Parent Id'),headerTooltip: this.l('Invoice Parent Id'),field: 'invoiceParentId',flex: 1},</v>
      </c>
      <c r="I26" s="38" t="str">
        <f t="shared" ref="I26:I28" si="35">IF(E26="DateTime",
REPT(CHAR(9),8)&amp;"&lt;div class='input-search'&gt;
"&amp;REPT(CHAR(9),9)&amp;"&lt;input type='text' [placeholder]=""l('"&amp;C26&amp;"')"" [(ngModel)]='"&amp;D26&amp;"' 
"&amp;REPT(CHAR(9),9)&amp;"name='"&amp;D26&amp;"'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IF(E26="string",
REPT(CHAR(9),8)&amp;"&lt;div class='input-search'&gt;
"&amp;REPT(CHAR(9),9)&amp;"&lt;input [(ngModel)]='"&amp;D26&amp;"' name='"&amp;D26&amp;"'
"&amp;REPT(CHAR(9),9)&amp;"class='form-control' [placeholder]=""l('"&amp;C26&amp;"')""
"&amp;REPT(CHAR(9),9)&amp;"type='text' (keyup.enter)='searchDatas()'&gt;
"&amp;REPT(CHAR(9),8)&amp;"&lt;/div&gt;",""))</f>
        <v/>
      </c>
      <c r="J26" s="31"/>
      <c r="K26" s="38" t="str">
        <f t="shared" ref="K26:K28" si="36">IF(OR(E26="DateTime",E26="TimeSpan"),
REPT(CHAR(9),5)&amp;"&lt;div class='col-md-12 form-group row'&gt;
"&amp;REPT(CHAR(9),6)&amp;"&lt;label class='col-md-2 form-control title'&gt;"&amp;C26&amp;"&lt;/label&gt;
"&amp;REPT(CHAR(9),6)&amp;"&lt;input type='text' class='col-md-10 form-control input-text' name='"&amp;D26&amp;"' 
"&amp;REPT(CHAR(9),6)&amp;"#datepicker='bsDatepicker' [(ngModel)]='rowdata."&amp;D26&amp;"'  bsDatepicker &gt;
"&amp;REPT(CHAR(9),5)&amp;"&lt;/div&gt;",
IF(AND(E26="string",F26="1"),
REPT(CHAR(9),5)&amp;"&lt;div class='col-md-12 form-group row'&gt;
"&amp;REPT(CHAR(9),6)&amp;"&lt;label class='col-md-2 form-control title'&gt;"&amp;C26&amp;"&lt;/label&gt;
"&amp;REPT(CHAR(9),6)&amp;"&lt;new-checkbox [(ngModel)]='_"&amp;D26&amp;"' name='"&amp;D26&amp;"' className='col-md-10' &gt; &lt;/new-checkbox&gt;
"&amp;REPT(CHAR(9),5)&amp;"&lt;/div&gt;",
IF(E26="string",
REPT(CHAR(9),5)&amp;"&lt;div class='col-md-12 form-group row'&gt;
"&amp;REPT(CHAR(9),6)&amp;"&lt;label class='col-md-2 form-control title'&gt;"&amp;C26&amp;"&lt;/label&gt;
"&amp;REPT(CHAR(9),6)&amp;"&lt;input type='text' class='col-md-10 form-control input-text' name='"&amp;B26&amp;"' [(ngModel)]='rowdata."&amp;D26&amp;"'&gt;
"&amp;REPT(CHAR(9),5)&amp;"&lt;/div&gt;",
IF(E26="int",
REPT(CHAR(9),5)&amp;"&lt;div class='col-md-12 form-group row'&gt;
"&amp;REPT(CHAR(9),6)&amp;"&lt;label class='col-md-2 form-control title'&gt;"&amp;C26&amp;"&lt;/label&gt;
"&amp;REPT(CHAR(9),6)&amp;"&lt;input type='number' class='col-md-10 form-control input-text' name='"&amp;B26&amp;"' [(ngModel)]='rowdata."&amp;D26&amp;"'&gt;
"&amp;REPT(CHAR(9),5)&amp;"&lt;/div&gt;",""))))</f>
        <v/>
      </c>
      <c r="L26" s="60" t="str">
        <f t="shared" ref="L26:L28" si="37">IF(E26="DateTime",
REPT(CHAR(9),2)&amp;"const dateValue =  this.rowdata."&amp;D26&amp;" ? new Date(this.rowdata."&amp;D26&amp;"?.toString()) : new Date();
"&amp;REPT(CHAR(9),2)&amp;"this.datepicker?.bsValueChange.emit(dateValue);","")</f>
        <v/>
      </c>
      <c r="M26" s="31"/>
      <c r="N26" s="31"/>
      <c r="O26" s="31"/>
      <c r="P26" s="31"/>
      <c r="Q26" s="31"/>
      <c r="R26" s="31"/>
      <c r="S26" s="31" t="str">
        <f>REPT(CHAR(9),1)&amp;D26&amp;G26</f>
        <v xml:space="preserve">	invoiceParentId</v>
      </c>
      <c r="T26" s="31" t="str">
        <f>REPT(CHAR(9),3)&amp;"this."&amp;D26&amp;","</f>
        <v xml:space="preserve">			this.invoiceParentId,</v>
      </c>
      <c r="U26" s="31" t="str">
        <f>IF(E26="int",REPT(CHAR(9),2)&amp;"this."&amp;D26&amp;" = 0,",REPT(CHAR(9),2)&amp;"this."&amp;D26&amp;" = '',")</f>
        <v xml:space="preserve">		this.invoiceParentId = '',</v>
      </c>
      <c r="V26" s="31" t="str">
        <f t="shared" ref="V26:V28" si="38">IF(AND(E26="string",F26="1"),D26,"")</f>
        <v/>
      </c>
    </row>
    <row r="27" spans="1:22" ht="18" customHeight="1" x14ac:dyDescent="0.25">
      <c r="A27" s="44" t="s">
        <v>328</v>
      </c>
      <c r="B27" s="31" t="str">
        <f t="shared" si="30"/>
        <v>PxpcaseId</v>
      </c>
      <c r="C27" s="31" t="str">
        <f t="shared" si="31"/>
        <v>Pxpcase Id</v>
      </c>
      <c r="D27" s="31" t="str">
        <f t="shared" si="32"/>
        <v>pxpcaseId</v>
      </c>
      <c r="E27" s="31" t="str">
        <f>A.Backend!H21</f>
        <v>long</v>
      </c>
      <c r="F27" s="31" t="str">
        <f>A.Backend!G21</f>
        <v/>
      </c>
      <c r="G27" s="31" t="str">
        <f t="shared" si="33"/>
        <v/>
      </c>
      <c r="H27" s="38" t="str">
        <f t="shared" si="34"/>
        <v xml:space="preserve">			{headerName: this.l('Pxpcase Id'),headerTooltip: this.l('Pxpcase Id'),field: 'pxpcaseId',flex: 1},</v>
      </c>
      <c r="I27" s="38" t="str">
        <f t="shared" si="35"/>
        <v/>
      </c>
      <c r="J27" s="31"/>
      <c r="K27" s="38" t="str">
        <f t="shared" si="36"/>
        <v/>
      </c>
      <c r="L27" s="60" t="str">
        <f t="shared" si="37"/>
        <v/>
      </c>
      <c r="M27" s="31"/>
      <c r="N27" s="31"/>
      <c r="O27" s="31"/>
      <c r="P27" s="31"/>
      <c r="Q27" s="31"/>
      <c r="R27" s="31"/>
      <c r="S27" s="31" t="str">
        <f t="shared" ref="S27:S28" si="39">REPT(CHAR(9),1)&amp;D27&amp;G27</f>
        <v xml:space="preserve">	pxpcaseId</v>
      </c>
      <c r="T27" s="31" t="str">
        <f t="shared" ref="T27:T28" si="40">REPT(CHAR(9),3)&amp;"this."&amp;D27&amp;","</f>
        <v xml:space="preserve">			this.pxpcaseId,</v>
      </c>
      <c r="U27" s="31" t="str">
        <f t="shared" ref="U27:U28" si="41">IF(E27="int",REPT(CHAR(9),2)&amp;"this."&amp;D27&amp;" = 0,",REPT(CHAR(9),2)&amp;"this."&amp;D27&amp;" = '',")</f>
        <v xml:space="preserve">		this.pxpcaseId = '',</v>
      </c>
      <c r="V27" s="31" t="str">
        <f t="shared" si="38"/>
        <v/>
      </c>
    </row>
    <row r="28" spans="1:22" ht="18" customHeight="1" x14ac:dyDescent="0.25">
      <c r="A28" s="44" t="s">
        <v>309</v>
      </c>
      <c r="B28" s="31" t="str">
        <f>SUBSTITUTE(PROPER(A28),"_","")</f>
        <v>OrderType</v>
      </c>
      <c r="C28" s="31" t="str">
        <f>SUBSTITUTE(PROPER(A28),"_"," ")</f>
        <v>Order Type</v>
      </c>
      <c r="D28" s="31" t="str">
        <f>LOWER(LEFT(B28,1))&amp;RIGHT(B28,LEN(B28) - 1)</f>
        <v>orderType</v>
      </c>
      <c r="E28" s="31" t="str">
        <f>A.Backend!H22</f>
        <v>string</v>
      </c>
      <c r="F28" s="31" t="str">
        <f>A.Backend!G22</f>
        <v>50</v>
      </c>
      <c r="G28" s="31" t="str">
        <f t="shared" si="33"/>
        <v xml:space="preserve"> : string = '' ; </v>
      </c>
      <c r="H28" s="38" t="str">
        <f t="shared" si="34"/>
        <v xml:space="preserve">			{headerName: this.l('Order Type'),headerTooltip: this.l('Order Type'),field: 'orderType',flex: 1},</v>
      </c>
      <c r="I28" s="38" t="str">
        <f t="shared" si="35"/>
        <v xml:space="preserve">								&lt;div class='input-search'&gt;
									&lt;input [(ngModel)]='orderType' name='orderType'
									class='form-control' [placeholder]="l('Order Type')"
									type='text' (keyup.enter)='searchDatas()'&gt;
								&lt;/div&gt;</v>
      </c>
      <c r="J28" s="31"/>
      <c r="K28" s="38" t="str">
        <f t="shared" si="36"/>
        <v xml:space="preserve">					&lt;div class='col-md-12 form-group row'&gt;
						&lt;label class='col-md-2 form-control title'&gt;Order Type&lt;/label&gt;
						&lt;input type='text' class='col-md-10 form-control input-text' name='OrderType' [(ngModel)]='rowdata.orderType'&gt;
					&lt;/div&gt;</v>
      </c>
      <c r="L28" s="60" t="str">
        <f t="shared" si="37"/>
        <v/>
      </c>
      <c r="M28" s="31"/>
      <c r="N28" s="31"/>
      <c r="O28" s="31"/>
      <c r="P28" s="31"/>
      <c r="Q28" s="31"/>
      <c r="R28" s="31"/>
      <c r="S28" s="31" t="str">
        <f t="shared" si="39"/>
        <v xml:space="preserve">	orderType : string = '' ; </v>
      </c>
      <c r="T28" s="31" t="str">
        <f t="shared" si="40"/>
        <v xml:space="preserve">			this.orderType,</v>
      </c>
      <c r="U28" s="31" t="str">
        <f t="shared" si="41"/>
        <v xml:space="preserve">		this.orderType = '',</v>
      </c>
      <c r="V28" s="31" t="str">
        <f t="shared" si="38"/>
        <v/>
      </c>
    </row>
    <row r="29" spans="1:22" ht="15" customHeight="1" x14ac:dyDescent="0.25">
      <c r="A29" s="44" t="s">
        <v>302</v>
      </c>
      <c r="B29" s="31" t="str">
        <f t="shared" ref="B29" si="42">SUBSTITUTE(PROPER(A29),"_","")</f>
        <v>IsActive</v>
      </c>
      <c r="C29" s="31" t="str">
        <f t="shared" ref="C29" si="43">SUBSTITUTE(PROPER(A29),"_"," ")</f>
        <v>Is Active</v>
      </c>
      <c r="D29" s="31" t="str">
        <f t="shared" ref="D29" si="44">LOWER(LEFT(B29,1))&amp;RIGHT(B29,LEN(B29) - 1)</f>
        <v>isActive</v>
      </c>
      <c r="E29" s="31" t="str">
        <f>A.Backend!H23</f>
        <v>string</v>
      </c>
      <c r="F29" s="31" t="str">
        <f>A.Backend!G23</f>
        <v>1</v>
      </c>
      <c r="G29" s="31" t="str">
        <f t="shared" ref="G29" si="45">IF(E29="string"," : string = '' ; ",IF(OR(E29="DateTime",E29="TimeSpan")," : any ;",IF(E29="int"," : number = 0 ;","")))</f>
        <v xml:space="preserve"> : string = '' ; </v>
      </c>
      <c r="H29" s="38" t="str">
        <f t="shared" ref="H29" si="46">IF(E29="DateTime",
REPT(CHAR(9),3)&amp;"{headerName: this.l('"&amp;C29&amp;"'),headerTooltip: this.l('"&amp;C29&amp;"'),field: '"&amp;D29&amp;"',valueGetter: (params) =&gt; this.pipe.transform(params.data?."&amp;D29&amp;", 'dd/MM/yyyy'),flex: 1},",
IF(AND(E29="string",F29="1"),
REPT(CHAR(9),3)&amp;"{headerName: this.l('"&amp;C29&amp;"'),headerTooltip: this.l('"&amp;C29&amp;"'),field:  '"&amp;D29&amp;"', cellClass: ['text-center'], width: 120, cellRenderer: 'agCellButtonComponent',
buttonDefTwo: { text: params =&gt; (params.data?.'"&amp;D29&amp;"' == 'Y') ? 'Active' : 'Inactive',iconName: 'fa fa-circle',className: params =&gt; (params.data?.'"&amp;D29&amp;"' == 'Y') ? 'btnActive' : 'btnInActive',},}",
REPT(CHAR(9),3)&amp;"{headerName: this.l('"&amp;C29&amp;"'),headerTooltip: this.l('"&amp;C29&amp;"'),field: '"&amp;D29&amp;"',flex: 1},"))</f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29" s="38" t="str">
        <f t="shared" ref="I29" si="47">IF(E29="DateTime",
REPT(CHAR(9),8)&amp;"&lt;div class='input-search'&gt;
"&amp;REPT(CHAR(9),9)&amp;"&lt;input type='text' [placeholder]=""l('"&amp;C29&amp;"')"" [(ngModel)]='"&amp;D29&amp;"' 
"&amp;REPT(CHAR(9),9)&amp;"name='"&amp;D29&amp;"'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IF(E29="string",
REPT(CHAR(9),8)&amp;"&lt;div class='input-search'&gt;
"&amp;REPT(CHAR(9),9)&amp;"&lt;input [(ngModel)]='"&amp;D29&amp;"' name='"&amp;D29&amp;"'
"&amp;REPT(CHAR(9),9)&amp;"class='form-control' [placeholder]=""l('"&amp;C29&amp;"')""
"&amp;REPT(CHAR(9),9)&amp;"type='text' (keyup.enter)='searchDatas()'&gt;
"&amp;REPT(CHAR(9),8)&amp;"&lt;/div&gt;",""))</f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29" s="31"/>
      <c r="K29" s="38" t="str">
        <f t="shared" ref="K29" si="48">IF(OR(E29="DateTime",E29="TimeSpan"),
REPT(CHAR(9),5)&amp;"&lt;div class='col-md-12 form-group row'&gt;
"&amp;REPT(CHAR(9),6)&amp;"&lt;label class='col-md-2 form-control title'&gt;"&amp;C29&amp;"&lt;/label&gt;
"&amp;REPT(CHAR(9),6)&amp;"&lt;input type='text' class='col-md-10 form-control input-text' name='"&amp;D29&amp;"' 
"&amp;REPT(CHAR(9),6)&amp;"#datepicker='bsDatepicker' [(ngModel)]='rowdata."&amp;D29&amp;"'  bsDatepicker &gt;
"&amp;REPT(CHAR(9),5)&amp;"&lt;/div&gt;",
IF(AND(E29="string",F29="1"),
REPT(CHAR(9),5)&amp;"&lt;div class='col-md-12 form-group row'&gt;
"&amp;REPT(CHAR(9),6)&amp;"&lt;label class='col-md-2 form-control title'&gt;"&amp;C29&amp;"&lt;/label&gt;
"&amp;REPT(CHAR(9),6)&amp;"&lt;new-checkbox [(ngModel)]='_"&amp;D29&amp;"' name='"&amp;D29&amp;"' className='col-md-10' &gt; &lt;/new-checkbox&gt;
"&amp;REPT(CHAR(9),5)&amp;"&lt;/div&gt;",
IF(E29="string",
REPT(CHAR(9),5)&amp;"&lt;div class='col-md-12 form-group row'&gt;
"&amp;REPT(CHAR(9),6)&amp;"&lt;label class='col-md-2 form-control title'&gt;"&amp;C29&amp;"&lt;/label&gt;
"&amp;REPT(CHAR(9),6)&amp;"&lt;input type='text' class='col-md-10 form-control input-text' name='"&amp;B29&amp;"' [(ngModel)]='rowdata."&amp;D29&amp;"'&gt;
"&amp;REPT(CHAR(9),5)&amp;"&lt;/div&gt;",
IF(E29="int",
REPT(CHAR(9),5)&amp;"&lt;div class='col-md-12 form-group row'&gt;
"&amp;REPT(CHAR(9),6)&amp;"&lt;label class='col-md-2 form-control title'&gt;"&amp;C29&amp;"&lt;/label&gt;
"&amp;REPT(CHAR(9),6)&amp;"&lt;input type='number' class='col-md-10 form-control input-text' name='"&amp;B29&amp;"' [(ngModel)]='rowdata."&amp;D29&amp;"'&gt;
"&amp;REPT(CHAR(9),5)&amp;"&lt;/div&gt;",""))))</f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29" s="60" t="str">
        <f t="shared" ref="L29" si="49">IF(E29="DateTime",
REPT(CHAR(9),2)&amp;"const dateValue =  this.rowdata."&amp;D29&amp;" ? new Date(this.rowdata."&amp;D29&amp;"?.toString()) : new Date();
"&amp;REPT(CHAR(9),2)&amp;"this.datepicker?.bsValueChange.emit(dateValue);","")</f>
        <v/>
      </c>
      <c r="M29" s="31"/>
      <c r="N29" s="31"/>
      <c r="O29" s="31"/>
      <c r="P29" s="31"/>
      <c r="Q29" s="31"/>
      <c r="R29" s="31"/>
      <c r="S29" s="31" t="str">
        <f>REPT(CHAR(9),1)&amp;D29&amp;G29</f>
        <v xml:space="preserve">	isActive : string = '' ; </v>
      </c>
      <c r="T29" s="31" t="str">
        <f>REPT(CHAR(9),3)&amp;"this."&amp;D29&amp;","</f>
        <v xml:space="preserve">			this.isActive,</v>
      </c>
      <c r="U29" s="31" t="str">
        <f>IF(E29="int",REPT(CHAR(9),2)&amp;"this."&amp;D29&amp;" = 0,",REPT(CHAR(9),2)&amp;"this."&amp;D29&amp;" = '',")</f>
        <v xml:space="preserve">		this.isActive = '',</v>
      </c>
      <c r="V29" s="31" t="str">
        <f t="shared" ref="V29" si="50">IF(AND(E29="string",F29="1"),D29,"")</f>
        <v>isActive</v>
      </c>
    </row>
    <row r="32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topLeftCell="A4" workbookViewId="0">
      <selection activeCell="E18" sqref="E18"/>
    </sheetView>
  </sheetViews>
  <sheetFormatPr defaultRowHeight="15" x14ac:dyDescent="0.25"/>
  <cols>
    <col min="1" max="1" width="22.5703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33</v>
      </c>
    </row>
    <row r="3" spans="1:2" x14ac:dyDescent="0.25">
      <c r="A3" t="s">
        <v>18</v>
      </c>
      <c r="B3" t="s">
        <v>33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36</v>
      </c>
    </row>
    <row r="6" spans="1:2" x14ac:dyDescent="0.25">
      <c r="A6" t="s">
        <v>23</v>
      </c>
      <c r="B6" t="s">
        <v>34</v>
      </c>
    </row>
    <row r="7" spans="1:2" x14ac:dyDescent="0.25">
      <c r="A7" t="s">
        <v>24</v>
      </c>
      <c r="B7" t="s">
        <v>4</v>
      </c>
    </row>
    <row r="8" spans="1:2" x14ac:dyDescent="0.25">
      <c r="A8" t="s">
        <v>4</v>
      </c>
      <c r="B8" t="s">
        <v>4</v>
      </c>
    </row>
    <row r="9" spans="1:2" x14ac:dyDescent="0.25">
      <c r="A9" t="s">
        <v>0</v>
      </c>
      <c r="B9" t="s">
        <v>48</v>
      </c>
    </row>
    <row r="10" spans="1:2" x14ac:dyDescent="0.25">
      <c r="A10" t="s">
        <v>25</v>
      </c>
      <c r="B10" t="s">
        <v>28</v>
      </c>
    </row>
    <row r="11" spans="1:2" x14ac:dyDescent="0.25">
      <c r="A11" t="s">
        <v>26</v>
      </c>
      <c r="B11" t="s">
        <v>28</v>
      </c>
    </row>
    <row r="12" spans="1:2" x14ac:dyDescent="0.25">
      <c r="A12" t="s">
        <v>27</v>
      </c>
      <c r="B12" t="s">
        <v>28</v>
      </c>
    </row>
    <row r="13" spans="1:2" x14ac:dyDescent="0.25">
      <c r="A13" t="s">
        <v>28</v>
      </c>
      <c r="B13" t="s">
        <v>28</v>
      </c>
    </row>
    <row r="14" spans="1:2" x14ac:dyDescent="0.25">
      <c r="A14" t="s">
        <v>29</v>
      </c>
      <c r="B14" t="s">
        <v>28</v>
      </c>
    </row>
    <row r="15" spans="1:2" x14ac:dyDescent="0.25">
      <c r="A15" t="s">
        <v>30</v>
      </c>
      <c r="B15" t="s">
        <v>28</v>
      </c>
    </row>
    <row r="16" spans="1:2" x14ac:dyDescent="0.25">
      <c r="A16" t="s">
        <v>31</v>
      </c>
      <c r="B16" t="s">
        <v>32</v>
      </c>
    </row>
    <row r="17" spans="1:2" x14ac:dyDescent="0.25">
      <c r="A17" t="s">
        <v>3</v>
      </c>
      <c r="B17" t="s">
        <v>32</v>
      </c>
    </row>
    <row r="18" spans="1:2" x14ac:dyDescent="0.25">
      <c r="A18" t="s">
        <v>35</v>
      </c>
      <c r="B18" t="s">
        <v>32</v>
      </c>
    </row>
    <row r="19" spans="1:2" x14ac:dyDescent="0.25">
      <c r="A19" t="s">
        <v>2</v>
      </c>
      <c r="B19" t="s">
        <v>32</v>
      </c>
    </row>
    <row r="20" spans="1:2" x14ac:dyDescent="0.25">
      <c r="A20" t="s">
        <v>267</v>
      </c>
      <c r="B20" t="s">
        <v>268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topLeftCell="A76" workbookViewId="0">
      <selection activeCell="E95" sqref="E95"/>
    </sheetView>
  </sheetViews>
  <sheetFormatPr defaultRowHeight="15.75" x14ac:dyDescent="0.25"/>
  <cols>
    <col min="1" max="1" width="14.28515625" customWidth="1"/>
    <col min="2" max="2" width="71.7109375" style="22" customWidth="1"/>
  </cols>
  <sheetData>
    <row r="2" spans="1:2" x14ac:dyDescent="0.25">
      <c r="A2" s="24" t="s">
        <v>193</v>
      </c>
      <c r="B2" s="25" t="s">
        <v>190</v>
      </c>
    </row>
    <row r="3" spans="1:2" x14ac:dyDescent="0.25">
      <c r="B3" s="22" t="s">
        <v>115</v>
      </c>
    </row>
    <row r="4" spans="1:2" x14ac:dyDescent="0.25">
      <c r="B4" s="22" t="s">
        <v>116</v>
      </c>
    </row>
    <row r="5" spans="1:2" x14ac:dyDescent="0.25">
      <c r="B5" s="22" t="s">
        <v>117</v>
      </c>
    </row>
    <row r="6" spans="1:2" x14ac:dyDescent="0.25">
      <c r="B6" s="22" t="s">
        <v>118</v>
      </c>
    </row>
    <row r="7" spans="1:2" x14ac:dyDescent="0.25">
      <c r="B7" s="22" t="s">
        <v>119</v>
      </c>
    </row>
    <row r="8" spans="1:2" x14ac:dyDescent="0.25">
      <c r="B8" s="22" t="s">
        <v>120</v>
      </c>
    </row>
    <row r="9" spans="1:2" x14ac:dyDescent="0.25">
      <c r="B9" s="22" t="s">
        <v>121</v>
      </c>
    </row>
    <row r="10" spans="1:2" x14ac:dyDescent="0.25">
      <c r="B10" s="22" t="s">
        <v>122</v>
      </c>
    </row>
    <row r="11" spans="1:2" x14ac:dyDescent="0.25">
      <c r="B11" s="22" t="s">
        <v>123</v>
      </c>
    </row>
    <row r="12" spans="1:2" x14ac:dyDescent="0.25">
      <c r="B12" s="22" t="s">
        <v>124</v>
      </c>
    </row>
    <row r="13" spans="1:2" x14ac:dyDescent="0.25">
      <c r="B13" s="22" t="s">
        <v>125</v>
      </c>
    </row>
    <row r="14" spans="1:2" x14ac:dyDescent="0.25">
      <c r="B14" s="22" t="s">
        <v>126</v>
      </c>
    </row>
    <row r="15" spans="1:2" x14ac:dyDescent="0.25">
      <c r="B15" s="22" t="s">
        <v>127</v>
      </c>
    </row>
    <row r="16" spans="1:2" x14ac:dyDescent="0.25">
      <c r="B16" s="22" t="s">
        <v>128</v>
      </c>
    </row>
    <row r="17" spans="1:3" x14ac:dyDescent="0.25">
      <c r="B17" s="22" t="s">
        <v>129</v>
      </c>
    </row>
    <row r="18" spans="1:3" x14ac:dyDescent="0.25">
      <c r="B18" s="22" t="s">
        <v>130</v>
      </c>
      <c r="C18" t="s">
        <v>192</v>
      </c>
    </row>
    <row r="19" spans="1:3" x14ac:dyDescent="0.25">
      <c r="B19" s="22" t="s">
        <v>131</v>
      </c>
    </row>
    <row r="20" spans="1:3" x14ac:dyDescent="0.25">
      <c r="B20" s="22" t="s">
        <v>132</v>
      </c>
    </row>
    <row r="21" spans="1:3" x14ac:dyDescent="0.25">
      <c r="B21" s="22" t="s">
        <v>133</v>
      </c>
    </row>
    <row r="22" spans="1:3" x14ac:dyDescent="0.25">
      <c r="B22" s="22" t="s">
        <v>134</v>
      </c>
      <c r="C22" t="s">
        <v>197</v>
      </c>
    </row>
    <row r="23" spans="1:3" x14ac:dyDescent="0.25">
      <c r="B23" s="22" t="s">
        <v>135</v>
      </c>
    </row>
    <row r="24" spans="1:3" x14ac:dyDescent="0.25">
      <c r="B24" s="22" t="s">
        <v>136</v>
      </c>
    </row>
    <row r="25" spans="1:3" x14ac:dyDescent="0.25">
      <c r="B25" s="22" t="s">
        <v>137</v>
      </c>
    </row>
    <row r="26" spans="1:3" x14ac:dyDescent="0.25">
      <c r="A26" s="24" t="s">
        <v>194</v>
      </c>
      <c r="B26" s="25" t="s">
        <v>191</v>
      </c>
    </row>
    <row r="27" spans="1:3" x14ac:dyDescent="0.25">
      <c r="B27" s="22" t="s">
        <v>138</v>
      </c>
    </row>
    <row r="28" spans="1:3" x14ac:dyDescent="0.25">
      <c r="B28" s="23" t="s">
        <v>139</v>
      </c>
    </row>
    <row r="29" spans="1:3" x14ac:dyDescent="0.25">
      <c r="B29" s="22" t="s">
        <v>140</v>
      </c>
    </row>
    <row r="30" spans="1:3" x14ac:dyDescent="0.25">
      <c r="B30" s="22" t="s">
        <v>141</v>
      </c>
    </row>
    <row r="31" spans="1:3" x14ac:dyDescent="0.25">
      <c r="B31" s="22" t="s">
        <v>142</v>
      </c>
    </row>
    <row r="32" spans="1:3" x14ac:dyDescent="0.25">
      <c r="B32" s="22" t="s">
        <v>143</v>
      </c>
    </row>
    <row r="33" spans="2:2" x14ac:dyDescent="0.25">
      <c r="B33" s="22" t="s">
        <v>144</v>
      </c>
    </row>
    <row r="34" spans="2:2" x14ac:dyDescent="0.25">
      <c r="B34" s="22" t="s">
        <v>145</v>
      </c>
    </row>
    <row r="35" spans="2:2" x14ac:dyDescent="0.25">
      <c r="B35" s="22" t="s">
        <v>146</v>
      </c>
    </row>
    <row r="36" spans="2:2" x14ac:dyDescent="0.25">
      <c r="B36" s="22" t="s">
        <v>147</v>
      </c>
    </row>
    <row r="37" spans="2:2" x14ac:dyDescent="0.25">
      <c r="B37" s="22" t="s">
        <v>148</v>
      </c>
    </row>
    <row r="38" spans="2:2" x14ac:dyDescent="0.25">
      <c r="B38" s="22" t="s">
        <v>149</v>
      </c>
    </row>
    <row r="39" spans="2:2" x14ac:dyDescent="0.25">
      <c r="B39" s="22" t="s">
        <v>150</v>
      </c>
    </row>
    <row r="40" spans="2:2" x14ac:dyDescent="0.25">
      <c r="B40" s="22" t="s">
        <v>151</v>
      </c>
    </row>
    <row r="41" spans="2:2" x14ac:dyDescent="0.25">
      <c r="B41" s="22" t="s">
        <v>152</v>
      </c>
    </row>
    <row r="42" spans="2:2" x14ac:dyDescent="0.25">
      <c r="B42" s="22" t="s">
        <v>153</v>
      </c>
    </row>
    <row r="43" spans="2:2" x14ac:dyDescent="0.25">
      <c r="B43" s="23" t="s">
        <v>154</v>
      </c>
    </row>
    <row r="44" spans="2:2" x14ac:dyDescent="0.25">
      <c r="B44" s="22" t="s">
        <v>140</v>
      </c>
    </row>
    <row r="45" spans="2:2" x14ac:dyDescent="0.25">
      <c r="B45" s="22" t="s">
        <v>155</v>
      </c>
    </row>
    <row r="46" spans="2:2" x14ac:dyDescent="0.25">
      <c r="B46" s="22" t="s">
        <v>156</v>
      </c>
    </row>
    <row r="47" spans="2:2" x14ac:dyDescent="0.25">
      <c r="B47" s="22" t="s">
        <v>157</v>
      </c>
    </row>
    <row r="48" spans="2:2" x14ac:dyDescent="0.25">
      <c r="B48" s="22" t="s">
        <v>158</v>
      </c>
    </row>
    <row r="49" spans="2:2" x14ac:dyDescent="0.25">
      <c r="B49" s="22" t="s">
        <v>141</v>
      </c>
    </row>
    <row r="50" spans="2:2" x14ac:dyDescent="0.25">
      <c r="B50" s="22" t="s">
        <v>142</v>
      </c>
    </row>
    <row r="51" spans="2:2" x14ac:dyDescent="0.25">
      <c r="B51" s="22" t="s">
        <v>143</v>
      </c>
    </row>
    <row r="52" spans="2:2" x14ac:dyDescent="0.25">
      <c r="B52" s="22" t="s">
        <v>144</v>
      </c>
    </row>
    <row r="53" spans="2:2" x14ac:dyDescent="0.25">
      <c r="B53" s="22" t="s">
        <v>145</v>
      </c>
    </row>
    <row r="54" spans="2:2" x14ac:dyDescent="0.25">
      <c r="B54" s="22" t="s">
        <v>146</v>
      </c>
    </row>
    <row r="55" spans="2:2" x14ac:dyDescent="0.25">
      <c r="B55" s="22" t="s">
        <v>147</v>
      </c>
    </row>
    <row r="56" spans="2:2" x14ac:dyDescent="0.25">
      <c r="B56" s="22" t="s">
        <v>159</v>
      </c>
    </row>
    <row r="57" spans="2:2" x14ac:dyDescent="0.25">
      <c r="B57" s="22" t="s">
        <v>160</v>
      </c>
    </row>
    <row r="58" spans="2:2" x14ac:dyDescent="0.25">
      <c r="B58" s="22" t="s">
        <v>148</v>
      </c>
    </row>
    <row r="59" spans="2:2" x14ac:dyDescent="0.25">
      <c r="B59" s="22" t="s">
        <v>149</v>
      </c>
    </row>
    <row r="60" spans="2:2" x14ac:dyDescent="0.25">
      <c r="B60" s="22" t="s">
        <v>161</v>
      </c>
    </row>
    <row r="61" spans="2:2" x14ac:dyDescent="0.25">
      <c r="B61" s="22" t="s">
        <v>162</v>
      </c>
    </row>
    <row r="62" spans="2:2" x14ac:dyDescent="0.25">
      <c r="B62" s="22" t="s">
        <v>163</v>
      </c>
    </row>
    <row r="63" spans="2:2" x14ac:dyDescent="0.25">
      <c r="B63" s="22" t="s">
        <v>158</v>
      </c>
    </row>
    <row r="64" spans="2:2" x14ac:dyDescent="0.25">
      <c r="B64" s="22" t="s">
        <v>150</v>
      </c>
    </row>
    <row r="65" spans="2:2" x14ac:dyDescent="0.25">
      <c r="B65" s="22" t="s">
        <v>151</v>
      </c>
    </row>
    <row r="66" spans="2:2" x14ac:dyDescent="0.25">
      <c r="B66" s="22" t="s">
        <v>164</v>
      </c>
    </row>
    <row r="67" spans="2:2" x14ac:dyDescent="0.25">
      <c r="B67" s="22" t="s">
        <v>158</v>
      </c>
    </row>
    <row r="68" spans="2:2" x14ac:dyDescent="0.25">
      <c r="B68" s="22" t="s">
        <v>152</v>
      </c>
    </row>
    <row r="69" spans="2:2" x14ac:dyDescent="0.25">
      <c r="B69" s="22" t="s">
        <v>165</v>
      </c>
    </row>
    <row r="70" spans="2:2" x14ac:dyDescent="0.25">
      <c r="B70" s="23" t="s">
        <v>166</v>
      </c>
    </row>
    <row r="71" spans="2:2" x14ac:dyDescent="0.25">
      <c r="B71" s="22" t="s">
        <v>140</v>
      </c>
    </row>
    <row r="72" spans="2:2" x14ac:dyDescent="0.25">
      <c r="B72" s="22" t="s">
        <v>141</v>
      </c>
    </row>
    <row r="73" spans="2:2" x14ac:dyDescent="0.25">
      <c r="B73" s="22" t="s">
        <v>142</v>
      </c>
    </row>
    <row r="74" spans="2:2" x14ac:dyDescent="0.25">
      <c r="B74" s="22" t="s">
        <v>143</v>
      </c>
    </row>
    <row r="75" spans="2:2" x14ac:dyDescent="0.25">
      <c r="B75" s="22" t="s">
        <v>147</v>
      </c>
    </row>
    <row r="76" spans="2:2" x14ac:dyDescent="0.25">
      <c r="B76" s="22" t="s">
        <v>149</v>
      </c>
    </row>
    <row r="77" spans="2:2" x14ac:dyDescent="0.25">
      <c r="B77" s="22" t="s">
        <v>150</v>
      </c>
    </row>
    <row r="78" spans="2:2" x14ac:dyDescent="0.25">
      <c r="B78" s="22" t="s">
        <v>151</v>
      </c>
    </row>
    <row r="79" spans="2:2" x14ac:dyDescent="0.25">
      <c r="B79" s="22" t="s">
        <v>152</v>
      </c>
    </row>
    <row r="80" spans="2:2" x14ac:dyDescent="0.25">
      <c r="B80" s="22" t="s">
        <v>165</v>
      </c>
    </row>
    <row r="81" spans="1:2" x14ac:dyDescent="0.25">
      <c r="B81" s="23" t="s">
        <v>167</v>
      </c>
    </row>
    <row r="82" spans="1:2" x14ac:dyDescent="0.25">
      <c r="B82" s="23" t="s">
        <v>168</v>
      </c>
    </row>
    <row r="83" spans="1:2" x14ac:dyDescent="0.25">
      <c r="B83" s="23" t="s">
        <v>169</v>
      </c>
    </row>
    <row r="84" spans="1:2" x14ac:dyDescent="0.25">
      <c r="B84" s="23" t="s">
        <v>170</v>
      </c>
    </row>
    <row r="85" spans="1:2" x14ac:dyDescent="0.25">
      <c r="B85" s="23" t="s">
        <v>171</v>
      </c>
    </row>
    <row r="86" spans="1:2" x14ac:dyDescent="0.25">
      <c r="B86" s="23" t="s">
        <v>172</v>
      </c>
    </row>
    <row r="87" spans="1:2" x14ac:dyDescent="0.25">
      <c r="B87" s="23" t="s">
        <v>173</v>
      </c>
    </row>
    <row r="88" spans="1:2" x14ac:dyDescent="0.25">
      <c r="A88" s="24" t="s">
        <v>195</v>
      </c>
      <c r="B88" s="26" t="s">
        <v>174</v>
      </c>
    </row>
    <row r="89" spans="1:2" x14ac:dyDescent="0.25">
      <c r="B89" s="22" t="s">
        <v>175</v>
      </c>
    </row>
    <row r="90" spans="1:2" x14ac:dyDescent="0.25">
      <c r="B90" s="22" t="s">
        <v>176</v>
      </c>
    </row>
    <row r="91" spans="1:2" x14ac:dyDescent="0.25">
      <c r="B91" s="22" t="s">
        <v>177</v>
      </c>
    </row>
    <row r="92" spans="1:2" x14ac:dyDescent="0.25">
      <c r="B92" s="22" t="s">
        <v>178</v>
      </c>
    </row>
    <row r="93" spans="1:2" x14ac:dyDescent="0.25">
      <c r="B93" s="22" t="s">
        <v>179</v>
      </c>
    </row>
    <row r="94" spans="1:2" x14ac:dyDescent="0.25">
      <c r="B94" s="22" t="s">
        <v>180</v>
      </c>
    </row>
    <row r="95" spans="1:2" x14ac:dyDescent="0.25">
      <c r="B95" s="22" t="s">
        <v>181</v>
      </c>
    </row>
    <row r="96" spans="1:2" x14ac:dyDescent="0.25">
      <c r="B96" s="22" t="s">
        <v>182</v>
      </c>
    </row>
    <row r="97" spans="2:2" x14ac:dyDescent="0.25">
      <c r="B97" s="22" t="s">
        <v>183</v>
      </c>
    </row>
    <row r="98" spans="2:2" x14ac:dyDescent="0.25">
      <c r="B98" s="22" t="s">
        <v>184</v>
      </c>
    </row>
    <row r="99" spans="2:2" x14ac:dyDescent="0.25">
      <c r="B99" s="22" t="s">
        <v>185</v>
      </c>
    </row>
    <row r="100" spans="2:2" x14ac:dyDescent="0.25">
      <c r="B100" s="22" t="s">
        <v>186</v>
      </c>
    </row>
    <row r="101" spans="2:2" x14ac:dyDescent="0.25">
      <c r="B101" s="22" t="s">
        <v>187</v>
      </c>
    </row>
    <row r="102" spans="2:2" x14ac:dyDescent="0.25">
      <c r="B102" s="22" t="s">
        <v>188</v>
      </c>
    </row>
    <row r="103" spans="2:2" x14ac:dyDescent="0.25">
      <c r="B103" s="22" t="s">
        <v>189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2022-08-05T10:14:22Z</dcterms:modified>
</cp:coreProperties>
</file>
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H21" i="5" s="1"/>
  <c r="E22" i="5"/>
  <c r="F22" i="5"/>
  <c r="E23" i="5"/>
  <c r="F23" i="5"/>
  <c r="E24" i="5"/>
  <c r="F24" i="5"/>
  <c r="E25" i="5"/>
  <c r="V25" i="5" s="1"/>
  <c r="F25" i="5"/>
  <c r="E26" i="5"/>
  <c r="F26" i="5"/>
  <c r="E27" i="5"/>
  <c r="U27" i="5" s="1"/>
  <c r="F27" i="5"/>
  <c r="E28" i="5"/>
  <c r="F28" i="5"/>
  <c r="E29" i="5"/>
  <c r="G29" i="5" s="1"/>
  <c r="F29" i="5"/>
  <c r="E30" i="5"/>
  <c r="F30" i="5"/>
  <c r="E31" i="5"/>
  <c r="U31" i="5" s="1"/>
  <c r="F31" i="5"/>
  <c r="V31" i="5" s="1"/>
  <c r="E32" i="5"/>
  <c r="F32" i="5"/>
  <c r="E33" i="5"/>
  <c r="V33" i="5" s="1"/>
  <c r="F33" i="5"/>
  <c r="H33" i="5" s="1"/>
  <c r="E34" i="5"/>
  <c r="F34" i="5"/>
  <c r="E35" i="5"/>
  <c r="V35" i="5" s="1"/>
  <c r="F35" i="5"/>
  <c r="H35" i="5" s="1"/>
  <c r="E36" i="5"/>
  <c r="F36" i="5"/>
  <c r="E37" i="5"/>
  <c r="G37" i="5" s="1"/>
  <c r="F37" i="5"/>
  <c r="V37" i="5" s="1"/>
  <c r="E38" i="5"/>
  <c r="F38" i="5"/>
  <c r="E39" i="5"/>
  <c r="F39" i="5"/>
  <c r="H39" i="5" s="1"/>
  <c r="E40" i="5"/>
  <c r="F40" i="5"/>
  <c r="D39" i="5"/>
  <c r="T39" i="5" s="1"/>
  <c r="C39" i="5"/>
  <c r="B39" i="5"/>
  <c r="I38" i="5"/>
  <c r="C38" i="5"/>
  <c r="B38" i="5"/>
  <c r="D38" i="5" s="1"/>
  <c r="L37" i="5"/>
  <c r="D37" i="5"/>
  <c r="C37" i="5"/>
  <c r="B37" i="5"/>
  <c r="I36" i="5"/>
  <c r="C36" i="5"/>
  <c r="B36" i="5"/>
  <c r="D36" i="5" s="1"/>
  <c r="G35" i="5"/>
  <c r="D35" i="5"/>
  <c r="T35" i="5" s="1"/>
  <c r="C35" i="5"/>
  <c r="B35" i="5"/>
  <c r="K34" i="5"/>
  <c r="I34" i="5"/>
  <c r="C34" i="5"/>
  <c r="B34" i="5"/>
  <c r="D34" i="5" s="1"/>
  <c r="G33" i="5"/>
  <c r="D33" i="5"/>
  <c r="T33" i="5" s="1"/>
  <c r="C33" i="5"/>
  <c r="B33" i="5"/>
  <c r="C32" i="5"/>
  <c r="B32" i="5"/>
  <c r="D32" i="5" s="1"/>
  <c r="G31" i="5"/>
  <c r="D31" i="5"/>
  <c r="C31" i="5"/>
  <c r="B31" i="5"/>
  <c r="I30" i="5"/>
  <c r="C30" i="5"/>
  <c r="B30" i="5"/>
  <c r="D30" i="5" s="1"/>
  <c r="V29" i="5"/>
  <c r="D29" i="5"/>
  <c r="L29" i="5" s="1"/>
  <c r="C29" i="5"/>
  <c r="B29" i="5"/>
  <c r="K28" i="5"/>
  <c r="I28" i="5"/>
  <c r="C28" i="5"/>
  <c r="B28" i="5"/>
  <c r="D28" i="5" s="1"/>
  <c r="L27" i="5"/>
  <c r="G27" i="5"/>
  <c r="D27" i="5"/>
  <c r="C27" i="5"/>
  <c r="B27" i="5"/>
  <c r="K26" i="5"/>
  <c r="I26" i="5"/>
  <c r="C26" i="5"/>
  <c r="B26" i="5"/>
  <c r="D26" i="5" s="1"/>
  <c r="L25" i="5"/>
  <c r="G25" i="5"/>
  <c r="U25" i="5"/>
  <c r="D25" i="5"/>
  <c r="C25" i="5"/>
  <c r="B25" i="5"/>
  <c r="K24" i="5"/>
  <c r="I24" i="5"/>
  <c r="C24" i="5"/>
  <c r="B24" i="5"/>
  <c r="D24" i="5" s="1"/>
  <c r="V23" i="5"/>
  <c r="L23" i="5"/>
  <c r="G23" i="5"/>
  <c r="U23" i="5"/>
  <c r="D23" i="5"/>
  <c r="T23" i="5" s="1"/>
  <c r="C23" i="5"/>
  <c r="B23" i="5"/>
  <c r="K22" i="5"/>
  <c r="I22" i="5"/>
  <c r="C22" i="5"/>
  <c r="B22" i="5"/>
  <c r="D22" i="5" s="1"/>
  <c r="L21" i="5"/>
  <c r="G21" i="5"/>
  <c r="U21" i="5"/>
  <c r="D21" i="5"/>
  <c r="T21" i="5" s="1"/>
  <c r="C21" i="5"/>
  <c r="B21" i="5"/>
  <c r="V39" i="5" l="1"/>
  <c r="V21" i="5"/>
  <c r="S37" i="5"/>
  <c r="S27" i="5"/>
  <c r="V27" i="5"/>
  <c r="U29" i="5"/>
  <c r="L31" i="5"/>
  <c r="L33" i="5"/>
  <c r="L35" i="5"/>
  <c r="U37" i="5"/>
  <c r="S25" i="5"/>
  <c r="U33" i="5"/>
  <c r="U35" i="5"/>
  <c r="T32" i="5"/>
  <c r="U32" i="5"/>
  <c r="T30" i="5"/>
  <c r="K30" i="5"/>
  <c r="U30" i="5"/>
  <c r="T34" i="5"/>
  <c r="U34" i="5"/>
  <c r="T22" i="5"/>
  <c r="U22" i="5"/>
  <c r="T24" i="5"/>
  <c r="U24" i="5"/>
  <c r="T26" i="5"/>
  <c r="U26" i="5"/>
  <c r="T28" i="5"/>
  <c r="U28" i="5"/>
  <c r="I32" i="5"/>
  <c r="T36" i="5"/>
  <c r="U36" i="5"/>
  <c r="K36" i="5"/>
  <c r="T38" i="5"/>
  <c r="U38" i="5"/>
  <c r="K38" i="5"/>
  <c r="K32" i="5"/>
  <c r="S21" i="5"/>
  <c r="H23" i="5"/>
  <c r="S23" i="5"/>
  <c r="S33" i="5"/>
  <c r="S35" i="5"/>
  <c r="I21" i="5"/>
  <c r="G22" i="5"/>
  <c r="S22" i="5" s="1"/>
  <c r="L22" i="5"/>
  <c r="V22" i="5"/>
  <c r="I23" i="5"/>
  <c r="G24" i="5"/>
  <c r="S24" i="5" s="1"/>
  <c r="L24" i="5"/>
  <c r="V24" i="5"/>
  <c r="I25" i="5"/>
  <c r="T25" i="5"/>
  <c r="G26" i="5"/>
  <c r="S26" i="5" s="1"/>
  <c r="L26" i="5"/>
  <c r="V26" i="5"/>
  <c r="I27" i="5"/>
  <c r="T27" i="5"/>
  <c r="G28" i="5"/>
  <c r="S28" i="5" s="1"/>
  <c r="L28" i="5"/>
  <c r="V28" i="5"/>
  <c r="I29" i="5"/>
  <c r="T29" i="5"/>
  <c r="G30" i="5"/>
  <c r="S30" i="5" s="1"/>
  <c r="L30" i="5"/>
  <c r="V30" i="5"/>
  <c r="I31" i="5"/>
  <c r="T31" i="5"/>
  <c r="G32" i="5"/>
  <c r="S32" i="5" s="1"/>
  <c r="L32" i="5"/>
  <c r="V32" i="5"/>
  <c r="I33" i="5"/>
  <c r="G34" i="5"/>
  <c r="S34" i="5" s="1"/>
  <c r="L34" i="5"/>
  <c r="V34" i="5"/>
  <c r="I35" i="5"/>
  <c r="G36" i="5"/>
  <c r="S36" i="5" s="1"/>
  <c r="L36" i="5"/>
  <c r="V36" i="5"/>
  <c r="I37" i="5"/>
  <c r="T37" i="5"/>
  <c r="G38" i="5"/>
  <c r="S38" i="5" s="1"/>
  <c r="L38" i="5"/>
  <c r="V38" i="5"/>
  <c r="I39" i="5"/>
  <c r="H25" i="5"/>
  <c r="H27" i="5"/>
  <c r="H29" i="5"/>
  <c r="S29" i="5"/>
  <c r="H31" i="5"/>
  <c r="S31" i="5"/>
  <c r="H37" i="5"/>
  <c r="K21" i="5"/>
  <c r="H22" i="5"/>
  <c r="K23" i="5"/>
  <c r="H24" i="5"/>
  <c r="K25" i="5"/>
  <c r="H26" i="5"/>
  <c r="K27" i="5"/>
  <c r="H28" i="5"/>
  <c r="K29" i="5"/>
  <c r="H30" i="5"/>
  <c r="K31" i="5"/>
  <c r="H32" i="5"/>
  <c r="K33" i="5"/>
  <c r="H34" i="5"/>
  <c r="K35" i="5"/>
  <c r="H36" i="5"/>
  <c r="K37" i="5"/>
  <c r="H38" i="5"/>
  <c r="K39" i="5"/>
  <c r="U39" i="5"/>
  <c r="G39" i="5"/>
  <c r="S39" i="5" s="1"/>
  <c r="L39" i="5"/>
  <c r="G33" i="1" l="1"/>
  <c r="E33" i="1"/>
  <c r="H33" i="1" s="1"/>
  <c r="D33" i="1"/>
  <c r="V33" i="1" s="1"/>
  <c r="G32" i="1"/>
  <c r="E32" i="1"/>
  <c r="H32" i="1" s="1"/>
  <c r="M32" i="1" s="1"/>
  <c r="D32" i="1"/>
  <c r="T32" i="1" s="1"/>
  <c r="G31" i="1"/>
  <c r="E31" i="1"/>
  <c r="H31" i="1" s="1"/>
  <c r="D31" i="1"/>
  <c r="V31" i="1" s="1"/>
  <c r="L30" i="1"/>
  <c r="H30" i="1"/>
  <c r="M30" i="1" s="1"/>
  <c r="G30" i="1"/>
  <c r="E30" i="1"/>
  <c r="D30" i="1"/>
  <c r="T30" i="1" s="1"/>
  <c r="L29" i="1"/>
  <c r="G29" i="1"/>
  <c r="E29" i="1"/>
  <c r="H29" i="1" s="1"/>
  <c r="D29" i="1"/>
  <c r="V29" i="1" s="1"/>
  <c r="G28" i="1"/>
  <c r="E28" i="1"/>
  <c r="H28" i="1" s="1"/>
  <c r="M28" i="1" s="1"/>
  <c r="D28" i="1"/>
  <c r="T28" i="1" s="1"/>
  <c r="G27" i="1"/>
  <c r="E27" i="1"/>
  <c r="H27" i="1" s="1"/>
  <c r="D27" i="1"/>
  <c r="V27" i="1" s="1"/>
  <c r="G26" i="1"/>
  <c r="E26" i="1"/>
  <c r="H26" i="1" s="1"/>
  <c r="D26" i="1"/>
  <c r="V26" i="1" s="1"/>
  <c r="L25" i="1"/>
  <c r="G25" i="1"/>
  <c r="E25" i="1"/>
  <c r="H25" i="1" s="1"/>
  <c r="D25" i="1"/>
  <c r="V25" i="1" s="1"/>
  <c r="L24" i="1"/>
  <c r="G24" i="1"/>
  <c r="E24" i="1"/>
  <c r="H24" i="1" s="1"/>
  <c r="N24" i="1" s="1"/>
  <c r="D24" i="1"/>
  <c r="V24" i="1" s="1"/>
  <c r="G23" i="1"/>
  <c r="E23" i="1"/>
  <c r="H23" i="1" s="1"/>
  <c r="D23" i="1"/>
  <c r="V23" i="1" s="1"/>
  <c r="H22" i="1"/>
  <c r="G22" i="1"/>
  <c r="E22" i="1"/>
  <c r="D22" i="1"/>
  <c r="V22" i="1" s="1"/>
  <c r="G21" i="1"/>
  <c r="E21" i="1"/>
  <c r="H21" i="1" s="1"/>
  <c r="D21" i="1"/>
  <c r="V21" i="1" s="1"/>
  <c r="V20" i="1"/>
  <c r="L20" i="1"/>
  <c r="H20" i="1"/>
  <c r="M20" i="1" s="1"/>
  <c r="G20" i="1"/>
  <c r="E20" i="1"/>
  <c r="D20" i="1"/>
  <c r="L19" i="1"/>
  <c r="G19" i="1"/>
  <c r="E19" i="1"/>
  <c r="H19" i="1" s="1"/>
  <c r="D19" i="1"/>
  <c r="V19" i="1" s="1"/>
  <c r="G18" i="1"/>
  <c r="E18" i="1"/>
  <c r="H18" i="1" s="1"/>
  <c r="D18" i="1"/>
  <c r="V18" i="1" s="1"/>
  <c r="G17" i="1"/>
  <c r="E17" i="1"/>
  <c r="H17" i="1" s="1"/>
  <c r="D17" i="1"/>
  <c r="V17" i="1" s="1"/>
  <c r="V16" i="1"/>
  <c r="G16" i="1"/>
  <c r="E16" i="1"/>
  <c r="H16" i="1" s="1"/>
  <c r="D16" i="1"/>
  <c r="G15" i="1"/>
  <c r="E15" i="1"/>
  <c r="H15" i="1" s="1"/>
  <c r="D15" i="1"/>
  <c r="V15" i="1" s="1"/>
  <c r="M18" i="1" l="1"/>
  <c r="N18" i="1"/>
  <c r="M16" i="1"/>
  <c r="N16" i="1"/>
  <c r="M26" i="1"/>
  <c r="N26" i="1"/>
  <c r="P19" i="1"/>
  <c r="P17" i="1"/>
  <c r="P25" i="1"/>
  <c r="P29" i="1"/>
  <c r="P15" i="1"/>
  <c r="N20" i="1"/>
  <c r="P23" i="1"/>
  <c r="P31" i="1"/>
  <c r="P21" i="1"/>
  <c r="P27" i="1"/>
  <c r="P33" i="1"/>
  <c r="W29" i="1"/>
  <c r="O29" i="1"/>
  <c r="J29" i="1"/>
  <c r="N29" i="1"/>
  <c r="I29" i="1"/>
  <c r="M29" i="1"/>
  <c r="W15" i="1"/>
  <c r="O15" i="1"/>
  <c r="J15" i="1"/>
  <c r="N15" i="1"/>
  <c r="I15" i="1"/>
  <c r="M15" i="1"/>
  <c r="T16" i="1"/>
  <c r="P16" i="1"/>
  <c r="I16" i="1"/>
  <c r="W17" i="1"/>
  <c r="O17" i="1"/>
  <c r="J17" i="1"/>
  <c r="N17" i="1"/>
  <c r="I17" i="1"/>
  <c r="M17" i="1"/>
  <c r="T18" i="1"/>
  <c r="P18" i="1"/>
  <c r="I18" i="1"/>
  <c r="W19" i="1"/>
  <c r="O19" i="1"/>
  <c r="J19" i="1"/>
  <c r="N19" i="1"/>
  <c r="I19" i="1"/>
  <c r="M19" i="1"/>
  <c r="T20" i="1"/>
  <c r="P20" i="1"/>
  <c r="I20" i="1"/>
  <c r="M22" i="1"/>
  <c r="M24" i="1"/>
  <c r="W21" i="1"/>
  <c r="O21" i="1"/>
  <c r="J21" i="1"/>
  <c r="N21" i="1"/>
  <c r="I21" i="1"/>
  <c r="M21" i="1"/>
  <c r="T22" i="1"/>
  <c r="P22" i="1"/>
  <c r="I22" i="1"/>
  <c r="W23" i="1"/>
  <c r="O23" i="1"/>
  <c r="J23" i="1"/>
  <c r="N23" i="1"/>
  <c r="I23" i="1"/>
  <c r="M23" i="1"/>
  <c r="T24" i="1"/>
  <c r="P24" i="1"/>
  <c r="I24" i="1"/>
  <c r="W31" i="1"/>
  <c r="O31" i="1"/>
  <c r="J31" i="1"/>
  <c r="N31" i="1"/>
  <c r="I31" i="1"/>
  <c r="M31" i="1"/>
  <c r="N22" i="1"/>
  <c r="W25" i="1"/>
  <c r="O25" i="1"/>
  <c r="J25" i="1"/>
  <c r="N25" i="1"/>
  <c r="I25" i="1"/>
  <c r="M25" i="1"/>
  <c r="T26" i="1"/>
  <c r="P26" i="1"/>
  <c r="I26" i="1"/>
  <c r="W27" i="1"/>
  <c r="O27" i="1"/>
  <c r="J27" i="1"/>
  <c r="N27" i="1"/>
  <c r="I27" i="1"/>
  <c r="M27" i="1"/>
  <c r="W33" i="1"/>
  <c r="O33" i="1"/>
  <c r="J33" i="1"/>
  <c r="N33" i="1"/>
  <c r="I33" i="1"/>
  <c r="M33" i="1"/>
  <c r="N28" i="1"/>
  <c r="I30" i="1"/>
  <c r="N30" i="1"/>
  <c r="V30" i="1"/>
  <c r="N32" i="1"/>
  <c r="T15" i="1"/>
  <c r="J16" i="1"/>
  <c r="O16" i="1"/>
  <c r="W16" i="1"/>
  <c r="T17" i="1"/>
  <c r="J18" i="1"/>
  <c r="O18" i="1"/>
  <c r="W18" i="1"/>
  <c r="T19" i="1"/>
  <c r="J20" i="1"/>
  <c r="O20" i="1"/>
  <c r="W20" i="1"/>
  <c r="T21" i="1"/>
  <c r="J22" i="1"/>
  <c r="O22" i="1"/>
  <c r="W22" i="1"/>
  <c r="T23" i="1"/>
  <c r="J24" i="1"/>
  <c r="O24" i="1"/>
  <c r="W24" i="1"/>
  <c r="T25" i="1"/>
  <c r="J26" i="1"/>
  <c r="O26" i="1"/>
  <c r="W26" i="1"/>
  <c r="T27" i="1"/>
  <c r="J28" i="1"/>
  <c r="O28" i="1"/>
  <c r="W28" i="1"/>
  <c r="T29" i="1"/>
  <c r="J30" i="1"/>
  <c r="O30" i="1"/>
  <c r="W30" i="1"/>
  <c r="T31" i="1"/>
  <c r="J32" i="1"/>
  <c r="O32" i="1"/>
  <c r="W32" i="1"/>
  <c r="T33" i="1"/>
  <c r="I28" i="1"/>
  <c r="V28" i="1"/>
  <c r="I32" i="1"/>
  <c r="P28" i="1"/>
  <c r="P30" i="1"/>
  <c r="P32" i="1"/>
  <c r="V32" i="1"/>
  <c r="B40" i="5" l="1"/>
  <c r="D40" i="5" s="1"/>
  <c r="C20" i="5"/>
  <c r="G34" i="1"/>
  <c r="E34" i="1"/>
  <c r="H34" i="1" s="1"/>
  <c r="D34" i="1"/>
  <c r="V34" i="1" s="1"/>
  <c r="G14" i="1"/>
  <c r="E14" i="1"/>
  <c r="H14" i="1" s="1"/>
  <c r="D14" i="1"/>
  <c r="P14" i="1" s="1"/>
  <c r="V20" i="5" l="1"/>
  <c r="T40" i="5"/>
  <c r="C40" i="5"/>
  <c r="I40" i="5" s="1"/>
  <c r="V40" i="5"/>
  <c r="U40" i="5"/>
  <c r="B20" i="5"/>
  <c r="D20" i="5" s="1"/>
  <c r="I20" i="5" s="1"/>
  <c r="G40" i="5"/>
  <c r="S40" i="5" s="1"/>
  <c r="L40" i="5"/>
  <c r="G20" i="5"/>
  <c r="L20" i="5"/>
  <c r="T34" i="1"/>
  <c r="W14" i="1"/>
  <c r="T14" i="1"/>
  <c r="P34" i="1"/>
  <c r="N34" i="1"/>
  <c r="I34" i="1"/>
  <c r="M34" i="1"/>
  <c r="W34" i="1"/>
  <c r="O34" i="1"/>
  <c r="J34" i="1"/>
  <c r="M14" i="1"/>
  <c r="I14" i="1"/>
  <c r="N14" i="1"/>
  <c r="V14" i="1"/>
  <c r="J14" i="1"/>
  <c r="O14" i="1"/>
  <c r="K40" i="5" l="1"/>
  <c r="K20" i="5"/>
  <c r="U20" i="5"/>
  <c r="H40" i="5"/>
  <c r="T20" i="5"/>
  <c r="S20" i="5"/>
  <c r="H20" i="5"/>
  <c r="W3" i="1"/>
  <c r="V3" i="1"/>
  <c r="B2" i="5" l="1"/>
  <c r="B3" i="5" s="1"/>
  <c r="C19" i="5"/>
  <c r="B18" i="5"/>
  <c r="D18" i="5" s="1"/>
  <c r="G13" i="1"/>
  <c r="E13" i="1"/>
  <c r="H13" i="1" s="1"/>
  <c r="D13" i="1"/>
  <c r="G12" i="1"/>
  <c r="E12" i="1"/>
  <c r="H12" i="1" s="1"/>
  <c r="D12" i="1"/>
  <c r="V12" i="1" l="1"/>
  <c r="T12" i="1"/>
  <c r="N13" i="1"/>
  <c r="O13" i="1"/>
  <c r="M13" i="1"/>
  <c r="N12" i="1"/>
  <c r="M12" i="1"/>
  <c r="O12" i="1"/>
  <c r="T13" i="1"/>
  <c r="V13" i="1"/>
  <c r="W12" i="1"/>
  <c r="W13" i="1"/>
  <c r="T18" i="5"/>
  <c r="P13" i="1"/>
  <c r="C18" i="5"/>
  <c r="B19" i="5"/>
  <c r="D19" i="5" s="1"/>
  <c r="J12" i="1"/>
  <c r="I12" i="1"/>
  <c r="I13" i="1"/>
  <c r="P12" i="1"/>
  <c r="J13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36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36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36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K13" i="5"/>
  <c r="I13" i="5"/>
  <c r="H13" i="5"/>
  <c r="S13" i="5"/>
  <c r="U13" i="5"/>
  <c r="V13" i="5"/>
  <c r="L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5" i="1" l="1"/>
  <c r="L34" i="1"/>
  <c r="L31" i="1"/>
  <c r="L17" i="1"/>
  <c r="L23" i="1"/>
  <c r="L33" i="1"/>
  <c r="L26" i="1"/>
  <c r="L18" i="1"/>
  <c r="L27" i="1"/>
  <c r="L21" i="1"/>
  <c r="L22" i="1"/>
  <c r="L32" i="1"/>
  <c r="L16" i="1"/>
  <c r="L28" i="1"/>
  <c r="L11" i="1"/>
  <c r="L13" i="1"/>
  <c r="L12" i="1"/>
  <c r="L14" i="1"/>
  <c r="L9" i="1"/>
  <c r="L10" i="1"/>
  <c r="J11" i="1"/>
  <c r="J9" i="1"/>
  <c r="J10" i="1"/>
  <c r="C7" i="1"/>
  <c r="I36" i="1"/>
  <c r="J36" i="1"/>
  <c r="N36" i="1"/>
  <c r="O36" i="1"/>
  <c r="P36" i="1"/>
  <c r="Q7" i="1" l="1"/>
  <c r="M47" i="3" s="1"/>
  <c r="L7" i="1"/>
  <c r="G47" i="3" s="1"/>
  <c r="K47" i="3"/>
  <c r="J47" i="3"/>
  <c r="M36" i="1"/>
  <c r="K36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<sst xmlns="http://schemas.openxmlformats.org/spreadsheetml/2006/main" count="481" uniqueCount="335">
  <si>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</si>
  <si>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</si>
  <si>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</si>
  <si>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</si>
  <si>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</si>
  <si>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</si>
  <si>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</si>
  <si>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</si>
  <si>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</si>
  <si>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</si>
  <si>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</si>
  <si>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</si>
  <si>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</si>
  <si>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</si>
  <si>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</si>
  <si>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</si>
  <si>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</si>
  <si>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</si>
  <si>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</si>
  <si>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</si>
  <si>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</si>
  <si>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</si>
  <si>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</si>
  <si>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</si>
  <si>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</si>
  <si>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</si>
  <si>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</si>
  <si>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</si>
  <si>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</si>
  <si>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</si>
  <si>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</si>
  <si>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</si>
  <si>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</si>
  <si>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</si>
  <si>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</si>
  <si>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</si>
  <si>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</si>
  <si>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</si>
  <si>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</si>
  <si>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</si>
  <si>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</si>
  <si>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</si>
  <si>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</si>
  <si>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</si>
  <si>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</si>
  <si>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</si>
  <si>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</si>
  <si>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</si>
  <si>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</si>
  <si>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</si>
  <si>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</si>
  <si>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</si>
  <si>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</si>
  <si>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</si>
  <si>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</si>
  <si>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</si>
  <si>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</si>
  <si>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</si>
  <si>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</si>
  <si>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</si>
  <si>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</si>
  <si>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</si>
  <si>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</si>
  <si>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</si>
  <si>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</si>
  <si>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</si>
  <si>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</si>
  <si>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</si>
  <si>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</si>
  <si>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</si>
  <si>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</si>
  <si>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</si>
  <si>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</si>
  <si>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</si>
  <si>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</si>
  <si>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</si>
  <si>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</si>
  <si>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</si>
  <si>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</si>
  <si>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</si>
  <si>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</si>
  <si>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</si>
  <si>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</si>
  <si>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</si>
  <si>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</si>
  <si>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</si>
  <si>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</si>
  <si>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</si>
  <si>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</si>
  <si>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</si>
  <si>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</si>
  <si>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</si>
  <si>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</si>
  <si>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</si>
  <si>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</si>
  <si>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</si>
  <si>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</si>
  <si>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</si>
  <si>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</si>
  <si>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</si>
  <si>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</si>
  <si>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</si>
  <si>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</si>
  <si>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</si>
  <si>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</si>
  <si>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</si>
  <si>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</si>
  <si>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</si>
  <si>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</si>
  <si>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</si>
  <si>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</si>
  <si>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</si>
  <si>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</si>
  <si>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</si>
  <si>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</si>
  <si>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</si>
  <si>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</si>
  <si>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</si>
  <si>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</si>
  <si>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</si>
  <si>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</si>
  <si>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</si>
  <si>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</si>
  <si>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</si>
  <si>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</si>
  <si>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</si>
  <si>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</si>
  <si>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</si>
  <si>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</si>
  <si>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</si>
  <si>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</si>
  <si>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</si>
  <si>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</si>
  <si>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</si>
  <si>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</si>
  <si>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</si>
  <si>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</si>
  <si>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</si>
  <si>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</si>
  <si>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</si>
  <si>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</si>
  <si>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</si>
  <si>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</si>
  <si>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</si>
  <si>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</si>
  <si>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</si>
  <si>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</si>
  <si>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</si>
  <si>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</si>
  <si>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</si>
  <si>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</si>
  <si>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</si>
  <si>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</si>
  <si>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</si>
  <si>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</si>
  <si>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</si>
  <si>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</si>
  <si>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</si>
  <si>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</si>
  <si>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</si>
  <si>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</si>
  <si>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</si>
  <si>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</si>
  <si>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</si>
  <si>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</si>
  <si>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</si>
  <si>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</si>
  <si>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</si>
  <si>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</si>
  <si>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</si>
  <si>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</si>
  <si>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</si>
  <si>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</si>
  <si>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</si>
  <si>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</si>
  <si>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</si>
  <si>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</si>
  <si>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</si>
  <si>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</si>
  <si>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</si>
  <si>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</si>
  <si>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</si>
  <si>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</si>
  <si>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</si>
  <si>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</si>
  <si>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</si>
  <si>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</si>
  <si>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</si>
  <si>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</si>
  <si>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</si>
  <si>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</si>
  <si>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</si>
  <si>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</si>
  <si>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</si>
  <si>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</si>
  <si>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</si>
  <si>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</si>
  <si>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</si>
  <si>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</si>
  <si>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</si>
  <si>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</si>
  <si>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</si>
  <si>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</si>
  <si>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</si>
  <si>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</si>
  <si>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</si>
  <si>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</si>
  <si>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</si>
  <si>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</si>
  <si>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</si>
  <si>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</si>
  <si>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</si>
  <si>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</si>
  <si>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</si>
  <si>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</si>
  <si>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</si>
  <si>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</si>
  <si>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</si>
  <si>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</si>
  <si>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</si>
  <si>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</si>
  <si>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</si>
  <si>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</si>
  <si>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</si>
  <si>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</si>
  <si>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</si>
  <si>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</si>
  <si>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</si>
  <si>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</si>
  <si>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</si>
  <si>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</si>
  <si>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</si>
  <si>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</si>
  <si>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</si>
  <si>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</si>
  <si>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</si>
  <si>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</si>
  <si>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</si>
  <si>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</si>
  <si>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</si>
  <si>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</si>
  <si>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</si>
  <si>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</si>
  <si>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</si>
  <si>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</si>
  <si>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</si>
  <si>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</si>
  <si>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</si>
  <si>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</si>
  <si>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</si>
  <si>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</si>
  <si>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</si>
  <si>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</si>
  <si>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</si>
  <si>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</si>
  <si>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</si>
  <si>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</si>
  <si>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</si>
  <si>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</si>
  <si>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</si>
  <si>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</si>
  <si>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</si>
  <si>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</si>
  <si>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</si>
  <si>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</si>
  <si>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</si>
  <si>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</si>
  <si>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</si>
  <si>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</si>
  <si>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</si>
  <si>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</si>
  <si>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</si>
  <si>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</si>
  <si>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</si>
  <si>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</si>
  <si>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</si>
  <si>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</si>
  <si>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</si>
  <si>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</si>
  <si>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</si>
  <si>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</si>
  <si>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</si>
  <si>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</si>
  <si>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</si>
  <si>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</si>
  <si>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</si>
  <si>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</si>
  <si>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</si>
  <si>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</si>
  <si>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</si>
  <si>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</si>
  <si>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</si>
  <si>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</si>
  <si>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</si>
  <si>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</si>
  <si>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</si>
  <si>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</si>
  <si>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</si>
  <si>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</si>
  <si>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</si>
  <si>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</si>
  <si>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</si>
  <si>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</si>
  <si>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varchar(1)</t>
  </si>
  <si>
    <t>varchar(50)</t>
  </si>
  <si>
    <t>RENBAN</t>
  </si>
  <si>
    <t>LogW.Mwh</t>
  </si>
  <si>
    <t>CASE_NO</t>
  </si>
  <si>
    <t>LOT_NO</t>
  </si>
  <si>
    <t>GRADE</t>
  </si>
  <si>
    <t>MODEL</t>
  </si>
  <si>
    <t>CASE_QTY</t>
  </si>
  <si>
    <t>CONTAINER_NO</t>
  </si>
  <si>
    <t>ORDER_TYPE</t>
  </si>
  <si>
    <t>CASE_PREFIX</t>
  </si>
  <si>
    <t>PROD_LINE</t>
  </si>
  <si>
    <t>PXP_CASE_ID</t>
  </si>
  <si>
    <t>CONT_SCHEDULE_ID</t>
  </si>
  <si>
    <t>STATUS</t>
  </si>
  <si>
    <t>DEVANNING_DATE</t>
  </si>
  <si>
    <t>START_DEVANNING_DATE</t>
  </si>
  <si>
    <t>datetime2(7)</t>
  </si>
  <si>
    <t>FINISH_DEVANNING_DATE</t>
  </si>
  <si>
    <t>ZONE_CD</t>
  </si>
  <si>
    <t>AREA_CD</t>
  </si>
  <si>
    <t>LOC_ID</t>
  </si>
  <si>
    <t>LOC_CD</t>
  </si>
  <si>
    <t>LOC_DATE</t>
  </si>
  <si>
    <t>LOC_BY</t>
  </si>
  <si>
    <t>nvarchar(50)</t>
  </si>
  <si>
    <t>SHOP</t>
  </si>
  <si>
    <t>IS_BIGPART</t>
  </si>
  <si>
    <t>CaseData</t>
  </si>
  <si>
    <t>LgwMwhCaseData</t>
  </si>
  <si>
    <t>LogW Module Warehouse Case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</si>
</sst>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56" sqref="C5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[Table("LgwMwhCaseData")]
	[Index(nameof(CaseNo), Name="IX_LgwMwhCaseData_CaseNo")]
	[Index(nameof(ContainerNo), Name="IX_LgwMwhCaseData_ContainerNo")]
	[Index(nameof(Renban), Name="IX_LgwMwhCaseData_Renban")]
	[Index(nameof(SupplierNo), Name="IX_LgwMwhCaseData_SupplierNo")]
	[Index(nameof(CasePrefix), Name="IX_LgwMwhCaseData_CasePrefix")]
	[Index(nameof(ContScheduleId), Name="IX_LgwMwhCaseData_ContScheduleId")]
	[Index(nameof(Status), Name="IX_LgwMwhCaseData_Status")]
	[Index(nameof(LocId), Name="IX_LgwMwhCaseData_LocId")]
	[Index(nameof(IsBigpart), Name="IX_LgwMwhCaseData_IsBigpart")]
	[Index(nameof(IsActive), Name="IX_LgwMwhCaseData_IsActive")]	public class LgwMwhCaseData: FullAuditedEntity&lt;long&gt;, IEntity&lt;long&gt;	
	{
		public const int MaxCaseNoLength = 50;
		public const int MaxLotNoLength = 50;
		public const int MaxGradeLength = 50;
		public const int MaxModelLength = 50;
		public const int MaxContainerNoLength = 50;
		public const int MaxRenbanLength = 50;
		public const int MaxSupplierNoLength = 50;
		public const int MaxOrderTypeLength = 50;
		public const int MaxCasePrefixLength = 50;
		public const int MaxProdLineLength = 50;
		public const int MaxStatusLength = 50;
		public const int MaxZoneCdLength = 50;
		public const int MaxAreaCdLength = 50;
		public const int MaxLocCdLength = 50;
		public const int MaxLocByLength = 50;
		public const int MaxShopLength = 50;
		public const int MaxIsBigpartLength = 50;
		public const int MaxIsActiveLength = 1;
		[StringLength(MaxCaseNoLength)]
		public virtual string CaseNo { get; set; }
		[StringLength(MaxLotNoLength)]
		public virtual string LotNo { get; set; }
		[StringLength(MaxGradeLength)]
		public virtual string Grade { get; set; }
		[StringLength(MaxModelLength)]
		public virtual string Model { get; set; }
		public virtual int CaseQty { get; set; }
		[StringLength(MaxContainerNoLength)]
		public virtual string ContainerNo { get; set; }
		[StringLength(MaxRenbanLength)]
		public virtual string Renban { get; set; }
		[StringLength(MaxSupplierNoLength)]
		public virtual string SupplierNo { get; set; }
		[StringLength(MaxOrderTypeLength)]
		public virtual string OrderType { get; set; }
		[StringLength(MaxCasePrefixLength)]
		public virtual string CasePrefix { get; set; }
		[StringLength(MaxProdLineLength)]
		public virtual string ProdLine { get; set; }
		public virtual long PxpCaseId { get; set; }
		public virtual long ContScheduleId { get; set; }
		[StringLength(MaxStatusLength)]
		public virtual string Status { get; set; }
		[Column(TypeName="date")]
		public virtual DateTime DevanningDate { get; set; }
		[Column(TypeName="datetime2(7)")]
		public virtual DateTime StartDevanningDate { get; set; }
		[Column(TypeName="datetime2(7)")]
		public virtual DateTime FinishDevanningDate { get; set; }
		[StringLength(MaxZoneCdLength)]
		public virtual string ZoneCd { get; set; }
		[StringLength(MaxAreaCdLength)]
		public virtual string AreaCd { get; set; }
		public virtual long LocId { get; set; }
		[StringLength(MaxLocCdLength)]
		public virtual string LocCd { get; set; }
		public virtual DateTime LocDate { get; set; }
		[StringLength(MaxLocByLength)]
		public virtual string LocBy { get; set; }
		[StringLength(MaxShopLength)]
		public virtual string Shop { get; set; }
		[StringLength(MaxIsBigpartLength)]
		public virtual string IsBigpart { get; set; }
		[StringLength(MaxIsActiveLength)]
		public virtual string IsActive { get; set; }
	}
}
</v>
      </c>
      <c r="D47" s="51" t="str">
        <f>A.Backend!O7</f>
        <v xml:space="preserve">		public const string Pages_LogW_Mwh_CaseData = "Pages.LogW.Mwh.CaseData";
		public const string Pages_LogW_Mwh_CaseData_CreateEdit = "Pages.LogW.Mwh.CaseData.CreateEdit";
		public const string Pages_LogW_Mwh_CaseData_Delete = "Pages.LogW.Mwh.CaseData.Delete";
</v>
      </c>
      <c r="E47" s="51" t="str">
        <f>A.Backend!N7</f>
        <v xml:space="preserve">		var perLgwMwhCaseData = PARENTS.CreateChildPermission(AppPermissions.Pages_LogW_Mwh_CaseData, L( "LogWMwhCaseData"));
		perLgwMwhCaseData.CreateChildPermission(AppPermissions.Pages_LogW_Mwh_CaseData_CreateEdit, L( "LogWMwhCaseDataCreateEdit"));
		perLgwMwhCaseData.CreateChildPermission(AppPermissions.Pages_LogW_Mwh_CaseData_Delete, L( "LogWMwhCaseDataDelete"));</v>
      </c>
      <c r="F47" s="51" t="str">
        <f>A.Backend!K7</f>
        <v>public virtual DbSet&lt;LgwMwhCaseData&gt; LgwMwhCaseDatas { get; set; }</v>
      </c>
      <c r="G47" s="51" t="str">
        <f ca="1">A.Backend!L7</f>
        <v xml:space="preserve">namespace vovina.LogW.Mwh
{
	public class LgwMwhCaseDataConsts	
	{
		public const int MaxCaseNoLength = 50;
		public const int MaxLotNoLength = 50;
		public const int MaxGradeLength = 50;
		public const int MaxModelLength = 50;
		public const int MaxContainerNoLength = 50;
		public const int MaxRenbanLength = 50;
		public const int MaxSupplierNoLength = 50;
		public const int MaxOrderTypeLength = 50;
		public const int MaxCasePrefixLength = 50;
		public const int MaxProdLineLength = 50;
		public const int MaxStatusLength = 50;
		public const int MaxZoneCdLength = 50;
		public const int MaxAreaCdLength = 50;
		public const int MaxLocCdLength = 50;
		public const int MaxLocByLength = 50;
		public const int MaxShopLength = 50;
		public const int MaxIsBigpartLength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vovina.LogW.Mwh.Dto
{
	public class LgwMwhCaseDataDto : EntityDto&lt;long?&gt;	
	{
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long PxpCaseId { get; set; }
		public virtual long ContScheduleId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long LocId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	}
	public class CreateOrEditLgwMwhCaseDataDto : EntityDto&lt;long?&gt;	
	{
		[StringLength(LgwMwhCaseDataConsts.MaxCaseNoLength)]
		public virtual string CaseNo { get; set; }
		[StringLength(LgwMwhCaseDataConsts.MaxLotNoLength)]
		public virtual string LotNo { get; set; }
		[StringLength(LgwMwhCaseDataConsts.MaxGradeLength)]
		public virtual string Grade { get; set; }
		[StringLength(LgwMwhCaseDataConsts.MaxModelLength)]
		public virtual string Model { get; set; }
		public virtual int CaseQty { get; set; }
		[StringLength(LgwMwhCaseDataConsts.MaxContainerNoLength)]
		public virtual string ContainerNo { get; set; }
		[StringLength(LgwMwhCaseDataConsts.MaxRenbanLength)]
		public virtual string Renban { get; set; }
		[StringLength(LgwMwhCaseDataConsts.MaxSupplierNoLength)]
		public virtual string SupplierNo { get; set; }
		[StringLength(LgwMwhCaseDataConsts.MaxOrderTypeLength)]
		public virtual string OrderType { get; set; }
		[StringLength(LgwMwhCaseDataConsts.MaxCasePrefixLength)]
		public virtual string CasePrefix { get; set; }
		[StringLength(LgwMwhCaseDataConsts.MaxProdLineLength)]
		public virtual string ProdLine { get; set; }
		public virtual long PxpCaseId { get; set; }
		public virtual long ContScheduleId { get; set; }
		[StringLength(LgwMwhCaseDataConsts.MaxStatusLength)]
		public virtual string Status { get; set; }
		public virtual DateTime? DevanningDate { get; set; }
		public virtual DateTime? StartDevanningDate { get; set; }
		public virtual DateTime? FinishDevanningDate { get; set; }
		[StringLength(LgwMwhCaseDataConsts.MaxZoneCdLength)]
		public virtual string ZoneCd { get; set; }
		[StringLength(LgwMwhCaseDataConsts.MaxAreaCdLength)]
		public virtual string AreaCd { get; set; }
		public virtual long LocId { get; set; }
		[StringLength(LgwMwhCaseDataConsts.MaxLocCdLength)]
		public virtual string LocCd { get; set; }
		public virtual DateTime? LocDate { get; set; }
		[StringLength(LgwMwhCaseDataConsts.MaxLocByLength)]
		public virtual string LocBy { get; set; }
		[StringLength(LgwMwhCaseDataConsts.MaxShopLength)]
		public virtual string Shop { get; set; }
		[StringLength(LgwMwhCaseDataConsts.MaxIsBigpartLength)]
		public virtual string IsBigpart { get; set; }
		[StringLength(LgwMwhCaseDataConsts.MaxIsActiveLength)]
		public virtual string IsActive { get; set; }
	}
	public class GetLgwMwhCaseDataInput : PagedAndSortedResultRequestDto	
	{
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vovina.LogW.Mwh.Dto
{
	public class LgwMwhCaseDataExportInput{
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long PxpCaseId { get; set; }
		public virtual long ContScheduleId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long LocId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vovina.LogW.Mwh.Dto;
namespace vovina.LogW.Mwh
{
	public interface ILgwMwhCaseDataAppService : IApplicationService
	{
		Task&lt;PagedResultDto&lt;LgwMwhCaseDataDto&gt;&gt; GetAll(GetLgwMwhCaseDataInput input);
		Task CreateOrEdit(CreateOrEditLgwMwhCaseDataDto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vovina.LogW.Mwh.Dto;
namespace vovina.LogW.Mwh.Exporting
{
	public interface ILgwMwhCaseDataExcelExporter : IApplicationService
	{
		FileDto ExportToFile(List&lt;LgwMwhCaseDataDto&gt; lgwmwhcasedata);
	}
}
</v>
      </c>
      <c r="L47" s="51" t="str">
        <f ca="1">A.Backend!T7</f>
        <v>using System.Collections.Generic;
using vovina.DataExporting.Excel.NPOI;
using vovina.Dto;
using vovina.LogW.Mwh.Exporting;
using vovina.LogW.Mwh.Dto;
using vovina.Storage;
using vovina.LogW.Mwh.Dto;
namespace vovina.LogW.Mwh.Exporting
{
    public class LgwMwhCaseDataExcelExporter : NpoiExcelExporterBase, ILgwMwhCaseDataExcelExporter
    {
        public LgwMwhCaseDataExcelExporter(ITempFileCacheManager tempFileCacheManager) : base(tempFileCacheManager) { }
        public FileDto ExportToFile(List&lt;LgwMwhCaseDataDto&gt; casedata)
        {
            return CreateExcelPackage(
				"LogWMwhCaseData.xlsx",
				excelPackage =&gt;
				 {
					var sheet = excelPackage.CreateSheet("CaseData");
					AddHeader(
								sheet,
								("CaseNo"),
								("LotNo"),
								("Grade"),
								("Model"),
								("CaseQty"),
								("ContainerNo"),
								("Renban"),
								("SupplierNo"),
								("OrderType"),
								("CasePrefix"),
								("ProdLine"),
								("PxpCaseId"),
								("ContScheduleId"),
								("Status"),
								("DevanningDate"),
								("StartDevanningDate"),
								("FinishDevanningDate"),
								("ZoneCd"),
								("AreaCd"),
								("LocId"),
								("LocCd"),
								("LocDate"),
								("LocBy"),
								("Shop"),
								("IsBigpart"),
								("IsActive"),
							   );
					AddObjects(
						 sheet, 1, casedata,                                       
								_ =&gt; _.CaseNo,
								_ =&gt; _.LotNo,
								_ =&gt; _.Grade,
								_ =&gt; _.Model,
								_ =&gt; _.CaseQty,
								_ =&gt; _.ContainerNo,
								_ =&gt; _.Renban,
								_ =&gt; _.SupplierNo,
								_ =&gt; _.OrderType,
								_ =&gt; _.CasePrefix,
								_ =&gt; _.ProdLine,
								_ =&gt; _.PxpCaseId,
								_ =&gt; _.ContScheduleId,
								_ =&gt; _.Status,
								_ =&gt; _.DevanningDate,
								_ =&gt; _.StartDevanningDate,
								_ =&gt; _.FinishDevanningDate,
								_ =&gt; _.ZoneCd,
								_ =&gt; _.AreaCd,
								_ =&gt; _.LocId,
								_ =&gt; _.LocCd,
								_ =&gt; _.LocDate,
								_ =&gt; _.LocBy,
								_ =&gt; _.Shop,
								_ =&gt; _.IsBigpart,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[AbpAuthorize(AppPermissions.Pages_LogW_Mwh_CaseData)]
    public class LgwMwhCaseDataAppService : vovinaAppServiceBase, ILgwMwhCaseDataAppService
    {
        private readonly IDapperRepository&lt;LgwMwhCaseData, long&gt; _dapperRepo;
        private readonly IRepository&lt;LgwMwhCaseData, long&gt; _repo;
        private readonly ILgwMwhCaseDataExcelExporter _calendarListExcelExporter;
        public LgwMwhCaseDataAppService(IRepository&lt;LgwMwhCaseData,long&gt; repo, 
                                         IDapperRepository&lt;LgwMwhCaseData,long&gt; dapperRepo,
                                        ILgwMwhCaseDataExcelExporter calendarListExcelExporter
            )
        {
            _repo = repo;
            _dapperRepo = dapperRepo;
            _calendarListExcelExporter = calendarListExcelExporter;
        }
        [AbpAuthorize(AppPermissions.Pages_LogW_Mwh_CaseData_CreateEdit)]
        public async Task CreateOrEdit(CreateOrEditLgwMwhCaseDataDto input)
        {
            if (input.Id == null) await Create(input);
            else await Update(input);
        }
        //CREATE
        private async Task Create(CreateOrEditLgwMwhCaseDataDto input)
        {          
            var mainObj = ObjectMapper.Map&lt;LgwMwhCaseData&gt;(input);
            await CurrentUnitOfWork.GetDbContext&lt;vovinaDbContext&gt;().AddAsync(mainObj);
        }
        // EDIT
        private async Task Update(CreateOrEditLgwMwhCaseDataDto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[AbpAuthorize(AppPermissions.Pages_LogW_Mwh_CaseData_Delete)]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Task&lt;PagedResultDto&lt;LgwMwhCaseDataDto&gt;&gt; GetAll(GetLgwMwhCaseDataInput input)
        {
            var filtered = _repo.GetAll()
				.WhereIf(!string.IsNullOrWhiteSpace(input.CaseNo), e =&gt; e.CaseNo.Contains(input.CaseNo))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.WhereIf(!string.IsNullOrWhiteSpace(input.OrderType), e =&gt; e.OrderType.Contains(input.OrderType))
				.WhereIf(!string.IsNullOrWhiteSpace(input.CasePrefix), e =&gt; e.CasePrefix.Contains(input.CasePrefix))
				.WhereIf(!string.IsNullOrWhiteSpace(input.ProdLine), e =&gt; e.ProdLine.Contains(input.ProdLine))
				.WhereIf(!string.IsNullOrWhiteSpace(input.Status), e =&gt; e.Status.Contains(input.Status))
				.WhereIf(input.DevanningDate.HasValue, t =&gt; t.DevanningDate == input.DevanningDate.Value)
				.WhereIf(input.StartDevanningDate.HasValue, t =&gt; t.StartDevanningDate == input.StartDevanningDate.Value)
				.WhereIf(input.FinishDevanningDate.HasValue, t =&gt; t.FinishDevanningDate == input.FinishDevanningDate.Value)
				.WhereIf(!string.IsNullOrWhiteSpace(input.ZoneCd), e =&gt; e.ZoneCd.Contains(input.ZoneCd))
				.WhereIf(!string.IsNullOrWhiteSpace(input.AreaCd), e =&gt; e.AreaCd.Contains(input.AreaCd))
				.WhereIf(!string.IsNullOrWhiteSpace(input.LocCd), e =&gt; e.LocCd.Contains(input.LocCd))
				.WhereIf(input.LocDate.HasValue, t =&gt; t.LocDate == input.LocDate.Value)
				.WhereIf(!string.IsNullOrWhiteSpace(input.LocBy), e =&gt; e.LocBy.Contains(input.LocBy))
				.WhereIf(!string.IsNullOrWhiteSpace(input.Shop), e =&gt; e.Shop.Contains(input.Shop))
				.WhereIf(!string.IsNullOrWhiteSpace(input.IsBigpart), e =&gt; e.IsBigpart.Contains(input.IsBigpart))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LgwMwhCaseDataDto
                        {
							Id = o.Id,
							CaseNo = o.CaseNo,
							LotNo = o.LotNo,
							Grade = o.Grade,
							Model = o.Model,
							CaseQty = o.CaseQty,
							ContainerNo = o.ContainerNo,
							Renban = o.Renban,
							SupplierNo = o.SupplierNo,
							OrderType = o.OrderType,
							CasePrefix = o.CasePrefix,
							ProdLine = o.ProdLine,
							PxpCaseId = o.PxpCaseId,
							ContScheduleId = o.ContScheduleId,
							Status = o.Status,
							DevanningDate = o.DevanningDate,
							StartDevanningDate = o.StartDevanningDate,
							FinishDevanningDate = o.FinishDevanningDate,
							ZoneCd = o.ZoneCd,
							AreaCd = o.AreaCd,
							LocId = o.LocId,
							LocCd = o.LocCd,
							LocDate = o.LocDate,
							LocBy = o.LocBy,
							Shop = o.Shop,
							IsBigpart = o.IsBigpart,
							IsActive = o.IsActive,
                        };
            var totalCount = await filtered.CountAsync();
			var paged = system.PageBy(input);
            return new PagedResultDto&lt;LgwMwhCaseDataDto&gt;(
                totalCount,
                 await paged.ToListAsync()
            );
        }
        public async Task&lt;FileDto&gt; GetCaseDataToExcel(LgwMwhCaseDataExportInput input)
        {
            var query = from o in _repo.GetAll()
                        select new LgwMwhCaseDataDto
                        {
							Id = o.Id,
							CaseNo = o.CaseNo,
							LotNo = o.LotNo,
							Grade = o.Grade,
							Model = o.Model,
							CaseQty = o.CaseQty,
							ContainerNo = o.ContainerNo,
							Renban = o.Renban,
							SupplierNo = o.SupplierNo,
							OrderType = o.OrderType,
							CasePrefix = o.CasePrefix,
							ProdLine = o.ProdLine,
							PxpCaseId = o.PxpCaseId,
							ContScheduleId = o.ContScheduleId,
							Status = o.Status,
							DevanningDate = o.DevanningDate,
							StartDevanningDate = o.StartDevanningDate,
							FinishDevanningDate = o.FinishDevanningDate,
							ZoneCd = o.ZoneCd,
							AreaCd = o.AreaCd,
							LocId = o.LocId,
							LocCd = o.LocCd,
							LocDate = o.LocDate,
							LocBy = o.LocBy,
							Shop = o.Shop,
							IsBigpart = o.IsBigpart,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_dapperRepo.ExecuteAsync(LgwMwhCaseDataConsts.SP_MST_WPT_CALENDAR_GENERATE);
       // }
    }
}</v>
      </c>
      <c r="N47" s="62" t="str">
        <f>A.Backend!U7</f>
        <v xml:space="preserve">  configuration.CreateMap&lt;LgwMwhCaseDataDto, LgwMwhCaseData&gt;();
  configuration.CreateMap&lt;LgwMwhCaseData, LgwMwhCaseDataDto&gt;();
  configuration.CreateMap&lt;CreateOrEditLgwMwhCaseDataDto, LgwMwhCaseData&gt;();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casedata</v>
      </c>
      <c r="C52" s="72" t="str">
        <f>"create folder " &amp;B52</f>
        <v>create folder casedata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casedata.component.ts</v>
      </c>
      <c r="D53" s="31" t="str">
        <f>B.Frontend!I14</f>
        <v>casedata.component.html</v>
      </c>
      <c r="E53" s="31" t="str">
        <f>B.Frontend!J14</f>
        <v>casedata.component.less</v>
      </c>
      <c r="F53" s="31" t="str">
        <f>B.Frontend!K14</f>
        <v>create-or-edit-casedata-modal.component.html</v>
      </c>
      <c r="G53" s="31" t="str">
        <f>B.Frontend!L14</f>
        <v>create-or-edit-casedata-modal.component.ts</v>
      </c>
      <c r="H53" s="31" t="str">
        <f>B.Frontend!M14</f>
        <v>create-or-edit-casedata-modal.component.less</v>
      </c>
      <c r="I53" s="31" t="str">
        <f>B.Frontend!N14</f>
        <v>casedata.module.ts</v>
      </c>
      <c r="J53" s="31" t="str">
        <f>B.Frontend!O14</f>
        <v>casedata-routing.module.ts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LgwMwhCaseDataDto, LgwMwhCaseDataServiceProxy } from '@shared/service-proxies/service-proxies';
import { finalize } from 'rxjs/internal/operators/finalize';
import { CreateOrEditCaseDataModalComponent } from './create-or-edit-casedata-modal.component';
import { DatePipe } from '@angular/common';
import { FileDownloadService } from '@shared/utils/file-download.service';
import ceil from 'lodash-es/ceil';
import { Paginator } from 'primeng/paginator';
@Component({
    templateUrl: './casedata.component.html',
    styleUrls: ['./casedata.component.less'],
})
export class CaseDataComponent extends AppComponentBase implements OnInit {
    @ViewChild('createOrEditModalCaseData', { static: true }) createOrEditModalCaseData:| CreateOrEditCaseDataModalComponent|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LgwMwhCaseDataDto = new LgwMwhCaseDataDto();
    saveSelectedRow: LgwMwhCaseDataDto = new LgwMwhCaseDataDto();
    datas: LgwMwhCaseDataDto = new LgwMwhCaseDataDto();
    isLoading: boolean = false;
    dataParams: GridParams | undefined;
    rowData: any[] = [];
    gridApi!: GridApi;
    rowSelection = 'multiple';
    filter: string = '';
	pipe = new DatePipe('en-US');
	frameworkComponents: FrameworkComponent;
    caseNo : string = '' ; 
	lotNo : string = '' ; 
	grade : string = '' ; 
	model : string = '' ; 
	caseQty : number = 0 ;
containerNo : string = '' ; 
	renban : string = '' ; 
	supplierNo : string = '' ; 
	orderType : string = '' ; 
	casePrefix : string = '' ; 
prodLine : string = '' ; 
	pxpCaseId
	contScheduleId
	status : string = '' ; 
	devanningDate : any ;
startDevanningDate : any ;
	finishDevanningDate : any ;
	zoneCd : string = '' ; 
	areaCd : string = '' ; 
	locId
locCd : string = '' ; 
	locDate : any ;
	locBy : string = '' ; 
	shop : string = '' ; 
	isBigpart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LgwMwhCaseDataServiceProxy,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this.l('Case No'),headerTooltip: this.l('Case No'),field: 'caseNo',flex: 1},
			{headerName: this.l('Lot No'),headerTooltip: this.l('Lot No'),field: 'lotNo',flex: 1},
			{headerName: this.l('Grade'),headerTooltip: this.l('Grade'),field: 'grade',flex: 1},
			{headerName: this.l('Model'),headerTooltip: this.l('Model'),field: 'model',flex: 1},
			{headerName: this.l('Case Qty'),headerTooltip: this.l('Case Qty'),field: 'caseQty',flex: 1},
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this.l('Order Type'),headerTooltip: this.l('Order Type'),field: 'orderType',flex: 1},
			{headerName: this.l('Case Prefix'),headerTooltip: this.l('Case Prefix'),field: 'casePrefix',flex: 1},
			{headerName: this.l('Prod Line'),headerTooltip: this.l('Prod Line'),field: 'prodLine',flex: 1},
			{headerName: this.l('Pxp Case Id'),headerTooltip: this.l('Pxp Case Id'),field: 'pxpCaseId',flex: 1},
			{headerName: this.l('Cont Schedule Id'),headerTooltip: this.l('Cont Schedule Id'),field: 'contScheduleId',flex: 1},
			{headerName: this.l('Status'),headerTooltip: this.l('Status'),field: 'status',flex: 1},
			{headerName: this.l('Devanning Date'),headerTooltip: this.l('Devanning Date'),field: 'devanningDate',valueGetter: (params) =&gt; this.pipe.transform(params.data?.devanningDate, 'dd/MM/yyyy'),flex: 1},
			{headerName: this.l('Start Devanning Date'),headerTooltip: this.l('Start Devanning Date'),field: 'startDevanningDate',valueGetter: (params) =&gt; this.pipe.transform(params.data?.startDevanningDate, 'dd/MM/yyyy'),flex: 1},
			{headerName: this.l('Finish Devanning Date'),headerTooltip: this.l('Finish Devanning Date'),field: 'finishDevanningDate',valueGetter: (params) =&gt; this.pipe.transform(params.data?.finishDevanningDate, 'dd/MM/yyyy'),flex: 1},
			{headerName: this.l('Zone Cd'),headerTooltip: this.l('Zone Cd'),field: 'zoneCd',flex: 1},
			{headerName: this.l('Area Cd'),headerTooltip: this.l('Area Cd'),field: 'areaCd',flex: 1},
			{headerName: this.l('Loc Id'),headerTooltip: this.l('Loc Id'),field: 'locId',flex: 1},
			{headerName: this.l('Loc Cd'),headerTooltip: this.l('Loc Cd'),field: 'locCd',flex: 1},
			{headerName: this.l('Loc Date'),headerTooltip: this.l('Loc Date'),field: 'locDate',valueGetter: (params) =&gt; this.pipe.transform(params.data?.locDate, 'dd/MM/yyyy'),flex: 1},
			{headerName: this.l('Loc By'),headerTooltip: this.l('Loc By'),field: 'locBy',flex: 1},
			{headerName: this.l('Shop'),headerTooltip: this.l('Shop'),field: 'shop',flex: 1},
			{headerName: this.l('Is Bigpart'),headerTooltip: this.l('Is Bigpart'),field: 'isBigpart',flex: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this.caseNo,
			this.lotNo,
			this.grade,
			this.model,
			this.caseQty,
			this.containerNo,
			this.renban,
			this.supplierNo,
			this.orderType,
			this.casePrefix,
			this.prodLine,
			this.pxpCaseId,
			this.contScheduleId,
			this.status,
			this.devanningDate,
			this.startDevanningDate,
			this.finishDevanningDate,
			this.zoneCd,
			this.areaCd,
			this.locId,
			this.locCd,
			this.locDate,
			this.locBy,
			this.shop,
			this.isBigpart,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this.caseNo = '',
		this.lotNo = '',
		this.grade = '',
		this.model = '',
		this.caseQty = 0,
this.containerNo = '',
		this.renban = '',
		this.supplierNo = '',
		this.orderType = '',
		this.casePrefix = '',
this.prodLine = '',
		this.pxpCaseId = '',
		this.contScheduleId = '',
		this.status = '',
		this.devanningDate = '',
this.startDevanningDate = '',
		this.finishDevanningDate = '',
		this.zoneCd = '',
		this.areaCd = '',
		this.locId = '',
this.locCd = '',
		this.locDate = '',
		this.locBy = '',
		this.shop = '',
		this.isBigpart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this.caseNo,
			this.lotNo,
			this.grade,
			this.model,
			this.caseQty,
			this.containerNo,
			this.renban,
			this.supplierNo,
			this.orderType,
			this.casePrefix,
			this.prodLine,
			this.pxpCaseId,
			this.contScheduleId,
			this.status,
			this.devanningDate,
			this.startDevanningDate,
			this.finishDevanningDate,
			this.zoneCd,
			this.areaCd,
			this.locId,
			this.locCd,
			this.locDate,
			this.locBy,
			this.shop,
			this.isBigpart,
			this.isActive,
			'',
            this.paginationParams.skipCount,
            this.paginationParams.pageSize
        );
    }
    onChangeRowSelection(params: { api: { getSelectedRows: () =&gt; LgwMwhCaseDataDto[] } }) {
        this.saveSelectedRow = params.api.getSelectedRows()[0] ?? new LgwMwhCaseDataDto();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LgwMwhCaseDataDto):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this._service.getCaseDataToExcel(
			this.caseNo,
			this.lotNo,
			this.grade,
			this.model,
			this.caseQty,
			this.containerNo,
			this.renban,
			this.supplierNo,
			this.orderType,
			this.casePrefix,
			this.prodLine,
			this.pxpCaseId,
			this.contScheduleId,
			this.status,
			this.devanningDate,
			this.startDevanningDate,
			this.finishDevanningDate,
			this.zoneCd,
			this.areaCd,
			this.locId,
			this.locCd,
			this.locDate,
			this.locBy,
			this.shop,
			this.isBigpart,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Robbing Lane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[(ngModel)]='casePrefix' name='casePrefix'
									class='form-control' [placeholder]="l('Case Prefix')"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[(ngModel)]='zoneCd' name='zoneCd'
									class='form-control' [placeholder]="l('Zone Cd')"
									type='text' (keyup.enter)='searchDatas()'&gt;
								&lt;/div&gt;
								&lt;div class='input-search'&gt;
									&lt;input [(ngModel)]='areaCd' name='areaCd'
									class='form-control' [placeholder]="l('Area Cd')"
									type='text' (keyup.enter)='searchDatas()'&gt;
								&lt;/div&gt;
								&lt;div class='input-search'&gt;
									&lt;input [(ngModel)]='locCd' name='locCd'
									class='form-control' [placeholder]="l('Loc Cd')"
									type='text' (keyup.enter)='searchDatas()'&gt;
								&lt;/div&gt;
								&lt;div class='input-search'&gt;
									&lt;input type='text' [placeholder]="l('Loc Date')" [(ngModel)]='locDate' 
									name='locDate'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[(ngModel)]='locBy' name='locBy'
									class='form-control' [placeholder]="l('Loc By')"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[(ngModel)]='isBigpart' name='isBigpart'
									class='form-control' [placeholder]="l('Is Bigpart')"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(click)="createOrEditModalCaseData.show()"&gt;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(click)="createOrEditModalCaseData.show(selectedRow)"&gt;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&lt;create-or-edit-casedata-modal
    #createOrEditModalCaseData
    (modalSave)="callBackDataGrid(dataParams)"
    (modalClose)="onChangeRowSelection(dataParams)"
&gt;
&lt;/create-or-edit-casedata-modal&gt;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#createOrEditModalCaseData="bs-modal"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CaseData')}}&lt;/h3&gt;
                    &lt;h3 *ngIf="!rowdata.id"&gt;{{('Create New CaseData')}}&lt;/h3&gt;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title'&gt;Case Qty&lt;/label&gt;
						&lt;input type='number' class='col-md-10 form-control input-text' name='CaseQty' [(ngModel)]='rowdata.caseQty'&gt;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title'&gt;Order Type&lt;/label&gt;
						&lt;input type='text' class='col-md-10 form-control input-text' name='OrderType' [(ngModel)]='rowdata.orderType'&gt;
					&lt;/div&gt;
					&lt;div class='col-md-12 form-group row'&gt;
						&lt;label class='col-md-2 form-control title'&gt;Case Prefix&lt;/label&gt;
						&lt;input type='text' class='col-md-10 form-control input-text' name='CasePrefix' [(ngModel)]='rowdata.casePrefix'&gt;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
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
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
					&lt;div class='col-md-12 form-group row'&gt;
						&lt;label class='col-md-2 form-control title'&gt;Zone Cd&lt;/label&gt;
						&lt;input type='text' class='col-md-10 form-control input-text' name='ZoneCd' [(ngModel)]='rowdata.zoneCd'&gt;
					&lt;/div&gt;
					&lt;div class='col-md-12 form-group row'&gt;
						&lt;label class='col-md-2 form-control title'&gt;Area Cd&lt;/label&gt;
						&lt;input type='text' class='col-md-10 form-control input-text' name='AreaCd' [(ngModel)]='rowdata.areaCd'&gt;
					&lt;/div&gt;
					&lt;div class='col-md-12 form-group row'&gt;
						&lt;label class='col-md-2 form-control title'&gt;Loc Cd&lt;/label&gt;
						&lt;input type='text' class='col-md-10 form-control input-text' name='LocCd' [(ngModel)]='rowdata.locCd'&gt;
					&lt;/div&gt;
					&lt;div class='col-md-12 form-group row'&gt;
						&lt;label class='col-md-2 form-control title'&gt;Loc Date&lt;/label&gt;
						&lt;input type='text' class='col-md-10 form-control input-text' name='locDate' 
						#datepicker='bsDatepicker' [(ngModel)]='rowdata.locDate'  bsDatepicker &gt;
					&lt;/div&gt;
					&lt;div class='col-md-12 form-group row'&gt;
						&lt;label class='col-md-2 form-control title'&gt;Loc By&lt;/label&gt;
						&lt;input type='text' class='col-md-10 form-control input-text' name='LocBy' [(ngModel)]='rowdata.locBy'&gt;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title'&gt;Is Bigpart&lt;/label&gt;
						&lt;input type='text' class='col-md-10 form-control input-text' name='IsBigpart' [(ngModel)]='rowdata.isBigpart'&gt;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CreateOrEditLgwMwhCaseDataDto, LgwMwhCaseDataServiceProxy } from '@shared/service-proxies/service-proxies';
import { BsDatepickerDirective } from 'ngx-bootstrap/datepicker';
@Component({
    selector: 'create-or-edit-casedata-modal',
    templateUrl: './create-or-edit-casedata-modal.component.html',
    styleUrls: ['./create-or-edit-casedata-modal.component.less']
    })
export class CreateOrEditCaseDataModalComponent extends AppComponentBase {
    @ViewChild('createOrEditModalCaseData',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CreateOrEditLgwMwhCaseDataDto = new CreateOrEditLgwMwhCaseDataDto();
    active: boolean = false;
    saving: boolean = false;
    _isActive: boolean;
    constructor(
        injector: Injector,
        private _mstwptCaseDataService: LgwMwhCaseDataServiceProxy,
    ) 
    {
        super(injector);
    }
    show(rowdata?: CreateOrEditLgwMwhCaseDataDto): void {
        if (!rowdata) this.rowdata = new CreateOrEditLgwMwhCaseDataDto();
        else this.rowdata = rowdata;
		const dateValue =  this.rowdata.devanningDate ? new Date(this.rowdata.devanningDate?.toString()) : new Date();
		this.datepicker?.bsValueChange.emit(dateValue);
		const dateValue =  this.rowdata.startDevanningDate ? new Date(this.rowdata.startDevanningDate?.toString()) : new Date();
		this.datepicker?.bsValueChange.emit(dateValue);
		const dateValue =  this.rowdata.finishDevanningDate ? new Date(this.rowdata.finishDevanningDate?.toString()) : new Date();
		this.datepicker?.bsValueChange.emit(dateValue);
		const dateValue =  this.rowdata.locDate ? new Date(this.rowdata.locDate?.toString())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this._mstwptCaseDataService.createOrEdit(this.rowdata)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CaseDataRoutingModule } from './casedata-routing.module';
import { CaseDataComponent } from './casedata.component';
import { CreateOrEditCaseDataModalComponent } from './create-or-edit-casedata-modal.component';
@NgModule({
    declarations: [
       CaseDataComponent, 
        CreateOrEditCaseDataModalComponent
    ],
    imports: [
        AppSharedModule, CaseDataRoutingModule]
})
export class CaseDataModule {}</v>
      </c>
      <c r="J54" s="49" t="str">
        <f>B.Frontend!O10</f>
        <v>import {NgModule} from '@angular/core';
import {RouterModule, Routes} from '@angular/router';
import { CaseDataComponent } from './casedata.component';
const routes: Routes = [{
    path: '',
    component: CaseDataComponent,
    pathMatch: 'full'
}];
@NgModule({
    imports: [RouterModule.forChild(routes)],
    exports: [RouterModule],
})
export class CaseDataRoutingModule {}</v>
      </c>
      <c r="K54" s="49" t="str">
        <f>B.Frontend!P10</f>
        <v xml:space="preserve"> new AppMenuItem("CaseData", "Pages.LogW.Mwh.CaseData", "flaticon-book",   "/app/main/logw/mwh/casedata"),</v>
      </c>
      <c r="L54" s="50" t="str">
        <f>B.Frontend!Q10</f>
        <v>{
    path: 'logw/mwh/casedata',
    loadChildren: () =&gt; import('./logw/mwh/casedata/casedata.module').then(m =&gt; m.CaseDataModule),
    data: { permission: 'Pages.LogW.Mwh.CaseData' }
},</v>
      </c>
      <c r="M54" s="48" t="str">
        <f>B.Frontend!R10</f>
        <v>ApiServiceProxies.LgwMwhCaseDataServiceProxy,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6"/>
  <sheetViews>
    <sheetView workbookViewId="0">
      <pane xSplit="1" topLeftCell="B1" activePane="topRight" state="frozen"/>
      <selection pane="topRight" activeCell="B13" sqref="B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vovina.LogW.Mwh.Dto;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333</v>
      </c>
      <c r="C3" s="10" t="s">
        <v>43</v>
      </c>
      <c r="D3" s="10" t="s">
        <v>44</v>
      </c>
      <c r="E3" s="10" t="s">
        <v>39</v>
      </c>
      <c r="F3" s="11" t="str">
        <f>"J"&amp;COUNTA($A:$A)</f>
        <v>J34</v>
      </c>
      <c r="G3" s="4" t="s">
        <v>57</v>
      </c>
      <c r="H3" s="10" t="str">
        <f>"I"&amp;COUNTA($A:$A)</f>
        <v>I34</v>
      </c>
      <c r="I3" s="10" t="str">
        <f>REPT(CHAR(9),2)&amp;"[Required]"&amp;"
"</f>
        <v xml:space="preserve">		[Required]
</v>
      </c>
      <c r="J3" s="11" t="str">
        <f>"L"&amp;COUNTA($A:$A)</f>
        <v>L34</v>
      </c>
      <c r="K3" s="5" t="s">
        <v>56</v>
      </c>
      <c r="L3" s="11" t="str">
        <f>"M"&amp;COUNTA($A:$A)</f>
        <v>M34</v>
      </c>
      <c r="M3" s="11" t="str">
        <f>"N"&amp;COUNTA($A:$A)</f>
        <v>N34</v>
      </c>
      <c r="N3" s="11" t="str">
        <f>"O"&amp;COUNTA($A:$A)</f>
        <v>O34</v>
      </c>
      <c r="O3" s="11" t="str">
        <f>"P"&amp;COUNTA($A:$A)</f>
        <v>P34</v>
      </c>
      <c r="Q3" s="11" t="str">
        <f>RIGHT(B2,(LEN(B2)-FIND(".",B2,1)))</f>
        <v>Mwh</v>
      </c>
      <c r="R3" s="32" t="str">
        <f>REPT(CHAR(9),1)&amp;"public class "&amp;B3&amp;"ExportInput"&amp;C3</f>
        <v xml:space="preserve">	public class LgwMwhCaseDataExportInput{
</v>
      </c>
      <c r="S3" s="11" t="str">
        <f>"namespace "&amp;$B$6&amp;".Exporting
"&amp;$C$3</f>
        <v xml:space="preserve">namespace vovina.LogW.Mwh.Exporting
{
</v>
      </c>
      <c r="T3" s="11" t="str">
        <f>"T"&amp;COUNTA($A:$A)</f>
        <v>T34</v>
      </c>
      <c r="V3" s="11" t="str">
        <f>"V"&amp;COUNTA($A:$A)</f>
        <v>V34</v>
      </c>
      <c r="W3" s="10" t="str">
        <f>"W"&amp;COUNTA($A:$A)</f>
        <v>W34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332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vovina.LogW.Mwh</v>
      </c>
      <c r="C6" s="11" t="str">
        <f>"namespace "&amp;$B$6&amp;"
"&amp;$C$3</f>
        <v xml:space="preserve">namespace vovina.LogW.Mwh
{
</v>
      </c>
      <c r="D6" s="11" t="str">
        <f>REPT(CHAR(9),1)&amp;"public class "&amp;B3&amp;G3&amp;REPT(CHAR(9),1)&amp;"
"&amp;REPT(CHAR(9),1)&amp;C3</f>
        <v xml:space="preserve">	public class LgwMwhCaseData: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LgwMwhCaseDataConsts	
	{
</v>
      </c>
      <c r="F6" s="11" t="str">
        <f>REPT(CHAR(9),1)&amp;"public class "&amp;B3&amp;"Dto"&amp;K3&amp;REPT(CHAR(9),1)&amp;"
"&amp;REPT(CHAR(9),1)&amp;C3</f>
        <v xml:space="preserve">	public class LgwMwhCaseDataDto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CreateOrEditLgwMwhCaseDataDto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GetLgwMwhCaseDataInput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LgwMwhCaseData</v>
      </c>
      <c r="C7" s="11" t="str">
        <f>REPT(CHAR(9),1)&amp;"[Table("""&amp;B7&amp;""")]"&amp;"
"</f>
        <v xml:space="preserve">	[Table("LgwMwhCaseData")]
</v>
      </c>
      <c r="D7" s="11"/>
      <c r="E7" s="11"/>
      <c r="F7" s="11"/>
      <c r="G7" s="11"/>
      <c r="H7" s="11"/>
      <c r="I7" s="11"/>
      <c r="J7" s="6" t="str">
        <f ca="1">SUBSTITUTE(SUBSTITUTE((B1&amp;C6&amp;C7&amp;K36&amp;D6&amp;I36&amp;E3&amp;J36&amp;""&amp;REPT(CHAR(9),1)&amp;D3&amp;D3),"WorkingPattern",$Q$3),"Master",$B$4)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[Table("LgwMwhCaseData")]
	[Index(nameof(CaseNo), Name="IX_LgwMwhCaseData_CaseNo")]
	[Index(nameof(ContainerNo), Name="IX_LgwMwhCaseData_ContainerNo")]
	[Index(nameof(Renban), Name="IX_LgwMwhCaseData_Renban")]
	[Index(nameof(SupplierNo), Name="IX_LgwMwhCaseData_SupplierNo")]
	[Index(nameof(CasePrefix), Name="IX_LgwMwhCaseData_CasePrefix")]
	[Index(nameof(ContScheduleId), Name="IX_LgwMwhCaseData_ContScheduleId")]
	[Index(nameof(Status), Name="IX_LgwMwhCaseData_Status")]
	[Index(nameof(LocId), Name="IX_LgwMwhCaseData_LocId")]
	[Index(nameof(IsBigpart), Name="IX_LgwMwhCaseData_IsBigpart")]
	[Index(nameof(IsActive), Name="IX_LgwMwhCaseData_IsActive")]	public class LgwMwhCaseData: FullAuditedEntity&lt;long&gt;, IEntity&lt;long&gt;	
	{
		public const int MaxCaseNoLength = 50;
		public const int MaxLotNoLength = 50;
		public const int MaxGradeLength = 50;
		public const int MaxModelLength = 50;
		public const int MaxContainerNoLength = 50;
		public const int MaxRenbanLength = 50;
		public const int MaxSupplierNoLength = 50;
		public const int MaxOrderTypeLength = 50;
		public const int MaxCasePrefixLength = 50;
		public const int MaxProdLineLength = 50;
		public const int MaxStatusLength = 50;
		public const int MaxZoneCdLength = 50;
		public const int MaxAreaCdLength = 50;
		public const int MaxLocCdLength = 50;
		public const int MaxLocByLength = 50;
		public const int MaxShopLength = 50;
		public const int MaxIsBigpartLength = 50;
		public const int MaxIsActiveLength = 1;
		[StringLength(MaxCaseNoLength)]
		public virtual string CaseNo { get; set; }
		[StringLength(MaxLotNoLength)]
		public virtual string LotNo { get; set; }
		[StringLength(MaxGradeLength)]
		public virtual string Grade { get; set; }
		[StringLength(MaxModelLength)]
		public virtual string Model { get; set; }
		public virtual int CaseQty { get; set; }
		[StringLength(MaxContainerNoLength)]
		public virtual string ContainerNo { get; set; }
		[StringLength(MaxRenbanLength)]
		public virtual string Renban { get; set; }
		[StringLength(MaxSupplierNoLength)]
		public virtual string SupplierNo { get; set; }
		[StringLength(MaxOrderTypeLength)]
		public virtual string OrderType { get; set; }
		[StringLength(MaxCasePrefixLength)]
		public virtual string CasePrefix { get; set; }
		[StringLength(MaxProdLineLength)]
		public virtual string ProdLine { get; set; }
		public virtual long PxpCaseId { get; set; }
		public virtual long ContScheduleId { get; set; }
		[StringLength(MaxStatusLength)]
		public virtual string Status { get; set; }
		[Column(TypeName="date")]
		public virtual DateTime DevanningDate { get; set; }
		[Column(TypeName="datetime2(7)")]
		public virtual DateTime StartDevanningDate { get; set; }
		[Column(TypeName="datetime2(7)")]
		public virtual DateTime FinishDevanningDate { get; set; }
		[StringLength(MaxZoneCdLength)]
		public virtual string ZoneCd { get; set; }
		[StringLength(MaxAreaCdLength)]
		public virtual string AreaCd { get; set; }
		public virtual long LocId { get; set; }
		[StringLength(MaxLocCdLength)]
		public virtual string LocCd { get; set; }
		public virtual DateTime LocDate { get; set; }
		[StringLength(MaxLocByLength)]
		public virtual string LocBy { get; set; }
		[StringLength(MaxShopLength)]
		public virtual string Shop { get; set; }
		[StringLength(MaxIsBigpartLength)]
		public virtual string IsBigpart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DbSet&lt;LgwMwhCaseData&gt; LgwMwhCaseDatas { get; set; }</v>
      </c>
      <c r="L7" t="str">
        <f ca="1">SUBSTITUTE(SUBSTITUTE((C6&amp;E6&amp;I36&amp;"
"&amp;REPT(CHAR(9),2)&amp;"// Define Store Name: Format SP_ + &lt;Store Name&gt; = &lt;Store Name&gt;
"&amp;E3&amp;REPT(CHAR(9),1)&amp;D3&amp;D3),"WorkingPattern",$Q$3),"Master",$B$4)</f>
        <v xml:space="preserve">namespace vovina.LogW.Mwh
{
	public class LgwMwhCaseDataConsts	
	{
		public const int MaxCaseNoLength = 50;
		public const int MaxLotNoLength = 50;
		public const int MaxGradeLength = 50;
		public const int MaxModelLength = 50;
		public const int MaxContainerNoLength = 50;
		public const int MaxRenbanLength = 50;
		public const int MaxSupplierNoLength = 50;
		public const int MaxOrderTypeLength = 50;
		public const int MaxCasePrefixLength = 50;
		public const int MaxProdLineLength = 50;
		public const int MaxStatusLength = 50;
		public const int MaxZoneCdLength = 50;
		public const int MaxAreaCdLength = 50;
		public const int MaxLocCdLength = 50;
		public const int MaxLocByLength = 50;
		public const int MaxShopLength = 50;
		public const int MaxIsBigpartLength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"&amp;B6&amp;".Dto"&amp;E3&amp;C3&amp;F6&amp;M36&amp;E3&amp;REPT(CHAR(9),1)&amp;D3&amp;G6&amp;N36&amp;REPT(CHAR(9),1)&amp;D3&amp;H6&amp;O36&amp;"
"&amp;REPT(CHAR(9),1)&amp;D3&amp;D3),"WorkingPattern",$Q$3),"Master",$B$4)</f>
        <v xml:space="preserve">using Abp.Application.Services.Dto;
using System;
using System.ComponentModel.DataAnnotations;
namespace vovina.LogW.Mwh.Dto
{
	public class LgwMwhCaseDataDto : EntityDto&lt;long?&gt;	
	{
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long PxpCaseId { get; set; }
		public virtual long ContScheduleId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long LocId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	}
	public class CreateOrEditLgwMwhCaseDataDto : EntityDto&lt;long?&gt;	
	{
		[StringLength(LgwMwhCaseDataConsts.MaxCaseNoLength)]
		public virtual string CaseNo { get; set; }
		[StringLength(LgwMwhCaseDataConsts.MaxLotNoLength)]
		public virtual string LotNo { get; set; }
		[StringLength(LgwMwhCaseDataConsts.MaxGradeLength)]
		public virtual string Grade { get; set; }
		[StringLength(LgwMwhCaseDataConsts.MaxModelLength)]
		public virtual string Model { get; set; }
		public virtual int CaseQty { get; set; }
		[StringLength(LgwMwhCaseDataConsts.MaxContainerNoLength)]
		public virtual string ContainerNo { get; set; }
		[StringLength(LgwMwhCaseDataConsts.MaxRenbanLength)]
		public virtual string Renban { get; set; }
		[StringLength(LgwMwhCaseDataConsts.MaxSupplierNoLength)]
		public virtual string SupplierNo { get; set; }
		[StringLength(LgwMwhCaseDataConsts.MaxOrderTypeLength)]
		public virtual string OrderType { get; set; }
		[StringLength(LgwMwhCaseDataConsts.MaxCasePrefixLength)]
		public virtual string CasePrefix { get; set; }
		[StringLength(LgwMwhCaseDataConsts.MaxProdLineLength)]
		public virtual string ProdLine { get; set; }
		public virtual long PxpCaseId { get; set; }
		public virtual long ContScheduleId { get; set; }
		[StringLength(LgwMwhCaseDataConsts.MaxStatusLength)]
		public virtual string Status { get; set; }
		public virtual DateTime? DevanningDate { get; set; }
		public virtual DateTime? StartDevanningDate { get; set; }
		public virtual DateTime? FinishDevanningDate { get; set; }
		[StringLength(LgwMwhCaseDataConsts.MaxZoneCdLength)]
		public virtual string ZoneCd { get; set; }
		[StringLength(LgwMwhCaseDataConsts.MaxAreaCdLength)]
		public virtual string AreaCd { get; set; }
		public virtual long LocId { get; set; }
		[StringLength(LgwMwhCaseDataConsts.MaxLocCdLength)]
		public virtual string LocCd { get; set; }
		public virtual DateTime? LocDate { get; set; }
		[StringLength(LgwMwhCaseDataConsts.MaxLocByLength)]
		public virtual string LocBy { get; set; }
		[StringLength(LgwMwhCaseDataConsts.MaxShopLength)]
		public virtual string Shop { get; set; }
		[StringLength(LgwMwhCaseDataConsts.MaxIsBigpartLength)]
		public virtual string IsBigpart { get; set; }
		[StringLength(LgwMwhCaseDataConsts.MaxIsActiveLength)]
		public virtual string IsActive { get; set; }
	}
	public class GetLgwMwhCaseDataInput : PagedAndSortedResultRequestDto	
	{
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perLgwMwhCaseData = PARENTS.CreateChildPermission(AppPermissions.Pages_LogW_Mwh_CaseData, L( "LogWMwhCaseData"));
		perLgwMwhCaseData.CreateChildPermission(AppPermissions.Pages_LogW_Mwh_CaseData_CreateEdit, L( "LogWMwhCaseDataCreateEdit"));
		perLgwMwhCaseData.CreateChildPermission(AppPermissions.Pages_LogW_Mwh_CaseData_Delete, L( "LogWMwhCaseDataDelete"));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Pages_LogW_Mwh_CaseData = "Pages.LogW.Mwh.CaseData";
		public const string Pages_LogW_Mwh_CaseData_CreateEdit = "Pages.LogW.Mwh.CaseData.CreateEdit";
		public const string Pages_LogW_Mwh_CaseData_Delete = "Pages.LogW.Mwh.CaseData.Delete";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
{
	public interface ILgwMwhCaseDataAppService : IApplicationService
	{
		Task&lt;PagedResultDto&lt;LgwMwhCaseDataDto&gt;&gt; GetAll(GetLgwMwhCaseDataInput input);
		Task CreateOrEdit(CreateOrEditLgwMwhCaseDataDto input);
		Task Delete(EntityDto input);
	}
}
</v>
      </c>
      <c r="Q7" t="str">
        <f ca="1">SUBSTITUTE(SUBSTITUTE(SUBSTITUTE(SUBSTITUTE(SUBSTITUTE(SUBSTITUTE(E1,"MstWptCalendar",$B$3),"&lt;PROPERTIES&gt;",P36),"Calendar",$B$5),"WorkingPattern",$Q$3),"Master",$B$4),"&lt;PARAMS_SEARCH&gt;",$W$36)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[AbpAuthorize(AppPermissions.Pages_LogW_Mwh_CaseData)]
    public class LgwMwhCaseDataAppService : vovinaAppServiceBase, ILgwMwhCaseDataAppService
    {
        private readonly IDapperRepository&lt;LgwMwhCaseData, long&gt; _dapperRepo;
        private readonly IRepository&lt;LgwMwhCaseData, long&gt; _repo;
        private readonly ILgwMwhCaseDataExcelExporter _calendarListExcelExporter;
        public LgwMwhCaseDataAppService(IRepository&lt;LgwMwhCaseData,long&gt; repo, 
                                         IDapperRepository&lt;LgwMwhCaseData,long&gt; dapperRepo,
                                        ILgwMwhCaseDataExcelExporter calendarListExcelExporter
            )
        {
            _repo = repo;
            _dapperRepo = dapperRepo;
            _calendarListExcelExporter = calendarListExcelExporter;
        }
        [AbpAuthorize(AppPermissions.Pages_LogW_Mwh_CaseData_CreateEdit)]
        public async Task CreateOrEdit(CreateOrEditLgwMwhCaseDataDto input)
        {
            if (input.Id == null) await Create(input);
            else await Update(input);
        }
        //CREATE
        private async Task Create(CreateOrEditLgwMwhCaseDataDto input)
        {          
            var mainObj = ObjectMapper.Map&lt;LgwMwhCaseData&gt;(input);
            await CurrentUnitOfWork.GetDbContext&lt;vovinaDbContext&gt;().AddAsync(mainObj);
        }
        // EDIT
        private async Task Update(CreateOrEditLgwMwhCaseDataDto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[AbpAuthorize(AppPermissions.Pages_LogW_Mwh_CaseData_Delete)]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Task&lt;PagedResultDto&lt;LgwMwhCaseDataDto&gt;&gt; GetAll(GetLgwMwhCaseDataInput input)
        {
            var filtered = _repo.GetAll()
				.WhereIf(!string.IsNullOrWhiteSpace(input.CaseNo), e =&gt; e.CaseNo.Contains(input.CaseNo))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.WhereIf(!string.IsNullOrWhiteSpace(input.OrderType), e =&gt; e.OrderType.Contains(input.OrderType))
				.WhereIf(!string.IsNullOrWhiteSpace(input.CasePrefix), e =&gt; e.CasePrefix.Contains(input.CasePrefix))
				.WhereIf(!string.IsNullOrWhiteSpace(input.ProdLine), e =&gt; e.ProdLine.Contains(input.ProdLine))
				.WhereIf(!string.IsNullOrWhiteSpace(input.Status), e =&gt; e.Status.Contains(input.Status))
				.WhereIf(input.DevanningDate.HasValue, t =&gt; t.DevanningDate == input.DevanningDate.Value)
				.WhereIf(input.StartDevanningDate.HasValue, t =&gt; t.StartDevanningDate == input.StartDevanningDate.Value)
				.WhereIf(input.FinishDevanningDate.HasValue, t =&gt; t.FinishDevanningDate == input.FinishDevanningDate.Value)
				.WhereIf(!string.IsNullOrWhiteSpace(input.ZoneCd), e =&gt; e.ZoneCd.Contains(input.ZoneCd))
				.WhereIf(!string.IsNullOrWhiteSpace(input.AreaCd), e =&gt; e.AreaCd.Contains(input.AreaCd))
				.WhereIf(!string.IsNullOrWhiteSpace(input.LocCd), e =&gt; e.LocCd.Contains(input.LocCd))
				.WhereIf(input.LocDate.HasValue, t =&gt; t.LocDate == input.LocDate.Value)
				.WhereIf(!string.IsNullOrWhiteSpace(input.LocBy), e =&gt; e.LocBy.Contains(input.LocBy))
				.WhereIf(!string.IsNullOrWhiteSpace(input.Shop), e =&gt; e.Shop.Contains(input.Shop))
				.WhereIf(!string.IsNullOrWhiteSpace(input.IsBigpart), e =&gt; e.IsBigpart.Contains(input.IsBigpart))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LgwMwhCaseDataDto
                        {
							Id = o.Id,
							CaseNo = o.CaseNo,
							LotNo = o.LotNo,
							Grade = o.Grade,
							Model = o.Model,
							CaseQty = o.CaseQty,
							ContainerNo = o.ContainerNo,
							Renban = o.Renban,
							SupplierNo = o.SupplierNo,
							OrderType = o.OrderType,
							CasePrefix = o.CasePrefix,
							ProdLine = o.ProdLine,
							PxpCaseId = o.PxpCaseId,
							ContScheduleId = o.ContScheduleId,
							Status = o.Status,
							DevanningDate = o.DevanningDate,
							StartDevanningDate = o.StartDevanningDate,
							FinishDevanningDate = o.FinishDevanningDate,
							ZoneCd = o.ZoneCd,
							AreaCd = o.AreaCd,
							LocId = o.LocId,
							LocCd = o.LocCd,
							LocDate = o.LocDate,
							LocBy = o.LocBy,
							Shop = o.Shop,
							IsBigpart = o.IsBigpart,
							IsActive = o.IsActive,
                        };
            var totalCount = await filtered.CountAsync();
			var paged = system.PageBy(input);
            return new PagedResultDto&lt;LgwMwhCaseDataDto&gt;(
                totalCount,
                 await paged.ToListAsync()
            );
        }
        public async Task&lt;FileDto&gt; GetCaseDataToExcel(LgwMwhCaseDataExportInput input)
        {
            var query = from o in _repo.GetAll()
                        select new LgwMwhCaseDataDto
                        {
							Id = o.Id,
							CaseNo = o.CaseNo,
							LotNo = o.LotNo,
							Grade = o.Grade,
							Model = o.Model,
							CaseQty = o.CaseQty,
							ContainerNo = o.ContainerNo,
							Renban = o.Renban,
							SupplierNo = o.SupplierNo,
							OrderType = o.OrderType,
							CasePrefix = o.CasePrefix,
							ProdLine = o.ProdLine,
							PxpCaseId = o.PxpCaseId,
							ContScheduleId = o.ContScheduleId,
							Status = o.Status,
							DevanningDate = o.DevanningDate,
							StartDevanningDate = o.StartDevanningDate,
							FinishDevanningDate = o.FinishDevanningDate,
							ZoneCd = o.ZoneCd,
							AreaCd = o.AreaCd,
							LocId = o.LocId,
							LocCd = o.LocCd,
							LocDate = o.LocDate,
							LocBy = o.LocBy,
							Shop = o.Shop,
							IsBigpart = o.IsBigpart,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_dapperRepo.ExecuteAsync(LgwMwhCaseDataConsts.SP_MST_WPT_CALENDAR_GENERATE);
       // }
    }
}</v>
      </c>
      <c r="R7" t="str">
        <f ca="1">SUBSTITUTE(SUBSTITUTE((C1&amp;"namespace "&amp;B6&amp;".Dto"&amp;E3&amp;C3&amp;R3&amp;M36&amp;E3&amp;REPT(CHAR(9),1)&amp;D3&amp;D3),"WorkingPattern",$Q$3),"Master",$B$4)</f>
        <v xml:space="preserve">using Abp.Application.Services.Dto;
using System;
using System.ComponentModel.DataAnnotations;
namespace vovina.LogW.Mwh.Dto
{
	public class LgwMwhCaseDataExportInput{
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long PxpCaseId { get; set; }
		public virtual long ContScheduleId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long LocId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vovina.LogW.Mwh.Exporting
{
	public interface ILgwMwhCaseDataExcelExporter : IApplicationService
	{
		FileDto ExportToFile(List&lt;LgwMwhCaseDataDto&gt; lgwmwhcasedata);
	}
}
</v>
      </c>
      <c r="T7" s="28" t="str">
        <f ca="1">SUBSTITUTE(SUBSTITUTE(SUBSTITUTE(SUBSTITUTE(SUBSTITUTE(SUBSTITUTE(SUBSTITUTE(T1,"MstWptCalendar",$B$3),"&lt;PROPERTIES1&gt;",V36),"&lt;PROPERTIES&gt;",T36),"Calendar",$B$5),"calendar",LOWER(B5)),"WorkingPattern",$Q$3),"Master",$B$4)</f>
        <v>using System.Collections.Generic;
using vovina.DataExporting.Excel.NPOI;
using vovina.Dto;
using vovina.LogW.Mwh.Exporting;
using vovina.LogW.Mwh.Dto;
using vovina.Storage;
using vovina.LogW.Mwh.Dto;
namespace vovina.LogW.Mwh.Exporting
{
    public class LgwMwhCaseDataExcelExporter : NpoiExcelExporterBase, ILgwMwhCaseDataExcelExporter
    {
        public LgwMwhCaseDataExcelExporter(ITempFileCacheManager tempFileCacheManager) : base(tempFileCacheManager) { }
        public FileDto ExportToFile(List&lt;LgwMwhCaseDataDto&gt; casedata)
        {
            return CreateExcelPackage(
				"LogWMwhCaseData.xlsx",
				excelPackage =&gt;
				 {
					var sheet = excelPackage.CreateSheet("CaseData");
					AddHeader(
								sheet,
								("CaseNo"),
								("LotNo"),
								("Grade"),
								("Model"),
								("CaseQty"),
								("ContainerNo"),
								("Renban"),
								("SupplierNo"),
								("OrderType"),
								("CasePrefix"),
								("ProdLine"),
								("PxpCaseId"),
								("ContScheduleId"),
								("Status"),
								("DevanningDate"),
								("StartDevanningDate"),
								("FinishDevanningDate"),
								("ZoneCd"),
								("AreaCd"),
								("LocId"),
								("LocCd"),
								("LocDate"),
								("LocBy"),
								("Shop"),
								("IsBigpart"),
								("IsActive"),
							   );
					AddObjects(
						 sheet, 1, casedata,                                       
								_ =&gt; _.CaseNo,
								_ =&gt; _.LotNo,
								_ =&gt; _.Grade,
								_ =&gt; _.Model,
								_ =&gt; _.CaseQty,
								_ =&gt; _.ContainerNo,
								_ =&gt; _.Renban,
								_ =&gt; _.SupplierNo,
								_ =&gt; _.OrderType,
								_ =&gt; _.CasePrefix,
								_ =&gt; _.ProdLine,
								_ =&gt; _.PxpCaseId,
								_ =&gt; _.ContScheduleId,
								_ =&gt; _.Status,
								_ =&gt; _.DevanningDate,
								_ =&gt; _.StartDevanningDate,
								_ =&gt; _.FinishDevanningDate,
								_ =&gt; _.ZoneCd,
								_ =&gt; _.AreaCd,
								_ =&gt; _.LocId,
								_ =&gt; _.LocCd,
								_ =&gt; _.LocDate,
								_ =&gt; _.LocBy,
								_ =&gt; _.Shop,
								_ =&gt; _.IsBigpart,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configuration.CreateMap&lt;LgwMwhCaseDataDto, LgwMwhCaseData&gt;();
  configuration.CreateMap&lt;LgwMwhCaseData, LgwMwhCaseDataDto&gt;();
  configuration.CreateMap&lt;CreateOrEditLgwMwhCaseDataDto, LgwMwhCaseData&gt;();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307</v>
      </c>
      <c r="B9" t="s">
        <v>304</v>
      </c>
      <c r="C9" t="s">
        <v>1</v>
      </c>
      <c r="D9" t="str">
        <f>SUBSTITUTE(PROPER(A9),"_","")</f>
        <v>CaseNo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MaxCaseNoLength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[StringLength(MaxCaseNoLength)]
		public virtual string CaseNo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[Index(nameof(CaseNo), Name="IX_LgwMwhCaseData_CaseNo")]</v>
      </c>
      <c r="M9" t="str">
        <f>REPT(CHAR(9),2)&amp;"public virtual "&amp;IF(OR(H9="DateTime",H9="TimeSpan"),H9&amp;"?",H9)&amp;IF(C9="?","? "," ")&amp;D9&amp;" { get; set; }" &amp; "
"</f>
        <v xml:space="preserve">		public virtual string CaseNo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[StringLength(LgwMwhCaseDataConsts.MaxCaseNoLength)]
		public virtual string CaseNo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CaseNo { get; set; }
</v>
      </c>
      <c r="P9" t="str">
        <f t="shared" ref="P9:P11" si="4">REPT(CHAR(9),7)&amp;D9&amp;" = o." &amp;D9 &amp;","</f>
        <v xml:space="preserve">							CaseNo = o.CaseNo,</v>
      </c>
      <c r="T9" s="69" t="str">
        <f>REPT(CHAR(9),8)&amp;"("""&amp;D9&amp;"""),"</f>
        <v xml:space="preserve">								("CaseNo"),</v>
      </c>
      <c r="V9" s="70" t="str">
        <f>REPT(CHAR(9),8)&amp;"_ =&gt; _."&amp;D9&amp;","</f>
        <v xml:space="preserve">								_ =&gt; _.CaseNo,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.WhereIf(!string.IsNullOrWhiteSpace(input.CaseNo), e =&gt; e.CaseNo.Contains(input.CaseNo))</v>
      </c>
    </row>
    <row r="10" spans="1:23" customFormat="1" ht="21" customHeight="1" x14ac:dyDescent="0.25">
      <c r="A10" t="s">
        <v>308</v>
      </c>
      <c r="B10" t="s">
        <v>304</v>
      </c>
      <c r="C10" t="s">
        <v>1</v>
      </c>
      <c r="D10" t="str">
        <f t="shared" ref="D10:D11" si="5">SUBSTITUTE(PROPER(A10),"_","")</f>
        <v>LotNo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MaxLotNoLength = 50;
</v>
      </c>
      <c r="J10" t="str">
        <f t="shared" si="3"/>
        <v xml:space="preserve">		[StringLength(MaxLotNoLength)]
		public virtual string LotNo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LotNo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[StringLength(LgwMwhCaseDataConsts.MaxLotNoLength)]
		public virtual string LotNo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LotNo { get; set; }
</v>
      </c>
      <c r="P10" t="str">
        <f t="shared" si="4"/>
        <v xml:space="preserve">							LotNo = o.LotNo,</v>
      </c>
      <c r="T10" s="69" t="str">
        <f t="shared" ref="T10:T13" si="10">REPT(CHAR(9),8)&amp;"("""&amp;D10&amp;"""),"</f>
        <v xml:space="preserve">								("LotNo"),</v>
      </c>
      <c r="V10" s="70" t="str">
        <f t="shared" ref="V10:V13" si="11">REPT(CHAR(9),8)&amp;"_ =&gt; _."&amp;D10&amp;","</f>
        <v xml:space="preserve">								_ =&gt; _.LotNo,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.WhereIf(!string.IsNullOrWhiteSpace(input.LotNo), e =&gt; e.LotNo.Contains(input.LotNo))</v>
      </c>
    </row>
    <row r="11" spans="1:23" customFormat="1" ht="18.75" customHeight="1" x14ac:dyDescent="0.25">
      <c r="A11" t="s">
        <v>309</v>
      </c>
      <c r="B11" t="s">
        <v>304</v>
      </c>
      <c r="C11" t="s">
        <v>1</v>
      </c>
      <c r="D11" t="str">
        <f t="shared" si="5"/>
        <v>Grade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MaxGradeLength = 50;
</v>
      </c>
      <c r="J11" t="str">
        <f t="shared" si="3"/>
        <v xml:space="preserve">		[StringLength(MaxGradeLength)]
		public virtual string Grade { get; set; }
</v>
      </c>
      <c r="K11" s="7"/>
      <c r="L11" t="str">
        <f t="shared" si="6"/>
        <v/>
      </c>
      <c r="M11" t="str">
        <f t="shared" si="7"/>
        <v xml:space="preserve">		public virtual string Grade { get; set; }
</v>
      </c>
      <c r="N11" t="str">
        <f t="shared" si="8"/>
        <v xml:space="preserve">		[StringLength(LgwMwhCaseDataConsts.MaxGradeLength)]
		public virtual string Grade { get; set; }
</v>
      </c>
      <c r="O11" t="str">
        <f t="shared" si="9"/>
        <v xml:space="preserve">		public virtual string Grade { get; set; }
</v>
      </c>
      <c r="P11" t="str">
        <f t="shared" si="4"/>
        <v xml:space="preserve">							Grade = o.Grade,</v>
      </c>
      <c r="T11" s="69" t="str">
        <f t="shared" si="10"/>
        <v xml:space="preserve">								("Grade"),</v>
      </c>
      <c r="V11" s="70" t="str">
        <f t="shared" si="11"/>
        <v xml:space="preserve">								_ =&gt; _.Grade,</v>
      </c>
      <c r="W11" s="69" t="str">
        <f t="shared" si="12"/>
        <v xml:space="preserve">				.WhereIf(!string.IsNullOrWhiteSpace(input.Grade), e =&gt; e.Grade.Contains(input.Grade))</v>
      </c>
    </row>
    <row r="12" spans="1:23" customFormat="1" ht="22.5" customHeight="1" x14ac:dyDescent="0.25">
      <c r="A12" t="s">
        <v>310</v>
      </c>
      <c r="B12" t="s">
        <v>304</v>
      </c>
      <c r="C12" t="s">
        <v>1</v>
      </c>
      <c r="D12" t="str">
        <f>SUBSTITUTE(PROPER(A12),"_","")</f>
        <v>Model</v>
      </c>
      <c r="E12" t="str">
        <f t="shared" ref="E12:E13" si="13">IFERROR(LEFT(B12, FIND("(",B12)-1),B12)</f>
        <v>varchar</v>
      </c>
      <c r="F12" s="7"/>
      <c r="G12" t="str">
        <f t="shared" ref="G12:G13" si="14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3" si="15">IF(H12="string",REPT(CHAR(9),2)&amp;"public const int Max"&amp;D12&amp;"Length = "&amp;G12&amp;";"&amp;$E$3,"" )</f>
        <v xml:space="preserve">		public const int MaxModelLength = 50;
</v>
      </c>
      <c r="J12" t="str">
        <f t="shared" ref="J12:J13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[StringLength(MaxModelLength)]
		public virtual string Model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Model { get; set; }
</v>
      </c>
      <c r="N12" t="str">
        <f t="shared" si="8"/>
        <v xml:space="preserve">		[StringLength(LgwMwhCaseDataConsts.MaxModelLength)]
		public virtual string Model { get; set; }
</v>
      </c>
      <c r="O12" t="str">
        <f t="shared" si="9"/>
        <v xml:space="preserve">		public virtual string Model { get; set; }
</v>
      </c>
      <c r="P12" t="str">
        <f t="shared" ref="P12:P13" si="17">REPT(CHAR(9),7)&amp;D12&amp;" = o." &amp;D12 &amp;","</f>
        <v xml:space="preserve">							Model = o.Model,</v>
      </c>
      <c r="T12" s="69" t="str">
        <f t="shared" si="10"/>
        <v xml:space="preserve">								("Model"),</v>
      </c>
      <c r="V12" s="70" t="str">
        <f t="shared" si="11"/>
        <v xml:space="preserve">								_ =&gt; _.Model,</v>
      </c>
      <c r="W12" s="69" t="str">
        <f t="shared" si="12"/>
        <v xml:space="preserve">				.WhereIf(!string.IsNullOrWhiteSpace(input.Model), e =&gt; e.Model.Contains(input.Model))</v>
      </c>
    </row>
    <row r="13" spans="1:23" customFormat="1" ht="21" customHeight="1" x14ac:dyDescent="0.25">
      <c r="A13" t="s">
        <v>311</v>
      </c>
      <c r="B13" t="s">
        <v>4</v>
      </c>
      <c r="C13" t="s">
        <v>1</v>
      </c>
      <c r="D13" t="str">
        <f t="shared" ref="D13" si="18">SUBSTITUTE(PROPER(A13),"_","")</f>
        <v>CaseQty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public virtual int CaseQty { get; set; }
</v>
      </c>
      <c r="K13" s="7"/>
      <c r="L13" t="str">
        <f t="shared" ref="L13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int CaseQty { get; set; }
</v>
      </c>
      <c r="N13" t="str">
        <f t="shared" si="8"/>
        <v xml:space="preserve">		public virtual int CaseQty { get; set; }
</v>
      </c>
      <c r="O13" t="str">
        <f t="shared" si="9"/>
        <v xml:space="preserve">		public virtual int CaseQty { get; set; }
</v>
      </c>
      <c r="P13" t="str">
        <f t="shared" si="17"/>
        <v xml:space="preserve">							CaseQty = o.CaseQty,</v>
      </c>
      <c r="T13" s="69" t="str">
        <f t="shared" si="10"/>
        <v xml:space="preserve">								("CaseQty"),</v>
      </c>
      <c r="V13" s="70" t="str">
        <f t="shared" si="11"/>
        <v xml:space="preserve">								_ =&gt; _.CaseQty,</v>
      </c>
      <c r="W13" s="69" t="str">
        <f t="shared" si="12"/>
        <v/>
      </c>
    </row>
    <row r="14" spans="1:23" customFormat="1" ht="22.5" customHeight="1" x14ac:dyDescent="0.25">
      <c r="A14" t="s">
        <v>312</v>
      </c>
      <c r="B14" t="s">
        <v>304</v>
      </c>
      <c r="C14" t="s">
        <v>1</v>
      </c>
      <c r="D14" t="str">
        <f>SUBSTITUTE(PROPER(A14),"_","")</f>
        <v>ContainerNo</v>
      </c>
      <c r="E14" t="str">
        <f t="shared" ref="E14:E34" si="20">IFERROR(LEFT(B14, FIND("(",B14)-1),B14)</f>
        <v>varchar</v>
      </c>
      <c r="F14" s="7"/>
      <c r="G14" t="str">
        <f t="shared" ref="G14:G34" si="21">IFERROR(MID(B14,FIND("(",B14) +1, FIND(")",B14) - FIND("(",B14) - 1),"")</f>
        <v>50</v>
      </c>
      <c r="H14" t="str">
        <f>+VLOOKUP(E14,'Data Type Mapping'!A:B,2,)</f>
        <v>string</v>
      </c>
      <c r="I14" t="str">
        <f t="shared" ref="I14:I34" si="22">IF(H14="string",REPT(CHAR(9),2)&amp;"public const int Max"&amp;D14&amp;"Length = "&amp;G14&amp;";"&amp;$E$3,"" )</f>
        <v xml:space="preserve">		public const int MaxContainerNoLength = 50;
</v>
      </c>
      <c r="J14" t="str">
        <f t="shared" ref="J14:J34" si="2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[StringLength(MaxContainerNoLength)]
		public virtual string ContainerNo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[Index(nameof(ContainerNo), Name="IX_LgwMwhCaseData_ContainerNo")]</v>
      </c>
      <c r="M14" t="str">
        <f t="shared" ref="M14:M34" si="24">REPT(CHAR(9),2)&amp;"public virtual "&amp;IF(OR(H14="DateTime",H14="TimeSpan"),H14&amp;"?",H14)&amp;IF(C14="?","? "," ")&amp;D14&amp;" { get; set; }" &amp; "
"</f>
        <v xml:space="preserve">		public virtual string ContainerNo { get; set; }
</v>
      </c>
      <c r="N14" t="str">
        <f t="shared" ref="N14:N34" si="25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[StringLength(LgwMwhCaseDataConsts.MaxContainerNoLength)]
		public virtual string ContainerNo { get; set; }
</v>
      </c>
      <c r="O14" t="str">
        <f t="shared" ref="O14:O34" si="26">IF(OR(H14="string",H14="DateTime",H14="int"),REPT(CHAR(9),2)&amp;"public virtual "&amp;IF(OR(H14="DateTime",H14="TimeSpan"),H14&amp;"?",H14)&amp;IF(C14="?","? "," ")&amp;D14&amp;" { get; set; }"&amp;$E$3,"")</f>
        <v xml:space="preserve">		public virtual string ContainerNo { get; set; }
</v>
      </c>
      <c r="P14" t="str">
        <f t="shared" ref="P14:P34" si="27">REPT(CHAR(9),7)&amp;D14&amp;" = o." &amp;D14 &amp;","</f>
        <v xml:space="preserve">							ContainerNo = o.ContainerNo,</v>
      </c>
      <c r="T14" s="69" t="str">
        <f t="shared" ref="T14:T34" si="28">REPT(CHAR(9),8)&amp;"("""&amp;D14&amp;"""),"</f>
        <v xml:space="preserve">								("ContainerNo"),</v>
      </c>
      <c r="V14" s="70" t="str">
        <f t="shared" ref="V14:V34" si="29">REPT(CHAR(9),8)&amp;"_ =&gt; _."&amp;D14&amp;","</f>
        <v xml:space="preserve">								_ =&gt; _.ContainerNo,</v>
      </c>
      <c r="W14" s="69" t="str">
        <f t="shared" ref="W14:W34" si="30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.WhereIf(!string.IsNullOrWhiteSpace(input.ContainerNo), e =&gt; e.ContainerNo.Contains(input.ContainerNo))</v>
      </c>
    </row>
    <row r="15" spans="1:23" customFormat="1" ht="21" customHeight="1" x14ac:dyDescent="0.25">
      <c r="A15" t="s">
        <v>305</v>
      </c>
      <c r="B15" t="s">
        <v>304</v>
      </c>
      <c r="C15" t="s">
        <v>1</v>
      </c>
      <c r="D15" t="str">
        <f t="shared" ref="D15:D16" si="31">SUBSTITUTE(PROPER(A15),"_","")</f>
        <v>Renban</v>
      </c>
      <c r="E15" t="str">
        <f t="shared" si="20"/>
        <v>varchar</v>
      </c>
      <c r="F15" s="7"/>
      <c r="G15" t="str">
        <f t="shared" si="21"/>
        <v>50</v>
      </c>
      <c r="H15" t="str">
        <f>+VLOOKUP(E15,'Data Type Mapping'!A:B,2,)</f>
        <v>string</v>
      </c>
      <c r="I15" t="str">
        <f t="shared" si="22"/>
        <v xml:space="preserve">		public const int MaxRenbanLength = 50;
</v>
      </c>
      <c r="J15" t="str">
        <f t="shared" si="23"/>
        <v xml:space="preserve">		[StringLength(MaxRenbanLength)]
		public virtual string Renban { get; set; }
</v>
      </c>
      <c r="K15" s="7" t="s">
        <v>206</v>
      </c>
      <c r="L15" t="str">
        <f t="shared" ref="L15:L16" si="32">IF(K15="","",REPT(CHAR(9),1)&amp;"[Index(nameof("&amp;IF(D15="","",""&amp;D15)&amp;")"&amp;", Name="&amp;"""IX_"&amp;$B$7&amp;"_"&amp;D15&amp;""")]")</f>
        <v xml:space="preserve">	[Index(nameof(Renban), Name="IX_LgwMwhCaseData_Renban")]</v>
      </c>
      <c r="M15" t="str">
        <f t="shared" si="24"/>
        <v xml:space="preserve">		public virtual string Renban { get; set; }
</v>
      </c>
      <c r="N15" t="str">
        <f t="shared" si="25"/>
        <v xml:space="preserve">		[StringLength(LgwMwhCaseDataConsts.MaxRenbanLength)]
		public virtual string Renban { get; set; }
</v>
      </c>
      <c r="O15" t="str">
        <f t="shared" si="26"/>
        <v xml:space="preserve">		public virtual string Renban { get; set; }
</v>
      </c>
      <c r="P15" t="str">
        <f t="shared" si="27"/>
        <v xml:space="preserve">							Renban = o.Renban,</v>
      </c>
      <c r="T15" s="69" t="str">
        <f t="shared" si="28"/>
        <v xml:space="preserve">								("Renban"),</v>
      </c>
      <c r="V15" s="70" t="str">
        <f t="shared" si="29"/>
        <v xml:space="preserve">								_ =&gt; _.Renban,</v>
      </c>
      <c r="W15" s="69" t="str">
        <f t="shared" si="30"/>
        <v xml:space="preserve">				.WhereIf(!string.IsNullOrWhiteSpace(input.Renban), e =&gt; e.Renban.Contains(input.Renban))</v>
      </c>
    </row>
    <row r="16" spans="1:23" customFormat="1" ht="18.75" customHeight="1" x14ac:dyDescent="0.25">
      <c r="A16" t="s">
        <v>301</v>
      </c>
      <c r="B16" t="s">
        <v>304</v>
      </c>
      <c r="C16" t="s">
        <v>1</v>
      </c>
      <c r="D16" t="str">
        <f t="shared" si="31"/>
        <v>SupplierNo</v>
      </c>
      <c r="E16" t="str">
        <f t="shared" si="20"/>
        <v>varchar</v>
      </c>
      <c r="F16" s="7"/>
      <c r="G16" t="str">
        <f t="shared" si="21"/>
        <v>50</v>
      </c>
      <c r="H16" t="str">
        <f>+VLOOKUP(E16,'Data Type Mapping'!A:B,2,)</f>
        <v>string</v>
      </c>
      <c r="I16" t="str">
        <f t="shared" si="22"/>
        <v xml:space="preserve">		public const int MaxSupplierNoLength = 50;
</v>
      </c>
      <c r="J16" t="str">
        <f t="shared" si="23"/>
        <v xml:space="preserve">		[StringLength(MaxSupplierNoLength)]
		public virtual string SupplierNo { get; set; }
</v>
      </c>
      <c r="K16" s="7" t="s">
        <v>206</v>
      </c>
      <c r="L16" t="str">
        <f t="shared" si="32"/>
        <v xml:space="preserve">	[Index(nameof(SupplierNo), Name="IX_LgwMwhCaseData_SupplierNo")]</v>
      </c>
      <c r="M16" t="str">
        <f t="shared" si="24"/>
        <v xml:space="preserve">		public virtual string SupplierNo { get; set; }
</v>
      </c>
      <c r="N16" t="str">
        <f t="shared" si="25"/>
        <v xml:space="preserve">		[StringLength(LgwMwhCaseDataConsts.MaxSupplierNoLength)]
		public virtual string SupplierNo { get; set; }
</v>
      </c>
      <c r="O16" t="str">
        <f t="shared" si="26"/>
        <v xml:space="preserve">		public virtual string SupplierNo { get; set; }
</v>
      </c>
      <c r="P16" t="str">
        <f t="shared" si="27"/>
        <v xml:space="preserve">							SupplierNo = o.SupplierNo,</v>
      </c>
      <c r="T16" s="69" t="str">
        <f t="shared" si="28"/>
        <v xml:space="preserve">								("SupplierNo"),</v>
      </c>
      <c r="V16" s="70" t="str">
        <f t="shared" si="29"/>
        <v xml:space="preserve">								_ =&gt; _.SupplierNo,</v>
      </c>
      <c r="W16" s="69" t="str">
        <f t="shared" si="30"/>
        <v xml:space="preserve">				.WhereIf(!string.IsNullOrWhiteSpace(input.SupplierNo), e =&gt; e.SupplierNo.Contains(input.SupplierNo))</v>
      </c>
    </row>
    <row r="17" spans="1:23" customFormat="1" ht="22.5" customHeight="1" x14ac:dyDescent="0.25">
      <c r="A17" t="s">
        <v>313</v>
      </c>
      <c r="B17" t="s">
        <v>304</v>
      </c>
      <c r="C17" t="s">
        <v>1</v>
      </c>
      <c r="D17" t="str">
        <f>SUBSTITUTE(PROPER(A17),"_","")</f>
        <v>OrderType</v>
      </c>
      <c r="E17" t="str">
        <f t="shared" si="20"/>
        <v>varchar</v>
      </c>
      <c r="F17" s="7"/>
      <c r="G17" t="str">
        <f t="shared" si="21"/>
        <v>50</v>
      </c>
      <c r="H17" t="str">
        <f>+VLOOKUP(E17,'Data Type Mapping'!A:B,2,)</f>
        <v>string</v>
      </c>
      <c r="I17" t="str">
        <f t="shared" si="22"/>
        <v xml:space="preserve">		public const int MaxOrderTypeLength = 50;
</v>
      </c>
      <c r="J17" t="str">
        <f t="shared" si="23"/>
        <v xml:space="preserve">		[StringLength(MaxOrderTypeLength)]
		public virtual string OrderType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si="24"/>
        <v xml:space="preserve">		public virtual string OrderType { get; set; }
</v>
      </c>
      <c r="N17" t="str">
        <f t="shared" si="25"/>
        <v xml:space="preserve">		[StringLength(LgwMwhCaseDataConsts.MaxOrderTypeLength)]
		public virtual string OrderType { get; set; }
</v>
      </c>
      <c r="O17" t="str">
        <f t="shared" si="26"/>
        <v xml:space="preserve">		public virtual string OrderType { get; set; }
</v>
      </c>
      <c r="P17" t="str">
        <f t="shared" si="27"/>
        <v xml:space="preserve">							OrderType = o.OrderType,</v>
      </c>
      <c r="T17" s="69" t="str">
        <f t="shared" si="28"/>
        <v xml:space="preserve">								("OrderType"),</v>
      </c>
      <c r="V17" s="70" t="str">
        <f t="shared" si="29"/>
        <v xml:space="preserve">								_ =&gt; _.OrderType,</v>
      </c>
      <c r="W17" s="69" t="str">
        <f t="shared" si="30"/>
        <v xml:space="preserve">				.WhereIf(!string.IsNullOrWhiteSpace(input.OrderType), e =&gt; e.OrderType.Contains(input.OrderType))</v>
      </c>
    </row>
    <row r="18" spans="1:23" customFormat="1" ht="21" customHeight="1" x14ac:dyDescent="0.25">
      <c r="A18" t="s">
        <v>314</v>
      </c>
      <c r="B18" t="s">
        <v>304</v>
      </c>
      <c r="C18" t="s">
        <v>1</v>
      </c>
      <c r="D18" t="str">
        <f t="shared" ref="D18" si="33">SUBSTITUTE(PROPER(A18),"_","")</f>
        <v>CasePrefix</v>
      </c>
      <c r="E18" t="str">
        <f t="shared" si="20"/>
        <v>varchar</v>
      </c>
      <c r="F18" s="7"/>
      <c r="G18" t="str">
        <f t="shared" si="21"/>
        <v>50</v>
      </c>
      <c r="H18" t="str">
        <f>+VLOOKUP(E18,'Data Type Mapping'!A:B,2,)</f>
        <v>string</v>
      </c>
      <c r="I18" t="str">
        <f t="shared" si="22"/>
        <v xml:space="preserve">		public const int MaxCasePrefixLength = 50;
</v>
      </c>
      <c r="J18" t="str">
        <f t="shared" si="23"/>
        <v xml:space="preserve">		[StringLength(MaxCasePrefixLength)]
		public virtual string CasePrefix { get; set; }
</v>
      </c>
      <c r="K18" s="7" t="s">
        <v>206</v>
      </c>
      <c r="L18" t="str">
        <f t="shared" ref="L18" si="34">IF(K18="","",REPT(CHAR(9),1)&amp;"[Index(nameof("&amp;IF(D18="","",""&amp;D18)&amp;")"&amp;", Name="&amp;"""IX_"&amp;$B$7&amp;"_"&amp;D18&amp;""")]")</f>
        <v xml:space="preserve">	[Index(nameof(CasePrefix), Name="IX_LgwMwhCaseData_CasePrefix")]</v>
      </c>
      <c r="M18" t="str">
        <f t="shared" si="24"/>
        <v xml:space="preserve">		public virtual string CasePrefix { get; set; }
</v>
      </c>
      <c r="N18" t="str">
        <f t="shared" si="25"/>
        <v xml:space="preserve">		[StringLength(LgwMwhCaseDataConsts.MaxCasePrefixLength)]
		public virtual string CasePrefix { get; set; }
</v>
      </c>
      <c r="O18" t="str">
        <f t="shared" si="26"/>
        <v xml:space="preserve">		public virtual string CasePrefix { get; set; }
</v>
      </c>
      <c r="P18" t="str">
        <f t="shared" si="27"/>
        <v xml:space="preserve">							CasePrefix = o.CasePrefix,</v>
      </c>
      <c r="T18" s="69" t="str">
        <f t="shared" si="28"/>
        <v xml:space="preserve">								("CasePrefix"),</v>
      </c>
      <c r="V18" s="70" t="str">
        <f t="shared" si="29"/>
        <v xml:space="preserve">								_ =&gt; _.CasePrefix,</v>
      </c>
      <c r="W18" s="69" t="str">
        <f t="shared" si="30"/>
        <v xml:space="preserve">				.WhereIf(!string.IsNullOrWhiteSpace(input.CasePrefix), e =&gt; e.CasePrefix.Contains(input.CasePrefix))</v>
      </c>
    </row>
    <row r="19" spans="1:23" customFormat="1" ht="22.5" customHeight="1" x14ac:dyDescent="0.25">
      <c r="A19" t="s">
        <v>315</v>
      </c>
      <c r="B19" t="s">
        <v>304</v>
      </c>
      <c r="C19" t="s">
        <v>1</v>
      </c>
      <c r="D19" t="str">
        <f>SUBSTITUTE(PROPER(A19),"_","")</f>
        <v>ProdLine</v>
      </c>
      <c r="E19" t="str">
        <f t="shared" ref="E19:E28" si="35">IFERROR(LEFT(B19, FIND("(",B19)-1),B19)</f>
        <v>varchar</v>
      </c>
      <c r="F19" s="7"/>
      <c r="G19" t="str">
        <f t="shared" ref="G19:G28" si="36">IFERROR(MID(B19,FIND("(",B19) +1, FIND(")",B19) - FIND("(",B19) - 1),"")</f>
        <v>50</v>
      </c>
      <c r="H19" t="str">
        <f>+VLOOKUP(E19,'Data Type Mapping'!A:B,2,)</f>
        <v>string</v>
      </c>
      <c r="I19" t="str">
        <f t="shared" ref="I19:I28" si="37">IF(H19="string",REPT(CHAR(9),2)&amp;"public const int Max"&amp;D19&amp;"Length = "&amp;G19&amp;";"&amp;$E$3,"" )</f>
        <v xml:space="preserve">		public const int MaxProdLineLength = 50;
</v>
      </c>
      <c r="J19" t="str">
        <f t="shared" ref="J19:J28" si="38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[StringLength(MaxProdLineLength)]
		public virtual string ProdLine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 t="shared" ref="M19:M28" si="39">REPT(CHAR(9),2)&amp;"public virtual "&amp;IF(OR(H19="DateTime",H19="TimeSpan"),H19&amp;"?",H19)&amp;IF(C19="?","? "," ")&amp;D19&amp;" { get; set; }" &amp; "
"</f>
        <v xml:space="preserve">		public virtual string ProdLine { get; set; }
</v>
      </c>
      <c r="N19" t="str">
        <f t="shared" ref="N19:N28" si="40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[StringLength(LgwMwhCaseDataConsts.MaxProdLineLength)]
		public virtual string ProdLine { get; set; }
</v>
      </c>
      <c r="O19" t="str">
        <f t="shared" ref="O19:O28" si="41">IF(OR(H19="string",H19="DateTime",H19="int"),REPT(CHAR(9),2)&amp;"public virtual "&amp;IF(OR(H19="DateTime",H19="TimeSpan"),H19&amp;"?",H19)&amp;IF(C19="?","? "," ")&amp;D19&amp;" { get; set; }"&amp;$E$3,"")</f>
        <v xml:space="preserve">		public virtual string ProdLine { get; set; }
</v>
      </c>
      <c r="P19" t="str">
        <f t="shared" ref="P19:P28" si="42">REPT(CHAR(9),7)&amp;D19&amp;" = o." &amp;D19 &amp;","</f>
        <v xml:space="preserve">							ProdLine = o.ProdLine,</v>
      </c>
      <c r="T19" s="69" t="str">
        <f t="shared" ref="T19:T28" si="43">REPT(CHAR(9),8)&amp;"("""&amp;D19&amp;"""),"</f>
        <v xml:space="preserve">								("ProdLine"),</v>
      </c>
      <c r="V19" s="70" t="str">
        <f t="shared" ref="V19:V28" si="44">REPT(CHAR(9),8)&amp;"_ =&gt; _."&amp;D19&amp;","</f>
        <v xml:space="preserve">								_ =&gt; _.ProdLine,</v>
      </c>
      <c r="W19" s="69" t="str">
        <f t="shared" ref="W19:W28" si="45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.WhereIf(!string.IsNullOrWhiteSpace(input.ProdLine), e =&gt; e.ProdLine.Contains(input.ProdLine))</v>
      </c>
    </row>
    <row r="20" spans="1:23" customFormat="1" ht="21" customHeight="1" x14ac:dyDescent="0.25">
      <c r="A20" t="s">
        <v>316</v>
      </c>
      <c r="B20" t="s">
        <v>0</v>
      </c>
      <c r="C20" t="s">
        <v>1</v>
      </c>
      <c r="D20" t="str">
        <f t="shared" ref="D20:D21" si="46">SUBSTITUTE(PROPER(A20),"_","")</f>
        <v>PxpCaseId</v>
      </c>
      <c r="E20" t="str">
        <f t="shared" si="35"/>
        <v>bigint</v>
      </c>
      <c r="F20" s="7"/>
      <c r="G20" t="str">
        <f t="shared" si="36"/>
        <v/>
      </c>
      <c r="H20" t="str">
        <f>+VLOOKUP(E20,'Data Type Mapping'!A:B,2,)</f>
        <v>long</v>
      </c>
      <c r="I20" t="str">
        <f t="shared" si="37"/>
        <v/>
      </c>
      <c r="J20" t="str">
        <f t="shared" si="38"/>
        <v xml:space="preserve">		public virtual long PxpCaseId { get; set; }
</v>
      </c>
      <c r="K20" s="7"/>
      <c r="L20" t="str">
        <f t="shared" ref="L20:L21" si="47">IF(K20="","",REPT(CHAR(9),1)&amp;"[Index(nameof("&amp;IF(D20="","",""&amp;D20)&amp;")"&amp;", Name="&amp;"""IX_"&amp;$B$7&amp;"_"&amp;D20&amp;""")]")</f>
        <v/>
      </c>
      <c r="M20" t="str">
        <f t="shared" si="39"/>
        <v xml:space="preserve">		public virtual long PxpCaseId { get; set; }
</v>
      </c>
      <c r="N20" t="str">
        <f t="shared" si="40"/>
        <v xml:space="preserve">		public virtual long PxpCaseId { get; set; }
</v>
      </c>
      <c r="O20" t="str">
        <f t="shared" si="41"/>
        <v/>
      </c>
      <c r="P20" t="str">
        <f t="shared" si="42"/>
        <v xml:space="preserve">							PxpCaseId = o.PxpCaseId,</v>
      </c>
      <c r="T20" s="69" t="str">
        <f t="shared" si="43"/>
        <v xml:space="preserve">								("PxpCaseId"),</v>
      </c>
      <c r="V20" s="70" t="str">
        <f t="shared" si="44"/>
        <v xml:space="preserve">								_ =&gt; _.PxpCaseId,</v>
      </c>
      <c r="W20" s="69" t="str">
        <f t="shared" si="45"/>
        <v/>
      </c>
    </row>
    <row r="21" spans="1:23" customFormat="1" ht="18.75" customHeight="1" x14ac:dyDescent="0.25">
      <c r="A21" t="s">
        <v>317</v>
      </c>
      <c r="B21" t="s">
        <v>0</v>
      </c>
      <c r="C21" t="s">
        <v>1</v>
      </c>
      <c r="D21" t="str">
        <f t="shared" si="46"/>
        <v>ContScheduleId</v>
      </c>
      <c r="E21" t="str">
        <f t="shared" si="35"/>
        <v>bigint</v>
      </c>
      <c r="F21" s="7"/>
      <c r="G21" t="str">
        <f t="shared" si="36"/>
        <v/>
      </c>
      <c r="H21" t="str">
        <f>+VLOOKUP(E21,'Data Type Mapping'!A:B,2,)</f>
        <v>long</v>
      </c>
      <c r="I21" t="str">
        <f t="shared" si="37"/>
        <v/>
      </c>
      <c r="J21" t="str">
        <f t="shared" si="38"/>
        <v xml:space="preserve">		public virtual long ContScheduleId { get; set; }
</v>
      </c>
      <c r="K21" s="7" t="s">
        <v>206</v>
      </c>
      <c r="L21" t="str">
        <f t="shared" si="47"/>
        <v xml:space="preserve">	[Index(nameof(ContScheduleId), Name="IX_LgwMwhCaseData_ContScheduleId")]</v>
      </c>
      <c r="M21" t="str">
        <f t="shared" si="39"/>
        <v xml:space="preserve">		public virtual long ContScheduleId { get; set; }
</v>
      </c>
      <c r="N21" t="str">
        <f t="shared" si="40"/>
        <v xml:space="preserve">		public virtual long ContScheduleId { get; set; }
</v>
      </c>
      <c r="O21" t="str">
        <f t="shared" si="41"/>
        <v/>
      </c>
      <c r="P21" t="str">
        <f t="shared" si="42"/>
        <v xml:space="preserve">							ContScheduleId = o.ContScheduleId,</v>
      </c>
      <c r="T21" s="69" t="str">
        <f t="shared" si="43"/>
        <v xml:space="preserve">								("ContScheduleId"),</v>
      </c>
      <c r="V21" s="70" t="str">
        <f t="shared" si="44"/>
        <v xml:space="preserve">								_ =&gt; _.ContScheduleId,</v>
      </c>
      <c r="W21" s="69" t="str">
        <f t="shared" si="45"/>
        <v/>
      </c>
    </row>
    <row r="22" spans="1:23" customFormat="1" ht="22.5" customHeight="1" x14ac:dyDescent="0.25">
      <c r="A22" t="s">
        <v>318</v>
      </c>
      <c r="B22" t="s">
        <v>304</v>
      </c>
      <c r="C22" t="s">
        <v>1</v>
      </c>
      <c r="D22" t="str">
        <f>SUBSTITUTE(PROPER(A22),"_","")</f>
        <v>Status</v>
      </c>
      <c r="E22" t="str">
        <f t="shared" si="35"/>
        <v>varchar</v>
      </c>
      <c r="F22" s="7"/>
      <c r="G22" t="str">
        <f t="shared" si="36"/>
        <v>50</v>
      </c>
      <c r="H22" t="str">
        <f>+VLOOKUP(E22,'Data Type Mapping'!A:B,2,)</f>
        <v>string</v>
      </c>
      <c r="I22" t="str">
        <f t="shared" si="37"/>
        <v xml:space="preserve">		public const int MaxStatusLength = 50;
</v>
      </c>
      <c r="J22" t="str">
        <f t="shared" si="38"/>
        <v xml:space="preserve">		[StringLength(MaxStatusLength)]
		public virtual string Status { get; set; }
</v>
      </c>
      <c r="K22" s="7" t="s">
        <v>206</v>
      </c>
      <c r="L22" t="str">
        <f>IF(K22="","",REPT(CHAR(9),1)&amp;"[Index(nameof("&amp;IF(D22="","",""&amp;D22)&amp;")"&amp;", Name="&amp;"""IX_"&amp;$B$7&amp;"_"&amp;D22&amp;""")]")</f>
        <v xml:space="preserve">	[Index(nameof(Status), Name="IX_LgwMwhCaseData_Status")]</v>
      </c>
      <c r="M22" t="str">
        <f t="shared" si="39"/>
        <v xml:space="preserve">		public virtual string Status { get; set; }
</v>
      </c>
      <c r="N22" t="str">
        <f t="shared" si="40"/>
        <v xml:space="preserve">		[StringLength(LgwMwhCaseDataConsts.MaxStatusLength)]
		public virtual string Status { get; set; }
</v>
      </c>
      <c r="O22" t="str">
        <f t="shared" si="41"/>
        <v xml:space="preserve">		public virtual string Status { get; set; }
</v>
      </c>
      <c r="P22" t="str">
        <f t="shared" si="42"/>
        <v xml:space="preserve">							Status = o.Status,</v>
      </c>
      <c r="T22" s="69" t="str">
        <f t="shared" si="43"/>
        <v xml:space="preserve">								("Status"),</v>
      </c>
      <c r="V22" s="70" t="str">
        <f t="shared" si="44"/>
        <v xml:space="preserve">								_ =&gt; _.Status,</v>
      </c>
      <c r="W22" s="69" t="str">
        <f t="shared" si="45"/>
        <v xml:space="preserve">				.WhereIf(!string.IsNullOrWhiteSpace(input.Status), e =&gt; e.Status.Contains(input.Status))</v>
      </c>
    </row>
    <row r="23" spans="1:23" customFormat="1" ht="21" customHeight="1" x14ac:dyDescent="0.25">
      <c r="A23" t="s">
        <v>319</v>
      </c>
      <c r="B23" t="s">
        <v>2</v>
      </c>
      <c r="C23" t="s">
        <v>1</v>
      </c>
      <c r="D23" t="str">
        <f t="shared" ref="D23" si="48">SUBSTITUTE(PROPER(A23),"_","")</f>
        <v>DevanningDate</v>
      </c>
      <c r="E23" t="str">
        <f t="shared" si="35"/>
        <v>date</v>
      </c>
      <c r="F23" s="7" t="s">
        <v>2</v>
      </c>
      <c r="G23" t="str">
        <f t="shared" si="36"/>
        <v/>
      </c>
      <c r="H23" t="str">
        <f>+VLOOKUP(E23,'Data Type Mapping'!A:B,2,)</f>
        <v>DateTime</v>
      </c>
      <c r="I23" t="str">
        <f t="shared" si="37"/>
        <v/>
      </c>
      <c r="J23" t="str">
        <f t="shared" si="38"/>
        <v xml:space="preserve">		[Column(TypeName="date")]
		public virtual DateTime DevanningDate { get; set; }
</v>
      </c>
      <c r="K23" s="7"/>
      <c r="L23" t="str">
        <f t="shared" ref="L23" si="49">IF(K23="","",REPT(CHAR(9),1)&amp;"[Index(nameof("&amp;IF(D23="","",""&amp;D23)&amp;")"&amp;", Name="&amp;"""IX_"&amp;$B$7&amp;"_"&amp;D23&amp;""")]")</f>
        <v/>
      </c>
      <c r="M23" t="str">
        <f t="shared" si="39"/>
        <v xml:space="preserve">		public virtual DateTime? DevanningDate { get; set; }
</v>
      </c>
      <c r="N23" t="str">
        <f t="shared" si="40"/>
        <v xml:space="preserve">		public virtual DateTime? DevanningDate { get; set; }
</v>
      </c>
      <c r="O23" t="str">
        <f t="shared" si="41"/>
        <v xml:space="preserve">		public virtual DateTime? DevanningDate { get; set; }
</v>
      </c>
      <c r="P23" t="str">
        <f t="shared" si="42"/>
        <v xml:space="preserve">							DevanningDate = o.DevanningDate,</v>
      </c>
      <c r="T23" s="69" t="str">
        <f t="shared" si="43"/>
        <v xml:space="preserve">								("DevanningDate"),</v>
      </c>
      <c r="V23" s="70" t="str">
        <f t="shared" si="44"/>
        <v xml:space="preserve">								_ =&gt; _.DevanningDate,</v>
      </c>
      <c r="W23" s="69" t="str">
        <f t="shared" si="45"/>
        <v xml:space="preserve">				.WhereIf(input.DevanningDate.HasValue, t =&gt; t.DevanningDate == input.DevanningDate.Value)</v>
      </c>
    </row>
    <row r="24" spans="1:23" customFormat="1" ht="22.5" customHeight="1" x14ac:dyDescent="0.25">
      <c r="A24" t="s">
        <v>320</v>
      </c>
      <c r="B24" t="s">
        <v>321</v>
      </c>
      <c r="C24" t="s">
        <v>1</v>
      </c>
      <c r="D24" t="str">
        <f>SUBSTITUTE(PROPER(A24),"_","")</f>
        <v>StartDevanningDate</v>
      </c>
      <c r="E24" t="str">
        <f t="shared" si="35"/>
        <v>datetime2</v>
      </c>
      <c r="F24" s="7" t="s">
        <v>321</v>
      </c>
      <c r="G24" t="str">
        <f t="shared" si="36"/>
        <v>7</v>
      </c>
      <c r="H24" t="str">
        <f>+VLOOKUP(E24,'Data Type Mapping'!A:B,2,)</f>
        <v>DateTime</v>
      </c>
      <c r="I24" t="str">
        <f t="shared" si="37"/>
        <v/>
      </c>
      <c r="J24" t="str">
        <f t="shared" si="38"/>
        <v xml:space="preserve">		[Column(TypeName="datetime2(7)")]
		public virtual DateTime StartDevanningDate { get; set; }
</v>
      </c>
      <c r="K24" s="7"/>
      <c r="L24" t="str">
        <f>IF(K24="","",REPT(CHAR(9),1)&amp;"[Index(nameof("&amp;IF(D24="","",""&amp;D24)&amp;")"&amp;", Name="&amp;"""IX_"&amp;$B$7&amp;"_"&amp;D24&amp;""")]")</f>
        <v/>
      </c>
      <c r="M24" t="str">
        <f t="shared" si="39"/>
        <v xml:space="preserve">		public virtual DateTime? StartDevanningDate { get; set; }
</v>
      </c>
      <c r="N24" t="str">
        <f t="shared" si="40"/>
        <v xml:space="preserve">		public virtual DateTime? StartDevanningDate { get; set; }
</v>
      </c>
      <c r="O24" t="str">
        <f t="shared" si="41"/>
        <v xml:space="preserve">		public virtual DateTime? StartDevanningDate { get; set; }
</v>
      </c>
      <c r="P24" t="str">
        <f t="shared" si="42"/>
        <v xml:space="preserve">							StartDevanningDate = o.StartDevanningDate,</v>
      </c>
      <c r="T24" s="69" t="str">
        <f t="shared" si="43"/>
        <v xml:space="preserve">								("StartDevanningDate"),</v>
      </c>
      <c r="V24" s="70" t="str">
        <f t="shared" si="44"/>
        <v xml:space="preserve">								_ =&gt; _.StartDevanningDate,</v>
      </c>
      <c r="W24" s="69" t="str">
        <f t="shared" si="45"/>
        <v xml:space="preserve">				.WhereIf(input.StartDevanningDate.HasValue, t =&gt; t.StartDevanningDate == input.StartDevanningDate.Value)</v>
      </c>
    </row>
    <row r="25" spans="1:23" customFormat="1" ht="21" customHeight="1" x14ac:dyDescent="0.25">
      <c r="A25" t="s">
        <v>322</v>
      </c>
      <c r="B25" t="s">
        <v>321</v>
      </c>
      <c r="C25" t="s">
        <v>1</v>
      </c>
      <c r="D25" t="str">
        <f t="shared" ref="D25:D26" si="50">SUBSTITUTE(PROPER(A25),"_","")</f>
        <v>FinishDevanningDate</v>
      </c>
      <c r="E25" t="str">
        <f t="shared" si="35"/>
        <v>datetime2</v>
      </c>
      <c r="F25" s="7" t="s">
        <v>321</v>
      </c>
      <c r="G25" t="str">
        <f t="shared" si="36"/>
        <v>7</v>
      </c>
      <c r="H25" t="str">
        <f>+VLOOKUP(E25,'Data Type Mapping'!A:B,2,)</f>
        <v>DateTime</v>
      </c>
      <c r="I25" t="str">
        <f t="shared" si="37"/>
        <v/>
      </c>
      <c r="J25" t="str">
        <f t="shared" si="38"/>
        <v xml:space="preserve">		[Column(TypeName="datetime2(7)")]
		public virtual DateTime FinishDevanningDate { get; set; }
</v>
      </c>
      <c r="K25" s="7"/>
      <c r="L25" t="str">
        <f t="shared" ref="L25:L26" si="51">IF(K25="","",REPT(CHAR(9),1)&amp;"[Index(nameof("&amp;IF(D25="","",""&amp;D25)&amp;")"&amp;", Name="&amp;"""IX_"&amp;$B$7&amp;"_"&amp;D25&amp;""")]")</f>
        <v/>
      </c>
      <c r="M25" t="str">
        <f t="shared" si="39"/>
        <v xml:space="preserve">		public virtual DateTime? FinishDevanningDate { get; set; }
</v>
      </c>
      <c r="N25" t="str">
        <f t="shared" si="40"/>
        <v xml:space="preserve">		public virtual DateTime? FinishDevanningDate { get; set; }
</v>
      </c>
      <c r="O25" t="str">
        <f t="shared" si="41"/>
        <v xml:space="preserve">		public virtual DateTime? FinishDevanningDate { get; set; }
</v>
      </c>
      <c r="P25" t="str">
        <f t="shared" si="42"/>
        <v xml:space="preserve">							FinishDevanningDate = o.FinishDevanningDate,</v>
      </c>
      <c r="T25" s="69" t="str">
        <f t="shared" si="43"/>
        <v xml:space="preserve">								("FinishDevanningDate"),</v>
      </c>
      <c r="V25" s="70" t="str">
        <f t="shared" si="44"/>
        <v xml:space="preserve">								_ =&gt; _.FinishDevanningDate,</v>
      </c>
      <c r="W25" s="69" t="str">
        <f t="shared" si="45"/>
        <v xml:space="preserve">				.WhereIf(input.FinishDevanningDate.HasValue, t =&gt; t.FinishDevanningDate == input.FinishDevanningDate.Value)</v>
      </c>
    </row>
    <row r="26" spans="1:23" customFormat="1" ht="18.75" customHeight="1" x14ac:dyDescent="0.25">
      <c r="A26" t="s">
        <v>323</v>
      </c>
      <c r="B26" t="s">
        <v>304</v>
      </c>
      <c r="C26" t="s">
        <v>1</v>
      </c>
      <c r="D26" t="str">
        <f t="shared" si="50"/>
        <v>ZoneCd</v>
      </c>
      <c r="E26" t="str">
        <f t="shared" si="35"/>
        <v>varchar</v>
      </c>
      <c r="F26" s="7"/>
      <c r="G26" t="str">
        <f t="shared" si="36"/>
        <v>50</v>
      </c>
      <c r="H26" t="str">
        <f>+VLOOKUP(E26,'Data Type Mapping'!A:B,2,)</f>
        <v>string</v>
      </c>
      <c r="I26" t="str">
        <f t="shared" si="37"/>
        <v xml:space="preserve">		public const int MaxZoneCdLength = 50;
</v>
      </c>
      <c r="J26" t="str">
        <f t="shared" si="38"/>
        <v xml:space="preserve">		[StringLength(MaxZoneCdLength)]
		public virtual string ZoneCd { get; set; }
</v>
      </c>
      <c r="K26" s="7"/>
      <c r="L26" t="str">
        <f t="shared" si="51"/>
        <v/>
      </c>
      <c r="M26" t="str">
        <f t="shared" si="39"/>
        <v xml:space="preserve">		public virtual string ZoneCd { get; set; }
</v>
      </c>
      <c r="N26" t="str">
        <f t="shared" si="40"/>
        <v xml:space="preserve">		[StringLength(LgwMwhCaseDataConsts.MaxZoneCdLength)]
		public virtual string ZoneCd { get; set; }
</v>
      </c>
      <c r="O26" t="str">
        <f t="shared" si="41"/>
        <v xml:space="preserve">		public virtual string ZoneCd { get; set; }
</v>
      </c>
      <c r="P26" t="str">
        <f t="shared" si="42"/>
        <v xml:space="preserve">							ZoneCd = o.ZoneCd,</v>
      </c>
      <c r="T26" s="69" t="str">
        <f t="shared" si="43"/>
        <v xml:space="preserve">								("ZoneCd"),</v>
      </c>
      <c r="V26" s="70" t="str">
        <f t="shared" si="44"/>
        <v xml:space="preserve">								_ =&gt; _.ZoneCd,</v>
      </c>
      <c r="W26" s="69" t="str">
        <f t="shared" si="45"/>
        <v xml:space="preserve">				.WhereIf(!string.IsNullOrWhiteSpace(input.ZoneCd), e =&gt; e.ZoneCd.Contains(input.ZoneCd))</v>
      </c>
    </row>
    <row r="27" spans="1:23" customFormat="1" ht="22.5" customHeight="1" x14ac:dyDescent="0.25">
      <c r="A27" t="s">
        <v>324</v>
      </c>
      <c r="B27" t="s">
        <v>304</v>
      </c>
      <c r="C27" t="s">
        <v>1</v>
      </c>
      <c r="D27" t="str">
        <f>SUBSTITUTE(PROPER(A27),"_","")</f>
        <v>AreaCd</v>
      </c>
      <c r="E27" t="str">
        <f t="shared" si="35"/>
        <v>varchar</v>
      </c>
      <c r="F27" s="7"/>
      <c r="G27" t="str">
        <f t="shared" si="36"/>
        <v>50</v>
      </c>
      <c r="H27" t="str">
        <f>+VLOOKUP(E27,'Data Type Mapping'!A:B,2,)</f>
        <v>string</v>
      </c>
      <c r="I27" t="str">
        <f t="shared" si="37"/>
        <v xml:space="preserve">		public const int MaxAreaCdLength = 50;
</v>
      </c>
      <c r="J27" t="str">
        <f t="shared" si="38"/>
        <v xml:space="preserve">		[StringLength(MaxAreaCdLength)]
		public virtual string AreaCd { get; set; }
</v>
      </c>
      <c r="K27" s="7"/>
      <c r="L27" t="str">
        <f>IF(K27="","",REPT(CHAR(9),1)&amp;"[Index(nameof("&amp;IF(D27="","",""&amp;D27)&amp;")"&amp;", Name="&amp;"""IX_"&amp;$B$7&amp;"_"&amp;D27&amp;""")]")</f>
        <v/>
      </c>
      <c r="M27" t="str">
        <f t="shared" si="39"/>
        <v xml:space="preserve">		public virtual string AreaCd { get; set; }
</v>
      </c>
      <c r="N27" t="str">
        <f t="shared" si="40"/>
        <v xml:space="preserve">		[StringLength(LgwMwhCaseDataConsts.MaxAreaCdLength)]
		public virtual string AreaCd { get; set; }
</v>
      </c>
      <c r="O27" t="str">
        <f t="shared" si="41"/>
        <v xml:space="preserve">		public virtual string AreaCd { get; set; }
</v>
      </c>
      <c r="P27" t="str">
        <f t="shared" si="42"/>
        <v xml:space="preserve">							AreaCd = o.AreaCd,</v>
      </c>
      <c r="T27" s="69" t="str">
        <f t="shared" si="43"/>
        <v xml:space="preserve">								("AreaCd"),</v>
      </c>
      <c r="V27" s="70" t="str">
        <f t="shared" si="44"/>
        <v xml:space="preserve">								_ =&gt; _.AreaCd,</v>
      </c>
      <c r="W27" s="69" t="str">
        <f t="shared" si="45"/>
        <v xml:space="preserve">				.WhereIf(!string.IsNullOrWhiteSpace(input.AreaCd), e =&gt; e.AreaCd.Contains(input.AreaCd))</v>
      </c>
    </row>
    <row r="28" spans="1:23" customFormat="1" ht="21" customHeight="1" x14ac:dyDescent="0.25">
      <c r="A28" t="s">
        <v>325</v>
      </c>
      <c r="B28" t="s">
        <v>0</v>
      </c>
      <c r="C28" t="s">
        <v>1</v>
      </c>
      <c r="D28" t="str">
        <f t="shared" ref="D28" si="52">SUBSTITUTE(PROPER(A28),"_","")</f>
        <v>LocId</v>
      </c>
      <c r="E28" t="str">
        <f t="shared" si="35"/>
        <v>bigint</v>
      </c>
      <c r="F28" s="7"/>
      <c r="G28" t="str">
        <f t="shared" si="36"/>
        <v/>
      </c>
      <c r="H28" t="str">
        <f>+VLOOKUP(E28,'Data Type Mapping'!A:B,2,)</f>
        <v>long</v>
      </c>
      <c r="I28" t="str">
        <f t="shared" si="37"/>
        <v/>
      </c>
      <c r="J28" t="str">
        <f t="shared" si="38"/>
        <v xml:space="preserve">		public virtual long LocId { get; set; }
</v>
      </c>
      <c r="K28" s="7" t="s">
        <v>206</v>
      </c>
      <c r="L28" t="str">
        <f t="shared" ref="L28" si="53">IF(K28="","",REPT(CHAR(9),1)&amp;"[Index(nameof("&amp;IF(D28="","",""&amp;D28)&amp;")"&amp;", Name="&amp;"""IX_"&amp;$B$7&amp;"_"&amp;D28&amp;""")]")</f>
        <v xml:space="preserve">	[Index(nameof(LocId), Name="IX_LgwMwhCaseData_LocId")]</v>
      </c>
      <c r="M28" t="str">
        <f t="shared" si="39"/>
        <v xml:space="preserve">		public virtual long LocId { get; set; }
</v>
      </c>
      <c r="N28" t="str">
        <f t="shared" si="40"/>
        <v xml:space="preserve">		public virtual long LocId { get; set; }
</v>
      </c>
      <c r="O28" t="str">
        <f t="shared" si="41"/>
        <v/>
      </c>
      <c r="P28" t="str">
        <f t="shared" si="42"/>
        <v xml:space="preserve">							LocId = o.LocId,</v>
      </c>
      <c r="T28" s="69" t="str">
        <f t="shared" si="43"/>
        <v xml:space="preserve">								("LocId"),</v>
      </c>
      <c r="V28" s="70" t="str">
        <f t="shared" si="44"/>
        <v xml:space="preserve">								_ =&gt; _.LocId,</v>
      </c>
      <c r="W28" s="69" t="str">
        <f t="shared" si="45"/>
        <v/>
      </c>
    </row>
    <row r="29" spans="1:23" customFormat="1" ht="22.5" customHeight="1" x14ac:dyDescent="0.25">
      <c r="A29" t="s">
        <v>326</v>
      </c>
      <c r="B29" t="s">
        <v>304</v>
      </c>
      <c r="C29" t="s">
        <v>1</v>
      </c>
      <c r="D29" t="str">
        <f>SUBSTITUTE(PROPER(A29),"_","")</f>
        <v>LocCd</v>
      </c>
      <c r="E29" t="str">
        <f t="shared" ref="E29:E33" si="54">IFERROR(LEFT(B29, FIND("(",B29)-1),B29)</f>
        <v>varchar</v>
      </c>
      <c r="F29" s="7"/>
      <c r="G29" t="str">
        <f t="shared" ref="G29:G33" si="55">IFERROR(MID(B29,FIND("(",B29) +1, FIND(")",B29) - FIND("(",B29) - 1),"")</f>
        <v>50</v>
      </c>
      <c r="H29" t="str">
        <f>+VLOOKUP(E29,'Data Type Mapping'!A:B,2,)</f>
        <v>string</v>
      </c>
      <c r="I29" t="str">
        <f t="shared" ref="I29:I33" si="56">IF(H29="string",REPT(CHAR(9),2)&amp;"public const int Max"&amp;D29&amp;"Length = "&amp;G29&amp;";"&amp;$E$3,"" )</f>
        <v xml:space="preserve">		public const int MaxLocCdLength = 50;
</v>
      </c>
      <c r="J29" t="str">
        <f t="shared" ref="J29:J33" si="57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[StringLength(MaxLocCdLength)]
		public virtual string LocCd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 t="shared" ref="M29:M33" si="58">REPT(CHAR(9),2)&amp;"public virtual "&amp;IF(OR(H29="DateTime",H29="TimeSpan"),H29&amp;"?",H29)&amp;IF(C29="?","? "," ")&amp;D29&amp;" { get; set; }" &amp; "
"</f>
        <v xml:space="preserve">		public virtual string LocCd { get; set; }
</v>
      </c>
      <c r="N29" t="str">
        <f t="shared" ref="N29:N33" si="59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[StringLength(LgwMwhCaseDataConsts.MaxLocCdLength)]
		public virtual string LocCd { get; set; }
</v>
      </c>
      <c r="O29" t="str">
        <f t="shared" ref="O29:O33" si="60">IF(OR(H29="string",H29="DateTime",H29="int"),REPT(CHAR(9),2)&amp;"public virtual "&amp;IF(OR(H29="DateTime",H29="TimeSpan"),H29&amp;"?",H29)&amp;IF(C29="?","? "," ")&amp;D29&amp;" { get; set; }"&amp;$E$3,"")</f>
        <v xml:space="preserve">		public virtual string LocCd { get; set; }
</v>
      </c>
      <c r="P29" t="str">
        <f t="shared" ref="P29:P33" si="61">REPT(CHAR(9),7)&amp;D29&amp;" = o." &amp;D29 &amp;","</f>
        <v xml:space="preserve">							LocCd = o.LocCd,</v>
      </c>
      <c r="T29" s="69" t="str">
        <f t="shared" ref="T29:T33" si="62">REPT(CHAR(9),8)&amp;"("""&amp;D29&amp;"""),"</f>
        <v xml:space="preserve">								("LocCd"),</v>
      </c>
      <c r="V29" s="70" t="str">
        <f t="shared" ref="V29:V33" si="63">REPT(CHAR(9),8)&amp;"_ =&gt; _."&amp;D29&amp;","</f>
        <v xml:space="preserve">								_ =&gt; _.LocCd,</v>
      </c>
      <c r="W29" s="69" t="str">
        <f t="shared" ref="W29:W33" si="64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.WhereIf(!string.IsNullOrWhiteSpace(input.LocCd), e =&gt; e.LocCd.Contains(input.LocCd))</v>
      </c>
    </row>
    <row r="30" spans="1:23" customFormat="1" ht="21" customHeight="1" x14ac:dyDescent="0.25">
      <c r="A30" t="s">
        <v>327</v>
      </c>
      <c r="B30" t="s">
        <v>321</v>
      </c>
      <c r="C30" t="s">
        <v>1</v>
      </c>
      <c r="D30" t="str">
        <f t="shared" ref="D30:D31" si="65">SUBSTITUTE(PROPER(A30),"_","")</f>
        <v>LocDate</v>
      </c>
      <c r="E30" t="str">
        <f t="shared" si="54"/>
        <v>datetime2</v>
      </c>
      <c r="F30" s="7"/>
      <c r="G30" t="str">
        <f t="shared" si="55"/>
        <v>7</v>
      </c>
      <c r="H30" t="str">
        <f>+VLOOKUP(E30,'Data Type Mapping'!A:B,2,)</f>
        <v>DateTime</v>
      </c>
      <c r="I30" t="str">
        <f t="shared" si="56"/>
        <v/>
      </c>
      <c r="J30" t="str">
        <f t="shared" si="57"/>
        <v xml:space="preserve">		public virtual DateTime LocDate { get; set; }
</v>
      </c>
      <c r="K30" s="7"/>
      <c r="L30" t="str">
        <f t="shared" ref="L30:L31" si="66">IF(K30="","",REPT(CHAR(9),1)&amp;"[Index(nameof("&amp;IF(D30="","",""&amp;D30)&amp;")"&amp;", Name="&amp;"""IX_"&amp;$B$7&amp;"_"&amp;D30&amp;""")]")</f>
        <v/>
      </c>
      <c r="M30" t="str">
        <f t="shared" si="58"/>
        <v xml:space="preserve">		public virtual DateTime? LocDate { get; set; }
</v>
      </c>
      <c r="N30" t="str">
        <f t="shared" si="59"/>
        <v xml:space="preserve">		public virtual DateTime? LocDate { get; set; }
</v>
      </c>
      <c r="O30" t="str">
        <f t="shared" si="60"/>
        <v xml:space="preserve">		public virtual DateTime? LocDate { get; set; }
</v>
      </c>
      <c r="P30" t="str">
        <f t="shared" si="61"/>
        <v xml:space="preserve">							LocDate = o.LocDate,</v>
      </c>
      <c r="T30" s="69" t="str">
        <f t="shared" si="62"/>
        <v xml:space="preserve">								("LocDate"),</v>
      </c>
      <c r="V30" s="70" t="str">
        <f t="shared" si="63"/>
        <v xml:space="preserve">								_ =&gt; _.LocDate,</v>
      </c>
      <c r="W30" s="69" t="str">
        <f t="shared" si="64"/>
        <v xml:space="preserve">				.WhereIf(input.LocDate.HasValue, t =&gt; t.LocDate == input.LocDate.Value)</v>
      </c>
    </row>
    <row r="31" spans="1:23" customFormat="1" ht="18.75" customHeight="1" x14ac:dyDescent="0.25">
      <c r="A31" t="s">
        <v>328</v>
      </c>
      <c r="B31" t="s">
        <v>329</v>
      </c>
      <c r="C31" t="s">
        <v>1</v>
      </c>
      <c r="D31" t="str">
        <f t="shared" si="65"/>
        <v>LocBy</v>
      </c>
      <c r="E31" t="str">
        <f t="shared" si="54"/>
        <v>nvarchar</v>
      </c>
      <c r="F31" s="7"/>
      <c r="G31" t="str">
        <f t="shared" si="55"/>
        <v>50</v>
      </c>
      <c r="H31" t="str">
        <f>+VLOOKUP(E31,'Data Type Mapping'!A:B,2,)</f>
        <v>string</v>
      </c>
      <c r="I31" t="str">
        <f t="shared" si="56"/>
        <v xml:space="preserve">		public const int MaxLocByLength = 50;
</v>
      </c>
      <c r="J31" t="str">
        <f t="shared" si="57"/>
        <v xml:space="preserve">		[StringLength(MaxLocByLength)]
		public virtual string LocBy { get; set; }
</v>
      </c>
      <c r="K31" s="7"/>
      <c r="L31" t="str">
        <f t="shared" si="66"/>
        <v/>
      </c>
      <c r="M31" t="str">
        <f t="shared" si="58"/>
        <v xml:space="preserve">		public virtual string LocBy { get; set; }
</v>
      </c>
      <c r="N31" t="str">
        <f t="shared" si="59"/>
        <v xml:space="preserve">		[StringLength(LgwMwhCaseDataConsts.MaxLocByLength)]
		public virtual string LocBy { get; set; }
</v>
      </c>
      <c r="O31" t="str">
        <f t="shared" si="60"/>
        <v xml:space="preserve">		public virtual string LocBy { get; set; }
</v>
      </c>
      <c r="P31" t="str">
        <f t="shared" si="61"/>
        <v xml:space="preserve">							LocBy = o.LocBy,</v>
      </c>
      <c r="T31" s="69" t="str">
        <f t="shared" si="62"/>
        <v xml:space="preserve">								("LocBy"),</v>
      </c>
      <c r="V31" s="70" t="str">
        <f t="shared" si="63"/>
        <v xml:space="preserve">								_ =&gt; _.LocBy,</v>
      </c>
      <c r="W31" s="69" t="str">
        <f t="shared" si="64"/>
        <v xml:space="preserve">				.WhereIf(!string.IsNullOrWhiteSpace(input.LocBy), e =&gt; e.LocBy.Contains(input.LocBy))</v>
      </c>
    </row>
    <row r="32" spans="1:23" customFormat="1" ht="22.5" customHeight="1" x14ac:dyDescent="0.25">
      <c r="A32" t="s">
        <v>330</v>
      </c>
      <c r="B32" t="s">
        <v>304</v>
      </c>
      <c r="C32" t="s">
        <v>1</v>
      </c>
      <c r="D32" t="str">
        <f>SUBSTITUTE(PROPER(A32),"_","")</f>
        <v>Shop</v>
      </c>
      <c r="E32" t="str">
        <f t="shared" si="54"/>
        <v>varchar</v>
      </c>
      <c r="F32" s="7"/>
      <c r="G32" t="str">
        <f t="shared" si="55"/>
        <v>50</v>
      </c>
      <c r="H32" t="str">
        <f>+VLOOKUP(E32,'Data Type Mapping'!A:B,2,)</f>
        <v>string</v>
      </c>
      <c r="I32" t="str">
        <f t="shared" si="56"/>
        <v xml:space="preserve">		public const int MaxShopLength = 50;
</v>
      </c>
      <c r="J32" t="str">
        <f t="shared" si="57"/>
        <v xml:space="preserve">		[StringLength(MaxShopLength)]
		public virtual string Shop { get; set; }
</v>
      </c>
      <c r="K32" s="7"/>
      <c r="L32" t="str">
        <f>IF(K32="","",REPT(CHAR(9),1)&amp;"[Index(nameof("&amp;IF(D32="","",""&amp;D32)&amp;")"&amp;", Name="&amp;"""IX_"&amp;$B$7&amp;"_"&amp;D32&amp;""")]")</f>
        <v/>
      </c>
      <c r="M32" t="str">
        <f t="shared" si="58"/>
        <v xml:space="preserve">		public virtual string Shop { get; set; }
</v>
      </c>
      <c r="N32" t="str">
        <f t="shared" si="59"/>
        <v xml:space="preserve">		[StringLength(LgwMwhCaseDataConsts.MaxShopLength)]
		public virtual string Shop { get; set; }
</v>
      </c>
      <c r="O32" t="str">
        <f t="shared" si="60"/>
        <v xml:space="preserve">		public virtual string Shop { get; set; }
</v>
      </c>
      <c r="P32" t="str">
        <f t="shared" si="61"/>
        <v xml:space="preserve">							Shop = o.Shop,</v>
      </c>
      <c r="T32" s="69" t="str">
        <f t="shared" si="62"/>
        <v xml:space="preserve">								("Shop"),</v>
      </c>
      <c r="V32" s="70" t="str">
        <f t="shared" si="63"/>
        <v xml:space="preserve">								_ =&gt; _.Shop,</v>
      </c>
      <c r="W32" s="69" t="str">
        <f t="shared" si="64"/>
        <v xml:space="preserve">				.WhereIf(!string.IsNullOrWhiteSpace(input.Shop), e =&gt; e.Shop.Contains(input.Shop))</v>
      </c>
    </row>
    <row r="33" spans="1:23" customFormat="1" ht="21" customHeight="1" x14ac:dyDescent="0.25">
      <c r="A33" t="s">
        <v>331</v>
      </c>
      <c r="B33" t="s">
        <v>304</v>
      </c>
      <c r="C33" t="s">
        <v>1</v>
      </c>
      <c r="D33" t="str">
        <f t="shared" ref="D33" si="67">SUBSTITUTE(PROPER(A33),"_","")</f>
        <v>IsBigpart</v>
      </c>
      <c r="E33" t="str">
        <f t="shared" si="54"/>
        <v>varchar</v>
      </c>
      <c r="F33" s="7"/>
      <c r="G33" t="str">
        <f t="shared" si="55"/>
        <v>50</v>
      </c>
      <c r="H33" t="str">
        <f>+VLOOKUP(E33,'Data Type Mapping'!A:B,2,)</f>
        <v>string</v>
      </c>
      <c r="I33" t="str">
        <f t="shared" si="56"/>
        <v xml:space="preserve">		public const int MaxIsBigpartLength = 50;
</v>
      </c>
      <c r="J33" t="str">
        <f t="shared" si="57"/>
        <v xml:space="preserve">		[StringLength(MaxIsBigpartLength)]
		public virtual string IsBigpart { get; set; }
</v>
      </c>
      <c r="K33" s="7" t="s">
        <v>206</v>
      </c>
      <c r="L33" t="str">
        <f t="shared" ref="L33" si="68">IF(K33="","",REPT(CHAR(9),1)&amp;"[Index(nameof("&amp;IF(D33="","",""&amp;D33)&amp;")"&amp;", Name="&amp;"""IX_"&amp;$B$7&amp;"_"&amp;D33&amp;""")]")</f>
        <v xml:space="preserve">	[Index(nameof(IsBigpart), Name="IX_LgwMwhCaseData_IsBigpart")]</v>
      </c>
      <c r="M33" t="str">
        <f t="shared" si="58"/>
        <v xml:space="preserve">		public virtual string IsBigpart { get; set; }
</v>
      </c>
      <c r="N33" t="str">
        <f t="shared" si="59"/>
        <v xml:space="preserve">		[StringLength(LgwMwhCaseDataConsts.MaxIsBigpartLength)]
		public virtual string IsBigpart { get; set; }
</v>
      </c>
      <c r="O33" t="str">
        <f t="shared" si="60"/>
        <v xml:space="preserve">		public virtual string IsBigpart { get; set; }
</v>
      </c>
      <c r="P33" t="str">
        <f t="shared" si="61"/>
        <v xml:space="preserve">							IsBigpart = o.IsBigpart,</v>
      </c>
      <c r="T33" s="69" t="str">
        <f t="shared" si="62"/>
        <v xml:space="preserve">								("IsBigpart"),</v>
      </c>
      <c r="V33" s="70" t="str">
        <f t="shared" si="63"/>
        <v xml:space="preserve">								_ =&gt; _.IsBigpart,</v>
      </c>
      <c r="W33" s="69" t="str">
        <f t="shared" si="64"/>
        <v xml:space="preserve">				.WhereIf(!string.IsNullOrWhiteSpace(input.IsBigpart), e =&gt; e.IsBigpart.Contains(input.IsBigpart))</v>
      </c>
    </row>
    <row r="34" spans="1:23" customFormat="1" ht="21" customHeight="1" x14ac:dyDescent="0.25">
      <c r="A34" t="s">
        <v>302</v>
      </c>
      <c r="B34" t="s">
        <v>303</v>
      </c>
      <c r="C34" t="s">
        <v>1</v>
      </c>
      <c r="D34" t="str">
        <f t="shared" ref="D34" si="69">SUBSTITUTE(PROPER(A34),"_","")</f>
        <v>IsActive</v>
      </c>
      <c r="E34" t="str">
        <f t="shared" si="20"/>
        <v>varchar</v>
      </c>
      <c r="F34" s="7"/>
      <c r="G34" t="str">
        <f t="shared" si="21"/>
        <v>1</v>
      </c>
      <c r="H34" t="str">
        <f>+VLOOKUP(E34,'Data Type Mapping'!A:B,2,)</f>
        <v>string</v>
      </c>
      <c r="I34" t="str">
        <f t="shared" si="22"/>
        <v xml:space="preserve">		public const int MaxIsActiveLength = 1;
</v>
      </c>
      <c r="J34" t="str">
        <f t="shared" si="23"/>
        <v xml:space="preserve">		[StringLength(MaxIsActiveLength)]
		public virtual string IsActive { get; set; }
</v>
      </c>
      <c r="K34" s="7" t="s">
        <v>206</v>
      </c>
      <c r="L34" t="str">
        <f t="shared" ref="L34" si="70">IF(K34="","",REPT(CHAR(9),1)&amp;"[Index(nameof("&amp;IF(D34="","",""&amp;D34)&amp;")"&amp;", Name="&amp;"""IX_"&amp;$B$7&amp;"_"&amp;D34&amp;""")]")</f>
        <v xml:space="preserve">	[Index(nameof(IsActive), Name="IX_LgwMwhCaseData_IsActive")]</v>
      </c>
      <c r="M34" t="str">
        <f t="shared" si="24"/>
        <v xml:space="preserve">		public virtual string IsActive { get; set; }
</v>
      </c>
      <c r="N34" t="str">
        <f t="shared" si="25"/>
        <v xml:space="preserve">		[StringLength(LgwMwhCaseDataConsts.MaxIsActiveLength)]
		public virtual string IsActive { get; set; }
</v>
      </c>
      <c r="O34" t="str">
        <f t="shared" si="26"/>
        <v xml:space="preserve">		public virtual string IsActive { get; set; }
</v>
      </c>
      <c r="P34" t="str">
        <f t="shared" si="27"/>
        <v xml:space="preserve">							IsActive = o.IsActive,</v>
      </c>
      <c r="T34" s="69" t="str">
        <f t="shared" si="28"/>
        <v xml:space="preserve">								("IsActive"),</v>
      </c>
      <c r="V34" s="70" t="str">
        <f t="shared" si="29"/>
        <v xml:space="preserve">								_ =&gt; _.IsActive,</v>
      </c>
      <c r="W34" s="69" t="str">
        <f t="shared" si="30"/>
        <v xml:space="preserve">				.WhereIf(!string.IsNullOrWhiteSpace(input.IsActive), e =&gt; e.IsActive.Contains(input.IsActive))</v>
      </c>
    </row>
    <row r="36" spans="1:23" ht="45.75" customHeight="1" x14ac:dyDescent="0.25">
      <c r="H36" s="12"/>
      <c r="I36" s="34" t="str">
        <f ca="1">TEXTJOIN2("
", TRUE,INDIRECT( $H$1):INDIRECT( $H$3))</f>
        <v xml:space="preserve">		public const int MaxCaseNoLength = 50;
		public const int MaxLotNoLength = 50;
		public const int MaxGradeLength = 50;
		public const int MaxModelLength = 50;
		public const int MaxContainerNoLength = 50;
		public const int MaxRenbanLength = 50;
		public const int MaxSupplierNoLength = 50;
		public const int MaxOrderTypeLength = 50;
		public const int MaxCasePrefixLength = 50;
		public const int MaxProdLineLength = 50;
		public const int MaxStatusLength = 50;
		public const int MaxZoneCdLength = 50;
		public const int MaxAreaCdLength = 50;
		public const int MaxLocCdLength = 50;
		public const int MaxLocByLength = 50;
		public const int MaxShopLength = 50;
		public const int MaxIsBigpartLength = 50;
		public const int MaxIsActiveLength = 1;
</v>
      </c>
      <c r="J36" s="33" t="str">
        <f ca="1">TEXTJOIN2("
", TRUE,INDIRECT( $F$1):INDIRECT( $F$3))</f>
        <v xml:space="preserve">		[StringLength(MaxCaseNoLength)]
		public virtual string CaseNo { get; set; }
		[StringLength(MaxLotNoLength)]
		public virtual string LotNo { get; set; }
		[StringLength(MaxGradeLength)]
		public virtual string Grade { get; set; }
		[StringLength(MaxModelLength)]
		public virtual string Model { get; set; }
		public virtual int CaseQty { get; set; }
		[StringLength(MaxContainerNoLength)]
		public virtual string ContainerNo { get; set; }
		[StringLength(MaxRenbanLength)]
		public virtual string Renban { get; set; }
		[StringLength(MaxSupplierNoLength)]
		public virtual string SupplierNo { get; set; }
		[StringLength(MaxOrderTypeLength)]
		public virtual string OrderType { get; set; }
		[StringLength(MaxCasePrefixLength)]
		public virtual string CasePrefix { get; set; }
		[StringLength(MaxProdLineLength)]
		public virtual string ProdLine { get; set; }
		public virtual long PxpCaseId { get; set; }
		public virtual long ContScheduleId { get; set; }
		[StringLength(MaxStatusLength)]
		public virtual string Status { get; set; }
		[Column(TypeName="date")]
		public virtual DateTime DevanningDate { get; set; }
		[Column(TypeName="datetime2(7)")]
		public virtual DateTime StartDevanningDate { get; set; }
		[Column(TypeName="datetime2(7)")]
		public virtual DateTime FinishDevanningDate { get; set; }
		[StringLength(MaxZoneCdLength)]
		public virtual string ZoneCd { get; set; }
		[StringLength(MaxAreaCdLength)]
		public virtual string AreaCd { get; set; }
		public virtual long LocId { get; set; }
		[StringLength(MaxLocCdLength)]
		public virtual string LocCd { get; set; }
		public virtual DateTime LocDate { get; set; }
		[StringLength(MaxLocByLength)]
		public virtual string LocBy { get; set; }
		[StringLength(MaxShopLength)]
		public virtual string Shop { get; set; }
		[StringLength(MaxIsBigpartLength)]
		public virtual string IsBigpart { get; set; }
		[StringLength(MaxIsActiveLength)]
		public virtual string IsActive { get; set; }
</v>
      </c>
      <c r="K36" s="35" t="str">
        <f ca="1">TEXTJOIN2("
", TRUE,INDIRECT( $J$1):INDIRECT( $J$3))</f>
        <v xml:space="preserve">	[Index(nameof(CaseNo), Name="IX_LgwMwhCaseData_CaseNo")]
	[Index(nameof(ContainerNo), Name="IX_LgwMwhCaseData_ContainerNo")]
	[Index(nameof(Renban), Name="IX_LgwMwhCaseData_Renban")]
	[Index(nameof(SupplierNo), Name="IX_LgwMwhCaseData_SupplierNo")]
	[Index(nameof(CasePrefix), Name="IX_LgwMwhCaseData_CasePrefix")]
	[Index(nameof(ContScheduleId), Name="IX_LgwMwhCaseData_ContScheduleId")]
	[Index(nameof(Status), Name="IX_LgwMwhCaseData_Status")]
	[Index(nameof(LocId), Name="IX_LgwMwhCaseData_LocId")]
	[Index(nameof(IsBigpart), Name="IX_LgwMwhCaseData_IsBigpart")]
	[Index(nameof(IsActive), Name="IX_LgwMwhCaseData_IsActive")]</v>
      </c>
      <c r="L36" s="13" t="s">
        <v>60</v>
      </c>
      <c r="M36" s="36" t="str">
        <f ca="1">TEXTJOIN2("
",TRUE,INDIRECT( $L$1):INDIRECT($L$3))</f>
        <v xml:space="preserve">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long PxpCaseId { get; set; }
		public virtual long ContScheduleId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long LocId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</v>
      </c>
      <c r="N36" s="33" t="str">
        <f ca="1">TEXTJOIN2("
",TRUE,INDIRECT( $M$1):INDIRECT($M$3))</f>
        <v xml:space="preserve">		[StringLength(LgwMwhCaseDataConsts.MaxCaseNoLength)]
		public virtual string CaseNo { get; set; }
		[StringLength(LgwMwhCaseDataConsts.MaxLotNoLength)]
		public virtual string LotNo { get; set; }
		[StringLength(LgwMwhCaseDataConsts.MaxGradeLength)]
		public virtual string Grade { get; set; }
		[StringLength(LgwMwhCaseDataConsts.MaxModelLength)]
		public virtual string Model { get; set; }
		public virtual int CaseQty { get; set; }
		[StringLength(LgwMwhCaseDataConsts.MaxContainerNoLength)]
		public virtual string ContainerNo { get; set; }
		[StringLength(LgwMwhCaseDataConsts.MaxRenbanLength)]
		public virtual string Renban { get; set; }
		[StringLength(LgwMwhCaseDataConsts.MaxSupplierNoLength)]
		public virtual string SupplierNo { get; set; }
		[StringLength(LgwMwhCaseDataConsts.MaxOrderTypeLength)]
		public virtual string OrderType { get; set; }
		[StringLength(LgwMwhCaseDataConsts.MaxCasePrefixLength)]
		public virtual string CasePrefix { get; set; }
		[StringLength(LgwMwhCaseDataConsts.MaxProdLineLength)]
		public virtual string ProdLine { get; set; }
		public virtual long PxpCaseId { get; set; }
		public virtual long ContScheduleId { get; set; }
		[StringLength(LgwMwhCaseDataConsts.MaxStatusLength)]
		public virtual string Status { get; set; }
		public virtual DateTime? DevanningDate { get; set; }
		public virtual DateTime? StartDevanningDate { get; set; }
		public virtual DateTime? FinishDevanningDate { get; set; }
		[StringLength(LgwMwhCaseDataConsts.MaxZoneCdLength)]
		public virtual string ZoneCd { get; set; }
		[StringLength(LgwMwhCaseDataConsts.MaxAreaCdLength)]
		public virtual string AreaCd { get; set; }
		public virtual long LocId { get; set; }
		[StringLength(LgwMwhCaseDataConsts.MaxLocCdLength)]
		public virtual string LocCd { get; set; }
		public virtual DateTime? LocDate { get; set; }
		[StringLength(LgwMwhCaseDataConsts.MaxLocByLength)]
		public virtual string LocBy { get; set; }
		[StringLength(LgwMwhCaseDataConsts.MaxShopLength)]
		public virtual string Shop { get; set; }
		[StringLength(LgwMwhCaseDataConsts.MaxIsBigpartLength)]
		public virtual string IsBigpart { get; set; }
		[StringLength(LgwMwhCaseDataConsts.MaxIsActiveLength)]
		public virtual string IsActive { get; set; }
</v>
      </c>
      <c r="O36" s="33" t="str">
        <f ca="1">TEXTJOIN2("
",TRUE,INDIRECT( $N$1):INDIRECT($N$3))</f>
        <v xml:space="preserve">		public virtual string CaseNo { get; set; }
		public virtual string LotNo { get; set; }
		public virtual string Grade { get; set; }
		public virtual string Model { get; set; }
		public virtual int CaseQty { get; set; }
		public virtual string ContainerNo { get; set; }
		public virtual string Renban { get; set; }
		public virtual string SupplierNo { get; set; }
		public virtual string OrderType { get; set; }
		public virtual string CasePrefix { get; set; }
		public virtual string ProdLine { get; set; }
		public virtual string Status { get; set; }
		public virtual DateTime? DevanningDate { get; set; }
		public virtual DateTime? StartDevanningDate { get; set; }
		public virtual DateTime? FinishDevanningDate { get; set; }
		public virtual string ZoneCd { get; set; }
		public virtual string AreaCd { get; set; }
		public virtual string LocCd { get; set; }
		public virtual DateTime? LocDate { get; set; }
		public virtual string LocBy { get; set; }
		public virtual string Shop { get; set; }
		public virtual string IsBigpart { get; set; }
		public virtual string IsActive { get; set; }
</v>
      </c>
      <c r="P36" s="9" t="str">
        <f ca="1">TEXTJOIN2("
",TRUE,INDIRECT( $O$1):INDIRECT($O$3))</f>
        <v xml:space="preserve">							CaseNo = o.CaseNo,
							LotNo = o.LotNo,
							Grade = o.Grade,
							Model = o.Model,
							CaseQty = o.CaseQty,
							ContainerNo = o.ContainerNo,
							Renban = o.Renban,
							SupplierNo = o.SupplierNo,
							OrderType = o.OrderType,
							CasePrefix = o.CasePrefix,
							ProdLine = o.ProdLine,
							PxpCaseId = o.PxpCaseId,
							ContScheduleId = o.ContScheduleId,
							Status = o.Status,
							DevanningDate = o.DevanningDate,
							StartDevanningDate = o.StartDevanningDate,
							FinishDevanningDate = o.FinishDevanningDate,
							ZoneCd = o.ZoneCd,
							AreaCd = o.AreaCd,
							LocId = o.LocId,
							LocCd = o.LocCd,
							LocDate = o.LocDate,
							LocBy = o.LocBy,
							Shop = o.Shop,
							IsBigpart = o.IsBigpart,
							IsActive = o.IsActive,</v>
      </c>
      <c r="T36" s="9" t="str">
        <f ca="1">TEXTJOIN2("
",TRUE,INDIRECT( $T$2):INDIRECT($T$3))</f>
        <v xml:space="preserve">								("CaseNo"),
								("LotNo"),
								("Grade"),
								("Model"),
								("CaseQty"),
								("ContainerNo"),
								("Renban"),
								("SupplierNo"),
								("OrderType"),
								("CasePrefix"),
								("ProdLine"),
								("PxpCaseId"),
								("ContScheduleId"),
								("Status"),
								("DevanningDate"),
								("StartDevanningDate"),
								("FinishDevanningDate"),
								("ZoneCd"),
								("AreaCd"),
								("LocId"),
								("LocCd"),
								("LocDate"),
								("LocBy"),
								("Shop"),
								("IsBigpart"),
								("IsActive"),</v>
      </c>
      <c r="V36" s="9" t="str">
        <f ca="1">TEXTJOIN2("
",TRUE,INDIRECT( $V$2):INDIRECT($V$3))</f>
        <v xml:space="preserve">								_ =&gt; _.CaseNo,
								_ =&gt; _.LotNo,
								_ =&gt; _.Grade,
								_ =&gt; _.Model,
								_ =&gt; _.CaseQty,
								_ =&gt; _.ContainerNo,
								_ =&gt; _.Renban,
								_ =&gt; _.SupplierNo,
								_ =&gt; _.OrderType,
								_ =&gt; _.CasePrefix,
								_ =&gt; _.ProdLine,
								_ =&gt; _.PxpCaseId,
								_ =&gt; _.ContScheduleId,
								_ =&gt; _.Status,
								_ =&gt; _.DevanningDate,
								_ =&gt; _.StartDevanningDate,
								_ =&gt; _.FinishDevanningDate,
								_ =&gt; _.ZoneCd,
								_ =&gt; _.AreaCd,
								_ =&gt; _.LocId,
								_ =&gt; _.LocCd,
								_ =&gt; _.LocDate,
								_ =&gt; _.LocBy,
								_ =&gt; _.Shop,
								_ =&gt; _.IsBigpart,
								_ =&gt; _.IsActive,</v>
      </c>
      <c r="W36" s="9" t="str">
        <f ca="1">TEXTJOIN2("
",TRUE,INDIRECT( $W$2):INDIRECT($W$3))</f>
        <v xml:space="preserve">				.WhereIf(!string.IsNullOrWhiteSpace(input.CaseNo), e =&gt; e.CaseNo.Contains(input.CaseNo))
				.WhereIf(!string.IsNullOrWhiteSpace(input.LotNo), e =&gt; e.LotNo.Contains(input.LotNo))
				.WhereIf(!string.IsNullOrWhiteSpace(input.Grade), e =&gt; e.Grade.Contains(input.Grade))
				.WhereIf(!string.IsNullOrWhiteSpace(input.Model), e =&gt; e.Model.Contains(input.Model))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.WhereIf(!string.IsNullOrWhiteSpace(input.OrderType), e =&gt; e.OrderType.Contains(input.OrderType))
				.WhereIf(!string.IsNullOrWhiteSpace(input.CasePrefix), e =&gt; e.CasePrefix.Contains(input.CasePrefix))
				.WhereIf(!string.IsNullOrWhiteSpace(input.ProdLine), e =&gt; e.ProdLine.Contains(input.ProdLine))
				.WhereIf(!string.IsNullOrWhiteSpace(input.Status), e =&gt; e.Status.Contains(input.Status))
				.WhereIf(input.DevanningDate.HasValue, t =&gt; t.DevanningDate == input.DevanningDate.Value)
				.WhereIf(input.StartDevanningDate.HasValue, t =&gt; t.StartDevanningDate == input.StartDevanningDate.Value)
				.WhereIf(input.FinishDevanningDate.HasValue, t =&gt; t.FinishDevanningDate == input.FinishDevanningDate.Value)
				.WhereIf(!string.IsNullOrWhiteSpace(input.ZoneCd), e =&gt; e.ZoneCd.Contains(input.ZoneCd))
				.WhereIf(!string.IsNullOrWhiteSpace(input.AreaCd), e =&gt; e.AreaCd.Contains(input.AreaCd))
				.WhereIf(!string.IsNullOrWhiteSpace(input.LocCd), e =&gt; e.LocCd.Contains(input.LocCd))
				.WhereIf(input.LocDate.HasValue, t =&gt; t.LocDate == input.LocDate.Value)
				.WhereIf(!string.IsNullOrWhiteSpace(input.LocBy), e =&gt; e.LocBy.Contains(input.LocBy))
				.WhereIf(!string.IsNullOrWhiteSpace(input.Shop), e =&gt; e.Shop.Contains(input.Shop))
				.WhereIf(!string.IsNullOrWhiteSpace(input.IsBigpart), e =&gt; e.IsBigpart.Contains(input.IsBigpart))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tabSelected="1" workbookViewId="0">
      <selection activeCell="B15" sqref="B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334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Mwh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mwh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LgwMwhCaseData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CaseData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casedata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LgwMwhCaseDataDto, LgwMwhCaseDataServiceProxy } from '@shared/service-proxies/service-proxies';
import { finalize } from 'rxjs/internal/operators/finalize';
import { CreateOrEditCaseDataModalComponent } from './create-or-edit-casedata-modal.component';
import { DatePipe } from '@angular/common';
import { FileDownloadService } from '@shared/utils/file-download.service';
import ceil from 'lodash-es/ceil';
import { Paginator } from 'primeng/paginator';
@Component({
    templateUrl: './casedata.component.html',
    styleUrls: ['./casedata.component.less'],
})
export class CaseDataComponent extends AppComponentBase implements OnInit {
    @ViewChild('createOrEditModalCaseData', { static: true }) createOrEditModalCaseData:| CreateOrEditCaseDataModalComponent|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LgwMwhCaseDataDto = new LgwMwhCaseDataDto();
    saveSelectedRow: LgwMwhCaseDataDto = new LgwMwhCaseDataDto();
    datas: LgwMwhCaseDataDto = new LgwMwhCaseDataDto();
    isLoading: boolean = false;
    dataParams: GridParams | undefined;
    rowData: any[] = [];
    gridApi!: GridApi;
    rowSelection = 'multiple';
    filter: string = '';
	pipe = new DatePipe('en-US');
	frameworkComponents: FrameworkComponent;
    caseNo : string = '' ; 
	lotNo : string = '' ; 
	grade : string = '' ; 
	model : string = '' ; 
	caseQty : number = 0 ;
containerNo : string = '' ; 
	renban : string = '' ; 
	supplierNo : string = '' ; 
	orderType : string = '' ; 
	casePrefix : string = '' ; 
prodLine : string = '' ; 
	pxpCaseId
	contScheduleId
	status : string = '' ; 
	devanningDate : any ;
startDevanningDate : any ;
	finishDevanningDate : any ;
	zoneCd : string = '' ; 
	areaCd : string = '' ; 
	locId
locCd : string = '' ; 
	locDate : any ;
	locBy : string = '' ; 
	shop : string = '' ; 
	isBigpart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LgwMwhCaseDataServiceProxy,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this.l('Case No'),headerTooltip: this.l('Case No'),field: 'caseNo',flex: 1},
			{headerName: this.l('Lot No'),headerTooltip: this.l('Lot No'),field: 'lotNo',flex: 1},
			{headerName: this.l('Grade'),headerTooltip: this.l('Grade'),field: 'grade',flex: 1},
			{headerName: this.l('Model'),headerTooltip: this.l('Model'),field: 'model',flex: 1},
			{headerName: this.l('Case Qty'),headerTooltip: this.l('Case Qty'),field: 'caseQty',flex: 1},
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this.l('Order Type'),headerTooltip: this.l('Order Type'),field: 'orderType',flex: 1},
			{headerName: this.l('Case Prefix'),headerTooltip: this.l('Case Prefix'),field: 'casePrefix',flex: 1},
			{headerName: this.l('Prod Line'),headerTooltip: this.l('Prod Line'),field: 'prodLine',flex: 1},
			{headerName: this.l('Pxp Case Id'),headerTooltip: this.l('Pxp Case Id'),field: 'pxpCaseId',flex: 1},
			{headerName: this.l('Cont Schedule Id'),headerTooltip: this.l('Cont Schedule Id'),field: 'contScheduleId',flex: 1},
			{headerName: this.l('Status'),headerTooltip: this.l('Status'),field: 'status',flex: 1},
			{headerName: this.l('Devanning Date'),headerTooltip: this.l('Devanning Date'),field: 'devanningDate',valueGetter: (params) =&gt; this.pipe.transform(params.data?.devanningDate, 'dd/MM/yyyy'),flex: 1},
			{headerName: this.l('Start Devanning Date'),headerTooltip: this.l('Start Devanning Date'),field: 'startDevanningDate',valueGetter: (params) =&gt; this.pipe.transform(params.data?.startDevanningDate, 'dd/MM/yyyy'),flex: 1},
			{headerName: this.l('Finish Devanning Date'),headerTooltip: this.l('Finish Devanning Date'),field: 'finishDevanningDate',valueGetter: (params) =&gt; this.pipe.transform(params.data?.finishDevanningDate, 'dd/MM/yyyy'),flex: 1},
			{headerName: this.l('Zone Cd'),headerTooltip: this.l('Zone Cd'),field: 'zoneCd',flex: 1},
			{headerName: this.l('Area Cd'),headerTooltip: this.l('Area Cd'),field: 'areaCd',flex: 1},
			{headerName: this.l('Loc Id'),headerTooltip: this.l('Loc Id'),field: 'locId',flex: 1},
			{headerName: this.l('Loc Cd'),headerTooltip: this.l('Loc Cd'),field: 'locCd',flex: 1},
			{headerName: this.l('Loc Date'),headerTooltip: this.l('Loc Date'),field: 'locDate',valueGetter: (params) =&gt; this.pipe.transform(params.data?.locDate, 'dd/MM/yyyy'),flex: 1},
			{headerName: this.l('Loc By'),headerTooltip: this.l('Loc By'),field: 'locBy',flex: 1},
			{headerName: this.l('Shop'),headerTooltip: this.l('Shop'),field: 'shop',flex: 1},
			{headerName: this.l('Is Bigpart'),headerTooltip: this.l('Is Bigpart'),field: 'isBigpart',flex: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this.caseNo,
			this.lotNo,
			this.grade,
			this.model,
			this.caseQty,
			this.containerNo,
			this.renban,
			this.supplierNo,
			this.orderType,
			this.casePrefix,
			this.prodLine,
			this.pxpCaseId,
			this.contScheduleId,
			this.status,
			this.devanningDate,
			this.startDevanningDate,
			this.finishDevanningDate,
			this.zoneCd,
			this.areaCd,
			this.locId,
			this.locCd,
			this.locDate,
			this.locBy,
			this.shop,
			this.isBigpart,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this.caseNo = '',
		this.lotNo = '',
		this.grade = '',
		this.model = '',
		this.caseQty = 0,
this.containerNo = '',
		this.renban = '',
		this.supplierNo = '',
		this.orderType = '',
		this.casePrefix = '',
this.prodLine = '',
		this.pxpCaseId = '',
		this.contScheduleId = '',
		this.status = '',
		this.devanningDate = '',
this.startDevanningDate = '',
		this.finishDevanningDate = '',
		this.zoneCd = '',
		this.areaCd = '',
		this.locId = '',
this.locCd = '',
		this.locDate = '',
		this.locBy = '',
		this.shop = '',
		this.isBigpart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this.caseNo,
			this.lotNo,
			this.grade,
			this.model,
			this.caseQty,
			this.containerNo,
			this.renban,
			this.supplierNo,
			this.orderType,
			this.casePrefix,
			this.prodLine,
			this.pxpCaseId,
			this.contScheduleId,
			this.status,
			this.devanningDate,
			this.startDevanningDate,
			this.finishDevanningDate,
			this.zoneCd,
			this.areaCd,
			this.locId,
			this.locCd,
			this.locDate,
			this.locBy,
			this.shop,
			this.isBigpart,
			this.isActive,
			'',
            this.paginationParams.skipCount,
            this.paginationParams.pageSize
        );
    }
    onChangeRowSelection(params: { api: { getSelectedRows: () =&gt; LgwMwhCaseDataDto[] } }) {
        this.saveSelectedRow = params.api.getSelectedRows()[0] ?? new LgwMwhCaseDataDto();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LgwMwhCaseDataDto):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this._service.getCaseDataToExcel(
			this.caseNo,
			this.lotNo,
			this.grade,
			this.model,
			this.caseQty,
			this.containerNo,
			this.renban,
			this.supplierNo,
			this.orderType,
			this.casePrefix,
			this.prodLine,
			this.pxpCaseId,
			this.contScheduleId,
			this.status,
			this.devanningDate,
			this.startDevanningDate,
			this.finishDevanningDate,
			this.zoneCd,
			this.areaCd,
			this.locId,
			this.locCd,
			this.locDate,
			this.locBy,
			this.shop,
			this.isBigpart,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Robbing Lane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[(ngModel)]='casePrefix' name='casePrefix'
									class='form-control' [placeholder]="l('Case Prefix')"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[(ngModel)]='zoneCd' name='zoneCd'
									class='form-control' [placeholder]="l('Zone Cd')"
									type='text' (keyup.enter)='searchDatas()'&gt;
								&lt;/div&gt;
								&lt;div class='input-search'&gt;
									&lt;input [(ngModel)]='areaCd' name='areaCd'
									class='form-control' [placeholder]="l('Area Cd')"
									type='text' (keyup.enter)='searchDatas()'&gt;
								&lt;/div&gt;
								&lt;div class='input-search'&gt;
									&lt;input [(ngModel)]='locCd' name='locCd'
									class='form-control' [placeholder]="l('Loc Cd')"
									type='text' (keyup.enter)='searchDatas()'&gt;
								&lt;/div&gt;
								&lt;div class='input-search'&gt;
									&lt;input type='text' [placeholder]="l('Loc Date')" [(ngModel)]='locDate' 
									name='locDate'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[(ngModel)]='locBy' name='locBy'
									class='form-control' [placeholder]="l('Loc By')"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[(ngModel)]='isBigpart' name='isBigpart'
									class='form-control' [placeholder]="l('Is Bigpart')"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(click)="createOrEditModalCaseData.show()"&gt;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(click)="createOrEditModalCaseData.show(selectedRow)"&gt;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&lt;create-or-edit-casedata-modal
    #createOrEditModalCaseData
    (modalSave)="callBackDataGrid(dataParams)"
    (modalClose)="onChangeRowSelection(dataParams)"
&gt;
&lt;/create-or-edit-casedata-modal&gt;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#createOrEditModalCaseData="bs-modal"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CaseData')}}&lt;/h3&gt;
                    &lt;h3 *ngIf="!rowdata.id"&gt;{{('Create New CaseData')}}&lt;/h3&gt;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title'&gt;Case Qty&lt;/label&gt;
						&lt;input type='number' class='col-md-10 form-control input-text' name='CaseQty' [(ngModel)]='rowdata.caseQty'&gt;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title'&gt;Order Type&lt;/label&gt;
						&lt;input type='text' class='col-md-10 form-control input-text' name='OrderType' [(ngModel)]='rowdata.orderType'&gt;
					&lt;/div&gt;
					&lt;div class='col-md-12 form-group row'&gt;
						&lt;label class='col-md-2 form-control title'&gt;Case Prefix&lt;/label&gt;
						&lt;input type='text' class='col-md-10 form-control input-text' name='CasePrefix' [(ngModel)]='rowdata.casePrefix'&gt;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
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
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
					&lt;div class='col-md-12 form-group row'&gt;
						&lt;label class='col-md-2 form-control title'&gt;Zone Cd&lt;/label&gt;
						&lt;input type='text' class='col-md-10 form-control input-text' name='ZoneCd' [(ngModel)]='rowdata.zoneCd'&gt;
					&lt;/div&gt;
					&lt;div class='col-md-12 form-group row'&gt;
						&lt;label class='col-md-2 form-control title'&gt;Area Cd&lt;/label&gt;
						&lt;input type='text' class='col-md-10 form-control input-text' name='AreaCd' [(ngModel)]='rowdata.areaCd'&gt;
					&lt;/div&gt;
					&lt;div class='col-md-12 form-group row'&gt;
						&lt;label class='col-md-2 form-control title'&gt;Loc Cd&lt;/label&gt;
						&lt;input type='text' class='col-md-10 form-control input-text' name='LocCd' [(ngModel)]='rowdata.locCd'&gt;
					&lt;/div&gt;
					&lt;div class='col-md-12 form-group row'&gt;
						&lt;label class='col-md-2 form-control title'&gt;Loc Date&lt;/label&gt;
						&lt;input type='text' class='col-md-10 form-control input-text' name='locDate' 
						#datepicker='bsDatepicker' [(ngModel)]='rowdata.locDate'  bsDatepicker &gt;
					&lt;/div&gt;
					&lt;div class='col-md-12 form-group row'&gt;
						&lt;label class='col-md-2 form-control title'&gt;Loc By&lt;/label&gt;
						&lt;input type='text' class='col-md-10 form-control input-text' name='LocBy' [(ngModel)]='rowdata.locBy'&gt;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title'&gt;Is Bigpart&lt;/label&gt;
						&lt;input type='text' class='col-md-10 form-control input-text' name='IsBigpart' [(ngModel)]='rowdata.isBigpart'&gt;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CreateOrEditLgwMwhCaseDataDto, LgwMwhCaseDataServiceProxy } from '@shared/service-proxies/service-proxies';
import { BsDatepickerDirective } from 'ngx-bootstrap/datepicker';
@Component({
    selector: 'create-or-edit-casedata-modal',
    templateUrl: './create-or-edit-casedata-modal.component.html',
    styleUrls: ['./create-or-edit-casedata-modal.component.less']
    })
export class CreateOrEditCaseDataModalComponent extends AppComponentBase {
    @ViewChild('createOrEditModalCaseData',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CreateOrEditLgwMwhCaseDataDto = new CreateOrEditLgwMwhCaseDataDto();
    active: boolean = false;
    saving: boolean = false;
    _isActive: boolean;
    constructor(
        injector: Injector,
        private _mstwptCaseDataService: LgwMwhCaseDataServiceProxy,
    ) 
    {
        super(injector);
    }
    show(rowdata?: CreateOrEditLgwMwhCaseDataDto): void {
        if (!rowdata) this.rowdata = new CreateOrEditLgwMwhCaseDataDto();
        else this.rowdata = rowdata;
		const dateValue =  this.rowdata.devanningDate ? new Date(this.rowdata.devanningDate?.toString()) : new Date();
		this.datepicker?.bsValueChange.emit(dateValue);
		const dateValue =  this.rowdata.startDevanningDate ? new Date(this.rowdata.startDevanningDate?.toString()) : new Date();
		this.datepicker?.bsValueChange.emit(dateValue);
		const dateValue =  this.rowdata.finishDevanningDate ? new Date(this.rowdata.finishDevanningDate?.toString()) : new Date();
		this.datepicker?.bsValueChange.emit(dateValue);
		const dateValue =  this.rowdata.locDate ? new Date(this.rowdata.locDate?.toString())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this._mstwptCaseDataService.createOrEdit(this.rowdata)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CaseDataRoutingModule } from './casedata-routing.module';
import { CaseDataComponent } from './casedata.component';
import { CreateOrEditCaseDataModalComponent } from './create-or-edit-casedata-modal.component';
@NgModule({
    declarations: [
       CaseDataComponent, 
        CreateOrEditCaseDataModalComponent
    ],
    imports: [
        AppSharedModule, CaseDataRoutingModule]
})
export class CaseDataModule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CaseDataComponent } from './casedata.component';
const routes: Routes = [{
    path: '',
    component: CaseDataComponent,
    pathMatch: 'full'
}];
@NgModule({
    imports: [RouterModule.forChild(routes)],
    exports: [RouterModule],
})
export class CaseDataRoutingModule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AppMenuItem("CaseData", "Pages.LogW.Mwh.CaseData", "flaticon-book",   "/app/main/logw/mwh/casedata"),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'logw/mwh/casedata',
    loadChildren: () =&gt; import('./logw/mwh/casedata/casedata.module').then(m =&gt; m.CaseDataModule),
    data: { permission: 'Pages.LogW.Mwh.CaseData' }
},</v>
      </c>
      <c r="R10" s="50" t="str">
        <f>SUBSTITUTE(R9,"MstWptCalendar",$B$6)</f>
        <v>ApiServiceProxies.LgwMwhCaseDataServiceProxy,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H40</v>
      </c>
      <c r="I12" s="31" t="str">
        <f>"I"&amp;COUNTA($A:$A)</f>
        <v>I40</v>
      </c>
      <c r="J12" s="31"/>
      <c r="K12" s="31" t="str">
        <f>"K"&amp;COUNTA($A:$A)</f>
        <v>K40</v>
      </c>
      <c r="L12" s="31" t="str">
        <f>"L"&amp;COUNTA($A:$A)</f>
        <v>L40</v>
      </c>
      <c r="M12" s="31"/>
      <c r="N12" s="31"/>
      <c r="O12" s="31"/>
      <c r="P12" s="31"/>
      <c r="Q12" s="31"/>
      <c r="R12" s="31"/>
      <c r="S12" s="31" t="str">
        <f>"S"&amp;COUNTA($A:$A)</f>
        <v>S40</v>
      </c>
      <c r="T12" s="31" t="str">
        <f>"T"&amp;COUNTA($A:$A)</f>
        <v>T40</v>
      </c>
      <c r="U12" s="31" t="str">
        <f>"U"&amp;COUNTA($A:$A)</f>
        <v>U40</v>
      </c>
      <c r="V12" s="31" t="str">
        <f>"V"&amp;COUNTA($A:$A)</f>
        <v>V40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this.l('Case No'),headerTooltip: this.l('Case No'),field: 'caseNo',flex: 1},
			{headerName: this.l('Lot No'),headerTooltip: this.l('Lot No'),field: 'lotNo',flex: 1},
			{headerName: this.l('Grade'),headerTooltip: this.l('Grade'),field: 'grade',flex: 1},
			{headerName: this.l('Model'),headerTooltip: this.l('Model'),field: 'model',flex: 1},
			{headerName: this.l('Case Qty'),headerTooltip: this.l('Case Qty'),field: 'caseQty',flex: 1},
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this.l('Order Type'),headerTooltip: this.l('Order Type'),field: 'orderType',flex: 1},
			{headerName: this.l('Case Prefix'),headerTooltip: this.l('Case Prefix'),field: 'casePrefix',flex: 1},
			{headerName: this.l('Prod Line'),headerTooltip: this.l('Prod Line'),field: 'prodLine',flex: 1},
			{headerName: this.l('Pxp Case Id'),headerTooltip: this.l('Pxp Case Id'),field: 'pxpCaseId',flex: 1},
			{headerName: this.l('Cont Schedule Id'),headerTooltip: this.l('Cont Schedule Id'),field: 'contScheduleId',flex: 1},
			{headerName: this.l('Status'),headerTooltip: this.l('Status'),field: 'status',flex: 1},
			{headerName: this.l('Devanning Date'),headerTooltip: this.l('Devanning Date'),field: 'devanningDate',valueGetter: (params) =&gt; this.pipe.transform(params.data?.devanningDate, 'dd/MM/yyyy'),flex: 1},
			{headerName: this.l('Start Devanning Date'),headerTooltip: this.l('Start Devanning Date'),field: 'startDevanningDate',valueGetter: (params) =&gt; this.pipe.transform(params.data?.startDevanningDate, 'dd/MM/yyyy'),flex: 1},
			{headerName: this.l('Finish Devanning Date'),headerTooltip: this.l('Finish Devanning Date'),field: 'finishDevanningDate',valueGetter: (params) =&gt; this.pipe.transform(params.data?.finishDevanningDate, 'dd/MM/yyyy'),flex: 1},
			{headerName: this.l('Zone Cd'),headerTooltip: this.l('Zone Cd'),field: 'zoneCd',flex: 1},
			{headerName: this.l('Area Cd'),headerTooltip: this.l('Area Cd'),field: 'areaCd',flex: 1},
			{headerName: this.l('Loc Id'),headerTooltip: this.l('Loc Id'),field: 'locId',flex: 1},
			{headerName: this.l('Loc Cd'),headerTooltip: this.l('Loc Cd'),field: 'locCd',flex: 1},
			{headerName: this.l('Loc Date'),headerTooltip: this.l('Loc Date'),field: 'locDate',valueGetter: (params) =&gt; this.pipe.transform(params.data?.locDate, 'dd/MM/yyyy'),flex: 1},
			{headerName: this.l('Loc By'),headerTooltip: this.l('Loc By'),field: 'locBy',flex: 1},
			{headerName: this.l('Shop'),headerTooltip: this.l('Shop'),field: 'shop',flex: 1},
			{headerName: this.l('Is Bigpart'),headerTooltip: this.l('Is Bigpart'),field: 'isBigpart',flex: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[(ngModel)]='casePrefix' name='casePrefix'
									class='form-control' [placeholder]="l('Case Prefix')"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[(ngModel)]='zoneCd' name='zoneCd'
									class='form-control' [placeholder]="l('Zone Cd')"
									type='text' (keyup.enter)='searchDatas()'&gt;
								&lt;/div&gt;
								&lt;div class='input-search'&gt;
									&lt;input [(ngModel)]='areaCd' name='areaCd'
									class='form-control' [placeholder]="l('Area Cd')"
									type='text' (keyup.enter)='searchDatas()'&gt;
								&lt;/div&gt;
								&lt;div class='input-search'&gt;
									&lt;input [(ngModel)]='locCd' name='locCd'
									class='form-control' [placeholder]="l('Loc Cd')"
									type='text' (keyup.enter)='searchDatas()'&gt;
								&lt;/div&gt;
								&lt;div class='input-search'&gt;
									&lt;input type='text' [placeholder]="l('Loc Date')" [(ngModel)]='locDate' 
									name='locDate'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[(ngModel)]='locBy' name='locBy'
									class='form-control' [placeholder]="l('Loc By')"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[(ngModel)]='isBigpart' name='isBigpart'
									class='form-control' [placeholder]="l('Is Bigpart')"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title'&gt;Case Qty&lt;/label&gt;
						&lt;input type='number' class='col-md-10 form-control input-text' name='CaseQty' [(ngModel)]='rowdata.caseQty'&gt;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title'&gt;Order Type&lt;/label&gt;
						&lt;input type='text' class='col-md-10 form-control input-text' name='OrderType' [(ngModel)]='rowdata.orderType'&gt;
					&lt;/div&gt;
					&lt;div class='col-md-12 form-group row'&gt;
						&lt;label class='col-md-2 form-control title'&gt;Case Prefix&lt;/label&gt;
						&lt;input type='text' class='col-md-10 form-control input-text' name='CasePrefix' [(ngModel)]='rowdata.casePrefix'&gt;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
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
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
					&lt;div class='col-md-12 form-group row'&gt;
						&lt;label class='col-md-2 form-control title'&gt;Zone Cd&lt;/label&gt;
						&lt;input type='text' class='col-md-10 form-control input-text' name='ZoneCd' [(ngModel)]='rowdata.zoneCd'&gt;
					&lt;/div&gt;
					&lt;div class='col-md-12 form-group row'&gt;
						&lt;label class='col-md-2 form-control title'&gt;Area Cd&lt;/label&gt;
						&lt;input type='text' class='col-md-10 form-control input-text' name='AreaCd' [(ngModel)]='rowdata.areaCd'&gt;
					&lt;/div&gt;
					&lt;div class='col-md-12 form-group row'&gt;
						&lt;label class='col-md-2 form-control title'&gt;Loc Cd&lt;/label&gt;
						&lt;input type='text' class='col-md-10 form-control input-text' name='LocCd' [(ngModel)]='rowdata.locCd'&gt;
					&lt;/div&gt;
					&lt;div class='col-md-12 form-group row'&gt;
						&lt;label class='col-md-2 form-control title'&gt;Loc Date&lt;/label&gt;
						&lt;input type='text' class='col-md-10 form-control input-text' name='locDate' 
						#datepicker='bsDatepicker' [(ngModel)]='rowdata.locDate'  bsDatepicker &gt;
					&lt;/div&gt;
					&lt;div class='col-md-12 form-group row'&gt;
						&lt;label class='col-md-2 form-control title'&gt;Loc By&lt;/label&gt;
						&lt;input type='text' class='col-md-10 form-control input-text' name='LocBy' [(ngModel)]='rowdata.locBy'&gt;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title'&gt;Is Bigpart&lt;/label&gt;
						&lt;input type='text' class='col-md-10 form-control input-text' name='IsBigpart' [(ngModel)]='rowdata.isBigpart'&gt;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this.rowdata.devanningDate ? new Date(this.rowdata.devanningDate?.toString()) : new Date();
		this.datepicker?.bsValueChange.emit(dateValue);
		const dateValue =  this.rowdata.startDevanningDate ? new Date(this.rowdata.startDevanningDate?.toString()) : new Date();
		this.datepicker?.bsValueChange.emit(dateValue);
		const dateValue =  this.rowdata.finishDevanningDate ? new Date(this.rowdata.finishDevanningDate?.toString()) : new Date();
		this.datepicker?.bsValueChange.emit(dateValue);
		const dateValue =  this.rowdata.locDate ? new Date(this.rowdata.locDate?.toString())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caseNo : string = '' ; 
	lotNo : string = '' ; 
	grade : string = '' ; 
	model : string = '' ; 
	caseQty : number = 0 ;
containerNo : string = '' ; 
	renban : string = '' ; 
	supplierNo : string = '' ; 
	orderType : string = '' ; 
	casePrefix : string = '' ; 
prodLine : string = '' ; 
	pxpCaseId
	contScheduleId
	status : string = '' ; 
	devanningDate : any ;
startDevanningDate : any ;
	finishDevanningDate : any ;
	zoneCd : string = '' ; 
	areaCd : string = '' ; 
	locId
locCd : string = '' ; 
	locDate : any ;
	locBy : string = '' ; 
	shop : string = '' ; 
	isBigpart : string = '' ; 
	isActive : string = '' ; </v>
      </c>
      <c r="T13" s="68" t="str">
        <f ca="1">TEXTJOIN2("
",TRUE,INDIRECT(T11):INDIRECT(T12))</f>
        <v xml:space="preserve">			this.caseNo,
			this.lotNo,
			this.grade,
			this.model,
			this.caseQty,
			this.containerNo,
			this.renban,
			this.supplierNo,
			this.orderType,
			this.casePrefix,
			this.prodLine,
			this.pxpCaseId,
			this.contScheduleId,
			this.status,
			this.devanningDate,
			this.startDevanningDate,
			this.finishDevanningDate,
			this.zoneCd,
			this.areaCd,
			this.locId,
			this.locCd,
			this.locDate,
			this.locBy,
			this.shop,
			this.isBigpart,
			this.isActive,</v>
      </c>
      <c r="U13" s="68" t="str">
        <f ca="1">TEXTJOIN2("
",TRUE,INDIRECT(U11):INDIRECT(U12))</f>
        <v>this.caseNo = '',
		this.lotNo = '',
		this.grade = '',
		this.model = '',
		this.caseQty = 0,
this.containerNo = '',
		this.renban = '',
		this.supplierNo = '',
		this.orderType = '',
		this.casePrefix = '',
this.prodLine = '',
		this.pxpCaseId = '',
		this.contScheduleId = '',
		this.status = '',
		this.devanningDate = '',
this.startDevanningDate = '',
		this.finishDevanningDate = '',
		this.zoneCd = '',
		this.areaCd = '',
		this.locId = '',
this.locCd = '',
		this.locDate = '',
		this.locBy = '',
		this.shop = '',
		this.isBigpart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casedata.component.ts</v>
      </c>
      <c r="I14" s="40" t="str">
        <f>B8&amp;".component.html"</f>
        <v>casedata.component.html</v>
      </c>
      <c r="J14" s="39" t="str">
        <f>B8&amp;".component.less"</f>
        <v>casedata.component.less</v>
      </c>
      <c r="K14" s="40" t="str">
        <f>"create-or-edit-"&amp;B8&amp;"-modal.component.html"</f>
        <v>create-or-edit-casedata-modal.component.html</v>
      </c>
      <c r="L14" s="40" t="str">
        <f>"create-or-edit-"&amp;B8&amp;"-modal.component.ts"</f>
        <v>create-or-edit-casedata-modal.component.ts</v>
      </c>
      <c r="M14" s="40" t="str">
        <f>"create-or-edit-"&amp;B8&amp;"-modal.component.less"</f>
        <v>create-or-edit-casedata-modal.component.less</v>
      </c>
      <c r="N14" s="40" t="str">
        <f>B8&amp;".module.ts"</f>
        <v>casedata.module.ts</v>
      </c>
      <c r="O14" s="40" t="str">
        <f>B8&amp;"-routing.module.ts"</f>
        <v>casedata-routing.module.ts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307</v>
      </c>
      <c r="B15" s="31" t="str">
        <f>SUBSTITUTE(PROPER(A15),"_","")</f>
        <v>CaseNo</v>
      </c>
      <c r="C15" s="31" t="str">
        <f>SUBSTITUTE(PROPER(A15),"_"," ")</f>
        <v>Case No</v>
      </c>
      <c r="D15" s="31" t="str">
        <f>LOWER(LEFT(B15,1))&amp;RIGHT(B15,LEN(B15) - 1)</f>
        <v>caseNo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this.l('Case No'),headerTooltip: this.l('Case No'),field: 'caseNo',flex: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caseNo : string = '' ; </v>
      </c>
      <c r="T15" s="31" t="str">
        <f>REPT(CHAR(9),3)&amp;"this."&amp;D15&amp;","</f>
        <v xml:space="preserve">			this.caseNo,</v>
      </c>
      <c r="U15" s="31" t="str">
        <f>IF(E15="int","this."&amp;D15&amp;" = 0,","this."&amp;D15&amp;" = '',")</f>
        <v>this.caseNo = '',</v>
      </c>
      <c r="V15" s="31" t="str">
        <f>IF(AND(E15="string",F15="1"),D15,"")</f>
        <v/>
      </c>
    </row>
    <row r="16" spans="1:22" ht="15" customHeight="1" x14ac:dyDescent="0.25">
      <c r="A16" s="44" t="s">
        <v>308</v>
      </c>
      <c r="B16" s="31" t="str">
        <f t="shared" ref="B16:B17" si="0">SUBSTITUTE(PROPER(A16),"_","")</f>
        <v>LotNo</v>
      </c>
      <c r="C16" s="31" t="str">
        <f t="shared" ref="C16:C17" si="1">SUBSTITUTE(PROPER(A16),"_"," ")</f>
        <v>Lot No</v>
      </c>
      <c r="D16" s="31" t="str">
        <f t="shared" ref="D16:D17" si="2">LOWER(LEFT(B16,1))&amp;RIGHT(B16,LEN(B16) - 1)</f>
        <v>lotNo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this.l('Lot No'),headerTooltip: this.l('Lot No'),field: 'lotNo',flex: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lotNo : string = '' ; </v>
      </c>
      <c r="T16" s="31" t="str">
        <f>REPT(CHAR(9),3)&amp;"this."&amp;D16&amp;","</f>
        <v xml:space="preserve">			this.lotNo,</v>
      </c>
      <c r="U16" s="31" t="str">
        <f>IF(E16="int",REPT(CHAR(9),2)&amp;"this."&amp;D16&amp;" = 0,",REPT(CHAR(9),2)&amp;"this."&amp;D16&amp;" = '',")</f>
        <v xml:space="preserve">		this.lotNo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309</v>
      </c>
      <c r="B17" s="31" t="str">
        <f t="shared" si="0"/>
        <v>Grade</v>
      </c>
      <c r="C17" s="31" t="str">
        <f t="shared" si="1"/>
        <v>Grade</v>
      </c>
      <c r="D17" s="31" t="str">
        <f t="shared" si="2"/>
        <v>grade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this.l('Grade'),headerTooltip: this.l('Grade'),field: 'grade',flex: 1},</v>
      </c>
      <c r="I17" s="38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grade : string = '' ; </v>
      </c>
      <c r="T17" s="31" t="str">
        <f t="shared" ref="T17:T19" si="10">REPT(CHAR(9),3)&amp;"this."&amp;D17&amp;","</f>
        <v xml:space="preserve">			this.grade,</v>
      </c>
      <c r="U17" s="31" t="str">
        <f t="shared" ref="U17:U19" si="11">IF(E17="int",REPT(CHAR(9),2)&amp;"this."&amp;D17&amp;" = 0,",REPT(CHAR(9),2)&amp;"this."&amp;D17&amp;" = '',")</f>
        <v xml:space="preserve">		this.grade = '',</v>
      </c>
      <c r="V17" s="31" t="str">
        <f t="shared" si="8"/>
        <v/>
      </c>
    </row>
    <row r="18" spans="1:22" ht="18" customHeight="1" x14ac:dyDescent="0.25">
      <c r="A18" s="44" t="s">
        <v>310</v>
      </c>
      <c r="B18" s="31" t="str">
        <f>SUBSTITUTE(PROPER(A18),"_","")</f>
        <v>Model</v>
      </c>
      <c r="C18" s="31" t="str">
        <f>SUBSTITUTE(PROPER(A18),"_"," ")</f>
        <v>Model</v>
      </c>
      <c r="D18" s="31" t="str">
        <f>LOWER(LEFT(B18,1))&amp;RIGHT(B18,LEN(B18) - 1)</f>
        <v>model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this.l('Model'),headerTooltip: this.l('Model'),field: 'model',flex: 1},</v>
      </c>
      <c r="I18" s="38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model : string = '' ; </v>
      </c>
      <c r="T18" s="31" t="str">
        <f t="shared" si="10"/>
        <v xml:space="preserve">			this.model,</v>
      </c>
      <c r="U18" s="31" t="str">
        <f t="shared" si="11"/>
        <v xml:space="preserve">		this.model = '',</v>
      </c>
      <c r="V18" s="31" t="str">
        <f t="shared" si="8"/>
        <v/>
      </c>
    </row>
    <row r="19" spans="1:22" ht="15" customHeight="1" x14ac:dyDescent="0.25">
      <c r="A19" s="44" t="s">
        <v>311</v>
      </c>
      <c r="B19" s="31" t="str">
        <f t="shared" ref="B19" si="12">SUBSTITUTE(PROPER(A19),"_","")</f>
        <v>CaseQty</v>
      </c>
      <c r="C19" s="31" t="str">
        <f t="shared" ref="C19" si="13">SUBSTITUTE(PROPER(A19),"_"," ")</f>
        <v>Case Qty</v>
      </c>
      <c r="D19" s="31" t="str">
        <f t="shared" ref="D19" si="14">LOWER(LEFT(B19,1))&amp;RIGHT(B19,LEN(B19) - 1)</f>
        <v>caseQty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this.l('Case Qty'),headerTooltip: this.l('Case Qty'),field: 'caseQty',flex: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title'&gt;Case Qty&lt;/label&gt;
						&lt;input type='number' class='col-md-10 form-control input-text' name='CaseQty' [(ngModel)]='rowdata.caseQty'&gt;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caseQty : number = 0 ;</v>
      </c>
      <c r="T19" s="31" t="str">
        <f t="shared" si="10"/>
        <v xml:space="preserve">			this.caseQty,</v>
      </c>
      <c r="U19" s="31" t="str">
        <f t="shared" si="11"/>
        <v xml:space="preserve">		this.caseQty = 0,</v>
      </c>
      <c r="V19" s="31" t="str">
        <f t="shared" si="8"/>
        <v/>
      </c>
    </row>
    <row r="20" spans="1:22" ht="18" customHeight="1" x14ac:dyDescent="0.25">
      <c r="A20" s="44" t="s">
        <v>312</v>
      </c>
      <c r="B20" s="31" t="str">
        <f>SUBSTITUTE(PROPER(A20),"_","")</f>
        <v>ContainerNo</v>
      </c>
      <c r="C20" s="31" t="str">
        <f>SUBSTITUTE(PROPER(A20),"_"," ")</f>
        <v>Container No</v>
      </c>
      <c r="D20" s="31" t="str">
        <f>LOWER(LEFT(B20,1))&amp;RIGHT(B20,LEN(B20) - 1)</f>
        <v>containerNo</v>
      </c>
      <c r="E20" s="31" t="str">
        <f>A.Backend!H14</f>
        <v>string</v>
      </c>
      <c r="F20" s="31" t="str">
        <f>A.Backend!G14</f>
        <v>50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this.l('Container No'),headerTooltip: this.l('Container No'),field: 'containerNo',flex: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containerNo : string = '' ; </v>
      </c>
      <c r="T20" s="31" t="str">
        <f>REPT(CHAR(9),3)&amp;"this."&amp;D20&amp;","</f>
        <v xml:space="preserve">			this.containerNo,</v>
      </c>
      <c r="U20" s="31" t="str">
        <f>IF(E20="int","this."&amp;D20&amp;" = 0,","this."&amp;D20&amp;" = '',")</f>
        <v>this.containerNo = '',</v>
      </c>
      <c r="V20" s="31" t="str">
        <f>IF(AND(E20="string",F20="1"),D20,"")</f>
        <v/>
      </c>
    </row>
    <row r="21" spans="1:22" ht="15" customHeight="1" x14ac:dyDescent="0.25">
      <c r="A21" s="44" t="s">
        <v>305</v>
      </c>
      <c r="B21" s="31" t="str">
        <f t="shared" ref="B21:B22" si="15">SUBSTITUTE(PROPER(A21),"_","")</f>
        <v>Renban</v>
      </c>
      <c r="C21" s="31" t="str">
        <f t="shared" ref="C21:C22" si="16">SUBSTITUTE(PROPER(A21),"_"," ")</f>
        <v>Renban</v>
      </c>
      <c r="D21" s="31" t="str">
        <f t="shared" ref="D21:D22" si="17">LOWER(LEFT(B21,1))&amp;RIGHT(B21,LEN(B21) - 1)</f>
        <v>renban</v>
      </c>
      <c r="E21" s="31" t="str">
        <f>A.Backend!H15</f>
        <v>string</v>
      </c>
      <c r="F21" s="31" t="str">
        <f>A.Backend!G15</f>
        <v>50</v>
      </c>
      <c r="G21" s="31" t="str">
        <f t="shared" ref="G21:G24" si="18">IF(E21="string"," : string = '' ; ",IF(OR(E21="DateTime",E21="TimeSpan")," : any ;",IF(E21="int"," : number = 0 ;","")))</f>
        <v xml:space="preserve"> : string = '' ; </v>
      </c>
      <c r="H21" s="38" t="str">
        <f t="shared" ref="H21:H24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this.l('Renban'),headerTooltip: this.l('Renban'),field: 'renban',flex: 1},</v>
      </c>
      <c r="I21" s="38" t="str">
        <f t="shared" ref="I21:I24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21" s="31"/>
      <c r="K21" s="38" t="str">
        <f t="shared" ref="K21:K24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21" s="60" t="str">
        <f t="shared" ref="L21:L24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renban : string = '' ; </v>
      </c>
      <c r="T21" s="31" t="str">
        <f>REPT(CHAR(9),3)&amp;"this."&amp;D21&amp;","</f>
        <v xml:space="preserve">			this.renban,</v>
      </c>
      <c r="U21" s="31" t="str">
        <f>IF(E21="int",REPT(CHAR(9),2)&amp;"this."&amp;D21&amp;" = 0,",REPT(CHAR(9),2)&amp;"this."&amp;D21&amp;" = '',")</f>
        <v xml:space="preserve">		this.renban = '',</v>
      </c>
      <c r="V21" s="31" t="str">
        <f t="shared" ref="V21:V24" si="23">IF(AND(E21="string",F21="1"),D21,"")</f>
        <v/>
      </c>
    </row>
    <row r="22" spans="1:22" ht="18" customHeight="1" x14ac:dyDescent="0.25">
      <c r="A22" s="44" t="s">
        <v>301</v>
      </c>
      <c r="B22" s="31" t="str">
        <f t="shared" si="15"/>
        <v>SupplierNo</v>
      </c>
      <c r="C22" s="31" t="str">
        <f t="shared" si="16"/>
        <v>Supplier No</v>
      </c>
      <c r="D22" s="31" t="str">
        <f t="shared" si="17"/>
        <v>supplierNo</v>
      </c>
      <c r="E22" s="31" t="str">
        <f>A.Backend!H16</f>
        <v>string</v>
      </c>
      <c r="F22" s="31" t="str">
        <f>A.Backend!G16</f>
        <v>50</v>
      </c>
      <c r="G22" s="31" t="str">
        <f t="shared" si="18"/>
        <v xml:space="preserve"> : string = '' ; </v>
      </c>
      <c r="H22" s="38" t="str">
        <f t="shared" si="19"/>
        <v xml:space="preserve">			{headerName: this.l('Supplier No'),headerTooltip: this.l('Supplier No'),field: 'supplierNo',flex: 1},</v>
      </c>
      <c r="I22" s="38" t="str">
        <f t="shared" si="20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4" si="24">REPT(CHAR(9),1)&amp;D22&amp;G22</f>
        <v xml:space="preserve">	supplierNo : string = '' ; </v>
      </c>
      <c r="T22" s="31" t="str">
        <f t="shared" ref="T22:T24" si="25">REPT(CHAR(9),3)&amp;"this."&amp;D22&amp;","</f>
        <v xml:space="preserve">			this.supplierNo,</v>
      </c>
      <c r="U22" s="31" t="str">
        <f t="shared" ref="U22:U24" si="26">IF(E22="int",REPT(CHAR(9),2)&amp;"this."&amp;D22&amp;" = 0,",REPT(CHAR(9),2)&amp;"this."&amp;D22&amp;" = '',")</f>
        <v xml:space="preserve">		this.supplierNo = '',</v>
      </c>
      <c r="V22" s="31" t="str">
        <f t="shared" si="23"/>
        <v/>
      </c>
    </row>
    <row r="23" spans="1:22" ht="18" customHeight="1" x14ac:dyDescent="0.25">
      <c r="A23" s="44" t="s">
        <v>313</v>
      </c>
      <c r="B23" s="31" t="str">
        <f>SUBSTITUTE(PROPER(A23),"_","")</f>
        <v>OrderType</v>
      </c>
      <c r="C23" s="31" t="str">
        <f>SUBSTITUTE(PROPER(A23),"_"," ")</f>
        <v>Order Type</v>
      </c>
      <c r="D23" s="31" t="str">
        <f>LOWER(LEFT(B23,1))&amp;RIGHT(B23,LEN(B23) - 1)</f>
        <v>orderType</v>
      </c>
      <c r="E23" s="31" t="str">
        <f>A.Backend!H17</f>
        <v>string</v>
      </c>
      <c r="F23" s="31" t="str">
        <f>A.Backend!G17</f>
        <v>50</v>
      </c>
      <c r="G23" s="31" t="str">
        <f t="shared" si="18"/>
        <v xml:space="preserve"> : string = '' ; </v>
      </c>
      <c r="H23" s="38" t="str">
        <f t="shared" si="19"/>
        <v xml:space="preserve">			{headerName: this.l('Order Type'),headerTooltip: this.l('Order Type'),field: 'orderType',flex: 1},</v>
      </c>
      <c r="I23" s="38" t="str">
        <f t="shared" si="20"/>
        <v xml:space="preserve">								&lt;div class='input-search'&gt;
									&lt;input [(ngModel)]='orderType' name='orderType'
									class='form-control' [placeholder]="l('Order Type')"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title'&gt;Order Type&lt;/label&gt;
						&lt;input type='text' class='col-md-10 form-control input-text' name='OrderType' [(ngModel)]='rowdata.orderType'&gt;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orderType : string = '' ; </v>
      </c>
      <c r="T23" s="31" t="str">
        <f t="shared" si="25"/>
        <v xml:space="preserve">			this.orderType,</v>
      </c>
      <c r="U23" s="31" t="str">
        <f t="shared" si="26"/>
        <v xml:space="preserve">		this.orderType = '',</v>
      </c>
      <c r="V23" s="31" t="str">
        <f t="shared" si="23"/>
        <v/>
      </c>
    </row>
    <row r="24" spans="1:22" ht="15" customHeight="1" x14ac:dyDescent="0.25">
      <c r="A24" s="44" t="s">
        <v>314</v>
      </c>
      <c r="B24" s="31" t="str">
        <f t="shared" ref="B24" si="27">SUBSTITUTE(PROPER(A24),"_","")</f>
        <v>CasePrefix</v>
      </c>
      <c r="C24" s="31" t="str">
        <f t="shared" ref="C24" si="28">SUBSTITUTE(PROPER(A24),"_"," ")</f>
        <v>Case Prefix</v>
      </c>
      <c r="D24" s="31" t="str">
        <f t="shared" ref="D24" si="29">LOWER(LEFT(B24,1))&amp;RIGHT(B24,LEN(B24) - 1)</f>
        <v>casePrefix</v>
      </c>
      <c r="E24" s="31" t="str">
        <f>A.Backend!H18</f>
        <v>string</v>
      </c>
      <c r="F24" s="31" t="str">
        <f>A.Backend!G18</f>
        <v>50</v>
      </c>
      <c r="G24" s="31" t="str">
        <f t="shared" si="18"/>
        <v xml:space="preserve"> : string = '' ; </v>
      </c>
      <c r="H24" s="38" t="str">
        <f t="shared" si="19"/>
        <v xml:space="preserve">			{headerName: this.l('Case Prefix'),headerTooltip: this.l('Case Prefix'),field: 'casePrefix',flex: 1},</v>
      </c>
      <c r="I24" s="38" t="str">
        <f t="shared" si="20"/>
        <v xml:space="preserve">								&lt;div class='input-search'&gt;
									&lt;input [(ngModel)]='casePrefix' name='casePrefix'
									class='form-control' [placeholder]="l('Case Prefix')"
									type='text' (keyup.enter)='searchDatas()'&gt;
								&lt;/div&gt;</v>
      </c>
      <c r="J24" s="31"/>
      <c r="K24" s="38" t="str">
        <f t="shared" si="21"/>
        <v xml:space="preserve">					&lt;div class='col-md-12 form-group row'&gt;
						&lt;label class='col-md-2 form-control title'&gt;Case Prefix&lt;/label&gt;
						&lt;input type='text' class='col-md-10 form-control input-text' name='CasePrefix' [(ngModel)]='rowdata.casePrefix'&gt;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4"/>
        <v xml:space="preserve">	casePrefix : string = '' ; </v>
      </c>
      <c r="T24" s="31" t="str">
        <f t="shared" si="25"/>
        <v xml:space="preserve">			this.casePrefix,</v>
      </c>
      <c r="U24" s="31" t="str">
        <f t="shared" si="26"/>
        <v xml:space="preserve">		this.casePrefix = '',</v>
      </c>
      <c r="V24" s="31" t="str">
        <f t="shared" si="23"/>
        <v/>
      </c>
    </row>
    <row r="25" spans="1:22" ht="18" customHeight="1" x14ac:dyDescent="0.25">
      <c r="A25" s="44" t="s">
        <v>315</v>
      </c>
      <c r="B25" s="31" t="str">
        <f>SUBSTITUTE(PROPER(A25),"_","")</f>
        <v>ProdLine</v>
      </c>
      <c r="C25" s="31" t="str">
        <f>SUBSTITUTE(PROPER(A25),"_"," ")</f>
        <v>Prod Line</v>
      </c>
      <c r="D25" s="31" t="str">
        <f>LOWER(LEFT(B25,1))&amp;RIGHT(B25,LEN(B25) - 1)</f>
        <v>prodLine</v>
      </c>
      <c r="E25" s="31" t="str">
        <f>A.Backend!H19</f>
        <v>string</v>
      </c>
      <c r="F25" s="31" t="str">
        <f>A.Backend!G19</f>
        <v>50</v>
      </c>
      <c r="G25" s="31" t="str">
        <f>IF(E25="string"," : string = '' ; ",IF(OR(E25="DateTime",E25="TimeSpan")," : any ;",IF(E25="int"," : number = 0 ;","")))</f>
        <v xml:space="preserve"> : string = '' ; 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this.l('Prod Line'),headerTooltip: this.l('Prod Line'),field: 'prodLine',flex: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 xml:space="preserve">prodLine : string = '' ; </v>
      </c>
      <c r="T25" s="31" t="str">
        <f>REPT(CHAR(9),3)&amp;"this."&amp;D25&amp;","</f>
        <v xml:space="preserve">			this.prodLine,</v>
      </c>
      <c r="U25" s="31" t="str">
        <f>IF(E25="int","this."&amp;D25&amp;" = 0,","this."&amp;D25&amp;" = '',")</f>
        <v>this.prodLine = '',</v>
      </c>
      <c r="V25" s="31" t="str">
        <f>IF(AND(E25="string",F25="1"),D25,"")</f>
        <v/>
      </c>
    </row>
    <row r="26" spans="1:22" ht="15" customHeight="1" x14ac:dyDescent="0.25">
      <c r="A26" s="44" t="s">
        <v>316</v>
      </c>
      <c r="B26" s="31" t="str">
        <f t="shared" ref="B26:B27" si="30">SUBSTITUTE(PROPER(A26),"_","")</f>
        <v>PxpCaseId</v>
      </c>
      <c r="C26" s="31" t="str">
        <f t="shared" ref="C26:C27" si="31">SUBSTITUTE(PROPER(A26),"_"," ")</f>
        <v>Pxp Case Id</v>
      </c>
      <c r="D26" s="31" t="str">
        <f t="shared" ref="D26:D27" si="32">LOWER(LEFT(B26,1))&amp;RIGHT(B26,LEN(B26) - 1)</f>
        <v>pxpCaseId</v>
      </c>
      <c r="E26" s="31" t="str">
        <f>A.Backend!H20</f>
        <v>long</v>
      </c>
      <c r="F26" s="31" t="str">
        <f>A.Backend!G20</f>
        <v/>
      </c>
      <c r="G26" s="31" t="str">
        <f t="shared" ref="G26:G29" si="33">IF(E26="string"," : string = '' ; ",IF(OR(E26="DateTime",E26="TimeSpan")," : any ;",IF(E26="int"," : number = 0 ;","")))</f>
        <v/>
      </c>
      <c r="H26" s="38" t="str">
        <f t="shared" ref="H26:H29" si="34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this.l('Pxp Case Id'),headerTooltip: this.l('Pxp Case Id'),field: 'pxpCaseId',flex: 1},</v>
      </c>
      <c r="I26" s="38" t="str">
        <f t="shared" ref="I26:I29" si="35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31"/>
      <c r="K26" s="38" t="str">
        <f t="shared" ref="K26:K29" si="36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/>
      </c>
      <c r="L26" s="60" t="str">
        <f t="shared" ref="L26:L29" si="37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pxpCaseId</v>
      </c>
      <c r="T26" s="31" t="str">
        <f>REPT(CHAR(9),3)&amp;"this."&amp;D26&amp;","</f>
        <v xml:space="preserve">			this.pxpCaseId,</v>
      </c>
      <c r="U26" s="31" t="str">
        <f>IF(E26="int",REPT(CHAR(9),2)&amp;"this."&amp;D26&amp;" = 0,",REPT(CHAR(9),2)&amp;"this."&amp;D26&amp;" = '',")</f>
        <v xml:space="preserve">		this.pxpCaseId = '',</v>
      </c>
      <c r="V26" s="31" t="str">
        <f t="shared" ref="V26:V29" si="38">IF(AND(E26="string",F26="1"),D26,"")</f>
        <v/>
      </c>
    </row>
    <row r="27" spans="1:22" ht="18" customHeight="1" x14ac:dyDescent="0.25">
      <c r="A27" s="44" t="s">
        <v>317</v>
      </c>
      <c r="B27" s="31" t="str">
        <f t="shared" si="30"/>
        <v>ContScheduleId</v>
      </c>
      <c r="C27" s="31" t="str">
        <f t="shared" si="31"/>
        <v>Cont Schedule Id</v>
      </c>
      <c r="D27" s="31" t="str">
        <f t="shared" si="32"/>
        <v>contScheduleId</v>
      </c>
      <c r="E27" s="31" t="str">
        <f>A.Backend!H21</f>
        <v>long</v>
      </c>
      <c r="F27" s="31" t="str">
        <f>A.Backend!G21</f>
        <v/>
      </c>
      <c r="G27" s="31" t="str">
        <f t="shared" si="33"/>
        <v/>
      </c>
      <c r="H27" s="38" t="str">
        <f t="shared" si="34"/>
        <v xml:space="preserve">			{headerName: this.l('Cont Schedule Id'),headerTooltip: this.l('Cont Schedule Id'),field: 'contScheduleId',flex: 1},</v>
      </c>
      <c r="I27" s="38" t="str">
        <f t="shared" si="35"/>
        <v/>
      </c>
      <c r="J27" s="31"/>
      <c r="K27" s="38" t="str">
        <f t="shared" si="36"/>
        <v/>
      </c>
      <c r="L27" s="60" t="str">
        <f t="shared" si="37"/>
        <v/>
      </c>
      <c r="M27" s="31"/>
      <c r="N27" s="31"/>
      <c r="O27" s="31"/>
      <c r="P27" s="31"/>
      <c r="Q27" s="31"/>
      <c r="R27" s="31"/>
      <c r="S27" s="31" t="str">
        <f t="shared" ref="S27:S29" si="39">REPT(CHAR(9),1)&amp;D27&amp;G27</f>
        <v xml:space="preserve">	contScheduleId</v>
      </c>
      <c r="T27" s="31" t="str">
        <f t="shared" ref="T27:T29" si="40">REPT(CHAR(9),3)&amp;"this."&amp;D27&amp;","</f>
        <v xml:space="preserve">			this.contScheduleId,</v>
      </c>
      <c r="U27" s="31" t="str">
        <f t="shared" ref="U27:U29" si="41">IF(E27="int",REPT(CHAR(9),2)&amp;"this."&amp;D27&amp;" = 0,",REPT(CHAR(9),2)&amp;"this."&amp;D27&amp;" = '',")</f>
        <v xml:space="preserve">		this.contScheduleId = '',</v>
      </c>
      <c r="V27" s="31" t="str">
        <f t="shared" si="38"/>
        <v/>
      </c>
    </row>
    <row r="28" spans="1:22" ht="18" customHeight="1" x14ac:dyDescent="0.25">
      <c r="A28" s="44" t="s">
        <v>318</v>
      </c>
      <c r="B28" s="31" t="str">
        <f>SUBSTITUTE(PROPER(A28),"_","")</f>
        <v>Status</v>
      </c>
      <c r="C28" s="31" t="str">
        <f>SUBSTITUTE(PROPER(A28),"_"," ")</f>
        <v>Status</v>
      </c>
      <c r="D28" s="31" t="str">
        <f>LOWER(LEFT(B28,1))&amp;RIGHT(B28,LEN(B28) - 1)</f>
        <v>status</v>
      </c>
      <c r="E28" s="31" t="str">
        <f>A.Backend!H22</f>
        <v>string</v>
      </c>
      <c r="F28" s="31" t="str">
        <f>A.Backend!G22</f>
        <v>50</v>
      </c>
      <c r="G28" s="31" t="str">
        <f t="shared" si="33"/>
        <v xml:space="preserve"> : string = '' ; </v>
      </c>
      <c r="H28" s="38" t="str">
        <f t="shared" si="34"/>
        <v xml:space="preserve">			{headerName: this.l('Status'),headerTooltip: this.l('Status'),field: 'status',flex: 1},</v>
      </c>
      <c r="I28" s="38" t="str">
        <f t="shared" si="3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8" s="31"/>
      <c r="K28" s="38" t="str">
        <f t="shared" si="3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8" s="60" t="str">
        <f t="shared" si="37"/>
        <v/>
      </c>
      <c r="M28" s="31"/>
      <c r="N28" s="31"/>
      <c r="O28" s="31"/>
      <c r="P28" s="31"/>
      <c r="Q28" s="31"/>
      <c r="R28" s="31"/>
      <c r="S28" s="31" t="str">
        <f t="shared" si="39"/>
        <v xml:space="preserve">	status : string = '' ; </v>
      </c>
      <c r="T28" s="31" t="str">
        <f t="shared" si="40"/>
        <v xml:space="preserve">			this.status,</v>
      </c>
      <c r="U28" s="31" t="str">
        <f t="shared" si="41"/>
        <v xml:space="preserve">		this.status = '',</v>
      </c>
      <c r="V28" s="31" t="str">
        <f t="shared" si="38"/>
        <v/>
      </c>
    </row>
    <row r="29" spans="1:22" ht="15" customHeight="1" x14ac:dyDescent="0.25">
      <c r="A29" s="44" t="s">
        <v>319</v>
      </c>
      <c r="B29" s="31" t="str">
        <f t="shared" ref="B29" si="42">SUBSTITUTE(PROPER(A29),"_","")</f>
        <v>DevanningDate</v>
      </c>
      <c r="C29" s="31" t="str">
        <f t="shared" ref="C29" si="43">SUBSTITUTE(PROPER(A29),"_"," ")</f>
        <v>Devanning Date</v>
      </c>
      <c r="D29" s="31" t="str">
        <f t="shared" ref="D29" si="44">LOWER(LEFT(B29,1))&amp;RIGHT(B29,LEN(B29) - 1)</f>
        <v>devanningDate</v>
      </c>
      <c r="E29" s="31" t="str">
        <f>A.Backend!H23</f>
        <v>DateTime</v>
      </c>
      <c r="F29" s="31" t="str">
        <f>A.Backend!G23</f>
        <v/>
      </c>
      <c r="G29" s="31" t="str">
        <f t="shared" si="33"/>
        <v xml:space="preserve"> : any ;</v>
      </c>
      <c r="H29" s="38" t="str">
        <f t="shared" si="34"/>
        <v xml:space="preserve">			{headerName: this.l('Devanning Date'),headerTooltip: this.l('Devanning Date'),field: 'devanningDate',valueGetter: (params) =&gt; this.pipe.transform(params.data?.devanningDate, 'dd/MM/yyyy'),flex: 1},</v>
      </c>
      <c r="I29" s="38" t="str">
        <f t="shared" si="35"/>
        <v xml:space="preserve">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</v>
      </c>
      <c r="J29" s="31"/>
      <c r="K29" s="38" t="str">
        <f t="shared" si="36"/>
        <v xml:space="preserve">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</v>
      </c>
      <c r="L29" s="60" t="str">
        <f t="shared" si="37"/>
        <v xml:space="preserve">		const dateValue =  this.rowdata.devanningDate ? new Date(this.rowdata.devanningDate?.toString()) : new Date();
		this.datepicker?.bsValueChange.emit(dateValue);</v>
      </c>
      <c r="M29" s="31"/>
      <c r="N29" s="31"/>
      <c r="O29" s="31"/>
      <c r="P29" s="31"/>
      <c r="Q29" s="31"/>
      <c r="R29" s="31"/>
      <c r="S29" s="31" t="str">
        <f t="shared" si="39"/>
        <v xml:space="preserve">	devanningDate : any ;</v>
      </c>
      <c r="T29" s="31" t="str">
        <f t="shared" si="40"/>
        <v xml:space="preserve">			this.devanningDate,</v>
      </c>
      <c r="U29" s="31" t="str">
        <f t="shared" si="41"/>
        <v xml:space="preserve">		this.devanningDate = '',</v>
      </c>
      <c r="V29" s="31" t="str">
        <f t="shared" si="38"/>
        <v/>
      </c>
    </row>
    <row r="30" spans="1:22" ht="18" customHeight="1" x14ac:dyDescent="0.25">
      <c r="A30" s="44" t="s">
        <v>320</v>
      </c>
      <c r="B30" s="31" t="str">
        <f>SUBSTITUTE(PROPER(A30),"_","")</f>
        <v>StartDevanningDate</v>
      </c>
      <c r="C30" s="31" t="str">
        <f>SUBSTITUTE(PROPER(A30),"_"," ")</f>
        <v>Start Devanning Date</v>
      </c>
      <c r="D30" s="31" t="str">
        <f>LOWER(LEFT(B30,1))&amp;RIGHT(B30,LEN(B30) - 1)</f>
        <v>startDevanningDate</v>
      </c>
      <c r="E30" s="31" t="str">
        <f>A.Backend!H24</f>
        <v>DateTime</v>
      </c>
      <c r="F30" s="31" t="str">
        <f>A.Backend!G24</f>
        <v>7</v>
      </c>
      <c r="G30" s="31" t="str">
        <f>IF(E30="string"," : string = '' ; ",IF(OR(E30="DateTime",E30="TimeSpan")," : any ;",IF(E30="int"," : number = 0 ;","")))</f>
        <v xml:space="preserve"> : any ;</v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this.l('Start Devanning Date'),headerTooltip: this.l('Start Devanning Date'),field: 'startDevanningDate',valueGetter: (params) =&gt; this.pipe.transform(params.data?.startDevanningDate, 'dd/MM/yyyy'),flex: 1},</v>
      </c>
      <c r="I30" s="38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</v>
      </c>
      <c r="J30" s="31"/>
      <c r="K30" s="38" t="str">
        <f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</v>
      </c>
      <c r="L30" s="60" t="str">
        <f>IF(E30="DateTime",
REPT(CHAR(9),2)&amp;"const dateValue =  this.rowdata."&amp;D30&amp;" ? new Date(this.rowdata."&amp;D30&amp;"?.toString()) : new Date();
"&amp;REPT(CHAR(9),2)&amp;"this.datepicker?.bsValueChange.emit(dateValue);","")</f>
        <v xml:space="preserve">		const dateValue =  this.rowdata.startDevanningDate ? new Date(this.rowdata.startDevanningDate?.toString()) : new Date();
		this.datepicker?.bsValueChange.emit(dateValue);</v>
      </c>
      <c r="M30" s="31"/>
      <c r="N30" s="31"/>
      <c r="O30" s="31"/>
      <c r="P30" s="31"/>
      <c r="Q30" s="31"/>
      <c r="R30" s="31"/>
      <c r="S30" s="31" t="str">
        <f>D30&amp;G30</f>
        <v>startDevanningDate : any ;</v>
      </c>
      <c r="T30" s="31" t="str">
        <f>REPT(CHAR(9),3)&amp;"this."&amp;D30&amp;","</f>
        <v xml:space="preserve">			this.startDevanningDate,</v>
      </c>
      <c r="U30" s="31" t="str">
        <f>IF(E30="int","this."&amp;D30&amp;" = 0,","this."&amp;D30&amp;" = '',")</f>
        <v>this.startDevanningDate = '',</v>
      </c>
      <c r="V30" s="31" t="str">
        <f>IF(AND(E30="string",F30="1"),D30,"")</f>
        <v/>
      </c>
    </row>
    <row r="31" spans="1:22" ht="15" customHeight="1" x14ac:dyDescent="0.25">
      <c r="A31" s="44" t="s">
        <v>322</v>
      </c>
      <c r="B31" s="31" t="str">
        <f t="shared" ref="B31:B32" si="45">SUBSTITUTE(PROPER(A31),"_","")</f>
        <v>FinishDevanningDate</v>
      </c>
      <c r="C31" s="31" t="str">
        <f t="shared" ref="C31:C32" si="46">SUBSTITUTE(PROPER(A31),"_"," ")</f>
        <v>Finish Devanning Date</v>
      </c>
      <c r="D31" s="31" t="str">
        <f t="shared" ref="D31:D32" si="47">LOWER(LEFT(B31,1))&amp;RIGHT(B31,LEN(B31) - 1)</f>
        <v>finishDevanningDate</v>
      </c>
      <c r="E31" s="31" t="str">
        <f>A.Backend!H25</f>
        <v>DateTime</v>
      </c>
      <c r="F31" s="31" t="str">
        <f>A.Backend!G25</f>
        <v>7</v>
      </c>
      <c r="G31" s="31" t="str">
        <f t="shared" ref="G31:G34" si="48">IF(E31="string"," : string = '' ; ",IF(OR(E31="DateTime",E31="TimeSpan")," : any ;",IF(E31="int"," : number = 0 ;","")))</f>
        <v xml:space="preserve"> : any ;</v>
      </c>
      <c r="H31" s="38" t="str">
        <f t="shared" ref="H31:H34" si="49">IF(E31="DateTime",
REPT(CHAR(9),3)&amp;"{headerName: this.l('"&amp;C31&amp;"'),headerTooltip: this.l('"&amp;C31&amp;"'),field: '"&amp;D31&amp;"',valueGetter: (params) =&gt; this.pipe.transform(params.data?."&amp;D31&amp;", 'dd/MM/yyyy'),flex: 1},",
IF(AND(E31="string",F31="1"),
REPT(CHAR(9),3)&amp;"{headerName: this.l('"&amp;C31&amp;"'),headerTooltip: this.l('"&amp;C31&amp;"'),field:  '"&amp;D31&amp;"', cellClass: ['text-center'], width: 120, cellRenderer: 'agCellButtonComponent',
buttonDefTwo: { text: params =&gt; (params.data?.'"&amp;D31&amp;"' == 'Y') ? 'Active' : 'Inactive',iconName: 'fa fa-circle',className: params =&gt; (params.data?.'"&amp;D31&amp;"' == 'Y') ? 'btnActive' : 'btnInActive',},}",
REPT(CHAR(9),3)&amp;"{headerName: this.l('"&amp;C31&amp;"'),headerTooltip: this.l('"&amp;C31&amp;"'),field: '"&amp;D31&amp;"',flex: 1},"))</f>
        <v xml:space="preserve">			{headerName: this.l('Finish Devanning Date'),headerTooltip: this.l('Finish Devanning Date'),field: 'finishDevanningDate',valueGetter: (params) =&gt; this.pipe.transform(params.data?.finishDevanningDate, 'dd/MM/yyyy'),flex: 1},</v>
      </c>
      <c r="I31" s="38" t="str">
        <f t="shared" ref="I31:I34" si="50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</v>
      </c>
      <c r="J31" s="31"/>
      <c r="K31" s="38" t="str">
        <f t="shared" ref="K31:K34" si="51"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</v>
      </c>
      <c r="L31" s="60" t="str">
        <f t="shared" ref="L31:L34" si="52">IF(E31="DateTime",
REPT(CHAR(9),2)&amp;"const dateValue =  this.rowdata."&amp;D31&amp;" ? new Date(this.rowdata."&amp;D31&amp;"?.toString()) : new Date();
"&amp;REPT(CHAR(9),2)&amp;"this.datepicker?.bsValueChange.emit(dateValue);","")</f>
        <v xml:space="preserve">		const dateValue =  this.rowdata.finishDevanningDate ? new Date(this.rowdata.finishDevanningDate?.toString()) : new Date();
		this.datepicker?.bsValueChange.emit(dateValue);</v>
      </c>
      <c r="M31" s="31"/>
      <c r="N31" s="31"/>
      <c r="O31" s="31"/>
      <c r="P31" s="31"/>
      <c r="Q31" s="31"/>
      <c r="R31" s="31"/>
      <c r="S31" s="31" t="str">
        <f>REPT(CHAR(9),1)&amp;D31&amp;G31</f>
        <v xml:space="preserve">	finishDevanningDate : any ;</v>
      </c>
      <c r="T31" s="31" t="str">
        <f>REPT(CHAR(9),3)&amp;"this."&amp;D31&amp;","</f>
        <v xml:space="preserve">			this.finishDevanningDate,</v>
      </c>
      <c r="U31" s="31" t="str">
        <f>IF(E31="int",REPT(CHAR(9),2)&amp;"this."&amp;D31&amp;" = 0,",REPT(CHAR(9),2)&amp;"this."&amp;D31&amp;" = '',")</f>
        <v xml:space="preserve">		this.finishDevanningDate = '',</v>
      </c>
      <c r="V31" s="31" t="str">
        <f t="shared" ref="V31:V34" si="53">IF(AND(E31="string",F31="1"),D31,"")</f>
        <v/>
      </c>
    </row>
    <row r="32" spans="1:22" ht="18" customHeight="1" x14ac:dyDescent="0.25">
      <c r="A32" s="44" t="s">
        <v>323</v>
      </c>
      <c r="B32" s="31" t="str">
        <f t="shared" si="45"/>
        <v>ZoneCd</v>
      </c>
      <c r="C32" s="31" t="str">
        <f t="shared" si="46"/>
        <v>Zone Cd</v>
      </c>
      <c r="D32" s="31" t="str">
        <f t="shared" si="47"/>
        <v>zoneCd</v>
      </c>
      <c r="E32" s="31" t="str">
        <f>A.Backend!H26</f>
        <v>string</v>
      </c>
      <c r="F32" s="31" t="str">
        <f>A.Backend!G26</f>
        <v>50</v>
      </c>
      <c r="G32" s="31" t="str">
        <f t="shared" si="48"/>
        <v xml:space="preserve"> : string = '' ; </v>
      </c>
      <c r="H32" s="38" t="str">
        <f t="shared" si="49"/>
        <v xml:space="preserve">			{headerName: this.l('Zone Cd'),headerTooltip: this.l('Zone Cd'),field: 'zoneCd',flex: 1},</v>
      </c>
      <c r="I32" s="38" t="str">
        <f t="shared" si="50"/>
        <v xml:space="preserve">								&lt;div class='input-search'&gt;
									&lt;input [(ngModel)]='zoneCd' name='zoneCd'
									class='form-control' [placeholder]="l('Zone Cd')"
									type='text' (keyup.enter)='searchDatas()'&gt;
								&lt;/div&gt;</v>
      </c>
      <c r="J32" s="31"/>
      <c r="K32" s="38" t="str">
        <f t="shared" si="51"/>
        <v xml:space="preserve">					&lt;div class='col-md-12 form-group row'&gt;
						&lt;label class='col-md-2 form-control title'&gt;Zone Cd&lt;/label&gt;
						&lt;input type='text' class='col-md-10 form-control input-text' name='ZoneCd' [(ngModel)]='rowdata.zoneCd'&gt;
					&lt;/div&gt;</v>
      </c>
      <c r="L32" s="60" t="str">
        <f t="shared" si="52"/>
        <v/>
      </c>
      <c r="M32" s="31"/>
      <c r="N32" s="31"/>
      <c r="O32" s="31"/>
      <c r="P32" s="31"/>
      <c r="Q32" s="31"/>
      <c r="R32" s="31"/>
      <c r="S32" s="31" t="str">
        <f t="shared" ref="S32:S34" si="54">REPT(CHAR(9),1)&amp;D32&amp;G32</f>
        <v xml:space="preserve">	zoneCd : string = '' ; </v>
      </c>
      <c r="T32" s="31" t="str">
        <f t="shared" ref="T32:T34" si="55">REPT(CHAR(9),3)&amp;"this."&amp;D32&amp;","</f>
        <v xml:space="preserve">			this.zoneCd,</v>
      </c>
      <c r="U32" s="31" t="str">
        <f t="shared" ref="U32:U34" si="56">IF(E32="int",REPT(CHAR(9),2)&amp;"this."&amp;D32&amp;" = 0,",REPT(CHAR(9),2)&amp;"this."&amp;D32&amp;" = '',")</f>
        <v xml:space="preserve">		this.zoneCd = '',</v>
      </c>
      <c r="V32" s="31" t="str">
        <f t="shared" si="53"/>
        <v/>
      </c>
    </row>
    <row r="33" spans="1:22" ht="18" customHeight="1" x14ac:dyDescent="0.25">
      <c r="A33" s="44" t="s">
        <v>324</v>
      </c>
      <c r="B33" s="31" t="str">
        <f>SUBSTITUTE(PROPER(A33),"_","")</f>
        <v>AreaCd</v>
      </c>
      <c r="C33" s="31" t="str">
        <f>SUBSTITUTE(PROPER(A33),"_"," ")</f>
        <v>Area Cd</v>
      </c>
      <c r="D33" s="31" t="str">
        <f>LOWER(LEFT(B33,1))&amp;RIGHT(B33,LEN(B33) - 1)</f>
        <v>areaCd</v>
      </c>
      <c r="E33" s="31" t="str">
        <f>A.Backend!H27</f>
        <v>string</v>
      </c>
      <c r="F33" s="31" t="str">
        <f>A.Backend!G27</f>
        <v>50</v>
      </c>
      <c r="G33" s="31" t="str">
        <f t="shared" si="48"/>
        <v xml:space="preserve"> : string = '' ; </v>
      </c>
      <c r="H33" s="38" t="str">
        <f t="shared" si="49"/>
        <v xml:space="preserve">			{headerName: this.l('Area Cd'),headerTooltip: this.l('Area Cd'),field: 'areaCd',flex: 1},</v>
      </c>
      <c r="I33" s="38" t="str">
        <f t="shared" si="50"/>
        <v xml:space="preserve">								&lt;div class='input-search'&gt;
									&lt;input [(ngModel)]='areaCd' name='areaCd'
									class='form-control' [placeholder]="l('Area Cd')"
									type='text' (keyup.enter)='searchDatas()'&gt;
								&lt;/div&gt;</v>
      </c>
      <c r="J33" s="31"/>
      <c r="K33" s="38" t="str">
        <f t="shared" si="51"/>
        <v xml:space="preserve">					&lt;div class='col-md-12 form-group row'&gt;
						&lt;label class='col-md-2 form-control title'&gt;Area Cd&lt;/label&gt;
						&lt;input type='text' class='col-md-10 form-control input-text' name='AreaCd' [(ngModel)]='rowdata.areaCd'&gt;
					&lt;/div&gt;</v>
      </c>
      <c r="L33" s="60" t="str">
        <f t="shared" si="52"/>
        <v/>
      </c>
      <c r="M33" s="31"/>
      <c r="N33" s="31"/>
      <c r="O33" s="31"/>
      <c r="P33" s="31"/>
      <c r="Q33" s="31"/>
      <c r="R33" s="31"/>
      <c r="S33" s="31" t="str">
        <f t="shared" si="54"/>
        <v xml:space="preserve">	areaCd : string = '' ; </v>
      </c>
      <c r="T33" s="31" t="str">
        <f t="shared" si="55"/>
        <v xml:space="preserve">			this.areaCd,</v>
      </c>
      <c r="U33" s="31" t="str">
        <f t="shared" si="56"/>
        <v xml:space="preserve">		this.areaCd = '',</v>
      </c>
      <c r="V33" s="31" t="str">
        <f t="shared" si="53"/>
        <v/>
      </c>
    </row>
    <row r="34" spans="1:22" ht="15" customHeight="1" x14ac:dyDescent="0.25">
      <c r="A34" s="44" t="s">
        <v>325</v>
      </c>
      <c r="B34" s="31" t="str">
        <f t="shared" ref="B34" si="57">SUBSTITUTE(PROPER(A34),"_","")</f>
        <v>LocId</v>
      </c>
      <c r="C34" s="31" t="str">
        <f t="shared" ref="C34" si="58">SUBSTITUTE(PROPER(A34),"_"," ")</f>
        <v>Loc Id</v>
      </c>
      <c r="D34" s="31" t="str">
        <f t="shared" ref="D34" si="59">LOWER(LEFT(B34,1))&amp;RIGHT(B34,LEN(B34) - 1)</f>
        <v>locId</v>
      </c>
      <c r="E34" s="31" t="str">
        <f>A.Backend!H28</f>
        <v>long</v>
      </c>
      <c r="F34" s="31" t="str">
        <f>A.Backend!G28</f>
        <v/>
      </c>
      <c r="G34" s="31" t="str">
        <f t="shared" si="48"/>
        <v/>
      </c>
      <c r="H34" s="38" t="str">
        <f t="shared" si="49"/>
        <v xml:space="preserve">			{headerName: this.l('Loc Id'),headerTooltip: this.l('Loc Id'),field: 'locId',flex: 1},</v>
      </c>
      <c r="I34" s="38" t="str">
        <f t="shared" si="50"/>
        <v/>
      </c>
      <c r="J34" s="31"/>
      <c r="K34" s="38" t="str">
        <f t="shared" si="51"/>
        <v/>
      </c>
      <c r="L34" s="60" t="str">
        <f t="shared" si="52"/>
        <v/>
      </c>
      <c r="M34" s="31"/>
      <c r="N34" s="31"/>
      <c r="O34" s="31"/>
      <c r="P34" s="31"/>
      <c r="Q34" s="31"/>
      <c r="R34" s="31"/>
      <c r="S34" s="31" t="str">
        <f t="shared" si="54"/>
        <v xml:space="preserve">	locId</v>
      </c>
      <c r="T34" s="31" t="str">
        <f t="shared" si="55"/>
        <v xml:space="preserve">			this.locId,</v>
      </c>
      <c r="U34" s="31" t="str">
        <f t="shared" si="56"/>
        <v xml:space="preserve">		this.locId = '',</v>
      </c>
      <c r="V34" s="31" t="str">
        <f t="shared" si="53"/>
        <v/>
      </c>
    </row>
    <row r="35" spans="1:22" ht="18" customHeight="1" x14ac:dyDescent="0.25">
      <c r="A35" s="44" t="s">
        <v>326</v>
      </c>
      <c r="B35" s="31" t="str">
        <f>SUBSTITUTE(PROPER(A35),"_","")</f>
        <v>LocCd</v>
      </c>
      <c r="C35" s="31" t="str">
        <f>SUBSTITUTE(PROPER(A35),"_"," ")</f>
        <v>Loc Cd</v>
      </c>
      <c r="D35" s="31" t="str">
        <f>LOWER(LEFT(B35,1))&amp;RIGHT(B35,LEN(B35) - 1)</f>
        <v>locCd</v>
      </c>
      <c r="E35" s="31" t="str">
        <f>A.Backend!H29</f>
        <v>string</v>
      </c>
      <c r="F35" s="31" t="str">
        <f>A.Backend!G29</f>
        <v>50</v>
      </c>
      <c r="G35" s="31" t="str">
        <f>IF(E35="string"," : string = '' ; ",IF(OR(E35="DateTime",E35="TimeSpan")," : any ;",IF(E35="int"," : number = 0 ;","")))</f>
        <v xml:space="preserve"> : string = '' ; </v>
      </c>
      <c r="H35" s="38" t="str">
        <f>IF(E35="DateTime",
REPT(CHAR(9),3)&amp;"{headerName: this.l('"&amp;C35&amp;"'),headerTooltip: this.l('"&amp;C35&amp;"'),field: '"&amp;D35&amp;"',valueGetter: (params) =&gt; this.pipe.transform(params.data?."&amp;D35&amp;", 'dd/MM/yyyy'),flex: 1},",
IF(AND(E35="string",F35="1"),
REPT(CHAR(9),3)&amp;"{headerName: this.l('"&amp;C35&amp;"'),headerTooltip: this.l('"&amp;C35&amp;"'),field:  '"&amp;D35&amp;"', cellClass: ['text-center'], width: 120, cellRenderer: 'agCellButtonComponent',
buttonDefTwo: { text: params =&gt; (params.data?.'"&amp;D35&amp;"' == 'Y') ? 'Active' : 'Inactive',iconName: 'fa fa-circle',className: params =&gt; (params.data?.'"&amp;D35&amp;"' == 'Y') ? 'btnActive' : 'btnInActive',},}",
REPT(CHAR(9),3)&amp;"{headerName: this.l('"&amp;C35&amp;"'),headerTooltip: this.l('"&amp;C35&amp;"'),field: '"&amp;D35&amp;"',flex: 1},"))</f>
        <v xml:space="preserve">			{headerName: this.l('Loc Cd'),headerTooltip: this.l('Loc Cd'),field: 'locCd',flex: 1},</v>
      </c>
      <c r="I35" s="38" t="str">
        <f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IF(E35="string",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 xml:space="preserve">								&lt;div class='input-search'&gt;
									&lt;input [(ngModel)]='locCd' name='locCd'
									class='form-control' [placeholder]="l('Loc Cd')"
									type='text' (keyup.enter)='searchDatas()'&gt;
								&lt;/div&gt;</v>
      </c>
      <c r="J35" s="31"/>
      <c r="K35" s="38" t="str">
        <f>IF(OR(E35="DateTime",E35="TimeSpan"),
REPT(CHAR(9),5)&amp;"&lt;div class='col-md-12 form-group row'&gt;
"&amp;REPT(CHAR(9),6)&amp;"&lt;label class='col-md-2 form-control title'&gt;"&amp;C35&amp;"&lt;/label&gt;
"&amp;REPT(CHAR(9),6)&amp;"&lt;input type='text' class='col-md-10 form-control input-text' name='"&amp;D35&amp;"' 
"&amp;REPT(CHAR(9),6)&amp;"#datepicker='bsDatepicker' [(ngModel)]='rowdata."&amp;D35&amp;"'  bsDatepicker &gt;
"&amp;REPT(CHAR(9),5)&amp;"&lt;/div&gt;",
IF(AND(E35="string",F35="1"),
REPT(CHAR(9),5)&amp;"&lt;div class='col-md-12 form-group row'&gt;
"&amp;REPT(CHAR(9),6)&amp;"&lt;label class='col-md-2 form-control title'&gt;"&amp;C35&amp;"&lt;/label&gt;
"&amp;REPT(CHAR(9),6)&amp;"&lt;new-checkbox [(ngModel)]='_"&amp;D35&amp;"' name='"&amp;D35&amp;"' className='col-md-10' &gt; &lt;/new-checkbox&gt;
"&amp;REPT(CHAR(9),5)&amp;"&lt;/div&gt;",
IF(E35="string",
REPT(CHAR(9),5)&amp;"&lt;div class='col-md-12 form-group row'&gt;
"&amp;REPT(CHAR(9),6)&amp;"&lt;label class='col-md-2 form-control title'&gt;"&amp;C35&amp;"&lt;/label&gt;
"&amp;REPT(CHAR(9),6)&amp;"&lt;input type='text' class='col-md-10 form-control input-text' name='"&amp;B35&amp;"' [(ngModel)]='rowdata."&amp;D35&amp;"'&gt;
"&amp;REPT(CHAR(9),5)&amp;"&lt;/div&gt;",
IF(E35="int",
REPT(CHAR(9),5)&amp;"&lt;div class='col-md-12 form-group row'&gt;
"&amp;REPT(CHAR(9),6)&amp;"&lt;label class='col-md-2 form-control title'&gt;"&amp;C35&amp;"&lt;/label&gt;
"&amp;REPT(CHAR(9),6)&amp;"&lt;input type='number' class='col-md-10 form-control input-text' name='"&amp;B35&amp;"' [(ngModel)]='rowdata."&amp;D35&amp;"'&gt;
"&amp;REPT(CHAR(9),5)&amp;"&lt;/div&gt;",""))))</f>
        <v xml:space="preserve">					&lt;div class='col-md-12 form-group row'&gt;
						&lt;label class='col-md-2 form-control title'&gt;Loc Cd&lt;/label&gt;
						&lt;input type='text' class='col-md-10 form-control input-text' name='LocCd' [(ngModel)]='rowdata.locCd'&gt;
					&lt;/div&gt;</v>
      </c>
      <c r="L35" s="60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31"/>
      <c r="N35" s="31"/>
      <c r="O35" s="31"/>
      <c r="P35" s="31"/>
      <c r="Q35" s="31"/>
      <c r="R35" s="31"/>
      <c r="S35" s="31" t="str">
        <f>D35&amp;G35</f>
        <v xml:space="preserve">locCd : string = '' ; </v>
      </c>
      <c r="T35" s="31" t="str">
        <f>REPT(CHAR(9),3)&amp;"this."&amp;D35&amp;","</f>
        <v xml:space="preserve">			this.locCd,</v>
      </c>
      <c r="U35" s="31" t="str">
        <f>IF(E35="int","this."&amp;D35&amp;" = 0,","this."&amp;D35&amp;" = '',")</f>
        <v>this.locCd = '',</v>
      </c>
      <c r="V35" s="31" t="str">
        <f>IF(AND(E35="string",F35="1"),D35,"")</f>
        <v/>
      </c>
    </row>
    <row r="36" spans="1:22" ht="15" customHeight="1" x14ac:dyDescent="0.25">
      <c r="A36" s="44" t="s">
        <v>327</v>
      </c>
      <c r="B36" s="31" t="str">
        <f t="shared" ref="B36:B37" si="60">SUBSTITUTE(PROPER(A36),"_","")</f>
        <v>LocDate</v>
      </c>
      <c r="C36" s="31" t="str">
        <f t="shared" ref="C36:C37" si="61">SUBSTITUTE(PROPER(A36),"_"," ")</f>
        <v>Loc Date</v>
      </c>
      <c r="D36" s="31" t="str">
        <f t="shared" ref="D36:D37" si="62">LOWER(LEFT(B36,1))&amp;RIGHT(B36,LEN(B36) - 1)</f>
        <v>locDate</v>
      </c>
      <c r="E36" s="31" t="str">
        <f>A.Backend!H30</f>
        <v>DateTime</v>
      </c>
      <c r="F36" s="31" t="str">
        <f>A.Backend!G30</f>
        <v>7</v>
      </c>
      <c r="G36" s="31" t="str">
        <f t="shared" ref="G36:G39" si="63">IF(E36="string"," : string = '' ; ",IF(OR(E36="DateTime",E36="TimeSpan")," : any ;",IF(E36="int"," : number = 0 ;","")))</f>
        <v xml:space="preserve"> : any ;</v>
      </c>
      <c r="H36" s="38" t="str">
        <f t="shared" ref="H36:H39" si="64">IF(E36="DateTime",
REPT(CHAR(9),3)&amp;"{headerName: this.l('"&amp;C36&amp;"'),headerTooltip: this.l('"&amp;C36&amp;"'),field: '"&amp;D36&amp;"',valueGetter: (params) =&gt; this.pipe.transform(params.data?."&amp;D36&amp;", 'dd/MM/yyyy'),flex: 1},",
IF(AND(E36="string",F36="1"),
REPT(CHAR(9),3)&amp;"{headerName: this.l('"&amp;C36&amp;"'),headerTooltip: this.l('"&amp;C36&amp;"'),field:  '"&amp;D36&amp;"', cellClass: ['text-center'], width: 120, cellRenderer: 'agCellButtonComponent',
buttonDefTwo: { text: params =&gt; (params.data?.'"&amp;D36&amp;"' == 'Y') ? 'Active' : 'Inactive',iconName: 'fa fa-circle',className: params =&gt; (params.data?.'"&amp;D36&amp;"' == 'Y') ? 'btnActive' : 'btnInActive',},}",
REPT(CHAR(9),3)&amp;"{headerName: this.l('"&amp;C36&amp;"'),headerTooltip: this.l('"&amp;C36&amp;"'),field: '"&amp;D36&amp;"',flex: 1},"))</f>
        <v xml:space="preserve">			{headerName: this.l('Loc Date'),headerTooltip: this.l('Loc Date'),field: 'locDate',valueGetter: (params) =&gt; this.pipe.transform(params.data?.locDate, 'dd/MM/yyyy'),flex: 1},</v>
      </c>
      <c r="I36" s="38" t="str">
        <f t="shared" ref="I36:I39" si="65"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IF(E36="string",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type='text' [placeholder]="l('Loc Date')" [(ngModel)]='locDate' 
									name='locDate' (keydown)='searchDatas()' class='form-control' 
									bsDatepicker #d='bsDatepicker' placement='bottom left'&gt;
									&lt;i class='fa fa-calendar-alt' (click)='d.toggle()'&gt;&lt;/i&gt;
								&lt;/div&gt;</v>
      </c>
      <c r="J36" s="31"/>
      <c r="K36" s="38" t="str">
        <f t="shared" ref="K36:K39" si="66">IF(OR(E36="DateTime",E36="TimeSpan"),
REPT(CHAR(9),5)&amp;"&lt;div class='col-md-12 form-group row'&gt;
"&amp;REPT(CHAR(9),6)&amp;"&lt;label class='col-md-2 form-control title'&gt;"&amp;C36&amp;"&lt;/label&gt;
"&amp;REPT(CHAR(9),6)&amp;"&lt;input type='text' class='col-md-10 form-control input-text' name='"&amp;D36&amp;"' 
"&amp;REPT(CHAR(9),6)&amp;"#datepicker='bsDatepicker' [(ngModel)]='rowdata."&amp;D36&amp;"'  bsDatepicker &gt;
"&amp;REPT(CHAR(9),5)&amp;"&lt;/div&gt;",
IF(AND(E36="string",F36="1"),
REPT(CHAR(9),5)&amp;"&lt;div class='col-md-12 form-group row'&gt;
"&amp;REPT(CHAR(9),6)&amp;"&lt;label class='col-md-2 form-control title'&gt;"&amp;C36&amp;"&lt;/label&gt;
"&amp;REPT(CHAR(9),6)&amp;"&lt;new-checkbox [(ngModel)]='_"&amp;D36&amp;"' name='"&amp;D36&amp;"' className='col-md-10' &gt; &lt;/new-checkbox&gt;
"&amp;REPT(CHAR(9),5)&amp;"&lt;/div&gt;",
IF(E36="string",
REPT(CHAR(9),5)&amp;"&lt;div class='col-md-12 form-group row'&gt;
"&amp;REPT(CHAR(9),6)&amp;"&lt;label class='col-md-2 form-control title'&gt;"&amp;C36&amp;"&lt;/label&gt;
"&amp;REPT(CHAR(9),6)&amp;"&lt;input type='text' class='col-md-10 form-control input-text' name='"&amp;B36&amp;"' [(ngModel)]='rowdata."&amp;D36&amp;"'&gt;
"&amp;REPT(CHAR(9),5)&amp;"&lt;/div&gt;",
IF(E36="int",
REPT(CHAR(9),5)&amp;"&lt;div class='col-md-12 form-group row'&gt;
"&amp;REPT(CHAR(9),6)&amp;"&lt;label class='col-md-2 form-control title'&gt;"&amp;C36&amp;"&lt;/label&gt;
"&amp;REPT(CHAR(9),6)&amp;"&lt;input type='number' class='col-md-10 form-control input-text' name='"&amp;B36&amp;"' [(ngModel)]='rowdata."&amp;D36&amp;"'&gt;
"&amp;REPT(CHAR(9),5)&amp;"&lt;/div&gt;",""))))</f>
        <v xml:space="preserve">					&lt;div class='col-md-12 form-group row'&gt;
						&lt;label class='col-md-2 form-control title'&gt;Loc Date&lt;/label&gt;
						&lt;input type='text' class='col-md-10 form-control input-text' name='locDate' 
						#datepicker='bsDatepicker' [(ngModel)]='rowdata.locDate'  bsDatepicker &gt;
					&lt;/div&gt;</v>
      </c>
      <c r="L36" s="60" t="str">
        <f t="shared" ref="L36:L39" si="67">IF(E36="DateTime",
REPT(CHAR(9),2)&amp;"const dateValue =  this.rowdata."&amp;D36&amp;" ? new Date(this.rowdata."&amp;D36&amp;"?.toString()) : new Date();
"&amp;REPT(CHAR(9),2)&amp;"this.datepicker?.bsValueChange.emit(dateValue);","")</f>
        <v xml:space="preserve">		const dateValue =  this.rowdata.locDate ? new Date(this.rowdata.locDate?.toString()) : new Date();
		this.datepicker?.bsValueChange.emit(dateValue);</v>
      </c>
      <c r="M36" s="31"/>
      <c r="N36" s="31"/>
      <c r="O36" s="31"/>
      <c r="P36" s="31"/>
      <c r="Q36" s="31"/>
      <c r="R36" s="31"/>
      <c r="S36" s="31" t="str">
        <f>REPT(CHAR(9),1)&amp;D36&amp;G36</f>
        <v xml:space="preserve">	locDate : any ;</v>
      </c>
      <c r="T36" s="31" t="str">
        <f>REPT(CHAR(9),3)&amp;"this."&amp;D36&amp;","</f>
        <v xml:space="preserve">			this.locDate,</v>
      </c>
      <c r="U36" s="31" t="str">
        <f>IF(E36="int",REPT(CHAR(9),2)&amp;"this."&amp;D36&amp;" = 0,",REPT(CHAR(9),2)&amp;"this."&amp;D36&amp;" = '',")</f>
        <v xml:space="preserve">		this.locDate = '',</v>
      </c>
      <c r="V36" s="31" t="str">
        <f t="shared" ref="V36:V39" si="68">IF(AND(E36="string",F36="1"),D36,"")</f>
        <v/>
      </c>
    </row>
    <row r="37" spans="1:22" ht="18" customHeight="1" x14ac:dyDescent="0.25">
      <c r="A37" s="44" t="s">
        <v>328</v>
      </c>
      <c r="B37" s="31" t="str">
        <f t="shared" si="60"/>
        <v>LocBy</v>
      </c>
      <c r="C37" s="31" t="str">
        <f t="shared" si="61"/>
        <v>Loc By</v>
      </c>
      <c r="D37" s="31" t="str">
        <f t="shared" si="62"/>
        <v>locBy</v>
      </c>
      <c r="E37" s="31" t="str">
        <f>A.Backend!H31</f>
        <v>string</v>
      </c>
      <c r="F37" s="31" t="str">
        <f>A.Backend!G31</f>
        <v>50</v>
      </c>
      <c r="G37" s="31" t="str">
        <f t="shared" si="63"/>
        <v xml:space="preserve"> : string = '' ; </v>
      </c>
      <c r="H37" s="38" t="str">
        <f t="shared" si="64"/>
        <v xml:space="preserve">			{headerName: this.l('Loc By'),headerTooltip: this.l('Loc By'),field: 'locBy',flex: 1},</v>
      </c>
      <c r="I37" s="38" t="str">
        <f t="shared" si="65"/>
        <v xml:space="preserve">								&lt;div class='input-search'&gt;
									&lt;input [(ngModel)]='locBy' name='locBy'
									class='form-control' [placeholder]="l('Loc By')"
									type='text' (keyup.enter)='searchDatas()'&gt;
								&lt;/div&gt;</v>
      </c>
      <c r="J37" s="31"/>
      <c r="K37" s="38" t="str">
        <f t="shared" si="66"/>
        <v xml:space="preserve">					&lt;div class='col-md-12 form-group row'&gt;
						&lt;label class='col-md-2 form-control title'&gt;Loc By&lt;/label&gt;
						&lt;input type='text' class='col-md-10 form-control input-text' name='LocBy' [(ngModel)]='rowdata.locBy'&gt;
					&lt;/div&gt;</v>
      </c>
      <c r="L37" s="60" t="str">
        <f t="shared" si="67"/>
        <v/>
      </c>
      <c r="M37" s="31"/>
      <c r="N37" s="31"/>
      <c r="O37" s="31"/>
      <c r="P37" s="31"/>
      <c r="Q37" s="31"/>
      <c r="R37" s="31"/>
      <c r="S37" s="31" t="str">
        <f t="shared" ref="S37:S39" si="69">REPT(CHAR(9),1)&amp;D37&amp;G37</f>
        <v xml:space="preserve">	locBy : string = '' ; </v>
      </c>
      <c r="T37" s="31" t="str">
        <f t="shared" ref="T37:T39" si="70">REPT(CHAR(9),3)&amp;"this."&amp;D37&amp;","</f>
        <v xml:space="preserve">			this.locBy,</v>
      </c>
      <c r="U37" s="31" t="str">
        <f t="shared" ref="U37:U39" si="71">IF(E37="int",REPT(CHAR(9),2)&amp;"this."&amp;D37&amp;" = 0,",REPT(CHAR(9),2)&amp;"this."&amp;D37&amp;" = '',")</f>
        <v xml:space="preserve">		this.locBy = '',</v>
      </c>
      <c r="V37" s="31" t="str">
        <f t="shared" si="68"/>
        <v/>
      </c>
    </row>
    <row r="38" spans="1:22" ht="18" customHeight="1" x14ac:dyDescent="0.25">
      <c r="A38" s="44" t="s">
        <v>330</v>
      </c>
      <c r="B38" s="31" t="str">
        <f>SUBSTITUTE(PROPER(A38),"_","")</f>
        <v>Shop</v>
      </c>
      <c r="C38" s="31" t="str">
        <f>SUBSTITUTE(PROPER(A38),"_"," ")</f>
        <v>Shop</v>
      </c>
      <c r="D38" s="31" t="str">
        <f>LOWER(LEFT(B38,1))&amp;RIGHT(B38,LEN(B38) - 1)</f>
        <v>shop</v>
      </c>
      <c r="E38" s="31" t="str">
        <f>A.Backend!H32</f>
        <v>string</v>
      </c>
      <c r="F38" s="31" t="str">
        <f>A.Backend!G32</f>
        <v>50</v>
      </c>
      <c r="G38" s="31" t="str">
        <f t="shared" si="63"/>
        <v xml:space="preserve"> : string = '' ; </v>
      </c>
      <c r="H38" s="38" t="str">
        <f t="shared" si="64"/>
        <v xml:space="preserve">			{headerName: this.l('Shop'),headerTooltip: this.l('Shop'),field: 'shop',flex: 1},</v>
      </c>
      <c r="I38" s="38" t="str">
        <f t="shared" si="65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38" s="31"/>
      <c r="K38" s="38" t="str">
        <f t="shared" si="66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38" s="60" t="str">
        <f t="shared" si="67"/>
        <v/>
      </c>
      <c r="M38" s="31"/>
      <c r="N38" s="31"/>
      <c r="O38" s="31"/>
      <c r="P38" s="31"/>
      <c r="Q38" s="31"/>
      <c r="R38" s="31"/>
      <c r="S38" s="31" t="str">
        <f t="shared" si="69"/>
        <v xml:space="preserve">	shop : string = '' ; </v>
      </c>
      <c r="T38" s="31" t="str">
        <f t="shared" si="70"/>
        <v xml:space="preserve">			this.shop,</v>
      </c>
      <c r="U38" s="31" t="str">
        <f t="shared" si="71"/>
        <v xml:space="preserve">		this.shop = '',</v>
      </c>
      <c r="V38" s="31" t="str">
        <f t="shared" si="68"/>
        <v/>
      </c>
    </row>
    <row r="39" spans="1:22" ht="15" customHeight="1" x14ac:dyDescent="0.25">
      <c r="A39" s="44" t="s">
        <v>331</v>
      </c>
      <c r="B39" s="31" t="str">
        <f t="shared" ref="B39" si="72">SUBSTITUTE(PROPER(A39),"_","")</f>
        <v>IsBigpart</v>
      </c>
      <c r="C39" s="31" t="str">
        <f t="shared" ref="C39" si="73">SUBSTITUTE(PROPER(A39),"_"," ")</f>
        <v>Is Bigpart</v>
      </c>
      <c r="D39" s="31" t="str">
        <f t="shared" ref="D39" si="74">LOWER(LEFT(B39,1))&amp;RIGHT(B39,LEN(B39) - 1)</f>
        <v>isBigpart</v>
      </c>
      <c r="E39" s="31" t="str">
        <f>A.Backend!H33</f>
        <v>string</v>
      </c>
      <c r="F39" s="31" t="str">
        <f>A.Backend!G33</f>
        <v>50</v>
      </c>
      <c r="G39" s="31" t="str">
        <f t="shared" si="63"/>
        <v xml:space="preserve"> : string = '' ; </v>
      </c>
      <c r="H39" s="38" t="str">
        <f t="shared" si="64"/>
        <v xml:space="preserve">			{headerName: this.l('Is Bigpart'),headerTooltip: this.l('Is Bigpart'),field: 'isBigpart',flex: 1},</v>
      </c>
      <c r="I39" s="38" t="str">
        <f t="shared" si="65"/>
        <v xml:space="preserve">								&lt;div class='input-search'&gt;
									&lt;input [(ngModel)]='isBigpart' name='isBigpart'
									class='form-control' [placeholder]="l('Is Bigpart')"
									type='text' (keyup.enter)='searchDatas()'&gt;
								&lt;/div&gt;</v>
      </c>
      <c r="J39" s="31"/>
      <c r="K39" s="38" t="str">
        <f t="shared" si="66"/>
        <v xml:space="preserve">					&lt;div class='col-md-12 form-group row'&gt;
						&lt;label class='col-md-2 form-control title'&gt;Is Bigpart&lt;/label&gt;
						&lt;input type='text' class='col-md-10 form-control input-text' name='IsBigpart' [(ngModel)]='rowdata.isBigpart'&gt;
					&lt;/div&gt;</v>
      </c>
      <c r="L39" s="60" t="str">
        <f t="shared" si="67"/>
        <v/>
      </c>
      <c r="M39" s="31"/>
      <c r="N39" s="31"/>
      <c r="O39" s="31"/>
      <c r="P39" s="31"/>
      <c r="Q39" s="31"/>
      <c r="R39" s="31"/>
      <c r="S39" s="31" t="str">
        <f t="shared" si="69"/>
        <v xml:space="preserve">	isBigpart : string = '' ; </v>
      </c>
      <c r="T39" s="31" t="str">
        <f t="shared" si="70"/>
        <v xml:space="preserve">			this.isBigpart,</v>
      </c>
      <c r="U39" s="31" t="str">
        <f t="shared" si="71"/>
        <v xml:space="preserve">		this.isBigpart = '',</v>
      </c>
      <c r="V39" s="31" t="str">
        <f t="shared" si="68"/>
        <v/>
      </c>
    </row>
    <row r="40" spans="1:22" ht="15" customHeight="1" x14ac:dyDescent="0.25">
      <c r="A40" s="44" t="s">
        <v>302</v>
      </c>
      <c r="B40" s="31" t="str">
        <f t="shared" ref="B40" si="75">SUBSTITUTE(PROPER(A40),"_","")</f>
        <v>IsActive</v>
      </c>
      <c r="C40" s="31" t="str">
        <f t="shared" ref="C40" si="76">SUBSTITUTE(PROPER(A40),"_"," ")</f>
        <v>Is Active</v>
      </c>
      <c r="D40" s="31" t="str">
        <f t="shared" ref="D40" si="77">LOWER(LEFT(B40,1))&amp;RIGHT(B40,LEN(B40) - 1)</f>
        <v>isActive</v>
      </c>
      <c r="E40" s="31" t="str">
        <f>A.Backend!H34</f>
        <v>string</v>
      </c>
      <c r="F40" s="31" t="str">
        <f>A.Backend!G34</f>
        <v>1</v>
      </c>
      <c r="G40" s="31" t="str">
        <f t="shared" ref="G40" si="78">IF(E40="string"," : string = '' ; ",IF(OR(E40="DateTime",E40="TimeSpan")," : any ;",IF(E40="int"," : number = 0 ;","")))</f>
        <v xml:space="preserve"> : string = '' ; </v>
      </c>
      <c r="H40" s="38" t="str">
        <f t="shared" ref="H40" si="79">IF(E40="DateTime",
REPT(CHAR(9),3)&amp;"{headerName: this.l('"&amp;C40&amp;"'),headerTooltip: this.l('"&amp;C40&amp;"'),field: '"&amp;D40&amp;"',valueGetter: (params) =&gt; this.pipe.transform(params.data?."&amp;D40&amp;", 'dd/MM/yyyy'),flex: 1},",
IF(AND(E40="string",F40="1"),
REPT(CHAR(9),3)&amp;"{headerName: this.l('"&amp;C40&amp;"'),headerTooltip: this.l('"&amp;C40&amp;"'),field:  '"&amp;D40&amp;"', cellClass: ['text-center'], width: 120, cellRenderer: 'agCellButtonComponent',
buttonDefTwo: { text: params =&gt; (params.data?.'"&amp;D40&amp;"' == 'Y') ? 'Active' : 'Inactive',iconName: 'fa fa-circle',className: params =&gt; (params.data?.'"&amp;D40&amp;"' == 'Y') ? 'btnActive' : 'btnInActive',},}",
REPT(CHAR(9),3)&amp;"{headerName: this.l('"&amp;C40&amp;"'),headerTooltip: this.l('"&amp;C40&amp;"'),field: '"&amp;D40&amp;"',flex: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0" s="38" t="str">
        <f t="shared" ref="I40" si="80"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IF(E40="string",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0" s="31"/>
      <c r="K40" s="38" t="str">
        <f t="shared" ref="K40" si="81">IF(OR(E40="DateTime",E40="TimeSpan"),
REPT(CHAR(9),5)&amp;"&lt;div class='col-md-12 form-group row'&gt;
"&amp;REPT(CHAR(9),6)&amp;"&lt;label class='col-md-2 form-control title'&gt;"&amp;C40&amp;"&lt;/label&gt;
"&amp;REPT(CHAR(9),6)&amp;"&lt;input type='text' class='col-md-10 form-control input-text' name='"&amp;D40&amp;"' 
"&amp;REPT(CHAR(9),6)&amp;"#datepicker='bsDatepicker' [(ngModel)]='rowdata."&amp;D40&amp;"'  bsDatepicker &gt;
"&amp;REPT(CHAR(9),5)&amp;"&lt;/div&gt;",
IF(AND(E40="string",F40="1"),
REPT(CHAR(9),5)&amp;"&lt;div class='col-md-12 form-group row'&gt;
"&amp;REPT(CHAR(9),6)&amp;"&lt;label class='col-md-2 form-control title'&gt;"&amp;C40&amp;"&lt;/label&gt;
"&amp;REPT(CHAR(9),6)&amp;"&lt;new-checkbox [(ngModel)]='_"&amp;D40&amp;"' name='"&amp;D40&amp;"' className='col-md-10' &gt; &lt;/new-checkbox&gt;
"&amp;REPT(CHAR(9),5)&amp;"&lt;/div&gt;",
IF(E40="string",
REPT(CHAR(9),5)&amp;"&lt;div class='col-md-12 form-group row'&gt;
"&amp;REPT(CHAR(9),6)&amp;"&lt;label class='col-md-2 form-control title'&gt;"&amp;C40&amp;"&lt;/label&gt;
"&amp;REPT(CHAR(9),6)&amp;"&lt;input type='text' class='col-md-10 form-control input-text' name='"&amp;B40&amp;"' [(ngModel)]='rowdata."&amp;D40&amp;"'&gt;
"&amp;REPT(CHAR(9),5)&amp;"&lt;/div&gt;",
IF(E40="int",
REPT(CHAR(9),5)&amp;"&lt;div class='col-md-12 form-group row'&gt;
"&amp;REPT(CHAR(9),6)&amp;"&lt;label class='col-md-2 form-control title'&gt;"&amp;C40&amp;"&lt;/label&gt;
"&amp;REPT(CHAR(9),6)&amp;"&lt;input type='number' class='col-md-10 form-control input-text' name='"&amp;B40&amp;"' [(ngModel)]='rowdata."&amp;D40&amp;"'&gt;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0" s="60" t="str">
        <f t="shared" ref="L40" si="82"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31"/>
      <c r="N40" s="31"/>
      <c r="O40" s="31"/>
      <c r="P40" s="31"/>
      <c r="Q40" s="31"/>
      <c r="R40" s="31"/>
      <c r="S40" s="31" t="str">
        <f>REPT(CHAR(9),1)&amp;D40&amp;G40</f>
        <v xml:space="preserve">	isActive : string = '' ; </v>
      </c>
      <c r="T40" s="31" t="str">
        <f>REPT(CHAR(9),3)&amp;"this."&amp;D40&amp;","</f>
        <v xml:space="preserve">			this.isActive,</v>
      </c>
      <c r="U40" s="31" t="str">
        <f>IF(E40="int",REPT(CHAR(9),2)&amp;"this."&amp;D40&amp;" = 0,",REPT(CHAR(9),2)&amp;"this."&amp;D40&amp;" = '',")</f>
        <v xml:space="preserve">		this.isActive = '',</v>
      </c>
      <c r="V40" s="31" t="str">
        <f t="shared" ref="V40" si="83">IF(AND(E40="string",F40="1"),D40,"")</f>
        <v>isActive</v>
      </c>
    </row>
    <row r="4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2022-07-13T13:27:05Z</dcterms:modified>
</cp:coreProperties>
</file>
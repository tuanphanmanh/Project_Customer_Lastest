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mwh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C21" i="5" l="1"/>
  <c r="B21" i="5"/>
  <c r="D21" i="5" s="1"/>
  <c r="T21" i="5" s="1"/>
  <c r="L12" i="1" l="1"/>
  <c r="G12" i="1"/>
  <c r="E12" i="1"/>
  <c r="H12" i="1" s="1"/>
  <c r="D12" i="1"/>
  <c r="V12" i="1" s="1"/>
  <c r="G14" i="1"/>
  <c r="E14" i="1"/>
  <c r="H14" i="1" s="1"/>
  <c r="D14" i="1"/>
  <c r="V14" i="1" s="1"/>
  <c r="G13" i="1"/>
  <c r="E13" i="1"/>
  <c r="H13" i="1" s="1"/>
  <c r="D13" i="1"/>
  <c r="V13" i="1" s="1"/>
  <c r="H21" i="5" l="1"/>
  <c r="L21" i="5"/>
  <c r="G21" i="5"/>
  <c r="S21" i="5" s="1"/>
  <c r="U21" i="5"/>
  <c r="K21" i="5"/>
  <c r="V21" i="5"/>
  <c r="I21" i="5"/>
  <c r="P13" i="1"/>
  <c r="P12" i="1"/>
  <c r="P14" i="1"/>
  <c r="W13" i="1"/>
  <c r="O13" i="1"/>
  <c r="J13" i="1"/>
  <c r="N13" i="1"/>
  <c r="I13" i="1"/>
  <c r="M13" i="1"/>
  <c r="W14" i="1"/>
  <c r="O14" i="1"/>
  <c r="J14" i="1"/>
  <c r="N14" i="1"/>
  <c r="I14" i="1"/>
  <c r="M14" i="1"/>
  <c r="W12" i="1"/>
  <c r="O12" i="1"/>
  <c r="J12" i="1"/>
  <c r="N12" i="1"/>
  <c r="I12" i="1"/>
  <c r="M12" i="1"/>
  <c r="T13" i="1"/>
  <c r="T14" i="1"/>
  <c r="T12" i="1"/>
  <c r="C20" i="5" l="1"/>
  <c r="G15" i="1"/>
  <c r="E15" i="1"/>
  <c r="H15" i="1" s="1"/>
  <c r="D15" i="1"/>
  <c r="V15" i="1" s="1"/>
  <c r="V20" i="5" l="1"/>
  <c r="B20" i="5"/>
  <c r="D20" i="5" s="1"/>
  <c r="I20" i="5" s="1"/>
  <c r="G20" i="5"/>
  <c r="L20" i="5"/>
  <c r="T15" i="1"/>
  <c r="P15" i="1"/>
  <c r="N15" i="1"/>
  <c r="I15" i="1"/>
  <c r="M15" i="1"/>
  <c r="W15" i="1"/>
  <c r="O15" i="1"/>
  <c r="J15" i="1"/>
  <c r="K20" i="5" l="1"/>
  <c r="U20" i="5"/>
  <c r="T20" i="5"/>
  <c r="S20" i="5"/>
  <c r="H20" i="5"/>
  <c r="W3" i="1"/>
  <c r="V3" i="1"/>
  <c r="B2" i="5" l="1"/>
  <c r="B3" i="5" s="1"/>
  <c r="C19" i="5"/>
  <c r="B18" i="5"/>
  <c r="D18" i="5" s="1"/>
  <c r="T18" i="5" l="1"/>
  <c r="C18" i="5"/>
  <c r="B19" i="5"/>
  <c r="D19" i="5" s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7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7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7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S13" i="5"/>
  <c r="K13" i="5"/>
  <c r="V13" i="5"/>
  <c r="H13" i="5"/>
  <c r="U13" i="5"/>
  <c r="L13" i="5"/>
  <c r="I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5" i="1" l="1"/>
  <c r="L13" i="1"/>
  <c r="L14" i="1"/>
  <c r="L11" i="1"/>
  <c r="L9" i="1"/>
  <c r="L10" i="1"/>
  <c r="J11" i="1"/>
  <c r="J9" i="1"/>
  <c r="J10" i="1"/>
  <c r="C7" i="1"/>
  <c r="O17" i="1"/>
  <c r="I17" i="1"/>
  <c r="N17" i="1"/>
  <c r="P17" i="1"/>
  <c r="J17" i="1"/>
  <c r="Q7" i="1" l="1"/>
  <c r="M47" i="3" s="1"/>
  <c r="L7" i="1"/>
  <c r="G47" i="3" s="1"/>
  <c r="K47" i="3"/>
  <c r="J47" i="3"/>
  <c r="K17" i="1"/>
  <c r="M17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<sst xmlns="http://schemas.openxmlformats.org/spreadsheetml/2006/main" count="396" uniqueCount="315">
  <si>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</si>
  <si>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</si>
  <si>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</si>
  <si>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</si>
  <si>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</si>
  <si>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</si>
  <si>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</si>
  <si>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</si>
  <si>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</si>
  <si>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</si>
  <si>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</si>
  <si>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</si>
  <si>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</si>
  <si>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</si>
  <si>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</si>
  <si>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</si>
  <si>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</si>
  <si>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</si>
  <si>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</si>
  <si>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</si>
  <si>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</si>
  <si>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</si>
  <si>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</si>
  <si>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</si>
  <si>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</si>
  <si>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</si>
  <si>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</si>
  <si>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</si>
  <si>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</si>
  <si>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</si>
  <si>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</si>
  <si>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</si>
  <si>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</si>
  <si>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</si>
  <si>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</si>
  <si>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</si>
  <si>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</si>
  <si>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</si>
  <si>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</si>
  <si>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</si>
  <si>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</si>
  <si>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</si>
  <si>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</si>
  <si>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</si>
  <si>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</si>
  <si>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</si>
  <si>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</si>
  <si>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</si>
  <si>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</si>
  <si>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</si>
  <si>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</si>
  <si>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</si>
  <si>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</si>
  <si>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</si>
  <si>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</si>
  <si>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</si>
  <si>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</si>
  <si>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</si>
  <si>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</si>
  <si>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</si>
  <si>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</si>
  <si>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</si>
  <si>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</si>
  <si>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</si>
  <si>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</si>
  <si>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</si>
  <si>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</si>
  <si>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</si>
  <si>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</si>
  <si>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</si>
  <si>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</si>
  <si>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</si>
  <si>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</si>
  <si>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</si>
  <si>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</si>
  <si>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</si>
  <si>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</si>
  <si>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</si>
  <si>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</si>
  <si>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</si>
  <si>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</si>
  <si>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</si>
  <si>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</si>
  <si>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</si>
  <si>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</si>
  <si>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</si>
  <si>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</si>
  <si>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</si>
  <si>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</si>
  <si>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</si>
  <si>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</si>
  <si>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</si>
  <si>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</si>
  <si>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</si>
  <si>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</si>
  <si>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</si>
  <si>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</si>
  <si>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</si>
  <si>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</si>
  <si>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</si>
  <si>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</si>
  <si>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</si>
  <si>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</si>
  <si>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</si>
  <si>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</si>
  <si>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</si>
  <si>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</si>
  <si>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</si>
  <si>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</si>
  <si>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</si>
  <si>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</si>
  <si>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</si>
  <si>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</si>
  <si>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</si>
  <si>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</si>
  <si>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</si>
  <si>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</si>
  <si>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</si>
  <si>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</si>
  <si>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</si>
  <si>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</si>
  <si>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</si>
  <si>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</si>
  <si>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</si>
  <si>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</si>
  <si>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</si>
  <si>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</si>
  <si>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</si>
  <si>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</si>
  <si>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</si>
  <si>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</si>
  <si>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</si>
  <si>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</si>
  <si>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</si>
  <si>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</si>
  <si>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</si>
  <si>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</si>
  <si>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</si>
  <si>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</si>
  <si>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</si>
  <si>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</si>
  <si>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</si>
  <si>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</si>
  <si>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</si>
  <si>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</si>
  <si>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</si>
  <si>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</si>
  <si>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</si>
  <si>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</si>
  <si>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</si>
  <si>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</si>
  <si>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</si>
  <si>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</si>
  <si>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</si>
  <si>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</si>
  <si>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</si>
  <si>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</si>
  <si>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</si>
  <si>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</si>
  <si>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</si>
  <si>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</si>
  <si>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</si>
  <si>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</si>
  <si>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</si>
  <si>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</si>
  <si>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</si>
  <si>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</si>
  <si>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</si>
  <si>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</si>
  <si>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</si>
  <si>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</si>
  <si>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</si>
  <si>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</si>
  <si>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</si>
  <si>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</si>
  <si>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</si>
  <si>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</si>
  <si>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</si>
  <si>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</si>
  <si>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</si>
  <si>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</si>
  <si>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</si>
  <si>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</si>
  <si>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</si>
  <si>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</si>
  <si>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</si>
  <si>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</si>
  <si>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</si>
  <si>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</si>
  <si>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</si>
  <si>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</si>
  <si>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</si>
  <si>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</si>
  <si>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</si>
  <si>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</si>
  <si>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</si>
  <si>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</si>
  <si>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</si>
  <si>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</si>
  <si>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</si>
  <si>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</si>
  <si>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</si>
  <si>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</si>
  <si>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</si>
  <si>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</si>
  <si>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</si>
  <si>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</si>
  <si>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</si>
  <si>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</si>
  <si>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</si>
  <si>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</si>
  <si>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</si>
  <si>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</si>
  <si>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</si>
  <si>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</si>
  <si>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</si>
  <si>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</si>
  <si>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</si>
  <si>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</si>
  <si>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</si>
  <si>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</si>
  <si>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</si>
  <si>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</si>
  <si>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</si>
  <si>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</si>
  <si>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</si>
  <si>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</si>
  <si>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</si>
  <si>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</si>
  <si>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</si>
  <si>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</si>
  <si>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</si>
  <si>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</si>
  <si>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</si>
  <si>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</si>
  <si>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</si>
  <si>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</si>
  <si>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</si>
  <si>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</si>
  <si>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</si>
  <si>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</si>
  <si>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</si>
  <si>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</si>
  <si>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</si>
  <si>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</si>
  <si>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</si>
  <si>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</si>
  <si>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</si>
  <si>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</si>
  <si>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</si>
  <si>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</si>
  <si>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</si>
  <si>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</si>
  <si>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</si>
  <si>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</si>
  <si>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</si>
  <si>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</si>
  <si>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</si>
  <si>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</si>
  <si>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</si>
  <si>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</si>
  <si>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</si>
  <si>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</si>
  <si>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</si>
  <si>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</si>
  <si>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</si>
  <si>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</si>
  <si>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</si>
  <si>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</si>
  <si>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</si>
  <si>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</si>
  <si>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</si>
  <si>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</si>
  <si>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</si>
  <si>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</si>
  <si>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</si>
  <si>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</si>
  <si>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</si>
  <si>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</si>
  <si>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</si>
  <si>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</si>
  <si>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</si>
  <si>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</si>
  <si>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</si>
  <si>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</si>
  <si>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</si>
  <si>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</si>
  <si>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</si>
  <si>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</si>
  <si>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</si>
  <si>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</si>
  <si>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</si>
  <si>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</si>
  <si>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</si>
  <si>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</si>
  <si>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</si>
  <si>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</si>
  <si>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</si>
  <si>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</si>
  <si>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</si>
  <si>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</si>
  <si>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</si>
  <si>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</si>
  <si>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varchar(1)</t>
  </si>
  <si>
    <t>varchar(50)</t>
  </si>
  <si>
    <t>RENBAN</t>
  </si>
  <si>
    <t>CASE_NO</t>
  </si>
  <si>
    <t>CASE_TYPE</t>
  </si>
  <si>
    <t>LogW.Mwh</t>
  </si>
  <si>
    <t>LgwMwhModuleCalling</t>
  </si>
  <si>
    <t>ModuleCalling</t>
  </si>
  <si>
    <t>CALL_TIME</t>
  </si>
  <si>
    <t>CALLED_MODULE_NO</t>
  </si>
  <si>
    <t>datetime2(7)</t>
  </si>
  <si>
    <t>LogW Module Warehouse Module Calling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</si>
</sst>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[Table("LgwMwhModuleCalling")]
	[Index(nameof(Renban), Name="IX_LgwMwhModuleCalling_Renban")]
	[Index(nameof(CaseNo), Name="IX_LgwMwhModuleCalling_CaseNo")]
	[Index(nameof(SupplierNo), Name="IX_LgwMwhModuleCalling_SupplierNo")]
	[Index(nameof(IsActive), Name="IX_LgwMwhModuleCalling_IsActive")]	public class LgwMwhModuleCalling: FullAuditedEntity&lt;long&gt;, IEntity&lt;long&gt;	
	{
		public const int MaxRenbanLength = 50;
		public const int MaxCaseNoLength = 50;
		public const int MaxSupplierNoLength = 50;
		public const int MaxCalledModuleNoLength = 50;
		public const int MaxCaseTypeLength = 50;
		public const int MaxIsActiveLength = 1;
		[StringLength(MaxRenbanLength)]
		public virtual string Renban { get; set; }
		[StringLength(MaxCaseNoLength)]
		public virtual string CaseNo { get; set; }
		[StringLength(MaxSupplierNoLength)]
		public virtual string SupplierNo { get; set; }
		public virtual DateTime CallTime { get; set; }
		[StringLength(MaxCalledModuleNoLength)]
		public virtual string CalledModuleNo { get; set; }
		[StringLength(MaxCaseTypeLength)]
		public virtual string CaseType { get; set; }
		[StringLength(MaxIsActiveLength)]
		public virtual string IsActive { get; set; }
	}
}
</v>
      </c>
      <c r="D47" s="51" t="str">
        <f>A.Backend!O7</f>
        <v xml:space="preserve">		public const string Pages_LogW_Mwh_ModuleCalling = "Pages.LogW.Mwh.ModuleCalling";
		public const string Pages_LogW_Mwh_ModuleCalling_CreateEdit = "Pages.LogW.Mwh.ModuleCalling.CreateEdit";
		public const string Pages_LogW_Mwh_ModuleCalling_Delete = "Pages.LogW.Mwh.ModuleCalling.Delete";
</v>
      </c>
      <c r="E47" s="51" t="str">
        <f>A.Backend!N7</f>
        <v xml:space="preserve">		var perLgwMwhModuleCalling = PARENTS.CreateChildPermission(AppPermissions.Pages_LogW_Mwh_ModuleCalling, L( "LogWMwhModuleCalling"));
		perLgwMwhModuleCalling.CreateChildPermission(AppPermissions.Pages_LogW_Mwh_ModuleCalling_CreateEdit, L( "LogWMwhModuleCallingCreateEdit"));
		perLgwMwhModuleCalling.CreateChildPermission(AppPermissions.Pages_LogW_Mwh_ModuleCalling_Delete, L( "LogWMwhModuleCallingDelete"));</v>
      </c>
      <c r="F47" s="51" t="str">
        <f>A.Backend!K7</f>
        <v>public virtual DbSet&lt;LgwMwhModuleCalling&gt; LgwMwhModuleCallings { get; set; }</v>
      </c>
      <c r="G47" s="51" t="str">
        <f ca="1">A.Backend!L7</f>
        <v xml:space="preserve">namespace vovina.LogW.Mwh
{
	public class LgwMwhModuleCallingConsts	
	{
		public const int MaxRenbanLength = 50;
		public const int MaxCaseNoLength = 50;
		public const int MaxSupplierNoLength = 50;
		public const int MaxCalledModuleNoLength = 50;
		public const int MaxCaseTypeLength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vovina.LogW.Mwh.Dto
{
	public class LgwMwhModuleCallingDto : EntityDto&lt;long?&gt;	
	{
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	}
	public class CreateOrEditLgwMwhModuleCallingDto : EntityDto&lt;long?&gt;	
	{
		[StringLength(LgwMwhModuleCallingConsts.MaxRenbanLength)]
		public virtual string Renban { get; set; }
		[StringLength(LgwMwhModuleCallingConsts.MaxCaseNoLength)]
		public virtual string CaseNo { get; set; }
		[StringLength(LgwMwhModuleCallingConsts.MaxSupplierNoLength)]
		public virtual string SupplierNo { get; set; }
		public virtual DateTime? CallTime { get; set; }
		[StringLength(LgwMwhModuleCallingConsts.MaxCalledModuleNoLength)]
		public virtual string CalledModuleNo { get; set; }
		[StringLength(LgwMwhModuleCallingConsts.MaxCaseTypeLength)]
		public virtual string CaseType { get; set; }
		[StringLength(LgwMwhModuleCallingConsts.MaxIsActiveLength)]
		public virtual string IsActive { get; set; }
	}
	public class GetLgwMwhModuleCallingInput : PagedAndSortedResultRequestDto	
	{
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vovina.LogW.Mwh.Dto
{
	public class LgwMwhModuleCallingExportInput{
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vovina.LogW.Mwh.Dto;
namespace vovina.LogW.Mwh
{
	public interface ILgwMwhModuleCallingAppService : IApplicationService
	{
		Task&lt;PagedResultDto&lt;LgwMwhModuleCallingDto&gt;&gt; GetAll(GetLgwMwhModuleCallingInput input);
		Task CreateOrEdit(CreateOrEditLgwMwhModuleCallingDto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vovina.LogW.Mwh.Dto;
namespace vovina.LogW.Mwh.Exporting
{
	public interface ILgwMwhModuleCallingExcelExporter : IApplicationService
	{
		FileDto ExportToFile(List&lt;LgwMwhModuleCallingDto&gt; lgwmwhmodulecalling);
	}
}
</v>
      </c>
      <c r="L47" s="51" t="str">
        <f ca="1">A.Backend!T7</f>
        <v>using System.Collections.Generic;
using vovina.DataExporting.Excel.NPOI;
using vovina.Dto;
using vovina.LogW.Mwh.Exporting;
using vovina.LogW.Mwh.Dto;
using vovina.Storage;
using vovina.LogW.Mwh.Dto;
namespace vovina.LogW.Mwh.Exporting
{
    public class LgwMwhModuleCallingExcelExporter : NpoiExcelExporterBase, ILgwMwhModuleCallingExcelExporter
    {
        public LgwMwhModuleCallingExcelExporter(ITempFileCacheManager tempFileCacheManager) : base(tempFileCacheManager) { }
        public FileDto ExportToFile(List&lt;LgwMwhModuleCallingDto&gt; modulecalling)
        {
            return CreateExcelPackage(
				"LogWMwhModuleCalling.xlsx",
				excelPackage =&gt;
				 {
					var sheet = excelPackage.CreateSheet("ModuleCalling");
					AddHeader(
								sheet,
								("Renban"),
								("CaseNo"),
								("SupplierNo"),
								("CallTime"),
								("CalledModuleNo"),
								("CaseType"),
								("IsActive"),
							   );
					AddObjects(
						 sheet, 1, modulecalling,                                       
								_ =&gt; _.Renban,
								_ =&gt; _.CaseNo,
								_ =&gt; _.SupplierNo,
								_ =&gt; _.CallTime,
								_ =&gt; _.CalledModuleNo,
								_ =&gt; _.CaseType,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[AbpAuthorize(AppPermissions.Pages_LogW_Mwh_ModuleCalling)]
    public class LgwMwhModuleCallingAppService : vovinaAppServiceBase, ILgwMwhModuleCallingAppService
    {
        private readonly IDapperRepository&lt;LgwMwhModuleCalling, long&gt; _dapperRepo;
        private readonly IRepository&lt;LgwMwhModuleCalling, long&gt; _repo;
        private readonly ILgwMwhModuleCallingExcelExporter _calendarListExcelExporter;
        public LgwMwhModuleCallingAppService(IRepository&lt;LgwMwhModuleCalling,long&gt; repo, 
                                         IDapperRepository&lt;LgwMwhModuleCalling,long&gt; dapperRepo,
                                        ILgwMwhModuleCallingExcelExporter calendarListExcelExporter
            )
        {
            _repo = repo;
            _dapperRepo = dapperRepo;
            _calendarListExcelExporter = calendarListExcelExporter;
        }
        [AbpAuthorize(AppPermissions.Pages_LogW_Mwh_ModuleCalling_CreateEdit)]
        public async Task CreateOrEdit(CreateOrEditLgwMwhModuleCallingDto input)
        {
            if (input.Id == null) await Create(input);
            else await Update(input);
        }
        //CREATE
        private async Task Create(CreateOrEditLgwMwhModuleCallingDto input)
        {          
            var mainObj = ObjectMapper.Map&lt;LgwMwhModuleCalling&gt;(input);
            await CurrentUnitOfWork.GetDbContext&lt;vovinaDbContext&gt;().AddAsync(mainObj);
        }
        // EDIT
        private async Task Update(CreateOrEditLgwMwhModuleCallingDto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[AbpAuthorize(AppPermissions.Pages_LogW_Mwh_ModuleCalling_Delete)]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Task&lt;PagedResultDto&lt;LgwMwhModuleCallingDto&gt;&gt; GetAll(GetLgwMwhModuleCallingInput input)
        {
            var filtered = _repo.GetAll()
				.WhereIf(!string.IsNullOrWhiteSpace(input.Renban), e =&gt; e.Renban.Contains(input.Renban))
				.WhereIf(!string.IsNullOrWhiteSpace(input.CaseNo), e =&gt; e.CaseNo.Contains(input.CaseNo))
				.WhereIf(!string.IsNullOrWhiteSpace(input.SupplierNo), e =&gt; e.SupplierNo.Contains(input.SupplierNo))
				.WhereIf(input.CallTime.HasValue, t =&gt; t.CallTime == input.CallTime.Value)
				.WhereIf(!string.IsNullOrWhiteSpace(input.CalledModuleNo), e =&gt; e.CalledModuleNo.Contains(input.CalledModuleNo))
				.WhereIf(!string.IsNullOrWhiteSpace(input.CaseType), e =&gt; e.CaseType.Contains(input.CaseType))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LgwMwhModuleCallingDto
                        {
							Id = o.Id,
							Renban = o.Renban,
							CaseNo = o.CaseNo,
							SupplierNo = o.SupplierNo,
							CallTime = o.CallTime,
							CalledModuleNo = o.CalledModuleNo,
							CaseType = o.CaseType,
							IsActive = o.IsActive,
                        };
            var totalCount = await filtered.CountAsync();
			var paged = system.PageBy(input);
            return new PagedResultDto&lt;LgwMwhModuleCallingDto&gt;(
                totalCount,
                 await paged.ToListAsync()
            );
        }
        public async Task&lt;FileDto&gt; GetModuleCallingToExcel(LgwMwhModuleCallingExportInput input)
        {
            var query = from o in _repo.GetAll()
                        select new LgwMwhModuleCallingDto
                        {
							Id = o.Id,
							Renban = o.Renban,
							CaseNo = o.CaseNo,
							SupplierNo = o.SupplierNo,
							CallTime = o.CallTime,
							CalledModuleNo = o.CalledModuleNo,
							CaseType = o.CaseType,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_dapperRepo.ExecuteAsync(LgwMwhModuleCallingConsts.SP_MST_WPT_CALENDAR_GENERATE);
       // }
    }
}</v>
      </c>
      <c r="N47" s="62" t="str">
        <f>A.Backend!U7</f>
        <v xml:space="preserve">  configuration.CreateMap&lt;LgwMwhModuleCallingDto, LgwMwhModuleCalling&gt;();
  configuration.CreateMap&lt;LgwMwhModuleCalling, LgwMwhModuleCallingDto&gt;();
  configuration.CreateMap&lt;CreateOrEditLgwMwhModuleCallingDto, LgwMwhModuleCalling&gt;();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modulecalling</v>
      </c>
      <c r="C52" s="72" t="str">
        <f>"create folder " &amp;B52</f>
        <v>create folder modulecalling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modulecalling.component.ts</v>
      </c>
      <c r="D53" s="31" t="str">
        <f>B.Frontend!I14</f>
        <v>modulecalling.component.html</v>
      </c>
      <c r="E53" s="31" t="str">
        <f>B.Frontend!J14</f>
        <v>modulecalling.component.less</v>
      </c>
      <c r="F53" s="31" t="str">
        <f>B.Frontend!K14</f>
        <v>create-or-edit-modulecalling-modal.component.html</v>
      </c>
      <c r="G53" s="31" t="str">
        <f>B.Frontend!L14</f>
        <v>create-or-edit-modulecalling-modal.component.ts</v>
      </c>
      <c r="H53" s="31" t="str">
        <f>B.Frontend!M14</f>
        <v>create-or-edit-modulecalling-modal.component.less</v>
      </c>
      <c r="I53" s="31" t="str">
        <f>B.Frontend!N14</f>
        <v>modulecalling.module.ts</v>
      </c>
      <c r="J53" s="31" t="str">
        <f>B.Frontend!O14</f>
        <v>modulecalling-routing.module.ts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LgwMwhModuleCallingDto, LgwMwhModuleCallingServiceProxy } from '@shared/service-proxies/service-proxies';
import { finalize } from 'rxjs/internal/operators/finalize';
import { CreateOrEditModuleCallingModalComponent } from './create-or-edit-modulecalling-modal.component';
import { DatePipe } from '@angular/common';
import { FileDownloadService } from '@shared/utils/file-download.service';
import ceil from 'lodash-es/ceil';
import { Paginator } from 'primeng/paginator';
@Component({
    templateUrl: './modulecalling.component.html',
    styleUrls: ['./modulecalling.component.less'],
})
export class ModuleCallingComponent extends AppComponentBase implements OnInit {
    @ViewChild('createOrEditModalModuleCalling', { static: true }) createOrEditModalModuleCalling:| CreateOrEditModuleCallingModalComponent|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LgwMwhModuleCallingDto = new LgwMwhModuleCallingDto();
    saveSelectedRow: LgwMwhModuleCallingDto = new LgwMwhModuleCallingDto();
    datas: LgwMwhModuleCallingDto = new LgwMwhModuleCallingDto();
    isLoading: boolean = false;
    dataParams: GridParams | undefined;
    rowData: any[] = [];
    gridApi!: GridApi;
    rowSelection = 'multiple';
    filter: string = '';
	pipe = new DatePipe('en-US');
	frameworkComponents: FrameworkComponent;
    renban : string = '' ; 
	caseNo : string = '' ; 
	supplierNo : string = '' ; 
	callTime : any ;
	calledModuleNo : string = '' ; 
caseType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LgwMwhModuleCallingServiceProxy,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this.l('Renban'),headerTooltip: this.l('Renban'),field: 'renban',flex: 1},
			{headerName: this.l('Case No'),headerTooltip: this.l('Case No'),field: 'caseNo',flex: 1},
			{headerName: this.l('Supplier No'),headerTooltip: this.l('Supplier No'),field: 'supplierNo',flex: 1},
			{headerName: this.l('Call Time'),headerTooltip: this.l('Call Time'),field: 'callTime',valueGetter: (params) =&gt; this.pipe.transform(params.data?.callTime, 'dd/MM/yyyy'),flex: 1},
			{headerName: this.l('Called Module No'),headerTooltip: this.l('Called Module No'),field: 'calledModuleNo',flex: 1},
			{headerName: this.l('Case Type'),headerTooltip: this.l('Case Type'),field: 'caseType',flex: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this.renban,
			this.caseNo,
			this.supplierNo,
			this.callTime,
			this.calledModuleNo,
			this.caseType,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this.renban = '',
		this.caseNo = '',
		this.supplierNo = '',
		this.callTime = '',
		this.calledModuleNo = '',
this.caseType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this.renban,
			this.caseNo,
			this.supplierNo,
			this.callTime,
			this.calledModuleNo,
			this.caseType,
			this.isActive,
			'',
            this.paginationParams.skipCount,
            this.paginationParams.pageSize
        );
    }
    onChangeRowSelection(params: { api: { getSelectedRows: () =&gt; LgwMwhModuleCallingDto[] } }) {
        this.saveSelectedRow = params.api.getSelectedRows()[0] ?? new LgwMwhModuleCallingDto();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LgwMwhModuleCallingDto):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this._service.getModuleCallingToExcel(
			this.renban,
			this.caseNo,
			this.supplierNo,
			this.callTime,
			this.calledModuleNo,
			this.caseType,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Renban Module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type='text' [placeholder]="l('Call Time')" [(ngModel)]='callTime' 
									name='callTime'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[(ngModel)]='calledModuleNo' name='calledModuleNo'
									class='form-control' [placeholder]="l('Called Module No')"
									type='text' (keyup.enter)='searchDatas()'&gt;
								&lt;/div&gt;
								&lt;div class='input-search'&gt;
									&lt;input [(ngModel)]='caseType' name='caseType'
									class='form-control' [placeholder]="l('Case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(click)="createOrEditModalModuleCalling.show()"&gt;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(click)="createOrEditModalModuleCalling.show(selectedRow)"&gt;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&lt;create-or-edit-modulecalling-modal
    #createOrEditModalModuleCalling
    (modalSave)="callBackDataGrid(dataParams)"
    (modalClose)="onChangeRowSelection(dataParams)"
&gt;
&lt;/create-or-edit-modulecalling-modal&gt;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#createOrEditModalModuleCalling="bs-modal"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ModuleCalling')}}&lt;/h3&gt;
                    &lt;h3 *ngIf="!rowdata.id"&gt;{{('Create New ModuleCalling')}}&lt;/h3&gt;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
					&lt;div class='col-md-12 form-group row'&gt;
						&lt;label class='col-md-2 form-control title'&gt;Called Module No&lt;/label&gt;
						&lt;input type='text' class='col-md-10 form-control input-text' name='CalledModuleNo' [(ngModel)]='rowdata.calledModuleNo'&gt;
					&lt;/div&gt;
					&lt;div class='col-md-12 form-group row'&gt;
						&lt;label class='col-md-2 form-control title'&gt;Case Type&lt;/label&gt;
						&lt;input type='text' class='col-md-10 form-control input-text' name='CaseType' [(ngModel)]='rowdata.caseType'&gt;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CreateOrEditLgwMwhModuleCallingDto, LgwMwhModuleCallingServiceProxy } from '@shared/service-proxies/service-proxies';
import { BsDatepickerDirective } from 'ngx-bootstrap/datepicker';
@Component({
    selector: 'create-or-edit-modulecalling-modal',
    templateUrl: './create-or-edit-modulecalling-modal.component.html',
    styleUrls: ['./create-or-edit-modulecalling-modal.component.less']
    })
export class CreateOrEditModuleCallingModalComponent extends AppComponentBase {
    @ViewChild('createOrEditModalModuleCalling',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CreateOrEditLgwMwhModuleCallingDto = new CreateOrEditLgwMwhModuleCallingDto();
    active: boolean = false;
    saving: boolean = false;
    _isActive: boolean;
    constructor(
        injector: Injector,
        private _mstwptModuleCallingService: LgwMwhModuleCallingServiceProxy,
    ) 
    {
        super(injector);
    }
    show(rowdata?: CreateOrEditLgwMwhModuleCallingDto): void {
        if (!rowdata) this.rowdata = new CreateOrEditLgwMwhModuleCallingDto();
        else this.rowdata = rowdata;
		const dateValue =  this.rowdata.callTime ? new Date(this.rowdata.callTime?.toString())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this._mstwptModuleCallingService.createOrEdit(this.rowdata)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ModuleCallingRoutingModule } from './modulecalling-routing.module';
import { ModuleCallingComponent } from './modulecalling.component';
import { CreateOrEditModuleCallingModalComponent } from './create-or-edit-modulecalling-modal.component';
@NgModule({
    declarations: [
       ModuleCallingComponent, 
        CreateOrEditModuleCallingModalComponent
    ],
    imports: [
        AppSharedModule, ModuleCallingRoutingModule]
})
export class ModuleCallingModule {}</v>
      </c>
      <c r="J54" s="49" t="str">
        <f>B.Frontend!O10</f>
        <v>import {NgModule} from '@angular/core';
import {RouterModule, Routes} from '@angular/router';
import { ModuleCallingComponent } from './modulecalling.component';
const routes: Routes = [{
    path: '',
    component: ModuleCallingComponent,
    pathMatch: 'full'
}];
@NgModule({
    imports: [RouterModule.forChild(routes)],
    exports: [RouterModule],
})
export class ModuleCallingRoutingModule {}</v>
      </c>
      <c r="K54" s="49" t="str">
        <f>B.Frontend!P10</f>
        <v xml:space="preserve"> new AppMenuItem("ModuleCalling", "Pages.LogW.Mwh.ModuleCalling", "flaticon-book",   "/app/main/logw/mwh/modulecalling"),</v>
      </c>
      <c r="L54" s="50" t="str">
        <f>B.Frontend!Q10</f>
        <v>{
    path: 'logw/mwh/modulecalling',
    loadChildren: () =&gt; import('./logw/mwh/modulecalling/modulecalling.module').then(m =&gt; m.ModuleCallingModule),
    data: { permission: 'Pages.LogW.Mwh.ModuleCalling' }
},</v>
      </c>
      <c r="M54" s="48" t="str">
        <f>B.Frontend!R10</f>
        <v>ApiServiceProxies.LgwMwhModuleCallingServiceProxy,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A9" sqref="A9:A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vovina.LogW.Mwh.Dto;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308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309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Mwh</v>
      </c>
      <c r="R3" s="32" t="str">
        <f>REPT(CHAR(9),1)&amp;"public class "&amp;B3&amp;"ExportInput"&amp;C3</f>
        <v xml:space="preserve">	public class LgwMwhModuleCallingExportInput{
</v>
      </c>
      <c r="S3" s="11" t="str">
        <f>"namespace "&amp;$B$6&amp;".Exporting
"&amp;$C$3</f>
        <v xml:space="preserve">namespace vovina.LogW.Mwh.Exporting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vovina.LogW.Mwh</v>
      </c>
      <c r="C6" s="11" t="str">
        <f>"namespace "&amp;$B$6&amp;"
"&amp;$C$3</f>
        <v xml:space="preserve">namespace vovina.LogW.Mwh
{
</v>
      </c>
      <c r="D6" s="11" t="str">
        <f>REPT(CHAR(9),1)&amp;"public class "&amp;B3&amp;G3&amp;REPT(CHAR(9),1)&amp;"
"&amp;REPT(CHAR(9),1)&amp;C3</f>
        <v xml:space="preserve">	public class LgwMwhModuleCalling: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LgwMwhModuleCallingConsts	
	{
</v>
      </c>
      <c r="F6" s="11" t="str">
        <f>REPT(CHAR(9),1)&amp;"public class "&amp;B3&amp;"Dto"&amp;K3&amp;REPT(CHAR(9),1)&amp;"
"&amp;REPT(CHAR(9),1)&amp;C3</f>
        <v xml:space="preserve">	public class LgwMwhModuleCallingDto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CreateOrEditLgwMwhModuleCallingDto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GetLgwMwhModuleCallingInput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LgwMwhModuleCalling</v>
      </c>
      <c r="C7" s="11" t="str">
        <f>REPT(CHAR(9),1)&amp;"[Table("""&amp;B7&amp;""")]"&amp;"
"</f>
        <v xml:space="preserve">	[Table("LgwMwhModuleCalling")]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[Table("LgwMwhModuleCalling")]
	[Index(nameof(Renban), Name="IX_LgwMwhModuleCalling_Renban")]
	[Index(nameof(CaseNo), Name="IX_LgwMwhModuleCalling_CaseNo")]
	[Index(nameof(SupplierNo), Name="IX_LgwMwhModuleCalling_SupplierNo")]
	[Index(nameof(IsActive), Name="IX_LgwMwhModuleCalling_IsActive")]	public class LgwMwhModuleCalling: FullAuditedEntity&lt;long&gt;, IEntity&lt;long&gt;	
	{
		public const int MaxRenbanLength = 50;
		public const int MaxCaseNoLength = 50;
		public const int MaxSupplierNoLength = 50;
		public const int MaxCalledModuleNoLength = 50;
		public const int MaxCaseTypeLength = 50;
		public const int MaxIsActiveLength = 1;
		[StringLength(MaxRenbanLength)]
		public virtual string Renban { get; set; }
		[StringLength(MaxCaseNoLength)]
		public virtual string CaseNo { get; set; }
		[StringLength(MaxSupplierNoLength)]
		public virtual string SupplierNo { get; set; }
		public virtual DateTime CallTime { get; set; }
		[StringLength(MaxCalledModuleNoLength)]
		public virtual string CalledModuleNo { get; set; }
		[StringLength(MaxCaseTypeLength)]
		public virtual string CaseType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DbSet&lt;LgwMwhModuleCalling&gt; LgwMwhModuleCallings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vovina.LogW.Mwh
{
	public class LgwMwhModuleCallingConsts	
	{
		public const int MaxRenbanLength = 50;
		public const int MaxCaseNoLength = 50;
		public const int MaxSupplierNoLength = 50;
		public const int MaxCalledModuleNoLength = 50;
		public const int MaxCaseTypeLength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vovina.LogW.Mwh.Dto
{
	public class LgwMwhModuleCallingDto : EntityDto&lt;long?&gt;	
	{
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	}
	public class CreateOrEditLgwMwhModuleCallingDto : EntityDto&lt;long?&gt;	
	{
		[StringLength(LgwMwhModuleCallingConsts.MaxRenbanLength)]
		public virtual string Renban { get; set; }
		[StringLength(LgwMwhModuleCallingConsts.MaxCaseNoLength)]
		public virtual string CaseNo { get; set; }
		[StringLength(LgwMwhModuleCallingConsts.MaxSupplierNoLength)]
		public virtual string SupplierNo { get; set; }
		public virtual DateTime? CallTime { get; set; }
		[StringLength(LgwMwhModuleCallingConsts.MaxCalledModuleNoLength)]
		public virtual string CalledModuleNo { get; set; }
		[StringLength(LgwMwhModuleCallingConsts.MaxCaseTypeLength)]
		public virtual string CaseType { get; set; }
		[StringLength(LgwMwhModuleCallingConsts.MaxIsActiveLength)]
		public virtual string IsActive { get; set; }
	}
	public class GetLgwMwhModuleCallingInput : PagedAndSortedResultRequestDto	
	{
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perLgwMwhModuleCalling = PARENTS.CreateChildPermission(AppPermissions.Pages_LogW_Mwh_ModuleCalling, L( "LogWMwhModuleCalling"));
		perLgwMwhModuleCalling.CreateChildPermission(AppPermissions.Pages_LogW_Mwh_ModuleCalling_CreateEdit, L( "LogWMwhModuleCallingCreateEdit"));
		perLgwMwhModuleCalling.CreateChildPermission(AppPermissions.Pages_LogW_Mwh_ModuleCalling_Delete, L( "LogWMwhModuleCallingDelete"));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Pages_LogW_Mwh_ModuleCalling = "Pages.LogW.Mwh.ModuleCalling";
		public const string Pages_LogW_Mwh_ModuleCalling_CreateEdit = "Pages.LogW.Mwh.ModuleCalling.CreateEdit";
		public const string Pages_LogW_Mwh_ModuleCalling_Delete = "Pages.LogW.Mwh.ModuleCalling.Delete";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
{
	public interface ILgwMwhModuleCallingAppService : IApplicationService
	{
		Task&lt;PagedResultDto&lt;LgwMwhModuleCallingDto&gt;&gt; GetAll(GetLgwMwhModuleCallingInput input);
		Task CreateOrEdit(CreateOrEditLgwMwhModuleCallingDto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[AbpAuthorize(AppPermissions.Pages_LogW_Mwh_ModuleCalling)]
    public class LgwMwhModuleCallingAppService : vovinaAppServiceBase, ILgwMwhModuleCallingAppService
    {
        private readonly IDapperRepository&lt;LgwMwhModuleCalling, long&gt; _dapperRepo;
        private readonly IRepository&lt;LgwMwhModuleCalling, long&gt; _repo;
        private readonly ILgwMwhModuleCallingExcelExporter _calendarListExcelExporter;
        public LgwMwhModuleCallingAppService(IRepository&lt;LgwMwhModuleCalling,long&gt; repo, 
                                         IDapperRepository&lt;LgwMwhModuleCalling,long&gt; dapperRepo,
                                        ILgwMwhModuleCallingExcelExporter calendarListExcelExporter
            )
        {
            _repo = repo;
            _dapperRepo = dapperRepo;
            _calendarListExcelExporter = calendarListExcelExporter;
        }
        [AbpAuthorize(AppPermissions.Pages_LogW_Mwh_ModuleCalling_CreateEdit)]
        public async Task CreateOrEdit(CreateOrEditLgwMwhModuleCallingDto input)
        {
            if (input.Id == null) await Create(input);
            else await Update(input);
        }
        //CREATE
        private async Task Create(CreateOrEditLgwMwhModuleCallingDto input)
        {          
            var mainObj = ObjectMapper.Map&lt;LgwMwhModuleCalling&gt;(input);
            await CurrentUnitOfWork.GetDbContext&lt;vovinaDbContext&gt;().AddAsync(mainObj);
        }
        // EDIT
        private async Task Update(CreateOrEditLgwMwhModuleCallingDto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[AbpAuthorize(AppPermissions.Pages_LogW_Mwh_ModuleCalling_Delete)]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Task&lt;PagedResultDto&lt;LgwMwhModuleCallingDto&gt;&gt; GetAll(GetLgwMwhModuleCallingInput input)
        {
            var filtered = _repo.GetAll()
				.WhereIf(!string.IsNullOrWhiteSpace(input.Renban), e =&gt; e.Renban.Contains(input.Renban))
				.WhereIf(!string.IsNullOrWhiteSpace(input.CaseNo), e =&gt; e.CaseNo.Contains(input.CaseNo))
				.WhereIf(!string.IsNullOrWhiteSpace(input.SupplierNo), e =&gt; e.SupplierNo.Contains(input.SupplierNo))
				.WhereIf(input.CallTime.HasValue, t =&gt; t.CallTime == input.CallTime.Value)
				.WhereIf(!string.IsNullOrWhiteSpace(input.CalledModuleNo), e =&gt; e.CalledModuleNo.Contains(input.CalledModuleNo))
				.WhereIf(!string.IsNullOrWhiteSpace(input.CaseType), e =&gt; e.CaseType.Contains(input.CaseType))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LgwMwhModuleCallingDto
                        {
							Id = o.Id,
							Renban = o.Renban,
							CaseNo = o.CaseNo,
							SupplierNo = o.SupplierNo,
							CallTime = o.CallTime,
							CalledModuleNo = o.CalledModuleNo,
							CaseType = o.CaseType,
							IsActive = o.IsActive,
                        };
            var totalCount = await filtered.CountAsync();
			var paged = system.PageBy(input);
            return new PagedResultDto&lt;LgwMwhModuleCallingDto&gt;(
                totalCount,
                 await paged.ToListAsync()
            );
        }
        public async Task&lt;FileDto&gt; GetModuleCallingToExcel(LgwMwhModuleCallingExportInput input)
        {
            var query = from o in _repo.GetAll()
                        select new LgwMwhModuleCallingDto
                        {
							Id = o.Id,
							Renban = o.Renban,
							CaseNo = o.CaseNo,
							SupplierNo = o.SupplierNo,
							CallTime = o.CallTime,
							CalledModuleNo = o.CalledModuleNo,
							CaseType = o.CaseType,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_dapperRepo.ExecuteAsync(LgwMwhModuleCallingConsts.SP_MST_WPT_CALENDAR_GENERATE);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vovina.LogW.Mwh.Dto
{
	public class LgwMwhModuleCallingExportInput{
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vovina.LogW.Mwh.Exporting
{
	public interface ILgwMwhModuleCallingExcelExporter : IApplicationService
	{
		FileDto ExportToFile(List&lt;LgwMwhModuleCallingDto&gt; lgwmwhmodulecalling);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vovina.LogW.Mwh.Exporting;
using vovina.LogW.Mwh.Dto;
using vovina.Storage;
using vovina.LogW.Mwh.Dto;
namespace vovina.LogW.Mwh.Exporting
{
    public class LgwMwhModuleCallingExcelExporter : NpoiExcelExporterBase, ILgwMwhModuleCallingExcelExporter
    {
        public LgwMwhModuleCallingExcelExporter(ITempFileCacheManager tempFileCacheManager) : base(tempFileCacheManager) { }
        public FileDto ExportToFile(List&lt;LgwMwhModuleCallingDto&gt; modulecalling)
        {
            return CreateExcelPackage(
				"LogWMwhModuleCalling.xlsx",
				excelPackage =&gt;
				 {
					var sheet = excelPackage.CreateSheet("ModuleCalling");
					AddHeader(
								sheet,
								("Renban"),
								("CaseNo"),
								("SupplierNo"),
								("CallTime"),
								("CalledModuleNo"),
								("CaseType"),
								("IsActive"),
							   );
					AddObjects(
						 sheet, 1, modulecalling,                                       
								_ =&gt; _.Renban,
								_ =&gt; _.CaseNo,
								_ =&gt; _.SupplierNo,
								_ =&gt; _.CallTime,
								_ =&gt; _.CalledModuleNo,
								_ =&gt; _.CaseType,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configuration.CreateMap&lt;LgwMwhModuleCallingDto, LgwMwhModuleCalling&gt;();
  configuration.CreateMap&lt;LgwMwhModuleCalling, LgwMwhModuleCallingDto&gt;();
  configuration.CreateMap&lt;CreateOrEditLgwMwhModuleCallingDto, LgwMwhModuleCalling&gt;();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304</v>
      </c>
      <c r="C9" t="s">
        <v>1</v>
      </c>
      <c r="D9" t="str">
        <f>SUBSTITUTE(PROPER(A9),"_","")</f>
        <v>Renban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MaxRenbanLength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[StringLength(MaxRenbanLength)]
		public virtual string Renban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[Index(nameof(Renban), Name="IX_LgwMwhModuleCalling_Renban")]</v>
      </c>
      <c r="M9" t="str">
        <f>REPT(CHAR(9),2)&amp;"public virtual "&amp;IF(OR(H9="DateTime",H9="TimeSpan"),H9&amp;"?",H9)&amp;IF(C9="?","? "," ")&amp;D9&amp;" { get; set; }" &amp; "
"</f>
        <v xml:space="preserve">		public virtual string Renban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[StringLength(LgwMwhModuleCallingConsts.MaxRenbanLength)]
		public virtual string Renban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Renban { get; set; }
</v>
      </c>
      <c r="P9" t="str">
        <f t="shared" ref="P9:P11" si="4">REPT(CHAR(9),7)&amp;D9&amp;" = o." &amp;D9 &amp;","</f>
        <v xml:space="preserve">							Renban = o.Renban,</v>
      </c>
      <c r="T9" s="69" t="str">
        <f>REPT(CHAR(9),8)&amp;"("""&amp;D9&amp;"""),"</f>
        <v xml:space="preserve">								("Renban"),</v>
      </c>
      <c r="V9" s="70" t="str">
        <f>REPT(CHAR(9),8)&amp;"_ =&gt; _."&amp;D9&amp;","</f>
        <v xml:space="preserve">								_ =&gt; _.Renban,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.WhereIf(!string.IsNullOrWhiteSpace(input.Renban), e =&gt; e.Renban.Contains(input.Renban))</v>
      </c>
    </row>
    <row r="10" spans="1:23" customFormat="1" ht="21" customHeight="1" x14ac:dyDescent="0.25">
      <c r="A10" t="s">
        <v>306</v>
      </c>
      <c r="B10" t="s">
        <v>304</v>
      </c>
      <c r="C10" t="s">
        <v>1</v>
      </c>
      <c r="D10" t="str">
        <f t="shared" ref="D10:D11" si="5">SUBSTITUTE(PROPER(A10),"_","")</f>
        <v>CaseNo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MaxCaseNoLength = 50;
</v>
      </c>
      <c r="J10" t="str">
        <f t="shared" si="3"/>
        <v xml:space="preserve">		[StringLength(MaxCaseNoLength)]
		public virtual string CaseNo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[Index(nameof(CaseNo), Name="IX_LgwMwhModuleCalling_CaseNo")]</v>
      </c>
      <c r="M10" t="str">
        <f t="shared" ref="M10:M11" si="7">REPT(CHAR(9),2)&amp;"public virtual "&amp;IF(OR(H10="DateTime",H10="TimeSpan"),H10&amp;"?",H10)&amp;IF(C10="?","? "," ")&amp;D10&amp;" { get; set; }" &amp; "
"</f>
        <v xml:space="preserve">		public virtual string CaseNo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[StringLength(LgwMwhModuleCallingConsts.MaxCaseNoLength)]
		public virtual string CaseNo { get; set; }
</v>
      </c>
      <c r="O10" t="str">
        <f t="shared" ref="O10:O11" si="9">IF(OR(H10="string",H10="DateTime",H10="int"),REPT(CHAR(9),2)&amp;"public virtual "&amp;IF(OR(H10="DateTime",H10="TimeSpan"),H10&amp;"?",H10)&amp;IF(C10="?","? "," ")&amp;D10&amp;" { get; set; }"&amp;$E$3,"")</f>
        <v xml:space="preserve">		public virtual string CaseNo { get; set; }
</v>
      </c>
      <c r="P10" t="str">
        <f t="shared" si="4"/>
        <v xml:space="preserve">							CaseNo = o.CaseNo,</v>
      </c>
      <c r="T10" s="69" t="str">
        <f t="shared" ref="T10:T11" si="10">REPT(CHAR(9),8)&amp;"("""&amp;D10&amp;"""),"</f>
        <v xml:space="preserve">								("CaseNo"),</v>
      </c>
      <c r="V10" s="70" t="str">
        <f t="shared" ref="V10:V11" si="11">REPT(CHAR(9),8)&amp;"_ =&gt; _."&amp;D10&amp;","</f>
        <v xml:space="preserve">								_ =&gt; _.CaseNo,</v>
      </c>
      <c r="W10" s="69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.WhereIf(!string.IsNullOrWhiteSpace(input.CaseNo), e =&gt; e.CaseNo.Contains(input.CaseNo))</v>
      </c>
    </row>
    <row r="11" spans="1:23" customFormat="1" ht="18.75" customHeight="1" x14ac:dyDescent="0.25">
      <c r="A11" t="s">
        <v>301</v>
      </c>
      <c r="B11" t="s">
        <v>304</v>
      </c>
      <c r="C11" t="s">
        <v>1</v>
      </c>
      <c r="D11" t="str">
        <f t="shared" si="5"/>
        <v>SupplierNo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MaxSupplierNoLength = 50;
</v>
      </c>
      <c r="J11" t="str">
        <f t="shared" si="3"/>
        <v xml:space="preserve">		[StringLength(MaxSupplierNoLength)]
		public virtual string SupplierNo { get; set; }
</v>
      </c>
      <c r="K11" s="7" t="s">
        <v>206</v>
      </c>
      <c r="L11" t="str">
        <f t="shared" si="6"/>
        <v xml:space="preserve">	[Index(nameof(SupplierNo), Name="IX_LgwMwhModuleCalling_SupplierNo")]</v>
      </c>
      <c r="M11" t="str">
        <f t="shared" si="7"/>
        <v xml:space="preserve">		public virtual string SupplierNo { get; set; }
</v>
      </c>
      <c r="N11" t="str">
        <f t="shared" si="8"/>
        <v xml:space="preserve">		[StringLength(LgwMwhModuleCallingConsts.MaxSupplierNoLength)]
		public virtual string SupplierNo { get; set; }
</v>
      </c>
      <c r="O11" t="str">
        <f t="shared" si="9"/>
        <v xml:space="preserve">		public virtual string SupplierNo { get; set; }
</v>
      </c>
      <c r="P11" t="str">
        <f t="shared" si="4"/>
        <v xml:space="preserve">							SupplierNo = o.SupplierNo,</v>
      </c>
      <c r="T11" s="69" t="str">
        <f t="shared" si="10"/>
        <v xml:space="preserve">								("SupplierNo"),</v>
      </c>
      <c r="V11" s="70" t="str">
        <f t="shared" si="11"/>
        <v xml:space="preserve">								_ =&gt; _.SupplierNo,</v>
      </c>
      <c r="W11" s="69" t="str">
        <f t="shared" si="12"/>
        <v xml:space="preserve">				.WhereIf(!string.IsNullOrWhiteSpace(input.SupplierNo), e =&gt; e.SupplierNo.Contains(input.SupplierNo))</v>
      </c>
    </row>
    <row r="12" spans="1:23" customFormat="1" ht="21" customHeight="1" x14ac:dyDescent="0.25">
      <c r="A12" t="s">
        <v>311</v>
      </c>
      <c r="B12" t="s">
        <v>313</v>
      </c>
      <c r="C12" t="s">
        <v>1</v>
      </c>
      <c r="D12" t="str">
        <f t="shared" ref="D12" si="13">SUBSTITUTE(PROPER(A12),"_","")</f>
        <v>CallTime</v>
      </c>
      <c r="E12" t="str">
        <f t="shared" ref="E12" si="14">IFERROR(LEFT(B12, FIND("(",B12)-1),B12)</f>
        <v>datetime2</v>
      </c>
      <c r="F12" s="7"/>
      <c r="G12" t="str">
        <f t="shared" ref="G12" si="15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" si="16">IF(H12="string",REPT(CHAR(9),2)&amp;"public const int Max"&amp;D12&amp;"Length = "&amp;G12&amp;";"&amp;$E$3,"" )</f>
        <v/>
      </c>
      <c r="J12" t="str">
        <f t="shared" ref="J12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DateTime CallTime { get; set; }
</v>
      </c>
      <c r="K12" s="7"/>
      <c r="L12" t="str">
        <f t="shared" ref="L12" si="18">IF(K12="","",REPT(CHAR(9),1)&amp;"[Index(nameof("&amp;IF(D12="","",""&amp;D12)&amp;")"&amp;", Name="&amp;"""IX_"&amp;$B$7&amp;"_"&amp;D12&amp;""")]")</f>
        <v/>
      </c>
      <c r="M12" t="str">
        <f t="shared" ref="M12" si="19">REPT(CHAR(9),2)&amp;"public virtual "&amp;IF(OR(H12="DateTime",H12="TimeSpan"),H12&amp;"?",H12)&amp;IF(C12="?","? "," ")&amp;D12&amp;" { get; set; }" &amp; "
"</f>
        <v xml:space="preserve">		public virtual DateTime? CallTime { get; set; }
</v>
      </c>
      <c r="N12" t="str">
        <f t="shared" ref="N12" si="2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CallTime { get; set; }
</v>
      </c>
      <c r="O12" t="str">
        <f t="shared" ref="O12" si="21">IF(OR(H12="string",H12="DateTime",H12="int"),REPT(CHAR(9),2)&amp;"public virtual "&amp;IF(OR(H12="DateTime",H12="TimeSpan"),H12&amp;"?",H12)&amp;IF(C12="?","? "," ")&amp;D12&amp;" { get; set; }"&amp;$E$3,"")</f>
        <v xml:space="preserve">		public virtual DateTime? CallTime { get; set; }
</v>
      </c>
      <c r="P12" t="str">
        <f t="shared" ref="P12" si="22">REPT(CHAR(9),7)&amp;D12&amp;" = o." &amp;D12 &amp;","</f>
        <v xml:space="preserve">							CallTime = o.CallTime,</v>
      </c>
      <c r="T12" s="69" t="str">
        <f t="shared" ref="T12" si="23">REPT(CHAR(9),8)&amp;"("""&amp;D12&amp;"""),"</f>
        <v xml:space="preserve">								("CallTime"),</v>
      </c>
      <c r="V12" s="70" t="str">
        <f t="shared" ref="V12" si="24">REPT(CHAR(9),8)&amp;"_ =&gt; _."&amp;D12&amp;","</f>
        <v xml:space="preserve">								_ =&gt; _.CallTime,</v>
      </c>
      <c r="W12" s="69" t="str">
        <f t="shared" ref="W12" si="2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.WhereIf(input.CallTime.HasValue, t =&gt; t.CallTime == input.CallTime.Value)</v>
      </c>
    </row>
    <row r="13" spans="1:23" customFormat="1" ht="22.5" customHeight="1" x14ac:dyDescent="0.25">
      <c r="A13" t="s">
        <v>312</v>
      </c>
      <c r="B13" t="s">
        <v>304</v>
      </c>
      <c r="C13" t="s">
        <v>1</v>
      </c>
      <c r="D13" t="str">
        <f>SUBSTITUTE(PROPER(A13),"_","")</f>
        <v>CalledModuleNo</v>
      </c>
      <c r="E13" t="str">
        <f>IFERROR(LEFT(B13, FIND("(",B13)-1),B13)</f>
        <v>varchar</v>
      </c>
      <c r="F13" s="7"/>
      <c r="G13" t="str">
        <f>IFERROR(MID(B13,FIND("(",B13) +1, FIND(")",B13) - FIND("(",B13) - 1),"")</f>
        <v>50</v>
      </c>
      <c r="H13" t="str">
        <f>+VLOOKUP(E13,'Data Type Mapping'!A:B,2,)</f>
        <v>string</v>
      </c>
      <c r="I13" t="str">
        <f>IF(H13="string",REPT(CHAR(9),2)&amp;"public const int Max"&amp;D13&amp;"Length = "&amp;G13&amp;";"&amp;$E$3,"" )</f>
        <v xml:space="preserve">		public const int MaxCalledModuleNoLength = 50;
</v>
      </c>
      <c r="J13" t="str">
        <f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[StringLength(MaxCalledModuleNoLength)]
		public virtual string CalledModuleNo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>REPT(CHAR(9),2)&amp;"public virtual "&amp;IF(OR(H13="DateTime",H13="TimeSpan"),H13&amp;"?",H13)&amp;IF(C13="?","? "," ")&amp;D13&amp;" { get; set; }" &amp; "
"</f>
        <v xml:space="preserve">		public virtual string CalledModuleNo { get; set; }
</v>
      </c>
      <c r="N13" t="str">
        <f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[StringLength(LgwMwhModuleCallingConsts.MaxCalledModuleNoLength)]
		public virtual string CalledModuleNo { get; set; }
</v>
      </c>
      <c r="O13" t="str">
        <f>IF(OR(H13="string",H13="DateTime",H13="int"),REPT(CHAR(9),2)&amp;"public virtual "&amp;IF(OR(H13="DateTime",H13="TimeSpan"),H13&amp;"?",H13)&amp;IF(C13="?","? "," ")&amp;D13&amp;" { get; set; }"&amp;$E$3,"")</f>
        <v xml:space="preserve">		public virtual string CalledModuleNo { get; set; }
</v>
      </c>
      <c r="P13" t="str">
        <f>REPT(CHAR(9),7)&amp;D13&amp;" = o." &amp;D13 &amp;","</f>
        <v xml:space="preserve">							CalledModuleNo = o.CalledModuleNo,</v>
      </c>
      <c r="T13" s="69" t="str">
        <f>REPT(CHAR(9),8)&amp;"("""&amp;D13&amp;"""),"</f>
        <v xml:space="preserve">								("CalledModuleNo"),</v>
      </c>
      <c r="V13" s="70" t="str">
        <f>REPT(CHAR(9),8)&amp;"_ =&gt; _."&amp;D13&amp;","</f>
        <v xml:space="preserve">								_ =&gt; _.CalledModuleNo,</v>
      </c>
      <c r="W13" s="69" t="str">
        <f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.WhereIf(!string.IsNullOrWhiteSpace(input.CalledModuleNo), e =&gt; e.CalledModuleNo.Contains(input.CalledModuleNo))</v>
      </c>
    </row>
    <row r="14" spans="1:23" customFormat="1" ht="21" customHeight="1" x14ac:dyDescent="0.25">
      <c r="A14" t="s">
        <v>307</v>
      </c>
      <c r="B14" t="s">
        <v>304</v>
      </c>
      <c r="C14" t="s">
        <v>1</v>
      </c>
      <c r="D14" t="str">
        <f t="shared" ref="D14" si="26">SUBSTITUTE(PROPER(A14),"_","")</f>
        <v>CaseType</v>
      </c>
      <c r="E14" t="str">
        <f>IFERROR(LEFT(B14, FIND("(",B14)-1),B14)</f>
        <v>varchar</v>
      </c>
      <c r="F14" s="7"/>
      <c r="G14" t="str">
        <f>IFERROR(MID(B14,FIND("(",B14) +1, FIND(")",B14) - FIND("(",B14) - 1),"")</f>
        <v>50</v>
      </c>
      <c r="H14" t="str">
        <f>+VLOOKUP(E14,'Data Type Mapping'!A:B,2,)</f>
        <v>string</v>
      </c>
      <c r="I14" t="str">
        <f>IF(H14="string",REPT(CHAR(9),2)&amp;"public const int Max"&amp;D14&amp;"Length = "&amp;G14&amp;";"&amp;$E$3,"" )</f>
        <v xml:space="preserve">		public const int MaxCaseTypeLength = 50;
</v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[StringLength(MaxCaseTypeLength)]
		public virtual string CaseType { get; set; }
</v>
      </c>
      <c r="K14" s="7"/>
      <c r="L14" t="str">
        <f t="shared" ref="L14" si="27"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string CaseType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[StringLength(LgwMwhModuleCallingConsts.MaxCaseTypeLength)]
		public virtual string CaseType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string CaseType { get; set; }
</v>
      </c>
      <c r="P14" t="str">
        <f>REPT(CHAR(9),7)&amp;D14&amp;" = o." &amp;D14 &amp;","</f>
        <v xml:space="preserve">							CaseType = o.CaseType,</v>
      </c>
      <c r="T14" s="69" t="str">
        <f>REPT(CHAR(9),8)&amp;"("""&amp;D14&amp;"""),"</f>
        <v xml:space="preserve">								("CaseType"),</v>
      </c>
      <c r="V14" s="70" t="str">
        <f>REPT(CHAR(9),8)&amp;"_ =&gt; _."&amp;D14&amp;","</f>
        <v xml:space="preserve">								_ =&gt; _.CaseType,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.WhereIf(!string.IsNullOrWhiteSpace(input.CaseType), e =&gt; e.CaseType.Contains(input.CaseType))</v>
      </c>
    </row>
    <row r="15" spans="1:23" customFormat="1" ht="21" customHeight="1" x14ac:dyDescent="0.25">
      <c r="A15" t="s">
        <v>302</v>
      </c>
      <c r="B15" t="s">
        <v>303</v>
      </c>
      <c r="C15" t="s">
        <v>1</v>
      </c>
      <c r="D15" t="str">
        <f t="shared" ref="D15" si="28">SUBSTITUTE(PROPER(A15),"_","")</f>
        <v>IsActive</v>
      </c>
      <c r="E15" t="str">
        <f t="shared" ref="E15" si="29">IFERROR(LEFT(B15, FIND("(",B15)-1),B15)</f>
        <v>varchar</v>
      </c>
      <c r="F15" s="7"/>
      <c r="G15" t="str">
        <f t="shared" ref="G15" si="30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31">IF(H15="string",REPT(CHAR(9),2)&amp;"public const int Max"&amp;D15&amp;"Length = "&amp;G15&amp;";"&amp;$E$3,"" )</f>
        <v xml:space="preserve">		public const int MaxIsActiveLength = 1;
</v>
      </c>
      <c r="J15" t="str">
        <f t="shared" ref="J15" si="32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7" t="s">
        <v>206</v>
      </c>
      <c r="L15" t="str">
        <f t="shared" ref="L15" si="33">IF(K15="","",REPT(CHAR(9),1)&amp;"[Index(nameof("&amp;IF(D15="","",""&amp;D15)&amp;")"&amp;", Name="&amp;"""IX_"&amp;$B$7&amp;"_"&amp;D15&amp;""")]")</f>
        <v xml:space="preserve">	[Index(nameof(IsActive), Name="IX_LgwMwhModuleCalling_IsActive")]</v>
      </c>
      <c r="M15" t="str">
        <f t="shared" ref="M15" si="34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35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[StringLength(LgwMwhModuleCallingConsts.MaxIsActiveLength)]
		public virtual string IsActive { get; set; }
</v>
      </c>
      <c r="O15" t="str">
        <f t="shared" ref="O15" si="36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37">REPT(CHAR(9),7)&amp;D15&amp;" = o." &amp;D15 &amp;","</f>
        <v xml:space="preserve">							IsActive = o.IsActive,</v>
      </c>
      <c r="T15" s="69" t="str">
        <f t="shared" ref="T15" si="38">REPT(CHAR(9),8)&amp;"("""&amp;D15&amp;"""),"</f>
        <v xml:space="preserve">								("IsActive"),</v>
      </c>
      <c r="V15" s="70" t="str">
        <f t="shared" ref="V15" si="39">REPT(CHAR(9),8)&amp;"_ =&gt; _."&amp;D15&amp;","</f>
        <v xml:space="preserve">								_ =&gt; _.IsActive,</v>
      </c>
      <c r="W15" s="69" t="str">
        <f t="shared" ref="W15" si="40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MaxRenbanLength = 50;
		public const int MaxCaseNoLength = 50;
		public const int MaxSupplierNoLength = 50;
		public const int MaxCalledModuleNoLength = 50;
		public const int MaxCaseTypeLength = 50;
		public const int MaxIsActiveLength = 1;
</v>
      </c>
      <c r="J17" s="33" t="str">
        <f ca="1">TEXTJOIN2("
", TRUE,INDIRECT( $F$1):INDIRECT( $F$3))</f>
        <v xml:space="preserve">		[StringLength(MaxRenbanLength)]
		public virtual string Renban { get; set; }
		[StringLength(MaxCaseNoLength)]
		public virtual string CaseNo { get; set; }
		[StringLength(MaxSupplierNoLength)]
		public virtual string SupplierNo { get; set; }
		public virtual DateTime CallTime { get; set; }
		[StringLength(MaxCalledModuleNoLength)]
		public virtual string CalledModuleNo { get; set; }
		[StringLength(MaxCaseTypeLength)]
		public virtual string CaseType { get; set; }
		[StringLength(MaxIsActiveLength)]
		public virtual string IsActive { get; set; }
</v>
      </c>
      <c r="K17" s="35" t="str">
        <f ca="1">TEXTJOIN2("
", TRUE,INDIRECT( $J$1):INDIRECT( $J$3))</f>
        <v xml:space="preserve">	[Index(nameof(Renban), Name="IX_LgwMwhModuleCalling_Renban")]
	[Index(nameof(CaseNo), Name="IX_LgwMwhModuleCalling_CaseNo")]
	[Index(nameof(SupplierNo), Name="IX_LgwMwhModuleCalling_SupplierNo")]
	[Index(nameof(IsActive), Name="IX_LgwMwhModuleCalling_IsActive")]</v>
      </c>
      <c r="L17" s="13" t="s">
        <v>60</v>
      </c>
      <c r="M17" s="36" t="str">
        <f ca="1">TEXTJOIN2("
",TRUE,INDIRECT( $L$1):INDIRECT($L$3))</f>
        <v xml:space="preserve">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</v>
      </c>
      <c r="N17" s="33" t="str">
        <f ca="1">TEXTJOIN2("
",TRUE,INDIRECT( $M$1):INDIRECT($M$3))</f>
        <v xml:space="preserve">		[StringLength(LgwMwhModuleCallingConsts.MaxRenbanLength)]
		public virtual string Renban { get; set; }
		[StringLength(LgwMwhModuleCallingConsts.MaxCaseNoLength)]
		public virtual string CaseNo { get; set; }
		[StringLength(LgwMwhModuleCallingConsts.MaxSupplierNoLength)]
		public virtual string SupplierNo { get; set; }
		public virtual DateTime? CallTime { get; set; }
		[StringLength(LgwMwhModuleCallingConsts.MaxCalledModuleNoLength)]
		public virtual string CalledModuleNo { get; set; }
		[StringLength(LgwMwhModuleCallingConsts.MaxCaseTypeLength)]
		public virtual string CaseType { get; set; }
		[StringLength(LgwMwhModuleCallingConsts.MaxIsActiveLength)]
		public virtual string IsActive { get; set; }
</v>
      </c>
      <c r="O17" s="33" t="str">
        <f ca="1">TEXTJOIN2("
",TRUE,INDIRECT( $N$1):INDIRECT($N$3))</f>
        <v xml:space="preserve">		public virtual string Renban { get; set; }
		public virtual string CaseNo { get; set; }
		public virtual string SupplierNo { get; set; }
		public virtual DateTime? CallTime { get; set; }
		public virtual string CalledModuleNo { get; set; }
		public virtual string CaseType { get; set; }
		public virtual string IsActive { get; set; }
</v>
      </c>
      <c r="P17" s="9" t="str">
        <f ca="1">TEXTJOIN2("
",TRUE,INDIRECT( $O$1):INDIRECT($O$3))</f>
        <v xml:space="preserve">							Renban = o.Renban,
							CaseNo = o.CaseNo,
							SupplierNo = o.SupplierNo,
							CallTime = o.CallTime,
							CalledModuleNo = o.CalledModuleNo,
							CaseType = o.CaseType,
							IsActive = o.IsActive,</v>
      </c>
      <c r="T17" s="9" t="str">
        <f ca="1">TEXTJOIN2("
",TRUE,INDIRECT( $T$2):INDIRECT($T$3))</f>
        <v xml:space="preserve">								("Renban"),
								("CaseNo"),
								("SupplierNo"),
								("CallTime"),
								("CalledModuleNo"),
								("CaseType"),
								("IsActive"),</v>
      </c>
      <c r="V17" s="9" t="str">
        <f ca="1">TEXTJOIN2("
",TRUE,INDIRECT( $V$2):INDIRECT($V$3))</f>
        <v xml:space="preserve">								_ =&gt; _.Renban,
								_ =&gt; _.CaseNo,
								_ =&gt; _.SupplierNo,
								_ =&gt; _.CallTime,
								_ =&gt; _.CalledModuleNo,
								_ =&gt; _.CaseType,
								_ =&gt; _.IsActive,</v>
      </c>
      <c r="W17" s="9" t="str">
        <f ca="1">TEXTJOIN2("
",TRUE,INDIRECT( $W$2):INDIRECT($W$3))</f>
        <v xml:space="preserve">				.WhereIf(!string.IsNullOrWhiteSpace(input.Renban), e =&gt; e.Renban.Contains(input.Renban))
				.WhereIf(!string.IsNullOrWhiteSpace(input.CaseNo), e =&gt; e.CaseNo.Contains(input.CaseNo))
				.WhereIf(!string.IsNullOrWhiteSpace(input.SupplierNo), e =&gt; e.SupplierNo.Contains(input.SupplierNo))
				.WhereIf(input.CallTime.HasValue, t =&gt; t.CallTime == input.CallTime.Value)
				.WhereIf(!string.IsNullOrWhiteSpace(input.CalledModuleNo), e =&gt; e.CalledModuleNo.Contains(input.CalledModuleNo))
				.WhereIf(!string.IsNullOrWhiteSpace(input.CaseType), e =&gt; e.CaseType.Contains(input.CaseType))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tabSelected="1" workbookViewId="0">
      <selection activeCell="E20" sqref="E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Mwh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mwh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LgwMwhModuleCalling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ModuleCalling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modulecalling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LgwMwhModuleCallingDto, LgwMwhModuleCallingServiceProxy } from '@shared/service-proxies/service-proxies';
import { finalize } from 'rxjs/internal/operators/finalize';
import { CreateOrEditModuleCallingModalComponent } from './create-or-edit-modulecalling-modal.component';
import { DatePipe } from '@angular/common';
import { FileDownloadService } from '@shared/utils/file-download.service';
import ceil from 'lodash-es/ceil';
import { Paginator } from 'primeng/paginator';
@Component({
    templateUrl: './modulecalling.component.html',
    styleUrls: ['./modulecalling.component.less'],
})
export class ModuleCallingComponent extends AppComponentBase implements OnInit {
    @ViewChild('createOrEditModalModuleCalling', { static: true }) createOrEditModalModuleCalling:| CreateOrEditModuleCallingModalComponent|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LgwMwhModuleCallingDto = new LgwMwhModuleCallingDto();
    saveSelectedRow: LgwMwhModuleCallingDto = new LgwMwhModuleCallingDto();
    datas: LgwMwhModuleCallingDto = new LgwMwhModuleCallingDto();
    isLoading: boolean = false;
    dataParams: GridParams | undefined;
    rowData: any[] = [];
    gridApi!: GridApi;
    rowSelection = 'multiple';
    filter: string = '';
	pipe = new DatePipe('en-US');
	frameworkComponents: FrameworkComponent;
    renban : string = '' ; 
	caseNo : string = '' ; 
	supplierNo : string = '' ; 
	callTime : any ;
	calledModuleNo : string = '' ; 
caseType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LgwMwhModuleCallingServiceProxy,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this.l('Renban'),headerTooltip: this.l('Renban'),field: 'renban',flex: 1},
			{headerName: this.l('Case No'),headerTooltip: this.l('Case No'),field: 'caseNo',flex: 1},
			{headerName: this.l('Supplier No'),headerTooltip: this.l('Supplier No'),field: 'supplierNo',flex: 1},
			{headerName: this.l('Call Time'),headerTooltip: this.l('Call Time'),field: 'callTime',valueGetter: (params) =&gt; this.pipe.transform(params.data?.callTime, 'dd/MM/yyyy'),flex: 1},
			{headerName: this.l('Called Module No'),headerTooltip: this.l('Called Module No'),field: 'calledModuleNo',flex: 1},
			{headerName: this.l('Case Type'),headerTooltip: this.l('Case Type'),field: 'caseType',flex: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this.renban,
			this.caseNo,
			this.supplierNo,
			this.callTime,
			this.calledModuleNo,
			this.caseType,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this.renban = '',
		this.caseNo = '',
		this.supplierNo = '',
		this.callTime = '',
		this.calledModuleNo = '',
this.caseType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this.renban,
			this.caseNo,
			this.supplierNo,
			this.callTime,
			this.calledModuleNo,
			this.caseType,
			this.isActive,
			'',
            this.paginationParams.skipCount,
            this.paginationParams.pageSize
        );
    }
    onChangeRowSelection(params: { api: { getSelectedRows: () =&gt; LgwMwhModuleCallingDto[] } }) {
        this.saveSelectedRow = params.api.getSelectedRows()[0] ?? new LgwMwhModuleCallingDto();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LgwMwhModuleCallingDto):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this._service.getModuleCallingToExcel(
			this.renban,
			this.caseNo,
			this.supplierNo,
			this.callTime,
			this.calledModuleNo,
			this.caseType,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Renban Module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type='text' [placeholder]="l('Call Time')" [(ngModel)]='callTime' 
									name='callTime'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[(ngModel)]='calledModuleNo' name='calledModuleNo'
									class='form-control' [placeholder]="l('Called Module No')"
									type='text' (keyup.enter)='searchDatas()'&gt;
								&lt;/div&gt;
								&lt;div class='input-search'&gt;
									&lt;input [(ngModel)]='caseType' name='caseType'
									class='form-control' [placeholder]="l('Case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(click)="createOrEditModalModuleCalling.show()"&gt;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(click)="createOrEditModalModuleCalling.show(selectedRow)"&gt;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&lt;create-or-edit-modulecalling-modal
    #createOrEditModalModuleCalling
    (modalSave)="callBackDataGrid(dataParams)"
    (modalClose)="onChangeRowSelection(dataParams)"
&gt;
&lt;/create-or-edit-modulecalling-modal&gt;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#createOrEditModalModuleCalling="bs-modal"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ModuleCalling')}}&lt;/h3&gt;
                    &lt;h3 *ngIf="!rowdata.id"&gt;{{('Create New ModuleCalling')}}&lt;/h3&gt;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
					&lt;div class='col-md-12 form-group row'&gt;
						&lt;label class='col-md-2 form-control title'&gt;Called Module No&lt;/label&gt;
						&lt;input type='text' class='col-md-10 form-control input-text' name='CalledModuleNo' [(ngModel)]='rowdata.calledModuleNo'&gt;
					&lt;/div&gt;
					&lt;div class='col-md-12 form-group row'&gt;
						&lt;label class='col-md-2 form-control title'&gt;Case Type&lt;/label&gt;
						&lt;input type='text' class='col-md-10 form-control input-text' name='CaseType' [(ngModel)]='rowdata.caseType'&gt;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CreateOrEditLgwMwhModuleCallingDto, LgwMwhModuleCallingServiceProxy } from '@shared/service-proxies/service-proxies';
import { BsDatepickerDirective } from 'ngx-bootstrap/datepicker';
@Component({
    selector: 'create-or-edit-modulecalling-modal',
    templateUrl: './create-or-edit-modulecalling-modal.component.html',
    styleUrls: ['./create-or-edit-modulecalling-modal.component.less']
    })
export class CreateOrEditModuleCallingModalComponent extends AppComponentBase {
    @ViewChild('createOrEditModalModuleCalling',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CreateOrEditLgwMwhModuleCallingDto = new CreateOrEditLgwMwhModuleCallingDto();
    active: boolean = false;
    saving: boolean = false;
    _isActive: boolean;
    constructor(
        injector: Injector,
        private _mstwptModuleCallingService: LgwMwhModuleCallingServiceProxy,
    ) 
    {
        super(injector);
    }
    show(rowdata?: CreateOrEditLgwMwhModuleCallingDto): void {
        if (!rowdata) this.rowdata = new CreateOrEditLgwMwhModuleCallingDto();
        else this.rowdata = rowdata;
		const dateValue =  this.rowdata.callTime ? new Date(this.rowdata.callTime?.toString())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this._mstwptModuleCallingService.createOrEdit(this.rowdata)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ModuleCallingRoutingModule } from './modulecalling-routing.module';
import { ModuleCallingComponent } from './modulecalling.component';
import { CreateOrEditModuleCallingModalComponent } from './create-or-edit-modulecalling-modal.component';
@NgModule({
    declarations: [
       ModuleCallingComponent, 
        CreateOrEditModuleCallingModalComponent
    ],
    imports: [
        AppSharedModule, ModuleCallingRoutingModule]
})
export class ModuleCallingModule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ModuleCallingComponent } from './modulecalling.component';
const routes: Routes = [{
    path: '',
    component: ModuleCallingComponent,
    pathMatch: 'full'
}];
@NgModule({
    imports: [RouterModule.forChild(routes)],
    exports: [RouterModule],
})
export class ModuleCallingRoutingModule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AppMenuItem("ModuleCalling", "Pages.LogW.Mwh.ModuleCalling", "flaticon-book",   "/app/main/logw/mwh/modulecalling"),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'logw/mwh/modulecalling',
    loadChildren: () =&gt; import('./logw/mwh/modulecalling/modulecalling.module').then(m =&gt; m.ModuleCallingModule),
    data: { permission: 'Pages.LogW.Mwh.ModuleCalling' }
},</v>
      </c>
      <c r="R10" s="50" t="str">
        <f>SUBSTITUTE(R9,"MstWptCalendar",$B$6)</f>
        <v>ApiServiceProxies.LgwMwhModuleCallingServiceProxy,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this.l('Renban'),headerTooltip: this.l('Renban'),field: 'renban',flex: 1},
			{headerName: this.l('Case No'),headerTooltip: this.l('Case No'),field: 'caseNo',flex: 1},
			{headerName: this.l('Supplier No'),headerTooltip: this.l('Supplier No'),field: 'supplierNo',flex: 1},
			{headerName: this.l('Call Time'),headerTooltip: this.l('Call Time'),field: 'callTime',valueGetter: (params) =&gt; this.pipe.transform(params.data?.callTime, 'dd/MM/yyyy'),flex: 1},
			{headerName: this.l('Called Module No'),headerTooltip: this.l('Called Module No'),field: 'calledModuleNo',flex: 1},
			{headerName: this.l('Case Type'),headerTooltip: this.l('Case Type'),field: 'caseType',flex: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type='text' [placeholder]="l('Call Time')" [(ngModel)]='callTime' 
									name='callTime'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[(ngModel)]='calledModuleNo' name='calledModuleNo'
									class='form-control' [placeholder]="l('Called Module No')"
									type='text' (keyup.enter)='searchDatas()'&gt;
								&lt;/div&gt;
								&lt;div class='input-search'&gt;
									&lt;input [(ngModel)]='caseType' name='caseType'
									class='form-control' [placeholder]="l('Case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
					&lt;div class='col-md-12 form-group row'&gt;
						&lt;label class='col-md-2 form-control title'&gt;Called Module No&lt;/label&gt;
						&lt;input type='text' class='col-md-10 form-control input-text' name='CalledModuleNo' [(ngModel)]='rowdata.calledModuleNo'&gt;
					&lt;/div&gt;
					&lt;div class='col-md-12 form-group row'&gt;
						&lt;label class='col-md-2 form-control title'&gt;Case Type&lt;/label&gt;
						&lt;input type='text' class='col-md-10 form-control input-text' name='CaseType' [(ngModel)]='rowdata.caseType'&gt;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this.rowdata.callTime ? new Date(this.rowdata.callTime?.toString())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renban : string = '' ; 
	caseNo : string = '' ; 
	supplierNo : string = '' ; 
	callTime : any ;
	calledModuleNo : string = '' ; 
caseType : string = '' ; 
	isActive : string = '' ; </v>
      </c>
      <c r="T13" s="68" t="str">
        <f ca="1">TEXTJOIN2("
",TRUE,INDIRECT(T11):INDIRECT(T12))</f>
        <v xml:space="preserve">			this.renban,
			this.caseNo,
			this.supplierNo,
			this.callTime,
			this.calledModuleNo,
			this.caseType,
			this.isActive,</v>
      </c>
      <c r="U13" s="68" t="str">
        <f ca="1">TEXTJOIN2("
",TRUE,INDIRECT(U11):INDIRECT(U12))</f>
        <v>this.renban = '',
		this.caseNo = '',
		this.supplierNo = '',
		this.callTime = '',
		this.calledModuleNo = '',
this.caseType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modulecalling.component.ts</v>
      </c>
      <c r="I14" s="40" t="str">
        <f>B8&amp;".component.html"</f>
        <v>modulecalling.component.html</v>
      </c>
      <c r="J14" s="39" t="str">
        <f>B8&amp;".component.less"</f>
        <v>modulecalling.component.less</v>
      </c>
      <c r="K14" s="40" t="str">
        <f>"create-or-edit-"&amp;B8&amp;"-modal.component.html"</f>
        <v>create-or-edit-modulecalling-modal.component.html</v>
      </c>
      <c r="L14" s="40" t="str">
        <f>"create-or-edit-"&amp;B8&amp;"-modal.component.ts"</f>
        <v>create-or-edit-modulecalling-modal.component.ts</v>
      </c>
      <c r="M14" s="40" t="str">
        <f>"create-or-edit-"&amp;B8&amp;"-modal.component.less"</f>
        <v>create-or-edit-modulecalling-modal.component.less</v>
      </c>
      <c r="N14" s="40" t="str">
        <f>B8&amp;".module.ts"</f>
        <v>modulecalling.module.ts</v>
      </c>
      <c r="O14" s="40" t="str">
        <f>B8&amp;"-routing.module.ts"</f>
        <v>modulecalling-routing.module.ts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Renban</v>
      </c>
      <c r="C15" s="31" t="str">
        <f>SUBSTITUTE(PROPER(A15),"_"," ")</f>
        <v>Renban</v>
      </c>
      <c r="D15" s="31" t="str">
        <f>LOWER(LEFT(B15,1))&amp;RIGHT(B15,LEN(B15) - 1)</f>
        <v>renban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this.l('Renban'),headerTooltip: this.l('Renban'),field: 'renban',flex: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renban : string = '' ; </v>
      </c>
      <c r="T15" s="31" t="str">
        <f>REPT(CHAR(9),3)&amp;"this."&amp;D15&amp;","</f>
        <v xml:space="preserve">			this.renban,</v>
      </c>
      <c r="U15" s="31" t="str">
        <f>IF(E15="int","this."&amp;D15&amp;" = 0,","this."&amp;D15&amp;" = '',")</f>
        <v>this.renban = '',</v>
      </c>
      <c r="V15" s="31" t="str">
        <f>IF(AND(E15="string",F15="1"),D15,"")</f>
        <v/>
      </c>
    </row>
    <row r="16" spans="1:22" ht="15" customHeight="1" x14ac:dyDescent="0.25">
      <c r="A16" s="44" t="s">
        <v>306</v>
      </c>
      <c r="B16" s="31" t="str">
        <f t="shared" ref="B16:B17" si="0">SUBSTITUTE(PROPER(A16),"_","")</f>
        <v>CaseNo</v>
      </c>
      <c r="C16" s="31" t="str">
        <f t="shared" ref="C16:C17" si="1">SUBSTITUTE(PROPER(A16),"_"," ")</f>
        <v>Case No</v>
      </c>
      <c r="D16" s="31" t="str">
        <f t="shared" ref="D16:D17" si="2">LOWER(LEFT(B16,1))&amp;RIGHT(B16,LEN(B16) - 1)</f>
        <v>caseNo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this.l('Case No'),headerTooltip: this.l('Case No'),field: 'caseNo',flex: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caseNo : string = '' ; </v>
      </c>
      <c r="T16" s="31" t="str">
        <f>REPT(CHAR(9),3)&amp;"this."&amp;D16&amp;","</f>
        <v xml:space="preserve">			this.caseNo,</v>
      </c>
      <c r="U16" s="31" t="str">
        <f>IF(E16="int",REPT(CHAR(9),2)&amp;"this."&amp;D16&amp;" = 0,",REPT(CHAR(9),2)&amp;"this."&amp;D16&amp;" = '',")</f>
        <v xml:space="preserve">		this.caseNo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301</v>
      </c>
      <c r="B17" s="31" t="str">
        <f t="shared" si="0"/>
        <v>SupplierNo</v>
      </c>
      <c r="C17" s="31" t="str">
        <f t="shared" si="1"/>
        <v>Supplier No</v>
      </c>
      <c r="D17" s="31" t="str">
        <f t="shared" si="2"/>
        <v>supplierNo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this.l('Supplier No'),headerTooltip: this.l('Supplier No'),field: 'supplierNo',flex: 1},</v>
      </c>
      <c r="I17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supplierNo : string = '' ; </v>
      </c>
      <c r="T17" s="31" t="str">
        <f t="shared" ref="T17:T19" si="10">REPT(CHAR(9),3)&amp;"this."&amp;D17&amp;","</f>
        <v xml:space="preserve">			this.supplierNo,</v>
      </c>
      <c r="U17" s="31" t="str">
        <f t="shared" ref="U17:U19" si="11">IF(E17="int",REPT(CHAR(9),2)&amp;"this."&amp;D17&amp;" = 0,",REPT(CHAR(9),2)&amp;"this."&amp;D17&amp;" = '',")</f>
        <v xml:space="preserve">		this.supplierNo = '',</v>
      </c>
      <c r="V17" s="31" t="str">
        <f t="shared" si="8"/>
        <v/>
      </c>
    </row>
    <row r="18" spans="1:22" ht="18" customHeight="1" x14ac:dyDescent="0.25">
      <c r="A18" s="44" t="s">
        <v>311</v>
      </c>
      <c r="B18" s="31" t="str">
        <f>SUBSTITUTE(PROPER(A18),"_","")</f>
        <v>CallTime</v>
      </c>
      <c r="C18" s="31" t="str">
        <f>SUBSTITUTE(PROPER(A18),"_"," ")</f>
        <v>Call Time</v>
      </c>
      <c r="D18" s="31" t="str">
        <f>LOWER(LEFT(B18,1))&amp;RIGHT(B18,LEN(B18) - 1)</f>
        <v>callTime</v>
      </c>
      <c r="E18" s="31" t="str">
        <f>A.Backend!H12</f>
        <v>DateTime</v>
      </c>
      <c r="F18" s="31" t="str">
        <f>A.Backend!G12</f>
        <v>7</v>
      </c>
      <c r="G18" s="31" t="str">
        <f t="shared" si="3"/>
        <v xml:space="preserve"> : any ;</v>
      </c>
      <c r="H18" s="38" t="str">
        <f t="shared" si="4"/>
        <v xml:space="preserve">			{headerName: this.l('Call Time'),headerTooltip: this.l('Call Time'),field: 'callTime',valueGetter: (params) =&gt; this.pipe.transform(params.data?.callTime, 'dd/MM/yyyy'),flex: 1},</v>
      </c>
      <c r="I18" s="38" t="str">
        <f t="shared" si="5"/>
        <v xml:space="preserve">								&lt;div class='input-search'&gt;
									&lt;input type='text' [placeholder]="l('Call Time')" [(ngModel)]='callTime' 
									name='callTime'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si="6"/>
        <v xml:space="preserve">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</v>
      </c>
      <c r="L18" s="60" t="str">
        <f t="shared" si="7"/>
        <v xml:space="preserve">		const dateValue =  this.rowdata.callTime ? new Date(this.rowdata.callTime?.toString())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si="9"/>
        <v xml:space="preserve">	callTime : any ;</v>
      </c>
      <c r="T18" s="31" t="str">
        <f t="shared" si="10"/>
        <v xml:space="preserve">			this.callTime,</v>
      </c>
      <c r="U18" s="31" t="str">
        <f t="shared" si="11"/>
        <v xml:space="preserve">		this.callTime = '',</v>
      </c>
      <c r="V18" s="31" t="str">
        <f t="shared" si="8"/>
        <v/>
      </c>
    </row>
    <row r="19" spans="1:22" ht="15" customHeight="1" x14ac:dyDescent="0.25">
      <c r="A19" s="44" t="s">
        <v>312</v>
      </c>
      <c r="B19" s="31" t="str">
        <f t="shared" ref="B19" si="12">SUBSTITUTE(PROPER(A19),"_","")</f>
        <v>CalledModuleNo</v>
      </c>
      <c r="C19" s="31" t="str">
        <f t="shared" ref="C19" si="13">SUBSTITUTE(PROPER(A19),"_"," ")</f>
        <v>Called Module No</v>
      </c>
      <c r="D19" s="31" t="str">
        <f t="shared" ref="D19" si="14">LOWER(LEFT(B19,1))&amp;RIGHT(B19,LEN(B19) - 1)</f>
        <v>calledModuleNo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this.l('Called Module No'),headerTooltip: this.l('Called Module No'),field: 'calledModuleNo',flex: 1},</v>
      </c>
      <c r="I19" s="38" t="str">
        <f t="shared" si="5"/>
        <v xml:space="preserve">								&lt;div class='input-search'&gt;
									&lt;input [(ngModel)]='calledModuleNo' name='calledModuleNo'
									class='form-control' [placeholder]="l('Called Module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title'&gt;Called Module No&lt;/label&gt;
						&lt;input type='text' class='col-md-10 form-control input-text' name='CalledModuleNo' [(ngModel)]='rowdata.calledModuleNo'&gt;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calledModuleNo : string = '' ; </v>
      </c>
      <c r="T19" s="31" t="str">
        <f t="shared" si="10"/>
        <v xml:space="preserve">			this.calledModuleNo,</v>
      </c>
      <c r="U19" s="31" t="str">
        <f t="shared" si="11"/>
        <v xml:space="preserve">		this.calledModuleNo = '',</v>
      </c>
      <c r="V19" s="31" t="str">
        <f t="shared" si="8"/>
        <v/>
      </c>
    </row>
    <row r="20" spans="1:22" ht="18" customHeight="1" x14ac:dyDescent="0.25">
      <c r="A20" s="44" t="s">
        <v>307</v>
      </c>
      <c r="B20" s="31" t="str">
        <f>SUBSTITUTE(PROPER(A20),"_","")</f>
        <v>CaseType</v>
      </c>
      <c r="C20" s="31" t="str">
        <f>SUBSTITUTE(PROPER(A20),"_"," ")</f>
        <v>Case Type</v>
      </c>
      <c r="D20" s="31" t="str">
        <f>LOWER(LEFT(B20,1))&amp;RIGHT(B20,LEN(B20) - 1)</f>
        <v>caseType</v>
      </c>
      <c r="E20" s="31" t="str">
        <f>A.Backend!H14</f>
        <v>string</v>
      </c>
      <c r="F20" s="31" t="str">
        <f>A.Backend!G14</f>
        <v>50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this.l('Case Type'),headerTooltip: this.l('Case Type'),field: 'caseType',flex: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[(ngModel)]='caseType' name='caseType'
									class='form-control' [placeholder]="l('Case Type')"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title'&gt;Case Type&lt;/label&gt;
						&lt;input type='text' class='col-md-10 form-control input-text' name='CaseType' [(ngModel)]='rowdata.caseType'&gt;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caseType : string = '' ; </v>
      </c>
      <c r="T20" s="31" t="str">
        <f>REPT(CHAR(9),3)&amp;"this."&amp;D20&amp;","</f>
        <v xml:space="preserve">			this.caseType,</v>
      </c>
      <c r="U20" s="31" t="str">
        <f>IF(E20="int","this."&amp;D20&amp;" = 0,","this."&amp;D20&amp;" = '',")</f>
        <v>this.caseType = '',</v>
      </c>
      <c r="V20" s="31" t="str">
        <f>IF(AND(E20="string",F20="1"),D20,"")</f>
        <v/>
      </c>
    </row>
    <row r="21" spans="1:22" ht="15" customHeight="1" x14ac:dyDescent="0.25">
      <c r="A21" s="44" t="s">
        <v>302</v>
      </c>
      <c r="B21" s="31" t="str">
        <f t="shared" ref="B21" si="15">SUBSTITUTE(PROPER(A21),"_","")</f>
        <v>IsActive</v>
      </c>
      <c r="C21" s="31" t="str">
        <f t="shared" ref="C21" si="16">SUBSTITUTE(PROPER(A21),"_"," ")</f>
        <v>Is Active</v>
      </c>
      <c r="D21" s="31" t="str">
        <f t="shared" ref="D21" si="17">LOWER(LEFT(B21,1))&amp;RIGHT(B21,LEN(B21) - 1)</f>
        <v>isActive</v>
      </c>
      <c r="E21" s="31" t="str">
        <f>A.Backend!H15</f>
        <v>string</v>
      </c>
      <c r="F21" s="31" t="str">
        <f>A.Backend!G15</f>
        <v>1</v>
      </c>
      <c r="G21" s="31" t="str">
        <f t="shared" ref="G21" si="18">IF(E21="string"," : string = '' ; ",IF(OR(E21="DateTime",E21="TimeSpan")," : any ;",IF(E21="int"," : number = 0 ;","")))</f>
        <v xml:space="preserve"> : string = '' ; </v>
      </c>
      <c r="H21" s="38" t="str">
        <f t="shared" ref="H21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ref="I21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ref="K21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ref="L21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isActive : string = '' ; </v>
      </c>
      <c r="T21" s="31" t="str">
        <f>REPT(CHAR(9),3)&amp;"this."&amp;D21&amp;","</f>
        <v xml:space="preserve">			this.isActive,</v>
      </c>
      <c r="U21" s="31" t="str">
        <f>IF(E21="int",REPT(CHAR(9),2)&amp;"this."&amp;D21&amp;" = 0,",REPT(CHAR(9),2)&amp;"this."&amp;D21&amp;" = '',")</f>
        <v xml:space="preserve">		this.isActive = '',</v>
      </c>
      <c r="V21" s="31" t="str">
        <f t="shared" ref="V21" si="23">IF(AND(E21="string",F21="1"),D21,"")</f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2022-08-05T06:39:15Z</dcterms:modified>
</cp:coreProperties>
</file>
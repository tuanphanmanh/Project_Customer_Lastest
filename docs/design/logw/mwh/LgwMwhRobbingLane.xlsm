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logw\mwh\"/>
    </mc:Choice>
  </mc:AlternateContent>
  <bookViews>
    <workbookView xWindow="0" yWindow="0" windowWidth="28800" windowHeight="1180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B21" i="5" l="1"/>
  <c r="D21" i="5" s="1"/>
  <c r="C20" i="5"/>
  <c r="L15" i="1"/>
  <c r="G15" i="1"/>
  <c r="E15" i="1"/>
  <c r="H15" i="1" s="1"/>
  <c r="D15" i="1"/>
  <c r="V15" i="1" s="1"/>
  <c r="G14" i="1"/>
  <c r="E14" i="1"/>
  <c r="H14" i="1" s="1"/>
  <c r="D14" i="1"/>
  <c r="P14" i="1" s="1"/>
  <c r="V20" i="5" l="1"/>
  <c r="T21" i="5"/>
  <c r="C21" i="5"/>
  <c r="I21" i="5" s="1"/>
  <c r="V21" i="5"/>
  <c r="U21" i="5"/>
  <c r="B20" i="5"/>
  <c r="D20" i="5" s="1"/>
  <c r="I20" i="5" s="1"/>
  <c r="G21" i="5"/>
  <c r="S21" i="5" s="1"/>
  <c r="L21" i="5"/>
  <c r="G20" i="5"/>
  <c r="L20" i="5"/>
  <c r="T15" i="1"/>
  <c r="W14" i="1"/>
  <c r="T14" i="1"/>
  <c r="P15" i="1"/>
  <c r="N15" i="1"/>
  <c r="I15" i="1"/>
  <c r="M15" i="1"/>
  <c r="W15" i="1"/>
  <c r="O15" i="1"/>
  <c r="J15" i="1"/>
  <c r="M14" i="1"/>
  <c r="I14" i="1"/>
  <c r="N14" i="1"/>
  <c r="V14" i="1"/>
  <c r="J14" i="1"/>
  <c r="O14" i="1"/>
  <c r="K21" i="5" l="1"/>
  <c r="K20" i="5"/>
  <c r="U20" i="5"/>
  <c r="H21" i="5"/>
  <c r="T20" i="5"/>
  <c r="S20" i="5"/>
  <c r="H20" i="5"/>
  <c r="W3" i="1"/>
  <c r="V3" i="1"/>
  <c r="B2" i="5" l="1"/>
  <c r="B3" i="5" s="1"/>
  <c r="C19" i="5"/>
  <c r="B18" i="5"/>
  <c r="D18" i="5" s="1"/>
  <c r="G13" i="1"/>
  <c r="E13" i="1"/>
  <c r="H13" i="1" s="1"/>
  <c r="D13" i="1"/>
  <c r="G12" i="1"/>
  <c r="E12" i="1"/>
  <c r="H12" i="1" s="1"/>
  <c r="D12" i="1"/>
  <c r="V12" i="1" l="1"/>
  <c r="T12" i="1"/>
  <c r="N13" i="1"/>
  <c r="O13" i="1"/>
  <c r="M13" i="1"/>
  <c r="N12" i="1"/>
  <c r="M12" i="1"/>
  <c r="O12" i="1"/>
  <c r="T13" i="1"/>
  <c r="V13" i="1"/>
  <c r="W12" i="1"/>
  <c r="W13" i="1"/>
  <c r="T18" i="5"/>
  <c r="P13" i="1"/>
  <c r="C18" i="5"/>
  <c r="B19" i="5"/>
  <c r="D19" i="5" s="1"/>
  <c r="J12" i="1"/>
  <c r="I12" i="1"/>
  <c r="I13" i="1"/>
  <c r="P12" i="1"/>
  <c r="J13" i="1"/>
  <c r="B6" i="5"/>
  <c r="L19" i="5" l="1"/>
  <c r="I19" i="5"/>
  <c r="K19" i="5"/>
  <c r="H19" i="5"/>
  <c r="L18" i="5"/>
  <c r="K18" i="5"/>
  <c r="I18" i="5"/>
  <c r="H18" i="5"/>
  <c r="G19" i="5"/>
  <c r="S19" i="5" s="1"/>
  <c r="U19" i="5"/>
  <c r="V19" i="5"/>
  <c r="G18" i="5"/>
  <c r="S18" i="5" s="1"/>
  <c r="U18" i="5"/>
  <c r="V18" i="5"/>
  <c r="T19" i="5"/>
  <c r="U7" i="1" l="1"/>
  <c r="B7" i="5" l="1"/>
  <c r="Q3" i="1" l="1"/>
  <c r="O7" i="1" s="1"/>
  <c r="T3" i="1"/>
  <c r="F3" i="1"/>
  <c r="B4" i="5" l="1"/>
  <c r="N7" i="1"/>
  <c r="E47" i="3" s="1"/>
  <c r="K7" i="1"/>
  <c r="H6" i="1"/>
  <c r="R10" i="5" l="1"/>
  <c r="M54" i="3" s="1"/>
  <c r="N47" i="3" l="1"/>
  <c r="B8" i="5"/>
  <c r="B5" i="5"/>
  <c r="D9" i="1"/>
  <c r="V9" i="1" l="1"/>
  <c r="T9" i="1"/>
  <c r="P10" i="5"/>
  <c r="K54" i="3" s="1"/>
  <c r="Q10" i="5"/>
  <c r="L54" i="3" s="1"/>
  <c r="B52" i="3"/>
  <c r="C52" i="3" s="1"/>
  <c r="M14" i="5"/>
  <c r="H53" i="3" s="1"/>
  <c r="L14" i="5"/>
  <c r="G53" i="3" s="1"/>
  <c r="K14" i="5"/>
  <c r="F53" i="3" s="1"/>
  <c r="L53" i="3"/>
  <c r="K53" i="3"/>
  <c r="O14" i="5"/>
  <c r="J53" i="3" s="1"/>
  <c r="N14" i="5"/>
  <c r="I53" i="3" s="1"/>
  <c r="J14" i="5"/>
  <c r="E53" i="3" s="1"/>
  <c r="I14" i="5"/>
  <c r="D53" i="3" s="1"/>
  <c r="H14" i="5"/>
  <c r="C53" i="3" s="1"/>
  <c r="O10" i="5"/>
  <c r="J54" i="3" s="1"/>
  <c r="N10" i="5"/>
  <c r="I54" i="3" s="1"/>
  <c r="M10" i="5"/>
  <c r="H54" i="3" s="1"/>
  <c r="J10" i="5"/>
  <c r="E54" i="3" s="1"/>
  <c r="N3" i="1" l="1"/>
  <c r="M3" i="1"/>
  <c r="O3" i="1"/>
  <c r="D10" i="1"/>
  <c r="D11" i="1"/>
  <c r="V10" i="1" l="1"/>
  <c r="T10" i="1"/>
  <c r="V11" i="1"/>
  <c r="T11" i="1"/>
  <c r="C15" i="5"/>
  <c r="B15" i="5"/>
  <c r="D15" i="5" s="1"/>
  <c r="V17" i="1"/>
  <c r="V12" i="5" l="1"/>
  <c r="L12" i="5"/>
  <c r="U12" i="5"/>
  <c r="S12" i="5"/>
  <c r="H12" i="5"/>
  <c r="K12" i="5"/>
  <c r="T12" i="5"/>
  <c r="I12" i="5"/>
  <c r="T15" i="5"/>
  <c r="C17" i="5"/>
  <c r="B17" i="5"/>
  <c r="D17" i="5" s="1"/>
  <c r="C16" i="5"/>
  <c r="B16" i="5"/>
  <c r="D16" i="5" s="1"/>
  <c r="T16" i="5" s="1"/>
  <c r="T17" i="5" l="1"/>
  <c r="R3" i="1"/>
  <c r="D1" i="1"/>
  <c r="F6" i="1"/>
  <c r="T13" i="5"/>
  <c r="G9" i="1" l="1"/>
  <c r="F15" i="5" s="1"/>
  <c r="G10" i="1"/>
  <c r="G11" i="1"/>
  <c r="E9" i="1"/>
  <c r="H9" i="1" s="1"/>
  <c r="E10" i="1"/>
  <c r="H10" i="1" s="1"/>
  <c r="E11" i="1"/>
  <c r="H11" i="1" s="1"/>
  <c r="P9" i="1"/>
  <c r="P10" i="1"/>
  <c r="P11" i="1"/>
  <c r="T17" i="1"/>
  <c r="O11" i="1" l="1"/>
  <c r="M11" i="1"/>
  <c r="N11" i="1"/>
  <c r="O10" i="1"/>
  <c r="M10" i="1"/>
  <c r="N10" i="1"/>
  <c r="O9" i="1"/>
  <c r="M9" i="1"/>
  <c r="N9" i="1"/>
  <c r="W11" i="1"/>
  <c r="E15" i="5"/>
  <c r="W9" i="1"/>
  <c r="W10" i="1"/>
  <c r="T7" i="1"/>
  <c r="I11" i="1"/>
  <c r="I10" i="1"/>
  <c r="I9" i="1"/>
  <c r="W17" i="1"/>
  <c r="L16" i="5" l="1"/>
  <c r="H16" i="5"/>
  <c r="I16" i="5"/>
  <c r="K16" i="5"/>
  <c r="L17" i="5"/>
  <c r="H17" i="5"/>
  <c r="I17" i="5"/>
  <c r="K17" i="5"/>
  <c r="L15" i="5"/>
  <c r="K15" i="5"/>
  <c r="I15" i="5"/>
  <c r="H15" i="5"/>
  <c r="G16" i="5"/>
  <c r="S16" i="5" s="1"/>
  <c r="U16" i="5"/>
  <c r="V16" i="5"/>
  <c r="G15" i="5"/>
  <c r="S15" i="5" s="1"/>
  <c r="V15" i="5"/>
  <c r="U15" i="5"/>
  <c r="G17" i="5"/>
  <c r="S17" i="5" s="1"/>
  <c r="U17" i="5"/>
  <c r="V17" i="5"/>
  <c r="G6" i="1"/>
  <c r="U13" i="5"/>
  <c r="S13" i="5"/>
  <c r="K13" i="5"/>
  <c r="H13" i="5"/>
  <c r="V13" i="5"/>
  <c r="L13" i="5"/>
  <c r="I13" i="5"/>
  <c r="K10" i="5" l="1"/>
  <c r="F54" i="3" s="1"/>
  <c r="I10" i="5"/>
  <c r="D54" i="3" s="1"/>
  <c r="H10" i="5"/>
  <c r="C54" i="3" s="1"/>
  <c r="L10" i="5"/>
  <c r="G54" i="3" s="1"/>
  <c r="L47" i="3"/>
  <c r="D47" i="3"/>
  <c r="D6" i="1"/>
  <c r="B6" i="1" l="1"/>
  <c r="L3" i="1"/>
  <c r="J3" i="1"/>
  <c r="H3" i="1"/>
  <c r="C6" i="1" l="1"/>
  <c r="P7" i="1" s="1"/>
  <c r="S3" i="1"/>
  <c r="S7" i="1" s="1"/>
  <c r="E6" i="1"/>
  <c r="F47" i="3"/>
  <c r="I3" i="1" l="1"/>
  <c r="B7" i="1"/>
  <c r="L11" i="1" l="1"/>
  <c r="L13" i="1"/>
  <c r="L12" i="1"/>
  <c r="L14" i="1"/>
  <c r="L9" i="1"/>
  <c r="L10" i="1"/>
  <c r="J11" i="1"/>
  <c r="J9" i="1"/>
  <c r="J10" i="1"/>
  <c r="C7" i="1"/>
  <c r="O17" i="1"/>
  <c r="J17" i="1"/>
  <c r="I17" i="1"/>
  <c r="N17" i="1"/>
  <c r="P17" i="1"/>
  <c r="Q7" i="1" l="1"/>
  <c r="M47" i="3" s="1"/>
  <c r="L7" i="1"/>
  <c r="G47" i="3" s="1"/>
  <c r="K47" i="3"/>
  <c r="J47" i="3"/>
  <c r="M17" i="1"/>
  <c r="K17" i="1"/>
  <c r="R7" i="1" l="1"/>
  <c r="I47" i="3" s="1"/>
  <c r="M7" i="1"/>
  <c r="H47" i="3" s="1"/>
  <c r="J7" i="1"/>
  <c r="C47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<sst xmlns="http://schemas.openxmlformats.org/spreadsheetml/2006/main" count="396" uniqueCount="315">
  <si>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</si>
  <si>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</si>
  <si>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</si>
  <si>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</si>
  <si>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</si>
  <si>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</si>
  <si>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</si>
  <si>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</si>
  <si>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</si>
  <si>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</si>
  <si>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</si>
  <si>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</si>
  <si>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</si>
  <si>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</si>
  <si>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</si>
  <si>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</si>
  <si>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</si>
  <si>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</si>
  <si>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</si>
  <si>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</si>
  <si>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</si>
  <si>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</si>
  <si>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</si>
  <si>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</si>
  <si>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</si>
  <si>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</si>
  <si>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</si>
  <si>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</si>
  <si>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</si>
  <si>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</si>
  <si>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</si>
  <si>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</si>
  <si>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</si>
  <si>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</si>
  <si>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</si>
  <si>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</si>
  <si>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</si>
  <si>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</si>
  <si>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</si>
  <si>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</si>
  <si>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</si>
  <si>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</si>
  <si>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</si>
  <si>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</si>
  <si>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</si>
  <si>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</si>
  <si>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</si>
  <si>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</si>
  <si>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</si>
  <si>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</si>
  <si>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</si>
  <si>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</si>
  <si>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</si>
  <si>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</si>
  <si>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</si>
  <si>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</si>
  <si>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</si>
  <si>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</si>
  <si>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</si>
  <si>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</si>
  <si>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</si>
  <si>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</si>
  <si>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</si>
  <si>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</si>
  <si>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</si>
  <si>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</si>
  <si>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</si>
  <si>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</si>
  <si>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</si>
  <si>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</si>
  <si>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</si>
  <si>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</si>
  <si>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</si>
  <si>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</si>
  <si>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</si>
  <si>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</si>
  <si>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</si>
  <si>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</si>
  <si>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</si>
  <si>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</si>
  <si>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</si>
  <si>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</si>
  <si>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</si>
  <si>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</si>
  <si>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</si>
  <si>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</si>
  <si>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</si>
  <si>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</si>
  <si>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</si>
  <si>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</si>
  <si>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</si>
  <si>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</si>
  <si>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</si>
  <si>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</si>
  <si>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</si>
  <si>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</si>
  <si>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</si>
  <si>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</si>
  <si>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</si>
  <si>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</si>
  <si>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</si>
  <si>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</si>
  <si>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</si>
  <si>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</si>
  <si>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</si>
  <si>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</si>
  <si>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</si>
  <si>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</si>
  <si>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</si>
  <si>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</si>
  <si>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</si>
  <si>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</si>
  <si>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</si>
  <si>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</si>
  <si>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</si>
  <si>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</si>
  <si>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</si>
  <si>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</si>
  <si>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</si>
  <si>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</si>
  <si>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</si>
  <si>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</si>
  <si>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</si>
  <si>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</si>
  <si>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</si>
  <si>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</si>
  <si>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</si>
  <si>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</si>
  <si>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</si>
  <si>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</si>
  <si>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</si>
  <si>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</si>
  <si>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</si>
  <si>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</si>
  <si>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</si>
  <si>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</si>
  <si>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</si>
  <si>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</si>
  <si>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</si>
  <si>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</si>
  <si>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</si>
  <si>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</si>
  <si>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</si>
  <si>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</si>
  <si>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</si>
  <si>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</si>
  <si>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</si>
  <si>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</si>
  <si>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</si>
  <si>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</si>
  <si>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</si>
  <si>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</si>
  <si>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</si>
  <si>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</si>
  <si>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</si>
  <si>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</si>
  <si>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</si>
  <si>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</si>
  <si>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</si>
  <si>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</si>
  <si>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</si>
  <si>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</si>
  <si>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</si>
  <si>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</si>
  <si>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</si>
  <si>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</si>
  <si>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</si>
  <si>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</si>
  <si>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</si>
  <si>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</si>
  <si>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</si>
  <si>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</si>
  <si>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</si>
  <si>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</si>
  <si>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</si>
  <si>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</si>
  <si>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</si>
  <si>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</si>
  <si>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</si>
  <si>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</si>
  <si>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</si>
  <si>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</si>
  <si>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</si>
  <si>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</si>
  <si>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</si>
  <si>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</si>
  <si>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</si>
  <si>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</si>
  <si>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</si>
  <si>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</si>
  <si>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</si>
  <si>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</si>
  <si>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</si>
  <si>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</si>
  <si>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</si>
  <si>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</si>
  <si>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</si>
  <si>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</si>
  <si>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</si>
  <si>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</si>
  <si>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</si>
  <si>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</si>
  <si>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</si>
  <si>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</si>
  <si>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</si>
  <si>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</si>
  <si>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</si>
  <si>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</si>
  <si>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</si>
  <si>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</si>
  <si>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</si>
  <si>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</si>
  <si>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</si>
  <si>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</si>
  <si>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</si>
  <si>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</si>
  <si>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</si>
  <si>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</si>
  <si>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</si>
  <si>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</si>
  <si>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</si>
  <si>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</si>
  <si>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</si>
  <si>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</si>
  <si>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</si>
  <si>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</si>
  <si>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</si>
  <si>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</si>
  <si>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</si>
  <si>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</si>
  <si>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</si>
  <si>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</si>
  <si>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</si>
  <si>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</si>
  <si>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</si>
  <si>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</si>
  <si>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</si>
  <si>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</si>
  <si>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</si>
  <si>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</si>
  <si>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</si>
  <si>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</si>
  <si>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</si>
  <si>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</si>
  <si>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</si>
  <si>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</si>
  <si>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</si>
  <si>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</si>
  <si>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</si>
  <si>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</si>
  <si>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</si>
  <si>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</si>
  <si>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</si>
  <si>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</si>
  <si>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</si>
  <si>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</si>
  <si>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</si>
  <si>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</si>
  <si>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</si>
  <si>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</si>
  <si>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</si>
  <si>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</si>
  <si>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</si>
  <si>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</si>
  <si>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</si>
  <si>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</si>
  <si>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</si>
  <si>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</si>
  <si>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</si>
  <si>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</si>
  <si>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</si>
  <si>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</si>
  <si>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</si>
  <si>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</si>
  <si>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</si>
  <si>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</si>
  <si>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</si>
  <si>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</si>
  <si>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</si>
  <si>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</si>
  <si>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</si>
  <si>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</si>
  <si>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</si>
  <si>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</si>
  <si>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</si>
  <si>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</si>
  <si>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</si>
  <si>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</si>
  <si>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</si>
  <si>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</si>
  <si>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</si>
  <si>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</si>
  <si>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</si>
  <si>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</si>
  <si>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</si>
  <si>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</si>
  <si>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</si>
  <si>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</si>
  <si>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</si>
  <si>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</si>
  <si>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</si>
  <si>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varchar(10)</t>
  </si>
  <si>
    <t>SUPPLIER_NO</t>
  </si>
  <si>
    <t>IS_ACTIVE</t>
  </si>
  <si>
    <t>varchar(1)</t>
  </si>
  <si>
    <t>LANE_NO</t>
  </si>
  <si>
    <t>varchar(50)</t>
  </si>
  <si>
    <t>LANE_NAME</t>
  </si>
  <si>
    <t>CONT_NO</t>
  </si>
  <si>
    <t>RENBAN</t>
  </si>
  <si>
    <t>SHOW_ONLY</t>
  </si>
  <si>
    <t>LogW.Mwh</t>
  </si>
  <si>
    <t>LgwMwhRobbingLane</t>
  </si>
  <si>
    <t>RobbingLane</t>
  </si>
  <si>
    <t>LogW Module Warehouse Robbing Lane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</si>
</sst>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56"/>
  <sheetViews>
    <sheetView topLeftCell="A41" workbookViewId="0">
      <selection activeCell="C56" sqref="C56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x14ac:dyDescent="0.25">
      <c r="A17" s="1"/>
      <c r="B17" s="17"/>
      <c r="C17" t="s">
        <v>91</v>
      </c>
      <c r="F17" s="1" t="s">
        <v>100</v>
      </c>
      <c r="G17" s="17" t="s">
        <v>100</v>
      </c>
    </row>
    <row r="18" spans="1:7" x14ac:dyDescent="0.25">
      <c r="A18" s="1"/>
      <c r="B18" s="17"/>
      <c r="D18" t="s">
        <v>95</v>
      </c>
      <c r="F18" s="1" t="s">
        <v>114</v>
      </c>
      <c r="G18" s="17" t="s">
        <v>293</v>
      </c>
    </row>
    <row r="19" spans="1:7" x14ac:dyDescent="0.25">
      <c r="A19" s="1"/>
      <c r="B19" s="17"/>
      <c r="D19" t="s">
        <v>96</v>
      </c>
      <c r="F19" s="1" t="s">
        <v>104</v>
      </c>
      <c r="G19" s="17" t="s">
        <v>294</v>
      </c>
    </row>
    <row r="20" spans="1:7" x14ac:dyDescent="0.25">
      <c r="A20" s="1"/>
      <c r="B20" s="17"/>
      <c r="C20" t="s">
        <v>92</v>
      </c>
      <c r="F20" s="1" t="s">
        <v>101</v>
      </c>
      <c r="G20" s="17" t="s">
        <v>101</v>
      </c>
    </row>
    <row r="21" spans="1:7" x14ac:dyDescent="0.25">
      <c r="A21" s="1"/>
      <c r="B21" s="17"/>
      <c r="C21" t="s">
        <v>93</v>
      </c>
      <c r="F21" s="1" t="s">
        <v>102</v>
      </c>
      <c r="G21" s="17" t="s">
        <v>102</v>
      </c>
    </row>
    <row r="22" spans="1:7" x14ac:dyDescent="0.25">
      <c r="A22" s="1"/>
      <c r="B22" s="17"/>
      <c r="C22" t="s">
        <v>271</v>
      </c>
      <c r="F22" s="1" t="s">
        <v>272</v>
      </c>
      <c r="G22" s="17" t="s">
        <v>272</v>
      </c>
    </row>
    <row r="23" spans="1:7" x14ac:dyDescent="0.25">
      <c r="A23" s="1"/>
      <c r="B23" s="17"/>
      <c r="D23" t="s">
        <v>273</v>
      </c>
      <c r="F23" s="1" t="s">
        <v>275</v>
      </c>
      <c r="G23" s="17" t="s">
        <v>295</v>
      </c>
    </row>
    <row r="24" spans="1:7" x14ac:dyDescent="0.25">
      <c r="A24" s="1"/>
      <c r="B24" s="17"/>
      <c r="D24" t="s">
        <v>276</v>
      </c>
      <c r="F24" s="1" t="s">
        <v>274</v>
      </c>
      <c r="G24" s="17" t="s">
        <v>296</v>
      </c>
    </row>
    <row r="25" spans="1:7" x14ac:dyDescent="0.25">
      <c r="A25" s="1"/>
      <c r="B25" s="17"/>
      <c r="D25" t="s">
        <v>277</v>
      </c>
      <c r="F25" s="1" t="s">
        <v>280</v>
      </c>
      <c r="G25" s="17" t="s">
        <v>297</v>
      </c>
    </row>
    <row r="26" spans="1:7" x14ac:dyDescent="0.25">
      <c r="A26" s="1"/>
      <c r="B26" s="17"/>
      <c r="D26" t="s">
        <v>278</v>
      </c>
      <c r="F26" s="1" t="s">
        <v>281</v>
      </c>
      <c r="G26" s="17" t="s">
        <v>298</v>
      </c>
    </row>
    <row r="27" spans="1:7" x14ac:dyDescent="0.25">
      <c r="A27" s="1"/>
      <c r="B27" s="17"/>
      <c r="D27" t="s">
        <v>279</v>
      </c>
      <c r="F27" s="1" t="s">
        <v>282</v>
      </c>
      <c r="G27" s="17" t="s">
        <v>299</v>
      </c>
    </row>
    <row r="28" spans="1:7" x14ac:dyDescent="0.25">
      <c r="A28" s="1"/>
      <c r="B28" s="17"/>
      <c r="D28" t="s">
        <v>284</v>
      </c>
      <c r="F28" s="1" t="s">
        <v>283</v>
      </c>
      <c r="G28" s="17" t="s">
        <v>300</v>
      </c>
    </row>
    <row r="29" spans="1:7" x14ac:dyDescent="0.25">
      <c r="A29" s="1"/>
      <c r="B29" s="17"/>
      <c r="F29" s="1"/>
    </row>
    <row r="30" spans="1:7" x14ac:dyDescent="0.25">
      <c r="A30" s="1"/>
      <c r="B30" s="17"/>
    </row>
    <row r="31" spans="1:7" x14ac:dyDescent="0.25">
      <c r="A31" s="1"/>
      <c r="B31" s="17" t="s">
        <v>86</v>
      </c>
    </row>
    <row r="32" spans="1:7" x14ac:dyDescent="0.25">
      <c r="A32" s="1"/>
      <c r="B32" s="17" t="s">
        <v>83</v>
      </c>
    </row>
    <row r="33" spans="1:14" x14ac:dyDescent="0.25">
      <c r="A33" s="1"/>
      <c r="B33" s="17"/>
      <c r="C33" s="19" t="s">
        <v>80</v>
      </c>
    </row>
    <row r="34" spans="1:14" x14ac:dyDescent="0.25">
      <c r="A34" s="1"/>
      <c r="B34" s="17"/>
      <c r="C34" s="18" t="s">
        <v>81</v>
      </c>
    </row>
    <row r="35" spans="1:14" x14ac:dyDescent="0.25">
      <c r="A35" s="1"/>
      <c r="B35" s="17"/>
      <c r="C35" s="18" t="s">
        <v>82</v>
      </c>
    </row>
    <row r="36" spans="1:14" x14ac:dyDescent="0.25">
      <c r="A36" s="1"/>
      <c r="B36" s="17" t="s">
        <v>106</v>
      </c>
      <c r="C36" s="18"/>
    </row>
    <row r="37" spans="1:14" x14ac:dyDescent="0.25">
      <c r="A37" s="1"/>
      <c r="B37" s="17"/>
      <c r="C37" s="18" t="s">
        <v>107</v>
      </c>
    </row>
    <row r="38" spans="1:14" x14ac:dyDescent="0.25">
      <c r="A38" s="1"/>
      <c r="B38" s="17"/>
      <c r="C38" s="18" t="s">
        <v>108</v>
      </c>
    </row>
    <row r="39" spans="1:14" x14ac:dyDescent="0.25">
      <c r="A39" s="1"/>
      <c r="B39" s="17"/>
      <c r="C39" s="18" t="s">
        <v>109</v>
      </c>
    </row>
    <row r="40" spans="1:14" x14ac:dyDescent="0.25">
      <c r="A40" s="1"/>
      <c r="B40" s="17"/>
      <c r="C40" s="18" t="s">
        <v>111</v>
      </c>
    </row>
    <row r="41" spans="1:14" x14ac:dyDescent="0.25">
      <c r="A41" s="1"/>
      <c r="B41" s="17"/>
      <c r="C41" s="18" t="s">
        <v>113</v>
      </c>
    </row>
    <row r="42" spans="1:14" x14ac:dyDescent="0.25">
      <c r="A42" s="1"/>
      <c r="B42" s="17"/>
      <c r="C42" s="18" t="s">
        <v>112</v>
      </c>
    </row>
    <row r="43" spans="1:14" x14ac:dyDescent="0.25">
      <c r="A43" s="1"/>
      <c r="B43" s="17"/>
      <c r="C43" s="18" t="s">
        <v>110</v>
      </c>
    </row>
    <row r="44" spans="1:14" ht="21" customHeight="1" x14ac:dyDescent="0.25">
      <c r="B44" s="21" t="s">
        <v>78</v>
      </c>
    </row>
    <row r="45" spans="1:14" ht="21" customHeight="1" x14ac:dyDescent="0.25">
      <c r="B45" s="63" t="s">
        <v>231</v>
      </c>
    </row>
    <row r="46" spans="1:14" ht="15.75" thickBot="1" x14ac:dyDescent="0.3">
      <c r="C46" s="1" t="s">
        <v>72</v>
      </c>
      <c r="D46" s="1" t="s">
        <v>207</v>
      </c>
      <c r="E46" s="1" t="s">
        <v>208</v>
      </c>
      <c r="F46" s="1" t="s">
        <v>198</v>
      </c>
      <c r="G46" s="1" t="s">
        <v>199</v>
      </c>
      <c r="H46" s="1" t="s">
        <v>200</v>
      </c>
      <c r="I46" s="1" t="s">
        <v>201</v>
      </c>
      <c r="J46" s="1" t="s">
        <v>205</v>
      </c>
      <c r="K46" s="1" t="s">
        <v>209</v>
      </c>
      <c r="L46" s="1" t="s">
        <v>210</v>
      </c>
      <c r="M46" s="1" t="s">
        <v>211</v>
      </c>
      <c r="N46" s="1" t="s">
        <v>227</v>
      </c>
    </row>
    <row r="47" spans="1:14" s="16" customFormat="1" ht="21.75" customHeight="1" thickBot="1" x14ac:dyDescent="0.3">
      <c r="B47" s="52" t="s">
        <v>226</v>
      </c>
      <c r="C47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vovina.LogW.Mwh
{
	[Table("LgwMwhRobbingLane")]
	[Index(nameof(LaneNo), Name="IX_LgwMwhRobbingLane_LaneNo")]
	[Index(nameof(ContNo), Name="IX_LgwMwhRobbingLane_ContNo")]
	[Index(nameof(Renban), Name="IX_LgwMwhRobbingLane_Renban")]
	[Index(nameof(SupplierNo), Name="IX_LgwMwhRobbingLane_SupplierNo")]
	public class LgwMwhRobbingLane: FullAuditedEntity&lt;long&gt;, IEntity&lt;long&gt;	
	{
		public const int MaxLaneNoLength = 10;
		public const int MaxLaneNameLength = 50;
		public const int MaxContNoLength = 50;
		public const int MaxRenbanLength = 10;
		public const int MaxSupplierNoLength = 10;
		public const int MaxShowOnlyLength = 1;
		public const int MaxIsActiveLength = 1;
		[StringLength(MaxLaneNoLength)]
		public virtual string LaneNo { get; set; }
		[StringLength(MaxLaneNameLength)]
		public virtual string LaneName { get; set; }
		[StringLength(MaxContNoLength)]
		public virtual string ContNo { get; set; }
		[StringLength(MaxRenbanLength)]
		public virtual string Renban { get; set; }
		[StringLength(MaxSupplierNoLength)]
		public virtual string SupplierNo { get; set; }
		[StringLength(MaxShowOnlyLength)]
		public virtual string ShowOnly { get; set; }
		[StringLength(MaxIsActiveLength)]
		public virtual string IsActive { get; set; }
	}
}
</v>
      </c>
      <c r="D47" s="51" t="str">
        <f>A.Backend!O7</f>
        <v xml:space="preserve">		public const string Pages_LogW_Mwh_RobbingLane = "Pages.LogW.Mwh.RobbingLane";
		public const string Pages_LogW_Mwh_RobbingLane_CreateEdit = "Pages.LogW.Mwh.RobbingLane.CreateEdit";
		public const string Pages_LogW_Mwh_RobbingLane_Delete = "Pages.LogW.Mwh.RobbingLane.Delete";
</v>
      </c>
      <c r="E47" s="51" t="str">
        <f>A.Backend!N7</f>
        <v xml:space="preserve">		var perLgwMwhRobbingLane = PARENTS.CreateChildPermission(AppPermissions.Pages_LogW_Mwh_RobbingLane, L( "LogWMwhRobbingLane"));
		perLgwMwhRobbingLane.CreateChildPermission(AppPermissions.Pages_LogW_Mwh_RobbingLane_CreateEdit, L( "LogWMwhRobbingLaneCreateEdit"));
		perLgwMwhRobbingLane.CreateChildPermission(AppPermissions.Pages_LogW_Mwh_RobbingLane_Delete, L( "LogWMwhRobbingLaneDelete"));</v>
      </c>
      <c r="F47" s="51" t="str">
        <f>A.Backend!K7</f>
        <v>public virtual DbSet&lt;LgwMwhRobbingLane&gt; LgwMwhRobbingLanes { get; set; }</v>
      </c>
      <c r="G47" s="51" t="str">
        <f ca="1">A.Backend!L7</f>
        <v xml:space="preserve">namespace vovina.LogW.Mwh
{
	public class LgwMwhRobbingLaneConsts	
	{
		public const int MaxLaneNoLength = 10;
		public const int MaxLaneNameLength = 50;
		public const int MaxContNoLength = 50;
		public const int MaxRenbanLength = 10;
		public const int MaxSupplierNoLength = 10;
		public const int MaxShowOnlyLength = 1;
		public const int MaxIsActiveLength = 1;
		// Define Store Name: Format SP_ + &lt;Store Name&gt; = &lt;Store Name&gt;
	}
}
</v>
      </c>
      <c r="H47" s="51" t="str">
        <f ca="1">A.Backend!M7</f>
        <v xml:space="preserve">using Abp.Application.Services.Dto;
using System;
using System.ComponentModel.DataAnnotations;
namespace vovina.LogW.Mwh.Dto
{
	public class LgwMwhRobbingLaneDto : EntityDto&lt;long?&gt;	
	{
		public virtual string LaneNo { get; set; }
		public virtual string LaneName { get; set; }
		public virtual string ContNo { get; set; }
		public virtual string Renban { get; set; }
		public virtual string SupplierNo { get; set; }
		public virtual string ShowOnly { get; set; }
		public virtual string IsActive { get; set; }
	}
	public class CreateOrEditLgwMwhRobbingLaneDto : EntityDto&lt;long?&gt;	
	{
		[StringLength(LgwMwhRobbingLaneConsts.MaxLaneNoLength)]
		public virtual string LaneNo { get; set; }
		[StringLength(LgwMwhRobbingLaneConsts.MaxLaneNameLength)]
		public virtual string LaneName { get; set; }
		[StringLength(LgwMwhRobbingLaneConsts.MaxContNoLength)]
		public virtual string ContNo { get; set; }
		[StringLength(LgwMwhRobbingLaneConsts.MaxRenbanLength)]
		public virtual string Renban { get; set; }
		[StringLength(LgwMwhRobbingLaneConsts.MaxSupplierNoLength)]
		public virtual string SupplierNo { get; set; }
		[StringLength(LgwMwhRobbingLaneConsts.MaxShowOnlyLength)]
		public virtual string ShowOnly { get; set; }
		[StringLength(LgwMwhRobbingLaneConsts.MaxIsActiveLength)]
		public virtual string IsActive { get; set; }
	}
	public class GetLgwMwhRobbingLaneInput : PagedAndSortedResultRequestDto	
	{
		public virtual string LaneNo { get; set; }
		public virtual string LaneName { get; set; }
		public virtual string ContNo { get; set; }
		public virtual string Renban { get; set; }
		public virtual string SupplierNo { get; set; }
		public virtual string ShowOnly { get; set; }
		public virtual string IsActive { get; set; }
	}
}
</v>
      </c>
      <c r="I47" s="51" t="str">
        <f ca="1">A.Backend!R7</f>
        <v xml:space="preserve">using Abp.Application.Services.Dto;
using System;
using System.ComponentModel.DataAnnotations;
namespace vovina.LogW.Mwh.Dto
{
	public class LgwMwhRobbingLaneExportInput{
		public virtual string LaneNo { get; set; }
		public virtual string LaneName { get; set; }
		public virtual string ContNo { get; set; }
		public virtual string Renban { get; set; }
		public virtual string SupplierNo { get; set; }
		public virtual string ShowOnly { get; set; }
		public virtual string IsActive { get; set; }
	}
}
</v>
      </c>
      <c r="J47" s="51" t="str">
        <f>A.Backend!P7</f>
        <v xml:space="preserve">using Abp.Application.Services;
using Abp.Application.Services.Dto;
using System.Collections.Generic;using vovina.Dto;
using System.Threading.Tasks;
using vovina.LogW.Mwh.Dto;
namespace vovina.LogW.Mwh
{
	public interface ILgwMwhRobbingLaneAppService : IApplicationService
	{
		Task&lt;PagedResultDto&lt;LgwMwhRobbingLaneDto&gt;&gt; GetAll(GetLgwMwhRobbingLaneInput input);
		Task CreateOrEdit(CreateOrEditLgwMwhRobbingLaneDto input);
		Task Delete(EntityDto input);
	}
}
</v>
      </c>
      <c r="K47" s="51" t="str">
        <f>A.Backend!S7</f>
        <v xml:space="preserve">using Abp.Application.Services;
using Abp.Application.Services.Dto;
using System.Collections.Generic;using vovina.Dto;
using System.Threading.Tasks;
using vovina.LogW.Mwh.Dto;
namespace vovina.LogW.Mwh.Exporting
{
	public interface ILgwMwhRobbingLaneExcelExporter : IApplicationService
	{
		FileDto ExportToFile(List&lt;LgwMwhRobbingLaneDto&gt; lgwmwhrobbinglane);
	}
}
</v>
      </c>
      <c r="L47" s="51" t="str">
        <f ca="1">A.Backend!T7</f>
        <v>using System.Collections.Generic;
using vovina.DataExporting.Excel.NPOI;
using vovina.Dto;
using vovina.LogW.Mwh.Exporting;
using vovina.LogW.Mwh.Dto;
using vovina.Storage;
using vovina.LogW.Mwh.Dto;
namespace vovina.LogW.Mwh.Exporting
{
    public class LgwMwhRobbingLaneExcelExporter : NpoiExcelExporterBase, ILgwMwhRobbingLaneExcelExporter
    {
        public LgwMwhRobbingLaneExcelExporter(ITempFileCacheManager tempFileCacheManager) : base(tempFileCacheManager) { }
        public FileDto ExportToFile(List&lt;LgwMwhRobbingLaneDto&gt; robbinglane)
        {
            return CreateExcelPackage(
				"LogWMwhRobbingLane.xlsx",
				excelPackage =&gt;
				 {
					var sheet = excelPackage.CreateSheet("RobbingLane");
					AddHeader(
								sheet,
								("LaneNo"),
								("LaneName"),
								("ContNo"),
								("Renban"),
								("SupplierNo"),
								("ShowOnly"),
								("IsActive"),
							   );
					AddObjects(
						 sheet, 1, robbinglane,                                       
								_ =&gt; _.LaneNo,
								_ =&gt; _.LaneName,
								_ =&gt; _.ContNo,
								_ =&gt; _.Renban,
								_ =&gt; _.SupplierNo,
								_ =&gt; _.ShowOnly,
								_ =&gt; _.IsActive,
								);
			for (var i = 0; i &lt; 8; i++)
				{
					sheet.AutoSizeColumn(i);
				}
			});
        }
    }
}</v>
      </c>
      <c r="M47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vovina.LogW.Mwh.Dto;
using vovina.LogW.Mwh.Exporting;
namespace vovina.LogW.Mwh
{
    [AbpAuthorize(AppPermissions.Pages_LogW_Mwh_RobbingLane)]
    public class LgwMwhRobbingLaneAppService : vovinaAppServiceBase, ILgwMwhRobbingLaneAppService
    {
        private readonly IDapperRepository&lt;LgwMwhRobbingLane, long&gt; _dapperRepo;
        private readonly IRepository&lt;LgwMwhRobbingLane, long&gt; _repo;
        private readonly ILgwMwhRobbingLaneExcelExporter _calendarListExcelExporter;
        public LgwMwhRobbingLaneAppService(IRepository&lt;LgwMwhRobbingLane,long&gt; repo, 
                                         IDapperRepository&lt;LgwMwhRobbingLane,long&gt; dapperRepo,
                                        ILgwMwhRobbingLaneExcelExporter calendarListExcelExporter
            )
        {
            _repo = repo;
            _dapperRepo = dapperRepo;
            _calendarListExcelExporter = calendarListExcelExporter;
        }
        [AbpAuthorize(AppPermissions.Pages_LogW_Mwh_RobbingLane_CreateEdit)]
        public async Task CreateOrEdit(CreateOrEditLgwMwhRobbingLaneDto input)
        {
            if (input.Id == null) await Create(input);
            else await Update(input);
        }
        //CREATE
        private async Task Create(CreateOrEditLgwMwhRobbingLaneDto input)
        {          
            var mainObj = ObjectMapper.Map&lt;LgwMwhRobbingLane&gt;(input);
            await CurrentUnitOfWork.GetDbContext&lt;vovinaDbContext&gt;().AddAsync(mainObj);
        }
        // EDIT
        private async Task Update(CreateOrEditLgwMwhRobbingLaneDto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[AbpAuthorize(AppPermissions.Pages_LogW_Mwh_RobbingLane_Delete)]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Task&lt;PagedResultDto&lt;LgwMwhRobbingLaneDto&gt;&gt; GetAll(GetLgwMwhRobbingLaneInput input)
        {
            var filtered = _repo.GetAll()
				.WhereIf(!string.IsNullOrWhiteSpace(input.LaneNo), e =&gt; e.LaneNo.Contains(input.LaneNo))
				.WhereIf(!string.IsNullOrWhiteSpace(input.LaneName), e =&gt; e.LaneName.Contains(input.LaneName))
				.WhereIf(!string.IsNullOrWhiteSpace(input.ContNo), e =&gt; e.ContNo.Contains(input.ContNo))
				.WhereIf(!string.IsNullOrWhiteSpace(input.Renban), e =&gt; e.Renban.Contains(input.Renban))
				.WhereIf(!string.IsNullOrWhiteSpace(input.SupplierNo), e =&gt; e.SupplierNo.Contains(input.SupplierNo))
				.WhereIf(!string.IsNullOrWhiteSpace(input.ShowOnly), e =&gt; e.ShowOnly.Contains(input.ShowOnly))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LgwMwhRobbingLaneDto
                        {
							Id = o.Id,
							LaneNo = o.LaneNo,
							LaneName = o.LaneName,
							ContNo = o.ContNo,
							Renban = o.Renban,
							SupplierNo = o.SupplierNo,
							ShowOnly = o.ShowOnly,
							IsActive = o.IsActive,
                        };
            var totalCount = await filtered.CountAsync();
			var paged = system.PageBy(input);
            return new PagedResultDto&lt;LgwMwhRobbingLaneDto&gt;(
                totalCount,
                 await paged.ToListAsync()
            );
        }
        public async Task&lt;FileDto&gt; GetRobbingLaneToExcel(LgwMwhRobbingLaneExportInput input)
        {
            var query = from o in _repo.GetAll()
                        select new LgwMwhRobbingLaneDto
                        {
							Id = o.Id,
							LaneNo = o.LaneNo,
							LaneName = o.LaneName,
							ContNo = o.ContNo,
							Renban = o.Renban,
							SupplierNo = o.SupplierNo,
							ShowOnly = o.ShowOnly,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_dapperRepo.ExecuteAsync(LgwMwhRobbingLaneConsts.SP_MST_WPT_CALENDAR_GENERATE);
       // }
    }
}</v>
      </c>
      <c r="N47" s="62" t="str">
        <f>A.Backend!U7</f>
        <v xml:space="preserve">  configuration.CreateMap&lt;LgwMwhRobbingLaneDto, LgwMwhRobbingLane&gt;();
  configuration.CreateMap&lt;LgwMwhRobbingLane, LgwMwhRobbingLaneDto&gt;();
  configuration.CreateMap&lt;CreateOrEditLgwMwhRobbingLaneDto, LgwMwhRobbingLane&gt;();</v>
      </c>
    </row>
    <row r="48" spans="1:14" s="16" customFormat="1" ht="21.75" customHeight="1" x14ac:dyDescent="0.25">
      <c r="C48" s="65"/>
      <c r="D48" s="29"/>
      <c r="E48" s="29"/>
      <c r="F48" s="29"/>
      <c r="G48" s="29"/>
      <c r="H48" s="66"/>
      <c r="I48" s="67"/>
      <c r="J48" s="29"/>
      <c r="K48" s="29"/>
      <c r="M48" s="66"/>
    </row>
    <row r="49" spans="2:13" s="16" customFormat="1" ht="21.75" customHeight="1" x14ac:dyDescent="0.25">
      <c r="C49" s="29"/>
      <c r="D49" s="29"/>
      <c r="E49" s="29"/>
      <c r="F49" s="29"/>
      <c r="G49" s="29"/>
      <c r="H49" s="29"/>
      <c r="J49" s="29"/>
      <c r="K49" s="29"/>
      <c r="M49" s="29"/>
    </row>
    <row r="50" spans="2:13" s="16" customFormat="1" ht="21.75" customHeight="1" x14ac:dyDescent="0.25">
      <c r="C50" s="29"/>
      <c r="D50" s="29"/>
      <c r="E50" s="29"/>
      <c r="G50" s="29"/>
      <c r="H50" s="29"/>
    </row>
    <row r="51" spans="2:13" x14ac:dyDescent="0.25">
      <c r="B51" s="1" t="s">
        <v>73</v>
      </c>
    </row>
    <row r="52" spans="2:13" ht="21" x14ac:dyDescent="0.35">
      <c r="B52" t="str">
        <f>B.Frontend!B8</f>
        <v>robbinglane</v>
      </c>
      <c r="C52" s="72" t="str">
        <f>"create folder " &amp;B52</f>
        <v>create folder robbinglane</v>
      </c>
      <c r="D52" s="72"/>
      <c r="E52" s="72"/>
      <c r="F52" s="72"/>
      <c r="G52" s="72"/>
      <c r="H52" s="72"/>
      <c r="I52" s="72"/>
      <c r="J52" s="72"/>
      <c r="K52" s="73" t="s">
        <v>228</v>
      </c>
      <c r="L52" s="73"/>
      <c r="M52" s="31"/>
    </row>
    <row r="53" spans="2:13" s="28" customFormat="1" ht="18" customHeight="1" x14ac:dyDescent="0.25">
      <c r="B53" s="60" t="s">
        <v>229</v>
      </c>
      <c r="C53" s="31" t="str">
        <f>B.Frontend!H14</f>
        <v>robbinglane.component.ts</v>
      </c>
      <c r="D53" s="31" t="str">
        <f>B.Frontend!I14</f>
        <v>robbinglane.component.html</v>
      </c>
      <c r="E53" s="31" t="str">
        <f>B.Frontend!J14</f>
        <v>robbinglane.component.less</v>
      </c>
      <c r="F53" s="31" t="str">
        <f>B.Frontend!K14</f>
        <v>create-or-edit-robbinglane-modal.component.html</v>
      </c>
      <c r="G53" s="31" t="str">
        <f>B.Frontend!L14</f>
        <v>create-or-edit-robbinglane-modal.component.ts</v>
      </c>
      <c r="H53" s="31" t="str">
        <f>B.Frontend!M14</f>
        <v>create-or-edit-robbinglane-modal.component.less</v>
      </c>
      <c r="I53" s="31" t="str">
        <f>B.Frontend!N14</f>
        <v>robbinglane.module.ts</v>
      </c>
      <c r="J53" s="31" t="str">
        <f>B.Frontend!O14</f>
        <v>robbinglane-routing.module.ts</v>
      </c>
      <c r="K53" s="31" t="str">
        <f>B.Frontend!P14</f>
        <v>app.navigation.service.ts</v>
      </c>
      <c r="L53" s="31" t="str">
        <f>B.Frontend!Q14</f>
        <v>main.routing.module.ts</v>
      </c>
      <c r="M53" s="60" t="s">
        <v>232</v>
      </c>
    </row>
    <row r="54" spans="2:13" ht="21.75" customHeight="1" x14ac:dyDescent="0.25">
      <c r="B54" s="61" t="s">
        <v>226</v>
      </c>
      <c r="C54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LgwMwhRobbingLaneDto, LgwMwhRobbingLaneServiceProxy } from '@shared/service-proxies/service-proxies';
import { finalize } from 'rxjs/internal/operators/finalize';
import { CreateOrEditRobbingLaneModalComponent } from './create-or-edit-robbinglane-modal.component';
import { DatePipe } from '@angular/common';
import { FileDownloadService } from '@shared/utils/file-download.service';
import ceil from 'lodash-es/ceil';
import { Paginator } from 'primeng/paginator';
@Component({
    templateUrl: './robbinglane.component.html',
    styleUrls: ['./robbinglane.component.less'],
})
export class RobbingLaneComponent extends AppComponentBase implements OnInit {
    @ViewChild('createOrEditModalRobbingLane', { static: true }) createOrEditModalRobbingLane:| CreateOrEditRobbingLaneModalComponent|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LgwMwhRobbingLaneDto = new LgwMwhRobbingLaneDto();
    saveSelectedRow: LgwMwhRobbingLaneDto = new LgwMwhRobbingLaneDto();
    datas: LgwMwhRobbingLaneDto = new LgwMwhRobbingLaneDto();
    isLoading: boolean = false;
    dataParams: GridParams | undefined;
    rowData: any[] = [];
    gridApi!: GridApi;
    rowSelection = 'multiple';
    filter: string = '';
	pipe = new DatePipe('en-US');
	frameworkComponents: FrameworkComponent;
    laneNo : string = '' ; 
	laneName : string = '' ; 
	contNo : string = '' ; 
	renban : string = '' ; 
	supplierNo : string = '' ; 
showOnly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LgwMwhRobbingLaneServiceProxy,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this.l('Lane No'),headerTooltip: this.l('Lane No'),field: 'laneNo',flex: 1},
			{headerName: this.l('Lane Name'),headerTooltip: this.l('Lane Name'),field: 'laneName',flex: 1},
			{headerName: this.l('Cont No'),headerTooltip: this.l('Cont No'),field: 'contNo',flex: 1},
			{headerName: this.l('Renban'),headerTooltip: this.l('Renban'),field: 'renban',flex: 1},
			{headerName: this.l('Supplier No'),headerTooltip: this.l('Supplier No'),field: 'supplierNo',flex: 1},
			{headerName: this.l('Show Only'),headerTooltip: this.l('Show Only'),field:  'showOnly', cellClass: ['text-center'], width: 120, cellRenderer: 'agCellButtonComponent',
buttonDefTwo: { text: params =&gt; (params.data?.'showOnly' == 'Y') ? 'Active' : 'Inactive',iconName: 'fa fa-circle',className: params =&gt; (params.data?.'showOnly' == 'Y') ? 'btnActive' : 'btnInActive',},}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this.laneNo,
			this.laneName,
			this.contNo,
			this.renban,
			this.supplierNo,
			this.showOnly,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this.laneNo = '',
		this.laneName = '',
		this.contNo = '',
		this.renban = '',
		this.supplierNo = '',
this.showOnly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this.laneNo,
			this.laneName,
			this.contNo,
			this.renban,
			this.supplierNo,
			this.showOnly,
			this.isActive,
			'',
            this.paginationParams.skipCount,
            this.paginationParams.pageSize
        );
    }
    onChangeRowSelection(params: { api: { getSelectedRows: () =&gt; LgwMwhRobbingLaneDto[] } }) {
        this.saveSelectedRow = params.api.getSelectedRows()[0] ?? new LgwMwhRobbingLaneDto();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LgwMwhRobbingLaneDto):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this._service.getRobbingLaneToExcel(
			this.laneNo,
			this.laneName,
			this.contNo,
			this.renban,
			this.supplierNo,
			this.showOnly,
			this.isActive,
            )
            .subscribe((result) =&gt; {
                this._fileDownloadService.downloadTempFile(result);
        });
    }
}</v>
      </c>
      <c r="D54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LogW Module Warehouse Robbing Lane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[(ngModel)]='laneNo' name='laneNo'
									class='form-control' [placeholder]="l('Lane No')"
									type='text' (keyup.enter)='searchDatas()'&gt;
								&lt;/div&gt;
								&lt;div class='input-search'&gt;
									&lt;input [(ngModel)]='laneName' name='laneName'
									class='form-control' [placeholder]="l('Lane Name')"
									type='text' (keyup.enter)='searchDatas()'&gt;
								&lt;/div&gt;
								&lt;div class='input-search'&gt;
									&lt;input [(ngModel)]='contNo' name='contNo'
									class='form-control' [placeholder]="l('Cont No')"
									type='text' (keyup.enter)='searchDatas()'&gt;
								&lt;/div&gt;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[(ngModel)]='showOnly' name='showOnly'
									class='form-control' [placeholder]="l('Show Only')"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(click)="createOrEditModalRobbingLane.show()"&gt;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(click)="createOrEditModalRobbingLane.show(selectedRow)"&gt;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&lt;create-or-edit-robbinglane-modal
    #createOrEditModalRobbingLane
    (modalSave)="callBackDataGrid(dataParams)"
    (modalClose)="onChangeRowSelection(dataParams)"
&gt;
&lt;/create-or-edit-robbinglane-modal&gt;</v>
      </c>
      <c r="E54" s="49" t="str">
        <f>B.Frontend!J10</f>
        <v>.input-search{
    width: 250px;
    border-radius: 10px;
    margin-left: 10px;
}
.btn-search{
    width: 50px;
    margin-left: 10px;
}</v>
      </c>
      <c r="F54" s="49" t="str">
        <f ca="1">B.Frontend!K10</f>
        <v>&lt;div bsModal #createOrEditModalRobbingLane="bs-modal"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RobbingLane')}}&lt;/h3&gt;
                    &lt;h3 *ngIf="!rowdata.id"&gt;{{('Create New RobbingLane')}}&lt;/h3&gt;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title'&gt;Lane No&lt;/label&gt;
						&lt;input type='text' class='col-md-10 form-control input-text' name='LaneNo' [(ngModel)]='rowdata.laneNo'&gt;
					&lt;/div&gt;
					&lt;div class='col-md-12 form-group row'&gt;
						&lt;label class='col-md-2 form-control title'&gt;Lane Name&lt;/label&gt;
						&lt;input type='text' class='col-md-10 form-control input-text' name='LaneName' [(ngModel)]='rowdata.laneName'&gt;
					&lt;/div&gt;
					&lt;div class='col-md-12 form-group row'&gt;
						&lt;label class='col-md-2 form-control title'&gt;Cont No&lt;/label&gt;
						&lt;input type='text' class='col-md-10 form-control input-text' name='ContNo' [(ngModel)]='rowdata.contNo'&gt;
					&lt;/div&gt;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title'&gt;Show Only&lt;/label&gt;
						&lt;new-checkbox [(ngModel)]='_showOnly' name='showOnly' className='col-md-10' &gt; &lt;/new-checkbox&gt;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54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CreateOrEditLgwMwhRobbingLaneDto, LgwMwhRobbingLaneServiceProxy } from '@shared/service-proxies/service-proxies';
import { BsDatepickerDirective } from 'ngx-bootstrap/datepicker';
@Component({
    selector: 'create-or-edit-robbinglane-modal',
    templateUrl: './create-or-edit-robbinglane-modal.component.html',
    styleUrls: ['./create-or-edit-robbinglane-modal.component.less']
    })
export class CreateOrEditRobbingLaneModalComponent extends AppComponentBase {
    @ViewChild('createOrEditModalRobbingLane',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CreateOrEditLgwMwhRobbingLaneDto = new CreateOrEditLgwMwhRobbingLaneDto();
    active: boolean = false;
    saving: boolean = false;
    _showOnly
isActive: boolean;
    constructor(
        injector: Injector,
        private _mstwptRobbingLaneService: LgwMwhRobbingLaneServiceProxy,
    ) 
    {
        super(injector);
    }
    show(rowdata?: CreateOrEditLgwMwhRobbingLaneDto): void {
        if (!rowdata) this.rowdata = new CreateOrEditLgwMwhRobbingLaneDto();
        else this.rowdata = rowdata;
        this._showOnly
isActive = (this.rowdata.showOnly
isActive == "N")? false: true;
        this.active = true;
        this.modal.show();
    } 
    changeActive(event){
        this._showOnly
isActive = event.target.checked;
    }
    save(): void {
    this.saving = true; 
    this.rowdata.showOnly
isActive = (this._showOnly
isActive == true) ? 'Y' : 'N'
    this._mstwptRobbingLaneService.createOrEdit(this.rowdata)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54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54" s="49" t="str">
        <f>B.Frontend!N10</f>
        <v>import {NgModule} from '@angular/core';
import {AppSharedModule} from '@app/shared/app-shared.module';
import { RobbingLaneRoutingModule } from './robbinglane-routing.module';
import { RobbingLaneComponent } from './robbinglane.component';
import { CreateOrEditRobbingLaneModalComponent } from './create-or-edit-robbinglane-modal.component';
@NgModule({
    declarations: [
       RobbingLaneComponent, 
        CreateOrEditRobbingLaneModalComponent
    ],
    imports: [
        AppSharedModule, RobbingLaneRoutingModule]
})
export class RobbingLaneModule {}</v>
      </c>
      <c r="J54" s="49" t="str">
        <f>B.Frontend!O10</f>
        <v>import {NgModule} from '@angular/core';
import {RouterModule, Routes} from '@angular/router';
import { RobbingLaneComponent } from './robbinglane.component';
const routes: Routes = [{
    path: '',
    component: RobbingLaneComponent,
    pathMatch: 'full'
}];
@NgModule({
    imports: [RouterModule.forChild(routes)],
    exports: [RouterModule],
})
export class RobbingLaneRoutingModule {}</v>
      </c>
      <c r="K54" s="49" t="str">
        <f>B.Frontend!P10</f>
        <v xml:space="preserve"> new AppMenuItem("RobbingLane", "Pages.LogW.Mwh.RobbingLane", "flaticon-book",   "/app/main/logw/mwh/robbinglane"),</v>
      </c>
      <c r="L54" s="50" t="str">
        <f>B.Frontend!Q10</f>
        <v>{
    path: 'logw/mwh/robbinglane',
    loadChildren: () =&gt; import('./logw/mwh/robbinglane/robbinglane.module').then(m =&gt; m.RobbingLaneModule),
    data: { permission: 'Pages.LogW.Mwh.RobbingLane' }
},</v>
      </c>
      <c r="M54" s="48" t="str">
        <f>B.Frontend!R10</f>
        <v>ApiServiceProxies.LgwMwhRobbingLaneServiceProxy,</v>
      </c>
    </row>
    <row r="56" spans="2:13" x14ac:dyDescent="0.25">
      <c r="B56" s="1" t="s">
        <v>75</v>
      </c>
    </row>
  </sheetData>
  <mergeCells count="2">
    <mergeCell ref="C52:J52"/>
    <mergeCell ref="K52:L52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7"/>
  <sheetViews>
    <sheetView tabSelected="1" workbookViewId="0">
      <pane xSplit="1" topLeftCell="B1" activePane="topRight" state="frozen"/>
      <selection pane="topRight" activeCell="H11" sqref="H11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vovina.LogW.Mwh.Dto;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311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312</v>
      </c>
      <c r="C3" s="10" t="s">
        <v>43</v>
      </c>
      <c r="D3" s="10" t="s">
        <v>44</v>
      </c>
      <c r="E3" s="10" t="s">
        <v>39</v>
      </c>
      <c r="F3" s="11" t="str">
        <f>"J"&amp;COUNTA($A:$A)</f>
        <v>J15</v>
      </c>
      <c r="G3" s="4" t="s">
        <v>57</v>
      </c>
      <c r="H3" s="10" t="str">
        <f>"I"&amp;COUNTA($A:$A)</f>
        <v>I15</v>
      </c>
      <c r="I3" s="10" t="str">
        <f>REPT(CHAR(9),2)&amp;"[Required]"&amp;"
"</f>
        <v xml:space="preserve">		[Required]
</v>
      </c>
      <c r="J3" s="11" t="str">
        <f>"L"&amp;COUNTA($A:$A)</f>
        <v>L15</v>
      </c>
      <c r="K3" s="5" t="s">
        <v>56</v>
      </c>
      <c r="L3" s="11" t="str">
        <f>"M"&amp;COUNTA($A:$A)</f>
        <v>M15</v>
      </c>
      <c r="M3" s="11" t="str">
        <f>"N"&amp;COUNTA($A:$A)</f>
        <v>N15</v>
      </c>
      <c r="N3" s="11" t="str">
        <f>"O"&amp;COUNTA($A:$A)</f>
        <v>O15</v>
      </c>
      <c r="O3" s="11" t="str">
        <f>"P"&amp;COUNTA($A:$A)</f>
        <v>P15</v>
      </c>
      <c r="Q3" s="11" t="str">
        <f>RIGHT(B2,(LEN(B2)-FIND(".",B2,1)))</f>
        <v>Mwh</v>
      </c>
      <c r="R3" s="32" t="str">
        <f>REPT(CHAR(9),1)&amp;"public class "&amp;B3&amp;"ExportInput"&amp;C3</f>
        <v xml:space="preserve">	public class LgwMwhRobbingLaneExportInput{
</v>
      </c>
      <c r="S3" s="11" t="str">
        <f>"namespace "&amp;$B$6&amp;".Exporting
"&amp;$C$3</f>
        <v xml:space="preserve">namespace vovina.LogW.Mwh.Exporting
{
</v>
      </c>
      <c r="T3" s="11" t="str">
        <f>"T"&amp;COUNTA($A:$A)</f>
        <v>T15</v>
      </c>
      <c r="V3" s="11" t="str">
        <f>"V"&amp;COUNTA($A:$A)</f>
        <v>V15</v>
      </c>
      <c r="W3" s="10" t="str">
        <f>"W"&amp;COUNTA($A:$A)</f>
        <v>W15</v>
      </c>
    </row>
    <row r="4" spans="1:23" s="11" customFormat="1" ht="33" customHeight="1" x14ac:dyDescent="0.25">
      <c r="A4" s="1" t="s">
        <v>237</v>
      </c>
      <c r="B4" s="64" t="s">
        <v>271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313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vovina.LogW.Mwh</v>
      </c>
      <c r="C6" s="11" t="str">
        <f>"namespace "&amp;$B$6&amp;"
"&amp;$C$3</f>
        <v xml:space="preserve">namespace vovina.LogW.Mwh
{
</v>
      </c>
      <c r="D6" s="11" t="str">
        <f>REPT(CHAR(9),1)&amp;"public class "&amp;B3&amp;G3&amp;REPT(CHAR(9),1)&amp;"
"&amp;REPT(CHAR(9),1)&amp;C3</f>
        <v xml:space="preserve">	public class LgwMwhRobbingLane: FullAuditedEntity&lt;long&gt;, IEntity&lt;long&gt;	
	{
</v>
      </c>
      <c r="E6" s="11" t="str">
        <f>REPT(CHAR(9),1)&amp;"public class "&amp;B3&amp;"Consts"&amp;REPT(CHAR(9),1)&amp;"
"&amp;REPT(CHAR(9),1)&amp;C3</f>
        <v xml:space="preserve">	public class LgwMwhRobbingLaneConsts	
	{
</v>
      </c>
      <c r="F6" s="11" t="str">
        <f>REPT(CHAR(9),1)&amp;"public class "&amp;B3&amp;"Dto"&amp;K3&amp;REPT(CHAR(9),1)&amp;"
"&amp;REPT(CHAR(9),1)&amp;C3</f>
        <v xml:space="preserve">	public class LgwMwhRobbingLaneDto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CreateOrEditLgwMwhRobbingLaneDto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GetLgwMwhRobbingLaneInput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LgwMwhRobbingLane</v>
      </c>
      <c r="C7" s="11" t="str">
        <f>REPT(CHAR(9),1)&amp;"[Table("""&amp;B7&amp;""")]"&amp;"
"</f>
        <v xml:space="preserve">	[Table("LgwMwhRobbingLane")]
</v>
      </c>
      <c r="D7" s="11"/>
      <c r="E7" s="11"/>
      <c r="F7" s="11"/>
      <c r="G7" s="11"/>
      <c r="H7" s="11"/>
      <c r="I7" s="11"/>
      <c r="J7" s="6" t="str">
        <f ca="1">SUBSTITUTE(SUBSTITUTE((B1&amp;C6&amp;C7&amp;K17&amp;D6&amp;I17&amp;E3&amp;J17&amp;""&amp;REPT(CHAR(9),1)&amp;D3&amp;D3),"WorkingPattern",$Q$3),"Master",$B$4)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vovina.LogW.Mwh
{
	[Table("LgwMwhRobbingLane")]
	[Index(nameof(LaneNo), Name="IX_LgwMwhRobbingLane_LaneNo")]
	[Index(nameof(ContNo), Name="IX_LgwMwhRobbingLane_ContNo")]
	[Index(nameof(Renban), Name="IX_LgwMwhRobbingLane_Renban")]
	[Index(nameof(SupplierNo), Name="IX_LgwMwhRobbingLane_SupplierNo")]
	public class LgwMwhRobbingLane: FullAuditedEntity&lt;long&gt;, IEntity&lt;long&gt;	
	{
		public const int MaxLaneNoLength = 10;
		public const int MaxLaneNameLength = 50;
		public const int MaxContNoLength = 50;
		public const int MaxRenbanLength = 10;
		public const int MaxSupplierNoLength = 10;
		public const int MaxShowOnlyLength = 1;
		public const int MaxIsActiveLength = 1;
		[StringLength(MaxLaneNoLength)]
		public virtual string LaneNo { get; set; }
		[StringLength(MaxLaneNameLength)]
		public virtual string LaneName { get; set; }
		[StringLength(MaxContNoLength)]
		public virtual string ContNo { get; set; }
		[StringLength(MaxRenbanLength)]
		public virtual string Renban { get; set; }
		[StringLength(MaxSupplierNoLength)]
		public virtual string SupplierNo { get; set; }
		[StringLength(MaxShowOnlyLength)]
		public virtual string ShowOnly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DbSet&lt;LgwMwhRobbingLane&gt; LgwMwhRobbingLanes { get; set; }</v>
      </c>
      <c r="L7" t="str">
        <f ca="1">SUBSTITUTE(SUBSTITUTE((C6&amp;E6&amp;I17&amp;"
"&amp;REPT(CHAR(9),2)&amp;"// Define Store Name: Format SP_ + &lt;Store Name&gt; = &lt;Store Name&gt;
"&amp;E3&amp;REPT(CHAR(9),1)&amp;D3&amp;D3),"WorkingPattern",$Q$3),"Master",$B$4)</f>
        <v xml:space="preserve">namespace vovina.LogW.Mwh
{
	public class LgwMwhRobbingLaneConsts	
	{
		public const int MaxLaneNoLength = 10;
		public const int MaxLaneNameLength = 50;
		public const int MaxContNoLength = 50;
		public const int MaxRenbanLength = 10;
		public const int MaxSupplierNoLength = 10;
		public const int MaxShowOnlyLength = 1;
		public const int MaxIsActiveLength = 1;
		// Define Store Name: Format SP_ + &lt;Store Name&gt; = &lt;Store Name&gt;
	}
}
</v>
      </c>
      <c r="M7" t="str">
        <f ca="1">SUBSTITUTE(SUBSTITUTE((C1&amp;"namespace "&amp;B6&amp;".Dto"&amp;E3&amp;C3&amp;F6&amp;M17&amp;E3&amp;REPT(CHAR(9),1)&amp;D3&amp;G6&amp;N17&amp;REPT(CHAR(9),1)&amp;D3&amp;H6&amp;O17&amp;"
"&amp;REPT(CHAR(9),1)&amp;D3&amp;D3),"WorkingPattern",$Q$3),"Master",$B$4)</f>
        <v xml:space="preserve">using Abp.Application.Services.Dto;
using System;
using System.ComponentModel.DataAnnotations;
namespace vovina.LogW.Mwh.Dto
{
	public class LgwMwhRobbingLaneDto : EntityDto&lt;long?&gt;	
	{
		public virtual string LaneNo { get; set; }
		public virtual string LaneName { get; set; }
		public virtual string ContNo { get; set; }
		public virtual string Renban { get; set; }
		public virtual string SupplierNo { get; set; }
		public virtual string ShowOnly { get; set; }
		public virtual string IsActive { get; set; }
	}
	public class CreateOrEditLgwMwhRobbingLaneDto : EntityDto&lt;long?&gt;	
	{
		[StringLength(LgwMwhRobbingLaneConsts.MaxLaneNoLength)]
		public virtual string LaneNo { get; set; }
		[StringLength(LgwMwhRobbingLaneConsts.MaxLaneNameLength)]
		public virtual string LaneName { get; set; }
		[StringLength(LgwMwhRobbingLaneConsts.MaxContNoLength)]
		public virtual string ContNo { get; set; }
		[StringLength(LgwMwhRobbingLaneConsts.MaxRenbanLength)]
		public virtual string Renban { get; set; }
		[StringLength(LgwMwhRobbingLaneConsts.MaxSupplierNoLength)]
		public virtual string SupplierNo { get; set; }
		[StringLength(LgwMwhRobbingLaneConsts.MaxShowOnlyLength)]
		public virtual string ShowOnly { get; set; }
		[StringLength(LgwMwhRobbingLaneConsts.MaxIsActiveLength)]
		public virtual string IsActive { get; set; }
	}
	public class GetLgwMwhRobbingLaneInput : PagedAndSortedResultRequestDto	
	{
		public virtual string LaneNo { get; set; }
		public virtual string LaneName { get; set; }
		public virtual string ContNo { get; set; }
		public virtual string Renban { get; set; }
		public virtual string SupplierNo { get; set; }
		public virtual string ShowOnly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perLgwMwhRobbingLane = PARENTS.CreateChildPermission(AppPermissions.Pages_LogW_Mwh_RobbingLane, L( "LogWMwhRobbingLane"));
		perLgwMwhRobbingLane.CreateChildPermission(AppPermissions.Pages_LogW_Mwh_RobbingLane_CreateEdit, L( "LogWMwhRobbingLaneCreateEdit"));
		perLgwMwhRobbingLane.CreateChildPermission(AppPermissions.Pages_LogW_Mwh_RobbingLane_Delete, L( "LogWMwhRobbingLaneDelete"));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Pages_LogW_Mwh_RobbingLane = "Pages.LogW.Mwh.RobbingLane";
		public const string Pages_LogW_Mwh_RobbingLane_CreateEdit = "Pages.LogW.Mwh.RobbingLane.CreateEdit";
		public const string Pages_LogW_Mwh_RobbingLane_Delete = "Pages.LogW.Mwh.RobbingLane.Delete";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vovina.LogW.Mwh.Dto;
namespace vovina.LogW.Mwh
{
	public interface ILgwMwhRobbingLaneAppService : IApplicationService
	{
		Task&lt;PagedResultDto&lt;LgwMwhRobbingLaneDto&gt;&gt; GetAll(GetLgwMwhRobbingLaneInput input);
		Task CreateOrEdit(CreateOrEditLgwMwhRobbingLaneDto input);
		Task Delete(EntityDto input);
	}
}
</v>
      </c>
      <c r="Q7" t="str">
        <f ca="1">SUBSTITUTE(SUBSTITUTE(SUBSTITUTE(SUBSTITUTE(SUBSTITUTE(SUBSTITUTE(E1,"MstWptCalendar",$B$3),"&lt;PROPERTIES&gt;",P17),"Calendar",$B$5),"WorkingPattern",$Q$3),"Master",$B$4),"&lt;PARAMS_SEARCH&gt;",$W$17)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vovina.LogW.Mwh.Dto;
using vovina.LogW.Mwh.Exporting;
namespace vovina.LogW.Mwh
{
    [AbpAuthorize(AppPermissions.Pages_LogW_Mwh_RobbingLane)]
    public class LgwMwhRobbingLaneAppService : vovinaAppServiceBase, ILgwMwhRobbingLaneAppService
    {
        private readonly IDapperRepository&lt;LgwMwhRobbingLane, long&gt; _dapperRepo;
        private readonly IRepository&lt;LgwMwhRobbingLane, long&gt; _repo;
        private readonly ILgwMwhRobbingLaneExcelExporter _calendarListExcelExporter;
        public LgwMwhRobbingLaneAppService(IRepository&lt;LgwMwhRobbingLane,long&gt; repo, 
                                         IDapperRepository&lt;LgwMwhRobbingLane,long&gt; dapperRepo,
                                        ILgwMwhRobbingLaneExcelExporter calendarListExcelExporter
            )
        {
            _repo = repo;
            _dapperRepo = dapperRepo;
            _calendarListExcelExporter = calendarListExcelExporter;
        }
        [AbpAuthorize(AppPermissions.Pages_LogW_Mwh_RobbingLane_CreateEdit)]
        public async Task CreateOrEdit(CreateOrEditLgwMwhRobbingLaneDto input)
        {
            if (input.Id == null) await Create(input);
            else await Update(input);
        }
        //CREATE
        private async Task Create(CreateOrEditLgwMwhRobbingLaneDto input)
        {          
            var mainObj = ObjectMapper.Map&lt;LgwMwhRobbingLane&gt;(input);
            await CurrentUnitOfWork.GetDbContext&lt;vovinaDbContext&gt;().AddAsync(mainObj);
        }
        // EDIT
        private async Task Update(CreateOrEditLgwMwhRobbingLaneDto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[AbpAuthorize(AppPermissions.Pages_LogW_Mwh_RobbingLane_Delete)]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Task&lt;PagedResultDto&lt;LgwMwhRobbingLaneDto&gt;&gt; GetAll(GetLgwMwhRobbingLaneInput input)
        {
            var filtered = _repo.GetAll()
				.WhereIf(!string.IsNullOrWhiteSpace(input.LaneNo), e =&gt; e.LaneNo.Contains(input.LaneNo))
				.WhereIf(!string.IsNullOrWhiteSpace(input.LaneName), e =&gt; e.LaneName.Contains(input.LaneName))
				.WhereIf(!string.IsNullOrWhiteSpace(input.ContNo), e =&gt; e.ContNo.Contains(input.ContNo))
				.WhereIf(!string.IsNullOrWhiteSpace(input.Renban), e =&gt; e.Renban.Contains(input.Renban))
				.WhereIf(!string.IsNullOrWhiteSpace(input.SupplierNo), e =&gt; e.SupplierNo.Contains(input.SupplierNo))
				.WhereIf(!string.IsNullOrWhiteSpace(input.ShowOnly), e =&gt; e.ShowOnly.Contains(input.ShowOnly))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LgwMwhRobbingLaneDto
                        {
							Id = o.Id,
							LaneNo = o.LaneNo,
							LaneName = o.LaneName,
							ContNo = o.ContNo,
							Renban = o.Renban,
							SupplierNo = o.SupplierNo,
							ShowOnly = o.ShowOnly,
							IsActive = o.IsActive,
                        };
            var totalCount = await filtered.CountAsync();
			var paged = system.PageBy(input);
            return new PagedResultDto&lt;LgwMwhRobbingLaneDto&gt;(
                totalCount,
                 await paged.ToListAsync()
            );
        }
        public async Task&lt;FileDto&gt; GetRobbingLaneToExcel(LgwMwhRobbingLaneExportInput input)
        {
            var query = from o in _repo.GetAll()
                        select new LgwMwhRobbingLaneDto
                        {
							Id = o.Id,
							LaneNo = o.LaneNo,
							LaneName = o.LaneName,
							ContNo = o.ContNo,
							Renban = o.Renban,
							SupplierNo = o.SupplierNo,
							ShowOnly = o.ShowOnly,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_dapperRepo.ExecuteAsync(LgwMwhRobbingLaneConsts.SP_MST_WPT_CALENDAR_GENERATE);
       // }
    }
}</v>
      </c>
      <c r="R7" t="str">
        <f ca="1">SUBSTITUTE(SUBSTITUTE((C1&amp;"namespace "&amp;B6&amp;".Dto"&amp;E3&amp;C3&amp;R3&amp;M17&amp;E3&amp;REPT(CHAR(9),1)&amp;D3&amp;D3),"WorkingPattern",$Q$3),"Master",$B$4)</f>
        <v xml:space="preserve">using Abp.Application.Services.Dto;
using System;
using System.ComponentModel.DataAnnotations;
namespace vovina.LogW.Mwh.Dto
{
	public class LgwMwhRobbingLaneExportInput{
		public virtual string LaneNo { get; set; }
		public virtual string LaneName { get; set; }
		public virtual string ContNo { get; set; }
		public virtual string Renban { get; set; }
		public virtual string SupplierNo { get; set; }
		public virtual string ShowOnly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vovina.LogW.Mwh.Dto;
namespace vovina.LogW.Mwh.Exporting
{
	public interface ILgwMwhRobbingLaneExcelExporter : IApplicationService
	{
		FileDto ExportToFile(List&lt;LgwMwhRobbingLaneDto&gt; lgwmwhrobbinglane);
	}
}
</v>
      </c>
      <c r="T7" s="28" t="str">
        <f ca="1">SUBSTITUTE(SUBSTITUTE(SUBSTITUTE(SUBSTITUTE(SUBSTITUTE(SUBSTITUTE(SUBSTITUTE(T1,"MstWptCalendar",$B$3),"&lt;PROPERTIES1&gt;",V17),"&lt;PROPERTIES&gt;",T17),"Calendar",$B$5),"calendar",LOWER(B5)),"WorkingPattern",$Q$3),"Master",$B$4)</f>
        <v>using System.Collections.Generic;
using vovina.DataExporting.Excel.NPOI;
using vovina.Dto;
using vovina.LogW.Mwh.Exporting;
using vovina.LogW.Mwh.Dto;
using vovina.Storage;
using vovina.LogW.Mwh.Dto;
namespace vovina.LogW.Mwh.Exporting
{
    public class LgwMwhRobbingLaneExcelExporter : NpoiExcelExporterBase, ILgwMwhRobbingLaneExcelExporter
    {
        public LgwMwhRobbingLaneExcelExporter(ITempFileCacheManager tempFileCacheManager) : base(tempFileCacheManager) { }
        public FileDto ExportToFile(List&lt;LgwMwhRobbingLaneDto&gt; robbinglane)
        {
            return CreateExcelPackage(
				"LogWMwhRobbingLane.xlsx",
				excelPackage =&gt;
				 {
					var sheet = excelPackage.CreateSheet("RobbingLane");
					AddHeader(
								sheet,
								("LaneNo"),
								("LaneName"),
								("ContNo"),
								("Renban"),
								("SupplierNo"),
								("ShowOnly"),
								("IsActive"),
							   );
					AddObjects(
						 sheet, 1, robbinglane,                                       
								_ =&gt; _.LaneNo,
								_ =&gt; _.LaneName,
								_ =&gt; _.ContNo,
								_ =&gt; _.Renban,
								_ =&gt; _.SupplierNo,
								_ =&gt; _.ShowOnly,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configuration.CreateMap&lt;LgwMwhRobbingLaneDto, LgwMwhRobbingLane&gt;();
  configuration.CreateMap&lt;LgwMwhRobbingLane, LgwMwhRobbingLaneDto&gt;();
  configuration.CreateMap&lt;CreateOrEditLgwMwhRobbingLaneDto, LgwMwhRobbingLane&gt;();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305</v>
      </c>
      <c r="B9" t="s">
        <v>301</v>
      </c>
      <c r="C9" t="s">
        <v>1</v>
      </c>
      <c r="D9" t="str">
        <f>SUBSTITUTE(PROPER(A9),"_","")</f>
        <v>LaneNo</v>
      </c>
      <c r="E9" t="str">
        <f t="shared" ref="E9:E11" si="0">IFERROR(LEFT(B9, FIND("(",B9)-1),B9)</f>
        <v>varchar</v>
      </c>
      <c r="F9" s="7"/>
      <c r="G9" t="str">
        <f t="shared" ref="G9:G11" si="1">IFERROR(MID(B9,FIND("(",B9) +1, FIND(")",B9) - FIND("(",B9) - 1),"")</f>
        <v>10</v>
      </c>
      <c r="H9" t="str">
        <f>+VLOOKUP(E9,'Data Type Mapping'!A:B,2,)</f>
        <v>string</v>
      </c>
      <c r="I9" t="str">
        <f t="shared" ref="I9:I11" si="2">IF(H9="string",REPT(CHAR(9),2)&amp;"public const int Max"&amp;D9&amp;"Length = "&amp;G9&amp;";"&amp;$E$3,"" )</f>
        <v xml:space="preserve">		public const int MaxLaneNoLength = 10;
</v>
      </c>
      <c r="J9" t="str">
        <f t="shared" ref="J9:J11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[StringLength(MaxLaneNoLength)]
		public virtual string LaneNo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[Index(nameof(LaneNo), Name="IX_LgwMwhRobbingLane_LaneNo")]</v>
      </c>
      <c r="M9" t="str">
        <f>REPT(CHAR(9),2)&amp;"public virtual "&amp;IF(OR(H9="DateTime",H9="TimeSpan"),H9&amp;"?",H9)&amp;IF(C9="?","? "," ")&amp;D9&amp;" { get; set; }" &amp; "
"</f>
        <v xml:space="preserve">		public virtual string LaneNo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[StringLength(LgwMwhRobbingLaneConsts.MaxLaneNoLength)]
		public virtual string LaneNo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string LaneNo { get; set; }
</v>
      </c>
      <c r="P9" t="str">
        <f t="shared" ref="P9:P11" si="4">REPT(CHAR(9),7)&amp;D9&amp;" = o." &amp;D9 &amp;","</f>
        <v xml:space="preserve">							LaneNo = o.LaneNo,</v>
      </c>
      <c r="T9" s="69" t="str">
        <f>REPT(CHAR(9),8)&amp;"("""&amp;D9&amp;"""),"</f>
        <v xml:space="preserve">								("LaneNo"),</v>
      </c>
      <c r="V9" s="70" t="str">
        <f>REPT(CHAR(9),8)&amp;"_ =&gt; _."&amp;D9&amp;","</f>
        <v xml:space="preserve">								_ =&gt; _.LaneNo,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.WhereIf(!string.IsNullOrWhiteSpace(input.LaneNo), e =&gt; e.LaneNo.Contains(input.LaneNo))</v>
      </c>
    </row>
    <row r="10" spans="1:23" customFormat="1" ht="21" customHeight="1" x14ac:dyDescent="0.25">
      <c r="A10" t="s">
        <v>307</v>
      </c>
      <c r="B10" t="s">
        <v>306</v>
      </c>
      <c r="C10" t="s">
        <v>1</v>
      </c>
      <c r="D10" t="str">
        <f t="shared" ref="D10:D11" si="5">SUBSTITUTE(PROPER(A10),"_","")</f>
        <v>LaneName</v>
      </c>
      <c r="E10" t="str">
        <f t="shared" si="0"/>
        <v>varchar</v>
      </c>
      <c r="F10" s="7"/>
      <c r="G10" t="str">
        <f t="shared" si="1"/>
        <v>50</v>
      </c>
      <c r="H10" t="str">
        <f>+VLOOKUP(E10,'Data Type Mapping'!A:B,2,)</f>
        <v>string</v>
      </c>
      <c r="I10" t="str">
        <f t="shared" si="2"/>
        <v xml:space="preserve">		public const int MaxLaneNameLength = 50;
</v>
      </c>
      <c r="J10" t="str">
        <f t="shared" si="3"/>
        <v xml:space="preserve">		[StringLength(MaxLaneNameLength)]
		public virtual string LaneName { get; set; }
</v>
      </c>
      <c r="K10" s="7"/>
      <c r="L10" t="str">
        <f t="shared" ref="L10:L11" si="6">IF(K10="","",REPT(CHAR(9),1)&amp;"[Index(nameof("&amp;IF(D10="","",""&amp;D10)&amp;")"&amp;", Name="&amp;"""IX_"&amp;$B$7&amp;"_"&amp;D10&amp;""")]")</f>
        <v/>
      </c>
      <c r="M10" t="str">
        <f t="shared" ref="M10:M13" si="7">REPT(CHAR(9),2)&amp;"public virtual "&amp;IF(OR(H10="DateTime",H10="TimeSpan"),H10&amp;"?",H10)&amp;IF(C10="?","? "," ")&amp;D10&amp;" { get; set; }" &amp; "
"</f>
        <v xml:space="preserve">		public virtual string LaneName { get; set; }
</v>
      </c>
      <c r="N10" t="str">
        <f t="shared" ref="N10:N13" si="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[StringLength(LgwMwhRobbingLaneConsts.MaxLaneNameLength)]
		public virtual string LaneName { get; set; }
</v>
      </c>
      <c r="O10" t="str">
        <f t="shared" ref="O10:O13" si="9">IF(OR(H10="string",H10="DateTime",H10="int"),REPT(CHAR(9),2)&amp;"public virtual "&amp;IF(OR(H10="DateTime",H10="TimeSpan"),H10&amp;"?",H10)&amp;IF(C10="?","? "," ")&amp;D10&amp;" { get; set; }"&amp;$E$3,"")</f>
        <v xml:space="preserve">		public virtual string LaneName { get; set; }
</v>
      </c>
      <c r="P10" t="str">
        <f t="shared" si="4"/>
        <v xml:space="preserve">							LaneName = o.LaneName,</v>
      </c>
      <c r="T10" s="69" t="str">
        <f t="shared" ref="T10:T13" si="10">REPT(CHAR(9),8)&amp;"("""&amp;D10&amp;"""),"</f>
        <v xml:space="preserve">								("LaneName"),</v>
      </c>
      <c r="V10" s="70" t="str">
        <f t="shared" ref="V10:V13" si="11">REPT(CHAR(9),8)&amp;"_ =&gt; _."&amp;D10&amp;","</f>
        <v xml:space="preserve">								_ =&gt; _.LaneName,</v>
      </c>
      <c r="W10" s="69" t="str">
        <f t="shared" ref="W10:W13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.WhereIf(!string.IsNullOrWhiteSpace(input.LaneName), e =&gt; e.LaneName.Contains(input.LaneName))</v>
      </c>
    </row>
    <row r="11" spans="1:23" customFormat="1" ht="18.75" customHeight="1" x14ac:dyDescent="0.25">
      <c r="A11" t="s">
        <v>308</v>
      </c>
      <c r="B11" t="s">
        <v>306</v>
      </c>
      <c r="C11" t="s">
        <v>1</v>
      </c>
      <c r="D11" t="str">
        <f t="shared" si="5"/>
        <v>ContNo</v>
      </c>
      <c r="E11" t="str">
        <f t="shared" si="0"/>
        <v>varchar</v>
      </c>
      <c r="F11" s="7"/>
      <c r="G11" t="str">
        <f t="shared" si="1"/>
        <v>50</v>
      </c>
      <c r="H11" t="str">
        <f>+VLOOKUP(E11,'Data Type Mapping'!A:B,2,)</f>
        <v>string</v>
      </c>
      <c r="I11" t="str">
        <f t="shared" si="2"/>
        <v xml:space="preserve">		public const int MaxContNoLength = 50;
</v>
      </c>
      <c r="J11" t="str">
        <f t="shared" si="3"/>
        <v xml:space="preserve">		[StringLength(MaxContNoLength)]
		public virtual string ContNo { get; set; }
</v>
      </c>
      <c r="K11" s="7" t="s">
        <v>206</v>
      </c>
      <c r="L11" t="str">
        <f t="shared" si="6"/>
        <v xml:space="preserve">	[Index(nameof(ContNo), Name="IX_LgwMwhRobbingLane_ContNo")]</v>
      </c>
      <c r="M11" t="str">
        <f t="shared" si="7"/>
        <v xml:space="preserve">		public virtual string ContNo { get; set; }
</v>
      </c>
      <c r="N11" t="str">
        <f t="shared" si="8"/>
        <v xml:space="preserve">		[StringLength(LgwMwhRobbingLaneConsts.MaxContNoLength)]
		public virtual string ContNo { get; set; }
</v>
      </c>
      <c r="O11" t="str">
        <f t="shared" si="9"/>
        <v xml:space="preserve">		public virtual string ContNo { get; set; }
</v>
      </c>
      <c r="P11" t="str">
        <f t="shared" si="4"/>
        <v xml:space="preserve">							ContNo = o.ContNo,</v>
      </c>
      <c r="T11" s="69" t="str">
        <f t="shared" si="10"/>
        <v xml:space="preserve">								("ContNo"),</v>
      </c>
      <c r="V11" s="70" t="str">
        <f t="shared" si="11"/>
        <v xml:space="preserve">								_ =&gt; _.ContNo,</v>
      </c>
      <c r="W11" s="69" t="str">
        <f t="shared" si="12"/>
        <v xml:space="preserve">				.WhereIf(!string.IsNullOrWhiteSpace(input.ContNo), e =&gt; e.ContNo.Contains(input.ContNo))</v>
      </c>
    </row>
    <row r="12" spans="1:23" customFormat="1" ht="22.5" customHeight="1" x14ac:dyDescent="0.25">
      <c r="A12" t="s">
        <v>309</v>
      </c>
      <c r="B12" t="s">
        <v>301</v>
      </c>
      <c r="C12" t="s">
        <v>1</v>
      </c>
      <c r="D12" t="str">
        <f>SUBSTITUTE(PROPER(A12),"_","")</f>
        <v>Renban</v>
      </c>
      <c r="E12" t="str">
        <f t="shared" ref="E12:E13" si="13">IFERROR(LEFT(B12, FIND("(",B12)-1),B12)</f>
        <v>varchar</v>
      </c>
      <c r="F12" s="7"/>
      <c r="G12" t="str">
        <f t="shared" ref="G12:G13" si="14">IFERROR(MID(B12,FIND("(",B12) +1, FIND(")",B12) - FIND("(",B12) - 1),"")</f>
        <v>10</v>
      </c>
      <c r="H12" t="str">
        <f>+VLOOKUP(E12,'Data Type Mapping'!A:B,2,)</f>
        <v>string</v>
      </c>
      <c r="I12" t="str">
        <f t="shared" ref="I12:I13" si="15">IF(H12="string",REPT(CHAR(9),2)&amp;"public const int Max"&amp;D12&amp;"Length = "&amp;G12&amp;";"&amp;$E$3,"" )</f>
        <v xml:space="preserve">		public const int MaxRenbanLength = 10;
</v>
      </c>
      <c r="J12" t="str">
        <f t="shared" ref="J12:J13" si="16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[StringLength(MaxRenbanLength)]
		public virtual string Renban { get; set; }
</v>
      </c>
      <c r="K12" s="7" t="s">
        <v>206</v>
      </c>
      <c r="L12" t="str">
        <f>IF(K12="","",REPT(CHAR(9),1)&amp;"[Index(nameof("&amp;IF(D12="","",""&amp;D12)&amp;")"&amp;", Name="&amp;"""IX_"&amp;$B$7&amp;"_"&amp;D12&amp;""")]")</f>
        <v xml:space="preserve">	[Index(nameof(Renban), Name="IX_LgwMwhRobbingLane_Renban")]</v>
      </c>
      <c r="M12" t="str">
        <f t="shared" si="7"/>
        <v xml:space="preserve">		public virtual string Renban { get; set; }
</v>
      </c>
      <c r="N12" t="str">
        <f t="shared" si="8"/>
        <v xml:space="preserve">		[StringLength(LgwMwhRobbingLaneConsts.MaxRenbanLength)]
		public virtual string Renban { get; set; }
</v>
      </c>
      <c r="O12" t="str">
        <f t="shared" si="9"/>
        <v xml:space="preserve">		public virtual string Renban { get; set; }
</v>
      </c>
      <c r="P12" t="str">
        <f t="shared" ref="P12:P13" si="17">REPT(CHAR(9),7)&amp;D12&amp;" = o." &amp;D12 &amp;","</f>
        <v xml:space="preserve">							Renban = o.Renban,</v>
      </c>
      <c r="T12" s="69" t="str">
        <f t="shared" si="10"/>
        <v xml:space="preserve">								("Renban"),</v>
      </c>
      <c r="V12" s="70" t="str">
        <f t="shared" si="11"/>
        <v xml:space="preserve">								_ =&gt; _.Renban,</v>
      </c>
      <c r="W12" s="69" t="str">
        <f t="shared" si="12"/>
        <v xml:space="preserve">				.WhereIf(!string.IsNullOrWhiteSpace(input.Renban), e =&gt; e.Renban.Contains(input.Renban))</v>
      </c>
    </row>
    <row r="13" spans="1:23" customFormat="1" ht="21" customHeight="1" x14ac:dyDescent="0.25">
      <c r="A13" t="s">
        <v>302</v>
      </c>
      <c r="B13" t="s">
        <v>301</v>
      </c>
      <c r="C13" t="s">
        <v>1</v>
      </c>
      <c r="D13" t="str">
        <f t="shared" ref="D13" si="18">SUBSTITUTE(PROPER(A13),"_","")</f>
        <v>SupplierNo</v>
      </c>
      <c r="E13" t="str">
        <f t="shared" si="13"/>
        <v>varchar</v>
      </c>
      <c r="F13" s="7"/>
      <c r="G13" t="str">
        <f t="shared" si="14"/>
        <v>10</v>
      </c>
      <c r="H13" t="str">
        <f>+VLOOKUP(E13,'Data Type Mapping'!A:B,2,)</f>
        <v>string</v>
      </c>
      <c r="I13" t="str">
        <f t="shared" si="15"/>
        <v xml:space="preserve">		public const int MaxSupplierNoLength = 10;
</v>
      </c>
      <c r="J13" t="str">
        <f t="shared" si="16"/>
        <v xml:space="preserve">		[StringLength(MaxSupplierNoLength)]
		public virtual string SupplierNo { get; set; }
</v>
      </c>
      <c r="K13" s="7" t="s">
        <v>206</v>
      </c>
      <c r="L13" t="str">
        <f t="shared" ref="L13" si="19">IF(K13="","",REPT(CHAR(9),1)&amp;"[Index(nameof("&amp;IF(D13="","",""&amp;D13)&amp;")"&amp;", Name="&amp;"""IX_"&amp;$B$7&amp;"_"&amp;D13&amp;""")]")</f>
        <v xml:space="preserve">	[Index(nameof(SupplierNo), Name="IX_LgwMwhRobbingLane_SupplierNo")]</v>
      </c>
      <c r="M13" t="str">
        <f t="shared" si="7"/>
        <v xml:space="preserve">		public virtual string SupplierNo { get; set; }
</v>
      </c>
      <c r="N13" t="str">
        <f t="shared" si="8"/>
        <v xml:space="preserve">		[StringLength(LgwMwhRobbingLaneConsts.MaxSupplierNoLength)]
		public virtual string SupplierNo { get; set; }
</v>
      </c>
      <c r="O13" t="str">
        <f t="shared" si="9"/>
        <v xml:space="preserve">		public virtual string SupplierNo { get; set; }
</v>
      </c>
      <c r="P13" t="str">
        <f t="shared" si="17"/>
        <v xml:space="preserve">							SupplierNo = o.SupplierNo,</v>
      </c>
      <c r="T13" s="69" t="str">
        <f t="shared" si="10"/>
        <v xml:space="preserve">								("SupplierNo"),</v>
      </c>
      <c r="V13" s="70" t="str">
        <f t="shared" si="11"/>
        <v xml:space="preserve">								_ =&gt; _.SupplierNo,</v>
      </c>
      <c r="W13" s="69" t="str">
        <f t="shared" si="12"/>
        <v xml:space="preserve">				.WhereIf(!string.IsNullOrWhiteSpace(input.SupplierNo), e =&gt; e.SupplierNo.Contains(input.SupplierNo))</v>
      </c>
    </row>
    <row r="14" spans="1:23" customFormat="1" ht="22.5" customHeight="1" x14ac:dyDescent="0.25">
      <c r="A14" t="s">
        <v>310</v>
      </c>
      <c r="B14" t="s">
        <v>304</v>
      </c>
      <c r="C14" t="s">
        <v>1</v>
      </c>
      <c r="D14" t="str">
        <f>SUBSTITUTE(PROPER(A14),"_","")</f>
        <v>ShowOnly</v>
      </c>
      <c r="E14" t="str">
        <f t="shared" ref="E14:E15" si="20">IFERROR(LEFT(B14, FIND("(",B14)-1),B14)</f>
        <v>varchar</v>
      </c>
      <c r="F14" s="7"/>
      <c r="G14" t="str">
        <f t="shared" ref="G14:G15" si="21">IFERROR(MID(B14,FIND("(",B14) +1, FIND(")",B14) - FIND("(",B14) - 1),"")</f>
        <v>1</v>
      </c>
      <c r="H14" t="str">
        <f>+VLOOKUP(E14,'Data Type Mapping'!A:B,2,)</f>
        <v>string</v>
      </c>
      <c r="I14" t="str">
        <f t="shared" ref="I14:I15" si="22">IF(H14="string",REPT(CHAR(9),2)&amp;"public const int Max"&amp;D14&amp;"Length = "&amp;G14&amp;";"&amp;$E$3,"" )</f>
        <v xml:space="preserve">		public const int MaxShowOnlyLength = 1;
</v>
      </c>
      <c r="J14" t="str">
        <f t="shared" ref="J14:J15" si="23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[StringLength(MaxShowOnlyLength)]
		public virtual string ShowOnly { get; set; }
</v>
      </c>
      <c r="K14" s="7"/>
      <c r="L14" t="str">
        <f>IF(K14="","",REPT(CHAR(9),1)&amp;"[Index(nameof("&amp;IF(D14="","",""&amp;D14)&amp;")"&amp;", Name="&amp;"""IX_"&amp;$B$7&amp;"_"&amp;D14&amp;""")]")</f>
        <v/>
      </c>
      <c r="M14" t="str">
        <f t="shared" ref="M14:M15" si="24">REPT(CHAR(9),2)&amp;"public virtual "&amp;IF(OR(H14="DateTime",H14="TimeSpan"),H14&amp;"?",H14)&amp;IF(C14="?","? "," ")&amp;D14&amp;" { get; set; }" &amp; "
"</f>
        <v xml:space="preserve">		public virtual string ShowOnly { get; set; }
</v>
      </c>
      <c r="N14" t="str">
        <f t="shared" ref="N14:N15" si="25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[StringLength(LgwMwhRobbingLaneConsts.MaxShowOnlyLength)]
		public virtual string ShowOnly { get; set; }
</v>
      </c>
      <c r="O14" t="str">
        <f t="shared" ref="O14:O15" si="26">IF(OR(H14="string",H14="DateTime",H14="int"),REPT(CHAR(9),2)&amp;"public virtual "&amp;IF(OR(H14="DateTime",H14="TimeSpan"),H14&amp;"?",H14)&amp;IF(C14="?","? "," ")&amp;D14&amp;" { get; set; }"&amp;$E$3,"")</f>
        <v xml:space="preserve">		public virtual string ShowOnly { get; set; }
</v>
      </c>
      <c r="P14" t="str">
        <f t="shared" ref="P14:P15" si="27">REPT(CHAR(9),7)&amp;D14&amp;" = o." &amp;D14 &amp;","</f>
        <v xml:space="preserve">							ShowOnly = o.ShowOnly,</v>
      </c>
      <c r="T14" s="69" t="str">
        <f t="shared" ref="T14:T15" si="28">REPT(CHAR(9),8)&amp;"("""&amp;D14&amp;"""),"</f>
        <v xml:space="preserve">								("ShowOnly"),</v>
      </c>
      <c r="V14" s="70" t="str">
        <f t="shared" ref="V14:V15" si="29">REPT(CHAR(9),8)&amp;"_ =&gt; _."&amp;D14&amp;","</f>
        <v xml:space="preserve">								_ =&gt; _.ShowOnly,</v>
      </c>
      <c r="W14" s="69" t="str">
        <f t="shared" ref="W14:W15" si="30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.WhereIf(!string.IsNullOrWhiteSpace(input.ShowOnly), e =&gt; e.ShowOnly.Contains(input.ShowOnly))</v>
      </c>
    </row>
    <row r="15" spans="1:23" customFormat="1" ht="21" customHeight="1" x14ac:dyDescent="0.25">
      <c r="A15" t="s">
        <v>303</v>
      </c>
      <c r="B15" t="s">
        <v>304</v>
      </c>
      <c r="C15" t="s">
        <v>1</v>
      </c>
      <c r="D15" t="str">
        <f t="shared" ref="D15" si="31">SUBSTITUTE(PROPER(A15),"_","")</f>
        <v>IsActive</v>
      </c>
      <c r="E15" t="str">
        <f t="shared" si="20"/>
        <v>varchar</v>
      </c>
      <c r="F15" s="7"/>
      <c r="G15" t="str">
        <f t="shared" si="21"/>
        <v>1</v>
      </c>
      <c r="H15" t="str">
        <f>+VLOOKUP(E15,'Data Type Mapping'!A:B,2,)</f>
        <v>string</v>
      </c>
      <c r="I15" t="str">
        <f t="shared" si="22"/>
        <v xml:space="preserve">		public const int MaxIsActiveLength = 1;
</v>
      </c>
      <c r="J15" t="str">
        <f t="shared" si="23"/>
        <v xml:space="preserve">		[StringLength(MaxIsActiveLength)]
		public virtual string IsActive { get; set; }
</v>
      </c>
      <c r="K15" s="7"/>
      <c r="L15" t="str">
        <f t="shared" ref="L15" si="32">IF(K15="","",REPT(CHAR(9),1)&amp;"[Index(nameof("&amp;IF(D15="","",""&amp;D15)&amp;")"&amp;", Name="&amp;"""IX_"&amp;$B$7&amp;"_"&amp;D15&amp;""")]")</f>
        <v/>
      </c>
      <c r="M15" t="str">
        <f t="shared" si="24"/>
        <v xml:space="preserve">		public virtual string IsActive { get; set; }
</v>
      </c>
      <c r="N15" t="str">
        <f t="shared" si="25"/>
        <v xml:space="preserve">		[StringLength(LgwMwhRobbingLaneConsts.MaxIsActiveLength)]
		public virtual string IsActive { get; set; }
</v>
      </c>
      <c r="O15" t="str">
        <f t="shared" si="26"/>
        <v xml:space="preserve">		public virtual string IsActive { get; set; }
</v>
      </c>
      <c r="P15" t="str">
        <f t="shared" si="27"/>
        <v xml:space="preserve">							IsActive = o.IsActive,</v>
      </c>
      <c r="T15" s="69" t="str">
        <f t="shared" si="28"/>
        <v xml:space="preserve">								("IsActive"),</v>
      </c>
      <c r="V15" s="70" t="str">
        <f t="shared" si="29"/>
        <v xml:space="preserve">								_ =&gt; _.IsActive,</v>
      </c>
      <c r="W15" s="69" t="str">
        <f t="shared" si="30"/>
        <v xml:space="preserve">				.WhereIf(!string.IsNullOrWhiteSpace(input.IsActive), e =&gt; e.IsActive.Contains(input.IsActive))</v>
      </c>
    </row>
    <row r="17" spans="8:23" ht="45.75" customHeight="1" x14ac:dyDescent="0.25">
      <c r="H17" s="12"/>
      <c r="I17" s="34" t="str">
        <f ca="1">TEXTJOIN2("
", TRUE,INDIRECT( $H$1):INDIRECT( $H$3))</f>
        <v xml:space="preserve">		public const int MaxLaneNoLength = 10;
		public const int MaxLaneNameLength = 50;
		public const int MaxContNoLength = 50;
		public const int MaxRenbanLength = 10;
		public const int MaxSupplierNoLength = 10;
		public const int MaxShowOnlyLength = 1;
		public const int MaxIsActiveLength = 1;
</v>
      </c>
      <c r="J17" s="33" t="str">
        <f ca="1">TEXTJOIN2("
", TRUE,INDIRECT( $F$1):INDIRECT( $F$3))</f>
        <v xml:space="preserve">		[StringLength(MaxLaneNoLength)]
		public virtual string LaneNo { get; set; }
		[StringLength(MaxLaneNameLength)]
		public virtual string LaneName { get; set; }
		[StringLength(MaxContNoLength)]
		public virtual string ContNo { get; set; }
		[StringLength(MaxRenbanLength)]
		public virtual string Renban { get; set; }
		[StringLength(MaxSupplierNoLength)]
		public virtual string SupplierNo { get; set; }
		[StringLength(MaxShowOnlyLength)]
		public virtual string ShowOnly { get; set; }
		[StringLength(MaxIsActiveLength)]
		public virtual string IsActive { get; set; }
</v>
      </c>
      <c r="K17" s="35" t="str">
        <f ca="1">TEXTJOIN2("
", TRUE,INDIRECT( $J$1):INDIRECT( $J$3))</f>
        <v xml:space="preserve">	[Index(nameof(LaneNo), Name="IX_LgwMwhRobbingLane_LaneNo")]
	[Index(nameof(ContNo), Name="IX_LgwMwhRobbingLane_ContNo")]
	[Index(nameof(Renban), Name="IX_LgwMwhRobbingLane_Renban")]
	[Index(nameof(SupplierNo), Name="IX_LgwMwhRobbingLane_SupplierNo")]
</v>
      </c>
      <c r="L17" s="13" t="s">
        <v>60</v>
      </c>
      <c r="M17" s="36" t="str">
        <f ca="1">TEXTJOIN2("
",TRUE,INDIRECT( $L$1):INDIRECT($L$3))</f>
        <v xml:space="preserve">		public virtual string LaneNo { get; set; }
		public virtual string LaneName { get; set; }
		public virtual string ContNo { get; set; }
		public virtual string Renban { get; set; }
		public virtual string SupplierNo { get; set; }
		public virtual string ShowOnly { get; set; }
		public virtual string IsActive { get; set; }
</v>
      </c>
      <c r="N17" s="33" t="str">
        <f ca="1">TEXTJOIN2("
",TRUE,INDIRECT( $M$1):INDIRECT($M$3))</f>
        <v xml:space="preserve">		[StringLength(LgwMwhRobbingLaneConsts.MaxLaneNoLength)]
		public virtual string LaneNo { get; set; }
		[StringLength(LgwMwhRobbingLaneConsts.MaxLaneNameLength)]
		public virtual string LaneName { get; set; }
		[StringLength(LgwMwhRobbingLaneConsts.MaxContNoLength)]
		public virtual string ContNo { get; set; }
		[StringLength(LgwMwhRobbingLaneConsts.MaxRenbanLength)]
		public virtual string Renban { get; set; }
		[StringLength(LgwMwhRobbingLaneConsts.MaxSupplierNoLength)]
		public virtual string SupplierNo { get; set; }
		[StringLength(LgwMwhRobbingLaneConsts.MaxShowOnlyLength)]
		public virtual string ShowOnly { get; set; }
		[StringLength(LgwMwhRobbingLaneConsts.MaxIsActiveLength)]
		public virtual string IsActive { get; set; }
</v>
      </c>
      <c r="O17" s="33" t="str">
        <f ca="1">TEXTJOIN2("
",TRUE,INDIRECT( $N$1):INDIRECT($N$3))</f>
        <v xml:space="preserve">		public virtual string LaneNo { get; set; }
		public virtual string LaneName { get; set; }
		public virtual string ContNo { get; set; }
		public virtual string Renban { get; set; }
		public virtual string SupplierNo { get; set; }
		public virtual string ShowOnly { get; set; }
		public virtual string IsActive { get; set; }
</v>
      </c>
      <c r="P17" s="9" t="str">
        <f ca="1">TEXTJOIN2("
",TRUE,INDIRECT( $O$1):INDIRECT($O$3))</f>
        <v xml:space="preserve">							LaneNo = o.LaneNo,
							LaneName = o.LaneName,
							ContNo = o.ContNo,
							Renban = o.Renban,
							SupplierNo = o.SupplierNo,
							ShowOnly = o.ShowOnly,
							IsActive = o.IsActive,</v>
      </c>
      <c r="T17" s="9" t="str">
        <f ca="1">TEXTJOIN2("
",TRUE,INDIRECT( $T$2):INDIRECT($T$3))</f>
        <v xml:space="preserve">								("LaneNo"),
								("LaneName"),
								("ContNo"),
								("Renban"),
								("SupplierNo"),
								("ShowOnly"),
								("IsActive"),</v>
      </c>
      <c r="V17" s="9" t="str">
        <f ca="1">TEXTJOIN2("
",TRUE,INDIRECT( $V$2):INDIRECT($V$3))</f>
        <v xml:space="preserve">								_ =&gt; _.LaneNo,
								_ =&gt; _.LaneName,
								_ =&gt; _.ContNo,
								_ =&gt; _.Renban,
								_ =&gt; _.SupplierNo,
								_ =&gt; _.ShowOnly,
								_ =&gt; _.IsActive,</v>
      </c>
      <c r="W17" s="9" t="str">
        <f ca="1">TEXTJOIN2("
",TRUE,INDIRECT( $W$2):INDIRECT($W$3))</f>
        <v xml:space="preserve">				.WhereIf(!string.IsNullOrWhiteSpace(input.LaneNo), e =&gt; e.LaneNo.Contains(input.LaneNo))
				.WhereIf(!string.IsNullOrWhiteSpace(input.LaneName), e =&gt; e.LaneName.Contains(input.LaneName))
				.WhereIf(!string.IsNullOrWhiteSpace(input.ContNo), e =&gt; e.ContNo.Contains(input.ContNo))
				.WhereIf(!string.IsNullOrWhiteSpace(input.Renban), e =&gt; e.Renban.Contains(input.Renban))
				.WhereIf(!string.IsNullOrWhiteSpace(input.SupplierNo), e =&gt; e.SupplierNo.Contains(input.SupplierNo))
				.WhereIf(!string.IsNullOrWhiteSpace(input.ShowOnly), e =&gt; e.ShowOnly.Contains(input.ShowOnly))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4"/>
  <sheetViews>
    <sheetView workbookViewId="0">
      <selection activeCell="A15" sqref="A15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45" x14ac:dyDescent="0.25">
      <c r="A1" s="41" t="s">
        <v>212</v>
      </c>
      <c r="B1" s="42" t="s">
        <v>314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LogW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logw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Mwh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mwh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LgwMwhRobbingLane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RobbingLane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robbinglane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LgwMwhRobbingLaneDto, LgwMwhRobbingLaneServiceProxy } from '@shared/service-proxies/service-proxies';
import { finalize } from 'rxjs/internal/operators/finalize';
import { CreateOrEditRobbingLaneModalComponent } from './create-or-edit-robbinglane-modal.component';
import { DatePipe } from '@angular/common';
import { FileDownloadService } from '@shared/utils/file-download.service';
import ceil from 'lodash-es/ceil';
import { Paginator } from 'primeng/paginator';
@Component({
    templateUrl: './robbinglane.component.html',
    styleUrls: ['./robbinglane.component.less'],
})
export class RobbingLaneComponent extends AppComponentBase implements OnInit {
    @ViewChild('createOrEditModalRobbingLane', { static: true }) createOrEditModalRobbingLane:| CreateOrEditRobbingLaneModalComponent|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LgwMwhRobbingLaneDto = new LgwMwhRobbingLaneDto();
    saveSelectedRow: LgwMwhRobbingLaneDto = new LgwMwhRobbingLaneDto();
    datas: LgwMwhRobbingLaneDto = new LgwMwhRobbingLaneDto();
    isLoading: boolean = false;
    dataParams: GridParams | undefined;
    rowData: any[] = [];
    gridApi!: GridApi;
    rowSelection = 'multiple';
    filter: string = '';
	pipe = new DatePipe('en-US');
	frameworkComponents: FrameworkComponent;
    laneNo : string = '' ; 
	laneName : string = '' ; 
	contNo : string = '' ; 
	renban : string = '' ; 
	supplierNo : string = '' ; 
showOnly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LgwMwhRobbingLaneServiceProxy,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this.l('Lane No'),headerTooltip: this.l('Lane No'),field: 'laneNo',flex: 1},
			{headerName: this.l('Lane Name'),headerTooltip: this.l('Lane Name'),field: 'laneName',flex: 1},
			{headerName: this.l('Cont No'),headerTooltip: this.l('Cont No'),field: 'contNo',flex: 1},
			{headerName: this.l('Renban'),headerTooltip: this.l('Renban'),field: 'renban',flex: 1},
			{headerName: this.l('Supplier No'),headerTooltip: this.l('Supplier No'),field: 'supplierNo',flex: 1},
			{headerName: this.l('Show Only'),headerTooltip: this.l('Show Only'),field:  'showOnly', cellClass: ['text-center'], width: 120, cellRenderer: 'agCellButtonComponent',
buttonDefTwo: { text: params =&gt; (params.data?.'showOnly' == 'Y') ? 'Active' : 'Inactive',iconName: 'fa fa-circle',className: params =&gt; (params.data?.'showOnly' == 'Y') ? 'btnActive' : 'btnInActive',},}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this.laneNo,
			this.laneName,
			this.contNo,
			this.renban,
			this.supplierNo,
			this.showOnly,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this.laneNo = '',
		this.laneName = '',
		this.contNo = '',
		this.renban = '',
		this.supplierNo = '',
this.showOnly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this.laneNo,
			this.laneName,
			this.contNo,
			this.renban,
			this.supplierNo,
			this.showOnly,
			this.isActive,
			'',
            this.paginationParams.skipCount,
            this.paginationParams.pageSize
        );
    }
    onChangeRowSelection(params: { api: { getSelectedRows: () =&gt; LgwMwhRobbingLaneDto[] } }) {
        this.saveSelectedRow = params.api.getSelectedRows()[0] ?? new LgwMwhRobbingLaneDto();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LgwMwhRobbingLaneDto):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this._service.getRobbingLaneToExcel(
			this.laneNo,
			this.laneName,
			this.contNo,
			this.renban,
			this.supplierNo,
			this.showOnly,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LogW Module Warehouse Robbing Lane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[(ngModel)]='laneNo' name='laneNo'
									class='form-control' [placeholder]="l('Lane No')"
									type='text' (keyup.enter)='searchDatas()'&gt;
								&lt;/div&gt;
								&lt;div class='input-search'&gt;
									&lt;input [(ngModel)]='laneName' name='laneName'
									class='form-control' [placeholder]="l('Lane Name')"
									type='text' (keyup.enter)='searchDatas()'&gt;
								&lt;/div&gt;
								&lt;div class='input-search'&gt;
									&lt;input [(ngModel)]='contNo' name='contNo'
									class='form-control' [placeholder]="l('Cont No')"
									type='text' (keyup.enter)='searchDatas()'&gt;
								&lt;/div&gt;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[(ngModel)]='showOnly' name='showOnly'
									class='form-control' [placeholder]="l('Show Only')"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(click)="createOrEditModalRobbingLane.show()"&gt;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(click)="createOrEditModalRobbingLane.show(selectedRow)"&gt;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&lt;create-or-edit-robbinglane-modal
    #createOrEditModalRobbingLane
    (modalSave)="callBackDataGrid(dataParams)"
    (modalClose)="onChangeRowSelection(dataParams)"
&gt;
&lt;/create-or-edit-robbinglane-modal&gt;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#createOrEditModalRobbingLane="bs-modal"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RobbingLane')}}&lt;/h3&gt;
                    &lt;h3 *ngIf="!rowdata.id"&gt;{{('Create New RobbingLane')}}&lt;/h3&gt;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title'&gt;Lane No&lt;/label&gt;
						&lt;input type='text' class='col-md-10 form-control input-text' name='LaneNo' [(ngModel)]='rowdata.laneNo'&gt;
					&lt;/div&gt;
					&lt;div class='col-md-12 form-group row'&gt;
						&lt;label class='col-md-2 form-control title'&gt;Lane Name&lt;/label&gt;
						&lt;input type='text' class='col-md-10 form-control input-text' name='LaneName' [(ngModel)]='rowdata.laneName'&gt;
					&lt;/div&gt;
					&lt;div class='col-md-12 form-group row'&gt;
						&lt;label class='col-md-2 form-control title'&gt;Cont No&lt;/label&gt;
						&lt;input type='text' class='col-md-10 form-control input-text' name='ContNo' [(ngModel)]='rowdata.contNo'&gt;
					&lt;/div&gt;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title'&gt;Show Only&lt;/label&gt;
						&lt;new-checkbox [(ngModel)]='_showOnly' name='showOnly' className='col-md-10' &gt; &lt;/new-checkbox&gt;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CreateOrEditLgwMwhRobbingLaneDto, LgwMwhRobbingLaneServiceProxy } from '@shared/service-proxies/service-proxies';
import { BsDatepickerDirective } from 'ngx-bootstrap/datepicker';
@Component({
    selector: 'create-or-edit-robbinglane-modal',
    templateUrl: './create-or-edit-robbinglane-modal.component.html',
    styleUrls: ['./create-or-edit-robbinglane-modal.component.less']
    })
export class CreateOrEditRobbingLaneModalComponent extends AppComponentBase {
    @ViewChild('createOrEditModalRobbingLane',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CreateOrEditLgwMwhRobbingLaneDto = new CreateOrEditLgwMwhRobbingLaneDto();
    active: boolean = false;
    saving: boolean = false;
    _showOnly
isActive: boolean;
    constructor(
        injector: Injector,
        private _mstwptRobbingLaneService: LgwMwhRobbingLaneServiceProxy,
    ) 
    {
        super(injector);
    }
    show(rowdata?: CreateOrEditLgwMwhRobbingLaneDto): void {
        if (!rowdata) this.rowdata = new CreateOrEditLgwMwhRobbingLaneDto();
        else this.rowdata = rowdata;
        this._showOnly
isActive = (this.rowdata.showOnly
isActive == "N")? false: true;
        this.active = true;
        this.modal.show();
    } 
    changeActive(event){
        this._showOnly
isActive = event.target.checked;
    }
    save(): void {
    this.saving = true; 
    this.rowdata.showOnly
isActive = (this._showOnly
isActive == true) ? 'Y' : 'N'
    this._mstwptRobbingLaneService.createOrEdit(this.rowdata)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RobbingLaneRoutingModule } from './robbinglane-routing.module';
import { RobbingLaneComponent } from './robbinglane.component';
import { CreateOrEditRobbingLaneModalComponent } from './create-or-edit-robbinglane-modal.component';
@NgModule({
    declarations: [
       RobbingLaneComponent, 
        CreateOrEditRobbingLaneModalComponent
    ],
    imports: [
        AppSharedModule, RobbingLaneRoutingModule]
})
export class RobbingLaneModule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RobbingLaneComponent } from './robbinglane.component';
const routes: Routes = [{
    path: '',
    component: RobbingLaneComponent,
    pathMatch: 'full'
}];
@NgModule({
    imports: [RouterModule.forChild(routes)],
    exports: [RouterModule],
})
export class RobbingLaneRoutingModule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AppMenuItem("RobbingLane", "Pages.LogW.Mwh.RobbingLane", "flaticon-book",   "/app/main/logw/mwh/robbinglane"),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'logw/mwh/robbinglane',
    loadChildren: () =&gt; import('./logw/mwh/robbinglane/robbinglane.module').then(m =&gt; m.RobbingLaneModule),
    data: { permission: 'Pages.LogW.Mwh.RobbingLane' }
},</v>
      </c>
      <c r="R10" s="50" t="str">
        <f>SUBSTITUTE(R9,"MstWptCalendar",$B$6)</f>
        <v>ApiServiceProxies.LgwMwhRobbingLaneServiceProxy,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H21</v>
      </c>
      <c r="I12" s="31" t="str">
        <f>"I"&amp;COUNTA($A:$A)</f>
        <v>I21</v>
      </c>
      <c r="J12" s="31"/>
      <c r="K12" s="31" t="str">
        <f>"K"&amp;COUNTA($A:$A)</f>
        <v>K21</v>
      </c>
      <c r="L12" s="31" t="str">
        <f>"L"&amp;COUNTA($A:$A)</f>
        <v>L21</v>
      </c>
      <c r="M12" s="31"/>
      <c r="N12" s="31"/>
      <c r="O12" s="31"/>
      <c r="P12" s="31"/>
      <c r="Q12" s="31"/>
      <c r="R12" s="31"/>
      <c r="S12" s="31" t="str">
        <f>"S"&amp;COUNTA($A:$A)</f>
        <v>S21</v>
      </c>
      <c r="T12" s="31" t="str">
        <f>"T"&amp;COUNTA($A:$A)</f>
        <v>T21</v>
      </c>
      <c r="U12" s="31" t="str">
        <f>"U"&amp;COUNTA($A:$A)</f>
        <v>U21</v>
      </c>
      <c r="V12" s="31" t="str">
        <f>"V"&amp;COUNTA($A:$A)</f>
        <v>V21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this.l('Lane No'),headerTooltip: this.l('Lane No'),field: 'laneNo',flex: 1},
			{headerName: this.l('Lane Name'),headerTooltip: this.l('Lane Name'),field: 'laneName',flex: 1},
			{headerName: this.l('Cont No'),headerTooltip: this.l('Cont No'),field: 'contNo',flex: 1},
			{headerName: this.l('Renban'),headerTooltip: this.l('Renban'),field: 'renban',flex: 1},
			{headerName: this.l('Supplier No'),headerTooltip: this.l('Supplier No'),field: 'supplierNo',flex: 1},
			{headerName: this.l('Show Only'),headerTooltip: this.l('Show Only'),field:  'showOnly', cellClass: ['text-center'], width: 120, cellRenderer: 'agCellButtonComponent',
buttonDefTwo: { text: params =&gt; (params.data?.'showOnly' == 'Y') ? 'Active' : 'Inactive',iconName: 'fa fa-circle',className: params =&gt; (params.data?.'showOnly' == 'Y') ? 'btnActive' : 'btnInActive',},}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[(ngModel)]='laneNo' name='laneNo'
									class='form-control' [placeholder]="l('Lane No')"
									type='text' (keyup.enter)='searchDatas()'&gt;
								&lt;/div&gt;
								&lt;div class='input-search'&gt;
									&lt;input [(ngModel)]='laneName' name='laneName'
									class='form-control' [placeholder]="l('Lane Name')"
									type='text' (keyup.enter)='searchDatas()'&gt;
								&lt;/div&gt;
								&lt;div class='input-search'&gt;
									&lt;input [(ngModel)]='contNo' name='contNo'
									class='form-control' [placeholder]="l('Cont No')"
									type='text' (keyup.enter)='searchDatas()'&gt;
								&lt;/div&gt;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[(ngModel)]='showOnly' name='showOnly'
									class='form-control' [placeholder]="l('Show Only')"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title'&gt;Lane No&lt;/label&gt;
						&lt;input type='text' class='col-md-10 form-control input-text' name='LaneNo' [(ngModel)]='rowdata.laneNo'&gt;
					&lt;/div&gt;
					&lt;div class='col-md-12 form-group row'&gt;
						&lt;label class='col-md-2 form-control title'&gt;Lane Name&lt;/label&gt;
						&lt;input type='text' class='col-md-10 form-control input-text' name='LaneName' [(ngModel)]='rowdata.laneName'&gt;
					&lt;/div&gt;
					&lt;div class='col-md-12 form-group row'&gt;
						&lt;label class='col-md-2 form-control title'&gt;Cont No&lt;/label&gt;
						&lt;input type='text' class='col-md-10 form-control input-text' name='ContNo' [(ngModel)]='rowdata.contNo'&gt;
					&lt;/div&gt;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title'&gt;Show Only&lt;/label&gt;
						&lt;new-checkbox [(ngModel)]='_showOnly' name='showOnly' className='col-md-10' &gt; &lt;/new-checkbox&gt;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laneNo : string = '' ; 
	laneName : string = '' ; 
	contNo : string = '' ; 
	renban : string = '' ; 
	supplierNo : string = '' ; 
showOnly : string = '' ; 
	isActive : string = '' ; </v>
      </c>
      <c r="T13" s="68" t="str">
        <f ca="1">TEXTJOIN2("
",TRUE,INDIRECT(T11):INDIRECT(T12))</f>
        <v xml:space="preserve">			this.laneNo,
			this.laneName,
			this.contNo,
			this.renban,
			this.supplierNo,
			this.showOnly,
			this.isActive,</v>
      </c>
      <c r="U13" s="68" t="str">
        <f ca="1">TEXTJOIN2("
",TRUE,INDIRECT(U11):INDIRECT(U12))</f>
        <v>this.laneNo = '',
		this.laneName = '',
		this.contNo = '',
		this.renban = '',
		this.supplierNo = '',
this.showOnly = '',
		this.isActive = '',</v>
      </c>
      <c r="V13" s="31" t="str">
        <f ca="1">TEXTJOIN2("
",TRUE,INDIRECT(V11):INDIRECT(V12))</f>
        <v>showOnly
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robbinglane.component.ts</v>
      </c>
      <c r="I14" s="40" t="str">
        <f>B8&amp;".component.html"</f>
        <v>robbinglane.component.html</v>
      </c>
      <c r="J14" s="39" t="str">
        <f>B8&amp;".component.less"</f>
        <v>robbinglane.component.less</v>
      </c>
      <c r="K14" s="40" t="str">
        <f>"create-or-edit-"&amp;B8&amp;"-modal.component.html"</f>
        <v>create-or-edit-robbinglane-modal.component.html</v>
      </c>
      <c r="L14" s="40" t="str">
        <f>"create-or-edit-"&amp;B8&amp;"-modal.component.ts"</f>
        <v>create-or-edit-robbinglane-modal.component.ts</v>
      </c>
      <c r="M14" s="40" t="str">
        <f>"create-or-edit-"&amp;B8&amp;"-modal.component.less"</f>
        <v>create-or-edit-robbinglane-modal.component.less</v>
      </c>
      <c r="N14" s="40" t="str">
        <f>B8&amp;".module.ts"</f>
        <v>robbinglane.module.ts</v>
      </c>
      <c r="O14" s="40" t="str">
        <f>B8&amp;"-routing.module.ts"</f>
        <v>robbinglane-routing.module.ts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44" t="s">
        <v>305</v>
      </c>
      <c r="B15" s="31" t="str">
        <f>SUBSTITUTE(PROPER(A15),"_","")</f>
        <v>LaneNo</v>
      </c>
      <c r="C15" s="31" t="str">
        <f>SUBSTITUTE(PROPER(A15),"_"," ")</f>
        <v>Lane No</v>
      </c>
      <c r="D15" s="31" t="str">
        <f>LOWER(LEFT(B15,1))&amp;RIGHT(B15,LEN(B15) - 1)</f>
        <v>laneNo</v>
      </c>
      <c r="E15" s="31" t="str">
        <f>A.Backend!H9</f>
        <v>string</v>
      </c>
      <c r="F15" s="31" t="str">
        <f>A.Backend!G9</f>
        <v>10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this.l('Lane No'),headerTooltip: this.l('Lane No'),field: 'laneNo',flex: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[(ngModel)]='laneNo' name='laneNo'
									class='form-control' [placeholder]="l('Lane No')"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title'&gt;Lane No&lt;/label&gt;
						&lt;input type='text' class='col-md-10 form-control input-text' name='LaneNo' [(ngModel)]='rowdata.laneNo'&gt;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laneNo : string = '' ; </v>
      </c>
      <c r="T15" s="31" t="str">
        <f>REPT(CHAR(9),3)&amp;"this."&amp;D15&amp;","</f>
        <v xml:space="preserve">			this.laneNo,</v>
      </c>
      <c r="U15" s="31" t="str">
        <f>IF(E15="int","this."&amp;D15&amp;" = 0,","this."&amp;D15&amp;" = '',")</f>
        <v>this.laneNo = '',</v>
      </c>
      <c r="V15" s="31" t="str">
        <f>IF(AND(E15="string",F15="1"),D15,"")</f>
        <v/>
      </c>
    </row>
    <row r="16" spans="1:22" ht="15" customHeight="1" x14ac:dyDescent="0.25">
      <c r="A16" s="44" t="s">
        <v>307</v>
      </c>
      <c r="B16" s="31" t="str">
        <f t="shared" ref="B16:B17" si="0">SUBSTITUTE(PROPER(A16),"_","")</f>
        <v>LaneName</v>
      </c>
      <c r="C16" s="31" t="str">
        <f t="shared" ref="C16:C17" si="1">SUBSTITUTE(PROPER(A16),"_"," ")</f>
        <v>Lane Name</v>
      </c>
      <c r="D16" s="31" t="str">
        <f t="shared" ref="D16:D17" si="2">LOWER(LEFT(B16,1))&amp;RIGHT(B16,LEN(B16) - 1)</f>
        <v>laneName</v>
      </c>
      <c r="E16" s="31" t="str">
        <f>A.Backend!H10</f>
        <v>string</v>
      </c>
      <c r="F16" s="31" t="str">
        <f>A.Backend!G10</f>
        <v>50</v>
      </c>
      <c r="G16" s="31" t="str">
        <f t="shared" ref="G16:G19" si="3">IF(E16="string"," : string = '' ; ",IF(OR(E16="DateTime",E16="TimeSpan")," : any ;",IF(E16="int"," : number = 0 ;","")))</f>
        <v xml:space="preserve"> : string = '' ; </v>
      </c>
      <c r="H16" s="38" t="str">
        <f t="shared" ref="H16:H19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this.l('Lane Name'),headerTooltip: this.l('Lane Name'),field: 'laneName',flex: 1},</v>
      </c>
      <c r="I16" s="38" t="str">
        <f t="shared" ref="I16:I19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[(ngModel)]='laneName' name='laneName'
									class='form-control' [placeholder]="l('Lane Name')"
									type='text' (keyup.enter)='searchDatas()'&gt;
								&lt;/div&gt;</v>
      </c>
      <c r="J16" s="31"/>
      <c r="K16" s="38" t="str">
        <f t="shared" ref="K16:K19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title'&gt;Lane Name&lt;/label&gt;
						&lt;input type='text' class='col-md-10 form-control input-text' name='LaneName' [(ngModel)]='rowdata.laneName'&gt;
					&lt;/div&gt;</v>
      </c>
      <c r="L16" s="60" t="str">
        <f t="shared" ref="L16:L19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laneName : string = '' ; </v>
      </c>
      <c r="T16" s="31" t="str">
        <f>REPT(CHAR(9),3)&amp;"this."&amp;D16&amp;","</f>
        <v xml:space="preserve">			this.laneName,</v>
      </c>
      <c r="U16" s="31" t="str">
        <f>IF(E16="int",REPT(CHAR(9),2)&amp;"this."&amp;D16&amp;" = 0,",REPT(CHAR(9),2)&amp;"this."&amp;D16&amp;" = '',")</f>
        <v xml:space="preserve">		this.laneName = '',</v>
      </c>
      <c r="V16" s="31" t="str">
        <f t="shared" ref="V16:V19" si="8">IF(AND(E16="string",F16="1"),D16,"")</f>
        <v/>
      </c>
    </row>
    <row r="17" spans="1:22" ht="18" customHeight="1" x14ac:dyDescent="0.25">
      <c r="A17" s="44" t="s">
        <v>308</v>
      </c>
      <c r="B17" s="31" t="str">
        <f t="shared" si="0"/>
        <v>ContNo</v>
      </c>
      <c r="C17" s="31" t="str">
        <f t="shared" si="1"/>
        <v>Cont No</v>
      </c>
      <c r="D17" s="31" t="str">
        <f t="shared" si="2"/>
        <v>contNo</v>
      </c>
      <c r="E17" s="31" t="str">
        <f>A.Backend!H11</f>
        <v>string</v>
      </c>
      <c r="F17" s="31" t="str">
        <f>A.Backend!G11</f>
        <v>50</v>
      </c>
      <c r="G17" s="31" t="str">
        <f t="shared" si="3"/>
        <v xml:space="preserve"> : string = '' ; </v>
      </c>
      <c r="H17" s="38" t="str">
        <f t="shared" si="4"/>
        <v xml:space="preserve">			{headerName: this.l('Cont No'),headerTooltip: this.l('Cont No'),field: 'contNo',flex: 1},</v>
      </c>
      <c r="I17" s="38" t="str">
        <f t="shared" si="5"/>
        <v xml:space="preserve">								&lt;div class='input-search'&gt;
									&lt;input [(ngModel)]='contNo' name='contNo'
									class='form-control' [placeholder]="l('Cont No')"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title'&gt;Cont No&lt;/label&gt;
						&lt;input type='text' class='col-md-10 form-control input-text' name='ContNo' [(ngModel)]='rowdata.contNo'&gt;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19" si="9">REPT(CHAR(9),1)&amp;D17&amp;G17</f>
        <v xml:space="preserve">	contNo : string = '' ; </v>
      </c>
      <c r="T17" s="31" t="str">
        <f t="shared" ref="T17:T19" si="10">REPT(CHAR(9),3)&amp;"this."&amp;D17&amp;","</f>
        <v xml:space="preserve">			this.contNo,</v>
      </c>
      <c r="U17" s="31" t="str">
        <f t="shared" ref="U17:U19" si="11">IF(E17="int",REPT(CHAR(9),2)&amp;"this."&amp;D17&amp;" = 0,",REPT(CHAR(9),2)&amp;"this."&amp;D17&amp;" = '',")</f>
        <v xml:space="preserve">		this.contNo = '',</v>
      </c>
      <c r="V17" s="31" t="str">
        <f t="shared" si="8"/>
        <v/>
      </c>
    </row>
    <row r="18" spans="1:22" ht="18" customHeight="1" x14ac:dyDescent="0.25">
      <c r="A18" s="44" t="s">
        <v>309</v>
      </c>
      <c r="B18" s="31" t="str">
        <f>SUBSTITUTE(PROPER(A18),"_","")</f>
        <v>Renban</v>
      </c>
      <c r="C18" s="31" t="str">
        <f>SUBSTITUTE(PROPER(A18),"_"," ")</f>
        <v>Renban</v>
      </c>
      <c r="D18" s="31" t="str">
        <f>LOWER(LEFT(B18,1))&amp;RIGHT(B18,LEN(B18) - 1)</f>
        <v>renban</v>
      </c>
      <c r="E18" s="31" t="str">
        <f>A.Backend!H12</f>
        <v>string</v>
      </c>
      <c r="F18" s="31" t="str">
        <f>A.Backend!G12</f>
        <v>10</v>
      </c>
      <c r="G18" s="31" t="str">
        <f t="shared" si="3"/>
        <v xml:space="preserve"> : string = '' ; </v>
      </c>
      <c r="H18" s="38" t="str">
        <f t="shared" si="4"/>
        <v xml:space="preserve">			{headerName: this.l('Renban'),headerTooltip: this.l('Renban'),field: 'renban',flex: 1},</v>
      </c>
      <c r="I18" s="38" t="str">
        <f t="shared" si="5"/>
        <v xml:space="preserve">								&lt;div class='input-search'&gt;
									&lt;input [(ngModel)]='renban' name='renban'
									class='form-control' [placeholder]="l('Renban')"
									type='text' (keyup.enter)='searchDatas()'&gt;
								&lt;/div&gt;</v>
      </c>
      <c r="J18" s="31"/>
      <c r="K18" s="38" t="str">
        <f t="shared" si="6"/>
        <v xml:space="preserve">					&lt;div class='col-md-12 form-group row'&gt;
						&lt;label class='col-md-2 form-control title'&gt;Renban&lt;/label&gt;
						&lt;input type='text' class='col-md-10 form-control input-text' name='Renban' [(ngModel)]='rowdata.renban'&gt;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9"/>
        <v xml:space="preserve">	renban : string = '' ; </v>
      </c>
      <c r="T18" s="31" t="str">
        <f t="shared" si="10"/>
        <v xml:space="preserve">			this.renban,</v>
      </c>
      <c r="U18" s="31" t="str">
        <f t="shared" si="11"/>
        <v xml:space="preserve">		this.renban = '',</v>
      </c>
      <c r="V18" s="31" t="str">
        <f t="shared" si="8"/>
        <v/>
      </c>
    </row>
    <row r="19" spans="1:22" ht="15" customHeight="1" x14ac:dyDescent="0.25">
      <c r="A19" s="44" t="s">
        <v>302</v>
      </c>
      <c r="B19" s="31" t="str">
        <f t="shared" ref="B19" si="12">SUBSTITUTE(PROPER(A19),"_","")</f>
        <v>SupplierNo</v>
      </c>
      <c r="C19" s="31" t="str">
        <f t="shared" ref="C19" si="13">SUBSTITUTE(PROPER(A19),"_"," ")</f>
        <v>Supplier No</v>
      </c>
      <c r="D19" s="31" t="str">
        <f t="shared" ref="D19" si="14">LOWER(LEFT(B19,1))&amp;RIGHT(B19,LEN(B19) - 1)</f>
        <v>supplierNo</v>
      </c>
      <c r="E19" s="31" t="str">
        <f>A.Backend!H13</f>
        <v>string</v>
      </c>
      <c r="F19" s="31" t="str">
        <f>A.Backend!G13</f>
        <v>10</v>
      </c>
      <c r="G19" s="31" t="str">
        <f t="shared" si="3"/>
        <v xml:space="preserve"> : string = '' ; </v>
      </c>
      <c r="H19" s="38" t="str">
        <f t="shared" si="4"/>
        <v xml:space="preserve">			{headerName: this.l('Supplier No'),headerTooltip: this.l('Supplier No'),field: 'supplierNo',flex: 1},</v>
      </c>
      <c r="I19" s="38" t="str">
        <f t="shared" si="5"/>
        <v xml:space="preserve">								&lt;div class='input-search'&gt;
									&lt;input [(ngModel)]='supplierNo' name='supplierNo'
									class='form-control' [placeholder]="l('Supplier No')"
									type='text' (keyup.enter)='searchDatas()'&gt;
								&lt;/div&gt;</v>
      </c>
      <c r="J19" s="31"/>
      <c r="K19" s="38" t="str">
        <f t="shared" si="6"/>
        <v xml:space="preserve">					&lt;div class='col-md-12 form-group row'&gt;
						&lt;label class='col-md-2 form-control title'&gt;Supplier No&lt;/label&gt;
						&lt;input type='text' class='col-md-10 form-control input-text' name='SupplierNo' [(ngModel)]='rowdata.supplierNo'&gt;
					&lt;/div&gt;</v>
      </c>
      <c r="L19" s="60" t="str">
        <f t="shared" si="7"/>
        <v/>
      </c>
      <c r="M19" s="31"/>
      <c r="N19" s="31"/>
      <c r="O19" s="31"/>
      <c r="P19" s="31"/>
      <c r="Q19" s="31"/>
      <c r="R19" s="31"/>
      <c r="S19" s="31" t="str">
        <f t="shared" si="9"/>
        <v xml:space="preserve">	supplierNo : string = '' ; </v>
      </c>
      <c r="T19" s="31" t="str">
        <f t="shared" si="10"/>
        <v xml:space="preserve">			this.supplierNo,</v>
      </c>
      <c r="U19" s="31" t="str">
        <f t="shared" si="11"/>
        <v xml:space="preserve">		this.supplierNo = '',</v>
      </c>
      <c r="V19" s="31" t="str">
        <f t="shared" si="8"/>
        <v/>
      </c>
    </row>
    <row r="20" spans="1:22" ht="18" customHeight="1" x14ac:dyDescent="0.25">
      <c r="A20" s="44" t="s">
        <v>310</v>
      </c>
      <c r="B20" s="31" t="str">
        <f>SUBSTITUTE(PROPER(A20),"_","")</f>
        <v>ShowOnly</v>
      </c>
      <c r="C20" s="31" t="str">
        <f>SUBSTITUTE(PROPER(A20),"_"," ")</f>
        <v>Show Only</v>
      </c>
      <c r="D20" s="31" t="str">
        <f>LOWER(LEFT(B20,1))&amp;RIGHT(B20,LEN(B20) - 1)</f>
        <v>showOnly</v>
      </c>
      <c r="E20" s="31" t="str">
        <f>A.Backend!H14</f>
        <v>string</v>
      </c>
      <c r="F20" s="31" t="str">
        <f>A.Backend!G14</f>
        <v>1</v>
      </c>
      <c r="G20" s="31" t="str">
        <f>IF(E20="string"," : string = '' ; ",IF(OR(E20="DateTime",E20="TimeSpan")," : any ;",IF(E20="int"," : number = 0 ;","")))</f>
        <v xml:space="preserve"> : string = '' ; </v>
      </c>
      <c r="H20" s="38" t="str">
        <f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this.l('Show Only'),headerTooltip: this.l('Show Only'),field:  'showOnly', cellClass: ['text-center'], width: 120, cellRenderer: 'agCellButtonComponent',
buttonDefTwo: { text: params =&gt; (params.data?.'showOnly' == 'Y') ? 'Active' : 'Inactive',iconName: 'fa fa-circle',className: params =&gt; (params.data?.'showOnly' == 'Y') ? 'btnActive' : 'btnInActive',},}</v>
      </c>
      <c r="I20" s="38" t="str">
        <f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[(ngModel)]='showOnly' name='showOnly'
									class='form-control' [placeholder]="l('Show Only')"
									type='text' (keyup.enter)='searchDatas()'&gt;
								&lt;/div&gt;</v>
      </c>
      <c r="J20" s="31"/>
      <c r="K20" s="38" t="str">
        <f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title'&gt;Show Only&lt;/label&gt;
						&lt;new-checkbox [(ngModel)]='_showOnly' name='showOnly' className='col-md-10' &gt; &lt;/new-checkbox&gt;
					&lt;/div&gt;</v>
      </c>
      <c r="L20" s="60" t="str">
        <f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31"/>
      <c r="N20" s="31"/>
      <c r="O20" s="31"/>
      <c r="P20" s="31"/>
      <c r="Q20" s="31"/>
      <c r="R20" s="31"/>
      <c r="S20" s="31" t="str">
        <f>D20&amp;G20</f>
        <v xml:space="preserve">showOnly : string = '' ; </v>
      </c>
      <c r="T20" s="31" t="str">
        <f>REPT(CHAR(9),3)&amp;"this."&amp;D20&amp;","</f>
        <v xml:space="preserve">			this.showOnly,</v>
      </c>
      <c r="U20" s="31" t="str">
        <f>IF(E20="int","this."&amp;D20&amp;" = 0,","this."&amp;D20&amp;" = '',")</f>
        <v>this.showOnly = '',</v>
      </c>
      <c r="V20" s="31" t="str">
        <f>IF(AND(E20="string",F20="1"),D20,"")</f>
        <v>showOnly</v>
      </c>
    </row>
    <row r="21" spans="1:22" ht="15" customHeight="1" x14ac:dyDescent="0.25">
      <c r="A21" s="44" t="s">
        <v>303</v>
      </c>
      <c r="B21" s="31" t="str">
        <f t="shared" ref="B21" si="15">SUBSTITUTE(PROPER(A21),"_","")</f>
        <v>IsActive</v>
      </c>
      <c r="C21" s="31" t="str">
        <f t="shared" ref="C21" si="16">SUBSTITUTE(PROPER(A21),"_"," ")</f>
        <v>Is Active</v>
      </c>
      <c r="D21" s="31" t="str">
        <f t="shared" ref="D21" si="17">LOWER(LEFT(B21,1))&amp;RIGHT(B21,LEN(B21) - 1)</f>
        <v>isActive</v>
      </c>
      <c r="E21" s="31" t="str">
        <f>A.Backend!H15</f>
        <v>string</v>
      </c>
      <c r="F21" s="31" t="str">
        <f>A.Backend!G15</f>
        <v>1</v>
      </c>
      <c r="G21" s="31" t="str">
        <f t="shared" ref="G21" si="18">IF(E21="string"," : string = '' ; ",IF(OR(E21="DateTime",E21="TimeSpan")," : any ;",IF(E21="int"," : number = 0 ;","")))</f>
        <v xml:space="preserve"> : string = '' ; </v>
      </c>
      <c r="H21" s="38" t="str">
        <f t="shared" ref="H21" si="19"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1" s="38" t="str">
        <f t="shared" ref="I21" si="20"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1" s="31"/>
      <c r="K21" s="38" t="str">
        <f t="shared" ref="K21" si="21"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1" s="60" t="str">
        <f t="shared" ref="L21" si="22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31"/>
      <c r="N21" s="31"/>
      <c r="O21" s="31"/>
      <c r="P21" s="31"/>
      <c r="Q21" s="31"/>
      <c r="R21" s="31"/>
      <c r="S21" s="31" t="str">
        <f>REPT(CHAR(9),1)&amp;D21&amp;G21</f>
        <v xml:space="preserve">	isActive : string = '' ; </v>
      </c>
      <c r="T21" s="31" t="str">
        <f>REPT(CHAR(9),3)&amp;"this."&amp;D21&amp;","</f>
        <v xml:space="preserve">			this.isActive,</v>
      </c>
      <c r="U21" s="31" t="str">
        <f>IF(E21="int",REPT(CHAR(9),2)&amp;"this."&amp;D21&amp;" = 0,",REPT(CHAR(9),2)&amp;"this."&amp;D21&amp;" = '',")</f>
        <v xml:space="preserve">		this.isActive = '',</v>
      </c>
      <c r="V21" s="31" t="str">
        <f t="shared" ref="V21" si="23">IF(AND(E21="string",F21="1"),D21,"")</f>
        <v>isActive</v>
      </c>
    </row>
    <row r="24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2022-07-13T10:56:03Z</dcterms:modified>
</cp:coreProperties>
</file>
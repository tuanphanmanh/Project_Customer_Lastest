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w\pup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1" l="1"/>
  <c r="H24" i="1" s="1"/>
  <c r="L29" i="1"/>
  <c r="G29" i="1"/>
  <c r="E29" i="1"/>
  <c r="H29" i="1" s="1"/>
  <c r="D29" i="1"/>
  <c r="V29" i="1" s="1"/>
  <c r="L28" i="1"/>
  <c r="H28" i="1"/>
  <c r="I28" i="1" s="1"/>
  <c r="G28" i="1"/>
  <c r="E28" i="1"/>
  <c r="D28" i="1"/>
  <c r="T28" i="1" s="1"/>
  <c r="L27" i="1"/>
  <c r="G27" i="1"/>
  <c r="E27" i="1"/>
  <c r="H27" i="1" s="1"/>
  <c r="D27" i="1"/>
  <c r="V27" i="1" s="1"/>
  <c r="L25" i="1"/>
  <c r="G25" i="1"/>
  <c r="E25" i="1"/>
  <c r="H25" i="1" s="1"/>
  <c r="D25" i="1"/>
  <c r="V25" i="1" s="1"/>
  <c r="G24" i="1"/>
  <c r="D24" i="1"/>
  <c r="T24" i="1" s="1"/>
  <c r="L26" i="1"/>
  <c r="G26" i="1"/>
  <c r="E26" i="1"/>
  <c r="H26" i="1" s="1"/>
  <c r="D26" i="1"/>
  <c r="V26" i="1" s="1"/>
  <c r="L23" i="1"/>
  <c r="G23" i="1"/>
  <c r="E23" i="1"/>
  <c r="H23" i="1" s="1"/>
  <c r="D23" i="1"/>
  <c r="T23" i="1" s="1"/>
  <c r="G22" i="1"/>
  <c r="E22" i="1"/>
  <c r="H22" i="1" s="1"/>
  <c r="D22" i="1"/>
  <c r="V22" i="1" s="1"/>
  <c r="H21" i="1"/>
  <c r="M21" i="1" s="1"/>
  <c r="G21" i="1"/>
  <c r="E21" i="1"/>
  <c r="D21" i="1"/>
  <c r="T21" i="1" s="1"/>
  <c r="L20" i="1"/>
  <c r="G20" i="1"/>
  <c r="E20" i="1"/>
  <c r="H20" i="1" s="1"/>
  <c r="D20" i="1"/>
  <c r="V20" i="1" s="1"/>
  <c r="M23" i="1" l="1"/>
  <c r="I23" i="1"/>
  <c r="P20" i="1"/>
  <c r="I21" i="1"/>
  <c r="P22" i="1"/>
  <c r="P26" i="1"/>
  <c r="P25" i="1"/>
  <c r="P29" i="1"/>
  <c r="P27" i="1"/>
  <c r="M28" i="1"/>
  <c r="M24" i="1"/>
  <c r="I24" i="1"/>
  <c r="W20" i="1"/>
  <c r="O20" i="1"/>
  <c r="J20" i="1"/>
  <c r="N20" i="1"/>
  <c r="I20" i="1"/>
  <c r="M20" i="1"/>
  <c r="W26" i="1"/>
  <c r="O26" i="1"/>
  <c r="J26" i="1"/>
  <c r="N26" i="1"/>
  <c r="I26" i="1"/>
  <c r="M26" i="1"/>
  <c r="W27" i="1"/>
  <c r="O27" i="1"/>
  <c r="J27" i="1"/>
  <c r="N27" i="1"/>
  <c r="I27" i="1"/>
  <c r="M27" i="1"/>
  <c r="W22" i="1"/>
  <c r="O22" i="1"/>
  <c r="J22" i="1"/>
  <c r="N22" i="1"/>
  <c r="I22" i="1"/>
  <c r="M22" i="1"/>
  <c r="W29" i="1"/>
  <c r="O29" i="1"/>
  <c r="J29" i="1"/>
  <c r="N29" i="1"/>
  <c r="I29" i="1"/>
  <c r="M29" i="1"/>
  <c r="W25" i="1"/>
  <c r="O25" i="1"/>
  <c r="J25" i="1"/>
  <c r="N25" i="1"/>
  <c r="I25" i="1"/>
  <c r="M25" i="1"/>
  <c r="V21" i="1"/>
  <c r="N23" i="1"/>
  <c r="V23" i="1"/>
  <c r="N28" i="1"/>
  <c r="V28" i="1"/>
  <c r="T20" i="1"/>
  <c r="J21" i="1"/>
  <c r="O21" i="1"/>
  <c r="W21" i="1"/>
  <c r="T22" i="1"/>
  <c r="J23" i="1"/>
  <c r="O23" i="1"/>
  <c r="W23" i="1"/>
  <c r="T26" i="1"/>
  <c r="J24" i="1"/>
  <c r="O24" i="1"/>
  <c r="W24" i="1"/>
  <c r="T25" i="1"/>
  <c r="T27" i="1"/>
  <c r="J28" i="1"/>
  <c r="O28" i="1"/>
  <c r="W28" i="1"/>
  <c r="T29" i="1"/>
  <c r="N21" i="1"/>
  <c r="P23" i="1"/>
  <c r="P24" i="1"/>
  <c r="P28" i="1"/>
  <c r="N24" i="1"/>
  <c r="V24" i="1"/>
  <c r="P21" i="1"/>
  <c r="D19" i="5"/>
  <c r="T19" i="5" s="1"/>
  <c r="C19" i="5"/>
  <c r="B19" i="5"/>
  <c r="C18" i="5"/>
  <c r="B18" i="5"/>
  <c r="D18" i="5" s="1"/>
  <c r="L17" i="1"/>
  <c r="G17" i="1"/>
  <c r="F23" i="5" s="1"/>
  <c r="E17" i="1"/>
  <c r="H17" i="1" s="1"/>
  <c r="D17" i="1"/>
  <c r="V17" i="1" s="1"/>
  <c r="L16" i="1"/>
  <c r="G16" i="1"/>
  <c r="F22" i="5" s="1"/>
  <c r="E16" i="1"/>
  <c r="H16" i="1" s="1"/>
  <c r="E22" i="5" s="1"/>
  <c r="D16" i="1"/>
  <c r="V16" i="1" s="1"/>
  <c r="W17" i="1" l="1"/>
  <c r="E23" i="5"/>
  <c r="T18" i="5"/>
  <c r="P17" i="1"/>
  <c r="T17" i="1"/>
  <c r="M17" i="1"/>
  <c r="I17" i="1"/>
  <c r="N17" i="1"/>
  <c r="J17" i="1"/>
  <c r="O17" i="1"/>
  <c r="W16" i="1"/>
  <c r="O16" i="1"/>
  <c r="J16" i="1"/>
  <c r="N16" i="1"/>
  <c r="I16" i="1"/>
  <c r="M16" i="1"/>
  <c r="P16" i="1"/>
  <c r="T16" i="1"/>
  <c r="C23" i="5"/>
  <c r="B23" i="5"/>
  <c r="D23" i="5" s="1"/>
  <c r="T23" i="5" s="1"/>
  <c r="C22" i="5"/>
  <c r="B22" i="5"/>
  <c r="D22" i="5" s="1"/>
  <c r="L19" i="1"/>
  <c r="G19" i="1"/>
  <c r="F25" i="5" s="1"/>
  <c r="E19" i="1"/>
  <c r="H19" i="1" s="1"/>
  <c r="D19" i="1"/>
  <c r="P19" i="1" s="1"/>
  <c r="M19" i="1" l="1"/>
  <c r="E25" i="5"/>
  <c r="T19" i="1"/>
  <c r="T22" i="5"/>
  <c r="I19" i="1"/>
  <c r="N19" i="1"/>
  <c r="V19" i="1"/>
  <c r="J19" i="1"/>
  <c r="O19" i="1"/>
  <c r="W19" i="1"/>
  <c r="C24" i="5"/>
  <c r="B24" i="5"/>
  <c r="D24" i="5" s="1"/>
  <c r="C21" i="5"/>
  <c r="B21" i="5"/>
  <c r="D21" i="5" s="1"/>
  <c r="C20" i="5"/>
  <c r="B20" i="5"/>
  <c r="D20" i="5" s="1"/>
  <c r="T20" i="5" s="1"/>
  <c r="G18" i="1"/>
  <c r="F24" i="5" s="1"/>
  <c r="E18" i="1"/>
  <c r="H18" i="1" s="1"/>
  <c r="E24" i="5" s="1"/>
  <c r="D18" i="1"/>
  <c r="V18" i="1" s="1"/>
  <c r="L15" i="1"/>
  <c r="G15" i="1"/>
  <c r="F21" i="5" s="1"/>
  <c r="E15" i="1"/>
  <c r="H15" i="1" s="1"/>
  <c r="D15" i="1"/>
  <c r="T15" i="1" s="1"/>
  <c r="G14" i="1"/>
  <c r="F20" i="5" s="1"/>
  <c r="E14" i="1"/>
  <c r="H14" i="1" s="1"/>
  <c r="E20" i="5" s="1"/>
  <c r="D14" i="1"/>
  <c r="V14" i="1" s="1"/>
  <c r="U23" i="5" l="1"/>
  <c r="E21" i="5"/>
  <c r="O14" i="1"/>
  <c r="V23" i="5"/>
  <c r="G23" i="5"/>
  <c r="S23" i="5" s="1"/>
  <c r="L23" i="5"/>
  <c r="K23" i="5"/>
  <c r="I23" i="5"/>
  <c r="H23" i="5"/>
  <c r="V15" i="1"/>
  <c r="V24" i="5"/>
  <c r="T24" i="5"/>
  <c r="H24" i="5"/>
  <c r="T21" i="5"/>
  <c r="L24" i="5"/>
  <c r="L18" i="1"/>
  <c r="N15" i="1"/>
  <c r="M15" i="1"/>
  <c r="W15" i="1"/>
  <c r="J15" i="1"/>
  <c r="O15" i="1"/>
  <c r="I15" i="1"/>
  <c r="W18" i="1"/>
  <c r="J18" i="1"/>
  <c r="O18" i="1"/>
  <c r="N18" i="1"/>
  <c r="M18" i="1"/>
  <c r="I18" i="1"/>
  <c r="P18" i="1"/>
  <c r="P14" i="1"/>
  <c r="T18" i="1"/>
  <c r="N14" i="1"/>
  <c r="P15" i="1"/>
  <c r="T14" i="1"/>
  <c r="I14" i="1"/>
  <c r="J14" i="1"/>
  <c r="W14" i="1"/>
  <c r="M14" i="1"/>
  <c r="G30" i="1"/>
  <c r="F26" i="5" s="1"/>
  <c r="E30" i="1"/>
  <c r="H30" i="1" s="1"/>
  <c r="E26" i="5" s="1"/>
  <c r="D30" i="1"/>
  <c r="V30" i="1" s="1"/>
  <c r="L22" i="5" l="1"/>
  <c r="U22" i="5"/>
  <c r="K22" i="5"/>
  <c r="V22" i="5"/>
  <c r="G22" i="5"/>
  <c r="S22" i="5" s="1"/>
  <c r="H22" i="5"/>
  <c r="I22" i="5"/>
  <c r="G24" i="5"/>
  <c r="S24" i="5" s="1"/>
  <c r="K24" i="5"/>
  <c r="U24" i="5"/>
  <c r="I24" i="5"/>
  <c r="T30" i="1"/>
  <c r="P30" i="1"/>
  <c r="N30" i="1"/>
  <c r="I30" i="1"/>
  <c r="M30" i="1"/>
  <c r="W30" i="1"/>
  <c r="O30" i="1"/>
  <c r="J30" i="1"/>
  <c r="W3" i="1" l="1"/>
  <c r="V3" i="1"/>
  <c r="B2" i="5" l="1"/>
  <c r="B3" i="5" s="1"/>
  <c r="C26" i="5"/>
  <c r="B25" i="5"/>
  <c r="D25" i="5" s="1"/>
  <c r="G13" i="1"/>
  <c r="F19" i="5" s="1"/>
  <c r="E13" i="1"/>
  <c r="H13" i="1" s="1"/>
  <c r="E19" i="5" s="1"/>
  <c r="D13" i="1"/>
  <c r="G12" i="1"/>
  <c r="F18" i="5" s="1"/>
  <c r="E12" i="1"/>
  <c r="H12" i="1" s="1"/>
  <c r="E18" i="5" s="1"/>
  <c r="D12" i="1"/>
  <c r="V19" i="5" l="1"/>
  <c r="V18" i="5"/>
  <c r="I18" i="5"/>
  <c r="G18" i="5"/>
  <c r="S18" i="5" s="1"/>
  <c r="L18" i="5"/>
  <c r="H18" i="5"/>
  <c r="K18" i="5"/>
  <c r="U18" i="5"/>
  <c r="I19" i="5"/>
  <c r="G19" i="5"/>
  <c r="S19" i="5" s="1"/>
  <c r="L19" i="5"/>
  <c r="H19" i="5"/>
  <c r="U19" i="5"/>
  <c r="K19" i="5"/>
  <c r="V20" i="5"/>
  <c r="I20" i="5"/>
  <c r="L20" i="5"/>
  <c r="U20" i="5"/>
  <c r="K20" i="5"/>
  <c r="G20" i="5"/>
  <c r="S20" i="5" s="1"/>
  <c r="H20" i="5"/>
  <c r="H21" i="5"/>
  <c r="I21" i="5"/>
  <c r="G21" i="5"/>
  <c r="S21" i="5" s="1"/>
  <c r="U21" i="5"/>
  <c r="V21" i="5"/>
  <c r="K21" i="5"/>
  <c r="L21" i="5"/>
  <c r="V12" i="1"/>
  <c r="T12" i="1"/>
  <c r="N13" i="1"/>
  <c r="O13" i="1"/>
  <c r="M13" i="1"/>
  <c r="N12" i="1"/>
  <c r="M12" i="1"/>
  <c r="O12" i="1"/>
  <c r="T13" i="1"/>
  <c r="V13" i="1"/>
  <c r="W12" i="1"/>
  <c r="W13" i="1"/>
  <c r="T25" i="5"/>
  <c r="P13" i="1"/>
  <c r="C25" i="5"/>
  <c r="B26" i="5"/>
  <c r="D26" i="5" s="1"/>
  <c r="J12" i="1"/>
  <c r="I12" i="1"/>
  <c r="I13" i="1"/>
  <c r="P12" i="1"/>
  <c r="J13" i="1"/>
  <c r="B6" i="5"/>
  <c r="L26" i="5" l="1"/>
  <c r="I26" i="5"/>
  <c r="K26" i="5"/>
  <c r="H26" i="5"/>
  <c r="L25" i="5"/>
  <c r="K25" i="5"/>
  <c r="I25" i="5"/>
  <c r="H25" i="5"/>
  <c r="G26" i="5"/>
  <c r="S26" i="5" s="1"/>
  <c r="U26" i="5"/>
  <c r="V26" i="5"/>
  <c r="G25" i="5"/>
  <c r="S25" i="5" s="1"/>
  <c r="U25" i="5"/>
  <c r="V25" i="5"/>
  <c r="T26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32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F16" i="5" s="1"/>
  <c r="G11" i="1"/>
  <c r="F17" i="5" s="1"/>
  <c r="E9" i="1"/>
  <c r="H9" i="1" s="1"/>
  <c r="E10" i="1"/>
  <c r="H10" i="1" s="1"/>
  <c r="E16" i="5" s="1"/>
  <c r="E11" i="1"/>
  <c r="H11" i="1" s="1"/>
  <c r="E17" i="5" s="1"/>
  <c r="P9" i="1"/>
  <c r="P10" i="1"/>
  <c r="P11" i="1"/>
  <c r="T32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32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U13" i="5"/>
  <c r="V13" i="5"/>
  <c r="H13" i="5"/>
  <c r="I13" i="5"/>
  <c r="K13" i="5"/>
  <c r="L13" i="5"/>
  <c r="S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22" i="1" l="1"/>
  <c r="L21" i="1"/>
  <c r="L24" i="1"/>
  <c r="L30" i="1"/>
  <c r="L14" i="1"/>
  <c r="L11" i="1"/>
  <c r="L13" i="1"/>
  <c r="L12" i="1"/>
  <c r="L9" i="1"/>
  <c r="L10" i="1"/>
  <c r="J11" i="1"/>
  <c r="J9" i="1"/>
  <c r="J10" i="1"/>
  <c r="C7" i="1"/>
  <c r="I32" i="1"/>
  <c r="J32" i="1"/>
  <c r="N32" i="1"/>
  <c r="P32" i="1"/>
  <c r="O32" i="1"/>
  <c r="Q7" i="1" l="1"/>
  <c r="M47" i="3" s="1"/>
  <c r="L7" i="1"/>
  <c r="G47" i="3" s="1"/>
  <c r="K47" i="3"/>
  <c r="J47" i="3"/>
  <c r="K32" i="1"/>
  <c r="M32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comments2.xml><?xml version="1.0" encoding="utf-8"?>
<comments xmlns="http://schemas.openxmlformats.org/spreadsheetml/2006/main">
  <authors>
    <author>S_member</author>
  </authors>
  <commentList>
    <comment ref="A20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Những trường này thêm sau, sử dụng cho business. </t>
        </r>
      </text>
    </comment>
  </commentList>
</comments>
</file>

<file path=xl/sharedStrings.xml><?xml version="1.0" encoding="utf-8"?>
<sst xmlns="http://schemas.openxmlformats.org/spreadsheetml/2006/main" count="453" uniqueCount="332">
  <si>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</si>
  <si>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</si>
  <si>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</si>
  <si>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</si>
  <si>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</si>
  <si>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</si>
  <si>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</si>
  <si>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</si>
  <si>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</si>
  <si>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</si>
  <si>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</si>
  <si>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</si>
  <si>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</si>
  <si>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</si>
  <si>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</si>
  <si>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</si>
  <si>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</si>
  <si>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</si>
  <si>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</si>
  <si>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</si>
  <si>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</si>
  <si>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</si>
  <si>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</si>
  <si>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</si>
  <si>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</si>
  <si>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</si>
  <si>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</si>
  <si>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</si>
  <si>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</si>
  <si>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</si>
  <si>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</si>
  <si>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</si>
  <si>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</si>
  <si>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</si>
  <si>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</si>
  <si>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</si>
  <si>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</si>
  <si>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</si>
  <si>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</si>
  <si>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</si>
  <si>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</si>
  <si>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</si>
  <si>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</si>
  <si>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</si>
  <si>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</si>
  <si>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</si>
  <si>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</si>
  <si>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</si>
  <si>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</si>
  <si>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</si>
  <si>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</si>
  <si>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</si>
  <si>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</si>
  <si>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</si>
  <si>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</si>
  <si>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</si>
  <si>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</si>
  <si>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</si>
  <si>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</si>
  <si>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</si>
  <si>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</si>
  <si>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</si>
  <si>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</si>
  <si>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</si>
  <si>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</si>
  <si>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</si>
  <si>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</si>
  <si>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</si>
  <si>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</si>
  <si>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</si>
  <si>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</si>
  <si>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</si>
  <si>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</si>
  <si>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</si>
  <si>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</si>
  <si>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</si>
  <si>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</si>
  <si>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</si>
  <si>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</si>
  <si>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</si>
  <si>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</si>
  <si>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</si>
  <si>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</si>
  <si>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</si>
  <si>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</si>
  <si>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</si>
  <si>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</si>
  <si>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</si>
  <si>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</si>
  <si>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</si>
  <si>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</si>
  <si>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</si>
  <si>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</si>
  <si>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</si>
  <si>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</si>
  <si>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</si>
  <si>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</si>
  <si>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</si>
  <si>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</si>
  <si>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</si>
  <si>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</si>
  <si>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</si>
  <si>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</si>
  <si>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</si>
  <si>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</si>
  <si>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</si>
  <si>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</si>
  <si>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</si>
  <si>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</si>
  <si>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</si>
  <si>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</si>
  <si>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</si>
  <si>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</si>
  <si>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</si>
  <si>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</si>
  <si>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</si>
  <si>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</si>
  <si>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</si>
  <si>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</si>
  <si>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</si>
  <si>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</si>
  <si>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</si>
  <si>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</si>
  <si>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</si>
  <si>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</si>
  <si>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</si>
  <si>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</si>
  <si>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</si>
  <si>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</si>
  <si>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</si>
  <si>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</si>
  <si>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</si>
  <si>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</si>
  <si>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</si>
  <si>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</si>
  <si>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</si>
  <si>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</si>
  <si>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</si>
  <si>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</si>
  <si>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</si>
  <si>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</si>
  <si>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</si>
  <si>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</si>
  <si>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</si>
  <si>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</si>
  <si>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</si>
  <si>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</si>
  <si>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</si>
  <si>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</si>
  <si>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</si>
  <si>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</si>
  <si>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</si>
  <si>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</si>
  <si>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</si>
  <si>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</si>
  <si>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</si>
  <si>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</si>
  <si>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</si>
  <si>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</si>
  <si>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</si>
  <si>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</si>
  <si>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</si>
  <si>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</si>
  <si>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</si>
  <si>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</si>
  <si>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</si>
  <si>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</si>
  <si>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</si>
  <si>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</si>
  <si>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</si>
  <si>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</si>
  <si>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</si>
  <si>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</si>
  <si>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</si>
  <si>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</si>
  <si>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</si>
  <si>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</si>
  <si>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</si>
  <si>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</si>
  <si>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</si>
  <si>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</si>
  <si>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</si>
  <si>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</si>
  <si>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</si>
  <si>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</si>
  <si>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</si>
  <si>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</si>
  <si>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</si>
  <si>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</si>
  <si>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</si>
  <si>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</si>
  <si>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</si>
  <si>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</si>
  <si>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</si>
  <si>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</si>
  <si>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</si>
  <si>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</si>
  <si>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</si>
  <si>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</si>
  <si>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</si>
  <si>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</si>
  <si>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</si>
  <si>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</si>
  <si>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</si>
  <si>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</si>
  <si>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</si>
  <si>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</si>
  <si>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</si>
  <si>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</si>
  <si>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</si>
  <si>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</si>
  <si>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</si>
  <si>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</si>
  <si>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</si>
  <si>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</si>
  <si>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</si>
  <si>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</si>
  <si>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</si>
  <si>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</si>
  <si>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</si>
  <si>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</si>
  <si>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</si>
  <si>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</si>
  <si>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</si>
  <si>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</si>
  <si>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</si>
  <si>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</si>
  <si>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</si>
  <si>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</si>
  <si>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</si>
  <si>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</si>
  <si>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</si>
  <si>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</si>
  <si>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</si>
  <si>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</si>
  <si>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</si>
  <si>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</si>
  <si>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</si>
  <si>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</si>
  <si>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</si>
  <si>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</si>
  <si>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</si>
  <si>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</si>
  <si>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</si>
  <si>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</si>
  <si>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</si>
  <si>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</si>
  <si>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</si>
  <si>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</si>
  <si>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</si>
  <si>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</si>
  <si>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</si>
  <si>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</si>
  <si>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</si>
  <si>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</si>
  <si>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</si>
  <si>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</si>
  <si>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</si>
  <si>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</si>
  <si>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</si>
  <si>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</si>
  <si>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</si>
  <si>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</si>
  <si>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</si>
  <si>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</si>
  <si>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</si>
  <si>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</si>
  <si>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</si>
  <si>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</si>
  <si>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</si>
  <si>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</si>
  <si>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</si>
  <si>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</si>
  <si>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</si>
  <si>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</si>
  <si>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</si>
  <si>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</si>
  <si>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</si>
  <si>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</si>
  <si>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</si>
  <si>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</si>
  <si>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</si>
  <si>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</si>
  <si>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</si>
  <si>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</si>
  <si>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</si>
  <si>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</si>
  <si>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</si>
  <si>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</si>
  <si>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</si>
  <si>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</si>
  <si>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</si>
  <si>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</si>
  <si>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</si>
  <si>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</si>
  <si>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</si>
  <si>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</si>
  <si>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</si>
  <si>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</si>
  <si>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</si>
  <si>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</si>
  <si>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</si>
  <si>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</si>
  <si>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varchar(50)</t>
  </si>
  <si>
    <t>datetime2(7)</t>
  </si>
  <si>
    <t>PROD_LINE</t>
  </si>
  <si>
    <t>WORKING_DATE</t>
  </si>
  <si>
    <t>SHIFT</t>
  </si>
  <si>
    <t>NO_IN_SHIFT</t>
  </si>
  <si>
    <t>varchar(20)</t>
  </si>
  <si>
    <t>UNPACKING_START_DATETIME</t>
  </si>
  <si>
    <t>UNPACKING_FINISH_DATETIME</t>
  </si>
  <si>
    <t>varchar(1)</t>
  </si>
  <si>
    <t>LgwPupPxPUpPlan</t>
  </si>
  <si>
    <t>PxPUpPlan</t>
  </si>
  <si>
    <t>LogW.Pup</t>
  </si>
  <si>
    <t>CASE_NO</t>
  </si>
  <si>
    <t>UP_TABLE</t>
  </si>
  <si>
    <t>IS_NO_PXP_DATA</t>
  </si>
  <si>
    <t>SEQ_LINE_IN</t>
  </si>
  <si>
    <t>LogW PXP Unpacking Plan</t>
  </si>
  <si>
    <t>UNPACKING_TIME</t>
  </si>
  <si>
    <t>UNPACKING_DATE</t>
  </si>
  <si>
    <t>UNPACKING_DATETIME</t>
  </si>
  <si>
    <t>UP_LT</t>
  </si>
  <si>
    <t>STATUS</t>
  </si>
  <si>
    <t>DELAY_SECOND</t>
  </si>
  <si>
    <t>DELAY_CONFIRM_FLAG</t>
  </si>
  <si>
    <t>WH_LOCATION</t>
  </si>
  <si>
    <t>INVOICE_DATE</t>
  </si>
  <si>
    <t>REMARKS</t>
  </si>
  <si>
    <t>varchar(40)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</si>
</sst>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workbookViewId="0">
      <selection activeCell="C29" sqref="C29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vovina.LogW.Pup
{
	[Table("LgwPupPxPUpPlan")]
	[Index(nameof(WorkingDate), Name="IX_LgwPupPxPUpPlan_WorkingDate")]
	[Index(nameof(Shift), Name="IX_LgwPupPxPUpPlan_Shift")]
	[Index(nameof(CaseNo), Name="IX_LgwPupPxPUpPlan_CaseNo")]
	[Index(nameof(UnpackingDate), Name="IX_LgwPupPxPUpPlan_UnpackingDate")]
	[Index(nameof(UnpackingDatetime), Name="IX_LgwPupPxPUpPlan_UnpackingDatetime")]
	[Index(nameof(Status), Name="IX_LgwPupPxPUpPlan_Status")]
	[Index(nameof(IsActive), Name="IX_LgwPupPxPUpPlan_IsActive")]	public class LgwPupPxPUpPlan: FullAuditedEntity&lt;long&gt;, IEntity&lt;long&gt;	
	{
		public const int MaxProdLineLength = 50;
		public const int MaxShiftLength = 50;
		public const int MaxCaseNoLength = 20;
		public const int MaxSupplierNoLength = 50;
		public const int MaxUpTableLength = 50;
		public const int MaxIsNoPxpDataLength = 20;
		public const int MaxUnpackingTimeLength = 50;
		public const int MaxWhLocationLength = 20;
		public const int MaxRemarksLength = 40;
		public const int MaxIsActiveLength = 1;
		[StringLength(MaxProdLineLength)]
		public virtual string ProdLine { get; set; }
		[Column(TypeName="date")]
		public virtual DateTime WorkingDate { get; set; }
		[StringLength(MaxShiftLength)]
		public virtual string Shift { get; set; }
		public virtual int NoInShift { get; set; }
		public virtual int SeqLineIn { get; set; }
		[StringLength(MaxCaseNoLength)]
		public virtual string CaseNo { get; set; }
		[StringLength(MaxSupplierNoLength)]
		public virtual string SupplierNo { get; set; }
		[StringLength(MaxUpTableLength)]
		public virtual string UpTable { get; set; }
		[StringLength(MaxIsNoPxpDataLength)]
		public virtual string IsNoPxpData { get; set; }
		[Column(TypeName="datetime2(7)")]
		public virtual DateTime UnpackingStartDatetime { get; set; }
		[Column(TypeName="datetime2(7)")]
		public virtual DateTime UnpackingFinishDatetime { get; set; }
		[StringLength(MaxUnpackingTimeLength)]
		public virtual string UnpackingTime { get; set; }
		[Column(TypeName="date")]
		public virtual DateTime UnpackingDate { get; set; }
		public virtual DateTime UnpackingDatetime { get; set; }
		public virtual int UpLt { get; set; }
		public virtual int Status { get; set; }
		public virtual int DelaySecond { get; set; }
		public virtual DateTime DelayConfirmFlag { get; set; }
		[StringLength(MaxWhLocationLength)]
		public virtual string WhLocation { get; set; }
		public virtual DateTime InvoiceDate { get; set; }
		[StringLength(MaxRemarksLength)]
		public virtual string Remarks { get; set; }
		[StringLength(MaxIsActiveLength)]
		public virtual string IsActive { get; set; }
	}
}
</v>
      </c>
      <c r="D47" s="51" t="str">
        <f>A.Backend!O7</f>
        <v xml:space="preserve">		public const string Pages_LogW_Pup_PxPUpPlan = "Pages.LogW.Pup.PxPUpPlan";
		public const string Pages_LogW_Pup_PxPUpPlan_CreateEdit = "Pages.LogW.Pup.PxPUpPlan.CreateEdit";
		public const string Pages_LogW_Pup_PxPUpPlan_Delete = "Pages.LogW.Pup.PxPUpPlan.Delete";
</v>
      </c>
      <c r="E47" s="51" t="str">
        <f>A.Backend!N7</f>
        <v xml:space="preserve">		var perLgwPupPxPUpPlan = PARENTS.CreateChildPermission(AppPermissions.Pages_LogW_Pup_PxPUpPlan, L( "LogWPupPxPUpPlan"));
		perLgwPupPxPUpPlan.CreateChildPermission(AppPermissions.Pages_LogW_Pup_PxPUpPlan_CreateEdit, L( "LogWPupPxPUpPlanCreateEdit"));
		perLgwPupPxPUpPlan.CreateChildPermission(AppPermissions.Pages_LogW_Pup_PxPUpPlan_Delete, L( "LogWPupPxPUpPlanDelete"));</v>
      </c>
      <c r="F47" s="51" t="str">
        <f>A.Backend!K7</f>
        <v>public virtual DbSet&lt;LgwPupPxPUpPlan&gt; LgwPupPxPUpPlans { get; set; }</v>
      </c>
      <c r="G47" s="51" t="str">
        <f ca="1">A.Backend!L7</f>
        <v xml:space="preserve">namespace vovina.LogW.Pup
{
	public class LgwPupPxPUpPlanConsts	
	{
		public const int MaxProdLineLength = 50;
		public const int MaxShiftLength = 50;
		public const int MaxCaseNoLength = 20;
		public const int MaxSupplierNoLength = 50;
		public const int MaxUpTableLength = 50;
		public const int MaxIsNoPxpDataLength = 20;
		public const int MaxUnpackingTimeLength = 50;
		public const int MaxWhLocationLength = 20;
		public const int MaxRemarksLength = 40;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vovina.LogW.Pup.Dto
{
	public class LgwPupPxPUpPlanDto : EntityDto&lt;long?&gt;	
	{
		public virtual string ProdLine { get; set; }
		public virtual DateTime? WorkingDate { get; set; }
		public virtual string Shift { get; set; }
		public virtual int NoInShift { get; set; }
		public virtual int SeqLineIn { get; set; }
		public virtual string CaseNo { get; set; }
		public virtual string SupplierNo { get; set; }
		public virtual string UpTable { get; set; }
		public virtual string IsNoPxpData { get; set; }
		public virtual DateTime? UnpackingStartDatetime { get; set; }
		public virtual DateTime? UnpackingFinishDatetime { get; set; }
		public virtual string UnpackingTime { get; set; }
		public virtual DateTime? UnpackingDate { get; set; }
		public virtual DateTime? UnpackingDatetime { get; set; }
		public virtual int UpLt { get; set; }
		public virtual int Status { get; set; }
		public virtual int DelaySecond { get; set; }
		public virtual DateTime? DelayConfirmFlag { get; set; }
		public virtual string WhLocation { get; set; }
		public virtual DateTime? InvoiceDate { get; set; }
		public virtual string Remarks { get; set; }
		public virtual string IsActive { get; set; }
	}
	public class CreateOrEditLgwPupPxPUpPlanDto : EntityDto&lt;long?&gt;	
	{
		[StringLength(LgwPupPxPUpPlanConsts.MaxProdLineLength)]
		public virtual string ProdLine { get; set; }
		public virtual DateTime? WorkingDate { get; set; }
		[StringLength(LgwPupPxPUpPlanConsts.MaxShiftLength)]
		public virtual string Shift { get; set; }
		public virtual int NoInShift { get; set; }
		public virtual int SeqLineIn { get; set; }
		[StringLength(LgwPupPxPUpPlanConsts.MaxCaseNoLength)]
		public virtual string CaseNo { get; set; }
		[StringLength(LgwPupPxPUpPlanConsts.MaxSupplierNoLength)]
		public virtual string SupplierNo { get; set; }
		[StringLength(LgwPupPxPUpPlanConsts.MaxUpTableLength)]
		public virtual string UpTable { get; set; }
		[StringLength(LgwPupPxPUpPlanConsts.MaxIsNoPxpDataLength)]
		public virtual string IsNoPxpData { get; set; }
		public virtual DateTime? UnpackingStartDatetime { get; set; }
		public virtual DateTime? UnpackingFinishDatetime { get; set; }
		[StringLength(LgwPupPxPUpPlanConsts.MaxUnpackingTimeLength)]
		public virtual string UnpackingTime { get; set; }
		public virtual DateTime? UnpackingDate { get; set; }
		public virtual DateTime? UnpackingDatetime { get; set; }
		public virtual int UpLt { get; set; }
		public virtual int Status { get; set; }
		public virtual int DelaySecond { get; set; }
		public virtual DateTime? DelayConfirmFlag { get; set; }
		[StringLength(LgwPupPxPUpPlanConsts.MaxWhLocationLength)]
		public virtual string WhLocation { get; set; }
		public virtual DateTime? InvoiceDate { get; set; }
		[StringLength(LgwPupPxPUpPlanConsts.MaxRemarksLength)]
		public virtual string Remarks { get; set; }
		[StringLength(LgwPupPxPUpPlanConsts.MaxIsActiveLength)]
		public virtual string IsActive { get; set; }
	}
	public class GetLgwPupPxPUpPlanInput : PagedAndSortedResultRequestDto	
	{
		public virtual string ProdLine { get; set; }
		public virtual DateTime? WorkingDate { get; set; }
		public virtual string Shift { get; set; }
		public virtual int NoInShift { get; set; }
		public virtual int SeqLineIn { get; set; }
		public virtual string CaseNo { get; set; }
		public virtual string SupplierNo { get; set; }
		public virtual string UpTable { get; set; }
		public virtual string IsNoPxpData { get; set; }
		public virtual DateTime? UnpackingStartDatetime { get; set; }
		public virtual DateTime? UnpackingFinishDatetime { get; set; }
		public virtual string UnpackingTime { get; set; }
		public virtual DateTime? UnpackingDate { get; set; }
		public virtual DateTime? UnpackingDatetime { get; set; }
		public virtual int UpLt { get; set; }
		public virtual int Status { get; set; }
		public virtual int DelaySecond { get; set; }
		public virtual DateTime? DelayConfirmFlag { get; set; }
		public virtual string WhLocation { get; set; }
		public virtual DateTime? InvoiceDate { get; set; }
		public virtual string Remarks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vovina.LogW.Pup.Dto
{
	public class LgwPupPxPUpPlanExportInput{
		public virtual string ProdLine { get; set; }
		public virtual DateTime? WorkingDate { get; set; }
		public virtual string Shift { get; set; }
		public virtual int NoInShift { get; set; }
		public virtual int SeqLineIn { get; set; }
		public virtual string CaseNo { get; set; }
		public virtual string SupplierNo { get; set; }
		public virtual string UpTable { get; set; }
		public virtual string IsNoPxpData { get; set; }
		public virtual DateTime? UnpackingStartDatetime { get; set; }
		public virtual DateTime? UnpackingFinishDatetime { get; set; }
		public virtual string UnpackingTime { get; set; }
		public virtual DateTime? UnpackingDate { get; set; }
		public virtual DateTime? UnpackingDatetime { get; set; }
		public virtual int UpLt { get; set; }
		public virtual int Status { get; set; }
		public virtual int DelaySecond { get; set; }
		public virtual DateTime? DelayConfirmFlag { get; set; }
		public virtual string WhLocation { get; set; }
		public virtual DateTime? InvoiceDate { get; set; }
		public virtual string Remarks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vovina.LogW.Pup.Dto;
namespace vovina.LogW.Pup
{
	public interface ILgwPupPxPUpPlanAppService : IApplicationService
	{
		Task&lt;PagedResultDto&lt;LgwPupPxPUpPlanDto&gt;&gt; GetAll(GetLgwPupPxPUpPlanInput input);
		Task CreateOrEdit(CreateOrEditLgwPupPxPUpPlanDto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vovina.LogW.Pup.Dto;
namespace vovina.LogW.Pup.Exporting
{
	public interface ILgwPupPxPUpPlanExcelExporter : IApplicationService
	{
		FileDto ExportToFile(List&lt;LgwPupPxPUpPlanDto&gt; lgwpuppxpupplan);
	}
}
</v>
      </c>
      <c r="L47" s="51" t="str">
        <f ca="1">A.Backend!T7</f>
        <v>using System.Collections.Generic;
using vovina.DataExporting.Excel.NPOI;
using vovina.Dto;
using vovina.LogW.Pup.Exporting;
using vovina.LogW.Pup.Dto;
using vovina.Storage;
using vovina.LogW.Pup.Dto;
namespace vovina.LogW.Pup.Exporting
{
    public class LgwPupPxPUpPlanExcelExporter : NpoiExcelExporterBase, ILgwPupPxPUpPlanExcelExporter
    {
        public LgwPupPxPUpPlanExcelExporter(ITempFileCacheManager tempFileCacheManager) : base(tempFileCacheManager) { }
        public FileDto ExportToFile(List&lt;LgwPupPxPUpPlanDto&gt; pxpupplan)
        {
            return CreateExcelPackage(
				"LogWPupPxPUpPlan.xlsx",
				excelPackage =&gt;
				 {
					var sheet = excelPackage.CreateSheet("PxPUpPlan");
					AddHeader(
								sheet,
								("ProdLine"),
								("WorkingDate"),
								("Shift"),
								("NoInShift"),
								("SeqLineIn"),
								("CaseNo"),
								("SupplierNo"),
								("UpTable"),
								("IsNoPxpData"),
								("UnpackingStartDatetime"),
								("UnpackingFinishDatetime"),
								("UnpackingTime"),
								("UnpackingDate"),
								("UnpackingDatetime"),
								("UpLt"),
								("Status"),
								("DelaySecond"),
								("DelayConfirmFlag"),
								("WhLocation"),
								("InvoiceDate"),
								("Remarks"),
								("IsActive"),
							   );
					AddObjects(
						 sheet, 1, pxpupplan,                                       
								_ =&gt; _.ProdLine,
								_ =&gt; _.WorkingDate,
								_ =&gt; _.Shift,
								_ =&gt; _.NoInShift,
								_ =&gt; _.SeqLineIn,
								_ =&gt; _.CaseNo,
								_ =&gt; _.SupplierNo,
								_ =&gt; _.UpTable,
								_ =&gt; _.IsNoPxpData,
								_ =&gt; _.UnpackingStartDatetime,
								_ =&gt; _.UnpackingFinishDatetime,
								_ =&gt; _.UnpackingTime,
								_ =&gt; _.UnpackingDate,
								_ =&gt; _.UnpackingDatetime,
								_ =&gt; _.UpLt,
								_ =&gt; _.Status,
								_ =&gt; _.DelaySecond,
								_ =&gt; _.DelayConfirmFlag,
								_ =&gt; _.WhLocation,
								_ =&gt; _.InvoiceDate,
								_ =&gt; _.Remarks,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vovina.LogW.Pup.Dto;
using vovina.LogW.Pup.Exporting;
namespace vovina.LogW.Pup
{
    [AbpAuthorize(AppPermissions.Pages_LogW_Pup_PxPUpPlan)]
    public class LgwPupPxPUpPlanAppService : vovinaAppServiceBase, ILgwPupPxPUpPlanAppService
    {
        private readonly IDapperRepository&lt;LgwPupPxPUpPlan, long&gt; _dapperRepo;
        private readonly IRepository&lt;LgwPupPxPUpPlan, long&gt; _repo;
        private readonly ILgwPupPxPUpPlanExcelExporter _calendarListExcelExporter;
        public LgwPupPxPUpPlanAppService(IRepository&lt;LgwPupPxPUpPlan,long&gt; repo, 
                                         IDapperRepository&lt;LgwPupPxPUpPlan,long&gt; dapperRepo,
                                        ILgwPupPxPUpPlanExcelExporter calendarListExcelExporter
            )
        {
            _repo = repo;
            _dapperRepo = dapperRepo;
            _calendarListExcelExporter = calendarListExcelExporter;
        }
        [AbpAuthorize(AppPermissions.Pages_LogW_Pup_PxPUpPlan_CreateEdit)]
        public async Task CreateOrEdit(CreateOrEditLgwPupPxPUpPlanDto input)
        {
            if (input.Id == null) await Create(input);
            else await Update(input);
        }
        //CREATE
        private async Task Create(CreateOrEditLgwPupPxPUpPlanDto input)
        {          
            var mainObj = ObjectMapper.Map&lt;LgwPupPxPUpPlan&gt;(input);
            await CurrentUnitOfWork.GetDbContext&lt;vovinaDbContext&gt;().AddAsync(mainObj);
        }
        // EDIT
        private async Task Update(CreateOrEditLgwPupPxPUpPlanDto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[AbpAuthorize(AppPermissions.Pages_LogW_Pup_PxPUpPlan_Delete)]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Task&lt;PagedResultDto&lt;LgwPupPxPUpPlanDto&gt;&gt; GetAll(GetLgwPupPxPUpPlanInput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.WhereIf(!string.IsNullOrWhiteSpace(input.CaseNo), e =&gt; e.CaseNo.Contains(input.CaseNo))
				.WhereIf(!string.IsNullOrWhiteSpace(input.SupplierNo), e =&gt; e.SupplierNo.Contains(input.SupplierNo))
				.WhereIf(!string.IsNullOrWhiteSpace(input.UpTable), e =&gt; e.UpTable.Contains(input.UpTable))
				.WhereIf(!string.IsNullOrWhiteSpace(input.IsNoPxpData), e =&gt; e.IsNoPxpData.Contains(input.IsNoPxpData))
				.WhereIf(input.UnpackingStartDatetime.HasValue, t =&gt; t.UnpackingStartDatetime == input.UnpackingStartDatetime.Value)
				.WhereIf(input.UnpackingFinishDatetime.HasValue, t =&gt; t.UnpackingFinishDatetime == input.UnpackingFinishDatetime.Value)
				.WhereIf(!string.IsNullOrWhiteSpace(input.UnpackingTime), e =&gt; e.UnpackingTime.Contains(input.UnpackingTime))
				.WhereIf(input.UnpackingDate.HasValue, t =&gt; t.UnpackingDate == input.UnpackingDate.Value)
				.WhereIf(input.UnpackingDatetime.HasValue, t =&gt; t.UnpackingDatetime == input.UnpackingDatetime.Value)
				.WhereIf(input.DelayConfirmFlag.HasValue, t =&gt; t.DelayConfirmFlag == input.DelayConfirmFlag.Value)
				.WhereIf(!string.IsNullOrWhiteSpace(input.WhLocation), e =&gt; e.WhLocation.Contains(input.WhLocation))
				.WhereIf(input.InvoiceDate.HasValue, t =&gt; t.InvoiceDate == input.InvoiceDate.Value)
				.WhereIf(!string.IsNullOrWhiteSpace(input.Remarks), e =&gt; e.Remarks.Contains(input.Remarks))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LgwPupPxPUpPlanDto
                        {
							Id = o.Id,
							ProdLine = o.ProdLine,
							WorkingDate = o.WorkingDate,
							Shift = o.Shift,
							NoInShift = o.NoInShift,
							SeqLineIn = o.SeqLineIn,
							CaseNo = o.CaseNo,
							SupplierNo = o.SupplierNo,
							UpTable = o.UpTable,
							IsNoPxpData = o.IsNoPxpData,
							UnpackingStartDatetime = o.UnpackingStartDatetime,
							UnpackingFinishDatetime = o.UnpackingFinishDatetime,
							UnpackingTime = o.UnpackingTime,
							UnpackingDate = o.UnpackingDate,
							UnpackingDatetime = o.UnpackingDatetime,
							UpLt = o.UpLt,
							Status = o.Status,
							DelaySecond = o.DelaySecond,
							DelayConfirmFlag = o.DelayConfirmFlag,
							WhLocation = o.WhLocation,
							InvoiceDate = o.InvoiceDate,
							Remarks = o.Remarks,
							IsActive = o.IsActive,
                        };
            var totalCount = await filtered.CountAsync();
			var paged = system.PageBy(input);
            return new PagedResultDto&lt;LgwPupPxPUpPlanDto&gt;(
                totalCount,
                 await paged.ToListAsync()
            );
        }
        public async Task&lt;FileDto&gt; GetPxPUpPlanToExcel(LgwPupPxPUpPlanExportInput input)
        {
            var query = from o in _repo.GetAll()
                        select new LgwPupPxPUpPlanDto
                        {
							Id = o.Id,
							ProdLine = o.ProdLine,
							WorkingDate = o.WorkingDate,
							Shift = o.Shift,
							NoInShift = o.NoInShift,
							SeqLineIn = o.SeqLineIn,
							CaseNo = o.CaseNo,
							SupplierNo = o.SupplierNo,
							UpTable = o.UpTable,
							IsNoPxpData = o.IsNoPxpData,
							UnpackingStartDatetime = o.UnpackingStartDatetime,
							UnpackingFinishDatetime = o.UnpackingFinishDatetime,
							UnpackingTime = o.UnpackingTime,
							UnpackingDate = o.UnpackingDate,
							UnpackingDatetime = o.UnpackingDatetime,
							UpLt = o.UpLt,
							Status = o.Status,
							DelaySecond = o.DelaySecond,
							DelayConfirmFlag = o.DelayConfirmFlag,
							WhLocation = o.WhLocation,
							InvoiceDate = o.InvoiceDate,
							Remarks = o.Remarks,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_dapperRepo.ExecuteAsync(LgwPupPxPUpPlanConsts.SP_MST_WPT_CALENDAR_GENERATE);
       // }
    }
}</v>
      </c>
      <c r="N47" s="62" t="str">
        <f>A.Backend!U7</f>
        <v xml:space="preserve">  configuration.CreateMap&lt;LgwPupPxPUpPlanDto, LgwPupPxPUpPlan&gt;();
  configuration.CreateMap&lt;LgwPupPxPUpPlan, LgwPupPxPUpPlanDto&gt;();
  configuration.CreateMap&lt;CreateOrEditLgwPupPxPUpPlanDto, LgwPupPxPUpPlan&gt;();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pxpupplan</v>
      </c>
      <c r="C52" s="72" t="str">
        <f>"create folder " &amp;B52</f>
        <v>create folder pxpupplan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pxpupplan.component.ts</v>
      </c>
      <c r="D53" s="31" t="str">
        <f>B.Frontend!I14</f>
        <v>pxpupplan.component.html</v>
      </c>
      <c r="E53" s="31" t="str">
        <f>B.Frontend!J14</f>
        <v>pxpupplan.component.less</v>
      </c>
      <c r="F53" s="31" t="str">
        <f>B.Frontend!K14</f>
        <v>create-or-edit-pxpupplan-modal.component.html</v>
      </c>
      <c r="G53" s="31" t="str">
        <f>B.Frontend!L14</f>
        <v>create-or-edit-pxpupplan-modal.component.ts</v>
      </c>
      <c r="H53" s="31" t="str">
        <f>B.Frontend!M14</f>
        <v>create-or-edit-pxpupplan-modal.component.less</v>
      </c>
      <c r="I53" s="31" t="str">
        <f>B.Frontend!N14</f>
        <v>pxpupplan.module.ts</v>
      </c>
      <c r="J53" s="31" t="str">
        <f>B.Frontend!O14</f>
        <v>pxpupplan-routing.module.ts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LgwPupPxPUpPlanDto, LgwPupPxPUpPlanServiceProxy } from '@shared/service-proxies/service-proxies';
import { finalize } from 'rxjs/internal/operators/finalize';
import { CreateOrEditPxPUpPlanModalComponent } from './create-or-edit-pxpupplan-modal.component';
import { DatePipe } from '@angular/common';
import { FileDownloadService } from '@shared/utils/file-download.service';
import ceil from 'lodash-es/ceil';
import { Paginator } from 'primeng/paginator';
@Component({
    templateUrl: './pxpupplan.component.html',
    styleUrls: ['./pxpupplan.component.less'],
})
export class PxPUpPlanComponent extends AppComponentBase implements OnInit {
    @ViewChild('createOrEditModalPxPUpPlan', { static: true }) createOrEditModalPxPUpPlan:| CreateOrEditPxPUpPlanModalComponent|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LgwPupPxPUpPlanDto = new LgwPupPxPUpPlanDto();
    saveSelectedRow: LgwPupPxPUpPlanDto = new LgwPupPxPUpPlanDto();
    datas: LgwPupPxPUpPlanDto = new LgwPupPxPUpPlanDto();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noInShift : number = 0 ;
	seqLineIn : number = 0 ;
	caseNo : string = '' ; 
	supplierNo : string = '' ; 
	upTable : string = '' ; 
	isNoPxpData : string = '' ; 
unpackingStartDatetime : any ;
	unpackingFinishDatetime : any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LgwPupPxPUpPlanServiceProxy,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this.l('Seq Line In'),headerTooltip: this.l('Seq Line In'),field: 'seqLineIn',flex: 1},
			{headerName: this.l('Case No'),headerTooltip: this.l('Case No'),field: 'caseNo',flex: 1},
			{headerName: this.l('Supplier No'),headerTooltip: this.l('Supplier No'),field: 'supplierNo',flex: 1},
			{headerName: this.l('Up Table'),headerTooltip: this.l('Up Table'),field: 'upTable',flex: 1},
			{headerName: this.l('Is No Pxp Data'),headerTooltip: this.l('Is No Pxp Data'),field: 'isNoPxpData',flex: 1},
			{headerName: this.l('Unpacking Start Datetime'),headerTooltip: this.l('Unpacking Start Datetime'),field: 'unpackingStartDatetime',valueGetter: (params) =&gt; this.pipe.transform(params.data?.unpackingStartDatetime, 'dd/MM/yyyy'),flex: 1},
			{headerName: this.l('Unpacking Finish Datetime'),headerTooltip: this.l('Unpacking Finish Datetime'),field: 'unpackingFinishDatetime',valueGetter: (params) =&gt; this.pipe.transform(params.data?.unpackingFinishDatetime, 'dd/MM/yyyy'),flex: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this.noInShift,
			this.seqLineIn,
			this.caseNo,
			this.supplierNo,
			this.upTable,
			this.isNoPxpData,
			this.unpackingStartDatetime,
			this.unpackingFinishDatetime,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this.noInShift = 0,
		this.seqLineIn = 0,
		this.caseNo = '',
		this.supplierNo = '',
		this.upTable = '',
		this.isNoPxpData = '',
this.unpackingStartDatetime = '',
		this.unpackingFinishDatetime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this.noInShift,
			this.seqLineIn,
			this.caseNo,
			this.supplierNo,
			this.upTable,
			this.isNoPxpData,
			this.unpackingStartDatetime,
			this.unpackingFinishDatetime,
			this.isActive,
			'',
            this.paginationParams.skipCount,
            this.paginationParams.pageSize
        );
    }
    onChangeRowSelection(params: { api: { getSelectedRows: () =&gt; LgwPupPxPUpPlanDto[] } }) {
        this.saveSelectedRow = params.api.getSelectedRows()[0] ?? new LgwPupPxPUpPlanDto();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LgwPupPxPUpPlanDto):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this._service.getPxPUpPlanToExcel(
			this.prodLine,
			this.workingDate,
			this.shift,
			this.noInShift,
			this.seqLineIn,
			this.caseNo,
			this.supplierNo,
			this.upTable,
			this.isNoPxpData,
			this.unpackingStartDatetime,
			this.unpackingFinishDatetime,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PXP Unpacking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[(ngModel)]='upTable' name='upTable'
									class='form-control' [placeholder]="l('Up Table')"
									type='text' (keyup.enter)='searchDatas()'&gt;
								&lt;/div&gt;
								&lt;div class='input-search'&gt;
									&lt;input [(ngModel)]='isNoPxpData' name='isNoPxpData'
									class='form-control' [placeholder]="l('Is No Pxp Data')"
									type='text' (keyup.enter)='searchDatas()'&gt;
								&lt;/div&gt;
								&lt;div class='input-search'&gt;
									&lt;input type='text' [placeholder]="l('Unpacking Start Datetime')" [(ngModel)]='unpackingStartDatetime' 
									name='unpackingStartDatetime'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Finish Datetime')" [(ngModel)]='unpackingFinishDatetime' 
									name='unpackingFinishDatetime'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(click)="createOrEditModalPxPUpPlan.show()"&gt;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(click)="createOrEditModalPxPUpPlan.show(selectedRow)"&gt;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&lt;create-or-edit-pxpupplan-modal
    #createOrEditModalPxPUpPlan
    (modalSave)="callBackDataGrid(dataParams)"
    (modalClose)="onChangeRowSelection(dataParams)"
&gt;
&lt;/create-or-edit-pxpupplan-modal&gt;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#createOrEditModalPxPUpPlan="bs-modal"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PxPUpPlan')}}&lt;/h3&gt;
                    &lt;h3 *ngIf="!rowdata.id"&gt;{{('Create New PxPUpPlan')}}&lt;/h3&gt;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title'&gt;Seq Line In&lt;/label&gt;
						&lt;input type='number' class='col-md-10 form-control input-text' name='SeqLineIn' [(ngModel)]='rowdata.seqLineIn'&gt;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title'&gt;Up Table&lt;/label&gt;
						&lt;input type='text' class='col-md-10 form-control input-text' name='UpTable' [(ngModel)]='rowdata.upTable'&gt;
					&lt;/div&gt;
					&lt;div class='col-md-12 form-group row'&gt;
						&lt;label class='col-md-2 form-control title'&gt;Is No Pxp Data&lt;/label&gt;
						&lt;input type='text' class='col-md-10 form-control input-text' name='IsNoPxpData' [(ngModel)]='rowdata.isNoPxpData'&gt;
					&lt;/div&gt;
					&lt;div class='col-md-12 form-group row'&gt;
						&lt;label class='col-md-2 form-control title'&gt;Unpacking Start Datetime&lt;/label&gt;
						&lt;input type='text' class='col-md-10 form-control input-text' name='unpackingStartDatetime' 
						#datepicker='bsDatepicker' [(ngModel)]='rowdata.unpackingStartDatetime'  bsDatepicker &gt;
					&lt;/div&gt;
					&lt;div class='col-md-12 form-group row'&gt;
						&lt;label class='col-md-2 form-control title'&gt;Unpacking Finish Datetime&lt;/label&gt;
						&lt;input type='text' class='col-md-10 form-control input-text' name='unpackingFinishDatetime' 
						#datepicker='bsDatepicker' [(ngModel)]='rowdata.unpackingFinishDatetime'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CreateOrEditLgwPupPxPUpPlanDto, LgwPupPxPUpPlanServiceProxy } from '@shared/service-proxies/service-proxies';
import { BsDatepickerDirective } from 'ngx-bootstrap/datepicker';
@Component({
    selector: 'create-or-edit-pxpupplan-modal',
    templateUrl: './create-or-edit-pxpupplan-modal.component.html',
    styleUrls: ['./create-or-edit-pxpupplan-modal.component.less']
    })
export class CreateOrEditPxPUpPlanModalComponent extends AppComponentBase {
    @ViewChild('createOrEditModalPxPUpPlan',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CreateOrEditLgwPupPxPUpPlanDto = new CreateOrEditLgwPupPxPUpPlanDto();
    active: boolean = false;
    saving: boolean = false;
    _isActive: boolean;
    constructor(
        injector: Injector,
        private _mstwptPxPUpPlanService: LgwPupPxPUpPlanServiceProxy,
    ) 
    {
        super(injector);
    }
    show(rowdata?: CreateOrEditLgwPupPxPUpPlanDto): void {
        if (!rowdata) this.rowdata = new CreateOrEditLgwPupPxPUpPlanDto();
        else this.rowdata = rowdata;
		const dateValue =  this.rowdata.workingDate ? new Date(this.rowdata.workingDate?.toString()) : new Date();
		this.datepicker?.bsValueChange.emit(dateValue);
		const dateValue =  this.rowdata.unpackingStartDatetime ? new Date(this.rowdata.unpackingStartDatetime?.toString()) : new Date();
		this.datepicker?.bsValueChange.emit(dateValue);
		const dateValue =  this.rowdata.unpackingFinishDatetime ? new Date(this.rowdata.unpackingFinishDatetime?.toString())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this._mstwptPxPUpPlanService.createOrEdit(this.rowdata)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PxPUpPlanRoutingModule } from './pxpupplan-routing.module';
import { PxPUpPlanComponent } from './pxpupplan.component';
import { CreateOrEditPxPUpPlanModalComponent } from './create-or-edit-pxpupplan-modal.component';
@NgModule({
    declarations: [
       PxPUpPlanComponent, 
        CreateOrEditPxPUpPlanModalComponent
    ],
    imports: [
        AppSharedModule, PxPUpPlanRoutingModule]
})
export class PxPUpPlanModule {}</v>
      </c>
      <c r="J54" s="49" t="str">
        <f>B.Frontend!O10</f>
        <v>import {NgModule} from '@angular/core';
import {RouterModule, Routes} from '@angular/router';
import { PxPUpPlanComponent } from './pxpupplan.component';
const routes: Routes = [{
    path: '',
    component: PxPUpPlanComponent,
    pathMatch: 'full'
}];
@NgModule({
    imports: [RouterModule.forChild(routes)],
    exports: [RouterModule],
})
export class PxPUpPlanRoutingModule {}</v>
      </c>
      <c r="K54" s="49" t="str">
        <f>B.Frontend!P10</f>
        <v xml:space="preserve"> new AppMenuItem("PxPUpPlan", "Pages.LogW.Pup.PxPUpPlan", "flaticon-book",   "/app/main/logw/pup/pxpupplan"),</v>
      </c>
      <c r="L54" s="50" t="str">
        <f>B.Frontend!Q10</f>
        <v>{
    path: 'logw/pup/pxpupplan',
    loadChildren: () =&gt; import('./logw/pup/pxpupplan/pxpupplan.module').then(m =&gt; m.PxPUpPlanModule),
    data: { permission: 'Pages.LogW.Pup.PxPUpPlan' }
},</v>
      </c>
      <c r="M54" s="48" t="str">
        <f>B.Frontend!R10</f>
        <v>ApiServiceProxies.LgwPupPxPUpPlanServiceProxy,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2"/>
  <sheetViews>
    <sheetView tabSelected="1" topLeftCell="A6" zoomScaleNormal="100" workbookViewId="0">
      <pane xSplit="1" topLeftCell="B1" activePane="topRight" state="frozen"/>
      <selection pane="topRight" activeCell="C26" sqref="C26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vovina.LogW.Pup.Dto;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315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313</v>
      </c>
      <c r="C3" s="10" t="s">
        <v>43</v>
      </c>
      <c r="D3" s="10" t="s">
        <v>44</v>
      </c>
      <c r="E3" s="10" t="s">
        <v>39</v>
      </c>
      <c r="F3" s="11" t="str">
        <f>"J"&amp;COUNTA($A:$A)</f>
        <v>J30</v>
      </c>
      <c r="G3" s="4" t="s">
        <v>57</v>
      </c>
      <c r="H3" s="10" t="str">
        <f>"I"&amp;COUNTA($A:$A)</f>
        <v>I30</v>
      </c>
      <c r="I3" s="10" t="str">
        <f>REPT(CHAR(9),2)&amp;"[Required]"&amp;"
"</f>
        <v xml:space="preserve">		[Required]
</v>
      </c>
      <c r="J3" s="11" t="str">
        <f>"L"&amp;COUNTA($A:$A)</f>
        <v>L30</v>
      </c>
      <c r="K3" s="5" t="s">
        <v>56</v>
      </c>
      <c r="L3" s="11" t="str">
        <f>"M"&amp;COUNTA($A:$A)</f>
        <v>M30</v>
      </c>
      <c r="M3" s="11" t="str">
        <f>"N"&amp;COUNTA($A:$A)</f>
        <v>N30</v>
      </c>
      <c r="N3" s="11" t="str">
        <f>"O"&amp;COUNTA($A:$A)</f>
        <v>O30</v>
      </c>
      <c r="O3" s="11" t="str">
        <f>"P"&amp;COUNTA($A:$A)</f>
        <v>P30</v>
      </c>
      <c r="Q3" s="11" t="str">
        <f>RIGHT(B2,(LEN(B2)-FIND(".",B2,1)))</f>
        <v>Pup</v>
      </c>
      <c r="R3" s="32" t="str">
        <f>REPT(CHAR(9),1)&amp;"public class "&amp;B3&amp;"ExportInput"&amp;C3</f>
        <v xml:space="preserve">	public class LgwPupPxPUpPlanExportInput{
</v>
      </c>
      <c r="S3" s="11" t="str">
        <f>"namespace "&amp;$B$6&amp;".Exporting
"&amp;$C$3</f>
        <v xml:space="preserve">namespace vovina.LogW.Pup.Exporting
{
</v>
      </c>
      <c r="T3" s="11" t="str">
        <f>"T"&amp;COUNTA($A:$A)</f>
        <v>T30</v>
      </c>
      <c r="V3" s="11" t="str">
        <f>"V"&amp;COUNTA($A:$A)</f>
        <v>V30</v>
      </c>
      <c r="W3" s="10" t="str">
        <f>"W"&amp;COUNTA($A:$A)</f>
        <v>W30</v>
      </c>
    </row>
    <row r="4" spans="1:23" s="11" customFormat="1" ht="33" customHeight="1" x14ac:dyDescent="0.25">
      <c r="A4" s="1" t="s">
        <v>237</v>
      </c>
      <c r="B4" s="64" t="s">
        <v>271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vovina.LogW.Pup</v>
      </c>
      <c r="C6" s="11" t="str">
        <f>"namespace "&amp;$B$6&amp;"
"&amp;$C$3</f>
        <v xml:space="preserve">namespace vovina.LogW.Pup
{
</v>
      </c>
      <c r="D6" s="11" t="str">
        <f>REPT(CHAR(9),1)&amp;"public class "&amp;B3&amp;G3&amp;REPT(CHAR(9),1)&amp;"
"&amp;REPT(CHAR(9),1)&amp;C3</f>
        <v xml:space="preserve">	public class LgwPupPxPUpPlan: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LgwPupPxPUpPlanConsts	
	{
</v>
      </c>
      <c r="F6" s="11" t="str">
        <f>REPT(CHAR(9),1)&amp;"public class "&amp;B3&amp;"Dto"&amp;K3&amp;REPT(CHAR(9),1)&amp;"
"&amp;REPT(CHAR(9),1)&amp;C3</f>
        <v xml:space="preserve">	public class LgwPupPxPUpPlanDto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CreateOrEditLgwPupPxPUpPlanDto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GetLgwPupPxPUpPlanInput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LgwPupPxPUpPlan</v>
      </c>
      <c r="C7" s="11" t="str">
        <f>REPT(CHAR(9),1)&amp;"[Table("""&amp;B7&amp;""")]"&amp;"
"</f>
        <v xml:space="preserve">	[Table("LgwPupPxPUpPlan")]
</v>
      </c>
      <c r="D7" s="11"/>
      <c r="E7" s="11"/>
      <c r="F7" s="11"/>
      <c r="G7" s="11"/>
      <c r="H7" s="11"/>
      <c r="I7" s="11"/>
      <c r="J7" s="6" t="str">
        <f ca="1">SUBSTITUTE(SUBSTITUTE((B1&amp;C6&amp;C7&amp;K32&amp;D6&amp;I32&amp;E3&amp;J32&amp;""&amp;REPT(CHAR(9),1)&amp;D3&amp;D3),"WorkingPattern",$Q$3),"Master",$B$4)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vovina.LogW.Pup
{
	[Table("LgwPupPxPUpPlan")]
	[Index(nameof(WorkingDate), Name="IX_LgwPupPxPUpPlan_WorkingDate")]
	[Index(nameof(Shift), Name="IX_LgwPupPxPUpPlan_Shift")]
	[Index(nameof(CaseNo), Name="IX_LgwPupPxPUpPlan_CaseNo")]
	[Index(nameof(UnpackingDate), Name="IX_LgwPupPxPUpPlan_UnpackingDate")]
	[Index(nameof(UnpackingDatetime), Name="IX_LgwPupPxPUpPlan_UnpackingDatetime")]
	[Index(nameof(Status), Name="IX_LgwPupPxPUpPlan_Status")]
	[Index(nameof(IsActive), Name="IX_LgwPupPxPUpPlan_IsActive")]	public class LgwPupPxPUpPlan: FullAuditedEntity&lt;long&gt;, IEntity&lt;long&gt;	
	{
		public const int MaxProdLineLength = 50;
		public const int MaxShiftLength = 50;
		public const int MaxCaseNoLength = 20;
		public const int MaxSupplierNoLength = 50;
		public const int MaxUpTableLength = 50;
		public const int MaxIsNoPxpDataLength = 20;
		public const int MaxUnpackingTimeLength = 50;
		public const int MaxWhLocationLength = 20;
		public const int MaxRemarksLength = 40;
		public const int MaxIsActiveLength = 1;
		[StringLength(MaxProdLineLength)]
		public virtual string ProdLine { get; set; }
		[Column(TypeName="date")]
		public virtual DateTime WorkingDate { get; set; }
		[StringLength(MaxShiftLength)]
		public virtual string Shift { get; set; }
		public virtual int NoInShift { get; set; }
		public virtual int SeqLineIn { get; set; }
		[StringLength(MaxCaseNoLength)]
		public virtual string CaseNo { get; set; }
		[StringLength(MaxSupplierNoLength)]
		public virtual string SupplierNo { get; set; }
		[StringLength(MaxUpTableLength)]
		public virtual string UpTable { get; set; }
		[StringLength(MaxIsNoPxpDataLength)]
		public virtual string IsNoPxpData { get; set; }
		[Column(TypeName="datetime2(7)")]
		public virtual DateTime UnpackingStartDatetime { get; set; }
		[Column(TypeName="datetime2(7)")]
		public virtual DateTime UnpackingFinishDatetime { get; set; }
		[StringLength(MaxUnpackingTimeLength)]
		public virtual string UnpackingTime { get; set; }
		[Column(TypeName="date")]
		public virtual DateTime UnpackingDate { get; set; }
		public virtual DateTime UnpackingDatetime { get; set; }
		public virtual int UpLt { get; set; }
		public virtual int Status { get; set; }
		public virtual int DelaySecond { get; set; }
		public virtual DateTime DelayConfirmFlag { get; set; }
		[StringLength(MaxWhLocationLength)]
		public virtual string WhLocation { get; set; }
		public virtual DateTime InvoiceDate { get; set; }
		[StringLength(MaxRemarksLength)]
		public virtual string Remarks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DbSet&lt;LgwPupPxPUpPlan&gt; LgwPupPxPUpPlans { get; set; }</v>
      </c>
      <c r="L7" t="str">
        <f ca="1">SUBSTITUTE(SUBSTITUTE((C6&amp;E6&amp;I32&amp;"
"&amp;REPT(CHAR(9),2)&amp;"// Define Store Name: Format SP_ + &lt;Store Name&gt; = &lt;Store Name&gt;
"&amp;E3&amp;REPT(CHAR(9),1)&amp;D3&amp;D3),"WorkingPattern",$Q$3),"Master",$B$4)</f>
        <v xml:space="preserve">namespace vovina.LogW.Pup
{
	public class LgwPupPxPUpPlanConsts	
	{
		public const int MaxProdLineLength = 50;
		public const int MaxShiftLength = 50;
		public const int MaxCaseNoLength = 20;
		public const int MaxSupplierNoLength = 50;
		public const int MaxUpTableLength = 50;
		public const int MaxIsNoPxpDataLength = 20;
		public const int MaxUnpackingTimeLength = 50;
		public const int MaxWhLocationLength = 20;
		public const int MaxRemarksLength = 40;
		public const int MaxIsActiveLength = 1;
		// Define Store Name: Format SP_ + &lt;Store Name&gt; = &lt;Store Name&gt;
	}
}
</v>
      </c>
      <c r="M7" t="str">
        <f ca="1">SUBSTITUTE(SUBSTITUTE((C1&amp;"namespace "&amp;B6&amp;".Dto"&amp;E3&amp;C3&amp;F6&amp;M32&amp;E3&amp;REPT(CHAR(9),1)&amp;D3&amp;G6&amp;N32&amp;REPT(CHAR(9),1)&amp;D3&amp;H6&amp;O32&amp;"
"&amp;REPT(CHAR(9),1)&amp;D3&amp;D3),"WorkingPattern",$Q$3),"Master",$B$4)</f>
        <v xml:space="preserve">using Abp.Application.Services.Dto;
using System;
using System.ComponentModel.DataAnnotations;
namespace vovina.LogW.Pup.Dto
{
	public class LgwPupPxPUpPlanDto : EntityDto&lt;long?&gt;	
	{
		public virtual string ProdLine { get; set; }
		public virtual DateTime? WorkingDate { get; set; }
		public virtual string Shift { get; set; }
		public virtual int NoInShift { get; set; }
		public virtual int SeqLineIn { get; set; }
		public virtual string CaseNo { get; set; }
		public virtual string SupplierNo { get; set; }
		public virtual string UpTable { get; set; }
		public virtual string IsNoPxpData { get; set; }
		public virtual DateTime? UnpackingStartDatetime { get; set; }
		public virtual DateTime? UnpackingFinishDatetime { get; set; }
		public virtual string UnpackingTime { get; set; }
		public virtual DateTime? UnpackingDate { get; set; }
		public virtual DateTime? UnpackingDatetime { get; set; }
		public virtual int UpLt { get; set; }
		public virtual int Status { get; set; }
		public virtual int DelaySecond { get; set; }
		public virtual DateTime? DelayConfirmFlag { get; set; }
		public virtual string WhLocation { get; set; }
		public virtual DateTime? InvoiceDate { get; set; }
		public virtual string Remarks { get; set; }
		public virtual string IsActive { get; set; }
	}
	public class CreateOrEditLgwPupPxPUpPlanDto : EntityDto&lt;long?&gt;	
	{
		[StringLength(LgwPupPxPUpPlanConsts.MaxProdLineLength)]
		public virtual string ProdLine { get; set; }
		public virtual DateTime? WorkingDate { get; set; }
		[StringLength(LgwPupPxPUpPlanConsts.MaxShiftLength)]
		public virtual string Shift { get; set; }
		public virtual int NoInShift { get; set; }
		public virtual int SeqLineIn { get; set; }
		[StringLength(LgwPupPxPUpPlanConsts.MaxCaseNoLength)]
		public virtual string CaseNo { get; set; }
		[StringLength(LgwPupPxPUpPlanConsts.MaxSupplierNoLength)]
		public virtual string SupplierNo { get; set; }
		[StringLength(LgwPupPxPUpPlanConsts.MaxUpTableLength)]
		public virtual string UpTable { get; set; }
		[StringLength(LgwPupPxPUpPlanConsts.MaxIsNoPxpDataLength)]
		public virtual string IsNoPxpData { get; set; }
		public virtual DateTime? UnpackingStartDatetime { get; set; }
		public virtual DateTime? UnpackingFinishDatetime { get; set; }
		[StringLength(LgwPupPxPUpPlanConsts.MaxUnpackingTimeLength)]
		public virtual string UnpackingTime { get; set; }
		public virtual DateTime? UnpackingDate { get; set; }
		public virtual DateTime? UnpackingDatetime { get; set; }
		public virtual int UpLt { get; set; }
		public virtual int Status { get; set; }
		public virtual int DelaySecond { get; set; }
		public virtual DateTime? DelayConfirmFlag { get; set; }
		[StringLength(LgwPupPxPUpPlanConsts.MaxWhLocationLength)]
		public virtual string WhLocation { get; set; }
		public virtual DateTime? InvoiceDate { get; set; }
		[StringLength(LgwPupPxPUpPlanConsts.MaxRemarksLength)]
		public virtual string Remarks { get; set; }
		[StringLength(LgwPupPxPUpPlanConsts.MaxIsActiveLength)]
		public virtual string IsActive { get; set; }
	}
	public class GetLgwPupPxPUpPlanInput : PagedAndSortedResultRequestDto	
	{
		public virtual string ProdLine { get; set; }
		public virtual DateTime? WorkingDate { get; set; }
		public virtual string Shift { get; set; }
		public virtual int NoInShift { get; set; }
		public virtual int SeqLineIn { get; set; }
		public virtual string CaseNo { get; set; }
		public virtual string SupplierNo { get; set; }
		public virtual string UpTable { get; set; }
		public virtual string IsNoPxpData { get; set; }
		public virtual DateTime? UnpackingStartDatetime { get; set; }
		public virtual DateTime? UnpackingFinishDatetime { get; set; }
		public virtual string UnpackingTime { get; set; }
		public virtual DateTime? UnpackingDate { get; set; }
		public virtual DateTime? UnpackingDatetime { get; set; }
		public virtual int UpLt { get; set; }
		public virtual int Status { get; set; }
		public virtual int DelaySecond { get; set; }
		public virtual DateTime? DelayConfirmFlag { get; set; }
		public virtual string WhLocation { get; set; }
		public virtual DateTime? InvoiceDate { get; set; }
		public virtual string Remarks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perLgwPupPxPUpPlan = PARENTS.CreateChildPermission(AppPermissions.Pages_LogW_Pup_PxPUpPlan, L( "LogWPupPxPUpPlan"));
		perLgwPupPxPUpPlan.CreateChildPermission(AppPermissions.Pages_LogW_Pup_PxPUpPlan_CreateEdit, L( "LogWPupPxPUpPlanCreateEdit"));
		perLgwPupPxPUpPlan.CreateChildPermission(AppPermissions.Pages_LogW_Pup_PxPUpPlan_Delete, L( "LogWPupPxPUpPlanDelete"));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Pages_LogW_Pup_PxPUpPlan = "Pages.LogW.Pup.PxPUpPlan";
		public const string Pages_LogW_Pup_PxPUpPlan_CreateEdit = "Pages.LogW.Pup.PxPUpPlan.CreateEdit";
		public const string Pages_LogW_Pup_PxPUpPlan_Delete = "Pages.LogW.Pup.PxPUpPlan.Delete";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vovina.LogW.Pup.Dto;
namespace vovina.LogW.Pup
{
	public interface ILgwPupPxPUpPlanAppService : IApplicationService
	{
		Task&lt;PagedResultDto&lt;LgwPupPxPUpPlanDto&gt;&gt; GetAll(GetLgwPupPxPUpPlanInput input);
		Task CreateOrEdit(CreateOrEditLgwPupPxPUpPlanDto input);
		Task Delete(EntityDto input);
	}
}
</v>
      </c>
      <c r="Q7" t="str">
        <f ca="1">SUBSTITUTE(SUBSTITUTE(SUBSTITUTE(SUBSTITUTE(SUBSTITUTE(SUBSTITUTE(E1,"MstWptCalendar",$B$3),"&lt;PROPERTIES&gt;",P32),"Calendar",$B$5),"WorkingPattern",$Q$3),"Master",$B$4),"&lt;PARAMS_SEARCH&gt;",$W$32)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vovina.LogW.Pup.Dto;
using vovina.LogW.Pup.Exporting;
namespace vovina.LogW.Pup
{
    [AbpAuthorize(AppPermissions.Pages_LogW_Pup_PxPUpPlan)]
    public class LgwPupPxPUpPlanAppService : vovinaAppServiceBase, ILgwPupPxPUpPlanAppService
    {
        private readonly IDapperRepository&lt;LgwPupPxPUpPlan, long&gt; _dapperRepo;
        private readonly IRepository&lt;LgwPupPxPUpPlan, long&gt; _repo;
        private readonly ILgwPupPxPUpPlanExcelExporter _calendarListExcelExporter;
        public LgwPupPxPUpPlanAppService(IRepository&lt;LgwPupPxPUpPlan,long&gt; repo, 
                                         IDapperRepository&lt;LgwPupPxPUpPlan,long&gt; dapperRepo,
                                        ILgwPupPxPUpPlanExcelExporter calendarListExcelExporter
            )
        {
            _repo = repo;
            _dapperRepo = dapperRepo;
            _calendarListExcelExporter = calendarListExcelExporter;
        }
        [AbpAuthorize(AppPermissions.Pages_LogW_Pup_PxPUpPlan_CreateEdit)]
        public async Task CreateOrEdit(CreateOrEditLgwPupPxPUpPlanDto input)
        {
            if (input.Id == null) await Create(input);
            else await Update(input);
        }
        //CREATE
        private async Task Create(CreateOrEditLgwPupPxPUpPlanDto input)
        {          
            var mainObj = ObjectMapper.Map&lt;LgwPupPxPUpPlan&gt;(input);
            await CurrentUnitOfWork.GetDbContext&lt;vovinaDbContext&gt;().AddAsync(mainObj);
        }
        // EDIT
        private async Task Update(CreateOrEditLgwPupPxPUpPlanDto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[AbpAuthorize(AppPermissions.Pages_LogW_Pup_PxPUpPlan_Delete)]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Task&lt;PagedResultDto&lt;LgwPupPxPUpPlanDto&gt;&gt; GetAll(GetLgwPupPxPUpPlanInput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.WhereIf(!string.IsNullOrWhiteSpace(input.CaseNo), e =&gt; e.CaseNo.Contains(input.CaseNo))
				.WhereIf(!string.IsNullOrWhiteSpace(input.SupplierNo), e =&gt; e.SupplierNo.Contains(input.SupplierNo))
				.WhereIf(!string.IsNullOrWhiteSpace(input.UpTable), e =&gt; e.UpTable.Contains(input.UpTable))
				.WhereIf(!string.IsNullOrWhiteSpace(input.IsNoPxpData), e =&gt; e.IsNoPxpData.Contains(input.IsNoPxpData))
				.WhereIf(input.UnpackingStartDatetime.HasValue, t =&gt; t.UnpackingStartDatetime == input.UnpackingStartDatetime.Value)
				.WhereIf(input.UnpackingFinishDatetime.HasValue, t =&gt; t.UnpackingFinishDatetime == input.UnpackingFinishDatetime.Value)
				.WhereIf(!string.IsNullOrWhiteSpace(input.UnpackingTime), e =&gt; e.UnpackingTime.Contains(input.UnpackingTime))
				.WhereIf(input.UnpackingDate.HasValue, t =&gt; t.UnpackingDate == input.UnpackingDate.Value)
				.WhereIf(input.UnpackingDatetime.HasValue, t =&gt; t.UnpackingDatetime == input.UnpackingDatetime.Value)
				.WhereIf(input.DelayConfirmFlag.HasValue, t =&gt; t.DelayConfirmFlag == input.DelayConfirmFlag.Value)
				.WhereIf(!string.IsNullOrWhiteSpace(input.WhLocation), e =&gt; e.WhLocation.Contains(input.WhLocation))
				.WhereIf(input.InvoiceDate.HasValue, t =&gt; t.InvoiceDate == input.InvoiceDate.Value)
				.WhereIf(!string.IsNullOrWhiteSpace(input.Remarks), e =&gt; e.Remarks.Contains(input.Remarks))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LgwPupPxPUpPlanDto
                        {
							Id = o.Id,
							ProdLine = o.ProdLine,
							WorkingDate = o.WorkingDate,
							Shift = o.Shift,
							NoInShift = o.NoInShift,
							SeqLineIn = o.SeqLineIn,
							CaseNo = o.CaseNo,
							SupplierNo = o.SupplierNo,
							UpTable = o.UpTable,
							IsNoPxpData = o.IsNoPxpData,
							UnpackingStartDatetime = o.UnpackingStartDatetime,
							UnpackingFinishDatetime = o.UnpackingFinishDatetime,
							UnpackingTime = o.UnpackingTime,
							UnpackingDate = o.UnpackingDate,
							UnpackingDatetime = o.UnpackingDatetime,
							UpLt = o.UpLt,
							Status = o.Status,
							DelaySecond = o.DelaySecond,
							DelayConfirmFlag = o.DelayConfirmFlag,
							WhLocation = o.WhLocation,
							InvoiceDate = o.InvoiceDate,
							Remarks = o.Remarks,
							IsActive = o.IsActive,
                        };
            var totalCount = await filtered.CountAsync();
			var paged = system.PageBy(input);
            return new PagedResultDto&lt;LgwPupPxPUpPlanDto&gt;(
                totalCount,
                 await paged.ToListAsync()
            );
        }
        public async Task&lt;FileDto&gt; GetPxPUpPlanToExcel(LgwPupPxPUpPlanExportInput input)
        {
            var query = from o in _repo.GetAll()
                        select new LgwPupPxPUpPlanDto
                        {
							Id = o.Id,
							ProdLine = o.ProdLine,
							WorkingDate = o.WorkingDate,
							Shift = o.Shift,
							NoInShift = o.NoInShift,
							SeqLineIn = o.SeqLineIn,
							CaseNo = o.CaseNo,
							SupplierNo = o.SupplierNo,
							UpTable = o.UpTable,
							IsNoPxpData = o.IsNoPxpData,
							UnpackingStartDatetime = o.UnpackingStartDatetime,
							UnpackingFinishDatetime = o.UnpackingFinishDatetime,
							UnpackingTime = o.UnpackingTime,
							UnpackingDate = o.UnpackingDate,
							UnpackingDatetime = o.UnpackingDatetime,
							UpLt = o.UpLt,
							Status = o.Status,
							DelaySecond = o.DelaySecond,
							DelayConfirmFlag = o.DelayConfirmFlag,
							WhLocation = o.WhLocation,
							InvoiceDate = o.InvoiceDate,
							Remarks = o.Remarks,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_dapperRepo.ExecuteAsync(LgwPupPxPUpPlanConsts.SP_MST_WPT_CALENDAR_GENERATE);
       // }
    }
}</v>
      </c>
      <c r="R7" t="str">
        <f ca="1">SUBSTITUTE(SUBSTITUTE((C1&amp;"namespace "&amp;B6&amp;".Dto"&amp;E3&amp;C3&amp;R3&amp;M32&amp;E3&amp;REPT(CHAR(9),1)&amp;D3&amp;D3),"WorkingPattern",$Q$3),"Master",$B$4)</f>
        <v xml:space="preserve">using Abp.Application.Services.Dto;
using System;
using System.ComponentModel.DataAnnotations;
namespace vovina.LogW.Pup.Dto
{
	public class LgwPupPxPUpPlanExportInput{
		public virtual string ProdLine { get; set; }
		public virtual DateTime? WorkingDate { get; set; }
		public virtual string Shift { get; set; }
		public virtual int NoInShift { get; set; }
		public virtual int SeqLineIn { get; set; }
		public virtual string CaseNo { get; set; }
		public virtual string SupplierNo { get; set; }
		public virtual string UpTable { get; set; }
		public virtual string IsNoPxpData { get; set; }
		public virtual DateTime? UnpackingStartDatetime { get; set; }
		public virtual DateTime? UnpackingFinishDatetime { get; set; }
		public virtual string UnpackingTime { get; set; }
		public virtual DateTime? UnpackingDate { get; set; }
		public virtual DateTime? UnpackingDatetime { get; set; }
		public virtual int UpLt { get; set; }
		public virtual int Status { get; set; }
		public virtual int DelaySecond { get; set; }
		public virtual DateTime? DelayConfirmFlag { get; set; }
		public virtual string WhLocation { get; set; }
		public virtual DateTime? InvoiceDate { get; set; }
		public virtual string Remarks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vovina.LogW.Pup.Dto;
namespace vovina.LogW.Pup.Exporting
{
	public interface ILgwPupPxPUpPlanExcelExporter : IApplicationService
	{
		FileDto ExportToFile(List&lt;LgwPupPxPUpPlanDto&gt; lgwpuppxpupplan);
	}
}
</v>
      </c>
      <c r="T7" s="28" t="str">
        <f ca="1">SUBSTITUTE(SUBSTITUTE(SUBSTITUTE(SUBSTITUTE(SUBSTITUTE(SUBSTITUTE(SUBSTITUTE(T1,"MstWptCalendar",$B$3),"&lt;PROPERTIES1&gt;",V32),"&lt;PROPERTIES&gt;",T32),"Calendar",$B$5),"calendar",LOWER(B5)),"WorkingPattern",$Q$3),"Master",$B$4)</f>
        <v>using System.Collections.Generic;
using vovina.DataExporting.Excel.NPOI;
using vovina.Dto;
using vovina.LogW.Pup.Exporting;
using vovina.LogW.Pup.Dto;
using vovina.Storage;
using vovina.LogW.Pup.Dto;
namespace vovina.LogW.Pup.Exporting
{
    public class LgwPupPxPUpPlanExcelExporter : NpoiExcelExporterBase, ILgwPupPxPUpPlanExcelExporter
    {
        public LgwPupPxPUpPlanExcelExporter(ITempFileCacheManager tempFileCacheManager) : base(tempFileCacheManager) { }
        public FileDto ExportToFile(List&lt;LgwPupPxPUpPlanDto&gt; pxpupplan)
        {
            return CreateExcelPackage(
				"LogWPupPxPUpPlan.xlsx",
				excelPackage =&gt;
				 {
					var sheet = excelPackage.CreateSheet("PxPUpPlan");
					AddHeader(
								sheet,
								("ProdLine"),
								("WorkingDate"),
								("Shift"),
								("NoInShift"),
								("SeqLineIn"),
								("CaseNo"),
								("SupplierNo"),
								("UpTable"),
								("IsNoPxpData"),
								("UnpackingStartDatetime"),
								("UnpackingFinishDatetime"),
								("UnpackingTime"),
								("UnpackingDate"),
								("UnpackingDatetime"),
								("UpLt"),
								("Status"),
								("DelaySecond"),
								("DelayConfirmFlag"),
								("WhLocation"),
								("InvoiceDate"),
								("Remarks"),
								("IsActive"),
							   );
					AddObjects(
						 sheet, 1, pxpupplan,                                       
								_ =&gt; _.ProdLine,
								_ =&gt; _.WorkingDate,
								_ =&gt; _.Shift,
								_ =&gt; _.NoInShift,
								_ =&gt; _.SeqLineIn,
								_ =&gt; _.CaseNo,
								_ =&gt; _.SupplierNo,
								_ =&gt; _.UpTable,
								_ =&gt; _.IsNoPxpData,
								_ =&gt; _.UnpackingStartDatetime,
								_ =&gt; _.UnpackingFinishDatetime,
								_ =&gt; _.UnpackingTime,
								_ =&gt; _.UnpackingDate,
								_ =&gt; _.UnpackingDatetime,
								_ =&gt; _.UpLt,
								_ =&gt; _.Status,
								_ =&gt; _.DelaySecond,
								_ =&gt; _.DelayConfirmFlag,
								_ =&gt; _.WhLocation,
								_ =&gt; _.InvoiceDate,
								_ =&gt; _.Remarks,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configuration.CreateMap&lt;LgwPupPxPUpPlanDto, LgwPupPxPUpPlan&gt;();
  configuration.CreateMap&lt;LgwPupPxPUpPlan, LgwPupPxPUpPlanDto&gt;();
  configuration.CreateMap&lt;CreateOrEditLgwPupPxPUpPlanDto, LgwPupPxPUpPlan&gt;();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305</v>
      </c>
      <c r="B9" t="s">
        <v>303</v>
      </c>
      <c r="C9" t="s">
        <v>1</v>
      </c>
      <c r="D9" t="str">
        <f>SUBSTITUTE(PROPER(A9),"_","")</f>
        <v>ProdLine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MaxProdLineLength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[StringLength(MaxProdLineLength)]
		public virtual string ProdLine { get; set; }
</v>
      </c>
      <c r="K9" s="7"/>
      <c r="L9" t="str">
        <f>IF(K9="","",REPT(CHAR(9),1)&amp;"[Index(nameof("&amp;IF(D9="","",""&amp;D9)&amp;")"&amp;", Name="&amp;"""IX_"&amp;$B$7&amp;"_"&amp;D9&amp;""")]")</f>
        <v/>
      </c>
      <c r="M9" t="str">
        <f>REPT(CHAR(9),2)&amp;"public virtual "&amp;IF(OR(H9="DateTime",H9="TimeSpan"),H9&amp;"?",H9)&amp;IF(C9="?","? "," ")&amp;D9&amp;" { get; set; }" &amp; "
"</f>
        <v xml:space="preserve">		public virtual string ProdLine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[StringLength(LgwPupPxPUpPlanConsts.MaxProdLineLength)]
		public virtual string ProdLine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ProdLine { get; set; }
</v>
      </c>
      <c r="P9" t="str">
        <f t="shared" ref="P9:P11" si="4">REPT(CHAR(9),7)&amp;D9&amp;" = o." &amp;D9 &amp;","</f>
        <v xml:space="preserve">							ProdLine = o.ProdLine,</v>
      </c>
      <c r="T9" s="69" t="str">
        <f>REPT(CHAR(9),8)&amp;"("""&amp;D9&amp;"""),"</f>
        <v xml:space="preserve">								("ProdLine"),</v>
      </c>
      <c r="V9" s="70" t="str">
        <f>REPT(CHAR(9),8)&amp;"_ =&gt; _."&amp;D9&amp;","</f>
        <v xml:space="preserve">								_ =&gt; _.ProdLine,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.WhereIf(!string.IsNullOrWhiteSpace(input.ProdLine), e =&gt; e.ProdLine.Contains(input.ProdLine))</v>
      </c>
    </row>
    <row r="10" spans="1:23" customFormat="1" ht="21" customHeight="1" x14ac:dyDescent="0.25">
      <c r="A10" t="s">
        <v>306</v>
      </c>
      <c r="B10" t="s">
        <v>2</v>
      </c>
      <c r="C10" t="s">
        <v>1</v>
      </c>
      <c r="D10" t="str">
        <f t="shared" ref="D10:D11" si="5">SUBSTITUTE(PROPER(A10),"_","")</f>
        <v>WorkingDate</v>
      </c>
      <c r="E10" t="str">
        <f t="shared" si="0"/>
        <v>date</v>
      </c>
      <c r="F10" s="7" t="s">
        <v>2</v>
      </c>
      <c r="G10" t="str">
        <f t="shared" si="1"/>
        <v/>
      </c>
      <c r="H10" t="str">
        <f>+VLOOKUP(E10,'Data Type Mapping'!A:B,2,)</f>
        <v>DateTime</v>
      </c>
      <c r="I10" t="str">
        <f t="shared" si="2"/>
        <v/>
      </c>
      <c r="J10" t="str">
        <f t="shared" si="3"/>
        <v xml:space="preserve">		[Column(TypeName="date")]
		public virtual DateTime WorkingDate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[Index(nameof(WorkingDate), Name="IX_LgwPupPxPUpPlan_WorkingDate")]</v>
      </c>
      <c r="M10" t="str">
        <f t="shared" ref="M10:M13" si="7">REPT(CHAR(9),2)&amp;"public virtual "&amp;IF(OR(H10="DateTime",H10="TimeSpan"),H10&amp;"?",H10)&amp;IF(C10="?","? "," ")&amp;D10&amp;" { get; set; }" &amp; "
"</f>
        <v xml:space="preserve">		public virtual DateTime? WorkingDate { get; set; }
</v>
      </c>
      <c r="N10" t="str">
        <f t="shared" ref="N10:N13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WorkingDate { get; set; }
</v>
      </c>
      <c r="O10" t="str">
        <f t="shared" ref="O10:O13" si="9">IF(OR(H10="string",H10="DateTime",H10="int"),REPT(CHAR(9),2)&amp;"public virtual "&amp;IF(OR(H10="DateTime",H10="TimeSpan"),H10&amp;"?",H10)&amp;IF(C10="?","? "," ")&amp;D10&amp;" { get; set; }"&amp;$E$3,"")</f>
        <v xml:space="preserve">		public virtual DateTime? WorkingDate { get; set; }
</v>
      </c>
      <c r="P10" t="str">
        <f t="shared" si="4"/>
        <v xml:space="preserve">							WorkingDate = o.WorkingDate,</v>
      </c>
      <c r="T10" s="69" t="str">
        <f t="shared" ref="T10:T13" si="10">REPT(CHAR(9),8)&amp;"("""&amp;D10&amp;"""),"</f>
        <v xml:space="preserve">								("WorkingDate"),</v>
      </c>
      <c r="V10" s="70" t="str">
        <f t="shared" ref="V10:V13" si="11">REPT(CHAR(9),8)&amp;"_ =&gt; _."&amp;D10&amp;","</f>
        <v xml:space="preserve">								_ =&gt; _.WorkingDate,</v>
      </c>
      <c r="W10" s="69" t="str">
        <f t="shared" ref="W10:W13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.WhereIf(input.WorkingDate.HasValue, t =&gt; t.WorkingDate == input.WorkingDate.Value)</v>
      </c>
    </row>
    <row r="11" spans="1:23" customFormat="1" ht="18.75" customHeight="1" x14ac:dyDescent="0.25">
      <c r="A11" t="s">
        <v>307</v>
      </c>
      <c r="B11" t="s">
        <v>303</v>
      </c>
      <c r="C11" t="s">
        <v>1</v>
      </c>
      <c r="D11" t="str">
        <f t="shared" si="5"/>
        <v>Shift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MaxShiftLength = 50;
</v>
      </c>
      <c r="J11" t="str">
        <f t="shared" si="3"/>
        <v xml:space="preserve">		[StringLength(MaxShiftLength)]
		public virtual string Shift { get; set; }
</v>
      </c>
      <c r="K11" s="7" t="s">
        <v>206</v>
      </c>
      <c r="L11" t="str">
        <f t="shared" si="6"/>
        <v xml:space="preserve">	[Index(nameof(Shift), Name="IX_LgwPupPxPUpPlan_Shift")]</v>
      </c>
      <c r="M11" t="str">
        <f t="shared" si="7"/>
        <v xml:space="preserve">		public virtual string Shift { get; set; }
</v>
      </c>
      <c r="N11" t="str">
        <f t="shared" si="8"/>
        <v xml:space="preserve">		[StringLength(LgwPupPxPUpPlanConsts.MaxShiftLength)]
		public virtual string Shift { get; set; }
</v>
      </c>
      <c r="O11" t="str">
        <f t="shared" si="9"/>
        <v xml:space="preserve">		public virtual string Shift { get; set; }
</v>
      </c>
      <c r="P11" t="str">
        <f t="shared" si="4"/>
        <v xml:space="preserve">							Shift = o.Shift,</v>
      </c>
      <c r="T11" s="69" t="str">
        <f t="shared" si="10"/>
        <v xml:space="preserve">								("Shift"),</v>
      </c>
      <c r="V11" s="70" t="str">
        <f t="shared" si="11"/>
        <v xml:space="preserve">								_ =&gt; _.Shift,</v>
      </c>
      <c r="W11" s="69" t="str">
        <f t="shared" si="12"/>
        <v xml:space="preserve">				.WhereIf(!string.IsNullOrWhiteSpace(input.Shift), e =&gt; e.Shift.Contains(input.Shift))</v>
      </c>
    </row>
    <row r="12" spans="1:23" customFormat="1" ht="22.5" customHeight="1" x14ac:dyDescent="0.25">
      <c r="A12" t="s">
        <v>308</v>
      </c>
      <c r="B12" t="s">
        <v>4</v>
      </c>
      <c r="C12" t="s">
        <v>1</v>
      </c>
      <c r="D12" t="str">
        <f>SUBSTITUTE(PROPER(A12),"_","")</f>
        <v>NoInShift</v>
      </c>
      <c r="E12" t="str">
        <f t="shared" ref="E12:E14" si="13">IFERROR(LEFT(B12, FIND("(",B12)-1),B12)</f>
        <v>int</v>
      </c>
      <c r="F12" s="7"/>
      <c r="G12" t="str">
        <f t="shared" ref="G12:G14" si="14">IFERROR(MID(B12,FIND("(",B12) +1, FIND(")",B12) - FIND("(",B12) - 1),"")</f>
        <v/>
      </c>
      <c r="H12" t="str">
        <f>+VLOOKUP(E12,'Data Type Mapping'!A:B,2,)</f>
        <v>int</v>
      </c>
      <c r="I12" t="str">
        <f t="shared" ref="I12:I14" si="15">IF(H12="string",REPT(CHAR(9),2)&amp;"public const int Max"&amp;D12&amp;"Length = "&amp;G12&amp;";"&amp;$E$3,"" )</f>
        <v/>
      </c>
      <c r="J12" t="str">
        <f t="shared" ref="J12:J14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 NoInShift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int NoInShift { get; set; }
</v>
      </c>
      <c r="N12" t="str">
        <f t="shared" si="8"/>
        <v xml:space="preserve">		public virtual int NoInShift { get; set; }
</v>
      </c>
      <c r="O12" t="str">
        <f t="shared" si="9"/>
        <v xml:space="preserve">		public virtual int NoInShift { get; set; }
</v>
      </c>
      <c r="P12" t="str">
        <f t="shared" ref="P12:P14" si="17">REPT(CHAR(9),7)&amp;D12&amp;" = o." &amp;D12 &amp;","</f>
        <v xml:space="preserve">							NoInShift = o.NoInShift,</v>
      </c>
      <c r="T12" s="69" t="str">
        <f t="shared" si="10"/>
        <v xml:space="preserve">								("NoInShift"),</v>
      </c>
      <c r="V12" s="70" t="str">
        <f t="shared" si="11"/>
        <v xml:space="preserve">								_ =&gt; _.NoInShift,</v>
      </c>
      <c r="W12" s="69" t="str">
        <f t="shared" si="12"/>
        <v/>
      </c>
    </row>
    <row r="13" spans="1:23" customFormat="1" ht="21" customHeight="1" x14ac:dyDescent="0.25">
      <c r="A13" t="s">
        <v>319</v>
      </c>
      <c r="B13" t="s">
        <v>4</v>
      </c>
      <c r="C13" t="s">
        <v>1</v>
      </c>
      <c r="D13" t="str">
        <f t="shared" ref="D13:D14" si="18">SUBSTITUTE(PROPER(A13),"_","")</f>
        <v>SeqLineIn</v>
      </c>
      <c r="E13" t="str">
        <f t="shared" si="13"/>
        <v>int</v>
      </c>
      <c r="F13" s="7"/>
      <c r="G13" t="str">
        <f t="shared" si="14"/>
        <v/>
      </c>
      <c r="H13" t="str">
        <f>+VLOOKUP(E13,'Data Type Mapping'!A:B,2,)</f>
        <v>int</v>
      </c>
      <c r="I13" t="str">
        <f t="shared" si="15"/>
        <v/>
      </c>
      <c r="J13" t="str">
        <f t="shared" si="16"/>
        <v xml:space="preserve">		public virtual int SeqLineIn { get; set; }
</v>
      </c>
      <c r="K13" s="7"/>
      <c r="L13" t="str">
        <f t="shared" ref="L13:L14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int SeqLineIn { get; set; }
</v>
      </c>
      <c r="N13" t="str">
        <f t="shared" si="8"/>
        <v xml:space="preserve">		public virtual int SeqLineIn { get; set; }
</v>
      </c>
      <c r="O13" t="str">
        <f t="shared" si="9"/>
        <v xml:space="preserve">		public virtual int SeqLineIn { get; set; }
</v>
      </c>
      <c r="P13" t="str">
        <f t="shared" si="17"/>
        <v xml:space="preserve">							SeqLineIn = o.SeqLineIn,</v>
      </c>
      <c r="T13" s="69" t="str">
        <f t="shared" si="10"/>
        <v xml:space="preserve">								("SeqLineIn"),</v>
      </c>
      <c r="V13" s="70" t="str">
        <f t="shared" si="11"/>
        <v xml:space="preserve">								_ =&gt; _.SeqLineIn,</v>
      </c>
      <c r="W13" s="69" t="str">
        <f t="shared" si="12"/>
        <v/>
      </c>
    </row>
    <row r="14" spans="1:23" customFormat="1" ht="18.75" customHeight="1" x14ac:dyDescent="0.25">
      <c r="A14" t="s">
        <v>316</v>
      </c>
      <c r="B14" t="s">
        <v>309</v>
      </c>
      <c r="C14" t="s">
        <v>1</v>
      </c>
      <c r="D14" t="str">
        <f t="shared" si="18"/>
        <v>CaseNo</v>
      </c>
      <c r="E14" t="str">
        <f t="shared" si="13"/>
        <v>varchar</v>
      </c>
      <c r="F14" s="7"/>
      <c r="G14" t="str">
        <f t="shared" si="14"/>
        <v>20</v>
      </c>
      <c r="H14" t="str">
        <f>+VLOOKUP(E14,'Data Type Mapping'!A:B,2,)</f>
        <v>string</v>
      </c>
      <c r="I14" t="str">
        <f t="shared" si="15"/>
        <v xml:space="preserve">		public const int MaxCaseNoLength = 20;
</v>
      </c>
      <c r="J14" t="str">
        <f t="shared" si="16"/>
        <v xml:space="preserve">		[StringLength(MaxCaseNoLength)]
		public virtual string CaseNo { get; set; }
</v>
      </c>
      <c r="K14" s="7" t="s">
        <v>206</v>
      </c>
      <c r="L14" t="str">
        <f t="shared" si="19"/>
        <v xml:space="preserve">	[Index(nameof(CaseNo), Name="IX_LgwPupPxPUpPlan_CaseNo")]</v>
      </c>
      <c r="M14" t="str">
        <f t="shared" ref="M14:M18" si="20">REPT(CHAR(9),2)&amp;"public virtual "&amp;IF(OR(H14="DateTime",H14="TimeSpan"),H14&amp;"?",H14)&amp;IF(C14="?","? "," ")&amp;D14&amp;" { get; set; }" &amp; "
"</f>
        <v xml:space="preserve">		public virtual string CaseNo { get; set; }
</v>
      </c>
      <c r="N14" t="str">
        <f t="shared" ref="N14:N18" si="21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[StringLength(LgwPupPxPUpPlanConsts.MaxCaseNoLength)]
		public virtual string CaseNo { get; set; }
</v>
      </c>
      <c r="O14" t="str">
        <f t="shared" ref="O14:O18" si="22">IF(OR(H14="string",H14="DateTime",H14="int"),REPT(CHAR(9),2)&amp;"public virtual "&amp;IF(OR(H14="DateTime",H14="TimeSpan"),H14&amp;"?",H14)&amp;IF(C14="?","? "," ")&amp;D14&amp;" { get; set; }"&amp;$E$3,"")</f>
        <v xml:space="preserve">		public virtual string CaseNo { get; set; }
</v>
      </c>
      <c r="P14" t="str">
        <f t="shared" si="17"/>
        <v xml:space="preserve">							CaseNo = o.CaseNo,</v>
      </c>
      <c r="T14" s="69" t="str">
        <f t="shared" ref="T14:T18" si="23">REPT(CHAR(9),8)&amp;"("""&amp;D14&amp;"""),"</f>
        <v xml:space="preserve">								("CaseNo"),</v>
      </c>
      <c r="V14" s="70" t="str">
        <f t="shared" ref="V14:V18" si="24">REPT(CHAR(9),8)&amp;"_ =&gt; _."&amp;D14&amp;","</f>
        <v xml:space="preserve">								_ =&gt; _.CaseNo,</v>
      </c>
      <c r="W14" s="69" t="str">
        <f t="shared" ref="W14:W18" si="2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.WhereIf(!string.IsNullOrWhiteSpace(input.CaseNo), e =&gt; e.CaseNo.Contains(input.CaseNo))</v>
      </c>
    </row>
    <row r="15" spans="1:23" customFormat="1" ht="22.5" customHeight="1" x14ac:dyDescent="0.25">
      <c r="A15" t="s">
        <v>301</v>
      </c>
      <c r="B15" t="s">
        <v>303</v>
      </c>
      <c r="C15" t="s">
        <v>1</v>
      </c>
      <c r="D15" t="str">
        <f>SUBSTITUTE(PROPER(A15),"_","")</f>
        <v>SupplierNo</v>
      </c>
      <c r="E15" t="str">
        <f t="shared" ref="E15:E18" si="26">IFERROR(LEFT(B15, FIND("(",B15)-1),B15)</f>
        <v>varchar</v>
      </c>
      <c r="F15" s="7"/>
      <c r="G15" t="str">
        <f t="shared" ref="G15:G18" si="27">IFERROR(MID(B15,FIND("(",B15) +1, FIND(")",B15) - FIND("(",B15) - 1),"")</f>
        <v>50</v>
      </c>
      <c r="H15" t="str">
        <f>+VLOOKUP(E15,'Data Type Mapping'!A:B,2,)</f>
        <v>string</v>
      </c>
      <c r="I15" t="str">
        <f t="shared" ref="I15:I18" si="28">IF(H15="string",REPT(CHAR(9),2)&amp;"public const int Max"&amp;D15&amp;"Length = "&amp;G15&amp;";"&amp;$E$3,"" )</f>
        <v xml:space="preserve">		public const int MaxSupplierNoLength = 50;
</v>
      </c>
      <c r="J15" t="str">
        <f t="shared" ref="J15:J18" si="29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[StringLength(MaxSupplierNoLength)]
		public virtual string SupplierNo { get; set; }
</v>
      </c>
      <c r="K15" s="7"/>
      <c r="L15" t="str">
        <f>IF(K15="","",REPT(CHAR(9),1)&amp;"[Index(nameof("&amp;IF(D15="","",""&amp;D15)&amp;")"&amp;", Name="&amp;"""IX_"&amp;$B$7&amp;"_"&amp;D15&amp;""")]")</f>
        <v/>
      </c>
      <c r="M15" t="str">
        <f t="shared" si="20"/>
        <v xml:space="preserve">		public virtual string SupplierNo { get; set; }
</v>
      </c>
      <c r="N15" t="str">
        <f t="shared" si="21"/>
        <v xml:space="preserve">		[StringLength(LgwPupPxPUpPlanConsts.MaxSupplierNoLength)]
		public virtual string SupplierNo { get; set; }
</v>
      </c>
      <c r="O15" t="str">
        <f t="shared" si="22"/>
        <v xml:space="preserve">		public virtual string SupplierNo { get; set; }
</v>
      </c>
      <c r="P15" t="str">
        <f t="shared" ref="P15:P18" si="30">REPT(CHAR(9),7)&amp;D15&amp;" = o." &amp;D15 &amp;","</f>
        <v xml:space="preserve">							SupplierNo = o.SupplierNo,</v>
      </c>
      <c r="T15" s="69" t="str">
        <f t="shared" si="23"/>
        <v xml:space="preserve">								("SupplierNo"),</v>
      </c>
      <c r="V15" s="70" t="str">
        <f t="shared" si="24"/>
        <v xml:space="preserve">								_ =&gt; _.SupplierNo,</v>
      </c>
      <c r="W15" s="69" t="str">
        <f t="shared" si="25"/>
        <v xml:space="preserve">				.WhereIf(!string.IsNullOrWhiteSpace(input.SupplierNo), e =&gt; e.SupplierNo.Contains(input.SupplierNo))</v>
      </c>
    </row>
    <row r="16" spans="1:23" customFormat="1" ht="22.5" customHeight="1" x14ac:dyDescent="0.25">
      <c r="A16" t="s">
        <v>317</v>
      </c>
      <c r="B16" t="s">
        <v>303</v>
      </c>
      <c r="C16" t="s">
        <v>1</v>
      </c>
      <c r="D16" t="str">
        <f>SUBSTITUTE(PROPER(A16),"_","")</f>
        <v>UpTable</v>
      </c>
      <c r="E16" t="str">
        <f t="shared" ref="E16" si="31">IFERROR(LEFT(B16, FIND("(",B16)-1),B16)</f>
        <v>varchar</v>
      </c>
      <c r="F16" s="7"/>
      <c r="G16" t="str">
        <f t="shared" ref="G16" si="32">IFERROR(MID(B16,FIND("(",B16) +1, FIND(")",B16) - FIND("(",B16) - 1),"")</f>
        <v>50</v>
      </c>
      <c r="H16" t="str">
        <f>+VLOOKUP(E16,'Data Type Mapping'!A:B,2,)</f>
        <v>string</v>
      </c>
      <c r="I16" t="str">
        <f t="shared" ref="I16" si="33">IF(H16="string",REPT(CHAR(9),2)&amp;"public const int Max"&amp;D16&amp;"Length = "&amp;G16&amp;";"&amp;$E$3,"" )</f>
        <v xml:space="preserve">		public const int MaxUpTableLength = 50;
</v>
      </c>
      <c r="J16" t="str">
        <f t="shared" ref="J16" si="34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[StringLength(MaxUpTableLength)]
		public virtual string UpTable { get; set; }
</v>
      </c>
      <c r="K16" s="7"/>
      <c r="L16" t="str">
        <f>IF(K16="","",REPT(CHAR(9),1)&amp;"[Index(nameof("&amp;IF(D16="","",""&amp;D16)&amp;")"&amp;", Name="&amp;"""IX_"&amp;$B$7&amp;"_"&amp;D16&amp;""")]")</f>
        <v/>
      </c>
      <c r="M16" t="str">
        <f t="shared" ref="M16" si="35">REPT(CHAR(9),2)&amp;"public virtual "&amp;IF(OR(H16="DateTime",H16="TimeSpan"),H16&amp;"?",H16)&amp;IF(C16="?","? "," ")&amp;D16&amp;" { get; set; }" &amp; "
"</f>
        <v xml:space="preserve">		public virtual string UpTable { get; set; }
</v>
      </c>
      <c r="N16" t="str">
        <f t="shared" ref="N16" si="3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[StringLength(LgwPupPxPUpPlanConsts.MaxUpTableLength)]
		public virtual string UpTable { get; set; }
</v>
      </c>
      <c r="O16" t="str">
        <f t="shared" ref="O16" si="37">IF(OR(H16="string",H16="DateTime",H16="int"),REPT(CHAR(9),2)&amp;"public virtual "&amp;IF(OR(H16="DateTime",H16="TimeSpan"),H16&amp;"?",H16)&amp;IF(C16="?","? "," ")&amp;D16&amp;" { get; set; }"&amp;$E$3,"")</f>
        <v xml:space="preserve">		public virtual string UpTable { get; set; }
</v>
      </c>
      <c r="P16" t="str">
        <f t="shared" ref="P16" si="38">REPT(CHAR(9),7)&amp;D16&amp;" = o." &amp;D16 &amp;","</f>
        <v xml:space="preserve">							UpTable = o.UpTable,</v>
      </c>
      <c r="T16" s="69" t="str">
        <f t="shared" ref="T16" si="39">REPT(CHAR(9),8)&amp;"("""&amp;D16&amp;"""),"</f>
        <v xml:space="preserve">								("UpTable"),</v>
      </c>
      <c r="V16" s="70" t="str">
        <f t="shared" ref="V16" si="40">REPT(CHAR(9),8)&amp;"_ =&gt; _."&amp;D16&amp;","</f>
        <v xml:space="preserve">								_ =&gt; _.UpTable,</v>
      </c>
      <c r="W16" s="69" t="str">
        <f t="shared" ref="W16" si="4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.WhereIf(!string.IsNullOrWhiteSpace(input.UpTable), e =&gt; e.UpTable.Contains(input.UpTable))</v>
      </c>
    </row>
    <row r="17" spans="1:23" customFormat="1" ht="22.5" customHeight="1" x14ac:dyDescent="0.25">
      <c r="A17" t="s">
        <v>318</v>
      </c>
      <c r="B17" t="s">
        <v>309</v>
      </c>
      <c r="C17" t="s">
        <v>1</v>
      </c>
      <c r="D17" t="str">
        <f>SUBSTITUTE(PROPER(A17),"_","")</f>
        <v>IsNoPxpData</v>
      </c>
      <c r="E17" t="str">
        <f t="shared" ref="E17" si="42">IFERROR(LEFT(B17, FIND("(",B17)-1),B17)</f>
        <v>varchar</v>
      </c>
      <c r="F17" s="7"/>
      <c r="G17" t="str">
        <f t="shared" ref="G17" si="43">IFERROR(MID(B17,FIND("(",B17) +1, FIND(")",B17) - FIND("(",B17) - 1),"")</f>
        <v>20</v>
      </c>
      <c r="H17" t="str">
        <f>+VLOOKUP(E17,'Data Type Mapping'!A:B,2,)</f>
        <v>string</v>
      </c>
      <c r="I17" t="str">
        <f t="shared" ref="I17" si="44">IF(H17="string",REPT(CHAR(9),2)&amp;"public const int Max"&amp;D17&amp;"Length = "&amp;G17&amp;";"&amp;$E$3,"" )</f>
        <v xml:space="preserve">		public const int MaxIsNoPxpDataLength = 20;
</v>
      </c>
      <c r="J17" t="str">
        <f t="shared" ref="J17" si="45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[StringLength(MaxIsNoPxpDataLength)]
		public virtual string IsNoPxpData { get; set; }
</v>
      </c>
      <c r="K17" s="7"/>
      <c r="L17" t="str">
        <f>IF(K17="","",REPT(CHAR(9),1)&amp;"[Index(nameof("&amp;IF(D17="","",""&amp;D17)&amp;")"&amp;", Name="&amp;"""IX_"&amp;$B$7&amp;"_"&amp;D17&amp;""")]")</f>
        <v/>
      </c>
      <c r="M17" t="str">
        <f t="shared" ref="M17" si="46">REPT(CHAR(9),2)&amp;"public virtual "&amp;IF(OR(H17="DateTime",H17="TimeSpan"),H17&amp;"?",H17)&amp;IF(C17="?","? "," ")&amp;D17&amp;" { get; set; }" &amp; "
"</f>
        <v xml:space="preserve">		public virtual string IsNoPxpData { get; set; }
</v>
      </c>
      <c r="N17" t="str">
        <f t="shared" ref="N17" si="47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[StringLength(LgwPupPxPUpPlanConsts.MaxIsNoPxpDataLength)]
		public virtual string IsNoPxpData { get; set; }
</v>
      </c>
      <c r="O17" t="str">
        <f t="shared" ref="O17" si="48">IF(OR(H17="string",H17="DateTime",H17="int"),REPT(CHAR(9),2)&amp;"public virtual "&amp;IF(OR(H17="DateTime",H17="TimeSpan"),H17&amp;"?",H17)&amp;IF(C17="?","? "," ")&amp;D17&amp;" { get; set; }"&amp;$E$3,"")</f>
        <v xml:space="preserve">		public virtual string IsNoPxpData { get; set; }
</v>
      </c>
      <c r="P17" t="str">
        <f t="shared" ref="P17" si="49">REPT(CHAR(9),7)&amp;D17&amp;" = o." &amp;D17 &amp;","</f>
        <v xml:space="preserve">							IsNoPxpData = o.IsNoPxpData,</v>
      </c>
      <c r="T17" s="69" t="str">
        <f t="shared" ref="T17" si="50">REPT(CHAR(9),8)&amp;"("""&amp;D17&amp;"""),"</f>
        <v xml:space="preserve">								("IsNoPxpData"),</v>
      </c>
      <c r="V17" s="70" t="str">
        <f t="shared" ref="V17" si="51">REPT(CHAR(9),8)&amp;"_ =&gt; _."&amp;D17&amp;","</f>
        <v xml:space="preserve">								_ =&gt; _.IsNoPxpData,</v>
      </c>
      <c r="W17" s="69" t="str">
        <f t="shared" ref="W17" si="52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.WhereIf(!string.IsNullOrWhiteSpace(input.IsNoPxpData), e =&gt; e.IsNoPxpData.Contains(input.IsNoPxpData))</v>
      </c>
    </row>
    <row r="18" spans="1:23" customFormat="1" ht="21" customHeight="1" x14ac:dyDescent="0.25">
      <c r="A18" t="s">
        <v>310</v>
      </c>
      <c r="B18" t="s">
        <v>304</v>
      </c>
      <c r="C18" t="s">
        <v>1</v>
      </c>
      <c r="D18" t="str">
        <f t="shared" ref="D18" si="53">SUBSTITUTE(PROPER(A18),"_","")</f>
        <v>UnpackingStartDatetime</v>
      </c>
      <c r="E18" t="str">
        <f t="shared" si="26"/>
        <v>datetime2</v>
      </c>
      <c r="F18" s="7" t="s">
        <v>304</v>
      </c>
      <c r="G18" t="str">
        <f t="shared" si="27"/>
        <v>7</v>
      </c>
      <c r="H18" t="str">
        <f>+VLOOKUP(E18,'Data Type Mapping'!A:B,2,)</f>
        <v>DateTime</v>
      </c>
      <c r="I18" t="str">
        <f t="shared" si="28"/>
        <v/>
      </c>
      <c r="J18" t="str">
        <f t="shared" si="29"/>
        <v xml:space="preserve">		[Column(TypeName="datetime2(7)")]
		public virtual DateTime UnpackingStartDatetime { get; set; }
</v>
      </c>
      <c r="K18" s="7"/>
      <c r="L18" t="str">
        <f t="shared" ref="L18" si="54">IF(K18="","",REPT(CHAR(9),1)&amp;"[Index(nameof("&amp;IF(D18="","",""&amp;D18)&amp;")"&amp;", Name="&amp;"""IX_"&amp;$B$7&amp;"_"&amp;D18&amp;""")]")</f>
        <v/>
      </c>
      <c r="M18" t="str">
        <f t="shared" si="20"/>
        <v xml:space="preserve">		public virtual DateTime? UnpackingStartDatetime { get; set; }
</v>
      </c>
      <c r="N18" t="str">
        <f t="shared" si="21"/>
        <v xml:space="preserve">		public virtual DateTime? UnpackingStartDatetime { get; set; }
</v>
      </c>
      <c r="O18" t="str">
        <f t="shared" si="22"/>
        <v xml:space="preserve">		public virtual DateTime? UnpackingStartDatetime { get; set; }
</v>
      </c>
      <c r="P18" t="str">
        <f t="shared" si="30"/>
        <v xml:space="preserve">							UnpackingStartDatetime = o.UnpackingStartDatetime,</v>
      </c>
      <c r="T18" s="69" t="str">
        <f t="shared" si="23"/>
        <v xml:space="preserve">								("UnpackingStartDatetime"),</v>
      </c>
      <c r="V18" s="70" t="str">
        <f t="shared" si="24"/>
        <v xml:space="preserve">								_ =&gt; _.UnpackingStartDatetime,</v>
      </c>
      <c r="W18" s="69" t="str">
        <f t="shared" si="25"/>
        <v xml:space="preserve">				.WhereIf(input.UnpackingStartDatetime.HasValue, t =&gt; t.UnpackingStartDatetime == input.UnpackingStartDatetime.Value)</v>
      </c>
    </row>
    <row r="19" spans="1:23" customFormat="1" ht="22.5" customHeight="1" x14ac:dyDescent="0.25">
      <c r="A19" t="s">
        <v>311</v>
      </c>
      <c r="B19" t="s">
        <v>304</v>
      </c>
      <c r="C19" t="s">
        <v>1</v>
      </c>
      <c r="D19" t="str">
        <f>SUBSTITUTE(PROPER(A19),"_","")</f>
        <v>UnpackingFinishDatetime</v>
      </c>
      <c r="E19" t="str">
        <f t="shared" ref="E19:E26" si="55">IFERROR(LEFT(B19, FIND("(",B19)-1),B19)</f>
        <v>datetime2</v>
      </c>
      <c r="F19" s="7" t="s">
        <v>304</v>
      </c>
      <c r="G19" t="str">
        <f t="shared" ref="G19:G26" si="56">IFERROR(MID(B19,FIND("(",B19) +1, FIND(")",B19) - FIND("(",B19) - 1),"")</f>
        <v>7</v>
      </c>
      <c r="H19" t="str">
        <f>+VLOOKUP(E19,'Data Type Mapping'!A:B,2,)</f>
        <v>DateTime</v>
      </c>
      <c r="I19" t="str">
        <f t="shared" ref="I19:I26" si="57">IF(H19="string",REPT(CHAR(9),2)&amp;"public const int Max"&amp;D19&amp;"Length = "&amp;G19&amp;";"&amp;$E$3,"" )</f>
        <v/>
      </c>
      <c r="J19" t="str">
        <f t="shared" ref="J19:J26" si="58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[Column(TypeName="datetime2(7)")]
		public virtual DateTime UnpackingFinishDatetime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 t="shared" ref="M19" si="59">REPT(CHAR(9),2)&amp;"public virtual "&amp;IF(OR(H19="DateTime",H19="TimeSpan"),H19&amp;"?",H19)&amp;IF(C19="?","? "," ")&amp;D19&amp;" { get; set; }" &amp; "
"</f>
        <v xml:space="preserve">		public virtual DateTime? UnpackingFinishDatetime { get; set; }
</v>
      </c>
      <c r="N19" t="str">
        <f t="shared" ref="N19" si="60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DateTime? UnpackingFinishDatetime { get; set; }
</v>
      </c>
      <c r="O19" t="str">
        <f t="shared" ref="O19" si="61">IF(OR(H19="string",H19="DateTime",H19="int"),REPT(CHAR(9),2)&amp;"public virtual "&amp;IF(OR(H19="DateTime",H19="TimeSpan"),H19&amp;"?",H19)&amp;IF(C19="?","? "," ")&amp;D19&amp;" { get; set; }"&amp;$E$3,"")</f>
        <v xml:space="preserve">		public virtual DateTime? UnpackingFinishDatetime { get; set; }
</v>
      </c>
      <c r="P19" t="str">
        <f t="shared" ref="P19:P26" si="62">REPT(CHAR(9),7)&amp;D19&amp;" = o." &amp;D19 &amp;","</f>
        <v xml:space="preserve">							UnpackingFinishDatetime = o.UnpackingFinishDatetime,</v>
      </c>
      <c r="T19" s="69" t="str">
        <f t="shared" ref="T19" si="63">REPT(CHAR(9),8)&amp;"("""&amp;D19&amp;"""),"</f>
        <v xml:space="preserve">								("UnpackingFinishDatetime"),</v>
      </c>
      <c r="V19" s="70" t="str">
        <f t="shared" ref="V19" si="64">REPT(CHAR(9),8)&amp;"_ =&gt; _."&amp;D19&amp;","</f>
        <v xml:space="preserve">								_ =&gt; _.UnpackingFinishDatetime,</v>
      </c>
      <c r="W19" s="69" t="str">
        <f t="shared" ref="W19" si="65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.WhereIf(input.UnpackingFinishDatetime.HasValue, t =&gt; t.UnpackingFinishDatetime == input.UnpackingFinishDatetime.Value)</v>
      </c>
    </row>
    <row r="20" spans="1:23" customFormat="1" ht="22.5" customHeight="1" x14ac:dyDescent="0.25">
      <c r="A20" s="5" t="s">
        <v>321</v>
      </c>
      <c r="B20" t="s">
        <v>303</v>
      </c>
      <c r="C20" t="s">
        <v>1</v>
      </c>
      <c r="D20" t="str">
        <f>SUBSTITUTE(PROPER(A20),"_","")</f>
        <v>UnpackingTime</v>
      </c>
      <c r="E20" t="str">
        <f t="shared" si="55"/>
        <v>varchar</v>
      </c>
      <c r="F20" s="7"/>
      <c r="G20" t="str">
        <f t="shared" si="56"/>
        <v>50</v>
      </c>
      <c r="H20" t="str">
        <f>+VLOOKUP(E20,'Data Type Mapping'!A:B,2,)</f>
        <v>string</v>
      </c>
      <c r="I20" t="str">
        <f t="shared" si="57"/>
        <v xml:space="preserve">		public const int MaxUnpackingTimeLength = 50;
</v>
      </c>
      <c r="J20" t="str">
        <f t="shared" si="58"/>
        <v xml:space="preserve">		[StringLength(MaxUnpackingTimeLength)]
		public virtual string UnpackingTime { get; set; }
</v>
      </c>
      <c r="K20" s="7"/>
      <c r="L20" t="str">
        <f>IF(K20="","",REPT(CHAR(9),1)&amp;"[Index(nameof("&amp;IF(D20="","",""&amp;D20)&amp;")"&amp;", Name="&amp;"""IX_"&amp;$B$7&amp;"_"&amp;D20&amp;""")]")</f>
        <v/>
      </c>
      <c r="M20" t="str">
        <f>REPT(CHAR(9),2)&amp;"public virtual "&amp;IF(OR(H20="DateTime",H20="TimeSpan"),H20&amp;"?",H20)&amp;IF(C20="?","? "," ")&amp;D20&amp;" { get; set; }" &amp; "
"</f>
        <v xml:space="preserve">		public virtual string UnpackingTime { get; set; }
</v>
      </c>
      <c r="N20" t="str">
        <f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[StringLength(LgwPupPxPUpPlanConsts.MaxUnpackingTimeLength)]
		public virtual string UnpackingTime { get; set; }
</v>
      </c>
      <c r="O20" t="str">
        <f>IF(OR(H20="string",H20="DateTime",H20="int"),REPT(CHAR(9),2)&amp;"public virtual "&amp;IF(OR(H20="DateTime",H20="TimeSpan"),H20&amp;"?",H20)&amp;IF(C20="?","? "," ")&amp;D20&amp;" { get; set; }"&amp;$E$3,"")</f>
        <v xml:space="preserve">		public virtual string UnpackingTime { get; set; }
</v>
      </c>
      <c r="P20" t="str">
        <f t="shared" si="62"/>
        <v xml:space="preserve">							UnpackingTime = o.UnpackingTime,</v>
      </c>
      <c r="T20" s="69" t="str">
        <f>REPT(CHAR(9),8)&amp;"("""&amp;D20&amp;"""),"</f>
        <v xml:space="preserve">								("UnpackingTime"),</v>
      </c>
      <c r="V20" s="70" t="str">
        <f>REPT(CHAR(9),8)&amp;"_ =&gt; _."&amp;D20&amp;","</f>
        <v xml:space="preserve">								_ =&gt; _.UnpackingTime,</v>
      </c>
      <c r="W20" s="69" t="str">
        <f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.WhereIf(!string.IsNullOrWhiteSpace(input.UnpackingTime), e =&gt; e.UnpackingTime.Contains(input.UnpackingTime))</v>
      </c>
    </row>
    <row r="21" spans="1:23" customFormat="1" ht="21" customHeight="1" x14ac:dyDescent="0.25">
      <c r="A21" s="5" t="s">
        <v>322</v>
      </c>
      <c r="B21" t="s">
        <v>2</v>
      </c>
      <c r="C21" t="s">
        <v>1</v>
      </c>
      <c r="D21" t="str">
        <f t="shared" ref="D21:D22" si="66">SUBSTITUTE(PROPER(A21),"_","")</f>
        <v>UnpackingDate</v>
      </c>
      <c r="E21" t="str">
        <f t="shared" si="55"/>
        <v>date</v>
      </c>
      <c r="F21" s="7" t="s">
        <v>2</v>
      </c>
      <c r="G21" t="str">
        <f t="shared" si="56"/>
        <v/>
      </c>
      <c r="H21" t="str">
        <f>+VLOOKUP(E21,'Data Type Mapping'!A:B,2,)</f>
        <v>DateTime</v>
      </c>
      <c r="I21" t="str">
        <f t="shared" si="57"/>
        <v/>
      </c>
      <c r="J21" t="str">
        <f t="shared" si="58"/>
        <v xml:space="preserve">		[Column(TypeName="date")]
		public virtual DateTime UnpackingDate { get; set; }
</v>
      </c>
      <c r="K21" s="7" t="s">
        <v>206</v>
      </c>
      <c r="L21" t="str">
        <f t="shared" ref="L21:L22" si="67">IF(K21="","",REPT(CHAR(9),1)&amp;"[Index(nameof("&amp;IF(D21="","",""&amp;D21)&amp;")"&amp;", Name="&amp;"""IX_"&amp;$B$7&amp;"_"&amp;D21&amp;""")]")</f>
        <v xml:space="preserve">	[Index(nameof(UnpackingDate), Name="IX_LgwPupPxPUpPlan_UnpackingDate")]</v>
      </c>
      <c r="M21" t="str">
        <f t="shared" ref="M21:M29" si="68">REPT(CHAR(9),2)&amp;"public virtual "&amp;IF(OR(H21="DateTime",H21="TimeSpan"),H21&amp;"?",H21)&amp;IF(C21="?","? "," ")&amp;D21&amp;" { get; set; }" &amp; "
"</f>
        <v xml:space="preserve">		public virtual DateTime? UnpackingDate { get; set; }
</v>
      </c>
      <c r="N21" t="str">
        <f t="shared" ref="N21:N29" si="69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DateTime? UnpackingDate { get; set; }
</v>
      </c>
      <c r="O21" t="str">
        <f t="shared" ref="O21:O29" si="70">IF(OR(H21="string",H21="DateTime",H21="int"),REPT(CHAR(9),2)&amp;"public virtual "&amp;IF(OR(H21="DateTime",H21="TimeSpan"),H21&amp;"?",H21)&amp;IF(C21="?","? "," ")&amp;D21&amp;" { get; set; }"&amp;$E$3,"")</f>
        <v xml:space="preserve">		public virtual DateTime? UnpackingDate { get; set; }
</v>
      </c>
      <c r="P21" t="str">
        <f t="shared" si="62"/>
        <v xml:space="preserve">							UnpackingDate = o.UnpackingDate,</v>
      </c>
      <c r="T21" s="69" t="str">
        <f t="shared" ref="T21:T29" si="71">REPT(CHAR(9),8)&amp;"("""&amp;D21&amp;"""),"</f>
        <v xml:space="preserve">								("UnpackingDate"),</v>
      </c>
      <c r="V21" s="70" t="str">
        <f t="shared" ref="V21:V29" si="72">REPT(CHAR(9),8)&amp;"_ =&gt; _."&amp;D21&amp;","</f>
        <v xml:space="preserve">								_ =&gt; _.UnpackingDate,</v>
      </c>
      <c r="W21" s="69" t="str">
        <f t="shared" ref="W21:W29" si="73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 xml:space="preserve">				.WhereIf(input.UnpackingDate.HasValue, t =&gt; t.UnpackingDate == input.UnpackingDate.Value)</v>
      </c>
    </row>
    <row r="22" spans="1:23" customFormat="1" ht="18.75" customHeight="1" x14ac:dyDescent="0.25">
      <c r="A22" s="5" t="s">
        <v>323</v>
      </c>
      <c r="B22" t="s">
        <v>3</v>
      </c>
      <c r="C22" t="s">
        <v>1</v>
      </c>
      <c r="D22" t="str">
        <f t="shared" si="66"/>
        <v>UnpackingDatetime</v>
      </c>
      <c r="E22" t="str">
        <f t="shared" si="55"/>
        <v>datetime</v>
      </c>
      <c r="F22" s="7"/>
      <c r="G22" t="str">
        <f t="shared" si="56"/>
        <v/>
      </c>
      <c r="H22" t="str">
        <f>+VLOOKUP(E22,'Data Type Mapping'!A:B,2,)</f>
        <v>DateTime</v>
      </c>
      <c r="I22" t="str">
        <f t="shared" si="57"/>
        <v/>
      </c>
      <c r="J22" t="str">
        <f t="shared" si="58"/>
        <v xml:space="preserve">		public virtual DateTime UnpackingDatetime { get; set; }
</v>
      </c>
      <c r="K22" s="7" t="s">
        <v>206</v>
      </c>
      <c r="L22" t="str">
        <f t="shared" si="67"/>
        <v xml:space="preserve">	[Index(nameof(UnpackingDatetime), Name="IX_LgwPupPxPUpPlan_UnpackingDatetime")]</v>
      </c>
      <c r="M22" t="str">
        <f t="shared" si="68"/>
        <v xml:space="preserve">		public virtual DateTime? UnpackingDatetime { get; set; }
</v>
      </c>
      <c r="N22" t="str">
        <f t="shared" si="69"/>
        <v xml:space="preserve">		public virtual DateTime? UnpackingDatetime { get; set; }
</v>
      </c>
      <c r="O22" t="str">
        <f t="shared" si="70"/>
        <v xml:space="preserve">		public virtual DateTime? UnpackingDatetime { get; set; }
</v>
      </c>
      <c r="P22" t="str">
        <f t="shared" si="62"/>
        <v xml:space="preserve">							UnpackingDatetime = o.UnpackingDatetime,</v>
      </c>
      <c r="T22" s="69" t="str">
        <f t="shared" si="71"/>
        <v xml:space="preserve">								("UnpackingDatetime"),</v>
      </c>
      <c r="V22" s="70" t="str">
        <f t="shared" si="72"/>
        <v xml:space="preserve">								_ =&gt; _.UnpackingDatetime,</v>
      </c>
      <c r="W22" s="69" t="str">
        <f t="shared" si="73"/>
        <v xml:space="preserve">				.WhereIf(input.UnpackingDatetime.HasValue, t =&gt; t.UnpackingDatetime == input.UnpackingDatetime.Value)</v>
      </c>
    </row>
    <row r="23" spans="1:23" customFormat="1" ht="22.5" customHeight="1" x14ac:dyDescent="0.25">
      <c r="A23" s="5" t="s">
        <v>324</v>
      </c>
      <c r="B23" t="s">
        <v>4</v>
      </c>
      <c r="C23" t="s">
        <v>1</v>
      </c>
      <c r="D23" t="str">
        <f>SUBSTITUTE(PROPER(A23),"_","")</f>
        <v>UpLt</v>
      </c>
      <c r="E23" t="str">
        <f t="shared" si="55"/>
        <v>int</v>
      </c>
      <c r="F23" s="7"/>
      <c r="G23" t="str">
        <f t="shared" si="56"/>
        <v/>
      </c>
      <c r="H23" t="str">
        <f>+VLOOKUP(E23,'Data Type Mapping'!A:B,2,)</f>
        <v>int</v>
      </c>
      <c r="I23" t="str">
        <f t="shared" si="57"/>
        <v/>
      </c>
      <c r="J23" t="str">
        <f t="shared" si="58"/>
        <v xml:space="preserve">		public virtual int UpLt { get; set; }
</v>
      </c>
      <c r="K23" s="7"/>
      <c r="L23" t="str">
        <f>IF(K23="","",REPT(CHAR(9),1)&amp;"[Index(nameof("&amp;IF(D23="","",""&amp;D23)&amp;")"&amp;", Name="&amp;"""IX_"&amp;$B$7&amp;"_"&amp;D23&amp;""")]")</f>
        <v/>
      </c>
      <c r="M23" t="str">
        <f t="shared" si="68"/>
        <v xml:space="preserve">		public virtual int UpLt { get; set; }
</v>
      </c>
      <c r="N23" t="str">
        <f t="shared" si="69"/>
        <v xml:space="preserve">		public virtual int UpLt { get; set; }
</v>
      </c>
      <c r="O23" t="str">
        <f t="shared" si="70"/>
        <v xml:space="preserve">		public virtual int UpLt { get; set; }
</v>
      </c>
      <c r="P23" t="str">
        <f t="shared" si="62"/>
        <v xml:space="preserve">							UpLt = o.UpLt,</v>
      </c>
      <c r="T23" s="69" t="str">
        <f t="shared" si="71"/>
        <v xml:space="preserve">								("UpLt"),</v>
      </c>
      <c r="V23" s="70" t="str">
        <f t="shared" si="72"/>
        <v xml:space="preserve">								_ =&gt; _.UpLt,</v>
      </c>
      <c r="W23" s="69" t="str">
        <f t="shared" si="73"/>
        <v/>
      </c>
    </row>
    <row r="24" spans="1:23" customFormat="1" ht="18.75" customHeight="1" x14ac:dyDescent="0.25">
      <c r="A24" s="5" t="s">
        <v>325</v>
      </c>
      <c r="B24" t="s">
        <v>4</v>
      </c>
      <c r="C24" t="s">
        <v>1</v>
      </c>
      <c r="D24" t="str">
        <f t="shared" ref="D24" si="74">SUBSTITUTE(PROPER(A24),"_","")</f>
        <v>Status</v>
      </c>
      <c r="E24" t="str">
        <f t="shared" ref="E24:E25" si="75">IFERROR(LEFT(B24, FIND("(",B24)-1),B24)</f>
        <v>int</v>
      </c>
      <c r="F24" s="7"/>
      <c r="G24" t="str">
        <f t="shared" ref="G24:G25" si="76">IFERROR(MID(B24,FIND("(",B24) +1, FIND(")",B24) - FIND("(",B24) - 1),"")</f>
        <v/>
      </c>
      <c r="H24" t="str">
        <f>+VLOOKUP(E24,'Data Type Mapping'!A:B,2,)</f>
        <v>int</v>
      </c>
      <c r="I24" t="str">
        <f t="shared" ref="I24:I25" si="77">IF(H24="string",REPT(CHAR(9),2)&amp;"public const int Max"&amp;D24&amp;"Length = "&amp;G24&amp;";"&amp;$E$3,"" )</f>
        <v/>
      </c>
      <c r="J24" t="str">
        <f t="shared" ref="J24:J25" si="78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int Status { get; set; }
</v>
      </c>
      <c r="K24" s="7" t="s">
        <v>206</v>
      </c>
      <c r="L24" t="str">
        <f t="shared" ref="L24" si="79">IF(K24="","",REPT(CHAR(9),1)&amp;"[Index(nameof("&amp;IF(D24="","",""&amp;D24)&amp;")"&amp;", Name="&amp;"""IX_"&amp;$B$7&amp;"_"&amp;D24&amp;""")]")</f>
        <v xml:space="preserve">	[Index(nameof(Status), Name="IX_LgwPupPxPUpPlan_Status")]</v>
      </c>
      <c r="M24" t="str">
        <f t="shared" ref="M24:M25" si="80">REPT(CHAR(9),2)&amp;"public virtual "&amp;IF(OR(H24="DateTime",H24="TimeSpan"),H24&amp;"?",H24)&amp;IF(C24="?","? "," ")&amp;D24&amp;" { get; set; }" &amp; "
"</f>
        <v xml:space="preserve">		public virtual int Status { get; set; }
</v>
      </c>
      <c r="N24" t="str">
        <f t="shared" ref="N24:N25" si="81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int Status { get; set; }
</v>
      </c>
      <c r="O24" t="str">
        <f t="shared" ref="O24:O25" si="82">IF(OR(H24="string",H24="DateTime",H24="int"),REPT(CHAR(9),2)&amp;"public virtual "&amp;IF(OR(H24="DateTime",H24="TimeSpan"),H24&amp;"?",H24)&amp;IF(C24="?","? "," ")&amp;D24&amp;" { get; set; }"&amp;$E$3,"")</f>
        <v xml:space="preserve">		public virtual int Status { get; set; }
</v>
      </c>
      <c r="P24" t="str">
        <f t="shared" ref="P24:P25" si="83">REPT(CHAR(9),7)&amp;D24&amp;" = o." &amp;D24 &amp;","</f>
        <v xml:space="preserve">							Status = o.Status,</v>
      </c>
      <c r="T24" s="69" t="str">
        <f t="shared" ref="T24:T25" si="84">REPT(CHAR(9),8)&amp;"("""&amp;D24&amp;"""),"</f>
        <v xml:space="preserve">								("Status"),</v>
      </c>
      <c r="V24" s="70" t="str">
        <f t="shared" ref="V24:V25" si="85">REPT(CHAR(9),8)&amp;"_ =&gt; _."&amp;D24&amp;","</f>
        <v xml:space="preserve">								_ =&gt; _.Status,</v>
      </c>
      <c r="W24" s="69" t="str">
        <f t="shared" ref="W24:W25" si="86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22.5" customHeight="1" x14ac:dyDescent="0.25">
      <c r="A25" s="5" t="s">
        <v>326</v>
      </c>
      <c r="B25" t="s">
        <v>4</v>
      </c>
      <c r="C25" t="s">
        <v>1</v>
      </c>
      <c r="D25" t="str">
        <f>SUBSTITUTE(PROPER(A25),"_","")</f>
        <v>DelaySecond</v>
      </c>
      <c r="E25" t="str">
        <f t="shared" si="75"/>
        <v>int</v>
      </c>
      <c r="F25" s="7"/>
      <c r="G25" t="str">
        <f t="shared" si="76"/>
        <v/>
      </c>
      <c r="H25" t="str">
        <f>+VLOOKUP(E25,'Data Type Mapping'!A:B,2,)</f>
        <v>int</v>
      </c>
      <c r="I25" t="str">
        <f t="shared" si="77"/>
        <v/>
      </c>
      <c r="J25" t="str">
        <f t="shared" si="78"/>
        <v xml:space="preserve">		public virtual int DelaySecond { get; set; }
</v>
      </c>
      <c r="K25" s="7"/>
      <c r="L25" t="str">
        <f>IF(K25="","",REPT(CHAR(9),1)&amp;"[Index(nameof("&amp;IF(D25="","",""&amp;D25)&amp;")"&amp;", Name="&amp;"""IX_"&amp;$B$7&amp;"_"&amp;D25&amp;""")]")</f>
        <v/>
      </c>
      <c r="M25" t="str">
        <f t="shared" si="80"/>
        <v xml:space="preserve">		public virtual int DelaySecond { get; set; }
</v>
      </c>
      <c r="N25" t="str">
        <f t="shared" si="81"/>
        <v xml:space="preserve">		public virtual int DelaySecond { get; set; }
</v>
      </c>
      <c r="O25" t="str">
        <f t="shared" si="82"/>
        <v xml:space="preserve">		public virtual int DelaySecond { get; set; }
</v>
      </c>
      <c r="P25" t="str">
        <f t="shared" si="83"/>
        <v xml:space="preserve">							DelaySecond = o.DelaySecond,</v>
      </c>
      <c r="T25" s="69" t="str">
        <f t="shared" si="84"/>
        <v xml:space="preserve">								("DelaySecond"),</v>
      </c>
      <c r="V25" s="70" t="str">
        <f t="shared" si="85"/>
        <v xml:space="preserve">								_ =&gt; _.DelaySecond,</v>
      </c>
      <c r="W25" s="69" t="str">
        <f t="shared" si="86"/>
        <v/>
      </c>
    </row>
    <row r="26" spans="1:23" customFormat="1" ht="22.5" customHeight="1" x14ac:dyDescent="0.25">
      <c r="A26" s="5" t="s">
        <v>327</v>
      </c>
      <c r="B26" t="s">
        <v>3</v>
      </c>
      <c r="C26" t="s">
        <v>1</v>
      </c>
      <c r="D26" t="str">
        <f>SUBSTITUTE(PROPER(A26),"_","")</f>
        <v>DelayConfirmFlag</v>
      </c>
      <c r="E26" t="str">
        <f t="shared" si="55"/>
        <v>datetime</v>
      </c>
      <c r="F26" s="7"/>
      <c r="G26" t="str">
        <f t="shared" si="56"/>
        <v/>
      </c>
      <c r="H26" t="str">
        <f>+VLOOKUP(E26,'Data Type Mapping'!A:B,2,)</f>
        <v>DateTime</v>
      </c>
      <c r="I26" t="str">
        <f t="shared" si="57"/>
        <v/>
      </c>
      <c r="J26" t="str">
        <f t="shared" si="58"/>
        <v xml:space="preserve">		public virtual DateTime DelayConfirmFlag { get; set; }
</v>
      </c>
      <c r="K26" s="7"/>
      <c r="L26" t="str">
        <f>IF(K26="","",REPT(CHAR(9),1)&amp;"[Index(nameof("&amp;IF(D26="","",""&amp;D26)&amp;")"&amp;", Name="&amp;"""IX_"&amp;$B$7&amp;"_"&amp;D26&amp;""")]")</f>
        <v/>
      </c>
      <c r="M26" t="str">
        <f t="shared" si="68"/>
        <v xml:space="preserve">		public virtual DateTime? DelayConfirmFlag { get; set; }
</v>
      </c>
      <c r="N26" t="str">
        <f t="shared" si="69"/>
        <v xml:space="preserve">		public virtual DateTime? DelayConfirmFlag { get; set; }
</v>
      </c>
      <c r="O26" t="str">
        <f t="shared" si="70"/>
        <v xml:space="preserve">		public virtual DateTime? DelayConfirmFlag { get; set; }
</v>
      </c>
      <c r="P26" t="str">
        <f t="shared" si="62"/>
        <v xml:space="preserve">							DelayConfirmFlag = o.DelayConfirmFlag,</v>
      </c>
      <c r="T26" s="69" t="str">
        <f t="shared" si="71"/>
        <v xml:space="preserve">								("DelayConfirmFlag"),</v>
      </c>
      <c r="V26" s="70" t="str">
        <f t="shared" si="72"/>
        <v xml:space="preserve">								_ =&gt; _.DelayConfirmFlag,</v>
      </c>
      <c r="W26" s="69" t="str">
        <f t="shared" si="73"/>
        <v xml:space="preserve">				.WhereIf(input.DelayConfirmFlag.HasValue, t =&gt; t.DelayConfirmFlag == input.DelayConfirmFlag.Value)</v>
      </c>
    </row>
    <row r="27" spans="1:23" customFormat="1" ht="22.5" customHeight="1" x14ac:dyDescent="0.25">
      <c r="A27" s="5" t="s">
        <v>328</v>
      </c>
      <c r="B27" t="s">
        <v>309</v>
      </c>
      <c r="C27" t="s">
        <v>1</v>
      </c>
      <c r="D27" t="str">
        <f>SUBSTITUTE(PROPER(A27),"_","")</f>
        <v>WhLocation</v>
      </c>
      <c r="E27" t="str">
        <f t="shared" ref="E27:E29" si="87">IFERROR(LEFT(B27, FIND("(",B27)-1),B27)</f>
        <v>varchar</v>
      </c>
      <c r="F27" s="7"/>
      <c r="G27" t="str">
        <f t="shared" ref="G27:G29" si="88">IFERROR(MID(B27,FIND("(",B27) +1, FIND(")",B27) - FIND("(",B27) - 1),"")</f>
        <v>20</v>
      </c>
      <c r="H27" t="str">
        <f>+VLOOKUP(E27,'Data Type Mapping'!A:B,2,)</f>
        <v>string</v>
      </c>
      <c r="I27" t="str">
        <f t="shared" ref="I27:I29" si="89">IF(H27="string",REPT(CHAR(9),2)&amp;"public const int Max"&amp;D27&amp;"Length = "&amp;G27&amp;";"&amp;$E$3,"" )</f>
        <v xml:space="preserve">		public const int MaxWhLocationLength = 20;
</v>
      </c>
      <c r="J27" t="str">
        <f t="shared" ref="J27:J29" si="90"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[StringLength(MaxWhLocationLength)]
		public virtual string WhLocation { get; set; }
</v>
      </c>
      <c r="K27" s="7"/>
      <c r="L27" t="str">
        <f>IF(K27="","",REPT(CHAR(9),1)&amp;"[Index(nameof("&amp;IF(D27="","",""&amp;D27)&amp;")"&amp;", Name="&amp;"""IX_"&amp;$B$7&amp;"_"&amp;D27&amp;""")]")</f>
        <v/>
      </c>
      <c r="M27" t="str">
        <f t="shared" si="68"/>
        <v xml:space="preserve">		public virtual string WhLocation { get; set; }
</v>
      </c>
      <c r="N27" t="str">
        <f t="shared" si="69"/>
        <v xml:space="preserve">		[StringLength(LgwPupPxPUpPlanConsts.MaxWhLocationLength)]
		public virtual string WhLocation { get; set; }
</v>
      </c>
      <c r="O27" t="str">
        <f t="shared" si="70"/>
        <v xml:space="preserve">		public virtual string WhLocation { get; set; }
</v>
      </c>
      <c r="P27" t="str">
        <f t="shared" ref="P27:P29" si="91">REPT(CHAR(9),7)&amp;D27&amp;" = o." &amp;D27 &amp;","</f>
        <v xml:space="preserve">							WhLocation = o.WhLocation,</v>
      </c>
      <c r="T27" s="69" t="str">
        <f t="shared" si="71"/>
        <v xml:space="preserve">								("WhLocation"),</v>
      </c>
      <c r="V27" s="70" t="str">
        <f t="shared" si="72"/>
        <v xml:space="preserve">								_ =&gt; _.WhLocation,</v>
      </c>
      <c r="W27" s="69" t="str">
        <f t="shared" si="73"/>
        <v xml:space="preserve">				.WhereIf(!string.IsNullOrWhiteSpace(input.WhLocation), e =&gt; e.WhLocation.Contains(input.WhLocation))</v>
      </c>
    </row>
    <row r="28" spans="1:23" customFormat="1" ht="22.5" customHeight="1" x14ac:dyDescent="0.25">
      <c r="A28" s="5" t="s">
        <v>329</v>
      </c>
      <c r="B28" t="s">
        <v>2</v>
      </c>
      <c r="C28" t="s">
        <v>1</v>
      </c>
      <c r="D28" t="str">
        <f>SUBSTITUTE(PROPER(A28),"_","")</f>
        <v>InvoiceDate</v>
      </c>
      <c r="E28" t="str">
        <f t="shared" si="87"/>
        <v>date</v>
      </c>
      <c r="F28" s="7"/>
      <c r="G28" t="str">
        <f t="shared" si="88"/>
        <v/>
      </c>
      <c r="H28" t="str">
        <f>+VLOOKUP(E28,'Data Type Mapping'!A:B,2,)</f>
        <v>DateTime</v>
      </c>
      <c r="I28" t="str">
        <f t="shared" si="89"/>
        <v/>
      </c>
      <c r="J28" t="str">
        <f t="shared" si="90"/>
        <v xml:space="preserve">		public virtual DateTime InvoiceDate { get; set; }
</v>
      </c>
      <c r="K28" s="7"/>
      <c r="L28" t="str">
        <f>IF(K28="","",REPT(CHAR(9),1)&amp;"[Index(nameof("&amp;IF(D28="","",""&amp;D28)&amp;")"&amp;", Name="&amp;"""IX_"&amp;$B$7&amp;"_"&amp;D28&amp;""")]")</f>
        <v/>
      </c>
      <c r="M28" t="str">
        <f t="shared" si="68"/>
        <v xml:space="preserve">		public virtual DateTime? InvoiceDate { get; set; }
</v>
      </c>
      <c r="N28" t="str">
        <f t="shared" si="69"/>
        <v xml:space="preserve">		public virtual DateTime? InvoiceDate { get; set; }
</v>
      </c>
      <c r="O28" t="str">
        <f t="shared" si="70"/>
        <v xml:space="preserve">		public virtual DateTime? InvoiceDate { get; set; }
</v>
      </c>
      <c r="P28" t="str">
        <f t="shared" si="91"/>
        <v xml:space="preserve">							InvoiceDate = o.InvoiceDate,</v>
      </c>
      <c r="T28" s="69" t="str">
        <f t="shared" si="71"/>
        <v xml:space="preserve">								("InvoiceDate"),</v>
      </c>
      <c r="V28" s="70" t="str">
        <f t="shared" si="72"/>
        <v xml:space="preserve">								_ =&gt; _.InvoiceDate,</v>
      </c>
      <c r="W28" s="69" t="str">
        <f t="shared" si="73"/>
        <v xml:space="preserve">				.WhereIf(input.InvoiceDate.HasValue, t =&gt; t.InvoiceDate == input.InvoiceDate.Value)</v>
      </c>
    </row>
    <row r="29" spans="1:23" customFormat="1" ht="22.5" customHeight="1" x14ac:dyDescent="0.25">
      <c r="A29" s="5" t="s">
        <v>330</v>
      </c>
      <c r="B29" t="s">
        <v>331</v>
      </c>
      <c r="C29" t="s">
        <v>1</v>
      </c>
      <c r="D29" t="str">
        <f>SUBSTITUTE(PROPER(A29),"_","")</f>
        <v>Remarks</v>
      </c>
      <c r="E29" t="str">
        <f t="shared" si="87"/>
        <v>varchar</v>
      </c>
      <c r="F29" s="7"/>
      <c r="G29" t="str">
        <f t="shared" si="88"/>
        <v>40</v>
      </c>
      <c r="H29" t="str">
        <f>+VLOOKUP(E29,'Data Type Mapping'!A:B,2,)</f>
        <v>string</v>
      </c>
      <c r="I29" t="str">
        <f t="shared" si="89"/>
        <v xml:space="preserve">		public const int MaxRemarksLength = 40;
</v>
      </c>
      <c r="J29" t="str">
        <f t="shared" si="90"/>
        <v xml:space="preserve">		[StringLength(MaxRemarksLength)]
		public virtual string Remarks { get; set; }
</v>
      </c>
      <c r="K29" s="7"/>
      <c r="L29" t="str">
        <f>IF(K29="","",REPT(CHAR(9),1)&amp;"[Index(nameof("&amp;IF(D29="","",""&amp;D29)&amp;")"&amp;", Name="&amp;"""IX_"&amp;$B$7&amp;"_"&amp;D29&amp;""")]")</f>
        <v/>
      </c>
      <c r="M29" t="str">
        <f t="shared" si="68"/>
        <v xml:space="preserve">		public virtual string Remarks { get; set; }
</v>
      </c>
      <c r="N29" t="str">
        <f t="shared" si="69"/>
        <v xml:space="preserve">		[StringLength(LgwPupPxPUpPlanConsts.MaxRemarksLength)]
		public virtual string Remarks { get; set; }
</v>
      </c>
      <c r="O29" t="str">
        <f t="shared" si="70"/>
        <v xml:space="preserve">		public virtual string Remarks { get; set; }
</v>
      </c>
      <c r="P29" t="str">
        <f t="shared" si="91"/>
        <v xml:space="preserve">							Remarks = o.Remarks,</v>
      </c>
      <c r="T29" s="69" t="str">
        <f t="shared" si="71"/>
        <v xml:space="preserve">								("Remarks"),</v>
      </c>
      <c r="V29" s="70" t="str">
        <f t="shared" si="72"/>
        <v xml:space="preserve">								_ =&gt; _.Remarks,</v>
      </c>
      <c r="W29" s="69" t="str">
        <f t="shared" si="73"/>
        <v xml:space="preserve">				.WhereIf(!string.IsNullOrWhiteSpace(input.Remarks), e =&gt; e.Remarks.Contains(input.Remarks))</v>
      </c>
    </row>
    <row r="30" spans="1:23" customFormat="1" ht="21" customHeight="1" x14ac:dyDescent="0.25">
      <c r="A30" t="s">
        <v>302</v>
      </c>
      <c r="B30" t="s">
        <v>312</v>
      </c>
      <c r="C30" t="s">
        <v>1</v>
      </c>
      <c r="D30" t="str">
        <f t="shared" ref="D30" si="92">SUBSTITUTE(PROPER(A30),"_","")</f>
        <v>IsActive</v>
      </c>
      <c r="E30" t="str">
        <f t="shared" ref="E30" si="93">IFERROR(LEFT(B30, FIND("(",B30)-1),B30)</f>
        <v>varchar</v>
      </c>
      <c r="F30" s="7"/>
      <c r="G30" t="str">
        <f t="shared" ref="G30" si="94">IFERROR(MID(B30,FIND("(",B30) +1, FIND(")",B30) - FIND("(",B30) - 1),"")</f>
        <v>1</v>
      </c>
      <c r="H30" t="str">
        <f>+VLOOKUP(E30,'Data Type Mapping'!A:B,2,)</f>
        <v>string</v>
      </c>
      <c r="I30" t="str">
        <f t="shared" ref="I30" si="95">IF(H30="string",REPT(CHAR(9),2)&amp;"public const int Max"&amp;D30&amp;"Length = "&amp;G30&amp;";"&amp;$E$3,"" )</f>
        <v xml:space="preserve">		public const int MaxIsActiveLength = 1;
</v>
      </c>
      <c r="J30" t="str">
        <f t="shared" ref="J30" si="96">IF(F30="","",REPT(CHAR(9),2)&amp;"[Column(TypeName="""&amp;F30&amp;""")]"&amp;$E$3)&amp;IF(C30="Checked","",$I$3)&amp;IF(H30="string",REPT(CHAR(9),2)&amp;"[StringLength(Max"&amp;D30&amp;"Length"&amp;")]"&amp;$E$3,"")&amp;REPT(CHAR(9),2)&amp;"public virtual "&amp;H30&amp;IF(C30="?","? "," ")&amp;D30&amp;" { get; set; }" &amp; "
"</f>
        <v xml:space="preserve">		[StringLength(MaxIsActiveLength)]
		public virtual string IsActive { get; set; }
</v>
      </c>
      <c r="K30" s="7" t="s">
        <v>206</v>
      </c>
      <c r="L30" t="str">
        <f t="shared" ref="L30" si="97">IF(K30="","",REPT(CHAR(9),1)&amp;"[Index(nameof("&amp;IF(D30="","",""&amp;D30)&amp;")"&amp;", Name="&amp;"""IX_"&amp;$B$7&amp;"_"&amp;D30&amp;""")]")</f>
        <v xml:space="preserve">	[Index(nameof(IsActive), Name="IX_LgwPupPxPUpPlan_IsActive")]</v>
      </c>
      <c r="M30" t="str">
        <f t="shared" ref="M30" si="98">REPT(CHAR(9),2)&amp;"public virtual "&amp;IF(OR(H30="DateTime",H30="TimeSpan"),H30&amp;"?",H30)&amp;IF(C30="?","? "," ")&amp;D30&amp;" { get; set; }" &amp; "
"</f>
        <v xml:space="preserve">		public virtual string IsActive { get; set; }
</v>
      </c>
      <c r="N30" t="str">
        <f t="shared" ref="N30" si="99">IF(C30="Checked","",$I$3)&amp;IF(H30="string",REPT(CHAR(9),2)&amp;"[StringLength("&amp;$B$3&amp;"Consts.Max"&amp;D30&amp;"Length"&amp;")]"&amp;$E$3,"")&amp;REPT(CHAR(9),2)&amp;"public virtual "&amp;IF(OR(H30="DateTime",H30="TimeSpan"),H30&amp;"?",H30)&amp;IF(C30="?","? "," ")&amp;D30&amp;" { get; set; }" &amp; "
"</f>
        <v xml:space="preserve">		[StringLength(LgwPupPxPUpPlanConsts.MaxIsActiveLength)]
		public virtual string IsActive { get; set; }
</v>
      </c>
      <c r="O30" t="str">
        <f t="shared" ref="O30" si="100">IF(OR(H30="string",H30="DateTime",H30="int"),REPT(CHAR(9),2)&amp;"public virtual "&amp;IF(OR(H30="DateTime",H30="TimeSpan"),H30&amp;"?",H30)&amp;IF(C30="?","? "," ")&amp;D30&amp;" { get; set; }"&amp;$E$3,"")</f>
        <v xml:space="preserve">		public virtual string IsActive { get; set; }
</v>
      </c>
      <c r="P30" t="str">
        <f t="shared" ref="P30" si="101">REPT(CHAR(9),7)&amp;D30&amp;" = o." &amp;D30 &amp;","</f>
        <v xml:space="preserve">							IsActive = o.IsActive,</v>
      </c>
      <c r="T30" s="69" t="str">
        <f t="shared" ref="T30" si="102">REPT(CHAR(9),8)&amp;"("""&amp;D30&amp;"""),"</f>
        <v xml:space="preserve">								("IsActive"),</v>
      </c>
      <c r="V30" s="70" t="str">
        <f t="shared" ref="V30" si="103">REPT(CHAR(9),8)&amp;"_ =&gt; _."&amp;D30&amp;","</f>
        <v xml:space="preserve">								_ =&gt; _.IsActive,</v>
      </c>
      <c r="W30" s="69" t="str">
        <f t="shared" ref="W30" si="104">IF(H30="string",REPT(CHAR(9),4)&amp;".WhereIf(!string.IsNullOrWhiteSpace(input."&amp;D30&amp;"), e =&gt; e."&amp;D30&amp;".Contains(input."&amp;D30&amp;"))",IF(H30="DateTime",REPT(CHAR(9),4)&amp;".WhereIf(input."&amp;D30&amp;".HasValue, t =&gt; t."&amp;D30&amp;" == input."&amp;D30&amp;".Value)",""))</f>
        <v xml:space="preserve">				.WhereIf(!string.IsNullOrWhiteSpace(input.IsActive), e =&gt; e.IsActive.Contains(input.IsActive))</v>
      </c>
    </row>
    <row r="32" spans="1:23" ht="45.75" customHeight="1" x14ac:dyDescent="0.25">
      <c r="H32" s="12"/>
      <c r="I32" s="34" t="str">
        <f ca="1">TEXTJOIN2("
", TRUE,INDIRECT( $H$1):INDIRECT( $H$3))</f>
        <v xml:space="preserve">		public const int MaxProdLineLength = 50;
		public const int MaxShiftLength = 50;
		public const int MaxCaseNoLength = 20;
		public const int MaxSupplierNoLength = 50;
		public const int MaxUpTableLength = 50;
		public const int MaxIsNoPxpDataLength = 20;
		public const int MaxUnpackingTimeLength = 50;
		public const int MaxWhLocationLength = 20;
		public const int MaxRemarksLength = 40;
		public const int MaxIsActiveLength = 1;
</v>
      </c>
      <c r="J32" s="33" t="str">
        <f ca="1">TEXTJOIN2("
", TRUE,INDIRECT( $F$1):INDIRECT( $F$3))</f>
        <v xml:space="preserve">		[StringLength(MaxProdLineLength)]
		public virtual string ProdLine { get; set; }
		[Column(TypeName="date")]
		public virtual DateTime WorkingDate { get; set; }
		[StringLength(MaxShiftLength)]
		public virtual string Shift { get; set; }
		public virtual int NoInShift { get; set; }
		public virtual int SeqLineIn { get; set; }
		[StringLength(MaxCaseNoLength)]
		public virtual string CaseNo { get; set; }
		[StringLength(MaxSupplierNoLength)]
		public virtual string SupplierNo { get; set; }
		[StringLength(MaxUpTableLength)]
		public virtual string UpTable { get; set; }
		[StringLength(MaxIsNoPxpDataLength)]
		public virtual string IsNoPxpData { get; set; }
		[Column(TypeName="datetime2(7)")]
		public virtual DateTime UnpackingStartDatetime { get; set; }
		[Column(TypeName="datetime2(7)")]
		public virtual DateTime UnpackingFinishDatetime { get; set; }
		[StringLength(MaxUnpackingTimeLength)]
		public virtual string UnpackingTime { get; set; }
		[Column(TypeName="date")]
		public virtual DateTime UnpackingDate { get; set; }
		public virtual DateTime UnpackingDatetime { get; set; }
		public virtual int UpLt { get; set; }
		public virtual int Status { get; set; }
		public virtual int DelaySecond { get; set; }
		public virtual DateTime DelayConfirmFlag { get; set; }
		[StringLength(MaxWhLocationLength)]
		public virtual string WhLocation { get; set; }
		public virtual DateTime InvoiceDate { get; set; }
		[StringLength(MaxRemarksLength)]
		public virtual string Remarks { get; set; }
		[StringLength(MaxIsActiveLength)]
		public virtual string IsActive { get; set; }
</v>
      </c>
      <c r="K32" s="35" t="str">
        <f ca="1">TEXTJOIN2("
", TRUE,INDIRECT( $J$1):INDIRECT( $J$3))</f>
        <v xml:space="preserve">	[Index(nameof(WorkingDate), Name="IX_LgwPupPxPUpPlan_WorkingDate")]
	[Index(nameof(Shift), Name="IX_LgwPupPxPUpPlan_Shift")]
	[Index(nameof(CaseNo), Name="IX_LgwPupPxPUpPlan_CaseNo")]
	[Index(nameof(UnpackingDate), Name="IX_LgwPupPxPUpPlan_UnpackingDate")]
	[Index(nameof(UnpackingDatetime), Name="IX_LgwPupPxPUpPlan_UnpackingDatetime")]
	[Index(nameof(Status), Name="IX_LgwPupPxPUpPlan_Status")]
	[Index(nameof(IsActive), Name="IX_LgwPupPxPUpPlan_IsActive")]</v>
      </c>
      <c r="L32" s="13" t="s">
        <v>60</v>
      </c>
      <c r="M32" s="36" t="str">
        <f ca="1">TEXTJOIN2("
",TRUE,INDIRECT( $L$1):INDIRECT($L$3))</f>
        <v xml:space="preserve">		public virtual string ProdLine { get; set; }
		public virtual DateTime? WorkingDate { get; set; }
		public virtual string Shift { get; set; }
		public virtual int NoInShift { get; set; }
		public virtual int SeqLineIn { get; set; }
		public virtual string CaseNo { get; set; }
		public virtual string SupplierNo { get; set; }
		public virtual string UpTable { get; set; }
		public virtual string IsNoPxpData { get; set; }
		public virtual DateTime? UnpackingStartDatetime { get; set; }
		public virtual DateTime? UnpackingFinishDatetime { get; set; }
		public virtual string UnpackingTime { get; set; }
		public virtual DateTime? UnpackingDate { get; set; }
		public virtual DateTime? UnpackingDatetime { get; set; }
		public virtual int UpLt { get; set; }
		public virtual int Status { get; set; }
		public virtual int DelaySecond { get; set; }
		public virtual DateTime? DelayConfirmFlag { get; set; }
		public virtual string WhLocation { get; set; }
		public virtual DateTime? InvoiceDate { get; set; }
		public virtual string Remarks { get; set; }
		public virtual string IsActive { get; set; }
</v>
      </c>
      <c r="N32" s="33" t="str">
        <f ca="1">TEXTJOIN2("
",TRUE,INDIRECT( $M$1):INDIRECT($M$3))</f>
        <v xml:space="preserve">		[StringLength(LgwPupPxPUpPlanConsts.MaxProdLineLength)]
		public virtual string ProdLine { get; set; }
		public virtual DateTime? WorkingDate { get; set; }
		[StringLength(LgwPupPxPUpPlanConsts.MaxShiftLength)]
		public virtual string Shift { get; set; }
		public virtual int NoInShift { get; set; }
		public virtual int SeqLineIn { get; set; }
		[StringLength(LgwPupPxPUpPlanConsts.MaxCaseNoLength)]
		public virtual string CaseNo { get; set; }
		[StringLength(LgwPupPxPUpPlanConsts.MaxSupplierNoLength)]
		public virtual string SupplierNo { get; set; }
		[StringLength(LgwPupPxPUpPlanConsts.MaxUpTableLength)]
		public virtual string UpTable { get; set; }
		[StringLength(LgwPupPxPUpPlanConsts.MaxIsNoPxpDataLength)]
		public virtual string IsNoPxpData { get; set; }
		public virtual DateTime? UnpackingStartDatetime { get; set; }
		public virtual DateTime? UnpackingFinishDatetime { get; set; }
		[StringLength(LgwPupPxPUpPlanConsts.MaxUnpackingTimeLength)]
		public virtual string UnpackingTime { get; set; }
		public virtual DateTime? UnpackingDate { get; set; }
		public virtual DateTime? UnpackingDatetime { get; set; }
		public virtual int UpLt { get; set; }
		public virtual int Status { get; set; }
		public virtual int DelaySecond { get; set; }
		public virtual DateTime? DelayConfirmFlag { get; set; }
		[StringLength(LgwPupPxPUpPlanConsts.MaxWhLocationLength)]
		public virtual string WhLocation { get; set; }
		public virtual DateTime? InvoiceDate { get; set; }
		[StringLength(LgwPupPxPUpPlanConsts.MaxRemarksLength)]
		public virtual string Remarks { get; set; }
		[StringLength(LgwPupPxPUpPlanConsts.MaxIsActiveLength)]
		public virtual string IsActive { get; set; }
</v>
      </c>
      <c r="O32" s="33" t="str">
        <f ca="1">TEXTJOIN2("
",TRUE,INDIRECT( $N$1):INDIRECT($N$3))</f>
        <v xml:space="preserve">		public virtual string ProdLine { get; set; }
		public virtual DateTime? WorkingDate { get; set; }
		public virtual string Shift { get; set; }
		public virtual int NoInShift { get; set; }
		public virtual int SeqLineIn { get; set; }
		public virtual string CaseNo { get; set; }
		public virtual string SupplierNo { get; set; }
		public virtual string UpTable { get; set; }
		public virtual string IsNoPxpData { get; set; }
		public virtual DateTime? UnpackingStartDatetime { get; set; }
		public virtual DateTime? UnpackingFinishDatetime { get; set; }
		public virtual string UnpackingTime { get; set; }
		public virtual DateTime? UnpackingDate { get; set; }
		public virtual DateTime? UnpackingDatetime { get; set; }
		public virtual int UpLt { get; set; }
		public virtual int Status { get; set; }
		public virtual int DelaySecond { get; set; }
		public virtual DateTime? DelayConfirmFlag { get; set; }
		public virtual string WhLocation { get; set; }
		public virtual DateTime? InvoiceDate { get; set; }
		public virtual string Remarks { get; set; }
		public virtual string IsActive { get; set; }
</v>
      </c>
      <c r="P32" s="9" t="str">
        <f ca="1">TEXTJOIN2("
",TRUE,INDIRECT( $O$1):INDIRECT($O$3))</f>
        <v xml:space="preserve">							ProdLine = o.ProdLine,
							WorkingDate = o.WorkingDate,
							Shift = o.Shift,
							NoInShift = o.NoInShift,
							SeqLineIn = o.SeqLineIn,
							CaseNo = o.CaseNo,
							SupplierNo = o.SupplierNo,
							UpTable = o.UpTable,
							IsNoPxpData = o.IsNoPxpData,
							UnpackingStartDatetime = o.UnpackingStartDatetime,
							UnpackingFinishDatetime = o.UnpackingFinishDatetime,
							UnpackingTime = o.UnpackingTime,
							UnpackingDate = o.UnpackingDate,
							UnpackingDatetime = o.UnpackingDatetime,
							UpLt = o.UpLt,
							Status = o.Status,
							DelaySecond = o.DelaySecond,
							DelayConfirmFlag = o.DelayConfirmFlag,
							WhLocation = o.WhLocation,
							InvoiceDate = o.InvoiceDate,
							Remarks = o.Remarks,
							IsActive = o.IsActive,</v>
      </c>
      <c r="T32" s="9" t="str">
        <f ca="1">TEXTJOIN2("
",TRUE,INDIRECT( $T$2):INDIRECT($T$3))</f>
        <v xml:space="preserve">								("ProdLine"),
								("WorkingDate"),
								("Shift"),
								("NoInShift"),
								("SeqLineIn"),
								("CaseNo"),
								("SupplierNo"),
								("UpTable"),
								("IsNoPxpData"),
								("UnpackingStartDatetime"),
								("UnpackingFinishDatetime"),
								("UnpackingTime"),
								("UnpackingDate"),
								("UnpackingDatetime"),
								("UpLt"),
								("Status"),
								("DelaySecond"),
								("DelayConfirmFlag"),
								("WhLocation"),
								("InvoiceDate"),
								("Remarks"),
								("IsActive"),</v>
      </c>
      <c r="V32" s="9" t="str">
        <f ca="1">TEXTJOIN2("
",TRUE,INDIRECT( $V$2):INDIRECT($V$3))</f>
        <v xml:space="preserve">								_ =&gt; _.ProdLine,
								_ =&gt; _.WorkingDate,
								_ =&gt; _.Shift,
								_ =&gt; _.NoInShift,
								_ =&gt; _.SeqLineIn,
								_ =&gt; _.CaseNo,
								_ =&gt; _.SupplierNo,
								_ =&gt; _.UpTable,
								_ =&gt; _.IsNoPxpData,
								_ =&gt; _.UnpackingStartDatetime,
								_ =&gt; _.UnpackingFinishDatetime,
								_ =&gt; _.UnpackingTime,
								_ =&gt; _.UnpackingDate,
								_ =&gt; _.UnpackingDatetime,
								_ =&gt; _.UpLt,
								_ =&gt; _.Status,
								_ =&gt; _.DelaySecond,
								_ =&gt; _.DelayConfirmFlag,
								_ =&gt; _.WhLocation,
								_ =&gt; _.InvoiceDate,
								_ =&gt; _.Remarks,
								_ =&gt; _.IsActive,</v>
      </c>
      <c r="W32" s="9" t="str">
        <f ca="1">TEXTJOIN2("
",TRUE,INDIRECT( $W$2):INDIRECT($W$3))</f>
        <v xml:space="preserve">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.WhereIf(!string.IsNullOrWhiteSpace(input.CaseNo), e =&gt; e.CaseNo.Contains(input.CaseNo))
				.WhereIf(!string.IsNullOrWhiteSpace(input.SupplierNo), e =&gt; e.SupplierNo.Contains(input.SupplierNo))
				.WhereIf(!string.IsNullOrWhiteSpace(input.UpTable), e =&gt; e.UpTable.Contains(input.UpTable))
				.WhereIf(!string.IsNullOrWhiteSpace(input.IsNoPxpData), e =&gt; e.IsNoPxpData.Contains(input.IsNoPxpData))
				.WhereIf(input.UnpackingStartDatetime.HasValue, t =&gt; t.UnpackingStartDatetime == input.UnpackingStartDatetime.Value)
				.WhereIf(input.UnpackingFinishDatetime.HasValue, t =&gt; t.UnpackingFinishDatetime == input.UnpackingFinishDatetime.Value)
				.WhereIf(!string.IsNullOrWhiteSpace(input.UnpackingTime), e =&gt; e.UnpackingTime.Contains(input.UnpackingTime))
				.WhereIf(input.UnpackingDate.HasValue, t =&gt; t.UnpackingDate == input.UnpackingDate.Value)
				.WhereIf(input.UnpackingDatetime.HasValue, t =&gt; t.UnpackingDatetime == input.UnpackingDatetime.Value)
				.WhereIf(input.DelayConfirmFlag.HasValue, t =&gt; t.DelayConfirmFlag == input.DelayConfirmFlag.Value)
				.WhereIf(!string.IsNullOrWhiteSpace(input.WhLocation), e =&gt; e.WhLocation.Contains(input.WhLocation))
				.WhereIf(input.InvoiceDate.HasValue, t =&gt; t.InvoiceDate == input.InvoiceDate.Value)
				.WhereIf(!string.IsNullOrWhiteSpace(input.Remarks), e =&gt; e.Remarks.Contains(input.Remarks))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"/>
  <sheetViews>
    <sheetView workbookViewId="0">
      <selection activeCell="A15" sqref="A15:A2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320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LogW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logw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Pup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pup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LgwPupPxPUpPlan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PxPUpPlan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pxpupplan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LgwPupPxPUpPlanDto, LgwPupPxPUpPlanServiceProxy } from '@shared/service-proxies/service-proxies';
import { finalize } from 'rxjs/internal/operators/finalize';
import { CreateOrEditPxPUpPlanModalComponent } from './create-or-edit-pxpupplan-modal.component';
import { DatePipe } from '@angular/common';
import { FileDownloadService } from '@shared/utils/file-download.service';
import ceil from 'lodash-es/ceil';
import { Paginator } from 'primeng/paginator';
@Component({
    templateUrl: './pxpupplan.component.html',
    styleUrls: ['./pxpupplan.component.less'],
})
export class PxPUpPlanComponent extends AppComponentBase implements OnInit {
    @ViewChild('createOrEditModalPxPUpPlan', { static: true }) createOrEditModalPxPUpPlan:| CreateOrEditPxPUpPlanModalComponent|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LgwPupPxPUpPlanDto = new LgwPupPxPUpPlanDto();
    saveSelectedRow: LgwPupPxPUpPlanDto = new LgwPupPxPUpPlanDto();
    datas: LgwPupPxPUpPlanDto = new LgwPupPxPUpPlanDto();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noInShift : number = 0 ;
	seqLineIn : number = 0 ;
	caseNo : string = '' ; 
	supplierNo : string = '' ; 
	upTable : string = '' ; 
	isNoPxpData : string = '' ; 
unpackingStartDatetime : any ;
	unpackingFinishDatetime : any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LgwPupPxPUpPlanServiceProxy,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this.l('Seq Line In'),headerTooltip: this.l('Seq Line In'),field: 'seqLineIn',flex: 1},
			{headerName: this.l('Case No'),headerTooltip: this.l('Case No'),field: 'caseNo',flex: 1},
			{headerName: this.l('Supplier No'),headerTooltip: this.l('Supplier No'),field: 'supplierNo',flex: 1},
			{headerName: this.l('Up Table'),headerTooltip: this.l('Up Table'),field: 'upTable',flex: 1},
			{headerName: this.l('Is No Pxp Data'),headerTooltip: this.l('Is No Pxp Data'),field: 'isNoPxpData',flex: 1},
			{headerName: this.l('Unpacking Start Datetime'),headerTooltip: this.l('Unpacking Start Datetime'),field: 'unpackingStartDatetime',valueGetter: (params) =&gt; this.pipe.transform(params.data?.unpackingStartDatetime, 'dd/MM/yyyy'),flex: 1},
			{headerName: this.l('Unpacking Finish Datetime'),headerTooltip: this.l('Unpacking Finish Datetime'),field: 'unpackingFinishDatetime',valueGetter: (params) =&gt; this.pipe.transform(params.data?.unpackingFinishDatetime, 'dd/MM/yyyy'),flex: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this.noInShift,
			this.seqLineIn,
			this.caseNo,
			this.supplierNo,
			this.upTable,
			this.isNoPxpData,
			this.unpackingStartDatetime,
			this.unpackingFinishDatetime,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this.noInShift = 0,
		this.seqLineIn = 0,
		this.caseNo = '',
		this.supplierNo = '',
		this.upTable = '',
		this.isNoPxpData = '',
this.unpackingStartDatetime = '',
		this.unpackingFinishDatetime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this.noInShift,
			this.seqLineIn,
			this.caseNo,
			this.supplierNo,
			this.upTable,
			this.isNoPxpData,
			this.unpackingStartDatetime,
			this.unpackingFinishDatetime,
			this.isActive,
			'',
            this.paginationParams.skipCount,
            this.paginationParams.pageSize
        );
    }
    onChangeRowSelection(params: { api: { getSelectedRows: () =&gt; LgwPupPxPUpPlanDto[] } }) {
        this.saveSelectedRow = params.api.getSelectedRows()[0] ?? new LgwPupPxPUpPlanDto();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LgwPupPxPUpPlanDto):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this._service.getPxPUpPlanToExcel(
			this.prodLine,
			this.workingDate,
			this.shift,
			this.noInShift,
			this.seqLineIn,
			this.caseNo,
			this.supplierNo,
			this.upTable,
			this.isNoPxpData,
			this.unpackingStartDatetime,
			this.unpackingFinishDatetime,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PXP Unpacking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[(ngModel)]='upTable' name='upTable'
									class='form-control' [placeholder]="l('Up Table')"
									type='text' (keyup.enter)='searchDatas()'&gt;
								&lt;/div&gt;
								&lt;div class='input-search'&gt;
									&lt;input [(ngModel)]='isNoPxpData' name='isNoPxpData'
									class='form-control' [placeholder]="l('Is No Pxp Data')"
									type='text' (keyup.enter)='searchDatas()'&gt;
								&lt;/div&gt;
								&lt;div class='input-search'&gt;
									&lt;input type='text' [placeholder]="l('Unpacking Start Datetime')" [(ngModel)]='unpackingStartDatetime' 
									name='unpackingStartDatetime'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Finish Datetime')" [(ngModel)]='unpackingFinishDatetime' 
									name='unpackingFinishDatetime'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(click)="createOrEditModalPxPUpPlan.show()"&gt;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(click)="createOrEditModalPxPUpPlan.show(selectedRow)"&gt;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&lt;create-or-edit-pxpupplan-modal
    #createOrEditModalPxPUpPlan
    (modalSave)="callBackDataGrid(dataParams)"
    (modalClose)="onChangeRowSelection(dataParams)"
&gt;
&lt;/create-or-edit-pxpupplan-modal&gt;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#createOrEditModalPxPUpPlan="bs-modal"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PxPUpPlan')}}&lt;/h3&gt;
                    &lt;h3 *ngIf="!rowdata.id"&gt;{{('Create New PxPUpPlan')}}&lt;/h3&gt;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title'&gt;Seq Line In&lt;/label&gt;
						&lt;input type='number' class='col-md-10 form-control input-text' name='SeqLineIn' [(ngModel)]='rowdata.seqLineIn'&gt;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title'&gt;Up Table&lt;/label&gt;
						&lt;input type='text' class='col-md-10 form-control input-text' name='UpTable' [(ngModel)]='rowdata.upTable'&gt;
					&lt;/div&gt;
					&lt;div class='col-md-12 form-group row'&gt;
						&lt;label class='col-md-2 form-control title'&gt;Is No Pxp Data&lt;/label&gt;
						&lt;input type='text' class='col-md-10 form-control input-text' name='IsNoPxpData' [(ngModel)]='rowdata.isNoPxpData'&gt;
					&lt;/div&gt;
					&lt;div class='col-md-12 form-group row'&gt;
						&lt;label class='col-md-2 form-control title'&gt;Unpacking Start Datetime&lt;/label&gt;
						&lt;input type='text' class='col-md-10 form-control input-text' name='unpackingStartDatetime' 
						#datepicker='bsDatepicker' [(ngModel)]='rowdata.unpackingStartDatetime'  bsDatepicker &gt;
					&lt;/div&gt;
					&lt;div class='col-md-12 form-group row'&gt;
						&lt;label class='col-md-2 form-control title'&gt;Unpacking Finish Datetime&lt;/label&gt;
						&lt;input type='text' class='col-md-10 form-control input-text' name='unpackingFinishDatetime' 
						#datepicker='bsDatepicker' [(ngModel)]='rowdata.unpackingFinishDatetime'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CreateOrEditLgwPupPxPUpPlanDto, LgwPupPxPUpPlanServiceProxy } from '@shared/service-proxies/service-proxies';
import { BsDatepickerDirective } from 'ngx-bootstrap/datepicker';
@Component({
    selector: 'create-or-edit-pxpupplan-modal',
    templateUrl: './create-or-edit-pxpupplan-modal.component.html',
    styleUrls: ['./create-or-edit-pxpupplan-modal.component.less']
    })
export class CreateOrEditPxPUpPlanModalComponent extends AppComponentBase {
    @ViewChild('createOrEditModalPxPUpPlan',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CreateOrEditLgwPupPxPUpPlanDto = new CreateOrEditLgwPupPxPUpPlanDto();
    active: boolean = false;
    saving: boolean = false;
    _isActive: boolean;
    constructor(
        injector: Injector,
        private _mstwptPxPUpPlanService: LgwPupPxPUpPlanServiceProxy,
    ) 
    {
        super(injector);
    }
    show(rowdata?: CreateOrEditLgwPupPxPUpPlanDto): void {
        if (!rowdata) this.rowdata = new CreateOrEditLgwPupPxPUpPlanDto();
        else this.rowdata = rowdata;
		const dateValue =  this.rowdata.workingDate ? new Date(this.rowdata.workingDate?.toString()) : new Date();
		this.datepicker?.bsValueChange.emit(dateValue);
		const dateValue =  this.rowdata.unpackingStartDatetime ? new Date(this.rowdata.unpackingStartDatetime?.toString()) : new Date();
		this.datepicker?.bsValueChange.emit(dateValue);
		const dateValue =  this.rowdata.unpackingFinishDatetime ? new Date(this.rowdata.unpackingFinishDatetime?.toString())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this._mstwptPxPUpPlanService.createOrEdit(this.rowdata)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PxPUpPlanRoutingModule } from './pxpupplan-routing.module';
import { PxPUpPlanComponent } from './pxpupplan.component';
import { CreateOrEditPxPUpPlanModalComponent } from './create-or-edit-pxpupplan-modal.component';
@NgModule({
    declarations: [
       PxPUpPlanComponent, 
        CreateOrEditPxPUpPlanModalComponent
    ],
    imports: [
        AppSharedModule, PxPUpPlanRoutingModule]
})
export class PxPUpPlanModule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PxPUpPlanComponent } from './pxpupplan.component';
const routes: Routes = [{
    path: '',
    component: PxPUpPlanComponent,
    pathMatch: 'full'
}];
@NgModule({
    imports: [RouterModule.forChild(routes)],
    exports: [RouterModule],
})
export class PxPUpPlanRoutingModule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AppMenuItem("PxPUpPlan", "Pages.LogW.Pup.PxPUpPlan", "flaticon-book",   "/app/main/logw/pup/pxpupplan"),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'logw/pup/pxpupplan',
    loadChildren: () =&gt; import('./logw/pup/pxpupplan/pxpupplan.module').then(m =&gt; m.PxPUpPlanModule),
    data: { permission: 'Pages.LogW.Pup.PxPUpPlan' }
},</v>
      </c>
      <c r="R10" s="50" t="str">
        <f>SUBSTITUTE(R9,"MstWptCalendar",$B$6)</f>
        <v>ApiServiceProxies.LgwPupPxPUpPlanServiceProxy,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H26</v>
      </c>
      <c r="I12" s="31" t="str">
        <f>"I"&amp;COUNTA($A:$A)</f>
        <v>I26</v>
      </c>
      <c r="J12" s="31"/>
      <c r="K12" s="31" t="str">
        <f>"K"&amp;COUNTA($A:$A)</f>
        <v>K26</v>
      </c>
      <c r="L12" s="31" t="str">
        <f>"L"&amp;COUNTA($A:$A)</f>
        <v>L26</v>
      </c>
      <c r="M12" s="31"/>
      <c r="N12" s="31"/>
      <c r="O12" s="31"/>
      <c r="P12" s="31"/>
      <c r="Q12" s="31"/>
      <c r="R12" s="31"/>
      <c r="S12" s="31" t="str">
        <f>"S"&amp;COUNTA($A:$A)</f>
        <v>S26</v>
      </c>
      <c r="T12" s="31" t="str">
        <f>"T"&amp;COUNTA($A:$A)</f>
        <v>T26</v>
      </c>
      <c r="U12" s="31" t="str">
        <f>"U"&amp;COUNTA($A:$A)</f>
        <v>U26</v>
      </c>
      <c r="V12" s="31" t="str">
        <f>"V"&amp;COUNTA($A:$A)</f>
        <v>V26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this.l('Seq Line In'),headerTooltip: this.l('Seq Line In'),field: 'seqLineIn',flex: 1},
			{headerName: this.l('Case No'),headerTooltip: this.l('Case No'),field: 'caseNo',flex: 1},
			{headerName: this.l('Supplier No'),headerTooltip: this.l('Supplier No'),field: 'supplierNo',flex: 1},
			{headerName: this.l('Up Table'),headerTooltip: this.l('Up Table'),field: 'upTable',flex: 1},
			{headerName: this.l('Is No Pxp Data'),headerTooltip: this.l('Is No Pxp Data'),field: 'isNoPxpData',flex: 1},
			{headerName: this.l('Unpacking Start Datetime'),headerTooltip: this.l('Unpacking Start Datetime'),field: 'unpackingStartDatetime',valueGetter: (params) =&gt; this.pipe.transform(params.data?.unpackingStartDatetime, 'dd/MM/yyyy'),flex: 1},
			{headerName: this.l('Unpacking Finish Datetime'),headerTooltip: this.l('Unpacking Finish Datetime'),field: 'unpackingFinishDatetime',valueGetter: (params) =&gt; this.pipe.transform(params.data?.unpackingFinishDatetime, 'dd/MM/yyyy'),flex: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[(ngModel)]='upTable' name='upTable'
									class='form-control' [placeholder]="l('Up Table')"
									type='text' (keyup.enter)='searchDatas()'&gt;
								&lt;/div&gt;
								&lt;div class='input-search'&gt;
									&lt;input [(ngModel)]='isNoPxpData' name='isNoPxpData'
									class='form-control' [placeholder]="l('Is No Pxp Data')"
									type='text' (keyup.enter)='searchDatas()'&gt;
								&lt;/div&gt;
								&lt;div class='input-search'&gt;
									&lt;input type='text' [placeholder]="l('Unpacking Start Datetime')" [(ngModel)]='unpackingStartDatetime' 
									name='unpackingStartDatetime'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Finish Datetime')" [(ngModel)]='unpackingFinishDatetime' 
									name='unpackingFinishDatetime'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title'&gt;Seq Line In&lt;/label&gt;
						&lt;input type='number' class='col-md-10 form-control input-text' name='SeqLineIn' [(ngModel)]='rowdata.seqLineIn'&gt;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title'&gt;Up Table&lt;/label&gt;
						&lt;input type='text' class='col-md-10 form-control input-text' name='UpTable' [(ngModel)]='rowdata.upTable'&gt;
					&lt;/div&gt;
					&lt;div class='col-md-12 form-group row'&gt;
						&lt;label class='col-md-2 form-control title'&gt;Is No Pxp Data&lt;/label&gt;
						&lt;input type='text' class='col-md-10 form-control input-text' name='IsNoPxpData' [(ngModel)]='rowdata.isNoPxpData'&gt;
					&lt;/div&gt;
					&lt;div class='col-md-12 form-group row'&gt;
						&lt;label class='col-md-2 form-control title'&gt;Unpacking Start Datetime&lt;/label&gt;
						&lt;input type='text' class='col-md-10 form-control input-text' name='unpackingStartDatetime' 
						#datepicker='bsDatepicker' [(ngModel)]='rowdata.unpackingStartDatetime'  bsDatepicker &gt;
					&lt;/div&gt;
					&lt;div class='col-md-12 form-group row'&gt;
						&lt;label class='col-md-2 form-control title'&gt;Unpacking Finish Datetime&lt;/label&gt;
						&lt;input type='text' class='col-md-10 form-control input-text' name='unpackingFinishDatetime' 
						#datepicker='bsDatepicker' [(ngModel)]='rowdata.unpackingFinishDatetime'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this.rowdata.unpackingStartDatetime ? new Date(this.rowdata.unpackingStartDatetime?.toString()) : new Date();
		this.datepicker?.bsValueChange.emit(dateValue);
		const dateValue =  this.rowdata.unpackingFinishDatetime ? new Date(this.rowdata.unpackingFinishDatetime?.toString())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prodLine : string = '' ; 
	workingDate : any ;
	shift : string = '' ; 
	noInShift : number = 0 ;
	seqLineIn : number = 0 ;
	caseNo : string = '' ; 
	supplierNo : string = '' ; 
	upTable : string = '' ; 
	isNoPxpData : string = '' ; 
unpackingStartDatetime : any ;
	unpackingFinishDatetime : any ;
	isActive : string = '' ; </v>
      </c>
      <c r="T13" s="68" t="str">
        <f ca="1">TEXTJOIN2("
",TRUE,INDIRECT(T11):INDIRECT(T12))</f>
        <v xml:space="preserve">			this.prodLine,
			this.workingDate,
			this.shift,
			this.noInShift,
			this.seqLineIn,
			this.caseNo,
			this.supplierNo,
			this.upTable,
			this.isNoPxpData,
			this.unpackingStartDatetime,
			this.unpackingFinishDatetime,
			this.isActive,</v>
      </c>
      <c r="U13" s="68" t="str">
        <f ca="1">TEXTJOIN2("
",TRUE,INDIRECT(U11):INDIRECT(U12))</f>
        <v>this.prodLine = '',
		this.workingDate = '',
		this.shift = '',
		this.noInShift = 0,
		this.seqLineIn = 0,
		this.caseNo = '',
		this.supplierNo = '',
		this.upTable = '',
		this.isNoPxpData = '',
this.unpackingStartDatetime = '',
		this.unpackingFinishDatetime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pxpupplan.component.ts</v>
      </c>
      <c r="I14" s="40" t="str">
        <f>B8&amp;".component.html"</f>
        <v>pxpupplan.component.html</v>
      </c>
      <c r="J14" s="39" t="str">
        <f>B8&amp;".component.less"</f>
        <v>pxpupplan.component.less</v>
      </c>
      <c r="K14" s="40" t="str">
        <f>"create-or-edit-"&amp;B8&amp;"-modal.component.html"</f>
        <v>create-or-edit-pxpupplan-modal.component.html</v>
      </c>
      <c r="L14" s="40" t="str">
        <f>"create-or-edit-"&amp;B8&amp;"-modal.component.ts"</f>
        <v>create-or-edit-pxpupplan-modal.component.ts</v>
      </c>
      <c r="M14" s="40" t="str">
        <f>"create-or-edit-"&amp;B8&amp;"-modal.component.less"</f>
        <v>create-or-edit-pxpupplan-modal.component.less</v>
      </c>
      <c r="N14" s="40" t="str">
        <f>B8&amp;".module.ts"</f>
        <v>pxpupplan.module.ts</v>
      </c>
      <c r="O14" s="40" t="str">
        <f>B8&amp;"-routing.module.ts"</f>
        <v>pxpupplan-routing.module.ts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305</v>
      </c>
      <c r="B15" s="31" t="str">
        <f>SUBSTITUTE(PROPER(A15),"_","")</f>
        <v>ProdLine</v>
      </c>
      <c r="C15" s="31" t="str">
        <f>SUBSTITUTE(PROPER(A15),"_"," ")</f>
        <v>Prod Line</v>
      </c>
      <c r="D15" s="31" t="str">
        <f>LOWER(LEFT(B15,1))&amp;RIGHT(B15,LEN(B15) - 1)</f>
        <v>prodLine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this.l('Prod Line'),headerTooltip: this.l('Prod Line'),field: 'prodLine',flex: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prodLine : string = '' ; </v>
      </c>
      <c r="T15" s="31" t="str">
        <f>REPT(CHAR(9),3)&amp;"this."&amp;D15&amp;","</f>
        <v xml:space="preserve">			this.prodLine,</v>
      </c>
      <c r="U15" s="31" t="str">
        <f>IF(E15="int","this."&amp;D15&amp;" = 0,","this."&amp;D15&amp;" = '',")</f>
        <v>this.prodLine = '',</v>
      </c>
      <c r="V15" s="31" t="str">
        <f>IF(AND(E15="string",F15="1"),D15,"")</f>
        <v/>
      </c>
    </row>
    <row r="16" spans="1:22" ht="15" customHeight="1" x14ac:dyDescent="0.25">
      <c r="A16" s="44" t="s">
        <v>306</v>
      </c>
      <c r="B16" s="31" t="str">
        <f t="shared" ref="B16:B17" si="0">SUBSTITUTE(PROPER(A16),"_","")</f>
        <v>WorkingDate</v>
      </c>
      <c r="C16" s="31" t="str">
        <f t="shared" ref="C16:C17" si="1">SUBSTITUTE(PROPER(A16),"_"," ")</f>
        <v>Working Date</v>
      </c>
      <c r="D16" s="31" t="str">
        <f t="shared" ref="D16:D17" si="2">LOWER(LEFT(B16,1))&amp;RIGHT(B16,LEN(B16) - 1)</f>
        <v>workingDate</v>
      </c>
      <c r="E16" s="31" t="str">
        <f>A.Backend!H10</f>
        <v>DateTime</v>
      </c>
      <c r="F16" s="31" t="str">
        <f>A.Backend!G10</f>
        <v/>
      </c>
      <c r="G16" s="31" t="str">
        <f t="shared" ref="G16:G26" si="3">IF(E16="string"," : string = '' ; ",IF(OR(E16="DateTime",E16="TimeSpan")," : any ;",IF(E16="int"," : number = 0 ;","")))</f>
        <v xml:space="preserve"> : any ;</v>
      </c>
      <c r="H16" s="38" t="str">
        <f t="shared" ref="H16:H26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16" s="38" t="str">
        <f t="shared" ref="I16:I26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6" s="31"/>
      <c r="K16" s="38" t="str">
        <f t="shared" ref="K16:K26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6" s="60" t="str">
        <f t="shared" ref="L16:L26" si="7">IF(E16="DateTime",
REPT(CHAR(9),2)&amp;"const dateValue =  this.rowdata."&amp;D16&amp;" ? new Date(this.rowdata."&amp;D16&amp;"?.toString())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workingDate : any ;</v>
      </c>
      <c r="T16" s="31" t="str">
        <f>REPT(CHAR(9),3)&amp;"this."&amp;D16&amp;","</f>
        <v xml:space="preserve">			this.workingDate,</v>
      </c>
      <c r="U16" s="31" t="str">
        <f>IF(E16="int",REPT(CHAR(9),2)&amp;"this."&amp;D16&amp;" = 0,",REPT(CHAR(9),2)&amp;"this."&amp;D16&amp;" = '',")</f>
        <v xml:space="preserve">		this.workingDate = '',</v>
      </c>
      <c r="V16" s="31" t="str">
        <f t="shared" ref="V16:V26" si="8">IF(AND(E16="string",F16="1"),D16,"")</f>
        <v/>
      </c>
    </row>
    <row r="17" spans="1:22" ht="18" customHeight="1" x14ac:dyDescent="0.25">
      <c r="A17" s="44" t="s">
        <v>307</v>
      </c>
      <c r="B17" s="31" t="str">
        <f t="shared" si="0"/>
        <v>Shift</v>
      </c>
      <c r="C17" s="31" t="str">
        <f t="shared" si="1"/>
        <v>Shift</v>
      </c>
      <c r="D17" s="31" t="str">
        <f t="shared" si="2"/>
        <v>shift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this.l('Shift'),headerTooltip: this.l('Shift'),field: 'shift',flex: 1},</v>
      </c>
      <c r="I17" s="38" t="str">
        <f t="shared" si="5"/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6" si="9">REPT(CHAR(9),1)&amp;D17&amp;G17</f>
        <v xml:space="preserve">	shift : string = '' ; </v>
      </c>
      <c r="T17" s="31" t="str">
        <f t="shared" ref="T17:T26" si="10">REPT(CHAR(9),3)&amp;"this."&amp;D17&amp;","</f>
        <v xml:space="preserve">			this.shift,</v>
      </c>
      <c r="U17" s="31" t="str">
        <f t="shared" ref="U17:U26" si="11">IF(E17="int",REPT(CHAR(9),2)&amp;"this."&amp;D17&amp;" = 0,",REPT(CHAR(9),2)&amp;"this."&amp;D17&amp;" = '',")</f>
        <v xml:space="preserve">		this.shift = '',</v>
      </c>
      <c r="V17" s="31" t="str">
        <f t="shared" si="8"/>
        <v/>
      </c>
    </row>
    <row r="18" spans="1:22" ht="18" customHeight="1" x14ac:dyDescent="0.25">
      <c r="A18" s="44" t="s">
        <v>308</v>
      </c>
      <c r="B18" s="31" t="str">
        <f>SUBSTITUTE(PROPER(A18),"_","")</f>
        <v>NoInShift</v>
      </c>
      <c r="C18" s="31" t="str">
        <f>SUBSTITUTE(PROPER(A18),"_"," ")</f>
        <v>No In Shift</v>
      </c>
      <c r="D18" s="31" t="str">
        <f>LOWER(LEFT(B18,1))&amp;RIGHT(B18,LEN(B18) - 1)</f>
        <v>noInShift</v>
      </c>
      <c r="E18" s="31" t="str">
        <f>A.Backend!H12</f>
        <v>int</v>
      </c>
      <c r="F18" s="31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this.l('No In Shift'),headerTooltip: this.l('No In Shift'),field: 'noInShift',flex: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title'&gt;No In Shift&lt;/label&gt;
						&lt;input type='number' class='col-md-10 form-control input-text' name='NoInShift' [(ngModel)]='rowdata.noInShift'&gt;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noInShift : number = 0 ;</v>
      </c>
      <c r="T18" s="31" t="str">
        <f t="shared" si="10"/>
        <v xml:space="preserve">			this.noInShift,</v>
      </c>
      <c r="U18" s="31" t="str">
        <f t="shared" si="11"/>
        <v xml:space="preserve">		this.noInShift = 0,</v>
      </c>
      <c r="V18" s="31" t="str">
        <f t="shared" si="8"/>
        <v/>
      </c>
    </row>
    <row r="19" spans="1:22" ht="15" customHeight="1" x14ac:dyDescent="0.25">
      <c r="A19" s="44" t="s">
        <v>319</v>
      </c>
      <c r="B19" s="31" t="str">
        <f t="shared" ref="B19" si="12">SUBSTITUTE(PROPER(A19),"_","")</f>
        <v>SeqLineIn</v>
      </c>
      <c r="C19" s="31" t="str">
        <f t="shared" ref="C19" si="13">SUBSTITUTE(PROPER(A19),"_"," ")</f>
        <v>Seq Line In</v>
      </c>
      <c r="D19" s="31" t="str">
        <f t="shared" ref="D19" si="14">LOWER(LEFT(B19,1))&amp;RIGHT(B19,LEN(B19) - 1)</f>
        <v>seqLineIn</v>
      </c>
      <c r="E19" s="31" t="str">
        <f>A.Backend!H13</f>
        <v>int</v>
      </c>
      <c r="F19" s="31" t="str">
        <f>A.Backend!G13</f>
        <v/>
      </c>
      <c r="G19" s="31" t="str">
        <f t="shared" si="3"/>
        <v xml:space="preserve"> : number = 0 ;</v>
      </c>
      <c r="H19" s="38" t="str">
        <f t="shared" si="4"/>
        <v xml:space="preserve">			{headerName: this.l('Seq Line In'),headerTooltip: this.l('Seq Line In'),field: 'seqLineIn',flex: 1},</v>
      </c>
      <c r="I19" s="38" t="str">
        <f t="shared" si="5"/>
        <v/>
      </c>
      <c r="J19" s="31"/>
      <c r="K19" s="38" t="str">
        <f t="shared" si="6"/>
        <v xml:space="preserve">					&lt;div class='col-md-12 form-group row'&gt;
						&lt;label class='col-md-2 form-control title'&gt;Seq Line In&lt;/label&gt;
						&lt;input type='number' class='col-md-10 form-control input-text' name='SeqLineIn' [(ngModel)]='rowdata.seqLineIn'&gt;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seqLineIn : number = 0 ;</v>
      </c>
      <c r="T19" s="31" t="str">
        <f t="shared" si="10"/>
        <v xml:space="preserve">			this.seqLineIn,</v>
      </c>
      <c r="U19" s="31" t="str">
        <f t="shared" si="11"/>
        <v xml:space="preserve">		this.seqLineIn = 0,</v>
      </c>
      <c r="V19" s="31" t="str">
        <f t="shared" si="8"/>
        <v/>
      </c>
    </row>
    <row r="20" spans="1:22" ht="18" customHeight="1" x14ac:dyDescent="0.25">
      <c r="A20" s="44" t="s">
        <v>316</v>
      </c>
      <c r="B20" s="31" t="str">
        <f>SUBSTITUTE(PROPER(A20),"_","")</f>
        <v>CaseNo</v>
      </c>
      <c r="C20" s="31" t="str">
        <f>SUBSTITUTE(PROPER(A20),"_"," ")</f>
        <v>Case No</v>
      </c>
      <c r="D20" s="31" t="str">
        <f>LOWER(LEFT(B20,1))&amp;RIGHT(B20,LEN(B20) - 1)</f>
        <v>caseNo</v>
      </c>
      <c r="E20" s="31" t="str">
        <f>A.Backend!H14</f>
        <v>string</v>
      </c>
      <c r="F20" s="31" t="str">
        <f>A.Backend!G14</f>
        <v>20</v>
      </c>
      <c r="G20" s="31" t="str">
        <f t="shared" ref="G20:G21" si="15">IF(E20="string"," : string = '' ; ",IF(OR(E20="DateTime",E20="TimeSpan")," : any ;",IF(E20="int"," : number = 0 ;","")))</f>
        <v xml:space="preserve"> : string = '' ; </v>
      </c>
      <c r="H20" s="38" t="str">
        <f t="shared" ref="H20:H21" si="16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this.l('Case No'),headerTooltip: this.l('Case No'),field: 'caseNo',flex: 1},</v>
      </c>
      <c r="I20" s="38" t="str">
        <f t="shared" ref="I20:I21" si="17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[(ngModel)]='caseNo' name='caseNo'
									class='form-control' [placeholder]="l('Case No')"
									type='text' (keyup.enter)='searchDatas()'&gt;
								&lt;/div&gt;</v>
      </c>
      <c r="J20" s="31"/>
      <c r="K20" s="38" t="str">
        <f t="shared" ref="K20:K21" si="18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</v>
      </c>
      <c r="L20" s="60" t="str">
        <f t="shared" ref="L20:L21" si="19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:S21" si="20">REPT(CHAR(9),1)&amp;D20&amp;G20</f>
        <v xml:space="preserve">	caseNo : string = '' ; </v>
      </c>
      <c r="T20" s="31" t="str">
        <f t="shared" ref="T20:T21" si="21">REPT(CHAR(9),3)&amp;"this."&amp;D20&amp;","</f>
        <v xml:space="preserve">			this.caseNo,</v>
      </c>
      <c r="U20" s="31" t="str">
        <f t="shared" ref="U20:U21" si="22">IF(E20="int",REPT(CHAR(9),2)&amp;"this."&amp;D20&amp;" = 0,",REPT(CHAR(9),2)&amp;"this."&amp;D20&amp;" = '',")</f>
        <v xml:space="preserve">		this.caseNo = '',</v>
      </c>
      <c r="V20" s="31" t="str">
        <f t="shared" ref="V20:V21" si="23">IF(AND(E20="string",F20="1"),D20,"")</f>
        <v/>
      </c>
    </row>
    <row r="21" spans="1:22" ht="15" customHeight="1" x14ac:dyDescent="0.25">
      <c r="A21" s="44" t="s">
        <v>301</v>
      </c>
      <c r="B21" s="31" t="str">
        <f t="shared" ref="B21" si="24">SUBSTITUTE(PROPER(A21),"_","")</f>
        <v>SupplierNo</v>
      </c>
      <c r="C21" s="31" t="str">
        <f t="shared" ref="C21" si="25">SUBSTITUTE(PROPER(A21),"_"," ")</f>
        <v>Supplier No</v>
      </c>
      <c r="D21" s="31" t="str">
        <f t="shared" ref="D21" si="26">LOWER(LEFT(B21,1))&amp;RIGHT(B21,LEN(B21) - 1)</f>
        <v>supplierNo</v>
      </c>
      <c r="E21" s="31" t="str">
        <f>A.Backend!H15</f>
        <v>string</v>
      </c>
      <c r="F21" s="31" t="str">
        <f>A.Backend!G15</f>
        <v>50</v>
      </c>
      <c r="G21" s="31" t="str">
        <f t="shared" si="15"/>
        <v xml:space="preserve"> : string = '' ; </v>
      </c>
      <c r="H21" s="38" t="str">
        <f t="shared" si="16"/>
        <v xml:space="preserve">			{headerName: this.l('Supplier No'),headerTooltip: this.l('Supplier No'),field: 'supplierNo',flex: 1},</v>
      </c>
      <c r="I21" s="38" t="str">
        <f t="shared" si="17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1" s="31"/>
      <c r="K21" s="38" t="str">
        <f t="shared" si="18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1" s="60" t="str">
        <f t="shared" si="19"/>
        <v/>
      </c>
      <c r="M21" s="31"/>
      <c r="N21" s="31"/>
      <c r="O21" s="31"/>
      <c r="P21" s="31"/>
      <c r="Q21" s="31"/>
      <c r="R21" s="31"/>
      <c r="S21" s="31" t="str">
        <f t="shared" si="20"/>
        <v xml:space="preserve">	supplierNo : string = '' ; </v>
      </c>
      <c r="T21" s="31" t="str">
        <f t="shared" si="21"/>
        <v xml:space="preserve">			this.supplierNo,</v>
      </c>
      <c r="U21" s="31" t="str">
        <f t="shared" si="22"/>
        <v xml:space="preserve">		this.supplierNo = '',</v>
      </c>
      <c r="V21" s="31" t="str">
        <f t="shared" si="23"/>
        <v/>
      </c>
    </row>
    <row r="22" spans="1:22" ht="18" customHeight="1" x14ac:dyDescent="0.25">
      <c r="A22" s="44" t="s">
        <v>317</v>
      </c>
      <c r="B22" s="31" t="str">
        <f>SUBSTITUTE(PROPER(A22),"_","")</f>
        <v>UpTable</v>
      </c>
      <c r="C22" s="31" t="str">
        <f>SUBSTITUTE(PROPER(A22),"_"," ")</f>
        <v>Up Table</v>
      </c>
      <c r="D22" s="31" t="str">
        <f>LOWER(LEFT(B22,1))&amp;RIGHT(B22,LEN(B22) - 1)</f>
        <v>upTable</v>
      </c>
      <c r="E22" s="31" t="str">
        <f>A.Backend!H16</f>
        <v>string</v>
      </c>
      <c r="F22" s="31" t="str">
        <f>A.Backend!G16</f>
        <v>50</v>
      </c>
      <c r="G22" s="31" t="str">
        <f t="shared" ref="G22:G23" si="27">IF(E22="string"," : string = '' ; ",IF(OR(E22="DateTime",E22="TimeSpan")," : any ;",IF(E22="int"," : number = 0 ;","")))</f>
        <v xml:space="preserve"> : string = '' ; </v>
      </c>
      <c r="H22" s="38" t="str">
        <f t="shared" ref="H22:H23" si="28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this.l('Up Table'),headerTooltip: this.l('Up Table'),field: 'upTable',flex: 1},</v>
      </c>
      <c r="I22" s="38" t="str">
        <f t="shared" ref="I22:I23" si="29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[(ngModel)]='upTable' name='upTable'
									class='form-control' [placeholder]="l('Up Table')"
									type='text' (keyup.enter)='searchDatas()'&gt;
								&lt;/div&gt;</v>
      </c>
      <c r="J22" s="31"/>
      <c r="K22" s="38" t="str">
        <f t="shared" ref="K22:K23" si="30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title'&gt;Up Table&lt;/label&gt;
						&lt;input type='text' class='col-md-10 form-control input-text' name='UpTable' [(ngModel)]='rowdata.upTable'&gt;
					&lt;/div&gt;</v>
      </c>
      <c r="L22" s="60" t="str">
        <f t="shared" ref="L22:L23" si="31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3" si="32">REPT(CHAR(9),1)&amp;D22&amp;G22</f>
        <v xml:space="preserve">	upTable : string = '' ; </v>
      </c>
      <c r="T22" s="31" t="str">
        <f t="shared" ref="T22:T23" si="33">REPT(CHAR(9),3)&amp;"this."&amp;D22&amp;","</f>
        <v xml:space="preserve">			this.upTable,</v>
      </c>
      <c r="U22" s="31" t="str">
        <f t="shared" ref="U22:U23" si="34">IF(E22="int",REPT(CHAR(9),2)&amp;"this."&amp;D22&amp;" = 0,",REPT(CHAR(9),2)&amp;"this."&amp;D22&amp;" = '',")</f>
        <v xml:space="preserve">		this.upTable = '',</v>
      </c>
      <c r="V22" s="31" t="str">
        <f t="shared" ref="V22:V23" si="35">IF(AND(E22="string",F22="1"),D22,"")</f>
        <v/>
      </c>
    </row>
    <row r="23" spans="1:22" ht="15" customHeight="1" x14ac:dyDescent="0.25">
      <c r="A23" s="44" t="s">
        <v>318</v>
      </c>
      <c r="B23" s="31" t="str">
        <f t="shared" ref="B23" si="36">SUBSTITUTE(PROPER(A23),"_","")</f>
        <v>IsNoPxpData</v>
      </c>
      <c r="C23" s="31" t="str">
        <f t="shared" ref="C23" si="37">SUBSTITUTE(PROPER(A23),"_"," ")</f>
        <v>Is No Pxp Data</v>
      </c>
      <c r="D23" s="31" t="str">
        <f t="shared" ref="D23" si="38">LOWER(LEFT(B23,1))&amp;RIGHT(B23,LEN(B23) - 1)</f>
        <v>isNoPxpData</v>
      </c>
      <c r="E23" s="31" t="str">
        <f>A.Backend!H17</f>
        <v>string</v>
      </c>
      <c r="F23" s="31" t="str">
        <f>A.Backend!G17</f>
        <v>20</v>
      </c>
      <c r="G23" s="31" t="str">
        <f t="shared" si="27"/>
        <v xml:space="preserve"> : string = '' ; </v>
      </c>
      <c r="H23" s="38" t="str">
        <f t="shared" si="28"/>
        <v xml:space="preserve">			{headerName: this.l('Is No Pxp Data'),headerTooltip: this.l('Is No Pxp Data'),field: 'isNoPxpData',flex: 1},</v>
      </c>
      <c r="I23" s="38" t="str">
        <f t="shared" si="29"/>
        <v xml:space="preserve">								&lt;div class='input-search'&gt;
									&lt;input [(ngModel)]='isNoPxpData' name='isNoPxpData'
									class='form-control' [placeholder]="l('Is No Pxp Data')"
									type='text' (keyup.enter)='searchDatas()'&gt;
								&lt;/div&gt;</v>
      </c>
      <c r="J23" s="31"/>
      <c r="K23" s="38" t="str">
        <f t="shared" si="30"/>
        <v xml:space="preserve">					&lt;div class='col-md-12 form-group row'&gt;
						&lt;label class='col-md-2 form-control title'&gt;Is No Pxp Data&lt;/label&gt;
						&lt;input type='text' class='col-md-10 form-control input-text' name='IsNoPxpData' [(ngModel)]='rowdata.isNoPxpData'&gt;
					&lt;/div&gt;</v>
      </c>
      <c r="L23" s="60" t="str">
        <f t="shared" si="31"/>
        <v/>
      </c>
      <c r="M23" s="31"/>
      <c r="N23" s="31"/>
      <c r="O23" s="31"/>
      <c r="P23" s="31"/>
      <c r="Q23" s="31"/>
      <c r="R23" s="31"/>
      <c r="S23" s="31" t="str">
        <f t="shared" si="32"/>
        <v xml:space="preserve">	isNoPxpData : string = '' ; </v>
      </c>
      <c r="T23" s="31" t="str">
        <f t="shared" si="33"/>
        <v xml:space="preserve">			this.isNoPxpData,</v>
      </c>
      <c r="U23" s="31" t="str">
        <f t="shared" si="34"/>
        <v xml:space="preserve">		this.isNoPxpData = '',</v>
      </c>
      <c r="V23" s="31" t="str">
        <f t="shared" si="35"/>
        <v/>
      </c>
    </row>
    <row r="24" spans="1:22" ht="18" customHeight="1" x14ac:dyDescent="0.25">
      <c r="A24" s="44" t="s">
        <v>310</v>
      </c>
      <c r="B24" s="31" t="str">
        <f>SUBSTITUTE(PROPER(A24),"_","")</f>
        <v>UnpackingStartDatetime</v>
      </c>
      <c r="C24" s="31" t="str">
        <f>SUBSTITUTE(PROPER(A24),"_"," ")</f>
        <v>Unpacking Start Datetime</v>
      </c>
      <c r="D24" s="31" t="str">
        <f>LOWER(LEFT(B24,1))&amp;RIGHT(B24,LEN(B24) - 1)</f>
        <v>unpackingStartDatetime</v>
      </c>
      <c r="E24" s="31" t="str">
        <f>A.Backend!H18</f>
        <v>DateTime</v>
      </c>
      <c r="F24" s="31" t="str">
        <f>A.Backend!G18</f>
        <v>7</v>
      </c>
      <c r="G24" s="31" t="str">
        <f>IF(E24="string"," : string = '' ; ",IF(OR(E24="DateTime",E24="TimeSpan")," : any ;",IF(E24="int"," : number = 0 ;","")))</f>
        <v xml:space="preserve"> : any ;</v>
      </c>
      <c r="H24" s="38" t="str">
        <f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this.l('Unpacking Start Datetime'),headerTooltip: this.l('Unpacking Start Datetime'),field: 'unpackingStartDatetime',valueGetter: (params) =&gt; this.pipe.transform(params.data?.unpackingStartDatetime, 'dd/MM/yyyy'),flex: 1},</v>
      </c>
      <c r="I24" s="38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type='text' [placeholder]="l('Unpacking Start Datetime')" [(ngModel)]='unpackingStartDatetime' 
									name='unpackingStartDatetime'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title'&gt;Unpacking Start Datetime&lt;/label&gt;
						&lt;input type='text' class='col-md-10 form-control input-text' name='unpackingStartDatetime' 
						#datepicker='bsDatepicker' [(ngModel)]='rowdata.unpackingStartDatetime'  bsDatepicker &gt;
					&lt;/div&gt;</v>
      </c>
      <c r="L24" s="60" t="str">
        <f>IF(E24="DateTime",
REPT(CHAR(9),2)&amp;"const dateValue =  this.rowdata."&amp;D24&amp;" ? new Date(this.rowdata."&amp;D24&amp;"?.toString()) : new Date();
"&amp;REPT(CHAR(9),2)&amp;"this.datepicker?.bsValueChange.emit(dateValue);","")</f>
        <v xml:space="preserve">		const dateValue =  this.rowdata.unpackingStartDatetime ? new Date(this.rowdata.unpackingStartDatetime?.toString())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>D24&amp;G24</f>
        <v>unpackingStartDatetime : any ;</v>
      </c>
      <c r="T24" s="31" t="str">
        <f>REPT(CHAR(9),3)&amp;"this."&amp;D24&amp;","</f>
        <v xml:space="preserve">			this.unpackingStartDatetime,</v>
      </c>
      <c r="U24" s="31" t="str">
        <f>IF(E24="int","this."&amp;D24&amp;" = 0,","this."&amp;D24&amp;" = '',")</f>
        <v>this.unpackingStartDatetime = '',</v>
      </c>
      <c r="V24" s="31" t="str">
        <f>IF(AND(E24="string",F24="1"),D24,"")</f>
        <v/>
      </c>
    </row>
    <row r="25" spans="1:22" ht="18" customHeight="1" x14ac:dyDescent="0.25">
      <c r="A25" s="44" t="s">
        <v>311</v>
      </c>
      <c r="B25" s="31" t="str">
        <f>SUBSTITUTE(PROPER(A25),"_","")</f>
        <v>UnpackingFinishDatetime</v>
      </c>
      <c r="C25" s="31" t="str">
        <f>SUBSTITUTE(PROPER(A25),"_"," ")</f>
        <v>Unpacking Finish Datetime</v>
      </c>
      <c r="D25" s="31" t="str">
        <f>LOWER(LEFT(B25,1))&amp;RIGHT(B25,LEN(B25) - 1)</f>
        <v>unpackingFinishDatetime</v>
      </c>
      <c r="E25" s="31" t="str">
        <f>A.Backend!H19</f>
        <v>DateTime</v>
      </c>
      <c r="F25" s="31" t="str">
        <f>A.Backend!G19</f>
        <v>7</v>
      </c>
      <c r="G25" s="31" t="str">
        <f t="shared" si="3"/>
        <v xml:space="preserve"> : any ;</v>
      </c>
      <c r="H25" s="38" t="str">
        <f t="shared" si="4"/>
        <v xml:space="preserve">			{headerName: this.l('Unpacking Finish Datetime'),headerTooltip: this.l('Unpacking Finish Datetime'),field: 'unpackingFinishDatetime',valueGetter: (params) =&gt; this.pipe.transform(params.data?.unpackingFinishDatetime, 'dd/MM/yyyy'),flex: 1},</v>
      </c>
      <c r="I25" s="38" t="str">
        <f t="shared" si="5"/>
        <v xml:space="preserve">								&lt;div class='input-search'&gt;
									&lt;input type='text' [placeholder]="l('Unpacking Finish Datetime')" [(ngModel)]='unpackingFinishDatetime' 
									name='unpackingFinishDatetime' (keydown)='searchDatas()' class='form-control' 
									bsDatepicker #d='bsDatepicker' placement='bottom left'&gt;
									&lt;i class='fa fa-calendar-alt' (click)='d.toggle()'&gt;&lt;/i&gt;
								&lt;/div&gt;</v>
      </c>
      <c r="J25" s="31"/>
      <c r="K25" s="38" t="str">
        <f t="shared" si="6"/>
        <v xml:space="preserve">					&lt;div class='col-md-12 form-group row'&gt;
						&lt;label class='col-md-2 form-control title'&gt;Unpacking Finish Datetime&lt;/label&gt;
						&lt;input type='text' class='col-md-10 form-control input-text' name='unpackingFinishDatetime' 
						#datepicker='bsDatepicker' [(ngModel)]='rowdata.unpackingFinishDatetime'  bsDatepicker &gt;
					&lt;/div&gt;</v>
      </c>
      <c r="L25" s="60" t="str">
        <f t="shared" si="7"/>
        <v xml:space="preserve">		const dateValue =  this.rowdata.unpackingFinishDatetime ? new Date(this.rowdata.unpackingFinishDatetime?.toString()) : new Date();
		this.datepicker?.bsValueChange.emit(dateValue);</v>
      </c>
      <c r="M25" s="31"/>
      <c r="N25" s="31"/>
      <c r="O25" s="31"/>
      <c r="P25" s="31"/>
      <c r="Q25" s="31"/>
      <c r="R25" s="31"/>
      <c r="S25" s="31" t="str">
        <f t="shared" si="9"/>
        <v xml:space="preserve">	unpackingFinishDatetime : any ;</v>
      </c>
      <c r="T25" s="31" t="str">
        <f t="shared" si="10"/>
        <v xml:space="preserve">			this.unpackingFinishDatetime,</v>
      </c>
      <c r="U25" s="31" t="str">
        <f t="shared" si="11"/>
        <v xml:space="preserve">		this.unpackingFinishDatetime = '',</v>
      </c>
      <c r="V25" s="31" t="str">
        <f t="shared" si="8"/>
        <v/>
      </c>
    </row>
    <row r="26" spans="1:22" ht="15" customHeight="1" x14ac:dyDescent="0.25">
      <c r="A26" s="44" t="s">
        <v>302</v>
      </c>
      <c r="B26" s="31" t="str">
        <f t="shared" ref="B26" si="39">SUBSTITUTE(PROPER(A26),"_","")</f>
        <v>IsActive</v>
      </c>
      <c r="C26" s="31" t="str">
        <f t="shared" ref="C26" si="40">SUBSTITUTE(PROPER(A26),"_"," ")</f>
        <v>Is Active</v>
      </c>
      <c r="D26" s="31" t="str">
        <f t="shared" ref="D26" si="41">LOWER(LEFT(B26,1))&amp;RIGHT(B26,LEN(B26) - 1)</f>
        <v>isActive</v>
      </c>
      <c r="E26" s="31" t="str">
        <f>A.Backend!H30</f>
        <v>string</v>
      </c>
      <c r="F26" s="31" t="str">
        <f>A.Backend!G30</f>
        <v>1</v>
      </c>
      <c r="G26" s="31" t="str">
        <f t="shared" si="3"/>
        <v xml:space="preserve"> : string = '' ; </v>
      </c>
      <c r="H26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6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6" s="31"/>
      <c r="K26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6" s="60" t="str">
        <f t="shared" si="7"/>
        <v/>
      </c>
      <c r="M26" s="31"/>
      <c r="N26" s="31"/>
      <c r="O26" s="31"/>
      <c r="P26" s="31"/>
      <c r="Q26" s="31"/>
      <c r="R26" s="31"/>
      <c r="S26" s="31" t="str">
        <f t="shared" si="9"/>
        <v xml:space="preserve">	isActive : string = '' ; </v>
      </c>
      <c r="T26" s="31" t="str">
        <f t="shared" si="10"/>
        <v xml:space="preserve">			this.isActive,</v>
      </c>
      <c r="U26" s="31" t="str">
        <f t="shared" si="11"/>
        <v xml:space="preserve">		this.isActive = '',</v>
      </c>
      <c r="V26" s="31" t="str">
        <f t="shared" si="8"/>
        <v>isActive</v>
      </c>
    </row>
    <row r="2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2022-07-29T12:12:31Z</dcterms:modified>
</cp:coreProperties>
</file>
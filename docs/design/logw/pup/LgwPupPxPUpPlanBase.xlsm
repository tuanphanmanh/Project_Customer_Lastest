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logw\pup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C19" i="5" l="1"/>
  <c r="B19" i="5"/>
  <c r="D19" i="5" s="1"/>
  <c r="T19" i="5" s="1"/>
  <c r="C18" i="5"/>
  <c r="B18" i="5"/>
  <c r="D18" i="5" s="1"/>
  <c r="T18" i="5" l="1"/>
  <c r="C20" i="5" l="1"/>
  <c r="B20" i="5"/>
  <c r="D20" i="5" s="1"/>
  <c r="T20" i="5" s="1"/>
  <c r="G14" i="1" l="1"/>
  <c r="E14" i="1"/>
  <c r="H14" i="1" s="1"/>
  <c r="D14" i="1"/>
  <c r="V14" i="1" s="1"/>
  <c r="T14" i="1" l="1"/>
  <c r="P14" i="1"/>
  <c r="N14" i="1"/>
  <c r="I14" i="1"/>
  <c r="M14" i="1"/>
  <c r="W14" i="1"/>
  <c r="O14" i="1"/>
  <c r="J14" i="1"/>
  <c r="W3" i="1" l="1"/>
  <c r="V3" i="1"/>
  <c r="B2" i="5" l="1"/>
  <c r="B3" i="5" s="1"/>
  <c r="G13" i="1"/>
  <c r="E13" i="1"/>
  <c r="H13" i="1" s="1"/>
  <c r="D13" i="1"/>
  <c r="G12" i="1"/>
  <c r="E12" i="1"/>
  <c r="H12" i="1" s="1"/>
  <c r="D12" i="1"/>
  <c r="V19" i="5" l="1"/>
  <c r="V18" i="5"/>
  <c r="I18" i="5"/>
  <c r="G18" i="5"/>
  <c r="S18" i="5" s="1"/>
  <c r="L18" i="5"/>
  <c r="H18" i="5"/>
  <c r="K18" i="5"/>
  <c r="U18" i="5"/>
  <c r="I19" i="5"/>
  <c r="G19" i="5"/>
  <c r="S19" i="5" s="1"/>
  <c r="L19" i="5"/>
  <c r="H19" i="5"/>
  <c r="U19" i="5"/>
  <c r="K19" i="5"/>
  <c r="V20" i="5"/>
  <c r="I20" i="5"/>
  <c r="L20" i="5"/>
  <c r="U20" i="5"/>
  <c r="K20" i="5"/>
  <c r="G20" i="5"/>
  <c r="S20" i="5" s="1"/>
  <c r="H20" i="5"/>
  <c r="V12" i="1"/>
  <c r="T12" i="1"/>
  <c r="N13" i="1"/>
  <c r="O13" i="1"/>
  <c r="M13" i="1"/>
  <c r="N12" i="1"/>
  <c r="M12" i="1"/>
  <c r="O12" i="1"/>
  <c r="T13" i="1"/>
  <c r="V13" i="1"/>
  <c r="W12" i="1"/>
  <c r="W13" i="1"/>
  <c r="P13" i="1"/>
  <c r="J12" i="1"/>
  <c r="I12" i="1"/>
  <c r="I13" i="1"/>
  <c r="P12" i="1"/>
  <c r="J13" i="1"/>
  <c r="B6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16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16" i="1"/>
  <c r="O11" i="1" l="1"/>
  <c r="M11" i="1"/>
  <c r="N11" i="1"/>
  <c r="O10" i="1"/>
  <c r="M10" i="1"/>
  <c r="N10" i="1"/>
  <c r="O9" i="1"/>
  <c r="M9" i="1"/>
  <c r="N9" i="1"/>
  <c r="W11" i="1"/>
  <c r="E15" i="5"/>
  <c r="W9" i="1"/>
  <c r="W10" i="1"/>
  <c r="T7" i="1"/>
  <c r="I11" i="1"/>
  <c r="I10" i="1"/>
  <c r="I9" i="1"/>
  <c r="W16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H13" i="5"/>
  <c r="S13" i="5"/>
  <c r="I13" i="5"/>
  <c r="U13" i="5"/>
  <c r="K13" i="5"/>
  <c r="V13" i="5"/>
  <c r="L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4" i="1" l="1"/>
  <c r="L11" i="1"/>
  <c r="L13" i="1"/>
  <c r="L12" i="1"/>
  <c r="L9" i="1"/>
  <c r="L10" i="1"/>
  <c r="J11" i="1"/>
  <c r="J9" i="1"/>
  <c r="J10" i="1"/>
  <c r="C7" i="1"/>
  <c r="P16" i="1"/>
  <c r="I16" i="1"/>
  <c r="O16" i="1"/>
  <c r="J16" i="1"/>
  <c r="N16" i="1"/>
  <c r="Q7" i="1" l="1"/>
  <c r="M47" i="3" s="1"/>
  <c r="L7" i="1"/>
  <c r="G47" i="3" s="1"/>
  <c r="K47" i="3"/>
  <c r="J47" i="3"/>
  <c r="K16" i="1"/>
  <c r="M16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<sst xmlns="http://schemas.openxmlformats.org/spreadsheetml/2006/main" count="392" uniqueCount="313">
  <si>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</si>
  <si>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</si>
  <si>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</si>
  <si>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</si>
  <si>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</si>
  <si>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</si>
  <si>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</si>
  <si>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</si>
  <si>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</si>
  <si>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</si>
  <si>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</si>
  <si>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</si>
  <si>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</si>
  <si>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</si>
  <si>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</si>
  <si>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</si>
  <si>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</si>
  <si>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</si>
  <si>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</si>
  <si>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</si>
  <si>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</si>
  <si>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</si>
  <si>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</si>
  <si>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</si>
  <si>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</si>
  <si>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</si>
  <si>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</si>
  <si>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</si>
  <si>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</si>
  <si>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</si>
  <si>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</si>
  <si>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</si>
  <si>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</si>
  <si>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</si>
  <si>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</si>
  <si>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</si>
  <si>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</si>
  <si>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</si>
  <si>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</si>
  <si>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</si>
  <si>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</si>
  <si>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</si>
  <si>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</si>
  <si>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</si>
  <si>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</si>
  <si>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</si>
  <si>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</si>
  <si>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</si>
  <si>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</si>
  <si>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</si>
  <si>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</si>
  <si>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</si>
  <si>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</si>
  <si>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</si>
  <si>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</si>
  <si>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</si>
  <si>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</si>
  <si>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</si>
  <si>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</si>
  <si>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</si>
  <si>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</si>
  <si>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</si>
  <si>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</si>
  <si>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</si>
  <si>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</si>
  <si>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</si>
  <si>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</si>
  <si>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</si>
  <si>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</si>
  <si>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</si>
  <si>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</si>
  <si>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</si>
  <si>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</si>
  <si>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</si>
  <si>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</si>
  <si>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</si>
  <si>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</si>
  <si>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</si>
  <si>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</si>
  <si>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</si>
  <si>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</si>
  <si>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</si>
  <si>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</si>
  <si>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</si>
  <si>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</si>
  <si>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</si>
  <si>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</si>
  <si>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</si>
  <si>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</si>
  <si>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</si>
  <si>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</si>
  <si>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</si>
  <si>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</si>
  <si>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</si>
  <si>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</si>
  <si>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</si>
  <si>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</si>
  <si>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</si>
  <si>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</si>
  <si>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</si>
  <si>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</si>
  <si>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</si>
  <si>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</si>
  <si>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</si>
  <si>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</si>
  <si>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</si>
  <si>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</si>
  <si>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</si>
  <si>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</si>
  <si>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</si>
  <si>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</si>
  <si>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</si>
  <si>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</si>
  <si>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</si>
  <si>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</si>
  <si>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</si>
  <si>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</si>
  <si>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</si>
  <si>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</si>
  <si>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</si>
  <si>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</si>
  <si>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</si>
  <si>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</si>
  <si>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</si>
  <si>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</si>
  <si>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</si>
  <si>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</si>
  <si>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</si>
  <si>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</si>
  <si>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</si>
  <si>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</si>
  <si>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</si>
  <si>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</si>
  <si>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</si>
  <si>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</si>
  <si>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</si>
  <si>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</si>
  <si>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</si>
  <si>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</si>
  <si>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</si>
  <si>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</si>
  <si>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</si>
  <si>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</si>
  <si>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</si>
  <si>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</si>
  <si>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</si>
  <si>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</si>
  <si>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</si>
  <si>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</si>
  <si>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</si>
  <si>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</si>
  <si>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</si>
  <si>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</si>
  <si>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</si>
  <si>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</si>
  <si>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</si>
  <si>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</si>
  <si>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</si>
  <si>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</si>
  <si>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</si>
  <si>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</si>
  <si>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</si>
  <si>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</si>
  <si>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</si>
  <si>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</si>
  <si>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</si>
  <si>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</si>
  <si>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</si>
  <si>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</si>
  <si>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</si>
  <si>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</si>
  <si>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</si>
  <si>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</si>
  <si>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</si>
  <si>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</si>
  <si>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</si>
  <si>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</si>
  <si>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</si>
  <si>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</si>
  <si>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</si>
  <si>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</si>
  <si>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</si>
  <si>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</si>
  <si>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</si>
  <si>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</si>
  <si>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</si>
  <si>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</si>
  <si>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</si>
  <si>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</si>
  <si>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</si>
  <si>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</si>
  <si>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</si>
  <si>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</si>
  <si>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</si>
  <si>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</si>
  <si>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</si>
  <si>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</si>
  <si>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</si>
  <si>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</si>
  <si>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</si>
  <si>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</si>
  <si>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</si>
  <si>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</si>
  <si>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</si>
  <si>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</si>
  <si>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</si>
  <si>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</si>
  <si>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</si>
  <si>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</si>
  <si>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</si>
  <si>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</si>
  <si>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</si>
  <si>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</si>
  <si>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</si>
  <si>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</si>
  <si>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</si>
  <si>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</si>
  <si>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</si>
  <si>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</si>
  <si>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</si>
  <si>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</si>
  <si>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</si>
  <si>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</si>
  <si>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</si>
  <si>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</si>
  <si>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</si>
  <si>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</si>
  <si>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</si>
  <si>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</si>
  <si>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</si>
  <si>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</si>
  <si>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</si>
  <si>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</si>
  <si>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</si>
  <si>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</si>
  <si>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</si>
  <si>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</si>
  <si>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</si>
  <si>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</si>
  <si>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</si>
  <si>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</si>
  <si>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</si>
  <si>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</si>
  <si>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</si>
  <si>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</si>
  <si>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</si>
  <si>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</si>
  <si>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</si>
  <si>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</si>
  <si>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</si>
  <si>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</si>
  <si>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</si>
  <si>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</si>
  <si>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</si>
  <si>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</si>
  <si>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</si>
  <si>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</si>
  <si>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</si>
  <si>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</si>
  <si>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</si>
  <si>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</si>
  <si>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</si>
  <si>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</si>
  <si>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</si>
  <si>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</si>
  <si>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</si>
  <si>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</si>
  <si>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</si>
  <si>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</si>
  <si>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</si>
  <si>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</si>
  <si>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</si>
  <si>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</si>
  <si>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</si>
  <si>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</si>
  <si>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</si>
  <si>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</si>
  <si>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</si>
  <si>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</si>
  <si>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</si>
  <si>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</si>
  <si>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</si>
  <si>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</si>
  <si>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</si>
  <si>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</si>
  <si>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</si>
  <si>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</si>
  <si>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</si>
  <si>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</si>
  <si>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</si>
  <si>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</si>
  <si>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</si>
  <si>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</si>
  <si>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</si>
  <si>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</si>
  <si>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</si>
  <si>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</si>
  <si>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</si>
  <si>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</si>
  <si>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</si>
  <si>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</si>
  <si>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IS_ACTIVE</t>
  </si>
  <si>
    <t>varchar(50)</t>
  </si>
  <si>
    <t>PROD_LINE</t>
  </si>
  <si>
    <t>WORKING_DATE</t>
  </si>
  <si>
    <t>varchar(1)</t>
  </si>
  <si>
    <t>LogW.Pup</t>
  </si>
  <si>
    <t>SHIFT1</t>
  </si>
  <si>
    <t>SHIFT2</t>
  </si>
  <si>
    <t>SHIFT3</t>
  </si>
  <si>
    <t>LogW PXP Unpacking Plan Base</t>
  </si>
  <si>
    <t>LgwPupPxPUpPlanBase</t>
  </si>
  <si>
    <t>PxPUpPlanBase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</si>
</sst>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workbookViewId="0">
      <selection activeCell="C29" sqref="C29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vovina.LogW.Pup
{
	[Table("LgwPupPxPUpPlanBase")]
	[Index(nameof(WorkingDate), Name="IX_LgwPupPxPUpPlanBase_WorkingDate")]
	[Index(nameof(ProdLine), Name="IX_LgwPupPxPUpPlanBase_ProdLine")]
	[Index(nameof(IsActive), Name="IX_LgwPupPxPUpPlanBase_IsActive")]	public class LgwPupPxPUpPlanBase: FullAuditedEntity&lt;long&gt;, IEntity&lt;long&gt;	
	{
		public const int MaxProdLineLength = 50;
		public const int MaxIsActiveLength = 1;
		[Column(TypeName="date")]
		public virtual DateTime WorkingDate { get; set; }
		[StringLength(MaxProdLineLength)]
		public virtual string ProdLine { get; set; }
		public virtual int Shift1 { get; set; }
		public virtual int Shift2 { get; set; }
		public virtual int Shift3 { get; set; }
		[StringLength(MaxIsActiveLength)]
		public virtual string IsActive { get; set; }
	}
}
</v>
      </c>
      <c r="D47" s="51" t="str">
        <f>A.Backend!O7</f>
        <v xml:space="preserve">		public const string Pages_LogW_Pup_PxPUpPlanBase = "Pages.LogW.Pup.PxPUpPlanBase";
		public const string Pages_LogW_Pup_PxPUpPlanBase_CreateEdit = "Pages.LogW.Pup.PxPUpPlanBase.CreateEdit";
		public const string Pages_LogW_Pup_PxPUpPlanBase_Delete = "Pages.LogW.Pup.PxPUpPlanBase.Delete";
</v>
      </c>
      <c r="E47" s="51" t="str">
        <f>A.Backend!N7</f>
        <v xml:space="preserve">		var perLgwPupPxPUpPlanBase = PARENTS.CreateChildPermission(AppPermissions.Pages_LogW_Pup_PxPUpPlanBase, L( "LogWPupPxPUpPlanBase"));
		perLgwPupPxPUpPlanBase.CreateChildPermission(AppPermissions.Pages_LogW_Pup_PxPUpPlanBase_CreateEdit, L( "LogWPupPxPUpPlanBaseCreateEdit"));
		perLgwPupPxPUpPlanBase.CreateChildPermission(AppPermissions.Pages_LogW_Pup_PxPUpPlanBase_Delete, L( "LogWPupPxPUpPlanBaseDelete"));</v>
      </c>
      <c r="F47" s="51" t="str">
        <f>A.Backend!K7</f>
        <v>public virtual DbSet&lt;LgwPupPxPUpPlanBase&gt; LgwPupPxPUpPlanBases { get; set; }</v>
      </c>
      <c r="G47" s="51" t="str">
        <f ca="1">A.Backend!L7</f>
        <v xml:space="preserve">namespace vovina.LogW.Pup
{
	public class LgwPupPxPUpPlanBaseConsts	
	{
		public const int MaxProdLineLength = 50;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vovina.LogW.Pup.Dto
{
	public class LgwPupPxPUpPlanBaseDto : EntityDto&lt;long?&gt;	
	{
		public virtual DateTime? WorkingDate { get; set; }
		public virtual string ProdLine { get; set; }
		public virtual int Shift1 { get; set; }
		public virtual int Shift2 { get; set; }
		public virtual int Shift3 { get; set; }
		public virtual string IsActive { get; set; }
	}
	public class CreateOrEditLgwPupPxPUpPlanBaseDto : EntityDto&lt;long?&gt;	
	{
		public virtual DateTime? WorkingDate { get; set; }
		[StringLength(LgwPupPxPUpPlanBaseConsts.MaxProdLineLength)]
		public virtual string ProdLine { get; set; }
		public virtual int Shift1 { get; set; }
		public virtual int Shift2 { get; set; }
		public virtual int Shift3 { get; set; }
		[StringLength(LgwPupPxPUpPlanBaseConsts.MaxIsActiveLength)]
		public virtual string IsActive { get; set; }
	}
	public class GetLgwPupPxPUpPlanBaseInput : PagedAndSortedResultRequestDto	
	{
		public virtual DateTime? WorkingDate { get; set; }
		public virtual string ProdLine { get; set; }
		public virtual int Shift1 { get; set; }
		public virtual int Shift2 { get; set; }
		public virtual int Shift3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vovina.LogW.Pup.Dto
{
	public class LgwPupPxPUpPlanBaseExportInput{
		public virtual DateTime? WorkingDate { get; set; }
		public virtual string ProdLine { get; set; }
		public virtual int Shift1 { get; set; }
		public virtual int Shift2 { get; set; }
		public virtual int Shift3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vovina.LogW.Pup.Dto;
namespace vovina.LogW.Pup
{
	public interface ILgwPupPxPUpPlanBaseAppService : IApplicationService
	{
		Task&lt;PagedResultDto&lt;LgwPupPxPUpPlanBaseDto&gt;&gt; GetAll(GetLgwPupPxPUpPlanBaseInput input);
		Task CreateOrEdit(CreateOrEditLgwPupPxPUpPlanBaseDto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vovina.LogW.Pup.Dto;
namespace vovina.LogW.Pup.Exporting
{
	public interface ILgwPupPxPUpPlanBaseExcelExporter : IApplicationService
	{
		FileDto ExportToFile(List&lt;LgwPupPxPUpPlanBaseDto&gt; lgwpuppxpupplanbase);
	}
}
</v>
      </c>
      <c r="L47" s="51" t="str">
        <f ca="1">A.Backend!T7</f>
        <v>using System.Collections.Generic;
using vovina.DataExporting.Excel.NPOI;
using vovina.Dto;
using vovina.LogW.Pup.Exporting;
using vovina.LogW.Pup.Dto;
using vovina.Storage;
using vovina.LogW.Pup.Dto;
namespace vovina.LogW.Pup.Exporting
{
    public class LgwPupPxPUpPlanBaseExcelExporter : NpoiExcelExporterBase, ILgwPupPxPUpPlanBaseExcelExporter
    {
        public LgwPupPxPUpPlanBaseExcelExporter(ITempFileCacheManager tempFileCacheManager) : base(tempFileCacheManager) { }
        public FileDto ExportToFile(List&lt;LgwPupPxPUpPlanBaseDto&gt; pxpupplanbase)
        {
            return CreateExcelPackage(
				"LogWPupPxPUpPlanBase.xlsx",
				excelPackage =&gt;
				 {
					var sheet = excelPackage.CreateSheet("PxPUpPlanBase");
					AddHeader(
								sheet,
								("WorkingDate"),
								("ProdLine"),
								("Shift1"),
								("Shift2"),
								("Shift3"),
								("IsActive"),
							   );
					AddObjects(
						 sheet, 1, pxpupplanbase,                                       
								_ =&gt; _.WorkingDate,
								_ =&gt; _.ProdLine,
								_ =&gt; _.Shift1,
								_ =&gt; _.Shift2,
								_ =&gt; _.Shift3,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vovina.LogW.Pup.Dto;
using vovina.LogW.Pup.Exporting;
namespace vovina.LogW.Pup
{
    [AbpAuthorize(AppPermissions.Pages_LogW_Pup_PxPUpPlanBase)]
    public class LgwPupPxPUpPlanBaseAppService : vovinaAppServiceBase, ILgwPupPxPUpPlanBaseAppService
    {
        private readonly IDapperRepository&lt;LgwPupPxPUpPlanBase, long&gt; _dapperRepo;
        private readonly IRepository&lt;LgwPupPxPUpPlanBase, long&gt; _repo;
        private readonly ILgwPupPxPUpPlanBaseExcelExporter _calendarListExcelExporter;
        public LgwPupPxPUpPlanBaseAppService(IRepository&lt;LgwPupPxPUpPlanBase,long&gt; repo, 
                                         IDapperRepository&lt;LgwPupPxPUpPlanBase,long&gt; dapperRepo,
                                        ILgwPupPxPUpPlanBaseExcelExporter calendarListExcelExporter
            )
        {
            _repo = repo;
            _dapperRepo = dapperRepo;
            _calendarListExcelExporter = calendarListExcelExporter;
        }
        [AbpAuthorize(AppPermissions.Pages_LogW_Pup_PxPUpPlanBase_CreateEdit)]
        public async Task CreateOrEdit(CreateOrEditLgwPupPxPUpPlanBaseDto input)
        {
            if (input.Id == null) await Create(input);
            else await Update(input);
        }
        //CREATE
        private async Task Create(CreateOrEditLgwPupPxPUpPlanBaseDto input)
        {          
            var mainObj = ObjectMapper.Map&lt;LgwPupPxPUpPlanBase&gt;(input);
            await CurrentUnitOfWork.GetDbContext&lt;vovinaDbContext&gt;().AddAsync(mainObj);
        }
        // EDIT
        private async Task Update(CreateOrEditLgwPupPxPUpPlanBaseDto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[AbpAuthorize(AppPermissions.Pages_LogW_Pup_PxPUpPlanBase_Delete)]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Task&lt;PagedResultDto&lt;LgwPupPxPUpPlanBaseDto&gt;&gt; GetAll(GetLgwPupPxPUpPlanBaseInput input)
        {
            var filtered = _repo.GetAll()
				.WhereIf(input.WorkingDate.HasValue, t =&gt; t.WorkingDate == input.WorkingDate.Value)
				.WhereIf(!string.IsNullOrWhiteSpace(input.ProdLine), e =&gt; e.ProdLine.Contains(input.ProdLine))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LgwPupPxPUpPlanBaseDto
                        {
							Id = o.Id,
							WorkingDate = o.WorkingDate,
							ProdLine = o.ProdLine,
							Shift1 = o.Shift1,
							Shift2 = o.Shift2,
							Shift3 = o.Shift3,
							IsActive = o.IsActive,
                        };
            var totalCount = await filtered.CountAsync();
			var paged = system.PageBy(input);
            return new PagedResultDto&lt;LgwPupPxPUpPlanBaseDto&gt;(
                totalCount,
                 await paged.ToListAsync()
            );
        }
        public async Task&lt;FileDto&gt; GetPxPUpPlanBaseToExcel(LgwPupPxPUpPlanBaseExportInput input)
        {
            var query = from o in _repo.GetAll()
                        select new LgwPupPxPUpPlanBaseDto
                        {
							Id = o.Id,
							WorkingDate = o.WorkingDate,
							ProdLine = o.ProdLine,
							Shift1 = o.Shift1,
							Shift2 = o.Shift2,
							Shift3 = o.Shift3,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_dapperRepo.ExecuteAsync(LgwPupPxPUpPlanBaseConsts.SP_MST_WPT_CALENDAR_GENERATE);
       // }
    }
}</v>
      </c>
      <c r="N47" s="62" t="str">
        <f>A.Backend!U7</f>
        <v xml:space="preserve">  configuration.CreateMap&lt;LgwPupPxPUpPlanBaseDto, LgwPupPxPUpPlanBase&gt;();
  configuration.CreateMap&lt;LgwPupPxPUpPlanBase, LgwPupPxPUpPlanBaseDto&gt;();
  configuration.CreateMap&lt;CreateOrEditLgwPupPxPUpPlanBaseDto, LgwPupPxPUpPlanBase&gt;();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pxpupplanbase</v>
      </c>
      <c r="C52" s="72" t="str">
        <f>"create folder " &amp;B52</f>
        <v>create folder pxpupplanbase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pxpupplanbase.component.ts</v>
      </c>
      <c r="D53" s="31" t="str">
        <f>B.Frontend!I14</f>
        <v>pxpupplanbase.component.html</v>
      </c>
      <c r="E53" s="31" t="str">
        <f>B.Frontend!J14</f>
        <v>pxpupplanbase.component.less</v>
      </c>
      <c r="F53" s="31" t="str">
        <f>B.Frontend!K14</f>
        <v>create-or-edit-pxpupplanbase-modal.component.html</v>
      </c>
      <c r="G53" s="31" t="str">
        <f>B.Frontend!L14</f>
        <v>create-or-edit-pxpupplanbase-modal.component.ts</v>
      </c>
      <c r="H53" s="31" t="str">
        <f>B.Frontend!M14</f>
        <v>create-or-edit-pxpupplanbase-modal.component.less</v>
      </c>
      <c r="I53" s="31" t="str">
        <f>B.Frontend!N14</f>
        <v>pxpupplanbase.module.ts</v>
      </c>
      <c r="J53" s="31" t="str">
        <f>B.Frontend!O14</f>
        <v>pxpupplanbase-routing.module.ts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LgwPupPxPUpPlanBaseDto, LgwPupPxPUpPlanBaseServiceProxy } from '@shared/service-proxies/service-proxies';
import { finalize } from 'rxjs/internal/operators/finalize';
import { CreateOrEditPxPUpPlanBaseModalComponent } from './create-or-edit-pxpupplanbase-modal.component';
import { DatePipe } from '@angular/common';
import { FileDownloadService } from '@shared/utils/file-download.service';
import ceil from 'lodash-es/ceil';
import { Paginator } from 'primeng/paginator';
@Component({
    templateUrl: './pxpupplanbase.component.html',
    styleUrls: ['./pxpupplanbase.component.less'],
})
export class PxPUpPlanBaseComponent extends AppComponentBase implements OnInit {
    @ViewChild('createOrEditModalPxPUpPlanBase', { static: true }) createOrEditModalPxPUpPlanBase:| CreateOrEditPxPUpPlanBaseModalComponent|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LgwPupPxPUpPlanBaseDto = new LgwPupPxPUpPlanBaseDto();
    saveSelectedRow: LgwPupPxPUpPlanBaseDto = new LgwPupPxPUpPlanBaseDto();
    datas: LgwPupPxPUpPlanBaseDto = new LgwPupPxPUpPlanBaseDto();
    isLoading: boolean = false;
    dataParams: GridParams | undefined;
    rowData: any[] = [];
    gridApi!: GridApi;
    rowSelection = 'multiple';
    filter: string = '';
	pipe = new DatePipe('en-US');
	frameworkComponents: FrameworkComponent;
    workingDate : any ;
	prodLine : string = '' ; 
	shift1 : number = 0 ;
	shift2 : number = 0 ;
	shift3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LgwPupPxPUpPlanBaseServiceProxy,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this.l('Working Date'),headerTooltip: this.l('Working Date'),field: 'workingDate',valueGetter: (params) =&gt; this.pipe.transform(params.data?.workingDate, 'dd/MM/yyyy'),flex: 1},
			{headerName: this.l('Prod Line'),headerTooltip: this.l('Prod Line'),field: 'prodLine',flex: 1},
			{headerName: this.l('Shift1'),headerTooltip: this.l('Shift1'),field: 'shift1',flex: 1},
			{headerName: this.l('Shift2'),headerTooltip: this.l('Shift2'),field: 'shift2',flex: 1},
			{headerName: this.l('Shift3'),headerTooltip: this.l('Shift3'),field: 'shift3',flex: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this.workingDate,
			this.prodLine,
			this.shift1,
			this.shift2,
			this.shift3,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this.workingDate = '',
		this.prodLine = '',
		this.shift1 = 0,
		this.shift2 = 0,
		this.shift3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this.workingDate,
			this.prodLine,
			this.shift1,
			this.shift2,
			this.shift3,
			this.isActive,
			'',
            this.paginationParams.skipCount,
            this.paginationParams.pageSize
        );
    }
    onChangeRowSelection(params: { api: { getSelectedRows: () =&gt; LgwPupPxPUpPlanBaseDto[] } }) {
        this.saveSelectedRow = params.api.getSelectedRows()[0] ?? new LgwPupPxPUpPlanBaseDto();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LgwPupPxPUpPlanBaseDto):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this._service.getPxPUpPlanBaseToExcel(
			this.workingDate,
			this.prodLine,
			this.shift1,
			this.shift2,
			this.shift3,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PXP Unpacking Plan Base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(click)="createOrEditModalPxPUpPlanBase.show()"&gt;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(click)="createOrEditModalPxPUpPlanBase.show(selectedRow)"&gt;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&lt;create-or-edit-pxpupplanbase-modal
    #createOrEditModalPxPUpPlanBase
    (modalSave)="callBackDataGrid(dataParams)"
    (modalClose)="onChangeRowSelection(dataParams)"
&gt;
&lt;/create-or-edit-pxpupplanbase-modal&gt;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#createOrEditModalPxPUpPlanBase="bs-modal"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PxPUpPlanBase')}}&lt;/h3&gt;
                    &lt;h3 *ngIf="!rowdata.id"&gt;{{('Create New PxPUpPlanBase')}}&lt;/h3&gt;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title'&gt;Shift1&lt;/label&gt;
						&lt;input type='number' class='col-md-10 form-control input-text' name='Shift1' [(ngModel)]='rowdata.shift1'&gt;
					&lt;/div&gt;
					&lt;div class='col-md-12 form-group row'&gt;
						&lt;label class='col-md-2 form-control title'&gt;Shift2&lt;/label&gt;
						&lt;input type='number' class='col-md-10 form-control input-text' name='Shift2' [(ngModel)]='rowdata.shift2'&gt;
					&lt;/div&gt;
					&lt;div class='col-md-12 form-group row'&gt;
						&lt;label class='col-md-2 form-control title'&gt;Shift3&lt;/label&gt;
						&lt;input type='number' class='col-md-10 form-control input-text' name='Shift3' [(ngModel)]='rowdata.shift3'&gt;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CreateOrEditLgwPupPxPUpPlanBaseDto, LgwPupPxPUpPlanBaseServiceProxy } from '@shared/service-proxies/service-proxies';
import { BsDatepickerDirective } from 'ngx-bootstrap/datepicker';
@Component({
    selector: 'create-or-edit-pxpupplanbase-modal',
    templateUrl: './create-or-edit-pxpupplanbase-modal.component.html',
    styleUrls: ['./create-or-edit-pxpupplanbase-modal.component.less']
    })
export class CreateOrEditPxPUpPlanBaseModalComponent extends AppComponentBase {
    @ViewChild('createOrEditModalPxPUpPlanBase',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CreateOrEditLgwPupPxPUpPlanBaseDto = new CreateOrEditLgwPupPxPUpPlanBaseDto();
    active: boolean = false;
    saving: boolean = false;
    _isActive: boolean;
    constructor(
        injector: Injector,
        private _mstwptPxPUpPlanBaseService: LgwPupPxPUpPlanBaseServiceProxy,
    ) 
    {
        super(injector);
    }
    show(rowdata?: CreateOrEditLgwPupPxPUpPlanBaseDto): void {
        if (!rowdata) this.rowdata = new CreateOrEditLgwPupPxPUpPlanBaseDto();
        else this.rowdata = rowdata;
		const dateValue =  this.rowdata.workingDate ? new Date(this.rowdata.workingDate?.toString())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this._mstwptPxPUpPlanBaseService.createOrEdit(this.rowdata)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PxPUpPlanBaseRoutingModule } from './pxpupplanbase-routing.module';
import { PxPUpPlanBaseComponent } from './pxpupplanbase.component';
import { CreateOrEditPxPUpPlanBaseModalComponent } from './create-or-edit-pxpupplanbase-modal.component';
@NgModule({
    declarations: [
       PxPUpPlanBaseComponent, 
        CreateOrEditPxPUpPlanBaseModalComponent
    ],
    imports: [
        AppSharedModule, PxPUpPlanBaseRoutingModule]
})
export class PxPUpPlanBaseModule {}</v>
      </c>
      <c r="J54" s="49" t="str">
        <f>B.Frontend!O10</f>
        <v>import {NgModule} from '@angular/core';
import {RouterModule, Routes} from '@angular/router';
import { PxPUpPlanBaseComponent } from './pxpupplanbase.component';
const routes: Routes = [{
    path: '',
    component: PxPUpPlanBaseComponent,
    pathMatch: 'full'
}];
@NgModule({
    imports: [RouterModule.forChild(routes)],
    exports: [RouterModule],
})
export class PxPUpPlanBaseRoutingModule {}</v>
      </c>
      <c r="K54" s="49" t="str">
        <f>B.Frontend!P10</f>
        <v xml:space="preserve"> new AppMenuItem("PxPUpPlanBase", "Pages.LogW.Pup.PxPUpPlanBase", "flaticon-book",   "/app/main/logw/pup/pxpupplanbase"),</v>
      </c>
      <c r="L54" s="50" t="str">
        <f>B.Frontend!Q10</f>
        <v>{
    path: 'logw/pup/pxpupplanbase',
    loadChildren: () =&gt; import('./logw/pup/pxpupplanbase/pxpupplanbase.module').then(m =&gt; m.PxPUpPlanBaseModule),
    data: { permission: 'Pages.LogW.Pup.PxPUpPlanBase' }
},</v>
      </c>
      <c r="M54" s="48" t="str">
        <f>B.Frontend!R10</f>
        <v>ApiServiceProxies.LgwPupPxPUpPlanBaseServiceProxy,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6"/>
  <sheetViews>
    <sheetView tabSelected="1" zoomScaleNormal="100" workbookViewId="0">
      <pane xSplit="1" topLeftCell="B1" activePane="topRight" state="frozen"/>
      <selection pane="topRight" activeCell="G15" sqref="G15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vovina.LogW.Pup.Dto;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306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311</v>
      </c>
      <c r="C3" s="10" t="s">
        <v>43</v>
      </c>
      <c r="D3" s="10" t="s">
        <v>44</v>
      </c>
      <c r="E3" s="10" t="s">
        <v>39</v>
      </c>
      <c r="F3" s="11" t="str">
        <f>"J"&amp;COUNTA($A:$A)</f>
        <v>J14</v>
      </c>
      <c r="G3" s="4" t="s">
        <v>57</v>
      </c>
      <c r="H3" s="10" t="str">
        <f>"I"&amp;COUNTA($A:$A)</f>
        <v>I14</v>
      </c>
      <c r="I3" s="10" t="str">
        <f>REPT(CHAR(9),2)&amp;"[Required]"&amp;"
"</f>
        <v xml:space="preserve">		[Required]
</v>
      </c>
      <c r="J3" s="11" t="str">
        <f>"L"&amp;COUNTA($A:$A)</f>
        <v>L14</v>
      </c>
      <c r="K3" s="5" t="s">
        <v>56</v>
      </c>
      <c r="L3" s="11" t="str">
        <f>"M"&amp;COUNTA($A:$A)</f>
        <v>M14</v>
      </c>
      <c r="M3" s="11" t="str">
        <f>"N"&amp;COUNTA($A:$A)</f>
        <v>N14</v>
      </c>
      <c r="N3" s="11" t="str">
        <f>"O"&amp;COUNTA($A:$A)</f>
        <v>O14</v>
      </c>
      <c r="O3" s="11" t="str">
        <f>"P"&amp;COUNTA($A:$A)</f>
        <v>P14</v>
      </c>
      <c r="Q3" s="11" t="str">
        <f>RIGHT(B2,(LEN(B2)-FIND(".",B2,1)))</f>
        <v>Pup</v>
      </c>
      <c r="R3" s="32" t="str">
        <f>REPT(CHAR(9),1)&amp;"public class "&amp;B3&amp;"ExportInput"&amp;C3</f>
        <v xml:space="preserve">	public class LgwPupPxPUpPlanBaseExportInput{
</v>
      </c>
      <c r="S3" s="11" t="str">
        <f>"namespace "&amp;$B$6&amp;".Exporting
"&amp;$C$3</f>
        <v xml:space="preserve">namespace vovina.LogW.Pup.Exporting
{
</v>
      </c>
      <c r="T3" s="11" t="str">
        <f>"T"&amp;COUNTA($A:$A)</f>
        <v>T14</v>
      </c>
      <c r="V3" s="11" t="str">
        <f>"V"&amp;COUNTA($A:$A)</f>
        <v>V14</v>
      </c>
      <c r="W3" s="10" t="str">
        <f>"W"&amp;COUNTA($A:$A)</f>
        <v>W14</v>
      </c>
    </row>
    <row r="4" spans="1:23" s="11" customFormat="1" ht="33" customHeight="1" x14ac:dyDescent="0.25">
      <c r="A4" s="1" t="s">
        <v>237</v>
      </c>
      <c r="B4" s="64" t="s">
        <v>271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312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vovina.LogW.Pup</v>
      </c>
      <c r="C6" s="11" t="str">
        <f>"namespace "&amp;$B$6&amp;"
"&amp;$C$3</f>
        <v xml:space="preserve">namespace vovina.LogW.Pup
{
</v>
      </c>
      <c r="D6" s="11" t="str">
        <f>REPT(CHAR(9),1)&amp;"public class "&amp;B3&amp;G3&amp;REPT(CHAR(9),1)&amp;"
"&amp;REPT(CHAR(9),1)&amp;C3</f>
        <v xml:space="preserve">	public class LgwPupPxPUpPlanBase: FullAuditedEntity&lt;long&gt;, IEntity&lt;long&gt;	
	{
</v>
      </c>
      <c r="E6" s="11" t="str">
        <f>REPT(CHAR(9),1)&amp;"public class "&amp;B3&amp;"Consts"&amp;REPT(CHAR(9),1)&amp;"
"&amp;REPT(CHAR(9),1)&amp;C3</f>
        <v xml:space="preserve">	public class LgwPupPxPUpPlanBaseConsts	
	{
</v>
      </c>
      <c r="F6" s="11" t="str">
        <f>REPT(CHAR(9),1)&amp;"public class "&amp;B3&amp;"Dto"&amp;K3&amp;REPT(CHAR(9),1)&amp;"
"&amp;REPT(CHAR(9),1)&amp;C3</f>
        <v xml:space="preserve">	public class LgwPupPxPUpPlanBaseDto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CreateOrEditLgwPupPxPUpPlanBaseDto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GetLgwPupPxPUpPlanBaseInput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LgwPupPxPUpPlanBase</v>
      </c>
      <c r="C7" s="11" t="str">
        <f>REPT(CHAR(9),1)&amp;"[Table("""&amp;B7&amp;""")]"&amp;"
"</f>
        <v xml:space="preserve">	[Table("LgwPupPxPUpPlanBase")]
</v>
      </c>
      <c r="D7" s="11"/>
      <c r="E7" s="11"/>
      <c r="F7" s="11"/>
      <c r="G7" s="11"/>
      <c r="H7" s="11"/>
      <c r="I7" s="11"/>
      <c r="J7" s="6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vovina.LogW.Pup
{
	[Table("LgwPupPxPUpPlanBase")]
	[Index(nameof(WorkingDate), Name="IX_LgwPupPxPUpPlanBase_WorkingDate")]
	[Index(nameof(ProdLine), Name="IX_LgwPupPxPUpPlanBase_ProdLine")]
	[Index(nameof(IsActive), Name="IX_LgwPupPxPUpPlanBase_IsActive")]	public class LgwPupPxPUpPlanBase: FullAuditedEntity&lt;long&gt;, IEntity&lt;long&gt;	
	{
		public const int MaxProdLineLength = 50;
		public const int MaxIsActiveLength = 1;
		[Column(TypeName="date")]
		public virtual DateTime WorkingDate { get; set; }
		[StringLength(MaxProdLineLength)]
		public virtual string ProdLine { get; set; }
		public virtual int Shift1 { get; set; }
		public virtual int Shift2 { get; set; }
		public virtual int Shift3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DbSet&lt;LgwPupPxPUpPlanBase&gt; LgwPupPxPUpPlanBases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vovina.LogW.Pup
{
	public class LgwPupPxPUpPlanBaseConsts	
	{
		public const int MaxProdLineLength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vovina.LogW.Pup.Dto
{
	public class LgwPupPxPUpPlanBaseDto : EntityDto&lt;long?&gt;	
	{
		public virtual DateTime? WorkingDate { get; set; }
		public virtual string ProdLine { get; set; }
		public virtual int Shift1 { get; set; }
		public virtual int Shift2 { get; set; }
		public virtual int Shift3 { get; set; }
		public virtual string IsActive { get; set; }
	}
	public class CreateOrEditLgwPupPxPUpPlanBaseDto : EntityDto&lt;long?&gt;	
	{
		public virtual DateTime? WorkingDate { get; set; }
		[StringLength(LgwPupPxPUpPlanBaseConsts.MaxProdLineLength)]
		public virtual string ProdLine { get; set; }
		public virtual int Shift1 { get; set; }
		public virtual int Shift2 { get; set; }
		public virtual int Shift3 { get; set; }
		[StringLength(LgwPupPxPUpPlanBaseConsts.MaxIsActiveLength)]
		public virtual string IsActive { get; set; }
	}
	public class GetLgwPupPxPUpPlanBaseInput : PagedAndSortedResultRequestDto	
	{
		public virtual DateTime? WorkingDate { get; set; }
		public virtual string ProdLine { get; set; }
		public virtual int Shift1 { get; set; }
		public virtual int Shift2 { get; set; }
		public virtual int Shift3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perLgwPupPxPUpPlanBase = PARENTS.CreateChildPermission(AppPermissions.Pages_LogW_Pup_PxPUpPlanBase, L( "LogWPupPxPUpPlanBase"));
		perLgwPupPxPUpPlanBase.CreateChildPermission(AppPermissions.Pages_LogW_Pup_PxPUpPlanBase_CreateEdit, L( "LogWPupPxPUpPlanBaseCreateEdit"));
		perLgwPupPxPUpPlanBase.CreateChildPermission(AppPermissions.Pages_LogW_Pup_PxPUpPlanBase_Delete, L( "LogWPupPxPUpPlanBaseDelete"));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Pages_LogW_Pup_PxPUpPlanBase = "Pages.LogW.Pup.PxPUpPlanBase";
		public const string Pages_LogW_Pup_PxPUpPlanBase_CreateEdit = "Pages.LogW.Pup.PxPUpPlanBase.CreateEdit";
		public const string Pages_LogW_Pup_PxPUpPlanBase_Delete = "Pages.LogW.Pup.PxPUpPlanBase.Delete";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vovina.LogW.Pup.Dto;
namespace vovina.LogW.Pup
{
	public interface ILgwPupPxPUpPlanBaseAppService : IApplicationService
	{
		Task&lt;PagedResultDto&lt;LgwPupPxPUpPlanBaseDto&gt;&gt; GetAll(GetLgwPupPxPUpPlanBaseInput input);
		Task CreateOrEdit(CreateOrEditLgwPupPxPUpPlanBaseDto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vovina.LogW.Pup.Dto;
using vovina.LogW.Pup.Exporting;
namespace vovina.LogW.Pup
{
    [AbpAuthorize(AppPermissions.Pages_LogW_Pup_PxPUpPlanBase)]
    public class LgwPupPxPUpPlanBaseAppService : vovinaAppServiceBase, ILgwPupPxPUpPlanBaseAppService
    {
        private readonly IDapperRepository&lt;LgwPupPxPUpPlanBase, long&gt; _dapperRepo;
        private readonly IRepository&lt;LgwPupPxPUpPlanBase, long&gt; _repo;
        private readonly ILgwPupPxPUpPlanBaseExcelExporter _calendarListExcelExporter;
        public LgwPupPxPUpPlanBaseAppService(IRepository&lt;LgwPupPxPUpPlanBase,long&gt; repo, 
                                         IDapperRepository&lt;LgwPupPxPUpPlanBase,long&gt; dapperRepo,
                                        ILgwPupPxPUpPlanBaseExcelExporter calendarListExcelExporter
            )
        {
            _repo = repo;
            _dapperRepo = dapperRepo;
            _calendarListExcelExporter = calendarListExcelExporter;
        }
        [AbpAuthorize(AppPermissions.Pages_LogW_Pup_PxPUpPlanBase_CreateEdit)]
        public async Task CreateOrEdit(CreateOrEditLgwPupPxPUpPlanBaseDto input)
        {
            if (input.Id == null) await Create(input);
            else await Update(input);
        }
        //CREATE
        private async Task Create(CreateOrEditLgwPupPxPUpPlanBaseDto input)
        {          
            var mainObj = ObjectMapper.Map&lt;LgwPupPxPUpPlanBase&gt;(input);
            await CurrentUnitOfWork.GetDbContext&lt;vovinaDbContext&gt;().AddAsync(mainObj);
        }
        // EDIT
        private async Task Update(CreateOrEditLgwPupPxPUpPlanBaseDto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[AbpAuthorize(AppPermissions.Pages_LogW_Pup_PxPUpPlanBase_Delete)]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Task&lt;PagedResultDto&lt;LgwPupPxPUpPlanBaseDto&gt;&gt; GetAll(GetLgwPupPxPUpPlanBaseInput input)
        {
            var filtered = _repo.GetAll()
				.WhereIf(input.WorkingDate.HasValue, t =&gt; t.WorkingDate == input.WorkingDate.Value)
				.WhereIf(!string.IsNullOrWhiteSpace(input.ProdLine), e =&gt; e.ProdLine.Contains(input.ProdLine))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LgwPupPxPUpPlanBaseDto
                        {
							Id = o.Id,
							WorkingDate = o.WorkingDate,
							ProdLine = o.ProdLine,
							Shift1 = o.Shift1,
							Shift2 = o.Shift2,
							Shift3 = o.Shift3,
							IsActive = o.IsActive,
                        };
            var totalCount = await filtered.CountAsync();
			var paged = system.PageBy(input);
            return new PagedResultDto&lt;LgwPupPxPUpPlanBaseDto&gt;(
                totalCount,
                 await paged.ToListAsync()
            );
        }
        public async Task&lt;FileDto&gt; GetPxPUpPlanBaseToExcel(LgwPupPxPUpPlanBaseExportInput input)
        {
            var query = from o in _repo.GetAll()
                        select new LgwPupPxPUpPlanBaseDto
                        {
							Id = o.Id,
							WorkingDate = o.WorkingDate,
							ProdLine = o.ProdLine,
							Shift1 = o.Shift1,
							Shift2 = o.Shift2,
							Shift3 = o.Shift3,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_dapperRepo.ExecuteAsync(LgwPupPxPUpPlanBaseConsts.SP_MST_WPT_CALENDAR_GENERATE);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vovina.LogW.Pup.Dto
{
	public class LgwPupPxPUpPlanBaseExportInput{
		public virtual DateTime? WorkingDate { get; set; }
		public virtual string ProdLine { get; set; }
		public virtual int Shift1 { get; set; }
		public virtual int Shift2 { get; set; }
		public virtual int Shift3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vovina.LogW.Pup.Dto;
namespace vovina.LogW.Pup.Exporting
{
	public interface ILgwPupPxPUpPlanBaseExcelExporter : IApplicationService
	{
		FileDto ExportToFile(List&lt;LgwPupPxPUpPlanBaseDto&gt; lgwpuppxpupplanbase);
	}
}
</v>
      </c>
      <c r="T7" s="28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vovina.LogW.Pup.Exporting;
using vovina.LogW.Pup.Dto;
using vovina.Storage;
using vovina.LogW.Pup.Dto;
namespace vovina.LogW.Pup.Exporting
{
    public class LgwPupPxPUpPlanBaseExcelExporter : NpoiExcelExporterBase, ILgwPupPxPUpPlanBaseExcelExporter
    {
        public LgwPupPxPUpPlanBaseExcelExporter(ITempFileCacheManager tempFileCacheManager) : base(tempFileCacheManager) { }
        public FileDto ExportToFile(List&lt;LgwPupPxPUpPlanBaseDto&gt; pxpupplanbase)
        {
            return CreateExcelPackage(
				"LogWPupPxPUpPlanBase.xlsx",
				excelPackage =&gt;
				 {
					var sheet = excelPackage.CreateSheet("PxPUpPlanBase");
					AddHeader(
								sheet,
								("WorkingDate"),
								("ProdLine"),
								("Shift1"),
								("Shift2"),
								("Shift3"),
								("IsActive"),
							   );
					AddObjects(
						 sheet, 1, pxpupplanbase,                                       
								_ =&gt; _.WorkingDate,
								_ =&gt; _.ProdLine,
								_ =&gt; _.Shift1,
								_ =&gt; _.Shift2,
								_ =&gt; _.Shift3,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configuration.CreateMap&lt;LgwPupPxPUpPlanBaseDto, LgwPupPxPUpPlanBase&gt;();
  configuration.CreateMap&lt;LgwPupPxPUpPlanBase, LgwPupPxPUpPlanBaseDto&gt;();
  configuration.CreateMap&lt;CreateOrEditLgwPupPxPUpPlanBaseDto, LgwPupPxPUpPlanBase&gt;();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304</v>
      </c>
      <c r="B9" t="s">
        <v>2</v>
      </c>
      <c r="C9" t="s">
        <v>1</v>
      </c>
      <c r="D9" t="str">
        <f>SUBSTITUTE(PROPER(A9),"_","")</f>
        <v>WorkingDate</v>
      </c>
      <c r="E9" t="str">
        <f t="shared" ref="E9:E11" si="0">IFERROR(LEFT(B9, FIND("(",B9)-1),B9)</f>
        <v>date</v>
      </c>
      <c r="F9" s="7" t="s">
        <v>2</v>
      </c>
      <c r="G9" t="str">
        <f t="shared" ref="G9:G11" si="1">IFERROR(MID(B9,FIND("(",B9) +1, FIND(")",B9) - FIND("(",B9) - 1),"")</f>
        <v/>
      </c>
      <c r="H9" t="str">
        <f>+VLOOKUP(E9,'Data Type Mapping'!A:B,2,)</f>
        <v>DateTime</v>
      </c>
      <c r="I9" t="str">
        <f t="shared" ref="I9:I11" si="2">IF(H9="string",REPT(CHAR(9),2)&amp;"public const int Max"&amp;D9&amp;"Length = "&amp;G9&amp;";"&amp;$E$3,"" )</f>
        <v/>
      </c>
      <c r="J9" t="str">
        <f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[Column(TypeName="date")]
		public virtual DateTime WorkingDate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[Index(nameof(WorkingDate), Name="IX_LgwPupPxPUpPlanBase_WorkingDate")]</v>
      </c>
      <c r="M9" t="str">
        <f>REPT(CHAR(9),2)&amp;"public virtual "&amp;IF(OR(H9="DateTime",H9="TimeSpan"),H9&amp;"?",H9)&amp;IF(C9="?","? "," ")&amp;D9&amp;" { get; set; }" &amp; "
"</f>
        <v xml:space="preserve">		public virtual DateTime? WorkingDate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DateTime? WorkingDate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DateTime? WorkingDate { get; set; }
</v>
      </c>
      <c r="P9" t="str">
        <f t="shared" ref="P9:P11" si="3">REPT(CHAR(9),7)&amp;D9&amp;" = o." &amp;D9 &amp;","</f>
        <v xml:space="preserve">							WorkingDate = o.WorkingDate,</v>
      </c>
      <c r="T9" s="69" t="str">
        <f>REPT(CHAR(9),8)&amp;"("""&amp;D9&amp;"""),"</f>
        <v xml:space="preserve">								("WorkingDate"),</v>
      </c>
      <c r="V9" s="70" t="str">
        <f>REPT(CHAR(9),8)&amp;"_ =&gt; _."&amp;D9&amp;","</f>
        <v xml:space="preserve">								_ =&gt; _.WorkingDate,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.WhereIf(input.WorkingDate.HasValue, t =&gt; t.WorkingDate == input.WorkingDate.Value)</v>
      </c>
    </row>
    <row r="10" spans="1:23" customFormat="1" ht="21" customHeight="1" x14ac:dyDescent="0.25">
      <c r="A10" t="s">
        <v>303</v>
      </c>
      <c r="B10" t="s">
        <v>302</v>
      </c>
      <c r="C10" t="s">
        <v>1</v>
      </c>
      <c r="D10" t="str">
        <f t="shared" ref="D10:D11" si="4">SUBSTITUTE(PROPER(A10),"_","")</f>
        <v>ProdLine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MaxProdLineLength = 50;
</v>
      </c>
      <c r="J10" t="str">
        <f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[StringLength(MaxProdLineLength)]
		public virtual string ProdLine { get; set; }
</v>
      </c>
      <c r="K10" s="7" t="s">
        <v>206</v>
      </c>
      <c r="L10" t="str">
        <f t="shared" ref="L10:L11" si="5">IF(K10="","",REPT(CHAR(9),1)&amp;"[Index(nameof("&amp;IF(D10="","",""&amp;D10)&amp;")"&amp;", Name="&amp;"""IX_"&amp;$B$7&amp;"_"&amp;D10&amp;""")]")</f>
        <v xml:space="preserve">	[Index(nameof(ProdLine), Name="IX_LgwPupPxPUpPlanBase_ProdLine")]</v>
      </c>
      <c r="M10" t="str">
        <f t="shared" ref="M10:M13" si="6">REPT(CHAR(9),2)&amp;"public virtual "&amp;IF(OR(H10="DateTime",H10="TimeSpan"),H10&amp;"?",H10)&amp;IF(C10="?","? "," ")&amp;D10&amp;" { get; set; }" &amp; "
"</f>
        <v xml:space="preserve">		public virtual string ProdLine { get; set; }
</v>
      </c>
      <c r="N10" t="str">
        <f t="shared" ref="N10:N13" si="7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[StringLength(LgwPupPxPUpPlanBaseConsts.MaxProdLineLength)]
		public virtual string ProdLine { get; set; }
</v>
      </c>
      <c r="O10" t="str">
        <f t="shared" ref="O10:O13" si="8">IF(OR(H10="string",H10="DateTime",H10="int"),REPT(CHAR(9),2)&amp;"public virtual "&amp;IF(OR(H10="DateTime",H10="TimeSpan"),H10&amp;"?",H10)&amp;IF(C10="?","? "," ")&amp;D10&amp;" { get; set; }"&amp;$E$3,"")</f>
        <v xml:space="preserve">		public virtual string ProdLine { get; set; }
</v>
      </c>
      <c r="P10" t="str">
        <f t="shared" si="3"/>
        <v xml:space="preserve">							ProdLine = o.ProdLine,</v>
      </c>
      <c r="T10" s="69" t="str">
        <f t="shared" ref="T10:T13" si="9">REPT(CHAR(9),8)&amp;"("""&amp;D10&amp;"""),"</f>
        <v xml:space="preserve">								("ProdLine"),</v>
      </c>
      <c r="V10" s="70" t="str">
        <f t="shared" ref="V10:V13" si="10">REPT(CHAR(9),8)&amp;"_ =&gt; _."&amp;D10&amp;","</f>
        <v xml:space="preserve">								_ =&gt; _.ProdLine,</v>
      </c>
      <c r="W10" s="69" t="str">
        <f t="shared" ref="W10:W13" si="11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.WhereIf(!string.IsNullOrWhiteSpace(input.ProdLine), e =&gt; e.ProdLine.Contains(input.ProdLine))</v>
      </c>
    </row>
    <row r="11" spans="1:23" customFormat="1" ht="18.75" customHeight="1" x14ac:dyDescent="0.25">
      <c r="A11" t="s">
        <v>307</v>
      </c>
      <c r="B11" t="s">
        <v>4</v>
      </c>
      <c r="C11" t="s">
        <v>1</v>
      </c>
      <c r="D11" t="str">
        <f t="shared" si="4"/>
        <v>Shift1</v>
      </c>
      <c r="E11" t="str">
        <f t="shared" si="0"/>
        <v>int</v>
      </c>
      <c r="F11" s="7"/>
      <c r="G11" t="str">
        <f t="shared" si="1"/>
        <v/>
      </c>
      <c r="H11" t="str">
        <f>+VLOOKUP(E11,'Data Type Mapping'!A:B,2,)</f>
        <v>int</v>
      </c>
      <c r="I11" t="str">
        <f t="shared" si="2"/>
        <v/>
      </c>
      <c r="J11" t="str">
        <f t="shared" ref="J11" si="12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public virtual int Shift1 { get; set; }
</v>
      </c>
      <c r="K11" s="7"/>
      <c r="L11" t="str">
        <f t="shared" si="5"/>
        <v/>
      </c>
      <c r="M11" t="str">
        <f t="shared" si="6"/>
        <v xml:space="preserve">		public virtual int Shift1 { get; set; }
</v>
      </c>
      <c r="N11" t="str">
        <f t="shared" si="7"/>
        <v xml:space="preserve">		public virtual int Shift1 { get; set; }
</v>
      </c>
      <c r="O11" t="str">
        <f t="shared" si="8"/>
        <v xml:space="preserve">		public virtual int Shift1 { get; set; }
</v>
      </c>
      <c r="P11" t="str">
        <f t="shared" si="3"/>
        <v xml:space="preserve">							Shift1 = o.Shift1,</v>
      </c>
      <c r="T11" s="69" t="str">
        <f t="shared" si="9"/>
        <v xml:space="preserve">								("Shift1"),</v>
      </c>
      <c r="V11" s="70" t="str">
        <f t="shared" si="10"/>
        <v xml:space="preserve">								_ =&gt; _.Shift1,</v>
      </c>
      <c r="W11" s="69" t="str">
        <f t="shared" si="11"/>
        <v/>
      </c>
    </row>
    <row r="12" spans="1:23" customFormat="1" ht="22.5" customHeight="1" x14ac:dyDescent="0.25">
      <c r="A12" t="s">
        <v>308</v>
      </c>
      <c r="B12" t="s">
        <v>4</v>
      </c>
      <c r="C12" t="s">
        <v>1</v>
      </c>
      <c r="D12" t="str">
        <f>SUBSTITUTE(PROPER(A12),"_","")</f>
        <v>Shift2</v>
      </c>
      <c r="E12" t="str">
        <f t="shared" ref="E12:E13" si="13">IFERROR(LEFT(B12, FIND("(",B12)-1),B12)</f>
        <v>int</v>
      </c>
      <c r="F12" s="7"/>
      <c r="G12" t="str">
        <f t="shared" ref="G12:G13" si="14">IFERROR(MID(B12,FIND("(",B12) +1, FIND(")",B12) - FIND("(",B12) - 1),"")</f>
        <v/>
      </c>
      <c r="H12" t="str">
        <f>+VLOOKUP(E12,'Data Type Mapping'!A:B,2,)</f>
        <v>int</v>
      </c>
      <c r="I12" t="str">
        <f t="shared" ref="I12:I13" si="15">IF(H12="string",REPT(CHAR(9),2)&amp;"public const int Max"&amp;D12&amp;"Length = "&amp;G12&amp;";"&amp;$E$3,"" )</f>
        <v/>
      </c>
      <c r="J12" t="str">
        <f t="shared" ref="J12:J13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int Shift2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6"/>
        <v xml:space="preserve">		public virtual int Shift2 { get; set; }
</v>
      </c>
      <c r="N12" t="str">
        <f t="shared" si="7"/>
        <v xml:space="preserve">		public virtual int Shift2 { get; set; }
</v>
      </c>
      <c r="O12" t="str">
        <f t="shared" si="8"/>
        <v xml:space="preserve">		public virtual int Shift2 { get; set; }
</v>
      </c>
      <c r="P12" t="str">
        <f t="shared" ref="P12:P13" si="17">REPT(CHAR(9),7)&amp;D12&amp;" = o." &amp;D12 &amp;","</f>
        <v xml:space="preserve">							Shift2 = o.Shift2,</v>
      </c>
      <c r="T12" s="69" t="str">
        <f t="shared" si="9"/>
        <v xml:space="preserve">								("Shift2"),</v>
      </c>
      <c r="V12" s="70" t="str">
        <f t="shared" si="10"/>
        <v xml:space="preserve">								_ =&gt; _.Shift2,</v>
      </c>
      <c r="W12" s="69" t="str">
        <f t="shared" si="11"/>
        <v/>
      </c>
    </row>
    <row r="13" spans="1:23" customFormat="1" ht="21" customHeight="1" x14ac:dyDescent="0.25">
      <c r="A13" t="s">
        <v>309</v>
      </c>
      <c r="B13" t="s">
        <v>4</v>
      </c>
      <c r="C13" t="s">
        <v>1</v>
      </c>
      <c r="D13" t="str">
        <f t="shared" ref="D13" si="18">SUBSTITUTE(PROPER(A13),"_","")</f>
        <v>Shift3</v>
      </c>
      <c r="E13" t="str">
        <f t="shared" si="13"/>
        <v>int</v>
      </c>
      <c r="F13" s="7"/>
      <c r="G13" t="str">
        <f t="shared" si="14"/>
        <v/>
      </c>
      <c r="H13" t="str">
        <f>+VLOOKUP(E13,'Data Type Mapping'!A:B,2,)</f>
        <v>int</v>
      </c>
      <c r="I13" t="str">
        <f t="shared" si="15"/>
        <v/>
      </c>
      <c r="J13" t="str">
        <f t="shared" si="16"/>
        <v xml:space="preserve">		public virtual int Shift3 { get; set; }
</v>
      </c>
      <c r="K13" s="7"/>
      <c r="L13" t="str">
        <f t="shared" ref="L13" si="19">IF(K13="","",REPT(CHAR(9),1)&amp;"[Index(nameof("&amp;IF(D13="","",""&amp;D13)&amp;")"&amp;", Name="&amp;"""IX_"&amp;$B$7&amp;"_"&amp;D13&amp;""")]")</f>
        <v/>
      </c>
      <c r="M13" t="str">
        <f t="shared" si="6"/>
        <v xml:space="preserve">		public virtual int Shift3 { get; set; }
</v>
      </c>
      <c r="N13" t="str">
        <f t="shared" si="7"/>
        <v xml:space="preserve">		public virtual int Shift3 { get; set; }
</v>
      </c>
      <c r="O13" t="str">
        <f t="shared" si="8"/>
        <v xml:space="preserve">		public virtual int Shift3 { get; set; }
</v>
      </c>
      <c r="P13" t="str">
        <f t="shared" si="17"/>
        <v xml:space="preserve">							Shift3 = o.Shift3,</v>
      </c>
      <c r="T13" s="69" t="str">
        <f t="shared" si="9"/>
        <v xml:space="preserve">								("Shift3"),</v>
      </c>
      <c r="V13" s="70" t="str">
        <f t="shared" si="10"/>
        <v xml:space="preserve">								_ =&gt; _.Shift3,</v>
      </c>
      <c r="W13" s="69" t="str">
        <f t="shared" si="11"/>
        <v/>
      </c>
    </row>
    <row r="14" spans="1:23" customFormat="1" ht="21" customHeight="1" x14ac:dyDescent="0.25">
      <c r="A14" t="s">
        <v>301</v>
      </c>
      <c r="B14" t="s">
        <v>305</v>
      </c>
      <c r="C14" t="s">
        <v>1</v>
      </c>
      <c r="D14" t="str">
        <f t="shared" ref="D14" si="20">SUBSTITUTE(PROPER(A14),"_","")</f>
        <v>IsActive</v>
      </c>
      <c r="E14" t="str">
        <f t="shared" ref="E14" si="21">IFERROR(LEFT(B14, FIND("(",B14)-1),B14)</f>
        <v>varchar</v>
      </c>
      <c r="F14" s="7"/>
      <c r="G14" t="str">
        <f t="shared" ref="G14" si="22">IFERROR(MID(B14,FIND("(",B14) +1, FIND(")",B14) - FIND("(",B14) - 1),"")</f>
        <v>1</v>
      </c>
      <c r="H14" t="str">
        <f>+VLOOKUP(E14,'Data Type Mapping'!A:B,2,)</f>
        <v>string</v>
      </c>
      <c r="I14" t="str">
        <f t="shared" ref="I14" si="23">IF(H14="string",REPT(CHAR(9),2)&amp;"public const int Max"&amp;D14&amp;"Length = "&amp;G14&amp;";"&amp;$E$3,"" )</f>
        <v xml:space="preserve">		public const int MaxIsActiveLength = 1;
</v>
      </c>
      <c r="J14" t="str">
        <f t="shared" ref="J14" si="24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[StringLength(MaxIsActiveLength)]
		public virtual string IsActive { get; set; }
</v>
      </c>
      <c r="K14" s="7" t="s">
        <v>206</v>
      </c>
      <c r="L14" t="str">
        <f t="shared" ref="L14" si="25">IF(K14="","",REPT(CHAR(9),1)&amp;"[Index(nameof("&amp;IF(D14="","",""&amp;D14)&amp;")"&amp;", Name="&amp;"""IX_"&amp;$B$7&amp;"_"&amp;D14&amp;""")]")</f>
        <v xml:space="preserve">	[Index(nameof(IsActive), Name="IX_LgwPupPxPUpPlanBase_IsActive")]</v>
      </c>
      <c r="M14" t="str">
        <f t="shared" ref="M14" si="26">REPT(CHAR(9),2)&amp;"public virtual "&amp;IF(OR(H14="DateTime",H14="TimeSpan"),H14&amp;"?",H14)&amp;IF(C14="?","? "," ")&amp;D14&amp;" { get; set; }" &amp; "
"</f>
        <v xml:space="preserve">		public virtual string IsActive { get; set; }
</v>
      </c>
      <c r="N14" t="str">
        <f t="shared" ref="N14" si="27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[StringLength(LgwPupPxPUpPlanBaseConsts.MaxIsActiveLength)]
		public virtual string IsActive { get; set; }
</v>
      </c>
      <c r="O14" t="str">
        <f t="shared" ref="O14" si="28">IF(OR(H14="string",H14="DateTime",H14="int"),REPT(CHAR(9),2)&amp;"public virtual "&amp;IF(OR(H14="DateTime",H14="TimeSpan"),H14&amp;"?",H14)&amp;IF(C14="?","? "," ")&amp;D14&amp;" { get; set; }"&amp;$E$3,"")</f>
        <v xml:space="preserve">		public virtual string IsActive { get; set; }
</v>
      </c>
      <c r="P14" t="str">
        <f t="shared" ref="P14" si="29">REPT(CHAR(9),7)&amp;D14&amp;" = o." &amp;D14 &amp;","</f>
        <v xml:space="preserve">							IsActive = o.IsActive,</v>
      </c>
      <c r="T14" s="69" t="str">
        <f t="shared" ref="T14" si="30">REPT(CHAR(9),8)&amp;"("""&amp;D14&amp;"""),"</f>
        <v xml:space="preserve">								("IsActive"),</v>
      </c>
      <c r="V14" s="70" t="str">
        <f t="shared" ref="V14" si="31">REPT(CHAR(9),8)&amp;"_ =&gt; _."&amp;D14&amp;","</f>
        <v xml:space="preserve">								_ =&gt; _.IsActive,</v>
      </c>
      <c r="W14" s="69" t="str">
        <f t="shared" ref="W14" si="32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.WhereIf(!string.IsNullOrWhiteSpace(input.IsActive), e =&gt; e.IsActive.Contains(input.IsActive))</v>
      </c>
    </row>
    <row r="16" spans="1:23" ht="45.75" customHeight="1" x14ac:dyDescent="0.25">
      <c r="H16" s="12"/>
      <c r="I16" s="34" t="str">
        <f ca="1">TEXTJOIN2("
", TRUE,INDIRECT( $H$1):INDIRECT( $H$3))</f>
        <v xml:space="preserve">		public const int MaxProdLineLength = 50;
		public const int MaxIsActiveLength = 1;
</v>
      </c>
      <c r="J16" s="33" t="str">
        <f ca="1">TEXTJOIN2("
", TRUE,INDIRECT( $F$1):INDIRECT( $F$3))</f>
        <v xml:space="preserve">		[Column(TypeName="date")]
		public virtual DateTime WorkingDate { get; set; }
		[StringLength(MaxProdLineLength)]
		public virtual string ProdLine { get; set; }
		public virtual int Shift1 { get; set; }
		public virtual int Shift2 { get; set; }
		public virtual int Shift3 { get; set; }
		[StringLength(MaxIsActiveLength)]
		public virtual string IsActive { get; set; }
</v>
      </c>
      <c r="K16" s="35" t="str">
        <f ca="1">TEXTJOIN2("
", TRUE,INDIRECT( $J$1):INDIRECT( $J$3))</f>
        <v xml:space="preserve">	[Index(nameof(WorkingDate), Name="IX_LgwPupPxPUpPlanBase_WorkingDate")]
	[Index(nameof(ProdLine), Name="IX_LgwPupPxPUpPlanBase_ProdLine")]
	[Index(nameof(IsActive), Name="IX_LgwPupPxPUpPlanBase_IsActive")]</v>
      </c>
      <c r="L16" s="13" t="s">
        <v>60</v>
      </c>
      <c r="M16" s="36" t="str">
        <f ca="1">TEXTJOIN2("
",TRUE,INDIRECT( $L$1):INDIRECT($L$3))</f>
        <v xml:space="preserve">		public virtual DateTime? WorkingDate { get; set; }
		public virtual string ProdLine { get; set; }
		public virtual int Shift1 { get; set; }
		public virtual int Shift2 { get; set; }
		public virtual int Shift3 { get; set; }
		public virtual string IsActive { get; set; }
</v>
      </c>
      <c r="N16" s="33" t="str">
        <f ca="1">TEXTJOIN2("
",TRUE,INDIRECT( $M$1):INDIRECT($M$3))</f>
        <v xml:space="preserve">		public virtual DateTime? WorkingDate { get; set; }
		[StringLength(LgwPupPxPUpPlanBaseConsts.MaxProdLineLength)]
		public virtual string ProdLine { get; set; }
		public virtual int Shift1 { get; set; }
		public virtual int Shift2 { get; set; }
		public virtual int Shift3 { get; set; }
		[StringLength(LgwPupPxPUpPlanBaseConsts.MaxIsActiveLength)]
		public virtual string IsActive { get; set; }
</v>
      </c>
      <c r="O16" s="33" t="str">
        <f ca="1">TEXTJOIN2("
",TRUE,INDIRECT( $N$1):INDIRECT($N$3))</f>
        <v xml:space="preserve">		public virtual DateTime? WorkingDate { get; set; }
		public virtual string ProdLine { get; set; }
		public virtual int Shift1 { get; set; }
		public virtual int Shift2 { get; set; }
		public virtual int Shift3 { get; set; }
		public virtual string IsActive { get; set; }
</v>
      </c>
      <c r="P16" s="9" t="str">
        <f ca="1">TEXTJOIN2("
",TRUE,INDIRECT( $O$1):INDIRECT($O$3))</f>
        <v xml:space="preserve">							WorkingDate = o.WorkingDate,
							ProdLine = o.ProdLine,
							Shift1 = o.Shift1,
							Shift2 = o.Shift2,
							Shift3 = o.Shift3,
							IsActive = o.IsActive,</v>
      </c>
      <c r="T16" s="9" t="str">
        <f ca="1">TEXTJOIN2("
",TRUE,INDIRECT( $T$2):INDIRECT($T$3))</f>
        <v xml:space="preserve">								("WorkingDate"),
								("ProdLine"),
								("Shift1"),
								("Shift2"),
								("Shift3"),
								("IsActive"),</v>
      </c>
      <c r="V16" s="9" t="str">
        <f ca="1">TEXTJOIN2("
",TRUE,INDIRECT( $V$2):INDIRECT($V$3))</f>
        <v xml:space="preserve">								_ =&gt; _.WorkingDate,
								_ =&gt; _.ProdLine,
								_ =&gt; _.Shift1,
								_ =&gt; _.Shift2,
								_ =&gt; _.Shift3,
								_ =&gt; _.IsActive,</v>
      </c>
      <c r="W16" s="9" t="str">
        <f ca="1">TEXTJOIN2("
",TRUE,INDIRECT( $W$2):INDIRECT($W$3))</f>
        <v xml:space="preserve">				.WhereIf(input.WorkingDate.HasValue, t =&gt; t.WorkingDate == input.WorkingDate.Value)
				.WhereIf(!string.IsNullOrWhiteSpace(input.ProdLine), e =&gt; e.ProdLine.Contains(input.ProdLine))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3"/>
  <sheetViews>
    <sheetView workbookViewId="0">
      <selection activeCell="B11" sqref="B11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310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LogW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logw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Pup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pup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LgwPupPxPUpPlanBase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PxPUpPlanBase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pxpupplanbase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LgwPupPxPUpPlanBaseDto, LgwPupPxPUpPlanBaseServiceProxy } from '@shared/service-proxies/service-proxies';
import { finalize } from 'rxjs/internal/operators/finalize';
import { CreateOrEditPxPUpPlanBaseModalComponent } from './create-or-edit-pxpupplanbase-modal.component';
import { DatePipe } from '@angular/common';
import { FileDownloadService } from '@shared/utils/file-download.service';
import ceil from 'lodash-es/ceil';
import { Paginator } from 'primeng/paginator';
@Component({
    templateUrl: './pxpupplanbase.component.html',
    styleUrls: ['./pxpupplanbase.component.less'],
})
export class PxPUpPlanBaseComponent extends AppComponentBase implements OnInit {
    @ViewChild('createOrEditModalPxPUpPlanBase', { static: true }) createOrEditModalPxPUpPlanBase:| CreateOrEditPxPUpPlanBaseModalComponent|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LgwPupPxPUpPlanBaseDto = new LgwPupPxPUpPlanBaseDto();
    saveSelectedRow: LgwPupPxPUpPlanBaseDto = new LgwPupPxPUpPlanBaseDto();
    datas: LgwPupPxPUpPlanBaseDto = new LgwPupPxPUpPlanBaseDto();
    isLoading: boolean = false;
    dataParams: GridParams | undefined;
    rowData: any[] = [];
    gridApi!: GridApi;
    rowSelection = 'multiple';
    filter: string = '';
	pipe = new DatePipe('en-US');
	frameworkComponents: FrameworkComponent;
    workingDate : any ;
	prodLine : string = '' ; 
	shift1 : number = 0 ;
	shift2 : number = 0 ;
	shift3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LgwPupPxPUpPlanBaseServiceProxy,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this.l('Working Date'),headerTooltip: this.l('Working Date'),field: 'workingDate',valueGetter: (params) =&gt; this.pipe.transform(params.data?.workingDate, 'dd/MM/yyyy'),flex: 1},
			{headerName: this.l('Prod Line'),headerTooltip: this.l('Prod Line'),field: 'prodLine',flex: 1},
			{headerName: this.l('Shift1'),headerTooltip: this.l('Shift1'),field: 'shift1',flex: 1},
			{headerName: this.l('Shift2'),headerTooltip: this.l('Shift2'),field: 'shift2',flex: 1},
			{headerName: this.l('Shift3'),headerTooltip: this.l('Shift3'),field: 'shift3',flex: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this.workingDate,
			this.prodLine,
			this.shift1,
			this.shift2,
			this.shift3,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this.workingDate = '',
		this.prodLine = '',
		this.shift1 = 0,
		this.shift2 = 0,
		this.shift3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this.workingDate,
			this.prodLine,
			this.shift1,
			this.shift2,
			this.shift3,
			this.isActive,
			'',
            this.paginationParams.skipCount,
            this.paginationParams.pageSize
        );
    }
    onChangeRowSelection(params: { api: { getSelectedRows: () =&gt; LgwPupPxPUpPlanBaseDto[] } }) {
        this.saveSelectedRow = params.api.getSelectedRows()[0] ?? new LgwPupPxPUpPlanBaseDto();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LgwPupPxPUpPlanBaseDto):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this._service.getPxPUpPlanBaseToExcel(
			this.workingDate,
			this.prodLine,
			this.shift1,
			this.shift2,
			this.shift3,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PXP Unpacking Plan Base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(click)="createOrEditModalPxPUpPlanBase.show()"&gt;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(click)="createOrEditModalPxPUpPlanBase.show(selectedRow)"&gt;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&lt;create-or-edit-pxpupplanbase-modal
    #createOrEditModalPxPUpPlanBase
    (modalSave)="callBackDataGrid(dataParams)"
    (modalClose)="onChangeRowSelection(dataParams)"
&gt;
&lt;/create-or-edit-pxpupplanbase-modal&gt;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#createOrEditModalPxPUpPlanBase="bs-modal"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PxPUpPlanBase')}}&lt;/h3&gt;
                    &lt;h3 *ngIf="!rowdata.id"&gt;{{('Create New PxPUpPlanBase')}}&lt;/h3&gt;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title'&gt;Shift1&lt;/label&gt;
						&lt;input type='number' class='col-md-10 form-control input-text' name='Shift1' [(ngModel)]='rowdata.shift1'&gt;
					&lt;/div&gt;
					&lt;div class='col-md-12 form-group row'&gt;
						&lt;label class='col-md-2 form-control title'&gt;Shift2&lt;/label&gt;
						&lt;input type='number' class='col-md-10 form-control input-text' name='Shift2' [(ngModel)]='rowdata.shift2'&gt;
					&lt;/div&gt;
					&lt;div class='col-md-12 form-group row'&gt;
						&lt;label class='col-md-2 form-control title'&gt;Shift3&lt;/label&gt;
						&lt;input type='number' class='col-md-10 form-control input-text' name='Shift3' [(ngModel)]='rowdata.shift3'&gt;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CreateOrEditLgwPupPxPUpPlanBaseDto, LgwPupPxPUpPlanBaseServiceProxy } from '@shared/service-proxies/service-proxies';
import { BsDatepickerDirective } from 'ngx-bootstrap/datepicker';
@Component({
    selector: 'create-or-edit-pxpupplanbase-modal',
    templateUrl: './create-or-edit-pxpupplanbase-modal.component.html',
    styleUrls: ['./create-or-edit-pxpupplanbase-modal.component.less']
    })
export class CreateOrEditPxPUpPlanBaseModalComponent extends AppComponentBase {
    @ViewChild('createOrEditModalPxPUpPlanBase',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CreateOrEditLgwPupPxPUpPlanBaseDto = new CreateOrEditLgwPupPxPUpPlanBaseDto();
    active: boolean = false;
    saving: boolean = false;
    _isActive: boolean;
    constructor(
        injector: Injector,
        private _mstwptPxPUpPlanBaseService: LgwPupPxPUpPlanBaseServiceProxy,
    ) 
    {
        super(injector);
    }
    show(rowdata?: CreateOrEditLgwPupPxPUpPlanBaseDto): void {
        if (!rowdata) this.rowdata = new CreateOrEditLgwPupPxPUpPlanBaseDto();
        else this.rowdata = rowdata;
		const dateValue =  this.rowdata.workingDate ? new Date(this.rowdata.workingDate?.toString()) : new Date();
		this.datepicker?.bsValueChange.emit(dateValue);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this._mstwptPxPUpPlanBaseService.createOrEdit(this.rowdata)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PxPUpPlanBaseRoutingModule } from './pxpupplanbase-routing.module';
import { PxPUpPlanBaseComponent } from './pxpupplanbase.component';
import { CreateOrEditPxPUpPlanBaseModalComponent } from './create-or-edit-pxpupplanbase-modal.component';
@NgModule({
    declarations: [
       PxPUpPlanBaseComponent, 
        CreateOrEditPxPUpPlanBaseModalComponent
    ],
    imports: [
        AppSharedModule, PxPUpPlanBaseRoutingModule]
})
export class PxPUpPlanBaseModule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PxPUpPlanBaseComponent } from './pxpupplanbase.component';
const routes: Routes = [{
    path: '',
    component: PxPUpPlanBaseComponent,
    pathMatch: 'full'
}];
@NgModule({
    imports: [RouterModule.forChild(routes)],
    exports: [RouterModule],
})
export class PxPUpPlanBaseRoutingModule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AppMenuItem("PxPUpPlanBase", "Pages.LogW.Pup.PxPUpPlanBase", "flaticon-book",   "/app/main/logw/pup/pxpupplanbase"),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'logw/pup/pxpupplanbase',
    loadChildren: () =&gt; import('./logw/pup/pxpupplanbase/pxpupplanbase.module').then(m =&gt; m.PxPUpPlanBaseModule),
    data: { permission: 'Pages.LogW.Pup.PxPUpPlanBase' }
},</v>
      </c>
      <c r="R10" s="50" t="str">
        <f>SUBSTITUTE(R9,"MstWptCalendar",$B$6)</f>
        <v>ApiServiceProxies.LgwPupPxPUpPlanBaseServiceProxy,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H20</v>
      </c>
      <c r="I12" s="31" t="str">
        <f>"I"&amp;COUNTA($A:$A)</f>
        <v>I20</v>
      </c>
      <c r="J12" s="31"/>
      <c r="K12" s="31" t="str">
        <f>"K"&amp;COUNTA($A:$A)</f>
        <v>K20</v>
      </c>
      <c r="L12" s="31" t="str">
        <f>"L"&amp;COUNTA($A:$A)</f>
        <v>L20</v>
      </c>
      <c r="M12" s="31"/>
      <c r="N12" s="31"/>
      <c r="O12" s="31"/>
      <c r="P12" s="31"/>
      <c r="Q12" s="31"/>
      <c r="R12" s="31"/>
      <c r="S12" s="31" t="str">
        <f>"S"&amp;COUNTA($A:$A)</f>
        <v>S20</v>
      </c>
      <c r="T12" s="31" t="str">
        <f>"T"&amp;COUNTA($A:$A)</f>
        <v>T20</v>
      </c>
      <c r="U12" s="31" t="str">
        <f>"U"&amp;COUNTA($A:$A)</f>
        <v>U20</v>
      </c>
      <c r="V12" s="31" t="str">
        <f>"V"&amp;COUNTA($A:$A)</f>
        <v>V20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this.l('Working Date'),headerTooltip: this.l('Working Date'),field: 'workingDate',valueGetter: (params) =&gt; this.pipe.transform(params.data?.workingDate, 'dd/MM/yyyy'),flex: 1},
			{headerName: this.l('Prod Line'),headerTooltip: this.l('Prod Line'),field: 'prodLine',flex: 1},
			{headerName: this.l('Shift1'),headerTooltip: this.l('Shift1'),field: 'shift1',flex: 1},
			{headerName: this.l('Shift2'),headerTooltip: this.l('Shift2'),field: 'shift2',flex: 1},
			{headerName: this.l('Shift3'),headerTooltip: this.l('Shift3'),field: 'shift3',flex: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title'&gt;Shift1&lt;/label&gt;
						&lt;input type='number' class='col-md-10 form-control input-text' name='Shift1' [(ngModel)]='rowdata.shift1'&gt;
					&lt;/div&gt;
					&lt;div class='col-md-12 form-group row'&gt;
						&lt;label class='col-md-2 form-control title'&gt;Shift2&lt;/label&gt;
						&lt;input type='number' class='col-md-10 form-control input-text' name='Shift2' [(ngModel)]='rowdata.shift2'&gt;
					&lt;/div&gt;
					&lt;div class='col-md-12 form-group row'&gt;
						&lt;label class='col-md-2 form-control title'&gt;Shift3&lt;/label&gt;
						&lt;input type='number' class='col-md-10 form-control input-text' name='Shift3' [(ngModel)]='rowdata.shift3'&gt;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 xml:space="preserve">		const dateValue =  this.rowdata.workingDate ? new Date(this.rowdata.workingDate?.toString())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workingDate : any ;
	prodLine : string = '' ; 
	shift1 : number = 0 ;
	shift2 : number = 0 ;
	shift3 : number = 0 ;
	isActive : string = '' ; </v>
      </c>
      <c r="T13" s="68" t="str">
        <f ca="1">TEXTJOIN2("
",TRUE,INDIRECT(T11):INDIRECT(T12))</f>
        <v xml:space="preserve">			this.workingDate,
			this.prodLine,
			this.shift1,
			this.shift2,
			this.shift3,
			this.isActive,</v>
      </c>
      <c r="U13" s="68" t="str">
        <f ca="1">TEXTJOIN2("
",TRUE,INDIRECT(U11):INDIRECT(U12))</f>
        <v>this.workingDate = '',
		this.prodLine = '',
		this.shift1 = 0,
		this.shift2 = 0,
		this.shift3 = 0,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pxpupplanbase.component.ts</v>
      </c>
      <c r="I14" s="40" t="str">
        <f>B8&amp;".component.html"</f>
        <v>pxpupplanbase.component.html</v>
      </c>
      <c r="J14" s="39" t="str">
        <f>B8&amp;".component.less"</f>
        <v>pxpupplanbase.component.less</v>
      </c>
      <c r="K14" s="40" t="str">
        <f>"create-or-edit-"&amp;B8&amp;"-modal.component.html"</f>
        <v>create-or-edit-pxpupplanbase-modal.component.html</v>
      </c>
      <c r="L14" s="40" t="str">
        <f>"create-or-edit-"&amp;B8&amp;"-modal.component.ts"</f>
        <v>create-or-edit-pxpupplanbase-modal.component.ts</v>
      </c>
      <c r="M14" s="40" t="str">
        <f>"create-or-edit-"&amp;B8&amp;"-modal.component.less"</f>
        <v>create-or-edit-pxpupplanbase-modal.component.less</v>
      </c>
      <c r="N14" s="40" t="str">
        <f>B8&amp;".module.ts"</f>
        <v>pxpupplanbase.module.ts</v>
      </c>
      <c r="O14" s="40" t="str">
        <f>B8&amp;"-routing.module.ts"</f>
        <v>pxpupplanbase-routing.module.ts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304</v>
      </c>
      <c r="B15" s="31" t="str">
        <f>SUBSTITUTE(PROPER(A15),"_","")</f>
        <v>WorkingDate</v>
      </c>
      <c r="C15" s="31" t="str">
        <f>SUBSTITUTE(PROPER(A15),"_"," ")</f>
        <v>Working Date</v>
      </c>
      <c r="D15" s="31" t="str">
        <f>LOWER(LEFT(B15,1))&amp;RIGHT(B15,LEN(B15) - 1)</f>
        <v>workingDate</v>
      </c>
      <c r="E15" s="31" t="str">
        <f>A.Backend!H9</f>
        <v>DateTime</v>
      </c>
      <c r="F15" s="31" t="str">
        <f>A.Backend!G9</f>
        <v/>
      </c>
      <c r="G15" s="31" t="str">
        <f>IF(E15="string"," : string = '' ; ",IF(OR(E15="DateTime",E15="TimeSpan")," : any ;",IF(E15="int"," : number = 0 ;","")))</f>
        <v xml:space="preserve"> : any ;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this.l('Working Date'),headerTooltip: this.l('Working Date'),field: 'workingDate',valueGetter: (params) =&gt; this.pipe.transform(params.data?.workingDate, 'dd/MM/yyyy'),flex: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type='text' [placeholder]="l('Working Date')" [(ngModel)]='workingDate' 
									name='workingDate' (keydown)='searchDatas()' class='form-control' 
									bsDatepicker #d='bsDatepicker' placement='bottom left'&gt;
									&lt;i class='fa fa-calendar-alt' (click)='d.toggle()'&gt;&lt;/i&gt;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 xml:space="preserve">		const dateValue =  this.rowdata.workingDate ? new Date(this.rowdata.workingDate?.toString()) : new Date();
		this.datepicker?.bsValueChange.emit(dateValue);</v>
      </c>
      <c r="M15" s="31"/>
      <c r="N15" s="31"/>
      <c r="O15" s="31"/>
      <c r="P15" s="31"/>
      <c r="Q15" s="31"/>
      <c r="R15" s="31"/>
      <c r="S15" s="31" t="str">
        <f>D15&amp;G15</f>
        <v>workingDate : any ;</v>
      </c>
      <c r="T15" s="31" t="str">
        <f>REPT(CHAR(9),3)&amp;"this."&amp;D15&amp;","</f>
        <v xml:space="preserve">			this.workingDate,</v>
      </c>
      <c r="U15" s="31" t="str">
        <f>IF(E15="int","this."&amp;D15&amp;" = 0,","this."&amp;D15&amp;" = '',")</f>
        <v>this.workingDate = '',</v>
      </c>
      <c r="V15" s="31" t="str">
        <f>IF(AND(E15="string",F15="1"),D15,"")</f>
        <v/>
      </c>
    </row>
    <row r="16" spans="1:22" ht="15" customHeight="1" x14ac:dyDescent="0.25">
      <c r="A16" s="44" t="s">
        <v>303</v>
      </c>
      <c r="B16" s="31" t="str">
        <f t="shared" ref="B16:B17" si="0">SUBSTITUTE(PROPER(A16),"_","")</f>
        <v>ProdLine</v>
      </c>
      <c r="C16" s="31" t="str">
        <f t="shared" ref="C16:C17" si="1">SUBSTITUTE(PROPER(A16),"_"," ")</f>
        <v>Prod Line</v>
      </c>
      <c r="D16" s="31" t="str">
        <f t="shared" ref="D16:D17" si="2">LOWER(LEFT(B16,1))&amp;RIGHT(B16,LEN(B16) - 1)</f>
        <v>prodLine</v>
      </c>
      <c r="E16" s="31" t="str">
        <f>A.Backend!H10</f>
        <v>string</v>
      </c>
      <c r="F16" s="31" t="str">
        <f>A.Backend!G10</f>
        <v>50</v>
      </c>
      <c r="G16" s="31" t="str">
        <f t="shared" ref="G16:G19" si="3">IF(E16="string"," : string = '' ; ",IF(OR(E16="DateTime",E16="TimeSpan")," : any ;",IF(E16="int"," : number = 0 ;","")))</f>
        <v xml:space="preserve"> : string = '' ; </v>
      </c>
      <c r="H16" s="38" t="str">
        <f t="shared" ref="H16:H1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this.l('Prod Line'),headerTooltip: this.l('Prod Line'),field: 'prodLine',flex: 1},</v>
      </c>
      <c r="I16" s="38" t="str">
        <f t="shared" ref="I16:I1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prodLine : string = '' ; </v>
      </c>
      <c r="T16" s="31" t="str">
        <f>REPT(CHAR(9),3)&amp;"this."&amp;D16&amp;","</f>
        <v xml:space="preserve">			this.prodLine,</v>
      </c>
      <c r="U16" s="31" t="str">
        <f>IF(E16="int",REPT(CHAR(9),2)&amp;"this."&amp;D16&amp;" = 0,",REPT(CHAR(9),2)&amp;"this."&amp;D16&amp;" = '',")</f>
        <v xml:space="preserve">		this.prodLine = '',</v>
      </c>
      <c r="V16" s="31" t="str">
        <f t="shared" ref="V16:V19" si="8">IF(AND(E16="string",F16="1"),D16,"")</f>
        <v/>
      </c>
    </row>
    <row r="17" spans="1:22" ht="18" customHeight="1" x14ac:dyDescent="0.25">
      <c r="A17" s="44" t="s">
        <v>307</v>
      </c>
      <c r="B17" s="31" t="str">
        <f t="shared" si="0"/>
        <v>Shift1</v>
      </c>
      <c r="C17" s="31" t="str">
        <f t="shared" si="1"/>
        <v>Shift1</v>
      </c>
      <c r="D17" s="31" t="str">
        <f t="shared" si="2"/>
        <v>shift1</v>
      </c>
      <c r="E17" s="31" t="str">
        <f>A.Backend!H11</f>
        <v>int</v>
      </c>
      <c r="F17" s="31" t="str">
        <f>A.Backend!G11</f>
        <v/>
      </c>
      <c r="G17" s="31" t="str">
        <f t="shared" si="3"/>
        <v xml:space="preserve"> : number = 0 ;</v>
      </c>
      <c r="H17" s="38" t="str">
        <f t="shared" si="4"/>
        <v xml:space="preserve">			{headerName: this.l('Shift1'),headerTooltip: this.l('Shift1'),field: 'shift1',flex: 1},</v>
      </c>
      <c r="I17" s="38" t="str">
        <f t="shared" si="5"/>
        <v/>
      </c>
      <c r="J17" s="31"/>
      <c r="K17" s="38" t="str">
        <f t="shared" si="6"/>
        <v xml:space="preserve">					&lt;div class='col-md-12 form-group row'&gt;
						&lt;label class='col-md-2 form-control title'&gt;Shift1&lt;/label&gt;
						&lt;input type='number' class='col-md-10 form-control input-text' name='Shift1' [(ngModel)]='rowdata.shift1'&gt;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shift1 : number = 0 ;</v>
      </c>
      <c r="T17" s="31" t="str">
        <f t="shared" ref="T17:T19" si="10">REPT(CHAR(9),3)&amp;"this."&amp;D17&amp;","</f>
        <v xml:space="preserve">			this.shift1,</v>
      </c>
      <c r="U17" s="31" t="str">
        <f t="shared" ref="U17:U19" si="11">IF(E17="int",REPT(CHAR(9),2)&amp;"this."&amp;D17&amp;" = 0,",REPT(CHAR(9),2)&amp;"this."&amp;D17&amp;" = '',")</f>
        <v xml:space="preserve">		this.shift1 = 0,</v>
      </c>
      <c r="V17" s="31" t="str">
        <f t="shared" si="8"/>
        <v/>
      </c>
    </row>
    <row r="18" spans="1:22" ht="18" customHeight="1" x14ac:dyDescent="0.25">
      <c r="A18" s="44" t="s">
        <v>308</v>
      </c>
      <c r="B18" s="31" t="str">
        <f>SUBSTITUTE(PROPER(A18),"_","")</f>
        <v>Shift2</v>
      </c>
      <c r="C18" s="31" t="str">
        <f>SUBSTITUTE(PROPER(A18),"_"," ")</f>
        <v>Shift2</v>
      </c>
      <c r="D18" s="31" t="str">
        <f>LOWER(LEFT(B18,1))&amp;RIGHT(B18,LEN(B18) - 1)</f>
        <v>shift2</v>
      </c>
      <c r="E18" s="31" t="str">
        <f>A.Backend!H12</f>
        <v>int</v>
      </c>
      <c r="F18" s="31" t="str">
        <f>A.Backend!G12</f>
        <v/>
      </c>
      <c r="G18" s="31" t="str">
        <f t="shared" si="3"/>
        <v xml:space="preserve"> : number = 0 ;</v>
      </c>
      <c r="H18" s="38" t="str">
        <f t="shared" si="4"/>
        <v xml:space="preserve">			{headerName: this.l('Shift2'),headerTooltip: this.l('Shift2'),field: 'shift2',flex: 1},</v>
      </c>
      <c r="I18" s="38" t="str">
        <f t="shared" si="5"/>
        <v/>
      </c>
      <c r="J18" s="31"/>
      <c r="K18" s="38" t="str">
        <f t="shared" si="6"/>
        <v xml:space="preserve">					&lt;div class='col-md-12 form-group row'&gt;
						&lt;label class='col-md-2 form-control title'&gt;Shift2&lt;/label&gt;
						&lt;input type='number' class='col-md-10 form-control input-text' name='Shift2' [(ngModel)]='rowdata.shift2'&gt;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shift2 : number = 0 ;</v>
      </c>
      <c r="T18" s="31" t="str">
        <f t="shared" si="10"/>
        <v xml:space="preserve">			this.shift2,</v>
      </c>
      <c r="U18" s="31" t="str">
        <f t="shared" si="11"/>
        <v xml:space="preserve">		this.shift2 = 0,</v>
      </c>
      <c r="V18" s="31" t="str">
        <f t="shared" si="8"/>
        <v/>
      </c>
    </row>
    <row r="19" spans="1:22" ht="15" customHeight="1" x14ac:dyDescent="0.25">
      <c r="A19" s="44" t="s">
        <v>309</v>
      </c>
      <c r="B19" s="31" t="str">
        <f t="shared" ref="B19" si="12">SUBSTITUTE(PROPER(A19),"_","")</f>
        <v>Shift3</v>
      </c>
      <c r="C19" s="31" t="str">
        <f t="shared" ref="C19" si="13">SUBSTITUTE(PROPER(A19),"_"," ")</f>
        <v>Shift3</v>
      </c>
      <c r="D19" s="31" t="str">
        <f t="shared" ref="D19" si="14">LOWER(LEFT(B19,1))&amp;RIGHT(B19,LEN(B19) - 1)</f>
        <v>shift3</v>
      </c>
      <c r="E19" s="31" t="str">
        <f>A.Backend!H13</f>
        <v>int</v>
      </c>
      <c r="F19" s="31" t="str">
        <f>A.Backend!G13</f>
        <v/>
      </c>
      <c r="G19" s="31" t="str">
        <f t="shared" si="3"/>
        <v xml:space="preserve"> : number = 0 ;</v>
      </c>
      <c r="H19" s="38" t="str">
        <f t="shared" si="4"/>
        <v xml:space="preserve">			{headerName: this.l('Shift3'),headerTooltip: this.l('Shift3'),field: 'shift3',flex: 1},</v>
      </c>
      <c r="I19" s="38" t="str">
        <f t="shared" si="5"/>
        <v/>
      </c>
      <c r="J19" s="31"/>
      <c r="K19" s="38" t="str">
        <f t="shared" si="6"/>
        <v xml:space="preserve">					&lt;div class='col-md-12 form-group row'&gt;
						&lt;label class='col-md-2 form-control title'&gt;Shift3&lt;/label&gt;
						&lt;input type='number' class='col-md-10 form-control input-text' name='Shift3' [(ngModel)]='rowdata.shift3'&gt;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shift3 : number = 0 ;</v>
      </c>
      <c r="T19" s="31" t="str">
        <f t="shared" si="10"/>
        <v xml:space="preserve">			this.shift3,</v>
      </c>
      <c r="U19" s="31" t="str">
        <f t="shared" si="11"/>
        <v xml:space="preserve">		this.shift3 = 0,</v>
      </c>
      <c r="V19" s="31" t="str">
        <f t="shared" si="8"/>
        <v/>
      </c>
    </row>
    <row r="20" spans="1:22" ht="18" customHeight="1" x14ac:dyDescent="0.25">
      <c r="A20" s="44" t="s">
        <v>301</v>
      </c>
      <c r="B20" s="31" t="str">
        <f>SUBSTITUTE(PROPER(A20),"_","")</f>
        <v>IsActive</v>
      </c>
      <c r="C20" s="31" t="str">
        <f>SUBSTITUTE(PROPER(A20),"_"," ")</f>
        <v>Is Active</v>
      </c>
      <c r="D20" s="31" t="str">
        <f>LOWER(LEFT(B20,1))&amp;RIGHT(B20,LEN(B20) - 1)</f>
        <v>isActive</v>
      </c>
      <c r="E20" s="31" t="str">
        <f>A.Backend!H14</f>
        <v>string</v>
      </c>
      <c r="F20" s="31" t="str">
        <f>A.Backend!G14</f>
        <v>1</v>
      </c>
      <c r="G20" s="31" t="str">
        <f t="shared" ref="G20" si="15">IF(E20="string"," : string = '' ; ",IF(OR(E20="DateTime",E20="TimeSpan")," : any ;",IF(E20="int"," : number = 0 ;","")))</f>
        <v xml:space="preserve"> : string = '' ; </v>
      </c>
      <c r="H20" s="38" t="str">
        <f t="shared" ref="H20" si="16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0" s="38" t="str">
        <f t="shared" ref="I20" si="17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0" s="31"/>
      <c r="K20" s="38" t="str">
        <f t="shared" ref="K20" si="18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0" s="60" t="str">
        <f t="shared" ref="L20" si="19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 t="shared" ref="S20" si="20">REPT(CHAR(9),1)&amp;D20&amp;G20</f>
        <v xml:space="preserve">	isActive : string = '' ; </v>
      </c>
      <c r="T20" s="31" t="str">
        <f t="shared" ref="T20" si="21">REPT(CHAR(9),3)&amp;"this."&amp;D20&amp;","</f>
        <v xml:space="preserve">			this.isActive,</v>
      </c>
      <c r="U20" s="31" t="str">
        <f t="shared" ref="U20" si="22">IF(E20="int",REPT(CHAR(9),2)&amp;"this."&amp;D20&amp;" = 0,",REPT(CHAR(9),2)&amp;"this."&amp;D20&amp;" = '',")</f>
        <v xml:space="preserve">		this.isActive = '',</v>
      </c>
      <c r="V20" s="31" t="str">
        <f t="shared" ref="V20" si="23">IF(AND(E20="string",F20="1"),D20,"")</f>
        <v>isActive</v>
      </c>
    </row>
    <row r="2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2022-08-03T09:56:10Z</dcterms:modified>
</cp:coreProperties>
</file>
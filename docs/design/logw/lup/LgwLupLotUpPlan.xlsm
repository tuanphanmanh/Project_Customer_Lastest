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logw\lup\"/>
    </mc:Choice>
  </mc:AlternateContent>
  <bookViews>
    <workbookView xWindow="0" yWindow="0" windowWidth="28800" windowHeight="11805" activeTab="2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V26" i="5" s="1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C26" i="5"/>
  <c r="B26" i="5"/>
  <c r="D26" i="5" s="1"/>
  <c r="T26" i="5" s="1"/>
  <c r="L20" i="1"/>
  <c r="G20" i="1"/>
  <c r="E20" i="1"/>
  <c r="H20" i="1" s="1"/>
  <c r="D20" i="1"/>
  <c r="V20" i="1" s="1"/>
  <c r="H26" i="5" l="1"/>
  <c r="I26" i="5"/>
  <c r="K26" i="5"/>
  <c r="U26" i="5"/>
  <c r="G26" i="5"/>
  <c r="S26" i="5" s="1"/>
  <c r="L26" i="5"/>
  <c r="W20" i="1"/>
  <c r="O20" i="1"/>
  <c r="J20" i="1"/>
  <c r="N20" i="1"/>
  <c r="I20" i="1"/>
  <c r="M20" i="1"/>
  <c r="P20" i="1"/>
  <c r="T20" i="1"/>
  <c r="G24" i="1"/>
  <c r="G25" i="1"/>
  <c r="C31" i="5"/>
  <c r="B31" i="5"/>
  <c r="D31" i="5" s="1"/>
  <c r="T31" i="5" s="1"/>
  <c r="C30" i="5"/>
  <c r="B30" i="5"/>
  <c r="D30" i="5" s="1"/>
  <c r="C29" i="5"/>
  <c r="B29" i="5"/>
  <c r="D29" i="5" s="1"/>
  <c r="T29" i="5" s="1"/>
  <c r="C28" i="5"/>
  <c r="B28" i="5"/>
  <c r="D28" i="5" s="1"/>
  <c r="C27" i="5"/>
  <c r="B27" i="5"/>
  <c r="D27" i="5" s="1"/>
  <c r="L24" i="1"/>
  <c r="E24" i="1"/>
  <c r="H24" i="1" s="1"/>
  <c r="D24" i="1"/>
  <c r="V24" i="1" s="1"/>
  <c r="L23" i="1"/>
  <c r="H23" i="1"/>
  <c r="G23" i="1"/>
  <c r="E23" i="1"/>
  <c r="D23" i="1"/>
  <c r="V23" i="1" s="1"/>
  <c r="L22" i="1"/>
  <c r="G22" i="1"/>
  <c r="E22" i="1"/>
  <c r="H22" i="1" s="1"/>
  <c r="D22" i="1"/>
  <c r="V22" i="1" s="1"/>
  <c r="L21" i="1"/>
  <c r="G21" i="1"/>
  <c r="E21" i="1"/>
  <c r="H21" i="1" s="1"/>
  <c r="D21" i="1"/>
  <c r="V21" i="1" s="1"/>
  <c r="L25" i="1"/>
  <c r="E25" i="1"/>
  <c r="H25" i="1" s="1"/>
  <c r="D25" i="1"/>
  <c r="T25" i="1" s="1"/>
  <c r="V29" i="5" l="1"/>
  <c r="G29" i="5"/>
  <c r="V27" i="5"/>
  <c r="G27" i="5"/>
  <c r="S27" i="5" s="1"/>
  <c r="L27" i="5"/>
  <c r="V31" i="5"/>
  <c r="U27" i="5"/>
  <c r="I30" i="5"/>
  <c r="K30" i="5"/>
  <c r="T28" i="5"/>
  <c r="K28" i="5"/>
  <c r="U28" i="5"/>
  <c r="I28" i="5"/>
  <c r="T30" i="5"/>
  <c r="U30" i="5"/>
  <c r="H27" i="5"/>
  <c r="H29" i="5"/>
  <c r="S29" i="5"/>
  <c r="H31" i="5"/>
  <c r="I27" i="5"/>
  <c r="T27" i="5"/>
  <c r="G28" i="5"/>
  <c r="S28" i="5" s="1"/>
  <c r="L28" i="5"/>
  <c r="V28" i="5"/>
  <c r="I29" i="5"/>
  <c r="G30" i="5"/>
  <c r="S30" i="5" s="1"/>
  <c r="L30" i="5"/>
  <c r="V30" i="5"/>
  <c r="I31" i="5"/>
  <c r="K27" i="5"/>
  <c r="H28" i="5"/>
  <c r="K29" i="5"/>
  <c r="U29" i="5"/>
  <c r="H30" i="5"/>
  <c r="K31" i="5"/>
  <c r="U31" i="5"/>
  <c r="L29" i="5"/>
  <c r="G31" i="5"/>
  <c r="S31" i="5" s="1"/>
  <c r="L31" i="5"/>
  <c r="W23" i="1"/>
  <c r="P23" i="1"/>
  <c r="P24" i="1"/>
  <c r="W24" i="1"/>
  <c r="O24" i="1"/>
  <c r="J24" i="1"/>
  <c r="N24" i="1"/>
  <c r="I24" i="1"/>
  <c r="M24" i="1"/>
  <c r="M23" i="1"/>
  <c r="T24" i="1"/>
  <c r="T23" i="1"/>
  <c r="I23" i="1"/>
  <c r="N23" i="1"/>
  <c r="J23" i="1"/>
  <c r="O23" i="1"/>
  <c r="W21" i="1"/>
  <c r="P21" i="1"/>
  <c r="T21" i="1"/>
  <c r="W22" i="1"/>
  <c r="O22" i="1"/>
  <c r="J22" i="1"/>
  <c r="N22" i="1"/>
  <c r="I22" i="1"/>
  <c r="M22" i="1"/>
  <c r="M21" i="1"/>
  <c r="I21" i="1"/>
  <c r="N21" i="1"/>
  <c r="P22" i="1"/>
  <c r="J21" i="1"/>
  <c r="O21" i="1"/>
  <c r="T22" i="1"/>
  <c r="W25" i="1"/>
  <c r="P25" i="1"/>
  <c r="I25" i="1"/>
  <c r="N25" i="1"/>
  <c r="V25" i="1"/>
  <c r="M25" i="1"/>
  <c r="J25" i="1"/>
  <c r="O25" i="1"/>
  <c r="C21" i="5"/>
  <c r="B21" i="5"/>
  <c r="D21" i="5" s="1"/>
  <c r="T21" i="5" s="1"/>
  <c r="C20" i="5"/>
  <c r="B20" i="5"/>
  <c r="D20" i="5" s="1"/>
  <c r="L18" i="1"/>
  <c r="G18" i="1"/>
  <c r="E18" i="1"/>
  <c r="H18" i="1" s="1"/>
  <c r="D18" i="1"/>
  <c r="V18" i="1" s="1"/>
  <c r="L17" i="1"/>
  <c r="G17" i="1"/>
  <c r="E17" i="1"/>
  <c r="H17" i="1" s="1"/>
  <c r="D17" i="1"/>
  <c r="P17" i="1" s="1"/>
  <c r="M17" i="1" l="1"/>
  <c r="T17" i="1"/>
  <c r="T20" i="5"/>
  <c r="N18" i="1"/>
  <c r="I18" i="1"/>
  <c r="M18" i="1"/>
  <c r="O18" i="1"/>
  <c r="J18" i="1"/>
  <c r="W18" i="1"/>
  <c r="P18" i="1"/>
  <c r="I17" i="1"/>
  <c r="N17" i="1"/>
  <c r="V17" i="1"/>
  <c r="J17" i="1"/>
  <c r="O17" i="1"/>
  <c r="W17" i="1"/>
  <c r="T18" i="1"/>
  <c r="C22" i="5"/>
  <c r="B22" i="5"/>
  <c r="D22" i="5" s="1"/>
  <c r="C19" i="5"/>
  <c r="B19" i="5"/>
  <c r="D19" i="5" s="1"/>
  <c r="D18" i="5"/>
  <c r="T18" i="5" s="1"/>
  <c r="C18" i="5"/>
  <c r="B18" i="5"/>
  <c r="G16" i="1"/>
  <c r="E16" i="1"/>
  <c r="H16" i="1" s="1"/>
  <c r="D16" i="1"/>
  <c r="V16" i="1" s="1"/>
  <c r="L15" i="1"/>
  <c r="G15" i="1"/>
  <c r="E15" i="1"/>
  <c r="H15" i="1" s="1"/>
  <c r="D15" i="1"/>
  <c r="T15" i="1" s="1"/>
  <c r="G14" i="1"/>
  <c r="E14" i="1"/>
  <c r="H14" i="1" s="1"/>
  <c r="D14" i="1"/>
  <c r="V14" i="1" s="1"/>
  <c r="K21" i="5" l="1"/>
  <c r="I21" i="5"/>
  <c r="H21" i="5"/>
  <c r="O14" i="1"/>
  <c r="V21" i="5"/>
  <c r="U21" i="5"/>
  <c r="V15" i="1"/>
  <c r="V22" i="5"/>
  <c r="T22" i="5"/>
  <c r="H22" i="5"/>
  <c r="T19" i="5"/>
  <c r="L22" i="5"/>
  <c r="L16" i="1"/>
  <c r="N15" i="1"/>
  <c r="M15" i="1"/>
  <c r="W15" i="1"/>
  <c r="J15" i="1"/>
  <c r="O15" i="1"/>
  <c r="I15" i="1"/>
  <c r="W16" i="1"/>
  <c r="J16" i="1"/>
  <c r="O16" i="1"/>
  <c r="N16" i="1"/>
  <c r="M16" i="1"/>
  <c r="I16" i="1"/>
  <c r="P16" i="1"/>
  <c r="P14" i="1"/>
  <c r="L14" i="1"/>
  <c r="T16" i="1"/>
  <c r="N14" i="1"/>
  <c r="P15" i="1"/>
  <c r="T14" i="1"/>
  <c r="I14" i="1"/>
  <c r="J14" i="1"/>
  <c r="W14" i="1"/>
  <c r="M14" i="1"/>
  <c r="B32" i="5"/>
  <c r="D32" i="5" s="1"/>
  <c r="C25" i="5"/>
  <c r="G26" i="1"/>
  <c r="E26" i="1"/>
  <c r="H26" i="1" s="1"/>
  <c r="D26" i="1"/>
  <c r="V26" i="1" s="1"/>
  <c r="G19" i="1"/>
  <c r="E19" i="1"/>
  <c r="H19" i="1" s="1"/>
  <c r="D19" i="1"/>
  <c r="P19" i="1" s="1"/>
  <c r="L21" i="5" l="1"/>
  <c r="G21" i="5"/>
  <c r="S21" i="5" s="1"/>
  <c r="H20" i="5"/>
  <c r="V20" i="5"/>
  <c r="U20" i="5"/>
  <c r="G20" i="5"/>
  <c r="S20" i="5" s="1"/>
  <c r="I20" i="5"/>
  <c r="L20" i="5"/>
  <c r="K20" i="5"/>
  <c r="G22" i="5"/>
  <c r="S22" i="5" s="1"/>
  <c r="K22" i="5"/>
  <c r="U22" i="5"/>
  <c r="I22" i="5"/>
  <c r="T32" i="5"/>
  <c r="C32" i="5"/>
  <c r="I32" i="5" s="1"/>
  <c r="V32" i="5"/>
  <c r="U32" i="5"/>
  <c r="B25" i="5"/>
  <c r="D25" i="5" s="1"/>
  <c r="I25" i="5" s="1"/>
  <c r="G32" i="5"/>
  <c r="S32" i="5" s="1"/>
  <c r="L32" i="5"/>
  <c r="G25" i="5"/>
  <c r="L25" i="5"/>
  <c r="T26" i="1"/>
  <c r="W19" i="1"/>
  <c r="T19" i="1"/>
  <c r="P26" i="1"/>
  <c r="N26" i="1"/>
  <c r="I26" i="1"/>
  <c r="M26" i="1"/>
  <c r="W26" i="1"/>
  <c r="O26" i="1"/>
  <c r="J26" i="1"/>
  <c r="M19" i="1"/>
  <c r="I19" i="1"/>
  <c r="N19" i="1"/>
  <c r="V19" i="1"/>
  <c r="J19" i="1"/>
  <c r="O19" i="1"/>
  <c r="V25" i="5" l="1"/>
  <c r="K32" i="5"/>
  <c r="K25" i="5"/>
  <c r="U25" i="5"/>
  <c r="H32" i="5"/>
  <c r="T25" i="5"/>
  <c r="S25" i="5"/>
  <c r="H25" i="5"/>
  <c r="W3" i="1"/>
  <c r="V3" i="1"/>
  <c r="B2" i="5" l="1"/>
  <c r="B3" i="5" s="1"/>
  <c r="C24" i="5"/>
  <c r="B23" i="5"/>
  <c r="D23" i="5" s="1"/>
  <c r="G13" i="1"/>
  <c r="E13" i="1"/>
  <c r="H13" i="1" s="1"/>
  <c r="D13" i="1"/>
  <c r="G12" i="1"/>
  <c r="E12" i="1"/>
  <c r="H12" i="1" s="1"/>
  <c r="D12" i="1"/>
  <c r="V18" i="5" l="1"/>
  <c r="I18" i="5"/>
  <c r="L18" i="5"/>
  <c r="U18" i="5"/>
  <c r="K18" i="5"/>
  <c r="G18" i="5"/>
  <c r="S18" i="5" s="1"/>
  <c r="H18" i="5"/>
  <c r="H19" i="5"/>
  <c r="I19" i="5"/>
  <c r="G19" i="5"/>
  <c r="S19" i="5" s="1"/>
  <c r="U19" i="5"/>
  <c r="V19" i="5"/>
  <c r="K19" i="5"/>
  <c r="L19" i="5"/>
  <c r="V12" i="1"/>
  <c r="T12" i="1"/>
  <c r="N13" i="1"/>
  <c r="O13" i="1"/>
  <c r="M13" i="1"/>
  <c r="N12" i="1"/>
  <c r="M12" i="1"/>
  <c r="O12" i="1"/>
  <c r="T13" i="1"/>
  <c r="V13" i="1"/>
  <c r="W12" i="1"/>
  <c r="W13" i="1"/>
  <c r="T23" i="5"/>
  <c r="P13" i="1"/>
  <c r="C23" i="5"/>
  <c r="B24" i="5"/>
  <c r="D24" i="5" s="1"/>
  <c r="J12" i="1"/>
  <c r="I12" i="1"/>
  <c r="I13" i="1"/>
  <c r="P12" i="1"/>
  <c r="J13" i="1"/>
  <c r="B6" i="5"/>
  <c r="L24" i="5" l="1"/>
  <c r="I24" i="5"/>
  <c r="K24" i="5"/>
  <c r="H24" i="5"/>
  <c r="L23" i="5"/>
  <c r="K23" i="5"/>
  <c r="I23" i="5"/>
  <c r="H23" i="5"/>
  <c r="G24" i="5"/>
  <c r="S24" i="5" s="1"/>
  <c r="U24" i="5"/>
  <c r="V24" i="5"/>
  <c r="G23" i="5"/>
  <c r="S23" i="5" s="1"/>
  <c r="U23" i="5"/>
  <c r="V23" i="5"/>
  <c r="T24" i="5"/>
  <c r="U7" i="1" l="1"/>
  <c r="B7" i="5" l="1"/>
  <c r="Q3" i="1" l="1"/>
  <c r="O7" i="1" s="1"/>
  <c r="T3" i="1"/>
  <c r="F3" i="1"/>
  <c r="B4" i="5" l="1"/>
  <c r="N7" i="1"/>
  <c r="E47" i="3" s="1"/>
  <c r="K7" i="1"/>
  <c r="H6" i="1"/>
  <c r="R10" i="5" l="1"/>
  <c r="M54" i="3" s="1"/>
  <c r="N47" i="3" l="1"/>
  <c r="B8" i="5"/>
  <c r="B5" i="5"/>
  <c r="D9" i="1"/>
  <c r="V9" i="1" l="1"/>
  <c r="T9" i="1"/>
  <c r="P10" i="5"/>
  <c r="K54" i="3" s="1"/>
  <c r="Q10" i="5"/>
  <c r="L54" i="3" s="1"/>
  <c r="B52" i="3"/>
  <c r="C52" i="3" s="1"/>
  <c r="M14" i="5"/>
  <c r="H53" i="3" s="1"/>
  <c r="L14" i="5"/>
  <c r="G53" i="3" s="1"/>
  <c r="K14" i="5"/>
  <c r="F53" i="3" s="1"/>
  <c r="L53" i="3"/>
  <c r="K53" i="3"/>
  <c r="O14" i="5"/>
  <c r="J53" i="3" s="1"/>
  <c r="N14" i="5"/>
  <c r="I53" i="3" s="1"/>
  <c r="J14" i="5"/>
  <c r="E53" i="3" s="1"/>
  <c r="I14" i="5"/>
  <c r="D53" i="3" s="1"/>
  <c r="H14" i="5"/>
  <c r="C53" i="3" s="1"/>
  <c r="O10" i="5"/>
  <c r="J54" i="3" s="1"/>
  <c r="N10" i="5"/>
  <c r="I54" i="3" s="1"/>
  <c r="M10" i="5"/>
  <c r="H54" i="3" s="1"/>
  <c r="J10" i="5"/>
  <c r="E54" i="3" s="1"/>
  <c r="N3" i="1" l="1"/>
  <c r="M3" i="1"/>
  <c r="O3" i="1"/>
  <c r="D10" i="1"/>
  <c r="D11" i="1"/>
  <c r="V10" i="1" l="1"/>
  <c r="T10" i="1"/>
  <c r="V11" i="1"/>
  <c r="T11" i="1"/>
  <c r="C15" i="5"/>
  <c r="B15" i="5"/>
  <c r="D15" i="5" s="1"/>
  <c r="V28" i="1"/>
  <c r="V12" i="5" l="1"/>
  <c r="L12" i="5"/>
  <c r="U12" i="5"/>
  <c r="S12" i="5"/>
  <c r="H12" i="5"/>
  <c r="K12" i="5"/>
  <c r="T12" i="5"/>
  <c r="I12" i="5"/>
  <c r="T15" i="5"/>
  <c r="C17" i="5"/>
  <c r="B17" i="5"/>
  <c r="D17" i="5" s="1"/>
  <c r="C16" i="5"/>
  <c r="B16" i="5"/>
  <c r="D16" i="5" s="1"/>
  <c r="T16" i="5" s="1"/>
  <c r="T17" i="5" l="1"/>
  <c r="R3" i="1"/>
  <c r="D1" i="1"/>
  <c r="F6" i="1"/>
  <c r="T13" i="5"/>
  <c r="G9" i="1" l="1"/>
  <c r="F15" i="5" s="1"/>
  <c r="G10" i="1"/>
  <c r="G11" i="1"/>
  <c r="E9" i="1"/>
  <c r="H9" i="1" s="1"/>
  <c r="E10" i="1"/>
  <c r="H10" i="1" s="1"/>
  <c r="E11" i="1"/>
  <c r="H11" i="1" s="1"/>
  <c r="P9" i="1"/>
  <c r="P10" i="1"/>
  <c r="P11" i="1"/>
  <c r="T28" i="1"/>
  <c r="O11" i="1" l="1"/>
  <c r="M11" i="1"/>
  <c r="N11" i="1"/>
  <c r="O10" i="1"/>
  <c r="M10" i="1"/>
  <c r="N10" i="1"/>
  <c r="O9" i="1"/>
  <c r="M9" i="1"/>
  <c r="N9" i="1"/>
  <c r="W11" i="1"/>
  <c r="E15" i="5"/>
  <c r="W9" i="1"/>
  <c r="W10" i="1"/>
  <c r="T7" i="1"/>
  <c r="I11" i="1"/>
  <c r="I10" i="1"/>
  <c r="I9" i="1"/>
  <c r="W28" i="1"/>
  <c r="L16" i="5" l="1"/>
  <c r="H16" i="5"/>
  <c r="I16" i="5"/>
  <c r="K16" i="5"/>
  <c r="L17" i="5"/>
  <c r="H17" i="5"/>
  <c r="I17" i="5"/>
  <c r="K17" i="5"/>
  <c r="L15" i="5"/>
  <c r="K15" i="5"/>
  <c r="I15" i="5"/>
  <c r="H15" i="5"/>
  <c r="G16" i="5"/>
  <c r="S16" i="5" s="1"/>
  <c r="U16" i="5"/>
  <c r="V16" i="5"/>
  <c r="G15" i="5"/>
  <c r="S15" i="5" s="1"/>
  <c r="V15" i="5"/>
  <c r="U15" i="5"/>
  <c r="G17" i="5"/>
  <c r="S17" i="5" s="1"/>
  <c r="U17" i="5"/>
  <c r="V17" i="5"/>
  <c r="G6" i="1"/>
  <c r="V13" i="5"/>
  <c r="I13" i="5"/>
  <c r="U13" i="5"/>
  <c r="L13" i="5"/>
  <c r="K13" i="5"/>
  <c r="H13" i="5"/>
  <c r="S13" i="5"/>
  <c r="K10" i="5" l="1"/>
  <c r="F54" i="3" s="1"/>
  <c r="I10" i="5"/>
  <c r="D54" i="3" s="1"/>
  <c r="H10" i="5"/>
  <c r="C54" i="3" s="1"/>
  <c r="L10" i="5"/>
  <c r="G54" i="3" s="1"/>
  <c r="L47" i="3"/>
  <c r="D47" i="3"/>
  <c r="D6" i="1"/>
  <c r="B6" i="1" l="1"/>
  <c r="L3" i="1"/>
  <c r="J3" i="1"/>
  <c r="H3" i="1"/>
  <c r="C6" i="1" l="1"/>
  <c r="P7" i="1" s="1"/>
  <c r="S3" i="1"/>
  <c r="S7" i="1" s="1"/>
  <c r="E6" i="1"/>
  <c r="F47" i="3"/>
  <c r="I3" i="1" l="1"/>
  <c r="B7" i="1"/>
  <c r="L26" i="1" s="1"/>
  <c r="L11" i="1" l="1"/>
  <c r="L13" i="1"/>
  <c r="L12" i="1"/>
  <c r="L19" i="1"/>
  <c r="L9" i="1"/>
  <c r="L10" i="1"/>
  <c r="J11" i="1"/>
  <c r="J9" i="1"/>
  <c r="J10" i="1"/>
  <c r="C7" i="1"/>
  <c r="N28" i="1"/>
  <c r="J28" i="1"/>
  <c r="P28" i="1"/>
  <c r="O28" i="1"/>
  <c r="I28" i="1"/>
  <c r="Q7" i="1" l="1"/>
  <c r="M47" i="3" s="1"/>
  <c r="L7" i="1"/>
  <c r="G47" i="3" s="1"/>
  <c r="K47" i="3"/>
  <c r="J47" i="3"/>
  <c r="K28" i="1"/>
  <c r="M28" i="1"/>
  <c r="R7" i="1" l="1"/>
  <c r="I47" i="3" s="1"/>
  <c r="M7" i="1"/>
  <c r="H47" i="3" s="1"/>
  <c r="J7" i="1"/>
  <c r="C47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<sst xmlns="http://schemas.openxmlformats.org/spreadsheetml/2006/main" count="483" uniqueCount="337">
  <si>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</si>
  <si>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</si>
  <si>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</si>
  <si>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</si>
  <si>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</si>
  <si>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</si>
  <si>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</si>
  <si>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</si>
  <si>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</si>
  <si>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</si>
  <si>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</si>
  <si>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</si>
  <si>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</si>
  <si>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</si>
  <si>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</si>
  <si>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</si>
  <si>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</si>
  <si>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</si>
  <si>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</si>
  <si>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</si>
  <si>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</si>
  <si>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</si>
  <si>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</si>
  <si>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</si>
  <si>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</si>
  <si>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</si>
  <si>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</si>
  <si>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</si>
  <si>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</si>
  <si>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</si>
  <si>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</si>
  <si>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</si>
  <si>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</si>
  <si>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</si>
  <si>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</si>
  <si>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</si>
  <si>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</si>
  <si>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</si>
  <si>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</si>
  <si>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</si>
  <si>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</si>
  <si>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</si>
  <si>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</si>
  <si>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</si>
  <si>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</si>
  <si>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</si>
  <si>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</si>
  <si>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</si>
  <si>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</si>
  <si>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</si>
  <si>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</si>
  <si>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</si>
  <si>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</si>
  <si>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</si>
  <si>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</si>
  <si>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</si>
  <si>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</si>
  <si>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</si>
  <si>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</si>
  <si>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</si>
  <si>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</si>
  <si>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</si>
  <si>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</si>
  <si>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</si>
  <si>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</si>
  <si>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</si>
  <si>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</si>
  <si>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</si>
  <si>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</si>
  <si>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</si>
  <si>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</si>
  <si>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</si>
  <si>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</si>
  <si>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</si>
  <si>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</si>
  <si>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</si>
  <si>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</si>
  <si>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</si>
  <si>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</si>
  <si>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</si>
  <si>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</si>
  <si>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</si>
  <si>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</si>
  <si>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</si>
  <si>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</si>
  <si>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</si>
  <si>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</si>
  <si>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</si>
  <si>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</si>
  <si>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</si>
  <si>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</si>
  <si>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</si>
  <si>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</si>
  <si>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</si>
  <si>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</si>
  <si>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</si>
  <si>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</si>
  <si>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</si>
  <si>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</si>
  <si>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</si>
  <si>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</si>
  <si>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</si>
  <si>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</si>
  <si>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</si>
  <si>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</si>
  <si>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</si>
  <si>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</si>
  <si>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</si>
  <si>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</si>
  <si>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</si>
  <si>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</si>
  <si>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</si>
  <si>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</si>
  <si>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</si>
  <si>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</si>
  <si>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</si>
  <si>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</si>
  <si>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</si>
  <si>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</si>
  <si>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</si>
  <si>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</si>
  <si>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</si>
  <si>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</si>
  <si>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</si>
  <si>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</si>
  <si>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</si>
  <si>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</si>
  <si>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</si>
  <si>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</si>
  <si>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</si>
  <si>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</si>
  <si>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</si>
  <si>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</si>
  <si>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</si>
  <si>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</si>
  <si>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</si>
  <si>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</si>
  <si>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</si>
  <si>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</si>
  <si>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</si>
  <si>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</si>
  <si>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</si>
  <si>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</si>
  <si>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</si>
  <si>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</si>
  <si>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</si>
  <si>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</si>
  <si>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</si>
  <si>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</si>
  <si>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</si>
  <si>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</si>
  <si>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</si>
  <si>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</si>
  <si>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</si>
  <si>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</si>
  <si>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</si>
  <si>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</si>
  <si>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</si>
  <si>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</si>
  <si>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</si>
  <si>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</si>
  <si>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</si>
  <si>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</si>
  <si>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</si>
  <si>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</si>
  <si>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</si>
  <si>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</si>
  <si>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</si>
  <si>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</si>
  <si>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</si>
  <si>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</si>
  <si>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</si>
  <si>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</si>
  <si>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</si>
  <si>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</si>
  <si>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</si>
  <si>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</si>
  <si>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</si>
  <si>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</si>
  <si>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</si>
  <si>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</si>
  <si>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</si>
  <si>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</si>
  <si>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</si>
  <si>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</si>
  <si>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</si>
  <si>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</si>
  <si>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</si>
  <si>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</si>
  <si>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</si>
  <si>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</si>
  <si>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</si>
  <si>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</si>
  <si>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</si>
  <si>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</si>
  <si>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</si>
  <si>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</si>
  <si>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</si>
  <si>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</si>
  <si>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</si>
  <si>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</si>
  <si>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</si>
  <si>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</si>
  <si>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</si>
  <si>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</si>
  <si>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</si>
  <si>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</si>
  <si>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</si>
  <si>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</si>
  <si>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</si>
  <si>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</si>
  <si>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</si>
  <si>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</si>
  <si>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</si>
  <si>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</si>
  <si>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</si>
  <si>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</si>
  <si>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</si>
  <si>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</si>
  <si>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</si>
  <si>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</si>
  <si>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</si>
  <si>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</si>
  <si>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</si>
  <si>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</si>
  <si>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</si>
  <si>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</si>
  <si>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</si>
  <si>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</si>
  <si>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</si>
  <si>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</si>
  <si>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</si>
  <si>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</si>
  <si>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</si>
  <si>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</si>
  <si>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</si>
  <si>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</si>
  <si>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</si>
  <si>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</si>
  <si>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</si>
  <si>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</si>
  <si>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</si>
  <si>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</si>
  <si>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</si>
  <si>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</si>
  <si>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</si>
  <si>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</si>
  <si>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</si>
  <si>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</si>
  <si>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</si>
  <si>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</si>
  <si>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</si>
  <si>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</si>
  <si>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</si>
  <si>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</si>
  <si>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</si>
  <si>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</si>
  <si>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</si>
  <si>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</si>
  <si>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</si>
  <si>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</si>
  <si>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</si>
  <si>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</si>
  <si>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</si>
  <si>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</si>
  <si>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</si>
  <si>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</si>
  <si>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</si>
  <si>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</si>
  <si>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</si>
  <si>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</si>
  <si>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</si>
  <si>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</si>
  <si>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</si>
  <si>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</si>
  <si>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</si>
  <si>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</si>
  <si>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</si>
  <si>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</si>
  <si>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</si>
  <si>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</si>
  <si>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</si>
  <si>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</si>
  <si>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</si>
  <si>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</si>
  <si>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</si>
  <si>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</si>
  <si>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</si>
  <si>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</si>
  <si>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</si>
  <si>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</si>
  <si>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</si>
  <si>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</si>
  <si>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</si>
  <si>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</si>
  <si>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</si>
  <si>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</si>
  <si>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</si>
  <si>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</si>
  <si>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</si>
  <si>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</si>
  <si>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SUPPLIER_NO</t>
  </si>
  <si>
    <t>IS_ACTIVE</t>
  </si>
  <si>
    <t>varchar(50)</t>
  </si>
  <si>
    <t>RENBAN</t>
  </si>
  <si>
    <t>CONTAINER_NO</t>
  </si>
  <si>
    <t>DEVANNING_DATE</t>
  </si>
  <si>
    <t>START_DEVANNING_DATE</t>
  </si>
  <si>
    <t>datetime2(7)</t>
  </si>
  <si>
    <t>FINISH_DEVANNING_DATE</t>
  </si>
  <si>
    <t>STATUS</t>
  </si>
  <si>
    <t>CONT_SCHEDULE_ID</t>
  </si>
  <si>
    <t>SHOP</t>
  </si>
  <si>
    <t>PROD_LINE</t>
  </si>
  <si>
    <t>WORKING_DATE</t>
  </si>
  <si>
    <t>SHIFT</t>
  </si>
  <si>
    <t>NO_IN_SHIFT</t>
  </si>
  <si>
    <t>NO_IN_DAY</t>
  </si>
  <si>
    <t>LOT_NO</t>
  </si>
  <si>
    <t>varchar(20)</t>
  </si>
  <si>
    <t>LOT_PARTIAL_NO</t>
  </si>
  <si>
    <t>UNPACKING_START_DATETIME</t>
  </si>
  <si>
    <t>UNPACKING_FINISH_DATETIME</t>
  </si>
  <si>
    <t>TPM</t>
  </si>
  <si>
    <t>REMARKS</t>
  </si>
  <si>
    <t>varchar(1)</t>
  </si>
  <si>
    <t>LogW.Lup</t>
  </si>
  <si>
    <t>LgwLupLotUpPlan</t>
  </si>
  <si>
    <t>LotUpPlan</t>
  </si>
  <si>
    <t>nvarchar(200)</t>
  </si>
  <si>
    <t>LogW Lot Unpacking Plan</t>
  </si>
  <si>
    <t>UNPACKING_ACTUAL_START_DATETIME</t>
  </si>
  <si>
    <t>UNPACKING_ACTUAL_FINISH_DATETIME</t>
  </si>
  <si>
    <t>UP_STATUS</t>
  </si>
  <si>
    <t>MK_STATUS</t>
  </si>
  <si>
    <t>MAKING_FINISH_DATETIME</t>
  </si>
  <si>
    <t>UP_CALLTIME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</si>
</sst>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4"/>
  <sheetViews>
    <sheetView topLeftCell="A53" workbookViewId="0">
      <selection activeCell="C65" sqref="C65:E74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x14ac:dyDescent="0.25">
      <c r="A17" s="1"/>
      <c r="B17" s="17"/>
      <c r="C17" t="s">
        <v>91</v>
      </c>
      <c r="F17" s="1" t="s">
        <v>100</v>
      </c>
      <c r="G17" s="17" t="s">
        <v>100</v>
      </c>
    </row>
    <row r="18" spans="1:7" x14ac:dyDescent="0.25">
      <c r="A18" s="1"/>
      <c r="B18" s="17"/>
      <c r="D18" t="s">
        <v>95</v>
      </c>
      <c r="F18" s="1" t="s">
        <v>114</v>
      </c>
      <c r="G18" s="17" t="s">
        <v>293</v>
      </c>
    </row>
    <row r="19" spans="1:7" x14ac:dyDescent="0.25">
      <c r="A19" s="1"/>
      <c r="B19" s="17"/>
      <c r="D19" t="s">
        <v>96</v>
      </c>
      <c r="F19" s="1" t="s">
        <v>104</v>
      </c>
      <c r="G19" s="17" t="s">
        <v>294</v>
      </c>
    </row>
    <row r="20" spans="1:7" x14ac:dyDescent="0.25">
      <c r="A20" s="1"/>
      <c r="B20" s="17"/>
      <c r="C20" t="s">
        <v>92</v>
      </c>
      <c r="F20" s="1" t="s">
        <v>101</v>
      </c>
      <c r="G20" s="17" t="s">
        <v>101</v>
      </c>
    </row>
    <row r="21" spans="1:7" x14ac:dyDescent="0.25">
      <c r="A21" s="1"/>
      <c r="B21" s="17"/>
      <c r="C21" t="s">
        <v>93</v>
      </c>
      <c r="F21" s="1" t="s">
        <v>102</v>
      </c>
      <c r="G21" s="17" t="s">
        <v>102</v>
      </c>
    </row>
    <row r="22" spans="1:7" x14ac:dyDescent="0.25">
      <c r="A22" s="1"/>
      <c r="B22" s="17"/>
      <c r="C22" t="s">
        <v>271</v>
      </c>
      <c r="F22" s="1" t="s">
        <v>272</v>
      </c>
      <c r="G22" s="17" t="s">
        <v>272</v>
      </c>
    </row>
    <row r="23" spans="1:7" x14ac:dyDescent="0.25">
      <c r="A23" s="1"/>
      <c r="B23" s="17"/>
      <c r="D23" t="s">
        <v>273</v>
      </c>
      <c r="F23" s="1" t="s">
        <v>275</v>
      </c>
      <c r="G23" s="17" t="s">
        <v>295</v>
      </c>
    </row>
    <row r="24" spans="1:7" x14ac:dyDescent="0.25">
      <c r="A24" s="1"/>
      <c r="B24" s="17"/>
      <c r="D24" t="s">
        <v>276</v>
      </c>
      <c r="F24" s="1" t="s">
        <v>274</v>
      </c>
      <c r="G24" s="17" t="s">
        <v>296</v>
      </c>
    </row>
    <row r="25" spans="1:7" x14ac:dyDescent="0.25">
      <c r="A25" s="1"/>
      <c r="B25" s="17"/>
      <c r="D25" t="s">
        <v>277</v>
      </c>
      <c r="F25" s="1" t="s">
        <v>280</v>
      </c>
      <c r="G25" s="17" t="s">
        <v>297</v>
      </c>
    </row>
    <row r="26" spans="1:7" x14ac:dyDescent="0.25">
      <c r="A26" s="1"/>
      <c r="B26" s="17"/>
      <c r="D26" t="s">
        <v>278</v>
      </c>
      <c r="F26" s="1" t="s">
        <v>281</v>
      </c>
      <c r="G26" s="17" t="s">
        <v>298</v>
      </c>
    </row>
    <row r="27" spans="1:7" x14ac:dyDescent="0.25">
      <c r="A27" s="1"/>
      <c r="B27" s="17"/>
      <c r="D27" t="s">
        <v>279</v>
      </c>
      <c r="F27" s="1" t="s">
        <v>282</v>
      </c>
      <c r="G27" s="17" t="s">
        <v>299</v>
      </c>
    </row>
    <row r="28" spans="1:7" x14ac:dyDescent="0.25">
      <c r="A28" s="1"/>
      <c r="B28" s="17"/>
      <c r="D28" t="s">
        <v>284</v>
      </c>
      <c r="F28" s="1" t="s">
        <v>283</v>
      </c>
      <c r="G28" s="17" t="s">
        <v>300</v>
      </c>
    </row>
    <row r="29" spans="1:7" x14ac:dyDescent="0.25">
      <c r="A29" s="1"/>
      <c r="B29" s="17"/>
      <c r="F29" s="1"/>
    </row>
    <row r="30" spans="1:7" x14ac:dyDescent="0.25">
      <c r="A30" s="1"/>
      <c r="B30" s="17"/>
    </row>
    <row r="31" spans="1:7" x14ac:dyDescent="0.25">
      <c r="A31" s="1"/>
      <c r="B31" s="17" t="s">
        <v>86</v>
      </c>
    </row>
    <row r="32" spans="1:7" x14ac:dyDescent="0.25">
      <c r="A32" s="1"/>
      <c r="B32" s="17" t="s">
        <v>83</v>
      </c>
    </row>
    <row r="33" spans="1:14" x14ac:dyDescent="0.25">
      <c r="A33" s="1"/>
      <c r="B33" s="17"/>
      <c r="C33" s="19" t="s">
        <v>80</v>
      </c>
    </row>
    <row r="34" spans="1:14" x14ac:dyDescent="0.25">
      <c r="A34" s="1"/>
      <c r="B34" s="17"/>
      <c r="C34" s="18" t="s">
        <v>81</v>
      </c>
    </row>
    <row r="35" spans="1:14" x14ac:dyDescent="0.25">
      <c r="A35" s="1"/>
      <c r="B35" s="17"/>
      <c r="C35" s="18" t="s">
        <v>82</v>
      </c>
    </row>
    <row r="36" spans="1:14" x14ac:dyDescent="0.25">
      <c r="A36" s="1"/>
      <c r="B36" s="17" t="s">
        <v>106</v>
      </c>
      <c r="C36" s="18"/>
    </row>
    <row r="37" spans="1:14" x14ac:dyDescent="0.25">
      <c r="A37" s="1"/>
      <c r="B37" s="17"/>
      <c r="C37" s="18" t="s">
        <v>107</v>
      </c>
    </row>
    <row r="38" spans="1:14" x14ac:dyDescent="0.25">
      <c r="A38" s="1"/>
      <c r="B38" s="17"/>
      <c r="C38" s="18" t="s">
        <v>108</v>
      </c>
    </row>
    <row r="39" spans="1:14" x14ac:dyDescent="0.25">
      <c r="A39" s="1"/>
      <c r="B39" s="17"/>
      <c r="C39" s="18" t="s">
        <v>109</v>
      </c>
    </row>
    <row r="40" spans="1:14" x14ac:dyDescent="0.25">
      <c r="A40" s="1"/>
      <c r="B40" s="17"/>
      <c r="C40" s="18" t="s">
        <v>111</v>
      </c>
    </row>
    <row r="41" spans="1:14" x14ac:dyDescent="0.25">
      <c r="A41" s="1"/>
      <c r="B41" s="17"/>
      <c r="C41" s="18" t="s">
        <v>113</v>
      </c>
    </row>
    <row r="42" spans="1:14" x14ac:dyDescent="0.25">
      <c r="A42" s="1"/>
      <c r="B42" s="17"/>
      <c r="C42" s="18" t="s">
        <v>112</v>
      </c>
    </row>
    <row r="43" spans="1:14" x14ac:dyDescent="0.25">
      <c r="A43" s="1"/>
      <c r="B43" s="17"/>
      <c r="C43" s="18" t="s">
        <v>110</v>
      </c>
    </row>
    <row r="44" spans="1:14" ht="21" customHeight="1" x14ac:dyDescent="0.25">
      <c r="B44" s="21" t="s">
        <v>78</v>
      </c>
    </row>
    <row r="45" spans="1:14" ht="21" customHeight="1" x14ac:dyDescent="0.25">
      <c r="B45" s="63" t="s">
        <v>231</v>
      </c>
    </row>
    <row r="46" spans="1:14" ht="15.75" thickBot="1" x14ac:dyDescent="0.3">
      <c r="C46" s="1" t="s">
        <v>72</v>
      </c>
      <c r="D46" s="1" t="s">
        <v>207</v>
      </c>
      <c r="E46" s="1" t="s">
        <v>208</v>
      </c>
      <c r="F46" s="1" t="s">
        <v>198</v>
      </c>
      <c r="G46" s="1" t="s">
        <v>199</v>
      </c>
      <c r="H46" s="1" t="s">
        <v>200</v>
      </c>
      <c r="I46" s="1" t="s">
        <v>201</v>
      </c>
      <c r="J46" s="1" t="s">
        <v>205</v>
      </c>
      <c r="K46" s="1" t="s">
        <v>209</v>
      </c>
      <c r="L46" s="1" t="s">
        <v>210</v>
      </c>
      <c r="M46" s="1" t="s">
        <v>211</v>
      </c>
      <c r="N46" s="1" t="s">
        <v>227</v>
      </c>
    </row>
    <row r="47" spans="1:14" s="16" customFormat="1" ht="21.75" customHeight="1" thickBot="1" x14ac:dyDescent="0.3">
      <c r="B47" s="52" t="s">
        <v>226</v>
      </c>
      <c r="C47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vovina.LogW.Lup
{
	[Table("LgwLupLotUpPlan")]
	[Index(nameof(ProdLine), Name="IX_LgwLupLotUpPlan_ProdLine")]
	[Index(nameof(WorkingDate), Name="IX_LgwLupLotUpPlan_WorkingDate")]
	[Index(nameof(Shift), Name="IX_LgwLupLotUpPlan_Shift")]
	[Index(nameof(MkStatus), Name="IX_LgwLupLotUpPlan_MkStatus")]
	[Index(nameof(UpStatus), Name="IX_LgwLupLotUpPlan_UpStatus")]
	[Index(nameof(IsActive), Name="IX_LgwLupLotUpPlan_IsActive")]	public class LgwLupLotUpPlan: FullAuditedEntity&lt;long&gt;, IEntity&lt;long&gt;	
	{
		public const int MaxProdLineLength = 50;
		public const int MaxShiftLength = 50;
		public const int MaxLotNoLength = 20;
		public const int MaxTpmLength = 200;
		public const int MaxRemarksLength = 200;
		public const int MaxMkStatusLength = 50;
		public const int MaxUpStatusLength = 50;
		public const int MaxIsActiveLength = 1;
		[StringLength(MaxProdLineLength)]
		public virtual string ProdLine { get; set; }
		[Column(TypeName="date")]
		public virtual DateTime WorkingDate { get; set; }
		[StringLength(MaxShiftLength)]
		public virtual string Shift { get; set; }
		public virtual int NoInShift { get; set; }
		public virtual int NoInDay { get; set; }
		[StringLength(MaxLotNoLength)]
		public virtual string LotNo { get; set; }
		public virtual int LotPartialNo { get; set; }
		[Column(TypeName="datetime2(7)")]
		public virtual DateTime UnpackingStartDatetime { get; set; }
		[Column(TypeName="datetime2(7)")]
		public virtual DateTime UnpackingFinishDatetime { get; set; }
		[Column(TypeName="nvarchar(200)")]
		[StringLength(MaxTpmLength)]
		public virtual string Tpm { get; set; }
		[Column(TypeName="nvarchar(200)")]
		[StringLength(MaxRemarksLength)]
		public virtual string Remarks { get; set; }
		[Column(TypeName="datetime2(7)")]
		public virtual DateTime UpCalltime { get; set; }
		[Column(TypeName="datetime2(7)")]
		public virtual DateTime UnpackingActualStartDatetime { get; set; }
		[Column(TypeName="datetime2(7)")]
		public virtual DateTime UnpackingActualFinishDatetime { get; set; }
		[Column(TypeName="datetime2(7)")]
		public virtual DateTime MakingFinishDatetime { get; set; }
		[Column(TypeName="nvarchar(200)")]
		[StringLength(MaxMkStatusLength)]
		public virtual string MkStatus { get; set; }
		[Column(TypeName="nvarchar(200)")]
		[StringLength(MaxUpStatusLength)]
		public virtual string UpStatus { get; set; }
		[StringLength(MaxIsActiveLength)]
		public virtual string IsActive { get; set; }
	}
}
</v>
      </c>
      <c r="D47" s="51" t="str">
        <f>A.Backend!O7</f>
        <v xml:space="preserve">		public const string Pages_LogW_Lup_LotUpPlan = "Pages.LogW.Lup.LotUpPlan";
		public const string Pages_LogW_Lup_LotUpPlan_CreateEdit = "Pages.LogW.Lup.LotUpPlan.CreateEdit";
		public const string Pages_LogW_Lup_LotUpPlan_Delete = "Pages.LogW.Lup.LotUpPlan.Delete";
</v>
      </c>
      <c r="E47" s="51" t="str">
        <f>A.Backend!N7</f>
        <v xml:space="preserve">		var perLgwLupLotUpPlan = PARENTS.CreateChildPermission(AppPermissions.Pages_LogW_Lup_LotUpPlan, L( "LogWLupLotUpPlan"));
		perLgwLupLotUpPlan.CreateChildPermission(AppPermissions.Pages_LogW_Lup_LotUpPlan_CreateEdit, L( "LogWLupLotUpPlanCreateEdit"));
		perLgwLupLotUpPlan.CreateChildPermission(AppPermissions.Pages_LogW_Lup_LotUpPlan_Delete, L( "LogWLupLotUpPlanDelete"));</v>
      </c>
      <c r="F47" s="51" t="str">
        <f>A.Backend!K7</f>
        <v>public virtual DbSet&lt;LgwLupLotUpPlan&gt; LgwLupLotUpPlans { get; set; }</v>
      </c>
      <c r="G47" s="51" t="str">
        <f ca="1">A.Backend!L7</f>
        <v xml:space="preserve">namespace vovina.LogW.Lup
{
	public class LgwLupLotUpPlanConsts	
	{
		public const int MaxProdLineLength = 50;
		public const int MaxShiftLength = 50;
		public const int MaxLotNoLength = 20;
		public const int MaxTpmLength = 200;
		public const int MaxRemarksLength = 200;
		public const int MaxMkStatusLength = 50;
		public const int MaxUpStatusLength = 50;
		public const int MaxIsActiveLength = 1;
		// Define Store Name: Format SP_ + &lt;Store Name&gt; = &lt;Store Name&gt;
	}
}
</v>
      </c>
      <c r="H47" s="51" t="str">
        <f ca="1">A.Backend!M7</f>
        <v xml:space="preserve">using Abp.Application.Services.Dto;
using System;
using System.ComponentModel.DataAnnotations;
namespace vovina.LogW.Lup.Dto
{
	public class LgwLupLotUpPlanDto : EntityDto&lt;long?&gt;	
	{
		public virtual string ProdLine { get; set; }
		public virtual DateTime? WorkingDate { get; set; }
		public virtual string Shift { get; set; }
		public virtual int NoInShift { get; set; }
		public virtual int NoInDay { get; set; }
		public virtual string LotNo { get; set; }
		public virtual int LotPartialNo { get; set; }
		public virtual DateTime? UnpackingStartDatetime { get; set; }
		public virtual DateTime? UnpackingFinishDatetime { get; set; }
		public virtual string Tpm { get; set; }
		public virtual string Remarks { get; set; }
		public virtual DateTime? UpCalltime { get; set; }
		public virtual DateTime? UnpackingActualStartDatetime { get; set; }
		public virtual DateTime? UnpackingActualFinishDatetime { get; set; }
		public virtual DateTime? MakingFinishDatetime { get; set; }
		public virtual string MkStatus { get; set; }
		public virtual string UpStatus { get; set; }
		public virtual string IsActive { get; set; }
	}
	public class CreateOrEditLgwLupLotUpPlanDto : EntityDto&lt;long?&gt;	
	{
		[StringLength(LgwLupLotUpPlanConsts.MaxProdLineLength)]
		public virtual string ProdLine { get; set; }
		public virtual DateTime? WorkingDate { get; set; }
		[StringLength(LgwLupLotUpPlanConsts.MaxShiftLength)]
		public virtual string Shift { get; set; }
		public virtual int NoInShift { get; set; }
		public virtual int NoInDay { get; set; }
		[StringLength(LgwLupLotUpPlanConsts.MaxLotNoLength)]
		public virtual string LotNo { get; set; }
		public virtual int LotPartialNo { get; set; }
		public virtual DateTime? UnpackingStartDatetime { get; set; }
		public virtual DateTime? UnpackingFinishDatetime { get; set; }
		[StringLength(LgwLupLotUpPlanConsts.MaxTpmLength)]
		public virtual string Tpm { get; set; }
		[StringLength(LgwLupLotUpPlanConsts.MaxRemarksLength)]
		public virtual string Remarks { get; set; }
		public virtual DateTime? UpCalltime { get; set; }
		public virtual DateTime? UnpackingActualStartDatetime { get; set; }
		public virtual DateTime? UnpackingActualFinishDatetime { get; set; }
		public virtual DateTime? MakingFinishDatetime { get; set; }
		[StringLength(LgwLupLotUpPlanConsts.MaxMkStatusLength)]
		public virtual string MkStatus { get; set; }
		[StringLength(LgwLupLotUpPlanConsts.MaxUpStatusLength)]
		public virtual string UpStatus { get; set; }
		[StringLength(LgwLupLotUpPlanConsts.MaxIsActiveLength)]
		public virtual string IsActive { get; set; }
	}
	public class GetLgwLupLotUpPlanInput : PagedAndSortedResultRequestDto	
	{
		public virtual string ProdLine { get; set; }
		public virtual DateTime? WorkingDate { get; set; }
		public virtual string Shift { get; set; }
		public virtual int NoInShift { get; set; }
		public virtual int NoInDay { get; set; }
		public virtual string LotNo { get; set; }
		public virtual int LotPartialNo { get; set; }
		public virtual DateTime? UnpackingStartDatetime { get; set; }
		public virtual DateTime? UnpackingFinishDatetime { get; set; }
		public virtual string Tpm { get; set; }
		public virtual string Remarks { get; set; }
		public virtual DateTime? UpCalltime { get; set; }
		public virtual DateTime? UnpackingActualStartDatetime { get; set; }
		public virtual DateTime? UnpackingActualFinishDatetime { get; set; }
		public virtual DateTime? MakingFinishDatetime { get; set; }
		public virtual string MkStatus { get; set; }
		public virtual string UpStatus { get; set; }
		public virtual string IsActive { get; set; }
	}
}
</v>
      </c>
      <c r="I47" s="51" t="str">
        <f ca="1">A.Backend!R7</f>
        <v xml:space="preserve">using Abp.Application.Services.Dto;
using System;
using System.ComponentModel.DataAnnotations;
namespace vovina.LogW.Lup.Dto
{
	public class LgwLupLotUpPlanExportInput{
		public virtual string ProdLine { get; set; }
		public virtual DateTime? WorkingDate { get; set; }
		public virtual string Shift { get; set; }
		public virtual int NoInShift { get; set; }
		public virtual int NoInDay { get; set; }
		public virtual string LotNo { get; set; }
		public virtual int LotPartialNo { get; set; }
		public virtual DateTime? UnpackingStartDatetime { get; set; }
		public virtual DateTime? UnpackingFinishDatetime { get; set; }
		public virtual string Tpm { get; set; }
		public virtual string Remarks { get; set; }
		public virtual DateTime? UpCalltime { get; set; }
		public virtual DateTime? UnpackingActualStartDatetime { get; set; }
		public virtual DateTime? UnpackingActualFinishDatetime { get; set; }
		public virtual DateTime? MakingFinishDatetime { get; set; }
		public virtual string MkStatus { get; set; }
		public virtual string UpStatus { get; set; }
		public virtual string IsActive { get; set; }
	}
}
</v>
      </c>
      <c r="J47" s="51" t="str">
        <f>A.Backend!P7</f>
        <v xml:space="preserve">using Abp.Application.Services;
using Abp.Application.Services.Dto;
using System.Collections.Generic;using vovina.Dto;
using System.Threading.Tasks;
using vovina.LogW.Lup.Dto;
namespace vovina.LogW.Lup
{
	public interface ILgwLupLotUpPlanAppService : IApplicationService
	{
		Task&lt;PagedResultDto&lt;LgwLupLotUpPlanDto&gt;&gt; GetAll(GetLgwLupLotUpPlanInput input);
		Task CreateOrEdit(CreateOrEditLgwLupLotUpPlanDto input);
		Task Delete(EntityDto input);
	}
}
</v>
      </c>
      <c r="K47" s="51" t="str">
        <f>A.Backend!S7</f>
        <v xml:space="preserve">using Abp.Application.Services;
using Abp.Application.Services.Dto;
using System.Collections.Generic;using vovina.Dto;
using System.Threading.Tasks;
using vovina.LogW.Lup.Dto;
namespace vovina.LogW.Lup.Exporting
{
	public interface ILgwLupLotUpPlanExcelExporter : IApplicationService
	{
		FileDto ExportToFile(List&lt;LgwLupLotUpPlanDto&gt; lgwluplotupplan);
	}
}
</v>
      </c>
      <c r="L47" s="51" t="str">
        <f ca="1">A.Backend!T7</f>
        <v>using System.Collections.Generic;
using vovina.DataExporting.Excel.NPOI;
using vovina.Dto;
using vovina.LogW.Lup.Exporting;
using vovina.LogW.Lup.Dto;
using vovina.Storage;
using vovina.LogW.Lup.Dto;
namespace vovina.LogW.Lup.Exporting
{
    public class LgwLupLotUpPlanExcelExporter : NpoiExcelExporterBase, ILgwLupLotUpPlanExcelExporter
    {
        public LgwLupLotUpPlanExcelExporter(ITempFileCacheManager tempFileCacheManager) : base(tempFileCacheManager) { }
        public FileDto ExportToFile(List&lt;LgwLupLotUpPlanDto&gt; lotupplan)
        {
            return CreateExcelPackage(
				"LogWLupLotUpPlan.xlsx",
				excelPackage =&gt;
				 {
					var sheet = excelPackage.CreateSheet("LotUpPlan");
					AddHeader(
								sheet,
								("ProdLine"),
								("WorkingDate"),
								("Shift"),
								("NoInShift"),
								("NoInDay"),
								("LotNo"),
								("LotPartialNo"),
								("UnpackingStartDatetime"),
								("UnpackingFinishDatetime"),
								("Tpm"),
								("Remarks"),
								("UpCalltime"),
								("UnpackingActualStartDatetime"),
								("UnpackingActualFinishDatetime"),
								("MakingFinishDatetime"),
								("MkStatus"),
								("UpStatus"),
								("IsActive"),
							   );
					AddObjects(
						 sheet, 1, lotupplan,                                       
								_ =&gt; _.ProdLine,
								_ =&gt; _.WorkingDate,
								_ =&gt; _.Shift,
								_ =&gt; _.NoInShift,
								_ =&gt; _.NoInDay,
								_ =&gt; _.LotNo,
								_ =&gt; _.LotPartialNo,
								_ =&gt; _.UnpackingStartDatetime,
								_ =&gt; _.UnpackingFinishDatetime,
								_ =&gt; _.Tpm,
								_ =&gt; _.Remarks,
								_ =&gt; _.UpCalltime,
								_ =&gt; _.UnpackingActualStartDatetime,
								_ =&gt; _.UnpackingActualFinishDatetime,
								_ =&gt; _.MakingFinishDatetime,
								_ =&gt; _.MkStatus,
								_ =&gt; _.UpStatus,
								_ =&gt; _.IsActive,
								);
			for (var i = 0; i &lt; 8; i++)
				{
					sheet.AutoSizeColumn(i);
				}
			});
        }
    }
}</v>
      </c>
      <c r="M47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vovina.LogW.Lup.Dto;
using vovina.LogW.Lup.Exporting;
namespace vovina.LogW.Lup
{
    [AbpAuthorize(AppPermissions.Pages_LogW_Lup_LotUpPlan)]
    public class LgwLupLotUpPlanAppService : vovinaAppServiceBase, ILgwLupLotUpPlanAppService
    {
        private readonly IDapperRepository&lt;LgwLupLotUpPlan, long&gt; _dapperRepo;
        private readonly IRepository&lt;LgwLupLotUpPlan, long&gt; _repo;
        private readonly ILgwLupLotUpPlanExcelExporter _calendarListExcelExporter;
        public LgwLupLotUpPlanAppService(IRepository&lt;LgwLupLotUpPlan,long&gt; repo, 
                                         IDapperRepository&lt;LgwLupLotUpPlan,long&gt; dapperRepo,
                                        ILgwLupLotUpPlanExcelExporter calendarListExcelExporter
            )
        {
            _repo = repo;
            _dapperRepo = dapperRepo;
            _calendarListExcelExporter = calendarListExcelExporter;
        }
        [AbpAuthorize(AppPermissions.Pages_LogW_Lup_LotUpPlan_CreateEdit)]
        public async Task CreateOrEdit(CreateOrEditLgwLupLotUpPlanDto input)
        {
            if (input.Id == null) await Create(input);
            else await Update(input);
        }
        //CREATE
        private async Task Create(CreateOrEditLgwLupLotUpPlanDto input)
        {          
            var mainObj = ObjectMapper.Map&lt;LgwLupLotUpPlan&gt;(input);
            await CurrentUnitOfWork.GetDbContext&lt;vovinaDbContext&gt;().AddAsync(mainObj);
        }
        // EDIT
        private async Task Update(CreateOrEditLgwLupLotUpPlanDto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[AbpAuthorize(AppPermissions.Pages_LogW_Lup_LotUpPlan_Delete)]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Task&lt;PagedResultDto&lt;LgwLupLotUpPlanDto&gt;&gt; GetAll(GetLgwLupLotUpPlanInput input)
        {
            var filtered = _repo.GetAll()
				.WhereIf(!string.IsNullOrWhiteSpace(input.ProdLine), e =&gt; e.ProdLine.Contains(input.ProdLine))
				.WhereIf(input.WorkingDate.HasValue, t =&gt; t.WorkingDate == input.WorkingDate.Value)
				.WhereIf(!string.IsNullOrWhiteSpace(input.Shift), e =&gt; e.Shift.Contains(input.Shift))
				.WhereIf(!string.IsNullOrWhiteSpace(input.LotNo), e =&gt; e.LotNo.Contains(input.LotNo))
				.WhereIf(input.UnpackingStartDatetime.HasValue, t =&gt; t.UnpackingStartDatetime == input.UnpackingStartDatetime.Value)
				.WhereIf(input.UnpackingFinishDatetime.HasValue, t =&gt; t.UnpackingFinishDatetime == input.UnpackingFinishDatetime.Value)
				.WhereIf(!string.IsNullOrWhiteSpace(input.Tpm), e =&gt; e.Tpm.Contains(input.Tpm))
				.WhereIf(!string.IsNullOrWhiteSpace(input.Remarks), e =&gt; e.Remarks.Contains(input.Remarks))
				.WhereIf(input.UpCalltime.HasValue, t =&gt; t.UpCalltime == input.UpCalltime.Value)
				.WhereIf(input.UnpackingActualStartDatetime.HasValue, t =&gt; t.UnpackingActualStartDatetime == input.UnpackingActualStartDatetime.Value)
				.WhereIf(input.UnpackingActualFinishDatetime.HasValue, t =&gt; t.UnpackingActualFinishDatetime == input.UnpackingActualFinishDatetime.Value)
				.WhereIf(input.MakingFinishDatetime.HasValue, t =&gt; t.MakingFinishDatetime == input.MakingFinishDatetime.Value)
				.WhereIf(!string.IsNullOrWhiteSpace(input.MkStatus), e =&gt; e.MkStatus.Contains(input.MkStatus))
				.WhereIf(!string.IsNullOrWhiteSpace(input.UpStatus), e =&gt; e.UpStatus.Contains(input.UpStatus))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LgwLupLotUpPlanDto
                        {
							Id = o.Id,
							ProdLine = o.ProdLine,
							WorkingDate = o.WorkingDate,
							Shift = o.Shift,
							NoInShift = o.NoInShift,
							NoInDay = o.NoInDay,
							LotNo = o.LotNo,
							LotPartialNo = o.LotPartialNo,
							UnpackingStartDatetime = o.UnpackingStartDatetime,
							UnpackingFinishDatetime = o.UnpackingFinishDatetime,
							Tpm = o.Tpm,
							Remarks = o.Remarks,
							UpCalltime = o.UpCalltime,
							UnpackingActualStartDatetime = o.UnpackingActualStartDatetime,
							UnpackingActualFinishDatetime = o.UnpackingActualFinishDatetime,
							MakingFinishDatetime = o.MakingFinishDatetime,
							MkStatus = o.MkStatus,
							UpStatus = o.UpStatus,
							IsActive = o.IsActive,
                        };
            var totalCount = await filtered.CountAsync();
			var paged = system.PageBy(input);
            return new PagedResultDto&lt;LgwLupLotUpPlanDto&gt;(
                totalCount,
                 await paged.ToListAsync()
            );
        }
        public async Task&lt;FileDto&gt; GetLotUpPlanToExcel(LgwLupLotUpPlanExportInput input)
        {
            var query = from o in _repo.GetAll()
                        select new LgwLupLotUpPlanDto
                        {
							Id = o.Id,
							ProdLine = o.ProdLine,
							WorkingDate = o.WorkingDate,
							Shift = o.Shift,
							NoInShift = o.NoInShift,
							NoInDay = o.NoInDay,
							LotNo = o.LotNo,
							LotPartialNo = o.LotPartialNo,
							UnpackingStartDatetime = o.UnpackingStartDatetime,
							UnpackingFinishDatetime = o.UnpackingFinishDatetime,
							Tpm = o.Tpm,
							Remarks = o.Remarks,
							UpCalltime = o.UpCalltime,
							UnpackingActualStartDatetime = o.UnpackingActualStartDatetime,
							UnpackingActualFinishDatetime = o.UnpackingActualFinishDatetime,
							MakingFinishDatetime = o.MakingFinishDatetime,
							MkStatus = o.MkStatus,
							UpStatus = o.UpStatus,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_dapperRepo.ExecuteAsync(LgwLupLotUpPlanConsts.SP_MST_WPT_CALENDAR_GENERATE);
       // }
    }
}</v>
      </c>
      <c r="N47" s="62" t="str">
        <f>A.Backend!U7</f>
        <v xml:space="preserve">  configuration.CreateMap&lt;LgwLupLotUpPlanDto, LgwLupLotUpPlan&gt;();
  configuration.CreateMap&lt;LgwLupLotUpPlan, LgwLupLotUpPlanDto&gt;();
  configuration.CreateMap&lt;CreateOrEditLgwLupLotUpPlanDto, LgwLupLotUpPlan&gt;();</v>
      </c>
    </row>
    <row r="48" spans="1:14" s="16" customFormat="1" ht="21.75" customHeight="1" x14ac:dyDescent="0.25">
      <c r="C48" s="65"/>
      <c r="D48" s="29"/>
      <c r="E48" s="29"/>
      <c r="F48" s="29"/>
      <c r="G48" s="29"/>
      <c r="H48" s="66"/>
      <c r="I48" s="67"/>
      <c r="J48" s="29"/>
      <c r="K48" s="29"/>
      <c r="M48" s="66"/>
    </row>
    <row r="49" spans="2:13" s="16" customFormat="1" ht="21.75" customHeight="1" x14ac:dyDescent="0.25">
      <c r="C49" s="29"/>
      <c r="D49" s="29"/>
      <c r="E49" s="29"/>
      <c r="F49" s="29"/>
      <c r="G49" s="29"/>
      <c r="H49" s="29"/>
      <c r="J49" s="29"/>
      <c r="K49" s="29"/>
      <c r="M49" s="29"/>
    </row>
    <row r="50" spans="2:13" s="16" customFormat="1" ht="21.75" customHeight="1" x14ac:dyDescent="0.25">
      <c r="C50" s="29"/>
      <c r="D50" s="29"/>
      <c r="E50" s="29"/>
      <c r="G50" s="29"/>
      <c r="H50" s="29"/>
    </row>
    <row r="51" spans="2:13" x14ac:dyDescent="0.25">
      <c r="B51" s="1" t="s">
        <v>73</v>
      </c>
    </row>
    <row r="52" spans="2:13" ht="21" x14ac:dyDescent="0.35">
      <c r="B52" t="str">
        <f>B.Frontend!B8</f>
        <v>lotupplan</v>
      </c>
      <c r="C52" s="72" t="str">
        <f>"create folder " &amp;B52</f>
        <v>create folder lotupplan</v>
      </c>
      <c r="D52" s="72"/>
      <c r="E52" s="72"/>
      <c r="F52" s="72"/>
      <c r="G52" s="72"/>
      <c r="H52" s="72"/>
      <c r="I52" s="72"/>
      <c r="J52" s="72"/>
      <c r="K52" s="73" t="s">
        <v>228</v>
      </c>
      <c r="L52" s="73"/>
      <c r="M52" s="31"/>
    </row>
    <row r="53" spans="2:13" s="28" customFormat="1" ht="18" customHeight="1" x14ac:dyDescent="0.25">
      <c r="B53" s="60" t="s">
        <v>229</v>
      </c>
      <c r="C53" s="31" t="str">
        <f>B.Frontend!H14</f>
        <v>lotupplan.component.ts</v>
      </c>
      <c r="D53" s="31" t="str">
        <f>B.Frontend!I14</f>
        <v>lotupplan.component.html</v>
      </c>
      <c r="E53" s="31" t="str">
        <f>B.Frontend!J14</f>
        <v>lotupplan.component.less</v>
      </c>
      <c r="F53" s="31" t="str">
        <f>B.Frontend!K14</f>
        <v>create-or-edit-lotupplan-modal.component.html</v>
      </c>
      <c r="G53" s="31" t="str">
        <f>B.Frontend!L14</f>
        <v>create-or-edit-lotupplan-modal.component.ts</v>
      </c>
      <c r="H53" s="31" t="str">
        <f>B.Frontend!M14</f>
        <v>create-or-edit-lotupplan-modal.component.less</v>
      </c>
      <c r="I53" s="31" t="str">
        <f>B.Frontend!N14</f>
        <v>lotupplan.module.ts</v>
      </c>
      <c r="J53" s="31" t="str">
        <f>B.Frontend!O14</f>
        <v>lotupplan-routing.module.ts</v>
      </c>
      <c r="K53" s="31" t="str">
        <f>B.Frontend!P14</f>
        <v>app.navigation.service.ts</v>
      </c>
      <c r="L53" s="31" t="str">
        <f>B.Frontend!Q14</f>
        <v>main.routing.module.ts</v>
      </c>
      <c r="M53" s="60" t="s">
        <v>232</v>
      </c>
    </row>
    <row r="54" spans="2:13" ht="21.75" customHeight="1" x14ac:dyDescent="0.25">
      <c r="B54" s="61" t="s">
        <v>226</v>
      </c>
      <c r="C54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LgwLupLotUpPlanDto, LgwLupLotUpPlanServiceProxy } from '@shared/service-proxies/service-proxies';
import { finalize } from 'rxjs/internal/operators/finalize';
import { CreateOrEditLotUpPlanModalComponent } from './create-or-edit-lotupplan-modal.component';
import { DatePipe } from '@angular/common';
import { FileDownloadService } from '@shared/utils/file-download.service';
import ceil from 'lodash-es/ceil';
import { Paginator } from 'primeng/paginator';
@Component({
    templateUrl: './lotupplan.component.html',
    styleUrls: ['./lotupplan.component.less'],
})
export class LotUpPlanComponent extends AppComponentBase implements OnInit {
    @ViewChild('createOrEditModalLotUpPlan', { static: true }) createOrEditModalLotUpPlan:| CreateOrEditLotUpPlanModalComponent|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LgwLupLotUpPlanDto = new LgwLupLotUpPlanDto();
    saveSelectedRow: LgwLupLotUpPlanDto = new LgwLupLotUpPlanDto();
    datas: LgwLupLotUpPlanDto = new LgwLupLotUpPlanDto();
    isLoading: boolean = false;
    dataParams: GridParams | undefined;
    rowData: any[] = [];
    gridApi!: GridApi;
    rowSelection = 'multiple';
    filter: string = '';
	pipe = new DatePipe('en-US');
	frameworkComponents: FrameworkComponent;
    prodLine : string = '' ; 
	workingDate : any ;
	shift : string = '' ; 
	noInShift : number = 0 ;
	noInDay : number = 0 ;
	lotNo : string = '' ; 
	lotPartialNo : number = 0 ;
unpackingStartDatetime : any ;
	unpackingFinishDatetime : any ;
	tpm : string = '' ; 
remarks : string = '' ; 
	upCalltime : any ;
	unpackingActualStartDatetime : any ;
unpackingActualFinishDatetime : any ;
	makingFinishDatetime : any ;
	mkStatus : string = '' ; 
upStatus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LgwLupLotUpPlanServiceProxy,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this.l('Prod Line'),headerTooltip: this.l('Prod Line'),field: 'prodLine',flex: 1},
			{headerName: this.l('Working Date'),headerTooltip: this.l('Working Date'),field: 'workingDate',valueGetter: (params) =&gt; this.pipe.transform(params.data?.workingDate, 'dd/MM/yyyy'),flex: 1},
			{headerName: this.l('Shift'),headerTooltip: this.l('Shift'),field: 'shift',flex: 1},
			{headerName: this.l('No In Shift'),headerTooltip: this.l('No In Shift'),field: 'noInShift',flex: 1},
			{headerName: this.l('No In Day'),headerTooltip: this.l('No In Day'),field: 'noInDay',flex: 1},
			{headerName: this.l('Lot No'),headerTooltip: this.l('Lot No'),field: 'lotNo',flex: 1},
			{headerName: this.l('Lot Partial No'),headerTooltip: this.l('Lot Partial No'),field: 'lotPartialNo',flex: 1},
			{headerName: this.l('Unpacking Start Datetime'),headerTooltip: this.l('Unpacking Start Datetime'),field: 'unpackingStartDatetime',valueGetter: (params) =&gt; this.pipe.transform(params.data?.unpackingStartDatetime, 'dd/MM/yyyy'),flex: 1},
			{headerName: this.l('Unpacking Finish Datetime'),headerTooltip: this.l('Unpacking Finish Datetime'),field: 'unpackingFinishDatetime',valueGetter: (params) =&gt; this.pipe.transform(params.data?.unpackingFinishDatetime, 'dd/MM/yyyy'),flex: 1},
			{headerName: this.l('Tpm'),headerTooltip: this.l('Tpm'),field: 'tpm',flex: 1},
			{headerName: this.l('Remarks'),headerTooltip: this.l('Remarks'),field: 'remarks',flex: 1},
			{headerName: this.l('Up Calltime'),headerTooltip: this.l('Up Calltime'),field: 'upCalltime',valueGetter: (params) =&gt; this.pipe.transform(params.data?.upCalltime, 'dd/MM/yyyy'),flex: 1},
			{headerName: this.l('Unpacking Actual Start Datetime'),headerTooltip: this.l('Unpacking Actual Start Datetime'),field: 'unpackingActualStartDatetime',valueGetter: (params) =&gt; this.pipe.transform(params.data?.unpackingActualStartDatetime, 'dd/MM/yyyy'),flex: 1},
			{headerName: this.l('Unpacking Actual Finish Datetime'),headerTooltip: this.l('Unpacking Actual Finish Datetime'),field: 'unpackingActualFinishDatetime',valueGetter: (params) =&gt; this.pipe.transform(params.data?.unpackingActualFinishDatetime, 'dd/MM/yyyy'),flex: 1},
			{headerName: this.l('Making Finish Datetime'),headerTooltip: this.l('Making Finish Datetime'),field: 'makingFinishDatetime',valueGetter: (params) =&gt; this.pipe.transform(params.data?.makingFinishDatetime, 'dd/MM/yyyy'),flex: 1},
			{headerName: this.l('Mk Status'),headerTooltip: this.l('Mk Status'),field: 'mkStatus',flex: 1},
			{headerName: this.l('Up Status'),headerTooltip: this.l('Up Status'),field: 'upStatus',flex: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this.prodLine,
			this.workingDate,
			this.shift,
			this.noInShift,
			this.noInDay,
			this.lotNo,
			this.lotPartialNo,
			this.unpackingStartDatetime,
			this.unpackingFinishDatetime,
			this.tpm,
			this.remarks,
			this.upCalltime,
			this.unpackingActualStartDatetime,
			this.unpackingActualFinishDatetime,
			this.makingFinishDatetime,
			this.mkStatus,
			this.upStatus,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this.prodLine = '',
		this.workingDate = '',
		this.shift = '',
		this.noInShift = 0,
		this.noInDay = 0,
		this.lotNo = '',
		this.lotPartialNo = 0,
this.unpackingStartDatetime = '',
		this.unpackingFinishDatetime = '',
		this.tpm = '',
this.remarks = '',
		this.upCalltime = '',
		this.unpackingActualStartDatetime = '',
this.unpackingActualFinishDatetime = '',
		this.makingFinishDatetime = '',
		this.mkStatus = '',
this.upStatus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this.prodLine,
			this.workingDate,
			this.shift,
			this.noInShift,
			this.noInDay,
			this.lotNo,
			this.lotPartialNo,
			this.unpackingStartDatetime,
			this.unpackingFinishDatetime,
			this.tpm,
			this.remarks,
			this.upCalltime,
			this.unpackingActualStartDatetime,
			this.unpackingActualFinishDatetime,
			this.makingFinishDatetime,
			this.mkStatus,
			this.upStatus,
			this.isActive,
			'',
            this.paginationParams.skipCount,
            this.paginationParams.pageSize
        );
    }
    onChangeRowSelection(params: { api: { getSelectedRows: () =&gt; LgwLupLotUpPlanDto[] } }) {
        this.saveSelectedRow = params.api.getSelectedRows()[0] ?? new LgwLupLotUpPlanDto();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LgwLupLotUpPlanDto):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this._service.getLotUpPlanToExcel(
			this.prodLine,
			this.workingDate,
			this.shift,
			this.noInShift,
			this.noInDay,
			this.lotNo,
			this.lotPartialNo,
			this.unpackingStartDatetime,
			this.unpackingFinishDatetime,
			this.tpm,
			this.remarks,
			this.upCalltime,
			this.unpackingActualStartDatetime,
			this.unpackingActualFinishDatetime,
			this.makingFinishDatetime,
			this.mkStatus,
			this.upStatus,
			this.isActive,
            )
            .subscribe((result) =&gt; {
                this._fileDownloadService.downloadTempFile(result);
        });
    }
}</v>
      </c>
      <c r="D54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LogW Lot Unpacking Plan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type='text' [placeholder]="l('Unpacking Start Datetime')" [(ngModel)]='unpackingStartDatetime' 
									name='unpackingStartDatetime'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[placeholder]="l('Unpacking Finish Datetime')" [(ngModel)]='unpackingFinishDatetime' 
									name='unpackingFinishDatetime'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[(ngModel)]='tpm' name='tpm'
									class='form-control' [placeholder]="l('Tpm')"
									type='text' (keyup.enter)='searchDatas()'&gt;
								&lt;/div&gt;
								&lt;div class='input-search'&gt;
									&lt;input [(ngModel)]='remarks' name='remarks'
									class='form-control' [placeholder]="l('Remarks')"
									type='text' (keyup.enter)='searchDatas()'&gt;
								&lt;/div&gt;
								&lt;div class='input-search'&gt;
									&lt;input type='text' [placeholder]="l('Up Calltime')" [(ngModel)]='upCalltime' 
									name='upCalltime'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[placeholder]="l('Unpacking Actual Start Datetime')" [(ngModel)]='unpackingActualStartDatetime' 
									name='unpackingActualStartDatetime'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[placeholder]="l('Unpacking Actual Finish Datetime')" [(ngModel)]='unpackingActualFinishDatetime' 
									name='unpackingActualFinishDatetime'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[placeholder]="l('Making Finish Datetime')" [(ngModel)]='makingFinishDatetime' 
									name='makingFinishDatetime'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[(ngModel)]='mkStatus' name='mkStatus'
									class='form-control' [placeholder]="l('Mk Status')"
									type='text' (keyup.enter)='searchDatas()'&gt;
								&lt;/div&gt;
								&lt;div class='input-search'&gt;
									&lt;input [(ngModel)]='upStatus' name='upStatus'
									class='form-control' [placeholder]="l('Up Status')"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(click)="createOrEditModalLotUpPlan.show()"&gt;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(click)="createOrEditModalLotUpPlan.show(selectedRow)"&gt;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&lt;create-or-edit-lotupplan-modal
    #createOrEditModalLotUpPlan
    (modalSave)="callBackDataGrid(dataParams)"
    (modalClose)="onChangeRowSelection(dataParams)"
&gt;
&lt;/create-or-edit-lotupplan-modal&gt;</v>
      </c>
      <c r="E54" s="49" t="str">
        <f>B.Frontend!J10</f>
        <v>.input-search{
    width: 250px;
    border-radius: 10px;
    margin-left: 10px;
}
.btn-search{
    width: 50px;
    margin-left: 10px;
}</v>
      </c>
      <c r="F54" s="49" t="str">
        <f ca="1">B.Frontend!K10</f>
        <v>&lt;div bsModal #createOrEditModalLotUpPlan="bs-modal"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LotUpPlan')}}&lt;/h3&gt;
                    &lt;h3 *ngIf="!rowdata.id"&gt;{{('Create New LotUpPlan')}}&lt;/h3&gt;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title'&gt;No In Shift&lt;/label&gt;
						&lt;input type='number' class='col-md-10 form-control input-text' name='NoInShift' [(ngModel)]='rowdata.noInShift'&gt;
					&lt;/div&gt;
					&lt;div class='col-md-12 form-group row'&gt;
						&lt;label class='col-md-2 form-control title'&gt;No In Day&lt;/label&gt;
						&lt;input type='number' class='col-md-10 form-control input-text' name='NoInDay' [(ngModel)]='rowdata.noInDay'&gt;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title'&gt;Lot Partial No&lt;/label&gt;
						&lt;input type='number' class='col-md-10 form-control input-text' name='LotPartialNo' [(ngModel)]='rowdata.lotPartialNo'&gt;
					&lt;/div&gt;
					&lt;div class='col-md-12 form-group row'&gt;
						&lt;label class='col-md-2 form-control title'&gt;Unpacking Start Datetime&lt;/label&gt;
						&lt;input type='text' class='col-md-10 form-control input-text' name='unpackingStartDatetime' 
						#datepicker='bsDatepicker' [(ngModel)]='rowdata.unpackingStartDatetime'  bsDatepicker &gt;
					&lt;/div&gt;
					&lt;div class='col-md-12 form-group row'&gt;
						&lt;label class='col-md-2 form-control title'&gt;Unpacking Finish Datetime&lt;/label&gt;
						&lt;input type='text' class='col-md-10 form-control input-text' name='unpackingFinishDatetime' 
						#datepicker='bsDatepicker' [(ngModel)]='rowdata.unpackingFinishDatetime'  bsDatepicker &gt;
					&lt;/div&gt;
					&lt;div class='col-md-12 form-group row'&gt;
						&lt;label class='col-md-2 form-control title'&gt;Tpm&lt;/label&gt;
						&lt;input type='text' class='col-md-10 form-control input-text' name='Tpm' [(ngModel)]='rowdata.tpm'&gt;
					&lt;/div&gt;
					&lt;div class='col-md-12 form-group row'&gt;
						&lt;label class='col-md-2 form-control title'&gt;Remarks&lt;/label&gt;
						&lt;input type='text' class='col-md-10 form-control input-text' name='Remarks' [(ngModel)]='rowdata.remarks'&gt;
					&lt;/div&gt;
					&lt;div class='col-md-12 form-group row'&gt;
						&lt;label class='col-md-2 form-control title'&gt;Up Calltime&lt;/label&gt;
						&lt;input type='text' class='col-md-10 form-control input-text' name='upCalltime' 
						#datepicker='bsDatepicker' [(ngModel)]='rowdata.upCalltime'  bsDatepicker &gt;
					&lt;/div&gt;
					&lt;div class='col-md-12 form-group row'&gt;
						&lt;label class='col-md-2 form-control title'&gt;Unpacking Actual Start Datetime&lt;/label&gt;
						&lt;input type='text' class='col-md-10 form-control input-text' name='unpackingActualStartDatetime' 
						#datepicker='bsDatepicker' [(ngModel)]='rowdata.unpackingActualStartDatetime'  bsDatepicker &gt;
					&lt;/div&gt;
					&lt;div class='col-md-12 form-group row'&gt;
						&lt;label class='col-md-2 form-control title'&gt;Unpacking Actual Finish Datetime&lt;/label&gt;
						&lt;input type='text' class='col-md-10 form-control input-text' name='unpackingActualFinishDatetime' 
						#datepicker='bsDatepicker' [(ngModel)]='rowdata.unpackingActualFinishDatetime'  bsDatepicker &gt;
					&lt;/div&gt;
					&lt;div class='col-md-12 form-group row'&gt;
						&lt;label class='col-md-2 form-control title'&gt;Making Finish Datetime&lt;/label&gt;
						&lt;input type='text' class='col-md-10 form-control input-text' name='makingFinishDatetime' 
						#datepicker='bsDatepicker' [(ngModel)]='rowdata.makingFinishDatetime'  bsDatepicker &gt;
					&lt;/div&gt;
					&lt;div class='col-md-12 form-group row'&gt;
						&lt;label class='col-md-2 form-control title'&gt;Mk Status&lt;/label&gt;
						&lt;input type='text' class='col-md-10 form-control input-text' name='MkStatus' [(ngModel)]='rowdata.mkStatus'&gt;
					&lt;/div&gt;
					&lt;div class='col-md-12 form-group row'&gt;
						&lt;label class='col-md-2 form-control title'&gt;Up Status&lt;/label&gt;
						&lt;input type='text' class='col-md-10 form-control input-text' name='UpStatus' [(ngModel)]='rowdata.upStatus'&gt;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54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CreateOrEditLgwLupLotUpPlanDto, LgwLupLotUpPlanServiceProxy } from '@shared/service-proxies/service-proxies';
import { BsDatepickerDirective } from 'ngx-bootstrap/datepicker';
@Component({
    selector: 'create-or-edit-lotupplan-modal',
    templateUrl: './create-or-edit-lotupplan-modal.component.html',
    styleUrls: ['./create-or-edit-lotupplan-modal.component.less']
    })
export class CreateOrEditLotUpPlanModalComponent extends AppComponentBase {
    @ViewChild('createOrEditModalLotUpPlan',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CreateOrEditLgwLupLotUpPlanDto = new CreateOrEditLgwLupLotUpPlanDto();
    active: boolean = false;
    saving: boolean = false;
    _isActive: boolean;
    constructor(
        injector: Injector,
        private _mstwptLotUpPlanService: LgwLupLotUpPlanServiceProxy,
    ) 
    {
        super(injector);
    }
    show(rowdata?: CreateOrEditLgwLupLotUpPlanDto): void {
        if (!rowdata) this.rowdata = new CreateOrEditLgwLupLotUpPlanDto();
        else this.rowdata = rowdata;
		const dateValue =  this.rowdata.workingDate ? new Date(this.rowdata.workingDate?.toString()) : new Date();
		this.datepicker?.bsValueChange.emit(dateValue);
		const dateValue =  this.rowdata.unpackingStartDatetime ? new Date(this.rowdata.unpackingStartDatetime?.toString()) : new Date();
		this.datepicker?.bsValueChange.emit(dateValue);
		const dateValue =  this.rowdata.unpackingFinishDatetime ? new Date(this.rowdata.unpackingFinishDatetime?.toString()) : new Date();
		this.datepicker?.bsValueChange.emit(dateValue);
		const dateValue =  this.rowdata.upCalltime ? new Date(this.rowdata.upCalltime?.toString()) : new Date();
		this.datepicker?.bsValueChange.emit(dateValue);
		const dateValue =  this.rowdata.unpackingActualStartDatetime ? new Date(this.rowdata.unpackingActualStartDatetime?.toString()) : new Date();
		this.datepicker?.bsValueChange.emit(dateValue);
		const dateValue =  this.rowdata.unpackingActualFinishDatetime ? new Date(this.rowdata.unpackingActualFinishDatetime?.toString()) : new Date();
		this.datepicker?.bsValueChange.emit(dateValue);
		const dateValue =  this.rowdata.makingFinishDatetime ? new Date(this.rowdata.makingFinishDatetime?.toString()) : new Date();
		this.datepicker?.bsValueChange.emit(dateValue);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this._mstwptLotUpPlanService.createOrEdit(this.rowdata)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54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54" s="49" t="str">
        <f>B.Frontend!N10</f>
        <v>import {NgModule} from '@angular/core';
import {AppSharedModule} from '@app/shared/app-shared.module';
import { LotUpPlanRoutingModule } from './lotupplan-routing.module';
import { LotUpPlanComponent } from './lotupplan.component';
import { CreateOrEditLotUpPlanModalComponent } from './create-or-edit-lotupplan-modal.component';
@NgModule({
    declarations: [
       LotUpPlanComponent, 
        CreateOrEditLotUpPlanModalComponent
    ],
    imports: [
        AppSharedModule, LotUpPlanRoutingModule]
})
export class LotUpPlanModule {}</v>
      </c>
      <c r="J54" s="49" t="str">
        <f>B.Frontend!O10</f>
        <v>import {NgModule} from '@angular/core';
import {RouterModule, Routes} from '@angular/router';
import { LotUpPlanComponent } from './lotupplan.component';
const routes: Routes = [{
    path: '',
    component: LotUpPlanComponent,
    pathMatch: 'full'
}];
@NgModule({
    imports: [RouterModule.forChild(routes)],
    exports: [RouterModule],
})
export class LotUpPlanRoutingModule {}</v>
      </c>
      <c r="K54" s="49" t="str">
        <f>B.Frontend!P10</f>
        <v xml:space="preserve"> new AppMenuItem("LotUpPlan", "Pages.LogW.Lup.LotUpPlan", "flaticon-book",   "/app/main/logw/lup/lotupplan"),</v>
      </c>
      <c r="L54" s="50" t="str">
        <f>B.Frontend!Q10</f>
        <v>{
    path: 'logw/lup/lotupplan',
    loadChildren: () =&gt; import('./logw/lup/lotupplan/lotupplan.module').then(m =&gt; m.LotUpPlanModule),
    data: { permission: 'Pages.LogW.Lup.LotUpPlan' }
},</v>
      </c>
      <c r="M54" s="48" t="str">
        <f>B.Frontend!R10</f>
        <v>ApiServiceProxies.LgwLupLotUpPlanServiceProxy,</v>
      </c>
    </row>
    <row r="56" spans="2:13" x14ac:dyDescent="0.25">
      <c r="B56" s="1" t="s">
        <v>75</v>
      </c>
    </row>
    <row r="65" spans="3:5" x14ac:dyDescent="0.25">
      <c r="C65" t="s">
        <v>305</v>
      </c>
      <c r="D65" t="s">
        <v>303</v>
      </c>
      <c r="E65" t="s">
        <v>1</v>
      </c>
    </row>
    <row r="66" spans="3:5" x14ac:dyDescent="0.25">
      <c r="C66" t="s">
        <v>304</v>
      </c>
      <c r="D66" t="s">
        <v>303</v>
      </c>
      <c r="E66" t="s">
        <v>1</v>
      </c>
    </row>
    <row r="67" spans="3:5" x14ac:dyDescent="0.25">
      <c r="C67" t="s">
        <v>301</v>
      </c>
      <c r="D67" t="s">
        <v>303</v>
      </c>
      <c r="E67" t="s">
        <v>1</v>
      </c>
    </row>
    <row r="68" spans="3:5" x14ac:dyDescent="0.25">
      <c r="C68" t="s">
        <v>306</v>
      </c>
      <c r="D68" t="s">
        <v>2</v>
      </c>
      <c r="E68" t="s">
        <v>1</v>
      </c>
    </row>
    <row r="69" spans="3:5" x14ac:dyDescent="0.25">
      <c r="C69" t="s">
        <v>307</v>
      </c>
      <c r="D69" t="s">
        <v>308</v>
      </c>
      <c r="E69" t="s">
        <v>1</v>
      </c>
    </row>
    <row r="70" spans="3:5" x14ac:dyDescent="0.25">
      <c r="C70" t="s">
        <v>309</v>
      </c>
      <c r="D70" t="s">
        <v>308</v>
      </c>
      <c r="E70" t="s">
        <v>1</v>
      </c>
    </row>
    <row r="71" spans="3:5" x14ac:dyDescent="0.25">
      <c r="C71" t="s">
        <v>310</v>
      </c>
      <c r="D71" t="s">
        <v>303</v>
      </c>
      <c r="E71" t="s">
        <v>1</v>
      </c>
    </row>
    <row r="72" spans="3:5" x14ac:dyDescent="0.25">
      <c r="C72" t="s">
        <v>311</v>
      </c>
      <c r="D72" t="s">
        <v>4</v>
      </c>
      <c r="E72" t="s">
        <v>1</v>
      </c>
    </row>
    <row r="73" spans="3:5" x14ac:dyDescent="0.25">
      <c r="C73" t="s">
        <v>312</v>
      </c>
      <c r="D73" t="s">
        <v>303</v>
      </c>
      <c r="E73" t="s">
        <v>1</v>
      </c>
    </row>
    <row r="74" spans="3:5" x14ac:dyDescent="0.25">
      <c r="C74" t="s">
        <v>302</v>
      </c>
      <c r="D74" t="s">
        <v>303</v>
      </c>
      <c r="E74" t="s">
        <v>1</v>
      </c>
    </row>
  </sheetData>
  <mergeCells count="2">
    <mergeCell ref="C52:J52"/>
    <mergeCell ref="K52:L52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8"/>
  <sheetViews>
    <sheetView zoomScaleNormal="100" workbookViewId="0">
      <pane xSplit="1" topLeftCell="B1" activePane="topRight" state="frozen"/>
      <selection pane="topRight" activeCell="A19" sqref="A19:A21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vovina.LogW.Lup.Dto;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326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327</v>
      </c>
      <c r="C3" s="10" t="s">
        <v>43</v>
      </c>
      <c r="D3" s="10" t="s">
        <v>44</v>
      </c>
      <c r="E3" s="10" t="s">
        <v>39</v>
      </c>
      <c r="F3" s="11" t="str">
        <f>"J"&amp;COUNTA($A:$A)</f>
        <v>J26</v>
      </c>
      <c r="G3" s="4" t="s">
        <v>57</v>
      </c>
      <c r="H3" s="10" t="str">
        <f>"I"&amp;COUNTA($A:$A)</f>
        <v>I26</v>
      </c>
      <c r="I3" s="10" t="str">
        <f>REPT(CHAR(9),2)&amp;"[Required]"&amp;"
"</f>
        <v xml:space="preserve">		[Required]
</v>
      </c>
      <c r="J3" s="11" t="str">
        <f>"L"&amp;COUNTA($A:$A)</f>
        <v>L26</v>
      </c>
      <c r="K3" s="5" t="s">
        <v>56</v>
      </c>
      <c r="L3" s="11" t="str">
        <f>"M"&amp;COUNTA($A:$A)</f>
        <v>M26</v>
      </c>
      <c r="M3" s="11" t="str">
        <f>"N"&amp;COUNTA($A:$A)</f>
        <v>N26</v>
      </c>
      <c r="N3" s="11" t="str">
        <f>"O"&amp;COUNTA($A:$A)</f>
        <v>O26</v>
      </c>
      <c r="O3" s="11" t="str">
        <f>"P"&amp;COUNTA($A:$A)</f>
        <v>P26</v>
      </c>
      <c r="Q3" s="11" t="str">
        <f>RIGHT(B2,(LEN(B2)-FIND(".",B2,1)))</f>
        <v>Lup</v>
      </c>
      <c r="R3" s="32" t="str">
        <f>REPT(CHAR(9),1)&amp;"public class "&amp;B3&amp;"ExportInput"&amp;C3</f>
        <v xml:space="preserve">	public class LgwLupLotUpPlanExportInput{
</v>
      </c>
      <c r="S3" s="11" t="str">
        <f>"namespace "&amp;$B$6&amp;".Exporting
"&amp;$C$3</f>
        <v xml:space="preserve">namespace vovina.LogW.Lup.Exporting
{
</v>
      </c>
      <c r="T3" s="11" t="str">
        <f>"T"&amp;COUNTA($A:$A)</f>
        <v>T26</v>
      </c>
      <c r="V3" s="11" t="str">
        <f>"V"&amp;COUNTA($A:$A)</f>
        <v>V26</v>
      </c>
      <c r="W3" s="10" t="str">
        <f>"W"&amp;COUNTA($A:$A)</f>
        <v>W26</v>
      </c>
    </row>
    <row r="4" spans="1:23" s="11" customFormat="1" ht="33" customHeight="1" x14ac:dyDescent="0.25">
      <c r="A4" s="1" t="s">
        <v>237</v>
      </c>
      <c r="B4" s="64" t="s">
        <v>271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328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vovina.LogW.Lup</v>
      </c>
      <c r="C6" s="11" t="str">
        <f>"namespace "&amp;$B$6&amp;"
"&amp;$C$3</f>
        <v xml:space="preserve">namespace vovina.LogW.Lup
{
</v>
      </c>
      <c r="D6" s="11" t="str">
        <f>REPT(CHAR(9),1)&amp;"public class "&amp;B3&amp;G3&amp;REPT(CHAR(9),1)&amp;"
"&amp;REPT(CHAR(9),1)&amp;C3</f>
        <v xml:space="preserve">	public class LgwLupLotUpPlan: FullAuditedEntity&lt;long&gt;, IEntity&lt;long&gt;	
	{
</v>
      </c>
      <c r="E6" s="11" t="str">
        <f>REPT(CHAR(9),1)&amp;"public class "&amp;B3&amp;"Consts"&amp;REPT(CHAR(9),1)&amp;"
"&amp;REPT(CHAR(9),1)&amp;C3</f>
        <v xml:space="preserve">	public class LgwLupLotUpPlanConsts	
	{
</v>
      </c>
      <c r="F6" s="11" t="str">
        <f>REPT(CHAR(9),1)&amp;"public class "&amp;B3&amp;"Dto"&amp;K3&amp;REPT(CHAR(9),1)&amp;"
"&amp;REPT(CHAR(9),1)&amp;C3</f>
        <v xml:space="preserve">	public class LgwLupLotUpPlanDto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CreateOrEditLgwLupLotUpPlanDto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GetLgwLupLotUpPlanInput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LgwLupLotUpPlan</v>
      </c>
      <c r="C7" s="11" t="str">
        <f>REPT(CHAR(9),1)&amp;"[Table("""&amp;B7&amp;""")]"&amp;"
"</f>
        <v xml:space="preserve">	[Table("LgwLupLotUpPlan")]
</v>
      </c>
      <c r="D7" s="11"/>
      <c r="E7" s="11"/>
      <c r="F7" s="11"/>
      <c r="G7" s="11"/>
      <c r="H7" s="11"/>
      <c r="I7" s="11"/>
      <c r="J7" s="6" t="str">
        <f ca="1">SUBSTITUTE(SUBSTITUTE((B1&amp;C6&amp;C7&amp;K28&amp;D6&amp;I28&amp;E3&amp;J28&amp;""&amp;REPT(CHAR(9),1)&amp;D3&amp;D3),"WorkingPattern",$Q$3),"Master",$B$4)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vovina.LogW.Lup
{
	[Table("LgwLupLotUpPlan")]
	[Index(nameof(ProdLine), Name="IX_LgwLupLotUpPlan_ProdLine")]
	[Index(nameof(WorkingDate), Name="IX_LgwLupLotUpPlan_WorkingDate")]
	[Index(nameof(Shift), Name="IX_LgwLupLotUpPlan_Shift")]
	[Index(nameof(MkStatus), Name="IX_LgwLupLotUpPlan_MkStatus")]
	[Index(nameof(UpStatus), Name="IX_LgwLupLotUpPlan_UpStatus")]
	[Index(nameof(IsActive), Name="IX_LgwLupLotUpPlan_IsActive")]	public class LgwLupLotUpPlan: FullAuditedEntity&lt;long&gt;, IEntity&lt;long&gt;	
	{
		public const int MaxProdLineLength = 50;
		public const int MaxShiftLength = 50;
		public const int MaxLotNoLength = 20;
		public const int MaxTpmLength = 200;
		public const int MaxRemarksLength = 200;
		public const int MaxMkStatusLength = 50;
		public const int MaxUpStatusLength = 50;
		public const int MaxIsActiveLength = 1;
		[StringLength(MaxProdLineLength)]
		public virtual string ProdLine { get; set; }
		[Column(TypeName="date")]
		public virtual DateTime WorkingDate { get; set; }
		[StringLength(MaxShiftLength)]
		public virtual string Shift { get; set; }
		public virtual int NoInShift { get; set; }
		public virtual int NoInDay { get; set; }
		[StringLength(MaxLotNoLength)]
		public virtual string LotNo { get; set; }
		public virtual int LotPartialNo { get; set; }
		[Column(TypeName="datetime2(7)")]
		public virtual DateTime UnpackingStartDatetime { get; set; }
		[Column(TypeName="datetime2(7)")]
		public virtual DateTime UnpackingFinishDatetime { get; set; }
		[Column(TypeName="nvarchar(200)")]
		[StringLength(MaxTpmLength)]
		public virtual string Tpm { get; set; }
		[Column(TypeName="nvarchar(200)")]
		[StringLength(MaxRemarksLength)]
		public virtual string Remarks { get; set; }
		[Column(TypeName="datetime2(7)")]
		public virtual DateTime UpCalltime { get; set; }
		[Column(TypeName="datetime2(7)")]
		public virtual DateTime UnpackingActualStartDatetime { get; set; }
		[Column(TypeName="datetime2(7)")]
		public virtual DateTime UnpackingActualFinishDatetime { get; set; }
		[Column(TypeName="datetime2(7)")]
		public virtual DateTime MakingFinishDatetime { get; set; }
		[Column(TypeName="nvarchar(200)")]
		[StringLength(MaxMkStatusLength)]
		public virtual string MkStatus { get; set; }
		[Column(TypeName="nvarchar(200)")]
		[StringLength(MaxUpStatusLength)]
		public virtual string UpStatus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DbSet&lt;LgwLupLotUpPlan&gt; LgwLupLotUpPlans { get; set; }</v>
      </c>
      <c r="L7" t="str">
        <f ca="1">SUBSTITUTE(SUBSTITUTE((C6&amp;E6&amp;I28&amp;"
"&amp;REPT(CHAR(9),2)&amp;"// Define Store Name: Format SP_ + &lt;Store Name&gt; = &lt;Store Name&gt;
"&amp;E3&amp;REPT(CHAR(9),1)&amp;D3&amp;D3),"WorkingPattern",$Q$3),"Master",$B$4)</f>
        <v xml:space="preserve">namespace vovina.LogW.Lup
{
	public class LgwLupLotUpPlanConsts	
	{
		public const int MaxProdLineLength = 50;
		public const int MaxShiftLength = 50;
		public const int MaxLotNoLength = 20;
		public const int MaxTpmLength = 200;
		public const int MaxRemarksLength = 200;
		public const int MaxMkStatusLength = 50;
		public const int MaxUpStatusLength = 50;
		public const int MaxIsActiveLength = 1;
		// Define Store Name: Format SP_ + &lt;Store Name&gt; = &lt;Store Name&gt;
	}
}
</v>
      </c>
      <c r="M7" t="str">
        <f ca="1">SUBSTITUTE(SUBSTITUTE((C1&amp;"namespace "&amp;B6&amp;".Dto"&amp;E3&amp;C3&amp;F6&amp;M28&amp;E3&amp;REPT(CHAR(9),1)&amp;D3&amp;G6&amp;N28&amp;REPT(CHAR(9),1)&amp;D3&amp;H6&amp;O28&amp;"
"&amp;REPT(CHAR(9),1)&amp;D3&amp;D3),"WorkingPattern",$Q$3),"Master",$B$4)</f>
        <v xml:space="preserve">using Abp.Application.Services.Dto;
using System;
using System.ComponentModel.DataAnnotations;
namespace vovina.LogW.Lup.Dto
{
	public class LgwLupLotUpPlanDto : EntityDto&lt;long?&gt;	
	{
		public virtual string ProdLine { get; set; }
		public virtual DateTime? WorkingDate { get; set; }
		public virtual string Shift { get; set; }
		public virtual int NoInShift { get; set; }
		public virtual int NoInDay { get; set; }
		public virtual string LotNo { get; set; }
		public virtual int LotPartialNo { get; set; }
		public virtual DateTime? UnpackingStartDatetime { get; set; }
		public virtual DateTime? UnpackingFinishDatetime { get; set; }
		public virtual string Tpm { get; set; }
		public virtual string Remarks { get; set; }
		public virtual DateTime? UpCalltime { get; set; }
		public virtual DateTime? UnpackingActualStartDatetime { get; set; }
		public virtual DateTime? UnpackingActualFinishDatetime { get; set; }
		public virtual DateTime? MakingFinishDatetime { get; set; }
		public virtual string MkStatus { get; set; }
		public virtual string UpStatus { get; set; }
		public virtual string IsActive { get; set; }
	}
	public class CreateOrEditLgwLupLotUpPlanDto : EntityDto&lt;long?&gt;	
	{
		[StringLength(LgwLupLotUpPlanConsts.MaxProdLineLength)]
		public virtual string ProdLine { get; set; }
		public virtual DateTime? WorkingDate { get; set; }
		[StringLength(LgwLupLotUpPlanConsts.MaxShiftLength)]
		public virtual string Shift { get; set; }
		public virtual int NoInShift { get; set; }
		public virtual int NoInDay { get; set; }
		[StringLength(LgwLupLotUpPlanConsts.MaxLotNoLength)]
		public virtual string LotNo { get; set; }
		public virtual int LotPartialNo { get; set; }
		public virtual DateTime? UnpackingStartDatetime { get; set; }
		public virtual DateTime? UnpackingFinishDatetime { get; set; }
		[StringLength(LgwLupLotUpPlanConsts.MaxTpmLength)]
		public virtual string Tpm { get; set; }
		[StringLength(LgwLupLotUpPlanConsts.MaxRemarksLength)]
		public virtual string Remarks { get; set; }
		public virtual DateTime? UpCalltime { get; set; }
		public virtual DateTime? UnpackingActualStartDatetime { get; set; }
		public virtual DateTime? UnpackingActualFinishDatetime { get; set; }
		public virtual DateTime? MakingFinishDatetime { get; set; }
		[StringLength(LgwLupLotUpPlanConsts.MaxMkStatusLength)]
		public virtual string MkStatus { get; set; }
		[StringLength(LgwLupLotUpPlanConsts.MaxUpStatusLength)]
		public virtual string UpStatus { get; set; }
		[StringLength(LgwLupLotUpPlanConsts.MaxIsActiveLength)]
		public virtual string IsActive { get; set; }
	}
	public class GetLgwLupLotUpPlanInput : PagedAndSortedResultRequestDto	
	{
		public virtual string ProdLine { get; set; }
		public virtual DateTime? WorkingDate { get; set; }
		public virtual string Shift { get; set; }
		public virtual int NoInShift { get; set; }
		public virtual int NoInDay { get; set; }
		public virtual string LotNo { get; set; }
		public virtual int LotPartialNo { get; set; }
		public virtual DateTime? UnpackingStartDatetime { get; set; }
		public virtual DateTime? UnpackingFinishDatetime { get; set; }
		public virtual string Tpm { get; set; }
		public virtual string Remarks { get; set; }
		public virtual DateTime? UpCalltime { get; set; }
		public virtual DateTime? UnpackingActualStartDatetime { get; set; }
		public virtual DateTime? UnpackingActualFinishDatetime { get; set; }
		public virtual DateTime? MakingFinishDatetime { get; set; }
		public virtual string MkStatus { get; set; }
		public virtual string UpStatus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perLgwLupLotUpPlan = PARENTS.CreateChildPermission(AppPermissions.Pages_LogW_Lup_LotUpPlan, L( "LogWLupLotUpPlan"));
		perLgwLupLotUpPlan.CreateChildPermission(AppPermissions.Pages_LogW_Lup_LotUpPlan_CreateEdit, L( "LogWLupLotUpPlanCreateEdit"));
		perLgwLupLotUpPlan.CreateChildPermission(AppPermissions.Pages_LogW_Lup_LotUpPlan_Delete, L( "LogWLupLotUpPlanDelete"));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Pages_LogW_Lup_LotUpPlan = "Pages.LogW.Lup.LotUpPlan";
		public const string Pages_LogW_Lup_LotUpPlan_CreateEdit = "Pages.LogW.Lup.LotUpPlan.CreateEdit";
		public const string Pages_LogW_Lup_LotUpPlan_Delete = "Pages.LogW.Lup.LotUpPlan.Delete";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vovina.LogW.Lup.Dto;
namespace vovina.LogW.Lup
{
	public interface ILgwLupLotUpPlanAppService : IApplicationService
	{
		Task&lt;PagedResultDto&lt;LgwLupLotUpPlanDto&gt;&gt; GetAll(GetLgwLupLotUpPlanInput input);
		Task CreateOrEdit(CreateOrEditLgwLupLotUpPlanDto input);
		Task Delete(EntityDto input);
	}
}
</v>
      </c>
      <c r="Q7" t="str">
        <f ca="1">SUBSTITUTE(SUBSTITUTE(SUBSTITUTE(SUBSTITUTE(SUBSTITUTE(SUBSTITUTE(E1,"MstWptCalendar",$B$3),"&lt;PROPERTIES&gt;",P28),"Calendar",$B$5),"WorkingPattern",$Q$3),"Master",$B$4),"&lt;PARAMS_SEARCH&gt;",$W$28)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vovina.LogW.Lup.Dto;
using vovina.LogW.Lup.Exporting;
namespace vovina.LogW.Lup
{
    [AbpAuthorize(AppPermissions.Pages_LogW_Lup_LotUpPlan)]
    public class LgwLupLotUpPlanAppService : vovinaAppServiceBase, ILgwLupLotUpPlanAppService
    {
        private readonly IDapperRepository&lt;LgwLupLotUpPlan, long&gt; _dapperRepo;
        private readonly IRepository&lt;LgwLupLotUpPlan, long&gt; _repo;
        private readonly ILgwLupLotUpPlanExcelExporter _calendarListExcelExporter;
        public LgwLupLotUpPlanAppService(IRepository&lt;LgwLupLotUpPlan,long&gt; repo, 
                                         IDapperRepository&lt;LgwLupLotUpPlan,long&gt; dapperRepo,
                                        ILgwLupLotUpPlanExcelExporter calendarListExcelExporter
            )
        {
            _repo = repo;
            _dapperRepo = dapperRepo;
            _calendarListExcelExporter = calendarListExcelExporter;
        }
        [AbpAuthorize(AppPermissions.Pages_LogW_Lup_LotUpPlan_CreateEdit)]
        public async Task CreateOrEdit(CreateOrEditLgwLupLotUpPlanDto input)
        {
            if (input.Id == null) await Create(input);
            else await Update(input);
        }
        //CREATE
        private async Task Create(CreateOrEditLgwLupLotUpPlanDto input)
        {          
            var mainObj = ObjectMapper.Map&lt;LgwLupLotUpPlan&gt;(input);
            await CurrentUnitOfWork.GetDbContext&lt;vovinaDbContext&gt;().AddAsync(mainObj);
        }
        // EDIT
        private async Task Update(CreateOrEditLgwLupLotUpPlanDto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[AbpAuthorize(AppPermissions.Pages_LogW_Lup_LotUpPlan_Delete)]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Task&lt;PagedResultDto&lt;LgwLupLotUpPlanDto&gt;&gt; GetAll(GetLgwLupLotUpPlanInput input)
        {
            var filtered = _repo.GetAll()
				.WhereIf(!string.IsNullOrWhiteSpace(input.ProdLine), e =&gt; e.ProdLine.Contains(input.ProdLine))
				.WhereIf(input.WorkingDate.HasValue, t =&gt; t.WorkingDate == input.WorkingDate.Value)
				.WhereIf(!string.IsNullOrWhiteSpace(input.Shift), e =&gt; e.Shift.Contains(input.Shift))
				.WhereIf(!string.IsNullOrWhiteSpace(input.LotNo), e =&gt; e.LotNo.Contains(input.LotNo))
				.WhereIf(input.UnpackingStartDatetime.HasValue, t =&gt; t.UnpackingStartDatetime == input.UnpackingStartDatetime.Value)
				.WhereIf(input.UnpackingFinishDatetime.HasValue, t =&gt; t.UnpackingFinishDatetime == input.UnpackingFinishDatetime.Value)
				.WhereIf(!string.IsNullOrWhiteSpace(input.Tpm), e =&gt; e.Tpm.Contains(input.Tpm))
				.WhereIf(!string.IsNullOrWhiteSpace(input.Remarks), e =&gt; e.Remarks.Contains(input.Remarks))
				.WhereIf(input.UpCalltime.HasValue, t =&gt; t.UpCalltime == input.UpCalltime.Value)
				.WhereIf(input.UnpackingActualStartDatetime.HasValue, t =&gt; t.UnpackingActualStartDatetime == input.UnpackingActualStartDatetime.Value)
				.WhereIf(input.UnpackingActualFinishDatetime.HasValue, t =&gt; t.UnpackingActualFinishDatetime == input.UnpackingActualFinishDatetime.Value)
				.WhereIf(input.MakingFinishDatetime.HasValue, t =&gt; t.MakingFinishDatetime == input.MakingFinishDatetime.Value)
				.WhereIf(!string.IsNullOrWhiteSpace(input.MkStatus), e =&gt; e.MkStatus.Contains(input.MkStatus))
				.WhereIf(!string.IsNullOrWhiteSpace(input.UpStatus), e =&gt; e.UpStatus.Contains(input.UpStatus))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LgwLupLotUpPlanDto
                        {
							Id = o.Id,
							ProdLine = o.ProdLine,
							WorkingDate = o.WorkingDate,
							Shift = o.Shift,
							NoInShift = o.NoInShift,
							NoInDay = o.NoInDay,
							LotNo = o.LotNo,
							LotPartialNo = o.LotPartialNo,
							UnpackingStartDatetime = o.UnpackingStartDatetime,
							UnpackingFinishDatetime = o.UnpackingFinishDatetime,
							Tpm = o.Tpm,
							Remarks = o.Remarks,
							UpCalltime = o.UpCalltime,
							UnpackingActualStartDatetime = o.UnpackingActualStartDatetime,
							UnpackingActualFinishDatetime = o.UnpackingActualFinishDatetime,
							MakingFinishDatetime = o.MakingFinishDatetime,
							MkStatus = o.MkStatus,
							UpStatus = o.UpStatus,
							IsActive = o.IsActive,
                        };
            var totalCount = await filtered.CountAsync();
			var paged = system.PageBy(input);
            return new PagedResultDto&lt;LgwLupLotUpPlanDto&gt;(
                totalCount,
                 await paged.ToListAsync()
            );
        }
        public async Task&lt;FileDto&gt; GetLotUpPlanToExcel(LgwLupLotUpPlanExportInput input)
        {
            var query = from o in _repo.GetAll()
                        select new LgwLupLotUpPlanDto
                        {
							Id = o.Id,
							ProdLine = o.ProdLine,
							WorkingDate = o.WorkingDate,
							Shift = o.Shift,
							NoInShift = o.NoInShift,
							NoInDay = o.NoInDay,
							LotNo = o.LotNo,
							LotPartialNo = o.LotPartialNo,
							UnpackingStartDatetime = o.UnpackingStartDatetime,
							UnpackingFinishDatetime = o.UnpackingFinishDatetime,
							Tpm = o.Tpm,
							Remarks = o.Remarks,
							UpCalltime = o.UpCalltime,
							UnpackingActualStartDatetime = o.UnpackingActualStartDatetime,
							UnpackingActualFinishDatetime = o.UnpackingActualFinishDatetime,
							MakingFinishDatetime = o.MakingFinishDatetime,
							MkStatus = o.MkStatus,
							UpStatus = o.UpStatus,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_dapperRepo.ExecuteAsync(LgwLupLotUpPlanConsts.SP_MST_WPT_CALENDAR_GENERATE);
       // }
    }
}</v>
      </c>
      <c r="R7" t="str">
        <f ca="1">SUBSTITUTE(SUBSTITUTE((C1&amp;"namespace "&amp;B6&amp;".Dto"&amp;E3&amp;C3&amp;R3&amp;M28&amp;E3&amp;REPT(CHAR(9),1)&amp;D3&amp;D3),"WorkingPattern",$Q$3),"Master",$B$4)</f>
        <v xml:space="preserve">using Abp.Application.Services.Dto;
using System;
using System.ComponentModel.DataAnnotations;
namespace vovina.LogW.Lup.Dto
{
	public class LgwLupLotUpPlanExportInput{
		public virtual string ProdLine { get; set; }
		public virtual DateTime? WorkingDate { get; set; }
		public virtual string Shift { get; set; }
		public virtual int NoInShift { get; set; }
		public virtual int NoInDay { get; set; }
		public virtual string LotNo { get; set; }
		public virtual int LotPartialNo { get; set; }
		public virtual DateTime? UnpackingStartDatetime { get; set; }
		public virtual DateTime? UnpackingFinishDatetime { get; set; }
		public virtual string Tpm { get; set; }
		public virtual string Remarks { get; set; }
		public virtual DateTime? UpCalltime { get; set; }
		public virtual DateTime? UnpackingActualStartDatetime { get; set; }
		public virtual DateTime? UnpackingActualFinishDatetime { get; set; }
		public virtual DateTime? MakingFinishDatetime { get; set; }
		public virtual string MkStatus { get; set; }
		public virtual string UpStatus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vovina.LogW.Lup.Dto;
namespace vovina.LogW.Lup.Exporting
{
	public interface ILgwLupLotUpPlanExcelExporter : IApplicationService
	{
		FileDto ExportToFile(List&lt;LgwLupLotUpPlanDto&gt; lgwluplotupplan);
	}
}
</v>
      </c>
      <c r="T7" s="28" t="str">
        <f ca="1">SUBSTITUTE(SUBSTITUTE(SUBSTITUTE(SUBSTITUTE(SUBSTITUTE(SUBSTITUTE(SUBSTITUTE(T1,"MstWptCalendar",$B$3),"&lt;PROPERTIES1&gt;",V28),"&lt;PROPERTIES&gt;",T28),"Calendar",$B$5),"calendar",LOWER(B5)),"WorkingPattern",$Q$3),"Master",$B$4)</f>
        <v>using System.Collections.Generic;
using vovina.DataExporting.Excel.NPOI;
using vovina.Dto;
using vovina.LogW.Lup.Exporting;
using vovina.LogW.Lup.Dto;
using vovina.Storage;
using vovina.LogW.Lup.Dto;
namespace vovina.LogW.Lup.Exporting
{
    public class LgwLupLotUpPlanExcelExporter : NpoiExcelExporterBase, ILgwLupLotUpPlanExcelExporter
    {
        public LgwLupLotUpPlanExcelExporter(ITempFileCacheManager tempFileCacheManager) : base(tempFileCacheManager) { }
        public FileDto ExportToFile(List&lt;LgwLupLotUpPlanDto&gt; lotupplan)
        {
            return CreateExcelPackage(
				"LogWLupLotUpPlan.xlsx",
				excelPackage =&gt;
				 {
					var sheet = excelPackage.CreateSheet("LotUpPlan");
					AddHeader(
								sheet,
								("ProdLine"),
								("WorkingDate"),
								("Shift"),
								("NoInShift"),
								("NoInDay"),
								("LotNo"),
								("LotPartialNo"),
								("UnpackingStartDatetime"),
								("UnpackingFinishDatetime"),
								("Tpm"),
								("Remarks"),
								("UpCalltime"),
								("UnpackingActualStartDatetime"),
								("UnpackingActualFinishDatetime"),
								("MakingFinishDatetime"),
								("MkStatus"),
								("UpStatus"),
								("IsActive"),
							   );
					AddObjects(
						 sheet, 1, lotupplan,                                       
								_ =&gt; _.ProdLine,
								_ =&gt; _.WorkingDate,
								_ =&gt; _.Shift,
								_ =&gt; _.NoInShift,
								_ =&gt; _.NoInDay,
								_ =&gt; _.LotNo,
								_ =&gt; _.LotPartialNo,
								_ =&gt; _.UnpackingStartDatetime,
								_ =&gt; _.UnpackingFinishDatetime,
								_ =&gt; _.Tpm,
								_ =&gt; _.Remarks,
								_ =&gt; _.UpCalltime,
								_ =&gt; _.UnpackingActualStartDatetime,
								_ =&gt; _.UnpackingActualFinishDatetime,
								_ =&gt; _.MakingFinishDatetime,
								_ =&gt; _.MkStatus,
								_ =&gt; _.UpStatus,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configuration.CreateMap&lt;LgwLupLotUpPlanDto, LgwLupLotUpPlan&gt;();
  configuration.CreateMap&lt;LgwLupLotUpPlan, LgwLupLotUpPlanDto&gt;();
  configuration.CreateMap&lt;CreateOrEditLgwLupLotUpPlanDto, LgwLupLotUpPlan&gt;();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313</v>
      </c>
      <c r="B9" t="s">
        <v>303</v>
      </c>
      <c r="C9" t="s">
        <v>1</v>
      </c>
      <c r="D9" t="str">
        <f>SUBSTITUTE(PROPER(A9),"_","")</f>
        <v>ProdLine</v>
      </c>
      <c r="E9" t="str">
        <f t="shared" ref="E9:E11" si="0">IFERROR(LEFT(B9, FIND("(",B9)-1),B9)</f>
        <v>varchar</v>
      </c>
      <c r="F9" s="7"/>
      <c r="G9" t="str">
        <f t="shared" ref="G9:G11" si="1">IFERROR(MID(B9,FIND("(",B9) +1, FIND(")",B9) - FIND("(",B9) - 1),"")</f>
        <v>50</v>
      </c>
      <c r="H9" t="str">
        <f>+VLOOKUP(E9,'Data Type Mapping'!A:B,2,)</f>
        <v>string</v>
      </c>
      <c r="I9" t="str">
        <f t="shared" ref="I9:I11" si="2">IF(H9="string",REPT(CHAR(9),2)&amp;"public const int Max"&amp;D9&amp;"Length = "&amp;G9&amp;";"&amp;$E$3,"" )</f>
        <v xml:space="preserve">		public const int MaxProdLineLength = 50;
</v>
      </c>
      <c r="J9" t="str">
        <f t="shared" ref="J9:J11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[StringLength(MaxProdLineLength)]
		public virtual string ProdLine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[Index(nameof(ProdLine), Name="IX_LgwLupLotUpPlan_ProdLine")]</v>
      </c>
      <c r="M9" t="str">
        <f>REPT(CHAR(9),2)&amp;"public virtual "&amp;IF(OR(H9="DateTime",H9="TimeSpan"),H9&amp;"?",H9)&amp;IF(C9="?","? "," ")&amp;D9&amp;" { get; set; }" &amp; "
"</f>
        <v xml:space="preserve">		public virtual string ProdLine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[StringLength(LgwLupLotUpPlanConsts.MaxProdLineLength)]
		public virtual string ProdLine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string ProdLine { get; set; }
</v>
      </c>
      <c r="P9" t="str">
        <f t="shared" ref="P9:P11" si="4">REPT(CHAR(9),7)&amp;D9&amp;" = o." &amp;D9 &amp;","</f>
        <v xml:space="preserve">							ProdLine = o.ProdLine,</v>
      </c>
      <c r="T9" s="69" t="str">
        <f>REPT(CHAR(9),8)&amp;"("""&amp;D9&amp;"""),"</f>
        <v xml:space="preserve">								("ProdLine"),</v>
      </c>
      <c r="V9" s="70" t="str">
        <f>REPT(CHAR(9),8)&amp;"_ =&gt; _."&amp;D9&amp;","</f>
        <v xml:space="preserve">								_ =&gt; _.ProdLine,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.WhereIf(!string.IsNullOrWhiteSpace(input.ProdLine), e =&gt; e.ProdLine.Contains(input.ProdLine))</v>
      </c>
    </row>
    <row r="10" spans="1:23" customFormat="1" ht="21" customHeight="1" x14ac:dyDescent="0.25">
      <c r="A10" t="s">
        <v>314</v>
      </c>
      <c r="B10" t="s">
        <v>2</v>
      </c>
      <c r="C10" t="s">
        <v>1</v>
      </c>
      <c r="D10" t="str">
        <f t="shared" ref="D10:D11" si="5">SUBSTITUTE(PROPER(A10),"_","")</f>
        <v>WorkingDate</v>
      </c>
      <c r="E10" t="str">
        <f t="shared" si="0"/>
        <v>date</v>
      </c>
      <c r="F10" s="7" t="s">
        <v>2</v>
      </c>
      <c r="G10" t="str">
        <f t="shared" si="1"/>
        <v/>
      </c>
      <c r="H10" t="str">
        <f>+VLOOKUP(E10,'Data Type Mapping'!A:B,2,)</f>
        <v>DateTime</v>
      </c>
      <c r="I10" t="str">
        <f t="shared" si="2"/>
        <v/>
      </c>
      <c r="J10" t="str">
        <f t="shared" si="3"/>
        <v xml:space="preserve">		[Column(TypeName="date")]
		public virtual DateTime WorkingDate { get; set; }
</v>
      </c>
      <c r="K10" s="7" t="s">
        <v>206</v>
      </c>
      <c r="L10" t="str">
        <f t="shared" ref="L10:L11" si="6">IF(K10="","",REPT(CHAR(9),1)&amp;"[Index(nameof("&amp;IF(D10="","",""&amp;D10)&amp;")"&amp;", Name="&amp;"""IX_"&amp;$B$7&amp;"_"&amp;D10&amp;""")]")</f>
        <v xml:space="preserve">	[Index(nameof(WorkingDate), Name="IX_LgwLupLotUpPlan_WorkingDate")]</v>
      </c>
      <c r="M10" t="str">
        <f t="shared" ref="M10:M13" si="7">REPT(CHAR(9),2)&amp;"public virtual "&amp;IF(OR(H10="DateTime",H10="TimeSpan"),H10&amp;"?",H10)&amp;IF(C10="?","? "," ")&amp;D10&amp;" { get; set; }" &amp; "
"</f>
        <v xml:space="preserve">		public virtual DateTime? WorkingDate { get; set; }
</v>
      </c>
      <c r="N10" t="str">
        <f t="shared" ref="N10:N13" si="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public virtual DateTime? WorkingDate { get; set; }
</v>
      </c>
      <c r="O10" t="str">
        <f t="shared" ref="O10:O13" si="9">IF(OR(H10="string",H10="DateTime",H10="int"),REPT(CHAR(9),2)&amp;"public virtual "&amp;IF(OR(H10="DateTime",H10="TimeSpan"),H10&amp;"?",H10)&amp;IF(C10="?","? "," ")&amp;D10&amp;" { get; set; }"&amp;$E$3,"")</f>
        <v xml:space="preserve">		public virtual DateTime? WorkingDate { get; set; }
</v>
      </c>
      <c r="P10" t="str">
        <f t="shared" si="4"/>
        <v xml:space="preserve">							WorkingDate = o.WorkingDate,</v>
      </c>
      <c r="T10" s="69" t="str">
        <f t="shared" ref="T10:T13" si="10">REPT(CHAR(9),8)&amp;"("""&amp;D10&amp;"""),"</f>
        <v xml:space="preserve">								("WorkingDate"),</v>
      </c>
      <c r="V10" s="70" t="str">
        <f t="shared" ref="V10:V13" si="11">REPT(CHAR(9),8)&amp;"_ =&gt; _."&amp;D10&amp;","</f>
        <v xml:space="preserve">								_ =&gt; _.WorkingDate,</v>
      </c>
      <c r="W10" s="69" t="str">
        <f t="shared" ref="W10:W13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.WhereIf(input.WorkingDate.HasValue, t =&gt; t.WorkingDate == input.WorkingDate.Value)</v>
      </c>
    </row>
    <row r="11" spans="1:23" customFormat="1" ht="18.75" customHeight="1" x14ac:dyDescent="0.25">
      <c r="A11" t="s">
        <v>315</v>
      </c>
      <c r="B11" t="s">
        <v>303</v>
      </c>
      <c r="C11" t="s">
        <v>1</v>
      </c>
      <c r="D11" t="str">
        <f t="shared" si="5"/>
        <v>Shift</v>
      </c>
      <c r="E11" t="str">
        <f t="shared" si="0"/>
        <v>varchar</v>
      </c>
      <c r="F11" s="7"/>
      <c r="G11" t="str">
        <f t="shared" si="1"/>
        <v>50</v>
      </c>
      <c r="H11" t="str">
        <f>+VLOOKUP(E11,'Data Type Mapping'!A:B,2,)</f>
        <v>string</v>
      </c>
      <c r="I11" t="str">
        <f t="shared" si="2"/>
        <v xml:space="preserve">		public const int MaxShiftLength = 50;
</v>
      </c>
      <c r="J11" t="str">
        <f t="shared" si="3"/>
        <v xml:space="preserve">		[StringLength(MaxShiftLength)]
		public virtual string Shift { get; set; }
</v>
      </c>
      <c r="K11" s="7" t="s">
        <v>206</v>
      </c>
      <c r="L11" t="str">
        <f t="shared" si="6"/>
        <v xml:space="preserve">	[Index(nameof(Shift), Name="IX_LgwLupLotUpPlan_Shift")]</v>
      </c>
      <c r="M11" t="str">
        <f t="shared" si="7"/>
        <v xml:space="preserve">		public virtual string Shift { get; set; }
</v>
      </c>
      <c r="N11" t="str">
        <f t="shared" si="8"/>
        <v xml:space="preserve">		[StringLength(LgwLupLotUpPlanConsts.MaxShiftLength)]
		public virtual string Shift { get; set; }
</v>
      </c>
      <c r="O11" t="str">
        <f t="shared" si="9"/>
        <v xml:space="preserve">		public virtual string Shift { get; set; }
</v>
      </c>
      <c r="P11" t="str">
        <f t="shared" si="4"/>
        <v xml:space="preserve">							Shift = o.Shift,</v>
      </c>
      <c r="T11" s="69" t="str">
        <f t="shared" si="10"/>
        <v xml:space="preserve">								("Shift"),</v>
      </c>
      <c r="V11" s="70" t="str">
        <f t="shared" si="11"/>
        <v xml:space="preserve">								_ =&gt; _.Shift,</v>
      </c>
      <c r="W11" s="69" t="str">
        <f t="shared" si="12"/>
        <v xml:space="preserve">				.WhereIf(!string.IsNullOrWhiteSpace(input.Shift), e =&gt; e.Shift.Contains(input.Shift))</v>
      </c>
    </row>
    <row r="12" spans="1:23" customFormat="1" ht="22.5" customHeight="1" x14ac:dyDescent="0.25">
      <c r="A12" t="s">
        <v>316</v>
      </c>
      <c r="B12" t="s">
        <v>4</v>
      </c>
      <c r="C12" t="s">
        <v>1</v>
      </c>
      <c r="D12" t="str">
        <f>SUBSTITUTE(PROPER(A12),"_","")</f>
        <v>NoInShift</v>
      </c>
      <c r="E12" t="str">
        <f t="shared" ref="E12:E14" si="13">IFERROR(LEFT(B12, FIND("(",B12)-1),B12)</f>
        <v>int</v>
      </c>
      <c r="F12" s="7"/>
      <c r="G12" t="str">
        <f t="shared" ref="G12:G14" si="14">IFERROR(MID(B12,FIND("(",B12) +1, FIND(")",B12) - FIND("(",B12) - 1),"")</f>
        <v/>
      </c>
      <c r="H12" t="str">
        <f>+VLOOKUP(E12,'Data Type Mapping'!A:B,2,)</f>
        <v>int</v>
      </c>
      <c r="I12" t="str">
        <f t="shared" ref="I12:I14" si="15">IF(H12="string",REPT(CHAR(9),2)&amp;"public const int Max"&amp;D12&amp;"Length = "&amp;G12&amp;";"&amp;$E$3,"" )</f>
        <v/>
      </c>
      <c r="J12" t="str">
        <f t="shared" ref="J12:J14" si="16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public virtual int NoInShift { get; set; }
</v>
      </c>
      <c r="K12" s="7"/>
      <c r="L12" t="str">
        <f>IF(K12="","",REPT(CHAR(9),1)&amp;"[Index(nameof("&amp;IF(D12="","",""&amp;D12)&amp;")"&amp;", Name="&amp;"""IX_"&amp;$B$7&amp;"_"&amp;D12&amp;""")]")</f>
        <v/>
      </c>
      <c r="M12" t="str">
        <f t="shared" si="7"/>
        <v xml:space="preserve">		public virtual int NoInShift { get; set; }
</v>
      </c>
      <c r="N12" t="str">
        <f t="shared" si="8"/>
        <v xml:space="preserve">		public virtual int NoInShift { get; set; }
</v>
      </c>
      <c r="O12" t="str">
        <f t="shared" si="9"/>
        <v xml:space="preserve">		public virtual int NoInShift { get; set; }
</v>
      </c>
      <c r="P12" t="str">
        <f t="shared" ref="P12:P14" si="17">REPT(CHAR(9),7)&amp;D12&amp;" = o." &amp;D12 &amp;","</f>
        <v xml:space="preserve">							NoInShift = o.NoInShift,</v>
      </c>
      <c r="T12" s="69" t="str">
        <f t="shared" si="10"/>
        <v xml:space="preserve">								("NoInShift"),</v>
      </c>
      <c r="V12" s="70" t="str">
        <f t="shared" si="11"/>
        <v xml:space="preserve">								_ =&gt; _.NoInShift,</v>
      </c>
      <c r="W12" s="69" t="str">
        <f t="shared" si="12"/>
        <v/>
      </c>
    </row>
    <row r="13" spans="1:23" customFormat="1" ht="21" customHeight="1" x14ac:dyDescent="0.25">
      <c r="A13" t="s">
        <v>317</v>
      </c>
      <c r="B13" t="s">
        <v>4</v>
      </c>
      <c r="C13" t="s">
        <v>1</v>
      </c>
      <c r="D13" t="str">
        <f t="shared" ref="D13:D14" si="18">SUBSTITUTE(PROPER(A13),"_","")</f>
        <v>NoInDay</v>
      </c>
      <c r="E13" t="str">
        <f t="shared" si="13"/>
        <v>int</v>
      </c>
      <c r="F13" s="7"/>
      <c r="G13" t="str">
        <f t="shared" si="14"/>
        <v/>
      </c>
      <c r="H13" t="str">
        <f>+VLOOKUP(E13,'Data Type Mapping'!A:B,2,)</f>
        <v>int</v>
      </c>
      <c r="I13" t="str">
        <f t="shared" si="15"/>
        <v/>
      </c>
      <c r="J13" t="str">
        <f t="shared" si="16"/>
        <v xml:space="preserve">		public virtual int NoInDay { get; set; }
</v>
      </c>
      <c r="K13" s="7"/>
      <c r="L13" t="str">
        <f t="shared" ref="L13:L14" si="19">IF(K13="","",REPT(CHAR(9),1)&amp;"[Index(nameof("&amp;IF(D13="","",""&amp;D13)&amp;")"&amp;", Name="&amp;"""IX_"&amp;$B$7&amp;"_"&amp;D13&amp;""")]")</f>
        <v/>
      </c>
      <c r="M13" t="str">
        <f t="shared" si="7"/>
        <v xml:space="preserve">		public virtual int NoInDay { get; set; }
</v>
      </c>
      <c r="N13" t="str">
        <f t="shared" si="8"/>
        <v xml:space="preserve">		public virtual int NoInDay { get; set; }
</v>
      </c>
      <c r="O13" t="str">
        <f t="shared" si="9"/>
        <v xml:space="preserve">		public virtual int NoInDay { get; set; }
</v>
      </c>
      <c r="P13" t="str">
        <f t="shared" si="17"/>
        <v xml:space="preserve">							NoInDay = o.NoInDay,</v>
      </c>
      <c r="T13" s="69" t="str">
        <f t="shared" si="10"/>
        <v xml:space="preserve">								("NoInDay"),</v>
      </c>
      <c r="V13" s="70" t="str">
        <f t="shared" si="11"/>
        <v xml:space="preserve">								_ =&gt; _.NoInDay,</v>
      </c>
      <c r="W13" s="69" t="str">
        <f t="shared" si="12"/>
        <v/>
      </c>
    </row>
    <row r="14" spans="1:23" customFormat="1" ht="18.75" customHeight="1" x14ac:dyDescent="0.25">
      <c r="A14" t="s">
        <v>318</v>
      </c>
      <c r="B14" t="s">
        <v>319</v>
      </c>
      <c r="C14" t="s">
        <v>1</v>
      </c>
      <c r="D14" t="str">
        <f t="shared" si="18"/>
        <v>LotNo</v>
      </c>
      <c r="E14" t="str">
        <f t="shared" si="13"/>
        <v>varchar</v>
      </c>
      <c r="F14" s="7"/>
      <c r="G14" t="str">
        <f t="shared" si="14"/>
        <v>20</v>
      </c>
      <c r="H14" t="str">
        <f>+VLOOKUP(E14,'Data Type Mapping'!A:B,2,)</f>
        <v>string</v>
      </c>
      <c r="I14" t="str">
        <f t="shared" si="15"/>
        <v xml:space="preserve">		public const int MaxLotNoLength = 20;
</v>
      </c>
      <c r="J14" t="str">
        <f t="shared" si="16"/>
        <v xml:space="preserve">		[StringLength(MaxLotNoLength)]
		public virtual string LotNo { get; set; }
</v>
      </c>
      <c r="K14" s="7"/>
      <c r="L14" t="str">
        <f t="shared" si="19"/>
        <v/>
      </c>
      <c r="M14" t="str">
        <f t="shared" ref="M14:M16" si="20">REPT(CHAR(9),2)&amp;"public virtual "&amp;IF(OR(H14="DateTime",H14="TimeSpan"),H14&amp;"?",H14)&amp;IF(C14="?","? "," ")&amp;D14&amp;" { get; set; }" &amp; "
"</f>
        <v xml:space="preserve">		public virtual string LotNo { get; set; }
</v>
      </c>
      <c r="N14" t="str">
        <f t="shared" ref="N14:N16" si="21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[StringLength(LgwLupLotUpPlanConsts.MaxLotNoLength)]
		public virtual string LotNo { get; set; }
</v>
      </c>
      <c r="O14" t="str">
        <f t="shared" ref="O14:O16" si="22">IF(OR(H14="string",H14="DateTime",H14="int"),REPT(CHAR(9),2)&amp;"public virtual "&amp;IF(OR(H14="DateTime",H14="TimeSpan"),H14&amp;"?",H14)&amp;IF(C14="?","? "," ")&amp;D14&amp;" { get; set; }"&amp;$E$3,"")</f>
        <v xml:space="preserve">		public virtual string LotNo { get; set; }
</v>
      </c>
      <c r="P14" t="str">
        <f t="shared" si="17"/>
        <v xml:space="preserve">							LotNo = o.LotNo,</v>
      </c>
      <c r="T14" s="69" t="str">
        <f t="shared" ref="T14:T16" si="23">REPT(CHAR(9),8)&amp;"("""&amp;D14&amp;"""),"</f>
        <v xml:space="preserve">								("LotNo"),</v>
      </c>
      <c r="V14" s="70" t="str">
        <f t="shared" ref="V14:V16" si="24">REPT(CHAR(9),8)&amp;"_ =&gt; _."&amp;D14&amp;","</f>
        <v xml:space="preserve">								_ =&gt; _.LotNo,</v>
      </c>
      <c r="W14" s="69" t="str">
        <f t="shared" ref="W14:W16" si="25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.WhereIf(!string.IsNullOrWhiteSpace(input.LotNo), e =&gt; e.LotNo.Contains(input.LotNo))</v>
      </c>
    </row>
    <row r="15" spans="1:23" customFormat="1" ht="22.5" customHeight="1" x14ac:dyDescent="0.25">
      <c r="A15" t="s">
        <v>320</v>
      </c>
      <c r="B15" t="s">
        <v>4</v>
      </c>
      <c r="C15" t="s">
        <v>1</v>
      </c>
      <c r="D15" t="str">
        <f>SUBSTITUTE(PROPER(A15),"_","")</f>
        <v>LotPartialNo</v>
      </c>
      <c r="E15" t="str">
        <f t="shared" ref="E15:E16" si="26">IFERROR(LEFT(B15, FIND("(",B15)-1),B15)</f>
        <v>int</v>
      </c>
      <c r="F15" s="7"/>
      <c r="G15" t="str">
        <f t="shared" ref="G15:G16" si="27">IFERROR(MID(B15,FIND("(",B15) +1, FIND(")",B15) - FIND("(",B15) - 1),"")</f>
        <v/>
      </c>
      <c r="H15" t="str">
        <f>+VLOOKUP(E15,'Data Type Mapping'!A:B,2,)</f>
        <v>int</v>
      </c>
      <c r="I15" t="str">
        <f t="shared" ref="I15:I16" si="28">IF(H15="string",REPT(CHAR(9),2)&amp;"public const int Max"&amp;D15&amp;"Length = "&amp;G15&amp;";"&amp;$E$3,"" )</f>
        <v/>
      </c>
      <c r="J15" t="str">
        <f t="shared" ref="J15:J16" si="29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public virtual int LotPartialNo { get; set; }
</v>
      </c>
      <c r="K15" s="7"/>
      <c r="L15" t="str">
        <f>IF(K15="","",REPT(CHAR(9),1)&amp;"[Index(nameof("&amp;IF(D15="","",""&amp;D15)&amp;")"&amp;", Name="&amp;"""IX_"&amp;$B$7&amp;"_"&amp;D15&amp;""")]")</f>
        <v/>
      </c>
      <c r="M15" t="str">
        <f t="shared" si="20"/>
        <v xml:space="preserve">		public virtual int LotPartialNo { get; set; }
</v>
      </c>
      <c r="N15" t="str">
        <f t="shared" si="21"/>
        <v xml:space="preserve">		public virtual int LotPartialNo { get; set; }
</v>
      </c>
      <c r="O15" t="str">
        <f t="shared" si="22"/>
        <v xml:space="preserve">		public virtual int LotPartialNo { get; set; }
</v>
      </c>
      <c r="P15" t="str">
        <f t="shared" ref="P15:P16" si="30">REPT(CHAR(9),7)&amp;D15&amp;" = o." &amp;D15 &amp;","</f>
        <v xml:space="preserve">							LotPartialNo = o.LotPartialNo,</v>
      </c>
      <c r="T15" s="69" t="str">
        <f t="shared" si="23"/>
        <v xml:space="preserve">								("LotPartialNo"),</v>
      </c>
      <c r="V15" s="70" t="str">
        <f t="shared" si="24"/>
        <v xml:space="preserve">								_ =&gt; _.LotPartialNo,</v>
      </c>
      <c r="W15" s="69" t="str">
        <f t="shared" si="25"/>
        <v/>
      </c>
    </row>
    <row r="16" spans="1:23" customFormat="1" ht="21" customHeight="1" x14ac:dyDescent="0.25">
      <c r="A16" t="s">
        <v>321</v>
      </c>
      <c r="B16" t="s">
        <v>308</v>
      </c>
      <c r="C16" t="s">
        <v>1</v>
      </c>
      <c r="D16" t="str">
        <f t="shared" ref="D16" si="31">SUBSTITUTE(PROPER(A16),"_","")</f>
        <v>UnpackingStartDatetime</v>
      </c>
      <c r="E16" t="str">
        <f t="shared" si="26"/>
        <v>datetime2</v>
      </c>
      <c r="F16" s="7" t="s">
        <v>308</v>
      </c>
      <c r="G16" t="str">
        <f t="shared" si="27"/>
        <v>7</v>
      </c>
      <c r="H16" t="str">
        <f>+VLOOKUP(E16,'Data Type Mapping'!A:B,2,)</f>
        <v>DateTime</v>
      </c>
      <c r="I16" t="str">
        <f t="shared" si="28"/>
        <v/>
      </c>
      <c r="J16" t="str">
        <f t="shared" si="29"/>
        <v xml:space="preserve">		[Column(TypeName="datetime2(7)")]
		public virtual DateTime UnpackingStartDatetime { get; set; }
</v>
      </c>
      <c r="K16" s="7"/>
      <c r="L16" t="str">
        <f t="shared" ref="L16" si="32">IF(K16="","",REPT(CHAR(9),1)&amp;"[Index(nameof("&amp;IF(D16="","",""&amp;D16)&amp;")"&amp;", Name="&amp;"""IX_"&amp;$B$7&amp;"_"&amp;D16&amp;""")]")</f>
        <v/>
      </c>
      <c r="M16" t="str">
        <f t="shared" si="20"/>
        <v xml:space="preserve">		public virtual DateTime? UnpackingStartDatetime { get; set; }
</v>
      </c>
      <c r="N16" t="str">
        <f t="shared" si="21"/>
        <v xml:space="preserve">		public virtual DateTime? UnpackingStartDatetime { get; set; }
</v>
      </c>
      <c r="O16" t="str">
        <f t="shared" si="22"/>
        <v xml:space="preserve">		public virtual DateTime? UnpackingStartDatetime { get; set; }
</v>
      </c>
      <c r="P16" t="str">
        <f t="shared" si="30"/>
        <v xml:space="preserve">							UnpackingStartDatetime = o.UnpackingStartDatetime,</v>
      </c>
      <c r="T16" s="69" t="str">
        <f t="shared" si="23"/>
        <v xml:space="preserve">								("UnpackingStartDatetime"),</v>
      </c>
      <c r="V16" s="70" t="str">
        <f t="shared" si="24"/>
        <v xml:space="preserve">								_ =&gt; _.UnpackingStartDatetime,</v>
      </c>
      <c r="W16" s="69" t="str">
        <f t="shared" si="25"/>
        <v xml:space="preserve">				.WhereIf(input.UnpackingStartDatetime.HasValue, t =&gt; t.UnpackingStartDatetime == input.UnpackingStartDatetime.Value)</v>
      </c>
    </row>
    <row r="17" spans="1:23" customFormat="1" ht="22.5" customHeight="1" x14ac:dyDescent="0.25">
      <c r="A17" t="s">
        <v>322</v>
      </c>
      <c r="B17" t="s">
        <v>308</v>
      </c>
      <c r="C17" t="s">
        <v>1</v>
      </c>
      <c r="D17" t="str">
        <f>SUBSTITUTE(PROPER(A17),"_","")</f>
        <v>UnpackingFinishDatetime</v>
      </c>
      <c r="E17" t="str">
        <f t="shared" ref="E17:E18" si="33">IFERROR(LEFT(B17, FIND("(",B17)-1),B17)</f>
        <v>datetime2</v>
      </c>
      <c r="F17" s="7" t="s">
        <v>308</v>
      </c>
      <c r="G17" t="str">
        <f t="shared" ref="G17:G18" si="34">IFERROR(MID(B17,FIND("(",B17) +1, FIND(")",B17) - FIND("(",B17) - 1),"")</f>
        <v>7</v>
      </c>
      <c r="H17" t="str">
        <f>+VLOOKUP(E17,'Data Type Mapping'!A:B,2,)</f>
        <v>DateTime</v>
      </c>
      <c r="I17" t="str">
        <f t="shared" ref="I17:I18" si="35">IF(H17="string",REPT(CHAR(9),2)&amp;"public const int Max"&amp;D17&amp;"Length = "&amp;G17&amp;";"&amp;$E$3,"" )</f>
        <v/>
      </c>
      <c r="J17" t="str">
        <f t="shared" ref="J17:J18" si="36"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[Column(TypeName="datetime2(7)")]
		public virtual DateTime UnpackingFinishDatetime { get; set; }
</v>
      </c>
      <c r="K17" s="7"/>
      <c r="L17" t="str">
        <f>IF(K17="","",REPT(CHAR(9),1)&amp;"[Index(nameof("&amp;IF(D17="","",""&amp;D17)&amp;")"&amp;", Name="&amp;"""IX_"&amp;$B$7&amp;"_"&amp;D17&amp;""")]")</f>
        <v/>
      </c>
      <c r="M17" t="str">
        <f t="shared" ref="M17:M18" si="37">REPT(CHAR(9),2)&amp;"public virtual "&amp;IF(OR(H17="DateTime",H17="TimeSpan"),H17&amp;"?",H17)&amp;IF(C17="?","? "," ")&amp;D17&amp;" { get; set; }" &amp; "
"</f>
        <v xml:space="preserve">		public virtual DateTime? UnpackingFinishDatetime { get; set; }
</v>
      </c>
      <c r="N17" t="str">
        <f t="shared" ref="N17:N18" si="38"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public virtual DateTime? UnpackingFinishDatetime { get; set; }
</v>
      </c>
      <c r="O17" t="str">
        <f t="shared" ref="O17:O18" si="39">IF(OR(H17="string",H17="DateTime",H17="int"),REPT(CHAR(9),2)&amp;"public virtual "&amp;IF(OR(H17="DateTime",H17="TimeSpan"),H17&amp;"?",H17)&amp;IF(C17="?","? "," ")&amp;D17&amp;" { get; set; }"&amp;$E$3,"")</f>
        <v xml:space="preserve">		public virtual DateTime? UnpackingFinishDatetime { get; set; }
</v>
      </c>
      <c r="P17" t="str">
        <f t="shared" ref="P17:P18" si="40">REPT(CHAR(9),7)&amp;D17&amp;" = o." &amp;D17 &amp;","</f>
        <v xml:space="preserve">							UnpackingFinishDatetime = o.UnpackingFinishDatetime,</v>
      </c>
      <c r="T17" s="69" t="str">
        <f t="shared" ref="T17:T18" si="41">REPT(CHAR(9),8)&amp;"("""&amp;D17&amp;"""),"</f>
        <v xml:space="preserve">								("UnpackingFinishDatetime"),</v>
      </c>
      <c r="V17" s="70" t="str">
        <f t="shared" ref="V17:V18" si="42">REPT(CHAR(9),8)&amp;"_ =&gt; _."&amp;D17&amp;","</f>
        <v xml:space="preserve">								_ =&gt; _.UnpackingFinishDatetime,</v>
      </c>
      <c r="W17" s="69" t="str">
        <f t="shared" ref="W17:W18" si="43"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 xml:space="preserve">				.WhereIf(input.UnpackingFinishDatetime.HasValue, t =&gt; t.UnpackingFinishDatetime == input.UnpackingFinishDatetime.Value)</v>
      </c>
    </row>
    <row r="18" spans="1:23" customFormat="1" ht="21" customHeight="1" x14ac:dyDescent="0.25">
      <c r="A18" t="s">
        <v>323</v>
      </c>
      <c r="B18" t="s">
        <v>329</v>
      </c>
      <c r="C18" t="s">
        <v>1</v>
      </c>
      <c r="D18" t="str">
        <f t="shared" ref="D18" si="44">SUBSTITUTE(PROPER(A18),"_","")</f>
        <v>Tpm</v>
      </c>
      <c r="E18" t="str">
        <f t="shared" si="33"/>
        <v>nvarchar</v>
      </c>
      <c r="F18" s="7" t="s">
        <v>329</v>
      </c>
      <c r="G18" t="str">
        <f t="shared" si="34"/>
        <v>200</v>
      </c>
      <c r="H18" t="str">
        <f>+VLOOKUP(E18,'Data Type Mapping'!A:B,2,)</f>
        <v>string</v>
      </c>
      <c r="I18" t="str">
        <f t="shared" si="35"/>
        <v xml:space="preserve">		public const int MaxTpmLength = 200;
</v>
      </c>
      <c r="J18" t="str">
        <f t="shared" si="36"/>
        <v xml:space="preserve">		[Column(TypeName="nvarchar(200)")]
		[StringLength(MaxTpmLength)]
		public virtual string Tpm { get; set; }
</v>
      </c>
      <c r="K18" s="7"/>
      <c r="L18" t="str">
        <f t="shared" ref="L18" si="45">IF(K18="","",REPT(CHAR(9),1)&amp;"[Index(nameof("&amp;IF(D18="","",""&amp;D18)&amp;")"&amp;", Name="&amp;"""IX_"&amp;$B$7&amp;"_"&amp;D18&amp;""")]")</f>
        <v/>
      </c>
      <c r="M18" t="str">
        <f t="shared" si="37"/>
        <v xml:space="preserve">		public virtual string Tpm { get; set; }
</v>
      </c>
      <c r="N18" t="str">
        <f t="shared" si="38"/>
        <v xml:space="preserve">		[StringLength(LgwLupLotUpPlanConsts.MaxTpmLength)]
		public virtual string Tpm { get; set; }
</v>
      </c>
      <c r="O18" t="str">
        <f t="shared" si="39"/>
        <v xml:space="preserve">		public virtual string Tpm { get; set; }
</v>
      </c>
      <c r="P18" t="str">
        <f t="shared" si="40"/>
        <v xml:space="preserve">							Tpm = o.Tpm,</v>
      </c>
      <c r="T18" s="69" t="str">
        <f t="shared" si="41"/>
        <v xml:space="preserve">								("Tpm"),</v>
      </c>
      <c r="V18" s="70" t="str">
        <f t="shared" si="42"/>
        <v xml:space="preserve">								_ =&gt; _.Tpm,</v>
      </c>
      <c r="W18" s="69" t="str">
        <f t="shared" si="43"/>
        <v xml:space="preserve">				.WhereIf(!string.IsNullOrWhiteSpace(input.Tpm), e =&gt; e.Tpm.Contains(input.Tpm))</v>
      </c>
    </row>
    <row r="19" spans="1:23" customFormat="1" ht="22.5" customHeight="1" x14ac:dyDescent="0.25">
      <c r="A19" t="s">
        <v>324</v>
      </c>
      <c r="B19" t="s">
        <v>329</v>
      </c>
      <c r="C19" t="s">
        <v>1</v>
      </c>
      <c r="D19" t="str">
        <f>SUBSTITUTE(PROPER(A19),"_","")</f>
        <v>Remarks</v>
      </c>
      <c r="E19" t="str">
        <f t="shared" ref="E19:E26" si="46">IFERROR(LEFT(B19, FIND("(",B19)-1),B19)</f>
        <v>nvarchar</v>
      </c>
      <c r="F19" s="7" t="s">
        <v>329</v>
      </c>
      <c r="G19" t="str">
        <f t="shared" ref="G19:G26" si="47">IFERROR(MID(B19,FIND("(",B19) +1, FIND(")",B19) - FIND("(",B19) - 1),"")</f>
        <v>200</v>
      </c>
      <c r="H19" t="str">
        <f>+VLOOKUP(E19,'Data Type Mapping'!A:B,2,)</f>
        <v>string</v>
      </c>
      <c r="I19" t="str">
        <f t="shared" ref="I19:I26" si="48">IF(H19="string",REPT(CHAR(9),2)&amp;"public const int Max"&amp;D19&amp;"Length = "&amp;G19&amp;";"&amp;$E$3,"" )</f>
        <v xml:space="preserve">		public const int MaxRemarksLength = 200;
</v>
      </c>
      <c r="J19" t="str">
        <f t="shared" ref="J19:J26" si="49"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[Column(TypeName="nvarchar(200)")]
		[StringLength(MaxRemarksLength)]
		public virtual string Remarks { get; set; }
</v>
      </c>
      <c r="K19" s="7"/>
      <c r="L19" t="str">
        <f>IF(K19="","",REPT(CHAR(9),1)&amp;"[Index(nameof("&amp;IF(D19="","",""&amp;D19)&amp;")"&amp;", Name="&amp;"""IX_"&amp;$B$7&amp;"_"&amp;D19&amp;""")]")</f>
        <v/>
      </c>
      <c r="M19" t="str">
        <f t="shared" ref="M19:M26" si="50">REPT(CHAR(9),2)&amp;"public virtual "&amp;IF(OR(H19="DateTime",H19="TimeSpan"),H19&amp;"?",H19)&amp;IF(C19="?","? "," ")&amp;D19&amp;" { get; set; }" &amp; "
"</f>
        <v xml:space="preserve">		public virtual string Remarks { get; set; }
</v>
      </c>
      <c r="N19" t="str">
        <f t="shared" ref="N19:N26" si="51"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[StringLength(LgwLupLotUpPlanConsts.MaxRemarksLength)]
		public virtual string Remarks { get; set; }
</v>
      </c>
      <c r="O19" t="str">
        <f t="shared" ref="O19:O26" si="52">IF(OR(H19="string",H19="DateTime",H19="int"),REPT(CHAR(9),2)&amp;"public virtual "&amp;IF(OR(H19="DateTime",H19="TimeSpan"),H19&amp;"?",H19)&amp;IF(C19="?","? "," ")&amp;D19&amp;" { get; set; }"&amp;$E$3,"")</f>
        <v xml:space="preserve">		public virtual string Remarks { get; set; }
</v>
      </c>
      <c r="P19" t="str">
        <f t="shared" ref="P19:P26" si="53">REPT(CHAR(9),7)&amp;D19&amp;" = o." &amp;D19 &amp;","</f>
        <v xml:space="preserve">							Remarks = o.Remarks,</v>
      </c>
      <c r="T19" s="69" t="str">
        <f t="shared" ref="T19:T26" si="54">REPT(CHAR(9),8)&amp;"("""&amp;D19&amp;"""),"</f>
        <v xml:space="preserve">								("Remarks"),</v>
      </c>
      <c r="V19" s="70" t="str">
        <f t="shared" ref="V19:V26" si="55">REPT(CHAR(9),8)&amp;"_ =&gt; _."&amp;D19&amp;","</f>
        <v xml:space="preserve">								_ =&gt; _.Remarks,</v>
      </c>
      <c r="W19" s="69" t="str">
        <f t="shared" ref="W19:W26" si="56"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 xml:space="preserve">				.WhereIf(!string.IsNullOrWhiteSpace(input.Remarks), e =&gt; e.Remarks.Contains(input.Remarks))</v>
      </c>
    </row>
    <row r="20" spans="1:23" customFormat="1" ht="21" customHeight="1" x14ac:dyDescent="0.25">
      <c r="A20" t="s">
        <v>336</v>
      </c>
      <c r="B20" t="s">
        <v>308</v>
      </c>
      <c r="C20" t="s">
        <v>1</v>
      </c>
      <c r="D20" t="str">
        <f t="shared" ref="D20" si="57">SUBSTITUTE(PROPER(A20),"_","")</f>
        <v>UpCalltime</v>
      </c>
      <c r="E20" t="str">
        <f t="shared" ref="E20" si="58">IFERROR(LEFT(B20, FIND("(",B20)-1),B20)</f>
        <v>datetime2</v>
      </c>
      <c r="F20" s="7" t="s">
        <v>308</v>
      </c>
      <c r="G20" t="str">
        <f t="shared" ref="G20" si="59">IFERROR(MID(B20,FIND("(",B20) +1, FIND(")",B20) - FIND("(",B20) - 1),"")</f>
        <v>7</v>
      </c>
      <c r="H20" t="str">
        <f>+VLOOKUP(E20,'Data Type Mapping'!A:B,2,)</f>
        <v>DateTime</v>
      </c>
      <c r="I20" t="str">
        <f t="shared" ref="I20" si="60">IF(H20="string",REPT(CHAR(9),2)&amp;"public const int Max"&amp;D20&amp;"Length = "&amp;G20&amp;";"&amp;$E$3,"" )</f>
        <v/>
      </c>
      <c r="J20" t="str">
        <f t="shared" ref="J20" si="61">IF(F20="","",REPT(CHAR(9),2)&amp;"[Column(TypeName="""&amp;F20&amp;""")]"&amp;$E$3)&amp;IF(C20="Checked","",$I$3)&amp;IF(H20="string",REPT(CHAR(9),2)&amp;"[StringLength(Max"&amp;D20&amp;"Length"&amp;")]"&amp;$E$3,"")&amp;REPT(CHAR(9),2)&amp;"public virtual "&amp;H20&amp;IF(C20="?","? "," ")&amp;D20&amp;" { get; set; }" &amp; "
"</f>
        <v xml:space="preserve">		[Column(TypeName="datetime2(7)")]
		public virtual DateTime UpCalltime { get; set; }
</v>
      </c>
      <c r="K20" s="7"/>
      <c r="L20" t="str">
        <f t="shared" ref="L20" si="62">IF(K20="","",REPT(CHAR(9),1)&amp;"[Index(nameof("&amp;IF(D20="","",""&amp;D20)&amp;")"&amp;", Name="&amp;"""IX_"&amp;$B$7&amp;"_"&amp;D20&amp;""")]")</f>
        <v/>
      </c>
      <c r="M20" t="str">
        <f t="shared" ref="M20" si="63">REPT(CHAR(9),2)&amp;"public virtual "&amp;IF(OR(H20="DateTime",H20="TimeSpan"),H20&amp;"?",H20)&amp;IF(C20="?","? "," ")&amp;D20&amp;" { get; set; }" &amp; "
"</f>
        <v xml:space="preserve">		public virtual DateTime? UpCalltime { get; set; }
</v>
      </c>
      <c r="N20" t="str">
        <f t="shared" ref="N20" si="64">IF(C20="Checked","",$I$3)&amp;IF(H20="string",REPT(CHAR(9),2)&amp;"[StringLength("&amp;$B$3&amp;"Consts.Max"&amp;D20&amp;"Length"&amp;")]"&amp;$E$3,"")&amp;REPT(CHAR(9),2)&amp;"public virtual "&amp;IF(OR(H20="DateTime",H20="TimeSpan"),H20&amp;"?",H20)&amp;IF(C20="?","? "," ")&amp;D20&amp;" { get; set; }" &amp; "
"</f>
        <v xml:space="preserve">		public virtual DateTime? UpCalltime { get; set; }
</v>
      </c>
      <c r="O20" t="str">
        <f t="shared" ref="O20" si="65">IF(OR(H20="string",H20="DateTime",H20="int"),REPT(CHAR(9),2)&amp;"public virtual "&amp;IF(OR(H20="DateTime",H20="TimeSpan"),H20&amp;"?",H20)&amp;IF(C20="?","? "," ")&amp;D20&amp;" { get; set; }"&amp;$E$3,"")</f>
        <v xml:space="preserve">		public virtual DateTime? UpCalltime { get; set; }
</v>
      </c>
      <c r="P20" t="str">
        <f t="shared" ref="P20" si="66">REPT(CHAR(9),7)&amp;D20&amp;" = o." &amp;D20 &amp;","</f>
        <v xml:space="preserve">							UpCalltime = o.UpCalltime,</v>
      </c>
      <c r="T20" s="69" t="str">
        <f t="shared" ref="T20" si="67">REPT(CHAR(9),8)&amp;"("""&amp;D20&amp;"""),"</f>
        <v xml:space="preserve">								("UpCalltime"),</v>
      </c>
      <c r="V20" s="70" t="str">
        <f t="shared" ref="V20" si="68">REPT(CHAR(9),8)&amp;"_ =&gt; _."&amp;D20&amp;","</f>
        <v xml:space="preserve">								_ =&gt; _.UpCalltime,</v>
      </c>
      <c r="W20" s="69" t="str">
        <f t="shared" ref="W20" si="69">IF(H20="string",REPT(CHAR(9),4)&amp;".WhereIf(!string.IsNullOrWhiteSpace(input."&amp;D20&amp;"), e =&gt; e."&amp;D20&amp;".Contains(input."&amp;D20&amp;"))",IF(H20="DateTime",REPT(CHAR(9),4)&amp;".WhereIf(input."&amp;D20&amp;".HasValue, t =&gt; t."&amp;D20&amp;" == input."&amp;D20&amp;".Value)",""))</f>
        <v xml:space="preserve">				.WhereIf(input.UpCalltime.HasValue, t =&gt; t.UpCalltime == input.UpCalltime.Value)</v>
      </c>
    </row>
    <row r="21" spans="1:23" customFormat="1" ht="21" customHeight="1" x14ac:dyDescent="0.25">
      <c r="A21" t="s">
        <v>331</v>
      </c>
      <c r="B21" t="s">
        <v>308</v>
      </c>
      <c r="C21" t="s">
        <v>1</v>
      </c>
      <c r="D21" t="str">
        <f t="shared" ref="D21" si="70">SUBSTITUTE(PROPER(A21),"_","")</f>
        <v>UnpackingActualStartDatetime</v>
      </c>
      <c r="E21" t="str">
        <f t="shared" si="46"/>
        <v>datetime2</v>
      </c>
      <c r="F21" s="7" t="s">
        <v>308</v>
      </c>
      <c r="G21" t="str">
        <f t="shared" si="47"/>
        <v>7</v>
      </c>
      <c r="H21" t="str">
        <f>+VLOOKUP(E21,'Data Type Mapping'!A:B,2,)</f>
        <v>DateTime</v>
      </c>
      <c r="I21" t="str">
        <f t="shared" si="48"/>
        <v/>
      </c>
      <c r="J21" t="str">
        <f t="shared" si="49"/>
        <v xml:space="preserve">		[Column(TypeName="datetime2(7)")]
		public virtual DateTime UnpackingActualStartDatetime { get; set; }
</v>
      </c>
      <c r="K21" s="7"/>
      <c r="L21" t="str">
        <f t="shared" ref="L21" si="71">IF(K21="","",REPT(CHAR(9),1)&amp;"[Index(nameof("&amp;IF(D21="","",""&amp;D21)&amp;")"&amp;", Name="&amp;"""IX_"&amp;$B$7&amp;"_"&amp;D21&amp;""")]")</f>
        <v/>
      </c>
      <c r="M21" t="str">
        <f t="shared" si="50"/>
        <v xml:space="preserve">		public virtual DateTime? UnpackingActualStartDatetime { get; set; }
</v>
      </c>
      <c r="N21" t="str">
        <f t="shared" si="51"/>
        <v xml:space="preserve">		public virtual DateTime? UnpackingActualStartDatetime { get; set; }
</v>
      </c>
      <c r="O21" t="str">
        <f t="shared" si="52"/>
        <v xml:space="preserve">		public virtual DateTime? UnpackingActualStartDatetime { get; set; }
</v>
      </c>
      <c r="P21" t="str">
        <f t="shared" si="53"/>
        <v xml:space="preserve">							UnpackingActualStartDatetime = o.UnpackingActualStartDatetime,</v>
      </c>
      <c r="T21" s="69" t="str">
        <f t="shared" si="54"/>
        <v xml:space="preserve">								("UnpackingActualStartDatetime"),</v>
      </c>
      <c r="V21" s="70" t="str">
        <f t="shared" si="55"/>
        <v xml:space="preserve">								_ =&gt; _.UnpackingActualStartDatetime,</v>
      </c>
      <c r="W21" s="69" t="str">
        <f t="shared" si="56"/>
        <v xml:space="preserve">				.WhereIf(input.UnpackingActualStartDatetime.HasValue, t =&gt; t.UnpackingActualStartDatetime == input.UnpackingActualStartDatetime.Value)</v>
      </c>
    </row>
    <row r="22" spans="1:23" customFormat="1" ht="22.5" customHeight="1" x14ac:dyDescent="0.25">
      <c r="A22" t="s">
        <v>332</v>
      </c>
      <c r="B22" t="s">
        <v>308</v>
      </c>
      <c r="C22" t="s">
        <v>1</v>
      </c>
      <c r="D22" t="str">
        <f>SUBSTITUTE(PROPER(A22),"_","")</f>
        <v>UnpackingActualFinishDatetime</v>
      </c>
      <c r="E22" t="str">
        <f t="shared" si="46"/>
        <v>datetime2</v>
      </c>
      <c r="F22" s="7" t="s">
        <v>308</v>
      </c>
      <c r="G22" t="str">
        <f t="shared" si="47"/>
        <v>7</v>
      </c>
      <c r="H22" t="str">
        <f>+VLOOKUP(E22,'Data Type Mapping'!A:B,2,)</f>
        <v>DateTime</v>
      </c>
      <c r="I22" t="str">
        <f t="shared" si="48"/>
        <v/>
      </c>
      <c r="J22" t="str">
        <f t="shared" si="49"/>
        <v xml:space="preserve">		[Column(TypeName="datetime2(7)")]
		public virtual DateTime UnpackingActualFinishDatetime { get; set; }
</v>
      </c>
      <c r="K22" s="7"/>
      <c r="L22" t="str">
        <f>IF(K22="","",REPT(CHAR(9),1)&amp;"[Index(nameof("&amp;IF(D22="","",""&amp;D22)&amp;")"&amp;", Name="&amp;"""IX_"&amp;$B$7&amp;"_"&amp;D22&amp;""")]")</f>
        <v/>
      </c>
      <c r="M22" t="str">
        <f t="shared" si="50"/>
        <v xml:space="preserve">		public virtual DateTime? UnpackingActualFinishDatetime { get; set; }
</v>
      </c>
      <c r="N22" t="str">
        <f t="shared" si="51"/>
        <v xml:space="preserve">		public virtual DateTime? UnpackingActualFinishDatetime { get; set; }
</v>
      </c>
      <c r="O22" t="str">
        <f t="shared" si="52"/>
        <v xml:space="preserve">		public virtual DateTime? UnpackingActualFinishDatetime { get; set; }
</v>
      </c>
      <c r="P22" t="str">
        <f t="shared" si="53"/>
        <v xml:space="preserve">							UnpackingActualFinishDatetime = o.UnpackingActualFinishDatetime,</v>
      </c>
      <c r="T22" s="69" t="str">
        <f t="shared" si="54"/>
        <v xml:space="preserve">								("UnpackingActualFinishDatetime"),</v>
      </c>
      <c r="V22" s="70" t="str">
        <f t="shared" si="55"/>
        <v xml:space="preserve">								_ =&gt; _.UnpackingActualFinishDatetime,</v>
      </c>
      <c r="W22" s="69" t="str">
        <f t="shared" si="56"/>
        <v xml:space="preserve">				.WhereIf(input.UnpackingActualFinishDatetime.HasValue, t =&gt; t.UnpackingActualFinishDatetime == input.UnpackingActualFinishDatetime.Value)</v>
      </c>
    </row>
    <row r="23" spans="1:23" customFormat="1" ht="22.5" customHeight="1" x14ac:dyDescent="0.25">
      <c r="A23" t="s">
        <v>335</v>
      </c>
      <c r="B23" t="s">
        <v>308</v>
      </c>
      <c r="C23" t="s">
        <v>1</v>
      </c>
      <c r="D23" t="str">
        <f>SUBSTITUTE(PROPER(A23),"_","")</f>
        <v>MakingFinishDatetime</v>
      </c>
      <c r="E23" t="str">
        <f t="shared" ref="E23:E24" si="72">IFERROR(LEFT(B23, FIND("(",B23)-1),B23)</f>
        <v>datetime2</v>
      </c>
      <c r="F23" s="7" t="s">
        <v>308</v>
      </c>
      <c r="G23" t="str">
        <f t="shared" ref="G23:G24" si="73">IFERROR(MID(B23,FIND("(",B23) +1, FIND(")",B23) - FIND("(",B23) - 1),"")</f>
        <v>7</v>
      </c>
      <c r="H23" t="str">
        <f>+VLOOKUP(E23,'Data Type Mapping'!A:B,2,)</f>
        <v>DateTime</v>
      </c>
      <c r="I23" t="str">
        <f t="shared" ref="I23:I24" si="74">IF(H23="string",REPT(CHAR(9),2)&amp;"public const int Max"&amp;D23&amp;"Length = "&amp;G23&amp;";"&amp;$E$3,"" )</f>
        <v/>
      </c>
      <c r="J23" t="str">
        <f t="shared" ref="J23:J24" si="75">IF(F23="","",REPT(CHAR(9),2)&amp;"[Column(TypeName="""&amp;F23&amp;""")]"&amp;$E$3)&amp;IF(C23="Checked","",$I$3)&amp;IF(H23="string",REPT(CHAR(9),2)&amp;"[StringLength(Max"&amp;D23&amp;"Length"&amp;")]"&amp;$E$3,"")&amp;REPT(CHAR(9),2)&amp;"public virtual "&amp;H23&amp;IF(C23="?","? "," ")&amp;D23&amp;" { get; set; }" &amp; "
"</f>
        <v xml:space="preserve">		[Column(TypeName="datetime2(7)")]
		public virtual DateTime MakingFinishDatetime { get; set; }
</v>
      </c>
      <c r="K23" s="7"/>
      <c r="L23" t="str">
        <f>IF(K23="","",REPT(CHAR(9),1)&amp;"[Index(nameof("&amp;IF(D23="","",""&amp;D23)&amp;")"&amp;", Name="&amp;"""IX_"&amp;$B$7&amp;"_"&amp;D23&amp;""")]")</f>
        <v/>
      </c>
      <c r="M23" t="str">
        <f t="shared" ref="M23:M24" si="76">REPT(CHAR(9),2)&amp;"public virtual "&amp;IF(OR(H23="DateTime",H23="TimeSpan"),H23&amp;"?",H23)&amp;IF(C23="?","? "," ")&amp;D23&amp;" { get; set; }" &amp; "
"</f>
        <v xml:space="preserve">		public virtual DateTime? MakingFinishDatetime { get; set; }
</v>
      </c>
      <c r="N23" t="str">
        <f t="shared" ref="N23:N24" si="77">IF(C23="Checked","",$I$3)&amp;IF(H23="string",REPT(CHAR(9),2)&amp;"[StringLength("&amp;$B$3&amp;"Consts.Max"&amp;D23&amp;"Length"&amp;")]"&amp;$E$3,"")&amp;REPT(CHAR(9),2)&amp;"public virtual "&amp;IF(OR(H23="DateTime",H23="TimeSpan"),H23&amp;"?",H23)&amp;IF(C23="?","? "," ")&amp;D23&amp;" { get; set; }" &amp; "
"</f>
        <v xml:space="preserve">		public virtual DateTime? MakingFinishDatetime { get; set; }
</v>
      </c>
      <c r="O23" t="str">
        <f t="shared" ref="O23:O24" si="78">IF(OR(H23="string",H23="DateTime",H23="int"),REPT(CHAR(9),2)&amp;"public virtual "&amp;IF(OR(H23="DateTime",H23="TimeSpan"),H23&amp;"?",H23)&amp;IF(C23="?","? "," ")&amp;D23&amp;" { get; set; }"&amp;$E$3,"")</f>
        <v xml:space="preserve">		public virtual DateTime? MakingFinishDatetime { get; set; }
</v>
      </c>
      <c r="P23" t="str">
        <f t="shared" ref="P23:P24" si="79">REPT(CHAR(9),7)&amp;D23&amp;" = o." &amp;D23 &amp;","</f>
        <v xml:space="preserve">							MakingFinishDatetime = o.MakingFinishDatetime,</v>
      </c>
      <c r="T23" s="69" t="str">
        <f t="shared" ref="T23:T24" si="80">REPT(CHAR(9),8)&amp;"("""&amp;D23&amp;"""),"</f>
        <v xml:space="preserve">								("MakingFinishDatetime"),</v>
      </c>
      <c r="V23" s="70" t="str">
        <f t="shared" ref="V23:V24" si="81">REPT(CHAR(9),8)&amp;"_ =&gt; _."&amp;D23&amp;","</f>
        <v xml:space="preserve">								_ =&gt; _.MakingFinishDatetime,</v>
      </c>
      <c r="W23" s="69" t="str">
        <f t="shared" ref="W23:W24" si="82">IF(H23="string",REPT(CHAR(9),4)&amp;".WhereIf(!string.IsNullOrWhiteSpace(input."&amp;D23&amp;"), e =&gt; e."&amp;D23&amp;".Contains(input."&amp;D23&amp;"))",IF(H23="DateTime",REPT(CHAR(9),4)&amp;".WhereIf(input."&amp;D23&amp;".HasValue, t =&gt; t."&amp;D23&amp;" == input."&amp;D23&amp;".Value)",""))</f>
        <v xml:space="preserve">				.WhereIf(input.MakingFinishDatetime.HasValue, t =&gt; t.MakingFinishDatetime == input.MakingFinishDatetime.Value)</v>
      </c>
    </row>
    <row r="24" spans="1:23" customFormat="1" ht="22.5" customHeight="1" x14ac:dyDescent="0.25">
      <c r="A24" t="s">
        <v>334</v>
      </c>
      <c r="B24" t="s">
        <v>303</v>
      </c>
      <c r="C24" t="s">
        <v>1</v>
      </c>
      <c r="D24" t="str">
        <f>SUBSTITUTE(PROPER(A24),"_","")</f>
        <v>MkStatus</v>
      </c>
      <c r="E24" t="str">
        <f t="shared" si="72"/>
        <v>varchar</v>
      </c>
      <c r="F24" s="7" t="s">
        <v>329</v>
      </c>
      <c r="G24" t="str">
        <f t="shared" si="73"/>
        <v>50</v>
      </c>
      <c r="H24" t="str">
        <f>+VLOOKUP(E24,'Data Type Mapping'!A:B,2,)</f>
        <v>string</v>
      </c>
      <c r="I24" t="str">
        <f t="shared" si="74"/>
        <v xml:space="preserve">		public const int MaxMkStatusLength = 50;
</v>
      </c>
      <c r="J24" t="str">
        <f t="shared" si="75"/>
        <v xml:space="preserve">		[Column(TypeName="nvarchar(200)")]
		[StringLength(MaxMkStatusLength)]
		public virtual string MkStatus { get; set; }
</v>
      </c>
      <c r="K24" s="7" t="s">
        <v>206</v>
      </c>
      <c r="L24" t="str">
        <f>IF(K24="","",REPT(CHAR(9),1)&amp;"[Index(nameof("&amp;IF(D24="","",""&amp;D24)&amp;")"&amp;", Name="&amp;"""IX_"&amp;$B$7&amp;"_"&amp;D24&amp;""")]")</f>
        <v xml:space="preserve">	[Index(nameof(MkStatus), Name="IX_LgwLupLotUpPlan_MkStatus")]</v>
      </c>
      <c r="M24" t="str">
        <f t="shared" si="76"/>
        <v xml:space="preserve">		public virtual string MkStatus { get; set; }
</v>
      </c>
      <c r="N24" t="str">
        <f t="shared" si="77"/>
        <v xml:space="preserve">		[StringLength(LgwLupLotUpPlanConsts.MaxMkStatusLength)]
		public virtual string MkStatus { get; set; }
</v>
      </c>
      <c r="O24" t="str">
        <f t="shared" si="78"/>
        <v xml:space="preserve">		public virtual string MkStatus { get; set; }
</v>
      </c>
      <c r="P24" t="str">
        <f t="shared" si="79"/>
        <v xml:space="preserve">							MkStatus = o.MkStatus,</v>
      </c>
      <c r="T24" s="69" t="str">
        <f t="shared" si="80"/>
        <v xml:space="preserve">								("MkStatus"),</v>
      </c>
      <c r="V24" s="70" t="str">
        <f t="shared" si="81"/>
        <v xml:space="preserve">								_ =&gt; _.MkStatus,</v>
      </c>
      <c r="W24" s="69" t="str">
        <f t="shared" si="82"/>
        <v xml:space="preserve">				.WhereIf(!string.IsNullOrWhiteSpace(input.MkStatus), e =&gt; e.MkStatus.Contains(input.MkStatus))</v>
      </c>
    </row>
    <row r="25" spans="1:23" customFormat="1" ht="22.5" customHeight="1" x14ac:dyDescent="0.25">
      <c r="A25" t="s">
        <v>333</v>
      </c>
      <c r="B25" t="s">
        <v>303</v>
      </c>
      <c r="C25" t="s">
        <v>1</v>
      </c>
      <c r="D25" t="str">
        <f>SUBSTITUTE(PROPER(A25),"_","")</f>
        <v>UpStatus</v>
      </c>
      <c r="E25" t="str">
        <f t="shared" ref="E25" si="83">IFERROR(LEFT(B25, FIND("(",B25)-1),B25)</f>
        <v>varchar</v>
      </c>
      <c r="F25" s="7" t="s">
        <v>329</v>
      </c>
      <c r="G25" t="str">
        <f t="shared" ref="G25" si="84">IFERROR(MID(B25,FIND("(",B25) +1, FIND(")",B25) - FIND("(",B25) - 1),"")</f>
        <v>50</v>
      </c>
      <c r="H25" t="str">
        <f>+VLOOKUP(E25,'Data Type Mapping'!A:B,2,)</f>
        <v>string</v>
      </c>
      <c r="I25" t="str">
        <f t="shared" ref="I25" si="85">IF(H25="string",REPT(CHAR(9),2)&amp;"public const int Max"&amp;D25&amp;"Length = "&amp;G25&amp;";"&amp;$E$3,"" )</f>
        <v xml:space="preserve">		public const int MaxUpStatusLength = 50;
</v>
      </c>
      <c r="J25" t="str">
        <f t="shared" ref="J25" si="86">IF(F25="","",REPT(CHAR(9),2)&amp;"[Column(TypeName="""&amp;F25&amp;""")]"&amp;$E$3)&amp;IF(C25="Checked","",$I$3)&amp;IF(H25="string",REPT(CHAR(9),2)&amp;"[StringLength(Max"&amp;D25&amp;"Length"&amp;")]"&amp;$E$3,"")&amp;REPT(CHAR(9),2)&amp;"public virtual "&amp;H25&amp;IF(C25="?","? "," ")&amp;D25&amp;" { get; set; }" &amp; "
"</f>
        <v xml:space="preserve">		[Column(TypeName="nvarchar(200)")]
		[StringLength(MaxUpStatusLength)]
		public virtual string UpStatus { get; set; }
</v>
      </c>
      <c r="K25" s="7" t="s">
        <v>206</v>
      </c>
      <c r="L25" t="str">
        <f>IF(K25="","",REPT(CHAR(9),1)&amp;"[Index(nameof("&amp;IF(D25="","",""&amp;D25)&amp;")"&amp;", Name="&amp;"""IX_"&amp;$B$7&amp;"_"&amp;D25&amp;""")]")</f>
        <v xml:space="preserve">	[Index(nameof(UpStatus), Name="IX_LgwLupLotUpPlan_UpStatus")]</v>
      </c>
      <c r="M25" t="str">
        <f t="shared" ref="M25" si="87">REPT(CHAR(9),2)&amp;"public virtual "&amp;IF(OR(H25="DateTime",H25="TimeSpan"),H25&amp;"?",H25)&amp;IF(C25="?","? "," ")&amp;D25&amp;" { get; set; }" &amp; "
"</f>
        <v xml:space="preserve">		public virtual string UpStatus { get; set; }
</v>
      </c>
      <c r="N25" t="str">
        <f t="shared" ref="N25" si="88">IF(C25="Checked","",$I$3)&amp;IF(H25="string",REPT(CHAR(9),2)&amp;"[StringLength("&amp;$B$3&amp;"Consts.Max"&amp;D25&amp;"Length"&amp;")]"&amp;$E$3,"")&amp;REPT(CHAR(9),2)&amp;"public virtual "&amp;IF(OR(H25="DateTime",H25="TimeSpan"),H25&amp;"?",H25)&amp;IF(C25="?","? "," ")&amp;D25&amp;" { get; set; }" &amp; "
"</f>
        <v xml:space="preserve">		[StringLength(LgwLupLotUpPlanConsts.MaxUpStatusLength)]
		public virtual string UpStatus { get; set; }
</v>
      </c>
      <c r="O25" t="str">
        <f t="shared" ref="O25" si="89">IF(OR(H25="string",H25="DateTime",H25="int"),REPT(CHAR(9),2)&amp;"public virtual "&amp;IF(OR(H25="DateTime",H25="TimeSpan"),H25&amp;"?",H25)&amp;IF(C25="?","? "," ")&amp;D25&amp;" { get; set; }"&amp;$E$3,"")</f>
        <v xml:space="preserve">		public virtual string UpStatus { get; set; }
</v>
      </c>
      <c r="P25" t="str">
        <f t="shared" ref="P25" si="90">REPT(CHAR(9),7)&amp;D25&amp;" = o." &amp;D25 &amp;","</f>
        <v xml:space="preserve">							UpStatus = o.UpStatus,</v>
      </c>
      <c r="T25" s="69" t="str">
        <f t="shared" ref="T25" si="91">REPT(CHAR(9),8)&amp;"("""&amp;D25&amp;"""),"</f>
        <v xml:space="preserve">								("UpStatus"),</v>
      </c>
      <c r="V25" s="70" t="str">
        <f t="shared" ref="V25" si="92">REPT(CHAR(9),8)&amp;"_ =&gt; _."&amp;D25&amp;","</f>
        <v xml:space="preserve">								_ =&gt; _.UpStatus,</v>
      </c>
      <c r="W25" s="69" t="str">
        <f t="shared" ref="W25" si="93">IF(H25="string",REPT(CHAR(9),4)&amp;".WhereIf(!string.IsNullOrWhiteSpace(input."&amp;D25&amp;"), e =&gt; e."&amp;D25&amp;".Contains(input."&amp;D25&amp;"))",IF(H25="DateTime",REPT(CHAR(9),4)&amp;".WhereIf(input."&amp;D25&amp;".HasValue, t =&gt; t."&amp;D25&amp;" == input."&amp;D25&amp;".Value)",""))</f>
        <v xml:space="preserve">				.WhereIf(!string.IsNullOrWhiteSpace(input.UpStatus), e =&gt; e.UpStatus.Contains(input.UpStatus))</v>
      </c>
    </row>
    <row r="26" spans="1:23" customFormat="1" ht="21" customHeight="1" x14ac:dyDescent="0.25">
      <c r="A26" t="s">
        <v>302</v>
      </c>
      <c r="B26" t="s">
        <v>325</v>
      </c>
      <c r="C26" t="s">
        <v>1</v>
      </c>
      <c r="D26" t="str">
        <f t="shared" ref="D26" si="94">SUBSTITUTE(PROPER(A26),"_","")</f>
        <v>IsActive</v>
      </c>
      <c r="E26" t="str">
        <f t="shared" si="46"/>
        <v>varchar</v>
      </c>
      <c r="F26" s="7"/>
      <c r="G26" t="str">
        <f t="shared" si="47"/>
        <v>1</v>
      </c>
      <c r="H26" t="str">
        <f>+VLOOKUP(E26,'Data Type Mapping'!A:B,2,)</f>
        <v>string</v>
      </c>
      <c r="I26" t="str">
        <f t="shared" si="48"/>
        <v xml:space="preserve">		public const int MaxIsActiveLength = 1;
</v>
      </c>
      <c r="J26" t="str">
        <f t="shared" si="49"/>
        <v xml:space="preserve">		[StringLength(MaxIsActiveLength)]
		public virtual string IsActive { get; set; }
</v>
      </c>
      <c r="K26" s="7" t="s">
        <v>206</v>
      </c>
      <c r="L26" t="str">
        <f t="shared" ref="L26" si="95">IF(K26="","",REPT(CHAR(9),1)&amp;"[Index(nameof("&amp;IF(D26="","",""&amp;D26)&amp;")"&amp;", Name="&amp;"""IX_"&amp;$B$7&amp;"_"&amp;D26&amp;""")]")</f>
        <v xml:space="preserve">	[Index(nameof(IsActive), Name="IX_LgwLupLotUpPlan_IsActive")]</v>
      </c>
      <c r="M26" t="str">
        <f t="shared" si="50"/>
        <v xml:space="preserve">		public virtual string IsActive { get; set; }
</v>
      </c>
      <c r="N26" t="str">
        <f t="shared" si="51"/>
        <v xml:space="preserve">		[StringLength(LgwLupLotUpPlanConsts.MaxIsActiveLength)]
		public virtual string IsActive { get; set; }
</v>
      </c>
      <c r="O26" t="str">
        <f t="shared" si="52"/>
        <v xml:space="preserve">		public virtual string IsActive { get; set; }
</v>
      </c>
      <c r="P26" t="str">
        <f t="shared" si="53"/>
        <v xml:space="preserve">							IsActive = o.IsActive,</v>
      </c>
      <c r="T26" s="69" t="str">
        <f t="shared" si="54"/>
        <v xml:space="preserve">								("IsActive"),</v>
      </c>
      <c r="V26" s="70" t="str">
        <f t="shared" si="55"/>
        <v xml:space="preserve">								_ =&gt; _.IsActive,</v>
      </c>
      <c r="W26" s="69" t="str">
        <f t="shared" si="56"/>
        <v xml:space="preserve">				.WhereIf(!string.IsNullOrWhiteSpace(input.IsActive), e =&gt; e.IsActive.Contains(input.IsActive))</v>
      </c>
    </row>
    <row r="28" spans="1:23" ht="45.75" customHeight="1" x14ac:dyDescent="0.25">
      <c r="H28" s="12"/>
      <c r="I28" s="34" t="str">
        <f ca="1">TEXTJOIN2("
", TRUE,INDIRECT( $H$1):INDIRECT( $H$3))</f>
        <v xml:space="preserve">		public const int MaxProdLineLength = 50;
		public const int MaxShiftLength = 50;
		public const int MaxLotNoLength = 20;
		public const int MaxTpmLength = 200;
		public const int MaxRemarksLength = 200;
		public const int MaxMkStatusLength = 50;
		public const int MaxUpStatusLength = 50;
		public const int MaxIsActiveLength = 1;
</v>
      </c>
      <c r="J28" s="33" t="str">
        <f ca="1">TEXTJOIN2("
", TRUE,INDIRECT( $F$1):INDIRECT( $F$3))</f>
        <v xml:space="preserve">		[StringLength(MaxProdLineLength)]
		public virtual string ProdLine { get; set; }
		[Column(TypeName="date")]
		public virtual DateTime WorkingDate { get; set; }
		[StringLength(MaxShiftLength)]
		public virtual string Shift { get; set; }
		public virtual int NoInShift { get; set; }
		public virtual int NoInDay { get; set; }
		[StringLength(MaxLotNoLength)]
		public virtual string LotNo { get; set; }
		public virtual int LotPartialNo { get; set; }
		[Column(TypeName="datetime2(7)")]
		public virtual DateTime UnpackingStartDatetime { get; set; }
		[Column(TypeName="datetime2(7)")]
		public virtual DateTime UnpackingFinishDatetime { get; set; }
		[Column(TypeName="nvarchar(200)")]
		[StringLength(MaxTpmLength)]
		public virtual string Tpm { get; set; }
		[Column(TypeName="nvarchar(200)")]
		[StringLength(MaxRemarksLength)]
		public virtual string Remarks { get; set; }
		[Column(TypeName="datetime2(7)")]
		public virtual DateTime UpCalltime { get; set; }
		[Column(TypeName="datetime2(7)")]
		public virtual DateTime UnpackingActualStartDatetime { get; set; }
		[Column(TypeName="datetime2(7)")]
		public virtual DateTime UnpackingActualFinishDatetime { get; set; }
		[Column(TypeName="datetime2(7)")]
		public virtual DateTime MakingFinishDatetime { get; set; }
		[Column(TypeName="nvarchar(200)")]
		[StringLength(MaxMkStatusLength)]
		public virtual string MkStatus { get; set; }
		[Column(TypeName="nvarchar(200)")]
		[StringLength(MaxUpStatusLength)]
		public virtual string UpStatus { get; set; }
		[StringLength(MaxIsActiveLength)]
		public virtual string IsActive { get; set; }
</v>
      </c>
      <c r="K28" s="35" t="str">
        <f ca="1">TEXTJOIN2("
", TRUE,INDIRECT( $J$1):INDIRECT( $J$3))</f>
        <v xml:space="preserve">	[Index(nameof(ProdLine), Name="IX_LgwLupLotUpPlan_ProdLine")]
	[Index(nameof(WorkingDate), Name="IX_LgwLupLotUpPlan_WorkingDate")]
	[Index(nameof(Shift), Name="IX_LgwLupLotUpPlan_Shift")]
	[Index(nameof(MkStatus), Name="IX_LgwLupLotUpPlan_MkStatus")]
	[Index(nameof(UpStatus), Name="IX_LgwLupLotUpPlan_UpStatus")]
	[Index(nameof(IsActive), Name="IX_LgwLupLotUpPlan_IsActive")]</v>
      </c>
      <c r="L28" s="13" t="s">
        <v>60</v>
      </c>
      <c r="M28" s="36" t="str">
        <f ca="1">TEXTJOIN2("
",TRUE,INDIRECT( $L$1):INDIRECT($L$3))</f>
        <v xml:space="preserve">		public virtual string ProdLine { get; set; }
		public virtual DateTime? WorkingDate { get; set; }
		public virtual string Shift { get; set; }
		public virtual int NoInShift { get; set; }
		public virtual int NoInDay { get; set; }
		public virtual string LotNo { get; set; }
		public virtual int LotPartialNo { get; set; }
		public virtual DateTime? UnpackingStartDatetime { get; set; }
		public virtual DateTime? UnpackingFinishDatetime { get; set; }
		public virtual string Tpm { get; set; }
		public virtual string Remarks { get; set; }
		public virtual DateTime? UpCalltime { get; set; }
		public virtual DateTime? UnpackingActualStartDatetime { get; set; }
		public virtual DateTime? UnpackingActualFinishDatetime { get; set; }
		public virtual DateTime? MakingFinishDatetime { get; set; }
		public virtual string MkStatus { get; set; }
		public virtual string UpStatus { get; set; }
		public virtual string IsActive { get; set; }
</v>
      </c>
      <c r="N28" s="33" t="str">
        <f ca="1">TEXTJOIN2("
",TRUE,INDIRECT( $M$1):INDIRECT($M$3))</f>
        <v xml:space="preserve">		[StringLength(LgwLupLotUpPlanConsts.MaxProdLineLength)]
		public virtual string ProdLine { get; set; }
		public virtual DateTime? WorkingDate { get; set; }
		[StringLength(LgwLupLotUpPlanConsts.MaxShiftLength)]
		public virtual string Shift { get; set; }
		public virtual int NoInShift { get; set; }
		public virtual int NoInDay { get; set; }
		[StringLength(LgwLupLotUpPlanConsts.MaxLotNoLength)]
		public virtual string LotNo { get; set; }
		public virtual int LotPartialNo { get; set; }
		public virtual DateTime? UnpackingStartDatetime { get; set; }
		public virtual DateTime? UnpackingFinishDatetime { get; set; }
		[StringLength(LgwLupLotUpPlanConsts.MaxTpmLength)]
		public virtual string Tpm { get; set; }
		[StringLength(LgwLupLotUpPlanConsts.MaxRemarksLength)]
		public virtual string Remarks { get; set; }
		public virtual DateTime? UpCalltime { get; set; }
		public virtual DateTime? UnpackingActualStartDatetime { get; set; }
		public virtual DateTime? UnpackingActualFinishDatetime { get; set; }
		public virtual DateTime? MakingFinishDatetime { get; set; }
		[StringLength(LgwLupLotUpPlanConsts.MaxMkStatusLength)]
		public virtual string MkStatus { get; set; }
		[StringLength(LgwLupLotUpPlanConsts.MaxUpStatusLength)]
		public virtual string UpStatus { get; set; }
		[StringLength(LgwLupLotUpPlanConsts.MaxIsActiveLength)]
		public virtual string IsActive { get; set; }
</v>
      </c>
      <c r="O28" s="33" t="str">
        <f ca="1">TEXTJOIN2("
",TRUE,INDIRECT( $N$1):INDIRECT($N$3))</f>
        <v xml:space="preserve">		public virtual string ProdLine { get; set; }
		public virtual DateTime? WorkingDate { get; set; }
		public virtual string Shift { get; set; }
		public virtual int NoInShift { get; set; }
		public virtual int NoInDay { get; set; }
		public virtual string LotNo { get; set; }
		public virtual int LotPartialNo { get; set; }
		public virtual DateTime? UnpackingStartDatetime { get; set; }
		public virtual DateTime? UnpackingFinishDatetime { get; set; }
		public virtual string Tpm { get; set; }
		public virtual string Remarks { get; set; }
		public virtual DateTime? UpCalltime { get; set; }
		public virtual DateTime? UnpackingActualStartDatetime { get; set; }
		public virtual DateTime? UnpackingActualFinishDatetime { get; set; }
		public virtual DateTime? MakingFinishDatetime { get; set; }
		public virtual string MkStatus { get; set; }
		public virtual string UpStatus { get; set; }
		public virtual string IsActive { get; set; }
</v>
      </c>
      <c r="P28" s="9" t="str">
        <f ca="1">TEXTJOIN2("
",TRUE,INDIRECT( $O$1):INDIRECT($O$3))</f>
        <v xml:space="preserve">							ProdLine = o.ProdLine,
							WorkingDate = o.WorkingDate,
							Shift = o.Shift,
							NoInShift = o.NoInShift,
							NoInDay = o.NoInDay,
							LotNo = o.LotNo,
							LotPartialNo = o.LotPartialNo,
							UnpackingStartDatetime = o.UnpackingStartDatetime,
							UnpackingFinishDatetime = o.UnpackingFinishDatetime,
							Tpm = o.Tpm,
							Remarks = o.Remarks,
							UpCalltime = o.UpCalltime,
							UnpackingActualStartDatetime = o.UnpackingActualStartDatetime,
							UnpackingActualFinishDatetime = o.UnpackingActualFinishDatetime,
							MakingFinishDatetime = o.MakingFinishDatetime,
							MkStatus = o.MkStatus,
							UpStatus = o.UpStatus,
							IsActive = o.IsActive,</v>
      </c>
      <c r="T28" s="9" t="str">
        <f ca="1">TEXTJOIN2("
",TRUE,INDIRECT( $T$2):INDIRECT($T$3))</f>
        <v xml:space="preserve">								("ProdLine"),
								("WorkingDate"),
								("Shift"),
								("NoInShift"),
								("NoInDay"),
								("LotNo"),
								("LotPartialNo"),
								("UnpackingStartDatetime"),
								("UnpackingFinishDatetime"),
								("Tpm"),
								("Remarks"),
								("UpCalltime"),
								("UnpackingActualStartDatetime"),
								("UnpackingActualFinishDatetime"),
								("MakingFinishDatetime"),
								("MkStatus"),
								("UpStatus"),
								("IsActive"),</v>
      </c>
      <c r="V28" s="9" t="str">
        <f ca="1">TEXTJOIN2("
",TRUE,INDIRECT( $V$2):INDIRECT($V$3))</f>
        <v xml:space="preserve">								_ =&gt; _.ProdLine,
								_ =&gt; _.WorkingDate,
								_ =&gt; _.Shift,
								_ =&gt; _.NoInShift,
								_ =&gt; _.NoInDay,
								_ =&gt; _.LotNo,
								_ =&gt; _.LotPartialNo,
								_ =&gt; _.UnpackingStartDatetime,
								_ =&gt; _.UnpackingFinishDatetime,
								_ =&gt; _.Tpm,
								_ =&gt; _.Remarks,
								_ =&gt; _.UpCalltime,
								_ =&gt; _.UnpackingActualStartDatetime,
								_ =&gt; _.UnpackingActualFinishDatetime,
								_ =&gt; _.MakingFinishDatetime,
								_ =&gt; _.MkStatus,
								_ =&gt; _.UpStatus,
								_ =&gt; _.IsActive,</v>
      </c>
      <c r="W28" s="9" t="str">
        <f ca="1">TEXTJOIN2("
",TRUE,INDIRECT( $W$2):INDIRECT($W$3))</f>
        <v xml:space="preserve">				.WhereIf(!string.IsNullOrWhiteSpace(input.ProdLine), e =&gt; e.ProdLine.Contains(input.ProdLine))
				.WhereIf(input.WorkingDate.HasValue, t =&gt; t.WorkingDate == input.WorkingDate.Value)
				.WhereIf(!string.IsNullOrWhiteSpace(input.Shift), e =&gt; e.Shift.Contains(input.Shift))
				.WhereIf(!string.IsNullOrWhiteSpace(input.LotNo), e =&gt; e.LotNo.Contains(input.LotNo))
				.WhereIf(input.UnpackingStartDatetime.HasValue, t =&gt; t.UnpackingStartDatetime == input.UnpackingStartDatetime.Value)
				.WhereIf(input.UnpackingFinishDatetime.HasValue, t =&gt; t.UnpackingFinishDatetime == input.UnpackingFinishDatetime.Value)
				.WhereIf(!string.IsNullOrWhiteSpace(input.Tpm), e =&gt; e.Tpm.Contains(input.Tpm))
				.WhereIf(!string.IsNullOrWhiteSpace(input.Remarks), e =&gt; e.Remarks.Contains(input.Remarks))
				.WhereIf(input.UpCalltime.HasValue, t =&gt; t.UpCalltime == input.UpCalltime.Value)
				.WhereIf(input.UnpackingActualStartDatetime.HasValue, t =&gt; t.UnpackingActualStartDatetime == input.UnpackingActualStartDatetime.Value)
				.WhereIf(input.UnpackingActualFinishDatetime.HasValue, t =&gt; t.UnpackingActualFinishDatetime == input.UnpackingActualFinishDatetime.Value)
				.WhereIf(input.MakingFinishDatetime.HasValue, t =&gt; t.MakingFinishDatetime == input.MakingFinishDatetime.Value)
				.WhereIf(!string.IsNullOrWhiteSpace(input.MkStatus), e =&gt; e.MkStatus.Contains(input.MkStatus))
				.WhereIf(!string.IsNullOrWhiteSpace(input.UpStatus), e =&gt; e.UpStatus.Contains(input.UpStatus))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5"/>
  <sheetViews>
    <sheetView tabSelected="1" workbookViewId="0">
      <selection activeCell="E27" sqref="E27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330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LogW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logw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Lup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lup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LgwLupLotUpPlan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LotUpPlan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lotupplan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LgwLupLotUpPlanDto, LgwLupLotUpPlanServiceProxy } from '@shared/service-proxies/service-proxies';
import { finalize } from 'rxjs/internal/operators/finalize';
import { CreateOrEditLotUpPlanModalComponent } from './create-or-edit-lotupplan-modal.component';
import { DatePipe } from '@angular/common';
import { FileDownloadService } from '@shared/utils/file-download.service';
import ceil from 'lodash-es/ceil';
import { Paginator } from 'primeng/paginator';
@Component({
    templateUrl: './lotupplan.component.html',
    styleUrls: ['./lotupplan.component.less'],
})
export class LotUpPlanComponent extends AppComponentBase implements OnInit {
    @ViewChild('createOrEditModalLotUpPlan', { static: true }) createOrEditModalLotUpPlan:| CreateOrEditLotUpPlanModalComponent|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LgwLupLotUpPlanDto = new LgwLupLotUpPlanDto();
    saveSelectedRow: LgwLupLotUpPlanDto = new LgwLupLotUpPlanDto();
    datas: LgwLupLotUpPlanDto = new LgwLupLotUpPlanDto();
    isLoading: boolean = false;
    dataParams: GridParams | undefined;
    rowData: any[] = [];
    gridApi!: GridApi;
    rowSelection = 'multiple';
    filter: string = '';
	pipe = new DatePipe('en-US');
	frameworkComponents: FrameworkComponent;
    prodLine : string = '' ; 
	workingDate : any ;
	shift : string = '' ; 
	noInShift : number = 0 ;
	noInDay : number = 0 ;
	lotNo : string = '' ; 
	lotPartialNo : number = 0 ;
unpackingStartDatetime : any ;
	unpackingFinishDatetime : any ;
	tpm : string = '' ; 
remarks : string = '' ; 
	upCalltime : any ;
	unpackingActualStartDatetime : any ;
unpackingActualFinishDatetime : any ;
	makingFinishDatetime : any ;
	mkStatus : string = '' ; 
upStatus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LgwLupLotUpPlanServiceProxy,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this.l('Prod Line'),headerTooltip: this.l('Prod Line'),field: 'prodLine',flex: 1},
			{headerName: this.l('Working Date'),headerTooltip: this.l('Working Date'),field: 'workingDate',valueGetter: (params) =&gt; this.pipe.transform(params.data?.workingDate, 'dd/MM/yyyy'),flex: 1},
			{headerName: this.l('Shift'),headerTooltip: this.l('Shift'),field: 'shift',flex: 1},
			{headerName: this.l('No In Shift'),headerTooltip: this.l('No In Shift'),field: 'noInShift',flex: 1},
			{headerName: this.l('No In Day'),headerTooltip: this.l('No In Day'),field: 'noInDay',flex: 1},
			{headerName: this.l('Lot No'),headerTooltip: this.l('Lot No'),field: 'lotNo',flex: 1},
			{headerName: this.l('Lot Partial No'),headerTooltip: this.l('Lot Partial No'),field: 'lotPartialNo',flex: 1},
			{headerName: this.l('Unpacking Start Datetime'),headerTooltip: this.l('Unpacking Start Datetime'),field: 'unpackingStartDatetime',valueGetter: (params) =&gt; this.pipe.transform(params.data?.unpackingStartDatetime, 'dd/MM/yyyy'),flex: 1},
			{headerName: this.l('Unpacking Finish Datetime'),headerTooltip: this.l('Unpacking Finish Datetime'),field: 'unpackingFinishDatetime',valueGetter: (params) =&gt; this.pipe.transform(params.data?.unpackingFinishDatetime, 'dd/MM/yyyy'),flex: 1},
			{headerName: this.l('Tpm'),headerTooltip: this.l('Tpm'),field: 'tpm',flex: 1},
			{headerName: this.l('Remarks'),headerTooltip: this.l('Remarks'),field: 'remarks',flex: 1},
			{headerName: this.l('Up Calltime'),headerTooltip: this.l('Up Calltime'),field: 'upCalltime',valueGetter: (params) =&gt; this.pipe.transform(params.data?.upCalltime, 'dd/MM/yyyy'),flex: 1},
			{headerName: this.l('Unpacking Actual Start Datetime'),headerTooltip: this.l('Unpacking Actual Start Datetime'),field: 'unpackingActualStartDatetime',valueGetter: (params) =&gt; this.pipe.transform(params.data?.unpackingActualStartDatetime, 'dd/MM/yyyy'),flex: 1},
			{headerName: this.l('Unpacking Actual Finish Datetime'),headerTooltip: this.l('Unpacking Actual Finish Datetime'),field: 'unpackingActualFinishDatetime',valueGetter: (params) =&gt; this.pipe.transform(params.data?.unpackingActualFinishDatetime, 'dd/MM/yyyy'),flex: 1},
			{headerName: this.l('Making Finish Datetime'),headerTooltip: this.l('Making Finish Datetime'),field: 'makingFinishDatetime',valueGetter: (params) =&gt; this.pipe.transform(params.data?.makingFinishDatetime, 'dd/MM/yyyy'),flex: 1},
			{headerName: this.l('Mk Status'),headerTooltip: this.l('Mk Status'),field: 'mkStatus',flex: 1},
			{headerName: this.l('Up Status'),headerTooltip: this.l('Up Status'),field: 'upStatus',flex: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this.prodLine,
			this.workingDate,
			this.shift,
			this.noInShift,
			this.noInDay,
			this.lotNo,
			this.lotPartialNo,
			this.unpackingStartDatetime,
			this.unpackingFinishDatetime,
			this.tpm,
			this.remarks,
			this.upCalltime,
			this.unpackingActualStartDatetime,
			this.unpackingActualFinishDatetime,
			this.makingFinishDatetime,
			this.mkStatus,
			this.upStatus,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this.prodLine = '',
		this.workingDate = '',
		this.shift = '',
		this.noInShift = 0,
		this.noInDay = 0,
		this.lotNo = '',
		this.lotPartialNo = 0,
this.unpackingStartDatetime = '',
		this.unpackingFinishDatetime = '',
		this.tpm = '',
this.remarks = '',
		this.upCalltime = '',
		this.unpackingActualStartDatetime = '',
this.unpackingActualFinishDatetime = '',
		this.makingFinishDatetime = '',
		this.mkStatus = '',
this.upStatus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this.prodLine,
			this.workingDate,
			this.shift,
			this.noInShift,
			this.noInDay,
			this.lotNo,
			this.lotPartialNo,
			this.unpackingStartDatetime,
			this.unpackingFinishDatetime,
			this.tpm,
			this.remarks,
			this.upCalltime,
			this.unpackingActualStartDatetime,
			this.unpackingActualFinishDatetime,
			this.makingFinishDatetime,
			this.mkStatus,
			this.upStatus,
			this.isActive,
			'',
            this.paginationParams.skipCount,
            this.paginationParams.pageSize
        );
    }
    onChangeRowSelection(params: { api: { getSelectedRows: () =&gt; LgwLupLotUpPlanDto[] } }) {
        this.saveSelectedRow = params.api.getSelectedRows()[0] ?? new LgwLupLotUpPlanDto();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LgwLupLotUpPlanDto):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this._service.getLotUpPlanToExcel(
			this.prodLine,
			this.workingDate,
			this.shift,
			this.noInShift,
			this.noInDay,
			this.lotNo,
			this.lotPartialNo,
			this.unpackingStartDatetime,
			this.unpackingFinishDatetime,
			this.tpm,
			this.remarks,
			this.upCalltime,
			this.unpackingActualStartDatetime,
			this.unpackingActualFinishDatetime,
			this.makingFinishDatetime,
			this.mkStatus,
			this.upStatus,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LogW Lot Unpacking Plan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type='text' [placeholder]="l('Unpacking Start Datetime')" [(ngModel)]='unpackingStartDatetime' 
									name='unpackingStartDatetime'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[placeholder]="l('Unpacking Finish Datetime')" [(ngModel)]='unpackingFinishDatetime' 
									name='unpackingFinishDatetime'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[(ngModel)]='tpm' name='tpm'
									class='form-control' [placeholder]="l('Tpm')"
									type='text' (keyup.enter)='searchDatas()'&gt;
								&lt;/div&gt;
								&lt;div class='input-search'&gt;
									&lt;input [(ngModel)]='remarks' name='remarks'
									class='form-control' [placeholder]="l('Remarks')"
									type='text' (keyup.enter)='searchDatas()'&gt;
								&lt;/div&gt;
								&lt;div class='input-search'&gt;
									&lt;input type='text' [placeholder]="l('Up Calltime')" [(ngModel)]='upCalltime' 
									name='upCalltime'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[placeholder]="l('Unpacking Actual Start Datetime')" [(ngModel)]='unpackingActualStartDatetime' 
									name='unpackingActualStartDatetime'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[placeholder]="l('Unpacking Actual Finish Datetime')" [(ngModel)]='unpackingActualFinishDatetime' 
									name='unpackingActualFinishDatetime'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[placeholder]="l('Making Finish Datetime')" [(ngModel)]='makingFinishDatetime' 
									name='makingFinishDatetime'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[(ngModel)]='mkStatus' name='mkStatus'
									class='form-control' [placeholder]="l('Mk Status')"
									type='text' (keyup.enter)='searchDatas()'&gt;
								&lt;/div&gt;
								&lt;div class='input-search'&gt;
									&lt;input [(ngModel)]='upStatus' name='upStatus'
									class='form-control' [placeholder]="l('Up Status')"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(click)="createOrEditModalLotUpPlan.show()"&gt;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(click)="createOrEditModalLotUpPlan.show(selectedRow)"&gt;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&lt;create-or-edit-lotupplan-modal
    #createOrEditModalLotUpPlan
    (modalSave)="callBackDataGrid(dataParams)"
    (modalClose)="onChangeRowSelection(dataParams)"
&gt;
&lt;/create-or-edit-lotupplan-modal&gt;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#createOrEditModalLotUpPlan="bs-modal"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LotUpPlan')}}&lt;/h3&gt;
                    &lt;h3 *ngIf="!rowdata.id"&gt;{{('Create New LotUpPlan')}}&lt;/h3&gt;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title'&gt;No In Shift&lt;/label&gt;
						&lt;input type='number' class='col-md-10 form-control input-text' name='NoInShift' [(ngModel)]='rowdata.noInShift'&gt;
					&lt;/div&gt;
					&lt;div class='col-md-12 form-group row'&gt;
						&lt;label class='col-md-2 form-control title'&gt;No In Day&lt;/label&gt;
						&lt;input type='number' class='col-md-10 form-control input-text' name='NoInDay' [(ngModel)]='rowdata.noInDay'&gt;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title'&gt;Lot Partial No&lt;/label&gt;
						&lt;input type='number' class='col-md-10 form-control input-text' name='LotPartialNo' [(ngModel)]='rowdata.lotPartialNo'&gt;
					&lt;/div&gt;
					&lt;div class='col-md-12 form-group row'&gt;
						&lt;label class='col-md-2 form-control title'&gt;Unpacking Start Datetime&lt;/label&gt;
						&lt;input type='text' class='col-md-10 form-control input-text' name='unpackingStartDatetime' 
						#datepicker='bsDatepicker' [(ngModel)]='rowdata.unpackingStartDatetime'  bsDatepicker &gt;
					&lt;/div&gt;
					&lt;div class='col-md-12 form-group row'&gt;
						&lt;label class='col-md-2 form-control title'&gt;Unpacking Finish Datetime&lt;/label&gt;
						&lt;input type='text' class='col-md-10 form-control input-text' name='unpackingFinishDatetime' 
						#datepicker='bsDatepicker' [(ngModel)]='rowdata.unpackingFinishDatetime'  bsDatepicker &gt;
					&lt;/div&gt;
					&lt;div class='col-md-12 form-group row'&gt;
						&lt;label class='col-md-2 form-control title'&gt;Tpm&lt;/label&gt;
						&lt;input type='text' class='col-md-10 form-control input-text' name='Tpm' [(ngModel)]='rowdata.tpm'&gt;
					&lt;/div&gt;
					&lt;div class='col-md-12 form-group row'&gt;
						&lt;label class='col-md-2 form-control title'&gt;Remarks&lt;/label&gt;
						&lt;input type='text' class='col-md-10 form-control input-text' name='Remarks' [(ngModel)]='rowdata.remarks'&gt;
					&lt;/div&gt;
					&lt;div class='col-md-12 form-group row'&gt;
						&lt;label class='col-md-2 form-control title'&gt;Up Calltime&lt;/label&gt;
						&lt;input type='text' class='col-md-10 form-control input-text' name='upCalltime' 
						#datepicker='bsDatepicker' [(ngModel)]='rowdata.upCalltime'  bsDatepicker &gt;
					&lt;/div&gt;
					&lt;div class='col-md-12 form-group row'&gt;
						&lt;label class='col-md-2 form-control title'&gt;Unpacking Actual Start Datetime&lt;/label&gt;
						&lt;input type='text' class='col-md-10 form-control input-text' name='unpackingActualStartDatetime' 
						#datepicker='bsDatepicker' [(ngModel)]='rowdata.unpackingActualStartDatetime'  bsDatepicker &gt;
					&lt;/div&gt;
					&lt;div class='col-md-12 form-group row'&gt;
						&lt;label class='col-md-2 form-control title'&gt;Unpacking Actual Finish Datetime&lt;/label&gt;
						&lt;input type='text' class='col-md-10 form-control input-text' name='unpackingActualFinishDatetime' 
						#datepicker='bsDatepicker' [(ngModel)]='rowdata.unpackingActualFinishDatetime'  bsDatepicker &gt;
					&lt;/div&gt;
					&lt;div class='col-md-12 form-group row'&gt;
						&lt;label class='col-md-2 form-control title'&gt;Making Finish Datetime&lt;/label&gt;
						&lt;input type='text' class='col-md-10 form-control input-text' name='makingFinishDatetime' 
						#datepicker='bsDatepicker' [(ngModel)]='rowdata.makingFinishDatetime'  bsDatepicker &gt;
					&lt;/div&gt;
					&lt;div class='col-md-12 form-group row'&gt;
						&lt;label class='col-md-2 form-control title'&gt;Mk Status&lt;/label&gt;
						&lt;input type='text' class='col-md-10 form-control input-text' name='MkStatus' [(ngModel)]='rowdata.mkStatus'&gt;
					&lt;/div&gt;
					&lt;div class='col-md-12 form-group row'&gt;
						&lt;label class='col-md-2 form-control title'&gt;Up Status&lt;/label&gt;
						&lt;input type='text' class='col-md-10 form-control input-text' name='UpStatus' [(ngModel)]='rowdata.upStatus'&gt;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CreateOrEditLgwLupLotUpPlanDto, LgwLupLotUpPlanServiceProxy } from '@shared/service-proxies/service-proxies';
import { BsDatepickerDirective } from 'ngx-bootstrap/datepicker';
@Component({
    selector: 'create-or-edit-lotupplan-modal',
    templateUrl: './create-or-edit-lotupplan-modal.component.html',
    styleUrls: ['./create-or-edit-lotupplan-modal.component.less']
    })
export class CreateOrEditLotUpPlanModalComponent extends AppComponentBase {
    @ViewChild('createOrEditModalLotUpPlan',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CreateOrEditLgwLupLotUpPlanDto = new CreateOrEditLgwLupLotUpPlanDto();
    active: boolean = false;
    saving: boolean = false;
    _isActive: boolean;
    constructor(
        injector: Injector,
        private _mstwptLotUpPlanService: LgwLupLotUpPlanServiceProxy,
    ) 
    {
        super(injector);
    }
    show(rowdata?: CreateOrEditLgwLupLotUpPlanDto): void {
        if (!rowdata) this.rowdata = new CreateOrEditLgwLupLotUpPlanDto();
        else this.rowdata = rowdata;
		const dateValue =  this.rowdata.workingDate ? new Date(this.rowdata.workingDate?.toString()) : new Date();
		this.datepicker?.bsValueChange.emit(dateValue);
		const dateValue =  this.rowdata.unpackingStartDatetime ? new Date(this.rowdata.unpackingStartDatetime?.toString()) : new Date();
		this.datepicker?.bsValueChange.emit(dateValue);
		const dateValue =  this.rowdata.unpackingFinishDatetime ? new Date(this.rowdata.unpackingFinishDatetime?.toString()) : new Date();
		this.datepicker?.bsValueChange.emit(dateValue);
		const dateValue =  this.rowdata.upCalltime ? new Date(this.rowdata.upCalltime?.toString()) : new Date();
		this.datepicker?.bsValueChange.emit(dateValue);
		const dateValue =  this.rowdata.unpackingActualStartDatetime ? new Date(this.rowdata.unpackingActualStartDatetime?.toString()) : new Date();
		this.datepicker?.bsValueChange.emit(dateValue);
		const dateValue =  this.rowdata.unpackingActualFinishDatetime ? new Date(this.rowdata.unpackingActualFinishDatetime?.toString()) : new Date();
		this.datepicker?.bsValueChange.emit(dateValue);
		const dateValue =  this.rowdata.makingFinishDatetime ? new Date(this.rowdata.makingFinishDatetime?.toString()) : new Date();
		this.datepicker?.bsValueChange.emit(dateValue);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this._mstwptLotUpPlanService.createOrEdit(this.rowdata)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LotUpPlanRoutingModule } from './lotupplan-routing.module';
import { LotUpPlanComponent } from './lotupplan.component';
import { CreateOrEditLotUpPlanModalComponent } from './create-or-edit-lotupplan-modal.component';
@NgModule({
    declarations: [
       LotUpPlanComponent, 
        CreateOrEditLotUpPlanModalComponent
    ],
    imports: [
        AppSharedModule, LotUpPlanRoutingModule]
})
export class LotUpPlanModule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LotUpPlanComponent } from './lotupplan.component';
const routes: Routes = [{
    path: '',
    component: LotUpPlanComponent,
    pathMatch: 'full'
}];
@NgModule({
    imports: [RouterModule.forChild(routes)],
    exports: [RouterModule],
})
export class LotUpPlanRoutingModule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AppMenuItem("LotUpPlan", "Pages.LogW.Lup.LotUpPlan", "flaticon-book",   "/app/main/logw/lup/lotupplan"),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'logw/lup/lotupplan',
    loadChildren: () =&gt; import('./logw/lup/lotupplan/lotupplan.module').then(m =&gt; m.LotUpPlanModule),
    data: { permission: 'Pages.LogW.Lup.LotUpPlan' }
},</v>
      </c>
      <c r="R10" s="50" t="str">
        <f>SUBSTITUTE(R9,"MstWptCalendar",$B$6)</f>
        <v>ApiServiceProxies.LgwLupLotUpPlanServiceProxy,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H32</v>
      </c>
      <c r="I12" s="31" t="str">
        <f>"I"&amp;COUNTA($A:$A)</f>
        <v>I32</v>
      </c>
      <c r="J12" s="31"/>
      <c r="K12" s="31" t="str">
        <f>"K"&amp;COUNTA($A:$A)</f>
        <v>K32</v>
      </c>
      <c r="L12" s="31" t="str">
        <f>"L"&amp;COUNTA($A:$A)</f>
        <v>L32</v>
      </c>
      <c r="M12" s="31"/>
      <c r="N12" s="31"/>
      <c r="O12" s="31"/>
      <c r="P12" s="31"/>
      <c r="Q12" s="31"/>
      <c r="R12" s="31"/>
      <c r="S12" s="31" t="str">
        <f>"S"&amp;COUNTA($A:$A)</f>
        <v>S32</v>
      </c>
      <c r="T12" s="31" t="str">
        <f>"T"&amp;COUNTA($A:$A)</f>
        <v>T32</v>
      </c>
      <c r="U12" s="31" t="str">
        <f>"U"&amp;COUNTA($A:$A)</f>
        <v>U32</v>
      </c>
      <c r="V12" s="31" t="str">
        <f>"V"&amp;COUNTA($A:$A)</f>
        <v>V32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this.l('Prod Line'),headerTooltip: this.l('Prod Line'),field: 'prodLine',flex: 1},
			{headerName: this.l('Working Date'),headerTooltip: this.l('Working Date'),field: 'workingDate',valueGetter: (params) =&gt; this.pipe.transform(params.data?.workingDate, 'dd/MM/yyyy'),flex: 1},
			{headerName: this.l('Shift'),headerTooltip: this.l('Shift'),field: 'shift',flex: 1},
			{headerName: this.l('No In Shift'),headerTooltip: this.l('No In Shift'),field: 'noInShift',flex: 1},
			{headerName: this.l('No In Day'),headerTooltip: this.l('No In Day'),field: 'noInDay',flex: 1},
			{headerName: this.l('Lot No'),headerTooltip: this.l('Lot No'),field: 'lotNo',flex: 1},
			{headerName: this.l('Lot Partial No'),headerTooltip: this.l('Lot Partial No'),field: 'lotPartialNo',flex: 1},
			{headerName: this.l('Unpacking Start Datetime'),headerTooltip: this.l('Unpacking Start Datetime'),field: 'unpackingStartDatetime',valueGetter: (params) =&gt; this.pipe.transform(params.data?.unpackingStartDatetime, 'dd/MM/yyyy'),flex: 1},
			{headerName: this.l('Unpacking Finish Datetime'),headerTooltip: this.l('Unpacking Finish Datetime'),field: 'unpackingFinishDatetime',valueGetter: (params) =&gt; this.pipe.transform(params.data?.unpackingFinishDatetime, 'dd/MM/yyyy'),flex: 1},
			{headerName: this.l('Tpm'),headerTooltip: this.l('Tpm'),field: 'tpm',flex: 1},
			{headerName: this.l('Remarks'),headerTooltip: this.l('Remarks'),field: 'remarks',flex: 1},
			{headerName: this.l('Up Calltime'),headerTooltip: this.l('Up Calltime'),field: 'upCalltime',valueGetter: (params) =&gt; this.pipe.transform(params.data?.upCalltime, 'dd/MM/yyyy'),flex: 1},
			{headerName: this.l('Unpacking Actual Start Datetime'),headerTooltip: this.l('Unpacking Actual Start Datetime'),field: 'unpackingActualStartDatetime',valueGetter: (params) =&gt; this.pipe.transform(params.data?.unpackingActualStartDatetime, 'dd/MM/yyyy'),flex: 1},
			{headerName: this.l('Unpacking Actual Finish Datetime'),headerTooltip: this.l('Unpacking Actual Finish Datetime'),field: 'unpackingActualFinishDatetime',valueGetter: (params) =&gt; this.pipe.transform(params.data?.unpackingActualFinishDatetime, 'dd/MM/yyyy'),flex: 1},
			{headerName: this.l('Making Finish Datetime'),headerTooltip: this.l('Making Finish Datetime'),field: 'makingFinishDatetime',valueGetter: (params) =&gt; this.pipe.transform(params.data?.makingFinishDatetime, 'dd/MM/yyyy'),flex: 1},
			{headerName: this.l('Mk Status'),headerTooltip: this.l('Mk Status'),field: 'mkStatus',flex: 1},
			{headerName: this.l('Up Status'),headerTooltip: this.l('Up Status'),field: 'upStatus',flex: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type='text' [placeholder]="l('Unpacking Start Datetime')" [(ngModel)]='unpackingStartDatetime' 
									name='unpackingStartDatetime'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[placeholder]="l('Unpacking Finish Datetime')" [(ngModel)]='unpackingFinishDatetime' 
									name='unpackingFinishDatetime'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[(ngModel)]='tpm' name='tpm'
									class='form-control' [placeholder]="l('Tpm')"
									type='text' (keyup.enter)='searchDatas()'&gt;
								&lt;/div&gt;
								&lt;div class='input-search'&gt;
									&lt;input [(ngModel)]='remarks' name='remarks'
									class='form-control' [placeholder]="l('Remarks')"
									type='text' (keyup.enter)='searchDatas()'&gt;
								&lt;/div&gt;
								&lt;div class='input-search'&gt;
									&lt;input type='text' [placeholder]="l('Up Calltime')" [(ngModel)]='upCalltime' 
									name='upCalltime'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[placeholder]="l('Unpacking Actual Start Datetime')" [(ngModel)]='unpackingActualStartDatetime' 
									name='unpackingActualStartDatetime'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[placeholder]="l('Unpacking Actual Finish Datetime')" [(ngModel)]='unpackingActualFinishDatetime' 
									name='unpackingActualFinishDatetime'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[placeholder]="l('Making Finish Datetime')" [(ngModel)]='makingFinishDatetime' 
									name='makingFinishDatetime'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[(ngModel)]='mkStatus' name='mkStatus'
									class='form-control' [placeholder]="l('Mk Status')"
									type='text' (keyup.enter)='searchDatas()'&gt;
								&lt;/div&gt;
								&lt;div class='input-search'&gt;
									&lt;input [(ngModel)]='upStatus' name='upStatus'
									class='form-control' [placeholder]="l('Up Status')"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title'&gt;No In Shift&lt;/label&gt;
						&lt;input type='number' class='col-md-10 form-control input-text' name='NoInShift' [(ngModel)]='rowdata.noInShift'&gt;
					&lt;/div&gt;
					&lt;div class='col-md-12 form-group row'&gt;
						&lt;label class='col-md-2 form-control title'&gt;No In Day&lt;/label&gt;
						&lt;input type='number' class='col-md-10 form-control input-text' name='NoInDay' [(ngModel)]='rowdata.noInDay'&gt;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title'&gt;Lot Partial No&lt;/label&gt;
						&lt;input type='number' class='col-md-10 form-control input-text' name='LotPartialNo' [(ngModel)]='rowdata.lotPartialNo'&gt;
					&lt;/div&gt;
					&lt;div class='col-md-12 form-group row'&gt;
						&lt;label class='col-md-2 form-control title'&gt;Unpacking Start Datetime&lt;/label&gt;
						&lt;input type='text' class='col-md-10 form-control input-text' name='unpackingStartDatetime' 
						#datepicker='bsDatepicker' [(ngModel)]='rowdata.unpackingStartDatetime'  bsDatepicker &gt;
					&lt;/div&gt;
					&lt;div class='col-md-12 form-group row'&gt;
						&lt;label class='col-md-2 form-control title'&gt;Unpacking Finish Datetime&lt;/label&gt;
						&lt;input type='text' class='col-md-10 form-control input-text' name='unpackingFinishDatetime' 
						#datepicker='bsDatepicker' [(ngModel)]='rowdata.unpackingFinishDatetime'  bsDatepicker &gt;
					&lt;/div&gt;
					&lt;div class='col-md-12 form-group row'&gt;
						&lt;label class='col-md-2 form-control title'&gt;Tpm&lt;/label&gt;
						&lt;input type='text' class='col-md-10 form-control input-text' name='Tpm' [(ngModel)]='rowdata.tpm'&gt;
					&lt;/div&gt;
					&lt;div class='col-md-12 form-group row'&gt;
						&lt;label class='col-md-2 form-control title'&gt;Remarks&lt;/label&gt;
						&lt;input type='text' class='col-md-10 form-control input-text' name='Remarks' [(ngModel)]='rowdata.remarks'&gt;
					&lt;/div&gt;
					&lt;div class='col-md-12 form-group row'&gt;
						&lt;label class='col-md-2 form-control title'&gt;Up Calltime&lt;/label&gt;
						&lt;input type='text' class='col-md-10 form-control input-text' name='upCalltime' 
						#datepicker='bsDatepicker' [(ngModel)]='rowdata.upCalltime'  bsDatepicker &gt;
					&lt;/div&gt;
					&lt;div class='col-md-12 form-group row'&gt;
						&lt;label class='col-md-2 form-control title'&gt;Unpacking Actual Start Datetime&lt;/label&gt;
						&lt;input type='text' class='col-md-10 form-control input-text' name='unpackingActualStartDatetime' 
						#datepicker='bsDatepicker' [(ngModel)]='rowdata.unpackingActualStartDatetime'  bsDatepicker &gt;
					&lt;/div&gt;
					&lt;div class='col-md-12 form-group row'&gt;
						&lt;label class='col-md-2 form-control title'&gt;Unpacking Actual Finish Datetime&lt;/label&gt;
						&lt;input type='text' class='col-md-10 form-control input-text' name='unpackingActualFinishDatetime' 
						#datepicker='bsDatepicker' [(ngModel)]='rowdata.unpackingActualFinishDatetime'  bsDatepicker &gt;
					&lt;/div&gt;
					&lt;div class='col-md-12 form-group row'&gt;
						&lt;label class='col-md-2 form-control title'&gt;Making Finish Datetime&lt;/label&gt;
						&lt;input type='text' class='col-md-10 form-control input-text' name='makingFinishDatetime' 
						#datepicker='bsDatepicker' [(ngModel)]='rowdata.makingFinishDatetime'  bsDatepicker &gt;
					&lt;/div&gt;
					&lt;div class='col-md-12 form-group row'&gt;
						&lt;label class='col-md-2 form-control title'&gt;Mk Status&lt;/label&gt;
						&lt;input type='text' class='col-md-10 form-control input-text' name='MkStatus' [(ngModel)]='rowdata.mkStatus'&gt;
					&lt;/div&gt;
					&lt;div class='col-md-12 form-group row'&gt;
						&lt;label class='col-md-2 form-control title'&gt;Up Status&lt;/label&gt;
						&lt;input type='text' class='col-md-10 form-control input-text' name='UpStatus' [(ngModel)]='rowdata.upStatus'&gt;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 xml:space="preserve">		const dateValue =  this.rowdata.workingDate ? new Date(this.rowdata.workingDate?.toString()) : new Date();
		this.datepicker?.bsValueChange.emit(dateValue);
		const dateValue =  this.rowdata.unpackingStartDatetime ? new Date(this.rowdata.unpackingStartDatetime?.toString()) : new Date();
		this.datepicker?.bsValueChange.emit(dateValue);
		const dateValue =  this.rowdata.unpackingFinishDatetime ? new Date(this.rowdata.unpackingFinishDatetime?.toString()) : new Date();
		this.datepicker?.bsValueChange.emit(dateValue);
		const dateValue =  this.rowdata.upCalltime ? new Date(this.rowdata.upCalltime?.toString()) : new Date();
		this.datepicker?.bsValueChange.emit(dateValue);
		const dateValue =  this.rowdata.unpackingActualStartDatetime ? new Date(this.rowdata.unpackingActualStartDatetime?.toString()) : new Date();
		this.datepicker?.bsValueChange.emit(dateValue);
		const dateValue =  this.rowdata.unpackingActualFinishDatetime ? new Date(this.rowdata.unpackingActualFinishDatetime?.toString()) : new Date();
		this.datepicker?.bsValueChange.emit(dateValue);
		const dateValue =  this.rowdata.makingFinishDatetime ? new Date(this.rowdata.makingFinishDatetime?.toString())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prodLine : string = '' ; 
	workingDate : any ;
	shift : string = '' ; 
	noInShift : number = 0 ;
	noInDay : number = 0 ;
	lotNo : string = '' ; 
	lotPartialNo : number = 0 ;
unpackingStartDatetime : any ;
	unpackingFinishDatetime : any ;
	tpm : string = '' ; 
remarks : string = '' ; 
	upCalltime : any ;
	unpackingActualStartDatetime : any ;
unpackingActualFinishDatetime : any ;
	makingFinishDatetime : any ;
	mkStatus : string = '' ; 
upStatus : string = '' ; 
	isActive : string = '' ; </v>
      </c>
      <c r="T13" s="68" t="str">
        <f ca="1">TEXTJOIN2("
",TRUE,INDIRECT(T11):INDIRECT(T12))</f>
        <v xml:space="preserve">			this.prodLine,
			this.workingDate,
			this.shift,
			this.noInShift,
			this.noInDay,
			this.lotNo,
			this.lotPartialNo,
			this.unpackingStartDatetime,
			this.unpackingFinishDatetime,
			this.tpm,
			this.remarks,
			this.upCalltime,
			this.unpackingActualStartDatetime,
			this.unpackingActualFinishDatetime,
			this.makingFinishDatetime,
			this.mkStatus,
			this.upStatus,
			this.isActive,</v>
      </c>
      <c r="U13" s="68" t="str">
        <f ca="1">TEXTJOIN2("
",TRUE,INDIRECT(U11):INDIRECT(U12))</f>
        <v>this.prodLine = '',
		this.workingDate = '',
		this.shift = '',
		this.noInShift = 0,
		this.noInDay = 0,
		this.lotNo = '',
		this.lotPartialNo = 0,
this.unpackingStartDatetime = '',
		this.unpackingFinishDatetime = '',
		this.tpm = '',
this.remarks = '',
		this.upCalltime = '',
		this.unpackingActualStartDatetime = '',
this.unpackingActualFinishDatetime = '',
		this.makingFinishDatetime = '',
		this.mkStatus = '',
this.upStatus = '',
		this.isActive = '',</v>
      </c>
      <c r="V13" s="31" t="str">
        <f ca="1">TEXTJOIN2("
",TRUE,INDIRECT(V11):INDIRECT(V12))</f>
        <v>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lotupplan.component.ts</v>
      </c>
      <c r="I14" s="40" t="str">
        <f>B8&amp;".component.html"</f>
        <v>lotupplan.component.html</v>
      </c>
      <c r="J14" s="39" t="str">
        <f>B8&amp;".component.less"</f>
        <v>lotupplan.component.less</v>
      </c>
      <c r="K14" s="40" t="str">
        <f>"create-or-edit-"&amp;B8&amp;"-modal.component.html"</f>
        <v>create-or-edit-lotupplan-modal.component.html</v>
      </c>
      <c r="L14" s="40" t="str">
        <f>"create-or-edit-"&amp;B8&amp;"-modal.component.ts"</f>
        <v>create-or-edit-lotupplan-modal.component.ts</v>
      </c>
      <c r="M14" s="40" t="str">
        <f>"create-or-edit-"&amp;B8&amp;"-modal.component.less"</f>
        <v>create-or-edit-lotupplan-modal.component.less</v>
      </c>
      <c r="N14" s="40" t="str">
        <f>B8&amp;".module.ts"</f>
        <v>lotupplan.module.ts</v>
      </c>
      <c r="O14" s="40" t="str">
        <f>B8&amp;"-routing.module.ts"</f>
        <v>lotupplan-routing.module.ts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44" t="s">
        <v>313</v>
      </c>
      <c r="B15" s="31" t="str">
        <f>SUBSTITUTE(PROPER(A15),"_","")</f>
        <v>ProdLine</v>
      </c>
      <c r="C15" s="31" t="str">
        <f>SUBSTITUTE(PROPER(A15),"_"," ")</f>
        <v>Prod Line</v>
      </c>
      <c r="D15" s="31" t="str">
        <f>LOWER(LEFT(B15,1))&amp;RIGHT(B15,LEN(B15) - 1)</f>
        <v>prodLine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this.l('Prod Line'),headerTooltip: this.l('Prod Line'),field: 'prodLine',flex: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[(ngModel)]='prodLine' name='prodLine'
									class='form-control' [placeholder]="l('Prod Line')"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prodLine : string = '' ; </v>
      </c>
      <c r="T15" s="31" t="str">
        <f>REPT(CHAR(9),3)&amp;"this."&amp;D15&amp;","</f>
        <v xml:space="preserve">			this.prodLine,</v>
      </c>
      <c r="U15" s="31" t="str">
        <f>IF(E15="int","this."&amp;D15&amp;" = 0,","this."&amp;D15&amp;" = '',")</f>
        <v>this.prodLine = '',</v>
      </c>
      <c r="V15" s="31" t="str">
        <f>IF(AND(E15="string",F15="1"),D15,"")</f>
        <v/>
      </c>
    </row>
    <row r="16" spans="1:22" ht="15" customHeight="1" x14ac:dyDescent="0.25">
      <c r="A16" s="44" t="s">
        <v>314</v>
      </c>
      <c r="B16" s="31" t="str">
        <f t="shared" ref="B16:B17" si="0">SUBSTITUTE(PROPER(A16),"_","")</f>
        <v>WorkingDate</v>
      </c>
      <c r="C16" s="31" t="str">
        <f t="shared" ref="C16:C17" si="1">SUBSTITUTE(PROPER(A16),"_"," ")</f>
        <v>Working Date</v>
      </c>
      <c r="D16" s="31" t="str">
        <f t="shared" ref="D16:D17" si="2">LOWER(LEFT(B16,1))&amp;RIGHT(B16,LEN(B16) - 1)</f>
        <v>workingDate</v>
      </c>
      <c r="E16" s="31" t="str">
        <f>A.Backend!H10</f>
        <v>DateTime</v>
      </c>
      <c r="F16" s="31" t="str">
        <f>A.Backend!G10</f>
        <v/>
      </c>
      <c r="G16" s="31" t="str">
        <f t="shared" ref="G16:G24" si="3">IF(E16="string"," : string = '' ; ",IF(OR(E16="DateTime",E16="TimeSpan")," : any ;",IF(E16="int"," : number = 0 ;","")))</f>
        <v xml:space="preserve"> : any ;</v>
      </c>
      <c r="H16" s="38" t="str">
        <f t="shared" ref="H16:H24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this.l('Working Date'),headerTooltip: this.l('Working Date'),field: 'workingDate',valueGetter: (params) =&gt; this.pipe.transform(params.data?.workingDate, 'dd/MM/yyyy'),flex: 1},</v>
      </c>
      <c r="I16" s="38" t="str">
        <f t="shared" ref="I16:I24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</v>
      </c>
      <c r="J16" s="31"/>
      <c r="K16" s="38" t="str">
        <f t="shared" ref="K16:K24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</v>
      </c>
      <c r="L16" s="60" t="str">
        <f t="shared" ref="L16:L24" si="7">IF(E16="DateTime",
REPT(CHAR(9),2)&amp;"const dateValue =  this.rowdata."&amp;D16&amp;" ? new Date(this.rowdata."&amp;D16&amp;"?.toString()) : new Date();
"&amp;REPT(CHAR(9),2)&amp;"this.datepicker?.bsValueChange.emit(dateValue);","")</f>
        <v xml:space="preserve">		const dateValue =  this.rowdata.workingDate ? new Date(this.rowdata.workingDate?.toString()) : new Date();
		this.datepicker?.bsValueChange.emit(dateValue);</v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workingDate : any ;</v>
      </c>
      <c r="T16" s="31" t="str">
        <f>REPT(CHAR(9),3)&amp;"this."&amp;D16&amp;","</f>
        <v xml:space="preserve">			this.workingDate,</v>
      </c>
      <c r="U16" s="31" t="str">
        <f>IF(E16="int",REPT(CHAR(9),2)&amp;"this."&amp;D16&amp;" = 0,",REPT(CHAR(9),2)&amp;"this."&amp;D16&amp;" = '',")</f>
        <v xml:space="preserve">		this.workingDate = '',</v>
      </c>
      <c r="V16" s="31" t="str">
        <f t="shared" ref="V16:V24" si="8">IF(AND(E16="string",F16="1"),D16,"")</f>
        <v/>
      </c>
    </row>
    <row r="17" spans="1:22" ht="18" customHeight="1" x14ac:dyDescent="0.25">
      <c r="A17" s="44" t="s">
        <v>315</v>
      </c>
      <c r="B17" s="31" t="str">
        <f t="shared" si="0"/>
        <v>Shift</v>
      </c>
      <c r="C17" s="31" t="str">
        <f t="shared" si="1"/>
        <v>Shift</v>
      </c>
      <c r="D17" s="31" t="str">
        <f t="shared" si="2"/>
        <v>shift</v>
      </c>
      <c r="E17" s="31" t="str">
        <f>A.Backend!H11</f>
        <v>string</v>
      </c>
      <c r="F17" s="31" t="str">
        <f>A.Backend!G11</f>
        <v>50</v>
      </c>
      <c r="G17" s="31" t="str">
        <f t="shared" si="3"/>
        <v xml:space="preserve"> : string = '' ; </v>
      </c>
      <c r="H17" s="38" t="str">
        <f t="shared" si="4"/>
        <v xml:space="preserve">			{headerName: this.l('Shift'),headerTooltip: this.l('Shift'),field: 'shift',flex: 1},</v>
      </c>
      <c r="I17" s="38" t="str">
        <f t="shared" si="5"/>
        <v xml:space="preserve">								&lt;div class='input-search'&gt;
									&lt;input [(ngModel)]='shift' name='shift'
									class='form-control' [placeholder]="l('Shift')"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title'&gt;Shift&lt;/label&gt;
						&lt;input type='text' class='col-md-10 form-control input-text' name='Shift' [(ngModel)]='rowdata.shift'&gt;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24" si="9">REPT(CHAR(9),1)&amp;D17&amp;G17</f>
        <v xml:space="preserve">	shift : string = '' ; </v>
      </c>
      <c r="T17" s="31" t="str">
        <f t="shared" ref="T17:T24" si="10">REPT(CHAR(9),3)&amp;"this."&amp;D17&amp;","</f>
        <v xml:space="preserve">			this.shift,</v>
      </c>
      <c r="U17" s="31" t="str">
        <f t="shared" ref="U17:U24" si="11">IF(E17="int",REPT(CHAR(9),2)&amp;"this."&amp;D17&amp;" = 0,",REPT(CHAR(9),2)&amp;"this."&amp;D17&amp;" = '',")</f>
        <v xml:space="preserve">		this.shift = '',</v>
      </c>
      <c r="V17" s="31" t="str">
        <f t="shared" si="8"/>
        <v/>
      </c>
    </row>
    <row r="18" spans="1:22" ht="18" customHeight="1" x14ac:dyDescent="0.25">
      <c r="A18" s="44" t="s">
        <v>316</v>
      </c>
      <c r="B18" s="31" t="str">
        <f>SUBSTITUTE(PROPER(A18),"_","")</f>
        <v>NoInShift</v>
      </c>
      <c r="C18" s="31" t="str">
        <f>SUBSTITUTE(PROPER(A18),"_"," ")</f>
        <v>No In Shift</v>
      </c>
      <c r="D18" s="31" t="str">
        <f>LOWER(LEFT(B18,1))&amp;RIGHT(B18,LEN(B18) - 1)</f>
        <v>noInShift</v>
      </c>
      <c r="E18" s="31" t="str">
        <f>A.Backend!H12</f>
        <v>int</v>
      </c>
      <c r="F18" s="31" t="str">
        <f>A.Backend!G12</f>
        <v/>
      </c>
      <c r="G18" s="31" t="str">
        <f t="shared" ref="G18:G19" si="12">IF(E18="string"," : string = '' ; ",IF(OR(E18="DateTime",E18="TimeSpan")," : any ;",IF(E18="int"," : number = 0 ;","")))</f>
        <v xml:space="preserve"> : number = 0 ;</v>
      </c>
      <c r="H18" s="38" t="str">
        <f t="shared" ref="H18:H19" si="13">IF(E18="DateTime",
REPT(CHAR(9),3)&amp;"{headerName: this.l('"&amp;C18&amp;"'),headerTooltip: this.l('"&amp;C18&amp;"'),field: '"&amp;D18&amp;"',valueGetter: (params) =&gt; this.pipe.transform(params.data?."&amp;D18&amp;", 'dd/MM/yyyy'),flex: 1},",
IF(AND(E18="string",F18="1"),
REPT(CHAR(9),3)&amp;"{headerName: this.l('"&amp;C18&amp;"'),headerTooltip: this.l('"&amp;C18&amp;"'),field:  '"&amp;D18&amp;"', cellClass: ['text-center'], width: 120, cellRenderer: 'agCellButtonComponent',
buttonDefTwo: { text: params =&gt; (params.data?.'"&amp;D18&amp;"' == 'Y') ? 'Active' : 'Inactive',iconName: 'fa fa-circle',className: params =&gt; (params.data?.'"&amp;D18&amp;"' == 'Y') ? 'btnActive' : 'btnInActive',},}",
REPT(CHAR(9),3)&amp;"{headerName: this.l('"&amp;C18&amp;"'),headerTooltip: this.l('"&amp;C18&amp;"'),field: '"&amp;D18&amp;"',flex: 1},"))</f>
        <v xml:space="preserve">			{headerName: this.l('No In Shift'),headerTooltip: this.l('No In Shift'),field: 'noInShift',flex: 1},</v>
      </c>
      <c r="I18" s="38" t="str">
        <f t="shared" ref="I18:I19" si="14">IF(E18="DateTime",
REPT(CHAR(9),8)&amp;"&lt;div class='input-search'&gt;
"&amp;REPT(CHAR(9),9)&amp;"&lt;input type='text' [placeholder]=""l('"&amp;C18&amp;"')"" [(ngModel)]='"&amp;D18&amp;"' 
"&amp;REPT(CHAR(9),9)&amp;"name='"&amp;D18&amp;"'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IF(E18="string",
REPT(CHAR(9),8)&amp;"&lt;div class='input-search'&gt;
"&amp;REPT(CHAR(9),9)&amp;"&lt;input [(ngModel)]='"&amp;D18&amp;"' name='"&amp;D18&amp;"'
"&amp;REPT(CHAR(9),9)&amp;"class='form-control' [placeholder]=""l('"&amp;C18&amp;"')""
"&amp;REPT(CHAR(9),9)&amp;"type='text' (keyup.enter)='searchDatas()'&gt;
"&amp;REPT(CHAR(9),8)&amp;"&lt;/div&gt;",""))</f>
        <v/>
      </c>
      <c r="J18" s="31"/>
      <c r="K18" s="38" t="str">
        <f t="shared" ref="K18:K19" si="15">IF(OR(E18="DateTime",E18="TimeSpan"),
REPT(CHAR(9),5)&amp;"&lt;div class='col-md-12 form-group row'&gt;
"&amp;REPT(CHAR(9),6)&amp;"&lt;label class='col-md-2 form-control title'&gt;"&amp;C18&amp;"&lt;/label&gt;
"&amp;REPT(CHAR(9),6)&amp;"&lt;input type='text' class='col-md-10 form-control input-text' name='"&amp;D18&amp;"' 
"&amp;REPT(CHAR(9),6)&amp;"#datepicker='bsDatepicker' [(ngModel)]='rowdata."&amp;D18&amp;"'  bsDatepicker &gt;
"&amp;REPT(CHAR(9),5)&amp;"&lt;/div&gt;",
IF(AND(E18="string",F18="1"),
REPT(CHAR(9),5)&amp;"&lt;div class='col-md-12 form-group row'&gt;
"&amp;REPT(CHAR(9),6)&amp;"&lt;label class='col-md-2 form-control title'&gt;"&amp;C18&amp;"&lt;/label&gt;
"&amp;REPT(CHAR(9),6)&amp;"&lt;new-checkbox [(ngModel)]='_"&amp;D18&amp;"' name='"&amp;D18&amp;"' className='col-md-10' &gt; &lt;/new-checkbox&gt;
"&amp;REPT(CHAR(9),5)&amp;"&lt;/div&gt;",
IF(E18="string",
REPT(CHAR(9),5)&amp;"&lt;div class='col-md-12 form-group row'&gt;
"&amp;REPT(CHAR(9),6)&amp;"&lt;label class='col-md-2 form-control title'&gt;"&amp;C18&amp;"&lt;/label&gt;
"&amp;REPT(CHAR(9),6)&amp;"&lt;input type='text' class='col-md-10 form-control input-text' name='"&amp;B18&amp;"' [(ngModel)]='rowdata."&amp;D18&amp;"'&gt;
"&amp;REPT(CHAR(9),5)&amp;"&lt;/div&gt;",
IF(E18="int",
REPT(CHAR(9),5)&amp;"&lt;div class='col-md-12 form-group row'&gt;
"&amp;REPT(CHAR(9),6)&amp;"&lt;label class='col-md-2 form-control title'&gt;"&amp;C18&amp;"&lt;/label&gt;
"&amp;REPT(CHAR(9),6)&amp;"&lt;input type='number' class='col-md-10 form-control input-text' name='"&amp;B18&amp;"' [(ngModel)]='rowdata."&amp;D18&amp;"'&gt;
"&amp;REPT(CHAR(9),5)&amp;"&lt;/div&gt;",""))))</f>
        <v xml:space="preserve">					&lt;div class='col-md-12 form-group row'&gt;
						&lt;label class='col-md-2 form-control title'&gt;No In Shift&lt;/label&gt;
						&lt;input type='number' class='col-md-10 form-control input-text' name='NoInShift' [(ngModel)]='rowdata.noInShift'&gt;
					&lt;/div&gt;</v>
      </c>
      <c r="L18" s="60" t="str">
        <f t="shared" ref="L18:L19" si="16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31"/>
      <c r="N18" s="31"/>
      <c r="O18" s="31"/>
      <c r="P18" s="31"/>
      <c r="Q18" s="31"/>
      <c r="R18" s="31"/>
      <c r="S18" s="31" t="str">
        <f t="shared" ref="S18:S19" si="17">REPT(CHAR(9),1)&amp;D18&amp;G18</f>
        <v xml:space="preserve">	noInShift : number = 0 ;</v>
      </c>
      <c r="T18" s="31" t="str">
        <f t="shared" ref="T18:T19" si="18">REPT(CHAR(9),3)&amp;"this."&amp;D18&amp;","</f>
        <v xml:space="preserve">			this.noInShift,</v>
      </c>
      <c r="U18" s="31" t="str">
        <f t="shared" ref="U18:U19" si="19">IF(E18="int",REPT(CHAR(9),2)&amp;"this."&amp;D18&amp;" = 0,",REPT(CHAR(9),2)&amp;"this."&amp;D18&amp;" = '',")</f>
        <v xml:space="preserve">		this.noInShift = 0,</v>
      </c>
      <c r="V18" s="31" t="str">
        <f t="shared" ref="V18:V19" si="20">IF(AND(E18="string",F18="1"),D18,"")</f>
        <v/>
      </c>
    </row>
    <row r="19" spans="1:22" ht="15" customHeight="1" x14ac:dyDescent="0.25">
      <c r="A19" s="44" t="s">
        <v>317</v>
      </c>
      <c r="B19" s="31" t="str">
        <f t="shared" ref="B19" si="21">SUBSTITUTE(PROPER(A19),"_","")</f>
        <v>NoInDay</v>
      </c>
      <c r="C19" s="31" t="str">
        <f t="shared" ref="C19" si="22">SUBSTITUTE(PROPER(A19),"_"," ")</f>
        <v>No In Day</v>
      </c>
      <c r="D19" s="31" t="str">
        <f t="shared" ref="D19" si="23">LOWER(LEFT(B19,1))&amp;RIGHT(B19,LEN(B19) - 1)</f>
        <v>noInDay</v>
      </c>
      <c r="E19" s="31" t="str">
        <f>A.Backend!H13</f>
        <v>int</v>
      </c>
      <c r="F19" s="31" t="str">
        <f>A.Backend!G13</f>
        <v/>
      </c>
      <c r="G19" s="31" t="str">
        <f t="shared" si="12"/>
        <v xml:space="preserve"> : number = 0 ;</v>
      </c>
      <c r="H19" s="38" t="str">
        <f t="shared" si="13"/>
        <v xml:space="preserve">			{headerName: this.l('No In Day'),headerTooltip: this.l('No In Day'),field: 'noInDay',flex: 1},</v>
      </c>
      <c r="I19" s="38" t="str">
        <f t="shared" si="14"/>
        <v/>
      </c>
      <c r="J19" s="31"/>
      <c r="K19" s="38" t="str">
        <f t="shared" si="15"/>
        <v xml:space="preserve">					&lt;div class='col-md-12 form-group row'&gt;
						&lt;label class='col-md-2 form-control title'&gt;No In Day&lt;/label&gt;
						&lt;input type='number' class='col-md-10 form-control input-text' name='NoInDay' [(ngModel)]='rowdata.noInDay'&gt;
					&lt;/div&gt;</v>
      </c>
      <c r="L19" s="60" t="str">
        <f t="shared" si="16"/>
        <v/>
      </c>
      <c r="M19" s="31"/>
      <c r="N19" s="31"/>
      <c r="O19" s="31"/>
      <c r="P19" s="31"/>
      <c r="Q19" s="31"/>
      <c r="R19" s="31"/>
      <c r="S19" s="31" t="str">
        <f t="shared" si="17"/>
        <v xml:space="preserve">	noInDay : number = 0 ;</v>
      </c>
      <c r="T19" s="31" t="str">
        <f t="shared" si="18"/>
        <v xml:space="preserve">			this.noInDay,</v>
      </c>
      <c r="U19" s="31" t="str">
        <f t="shared" si="19"/>
        <v xml:space="preserve">		this.noInDay = 0,</v>
      </c>
      <c r="V19" s="31" t="str">
        <f t="shared" si="20"/>
        <v/>
      </c>
    </row>
    <row r="20" spans="1:22" ht="18" customHeight="1" x14ac:dyDescent="0.25">
      <c r="A20" s="44" t="s">
        <v>318</v>
      </c>
      <c r="B20" s="31" t="str">
        <f>SUBSTITUTE(PROPER(A20),"_","")</f>
        <v>LotNo</v>
      </c>
      <c r="C20" s="31" t="str">
        <f>SUBSTITUTE(PROPER(A20),"_"," ")</f>
        <v>Lot No</v>
      </c>
      <c r="D20" s="31" t="str">
        <f>LOWER(LEFT(B20,1))&amp;RIGHT(B20,LEN(B20) - 1)</f>
        <v>lotNo</v>
      </c>
      <c r="E20" s="31" t="str">
        <f>A.Backend!H14</f>
        <v>string</v>
      </c>
      <c r="F20" s="31" t="str">
        <f>A.Backend!G14</f>
        <v>20</v>
      </c>
      <c r="G20" s="31" t="str">
        <f t="shared" ref="G20:G21" si="24">IF(E20="string"," : string = '' ; ",IF(OR(E20="DateTime",E20="TimeSpan")," : any ;",IF(E20="int"," : number = 0 ;","")))</f>
        <v xml:space="preserve"> : string = '' ; </v>
      </c>
      <c r="H20" s="38" t="str">
        <f t="shared" ref="H20:H21" si="25"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this.l('Lot No'),headerTooltip: this.l('Lot No'),field: 'lotNo',flex: 1},</v>
      </c>
      <c r="I20" s="38" t="str">
        <f t="shared" ref="I20:I21" si="26"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[(ngModel)]='lotNo' name='lotNo'
									class='form-control' [placeholder]="l('Lot No')"
									type='text' (keyup.enter)='searchDatas()'&gt;
								&lt;/div&gt;</v>
      </c>
      <c r="J20" s="31"/>
      <c r="K20" s="38" t="str">
        <f t="shared" ref="K20:K21" si="27"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title'&gt;Lot No&lt;/label&gt;
						&lt;input type='text' class='col-md-10 form-control input-text' name='LotNo' [(ngModel)]='rowdata.lotNo'&gt;
					&lt;/div&gt;</v>
      </c>
      <c r="L20" s="60" t="str">
        <f t="shared" ref="L20:L21" si="28"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31"/>
      <c r="N20" s="31"/>
      <c r="O20" s="31"/>
      <c r="P20" s="31"/>
      <c r="Q20" s="31"/>
      <c r="R20" s="31"/>
      <c r="S20" s="31" t="str">
        <f t="shared" ref="S20:S21" si="29">REPT(CHAR(9),1)&amp;D20&amp;G20</f>
        <v xml:space="preserve">	lotNo : string = '' ; </v>
      </c>
      <c r="T20" s="31" t="str">
        <f t="shared" ref="T20:T21" si="30">REPT(CHAR(9),3)&amp;"this."&amp;D20&amp;","</f>
        <v xml:space="preserve">			this.lotNo,</v>
      </c>
      <c r="U20" s="31" t="str">
        <f t="shared" ref="U20:U21" si="31">IF(E20="int",REPT(CHAR(9),2)&amp;"this."&amp;D20&amp;" = 0,",REPT(CHAR(9),2)&amp;"this."&amp;D20&amp;" = '',")</f>
        <v xml:space="preserve">		this.lotNo = '',</v>
      </c>
      <c r="V20" s="31" t="str">
        <f t="shared" ref="V20:V21" si="32">IF(AND(E20="string",F20="1"),D20,"")</f>
        <v/>
      </c>
    </row>
    <row r="21" spans="1:22" ht="15" customHeight="1" x14ac:dyDescent="0.25">
      <c r="A21" s="44" t="s">
        <v>320</v>
      </c>
      <c r="B21" s="31" t="str">
        <f t="shared" ref="B21" si="33">SUBSTITUTE(PROPER(A21),"_","")</f>
        <v>LotPartialNo</v>
      </c>
      <c r="C21" s="31" t="str">
        <f t="shared" ref="C21" si="34">SUBSTITUTE(PROPER(A21),"_"," ")</f>
        <v>Lot Partial No</v>
      </c>
      <c r="D21" s="31" t="str">
        <f t="shared" ref="D21" si="35">LOWER(LEFT(B21,1))&amp;RIGHT(B21,LEN(B21) - 1)</f>
        <v>lotPartialNo</v>
      </c>
      <c r="E21" s="31" t="str">
        <f>A.Backend!H15</f>
        <v>int</v>
      </c>
      <c r="F21" s="31" t="str">
        <f>A.Backend!G15</f>
        <v/>
      </c>
      <c r="G21" s="31" t="str">
        <f t="shared" si="24"/>
        <v xml:space="preserve"> : number = 0 ;</v>
      </c>
      <c r="H21" s="38" t="str">
        <f t="shared" si="25"/>
        <v xml:space="preserve">			{headerName: this.l('Lot Partial No'),headerTooltip: this.l('Lot Partial No'),field: 'lotPartialNo',flex: 1},</v>
      </c>
      <c r="I21" s="38" t="str">
        <f t="shared" si="26"/>
        <v/>
      </c>
      <c r="J21" s="31"/>
      <c r="K21" s="38" t="str">
        <f t="shared" si="27"/>
        <v xml:space="preserve">					&lt;div class='col-md-12 form-group row'&gt;
						&lt;label class='col-md-2 form-control title'&gt;Lot Partial No&lt;/label&gt;
						&lt;input type='number' class='col-md-10 form-control input-text' name='LotPartialNo' [(ngModel)]='rowdata.lotPartialNo'&gt;
					&lt;/div&gt;</v>
      </c>
      <c r="L21" s="60" t="str">
        <f t="shared" si="28"/>
        <v/>
      </c>
      <c r="M21" s="31"/>
      <c r="N21" s="31"/>
      <c r="O21" s="31"/>
      <c r="P21" s="31"/>
      <c r="Q21" s="31"/>
      <c r="R21" s="31"/>
      <c r="S21" s="31" t="str">
        <f t="shared" si="29"/>
        <v xml:space="preserve">	lotPartialNo : number = 0 ;</v>
      </c>
      <c r="T21" s="31" t="str">
        <f t="shared" si="30"/>
        <v xml:space="preserve">			this.lotPartialNo,</v>
      </c>
      <c r="U21" s="31" t="str">
        <f t="shared" si="31"/>
        <v xml:space="preserve">		this.lotPartialNo = 0,</v>
      </c>
      <c r="V21" s="31" t="str">
        <f t="shared" si="32"/>
        <v/>
      </c>
    </row>
    <row r="22" spans="1:22" ht="18" customHeight="1" x14ac:dyDescent="0.25">
      <c r="A22" s="44" t="s">
        <v>321</v>
      </c>
      <c r="B22" s="31" t="str">
        <f>SUBSTITUTE(PROPER(A22),"_","")</f>
        <v>UnpackingStartDatetime</v>
      </c>
      <c r="C22" s="31" t="str">
        <f>SUBSTITUTE(PROPER(A22),"_"," ")</f>
        <v>Unpacking Start Datetime</v>
      </c>
      <c r="D22" s="31" t="str">
        <f>LOWER(LEFT(B22,1))&amp;RIGHT(B22,LEN(B22) - 1)</f>
        <v>unpackingStartDatetime</v>
      </c>
      <c r="E22" s="31" t="str">
        <f>A.Backend!H16</f>
        <v>DateTime</v>
      </c>
      <c r="F22" s="31" t="str">
        <f>A.Backend!G16</f>
        <v>7</v>
      </c>
      <c r="G22" s="31" t="str">
        <f>IF(E22="string"," : string = '' ; ",IF(OR(E22="DateTime",E22="TimeSpan")," : any ;",IF(E22="int"," : number = 0 ;","")))</f>
        <v xml:space="preserve"> : any ;</v>
      </c>
      <c r="H22" s="38" t="str">
        <f>IF(E22="DateTime",
REPT(CHAR(9),3)&amp;"{headerName: this.l('"&amp;C22&amp;"'),headerTooltip: this.l('"&amp;C22&amp;"'),field: '"&amp;D22&amp;"',valueGetter: (params) =&gt; this.pipe.transform(params.data?."&amp;D22&amp;", 'dd/MM/yyyy'),flex: 1},",
IF(AND(E22="string",F22="1"),
REPT(CHAR(9),3)&amp;"{headerName: this.l('"&amp;C22&amp;"'),headerTooltip: this.l('"&amp;C22&amp;"'),field:  '"&amp;D22&amp;"', cellClass: ['text-center'], width: 120, cellRenderer: 'agCellButtonComponent',
buttonDefTwo: { text: params =&gt; (params.data?.'"&amp;D22&amp;"' == 'Y') ? 'Active' : 'Inactive',iconName: 'fa fa-circle',className: params =&gt; (params.data?.'"&amp;D22&amp;"' == 'Y') ? 'btnActive' : 'btnInActive',},}",
REPT(CHAR(9),3)&amp;"{headerName: this.l('"&amp;C22&amp;"'),headerTooltip: this.l('"&amp;C22&amp;"'),field: '"&amp;D22&amp;"',flex: 1},"))</f>
        <v xml:space="preserve">			{headerName: this.l('Unpacking Start Datetime'),headerTooltip: this.l('Unpacking Start Datetime'),field: 'unpackingStartDatetime',valueGetter: (params) =&gt; this.pipe.transform(params.data?.unpackingStartDatetime, 'dd/MM/yyyy'),flex: 1},</v>
      </c>
      <c r="I22" s="38" t="str">
        <f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IF(E22="string",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 xml:space="preserve">								&lt;div class='input-search'&gt;
									&lt;input type='text' [placeholder]="l('Unpacking Start Datetime')" [(ngModel)]='unpackingStartDatetime' 
									name='unpackingStartDatetime' (keydown)='searchDatas()' class='form-control' 
									bsDatepicker #d='bsDatepicker' placement='bottom left'&gt;
									&lt;i class='fa fa-calendar-alt' (click)='d.toggle()'&gt;&lt;/i&gt;
								&lt;/div&gt;</v>
      </c>
      <c r="J22" s="31"/>
      <c r="K22" s="38" t="str">
        <f>IF(OR(E22="DateTime",E22="TimeSpan"),
REPT(CHAR(9),5)&amp;"&lt;div class='col-md-12 form-group row'&gt;
"&amp;REPT(CHAR(9),6)&amp;"&lt;label class='col-md-2 form-control title'&gt;"&amp;C22&amp;"&lt;/label&gt;
"&amp;REPT(CHAR(9),6)&amp;"&lt;input type='text' class='col-md-10 form-control input-text' name='"&amp;D22&amp;"' 
"&amp;REPT(CHAR(9),6)&amp;"#datepicker='bsDatepicker' [(ngModel)]='rowdata."&amp;D22&amp;"'  bsDatepicker &gt;
"&amp;REPT(CHAR(9),5)&amp;"&lt;/div&gt;",
IF(AND(E22="string",F22="1"),
REPT(CHAR(9),5)&amp;"&lt;div class='col-md-12 form-group row'&gt;
"&amp;REPT(CHAR(9),6)&amp;"&lt;label class='col-md-2 form-control title'&gt;"&amp;C22&amp;"&lt;/label&gt;
"&amp;REPT(CHAR(9),6)&amp;"&lt;new-checkbox [(ngModel)]='_"&amp;D22&amp;"' name='"&amp;D22&amp;"' className='col-md-10' &gt; &lt;/new-checkbox&gt;
"&amp;REPT(CHAR(9),5)&amp;"&lt;/div&gt;",
IF(E22="string",
REPT(CHAR(9),5)&amp;"&lt;div class='col-md-12 form-group row'&gt;
"&amp;REPT(CHAR(9),6)&amp;"&lt;label class='col-md-2 form-control title'&gt;"&amp;C22&amp;"&lt;/label&gt;
"&amp;REPT(CHAR(9),6)&amp;"&lt;input type='text' class='col-md-10 form-control input-text' name='"&amp;B22&amp;"' [(ngModel)]='rowdata."&amp;D22&amp;"'&gt;
"&amp;REPT(CHAR(9),5)&amp;"&lt;/div&gt;",
IF(E22="int",
REPT(CHAR(9),5)&amp;"&lt;div class='col-md-12 form-group row'&gt;
"&amp;REPT(CHAR(9),6)&amp;"&lt;label class='col-md-2 form-control title'&gt;"&amp;C22&amp;"&lt;/label&gt;
"&amp;REPT(CHAR(9),6)&amp;"&lt;input type='number' class='col-md-10 form-control input-text' name='"&amp;B22&amp;"' [(ngModel)]='rowdata."&amp;D22&amp;"'&gt;
"&amp;REPT(CHAR(9),5)&amp;"&lt;/div&gt;",""))))</f>
        <v xml:space="preserve">					&lt;div class='col-md-12 form-group row'&gt;
						&lt;label class='col-md-2 form-control title'&gt;Unpacking Start Datetime&lt;/label&gt;
						&lt;input type='text' class='col-md-10 form-control input-text' name='unpackingStartDatetime' 
						#datepicker='bsDatepicker' [(ngModel)]='rowdata.unpackingStartDatetime'  bsDatepicker &gt;
					&lt;/div&gt;</v>
      </c>
      <c r="L22" s="60" t="str">
        <f>IF(E22="DateTime",
REPT(CHAR(9),2)&amp;"const dateValue =  this.rowdata."&amp;D22&amp;" ? new Date(this.rowdata."&amp;D22&amp;"?.toString()) : new Date();
"&amp;REPT(CHAR(9),2)&amp;"this.datepicker?.bsValueChange.emit(dateValue);","")</f>
        <v xml:space="preserve">		const dateValue =  this.rowdata.unpackingStartDatetime ? new Date(this.rowdata.unpackingStartDatetime?.toString()) : new Date();
		this.datepicker?.bsValueChange.emit(dateValue);</v>
      </c>
      <c r="M22" s="31"/>
      <c r="N22" s="31"/>
      <c r="O22" s="31"/>
      <c r="P22" s="31"/>
      <c r="Q22" s="31"/>
      <c r="R22" s="31"/>
      <c r="S22" s="31" t="str">
        <f>D22&amp;G22</f>
        <v>unpackingStartDatetime : any ;</v>
      </c>
      <c r="T22" s="31" t="str">
        <f>REPT(CHAR(9),3)&amp;"this."&amp;D22&amp;","</f>
        <v xml:space="preserve">			this.unpackingStartDatetime,</v>
      </c>
      <c r="U22" s="31" t="str">
        <f>IF(E22="int","this."&amp;D22&amp;" = 0,","this."&amp;D22&amp;" = '',")</f>
        <v>this.unpackingStartDatetime = '',</v>
      </c>
      <c r="V22" s="31" t="str">
        <f>IF(AND(E22="string",F22="1"),D22,"")</f>
        <v/>
      </c>
    </row>
    <row r="23" spans="1:22" ht="18" customHeight="1" x14ac:dyDescent="0.25">
      <c r="A23" s="44" t="s">
        <v>322</v>
      </c>
      <c r="B23" s="31" t="str">
        <f>SUBSTITUTE(PROPER(A23),"_","")</f>
        <v>UnpackingFinishDatetime</v>
      </c>
      <c r="C23" s="31" t="str">
        <f>SUBSTITUTE(PROPER(A23),"_"," ")</f>
        <v>Unpacking Finish Datetime</v>
      </c>
      <c r="D23" s="31" t="str">
        <f>LOWER(LEFT(B23,1))&amp;RIGHT(B23,LEN(B23) - 1)</f>
        <v>unpackingFinishDatetime</v>
      </c>
      <c r="E23" s="31" t="str">
        <f>A.Backend!H17</f>
        <v>DateTime</v>
      </c>
      <c r="F23" s="31" t="str">
        <f>A.Backend!G17</f>
        <v>7</v>
      </c>
      <c r="G23" s="31" t="str">
        <f t="shared" si="3"/>
        <v xml:space="preserve"> : any ;</v>
      </c>
      <c r="H23" s="38" t="str">
        <f t="shared" si="4"/>
        <v xml:space="preserve">			{headerName: this.l('Unpacking Finish Datetime'),headerTooltip: this.l('Unpacking Finish Datetime'),field: 'unpackingFinishDatetime',valueGetter: (params) =&gt; this.pipe.transform(params.data?.unpackingFinishDatetime, 'dd/MM/yyyy'),flex: 1},</v>
      </c>
      <c r="I23" s="38" t="str">
        <f t="shared" si="5"/>
        <v xml:space="preserve">								&lt;div class='input-search'&gt;
									&lt;input type='text' [placeholder]="l('Unpacking Finish Datetime')" [(ngModel)]='unpackingFinishDatetime' 
									name='unpackingFinishDatetime' (keydown)='searchDatas()' class='form-control' 
									bsDatepicker #d='bsDatepicker' placement='bottom left'&gt;
									&lt;i class='fa fa-calendar-alt' (click)='d.toggle()'&gt;&lt;/i&gt;
								&lt;/div&gt;</v>
      </c>
      <c r="J23" s="31"/>
      <c r="K23" s="38" t="str">
        <f t="shared" si="6"/>
        <v xml:space="preserve">					&lt;div class='col-md-12 form-group row'&gt;
						&lt;label class='col-md-2 form-control title'&gt;Unpacking Finish Datetime&lt;/label&gt;
						&lt;input type='text' class='col-md-10 form-control input-text' name='unpackingFinishDatetime' 
						#datepicker='bsDatepicker' [(ngModel)]='rowdata.unpackingFinishDatetime'  bsDatepicker &gt;
					&lt;/div&gt;</v>
      </c>
      <c r="L23" s="60" t="str">
        <f t="shared" si="7"/>
        <v xml:space="preserve">		const dateValue =  this.rowdata.unpackingFinishDatetime ? new Date(this.rowdata.unpackingFinishDatetime?.toString()) : new Date();
		this.datepicker?.bsValueChange.emit(dateValue);</v>
      </c>
      <c r="M23" s="31"/>
      <c r="N23" s="31"/>
      <c r="O23" s="31"/>
      <c r="P23" s="31"/>
      <c r="Q23" s="31"/>
      <c r="R23" s="31"/>
      <c r="S23" s="31" t="str">
        <f t="shared" si="9"/>
        <v xml:space="preserve">	unpackingFinishDatetime : any ;</v>
      </c>
      <c r="T23" s="31" t="str">
        <f t="shared" si="10"/>
        <v xml:space="preserve">			this.unpackingFinishDatetime,</v>
      </c>
      <c r="U23" s="31" t="str">
        <f t="shared" si="11"/>
        <v xml:space="preserve">		this.unpackingFinishDatetime = '',</v>
      </c>
      <c r="V23" s="31" t="str">
        <f t="shared" si="8"/>
        <v/>
      </c>
    </row>
    <row r="24" spans="1:22" ht="15" customHeight="1" x14ac:dyDescent="0.25">
      <c r="A24" s="44" t="s">
        <v>323</v>
      </c>
      <c r="B24" s="31" t="str">
        <f t="shared" ref="B24" si="36">SUBSTITUTE(PROPER(A24),"_","")</f>
        <v>Tpm</v>
      </c>
      <c r="C24" s="31" t="str">
        <f t="shared" ref="C24" si="37">SUBSTITUTE(PROPER(A24),"_"," ")</f>
        <v>Tpm</v>
      </c>
      <c r="D24" s="31" t="str">
        <f t="shared" ref="D24" si="38">LOWER(LEFT(B24,1))&amp;RIGHT(B24,LEN(B24) - 1)</f>
        <v>tpm</v>
      </c>
      <c r="E24" s="31" t="str">
        <f>A.Backend!H18</f>
        <v>string</v>
      </c>
      <c r="F24" s="31" t="str">
        <f>A.Backend!G18</f>
        <v>200</v>
      </c>
      <c r="G24" s="31" t="str">
        <f t="shared" si="3"/>
        <v xml:space="preserve"> : string = '' ; </v>
      </c>
      <c r="H24" s="38" t="str">
        <f t="shared" si="4"/>
        <v xml:space="preserve">			{headerName: this.l('Tpm'),headerTooltip: this.l('Tpm'),field: 'tpm',flex: 1},</v>
      </c>
      <c r="I24" s="38" t="str">
        <f t="shared" si="5"/>
        <v xml:space="preserve">								&lt;div class='input-search'&gt;
									&lt;input [(ngModel)]='tpm' name='tpm'
									class='form-control' [placeholder]="l('Tpm')"
									type='text' (keyup.enter)='searchDatas()'&gt;
								&lt;/div&gt;</v>
      </c>
      <c r="J24" s="31"/>
      <c r="K24" s="38" t="str">
        <f t="shared" si="6"/>
        <v xml:space="preserve">					&lt;div class='col-md-12 form-group row'&gt;
						&lt;label class='col-md-2 form-control title'&gt;Tpm&lt;/label&gt;
						&lt;input type='text' class='col-md-10 form-control input-text' name='Tpm' [(ngModel)]='rowdata.tpm'&gt;
					&lt;/div&gt;</v>
      </c>
      <c r="L24" s="60" t="str">
        <f t="shared" si="7"/>
        <v/>
      </c>
      <c r="M24" s="31"/>
      <c r="N24" s="31"/>
      <c r="O24" s="31"/>
      <c r="P24" s="31"/>
      <c r="Q24" s="31"/>
      <c r="R24" s="31"/>
      <c r="S24" s="31" t="str">
        <f t="shared" si="9"/>
        <v xml:space="preserve">	tpm : string = '' ; </v>
      </c>
      <c r="T24" s="31" t="str">
        <f t="shared" si="10"/>
        <v xml:space="preserve">			this.tpm,</v>
      </c>
      <c r="U24" s="31" t="str">
        <f t="shared" si="11"/>
        <v xml:space="preserve">		this.tpm = '',</v>
      </c>
      <c r="V24" s="31" t="str">
        <f t="shared" si="8"/>
        <v/>
      </c>
    </row>
    <row r="25" spans="1:22" ht="18" customHeight="1" x14ac:dyDescent="0.25">
      <c r="A25" s="44" t="s">
        <v>324</v>
      </c>
      <c r="B25" s="31" t="str">
        <f>SUBSTITUTE(PROPER(A25),"_","")</f>
        <v>Remarks</v>
      </c>
      <c r="C25" s="31" t="str">
        <f>SUBSTITUTE(PROPER(A25),"_"," ")</f>
        <v>Remarks</v>
      </c>
      <c r="D25" s="31" t="str">
        <f>LOWER(LEFT(B25,1))&amp;RIGHT(B25,LEN(B25) - 1)</f>
        <v>remarks</v>
      </c>
      <c r="E25" s="31" t="str">
        <f>A.Backend!H19</f>
        <v>string</v>
      </c>
      <c r="F25" s="31" t="str">
        <f>A.Backend!G19</f>
        <v>200</v>
      </c>
      <c r="G25" s="31" t="str">
        <f>IF(E25="string"," : string = '' ; ",IF(OR(E25="DateTime",E25="TimeSpan")," : any ;",IF(E25="int"," : number = 0 ;","")))</f>
        <v xml:space="preserve"> : string = '' ; </v>
      </c>
      <c r="H25" s="38" t="str">
        <f>IF(E25="DateTime",
REPT(CHAR(9),3)&amp;"{headerName: this.l('"&amp;C25&amp;"'),headerTooltip: this.l('"&amp;C25&amp;"'),field: '"&amp;D25&amp;"',valueGetter: (params) =&gt; this.pipe.transform(params.data?."&amp;D25&amp;", 'dd/MM/yyyy'),flex: 1},",
IF(AND(E25="string",F25="1"),
REPT(CHAR(9),3)&amp;"{headerName: this.l('"&amp;C25&amp;"'),headerTooltip: this.l('"&amp;C25&amp;"'),field:  '"&amp;D25&amp;"', cellClass: ['text-center'], width: 120, cellRenderer: 'agCellButtonComponent',
buttonDefTwo: { text: params =&gt; (params.data?.'"&amp;D25&amp;"' == 'Y') ? 'Active' : 'Inactive',iconName: 'fa fa-circle',className: params =&gt; (params.data?.'"&amp;D25&amp;"' == 'Y') ? 'btnActive' : 'btnInActive',},}",
REPT(CHAR(9),3)&amp;"{headerName: this.l('"&amp;C25&amp;"'),headerTooltip: this.l('"&amp;C25&amp;"'),field: '"&amp;D25&amp;"',flex: 1},"))</f>
        <v xml:space="preserve">			{headerName: this.l('Remarks'),headerTooltip: this.l('Remarks'),field: 'remarks',flex: 1},</v>
      </c>
      <c r="I25" s="38" t="str">
        <f>IF(E25="DateTime",
REPT(CHAR(9),8)&amp;"&lt;div class='input-search'&gt;
"&amp;REPT(CHAR(9),9)&amp;"&lt;input type='text' [placeholder]=""l('"&amp;C25&amp;"')"" [(ngModel)]='"&amp;D25&amp;"' 
"&amp;REPT(CHAR(9),9)&amp;"name='"&amp;D25&amp;"'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IF(E25="string",
REPT(CHAR(9),8)&amp;"&lt;div class='input-search'&gt;
"&amp;REPT(CHAR(9),9)&amp;"&lt;input [(ngModel)]='"&amp;D25&amp;"' name='"&amp;D25&amp;"'
"&amp;REPT(CHAR(9),9)&amp;"class='form-control' [placeholder]=""l('"&amp;C25&amp;"')""
"&amp;REPT(CHAR(9),9)&amp;"type='text' (keyup.enter)='searchDatas()'&gt;
"&amp;REPT(CHAR(9),8)&amp;"&lt;/div&gt;",""))</f>
        <v xml:space="preserve">								&lt;div class='input-search'&gt;
									&lt;input [(ngModel)]='remarks' name='remarks'
									class='form-control' [placeholder]="l('Remarks')"
									type='text' (keyup.enter)='searchDatas()'&gt;
								&lt;/div&gt;</v>
      </c>
      <c r="J25" s="31"/>
      <c r="K25" s="38" t="str">
        <f>IF(OR(E25="DateTime",E25="TimeSpan"),
REPT(CHAR(9),5)&amp;"&lt;div class='col-md-12 form-group row'&gt;
"&amp;REPT(CHAR(9),6)&amp;"&lt;label class='col-md-2 form-control title'&gt;"&amp;C25&amp;"&lt;/label&gt;
"&amp;REPT(CHAR(9),6)&amp;"&lt;input type='text' class='col-md-10 form-control input-text' name='"&amp;D25&amp;"' 
"&amp;REPT(CHAR(9),6)&amp;"#datepicker='bsDatepicker' [(ngModel)]='rowdata."&amp;D25&amp;"'  bsDatepicker &gt;
"&amp;REPT(CHAR(9),5)&amp;"&lt;/div&gt;",
IF(AND(E25="string",F25="1"),
REPT(CHAR(9),5)&amp;"&lt;div class='col-md-12 form-group row'&gt;
"&amp;REPT(CHAR(9),6)&amp;"&lt;label class='col-md-2 form-control title'&gt;"&amp;C25&amp;"&lt;/label&gt;
"&amp;REPT(CHAR(9),6)&amp;"&lt;new-checkbox [(ngModel)]='_"&amp;D25&amp;"' name='"&amp;D25&amp;"' className='col-md-10' &gt; &lt;/new-checkbox&gt;
"&amp;REPT(CHAR(9),5)&amp;"&lt;/div&gt;",
IF(E25="string",
REPT(CHAR(9),5)&amp;"&lt;div class='col-md-12 form-group row'&gt;
"&amp;REPT(CHAR(9),6)&amp;"&lt;label class='col-md-2 form-control title'&gt;"&amp;C25&amp;"&lt;/label&gt;
"&amp;REPT(CHAR(9),6)&amp;"&lt;input type='text' class='col-md-10 form-control input-text' name='"&amp;B25&amp;"' [(ngModel)]='rowdata."&amp;D25&amp;"'&gt;
"&amp;REPT(CHAR(9),5)&amp;"&lt;/div&gt;",
IF(E25="int",
REPT(CHAR(9),5)&amp;"&lt;div class='col-md-12 form-group row'&gt;
"&amp;REPT(CHAR(9),6)&amp;"&lt;label class='col-md-2 form-control title'&gt;"&amp;C25&amp;"&lt;/label&gt;
"&amp;REPT(CHAR(9),6)&amp;"&lt;input type='number' class='col-md-10 form-control input-text' name='"&amp;B25&amp;"' [(ngModel)]='rowdata."&amp;D25&amp;"'&gt;
"&amp;REPT(CHAR(9),5)&amp;"&lt;/div&gt;",""))))</f>
        <v xml:space="preserve">					&lt;div class='col-md-12 form-group row'&gt;
						&lt;label class='col-md-2 form-control title'&gt;Remarks&lt;/label&gt;
						&lt;input type='text' class='col-md-10 form-control input-text' name='Remarks' [(ngModel)]='rowdata.remarks'&gt;
					&lt;/div&gt;</v>
      </c>
      <c r="L25" s="60" t="str">
        <f>IF(E25="DateTime",
REPT(CHAR(9),2)&amp;"const dateValue =  this.rowdata."&amp;D25&amp;" ? new Date(this.rowdata."&amp;D25&amp;"?.toString()) : new Date();
"&amp;REPT(CHAR(9),2)&amp;"this.datepicker?.bsValueChange.emit(dateValue);","")</f>
        <v/>
      </c>
      <c r="M25" s="31"/>
      <c r="N25" s="31"/>
      <c r="O25" s="31"/>
      <c r="P25" s="31"/>
      <c r="Q25" s="31"/>
      <c r="R25" s="31"/>
      <c r="S25" s="31" t="str">
        <f>D25&amp;G25</f>
        <v xml:space="preserve">remarks : string = '' ; </v>
      </c>
      <c r="T25" s="31" t="str">
        <f>REPT(CHAR(9),3)&amp;"this."&amp;D25&amp;","</f>
        <v xml:space="preserve">			this.remarks,</v>
      </c>
      <c r="U25" s="31" t="str">
        <f>IF(E25="int","this."&amp;D25&amp;" = 0,","this."&amp;D25&amp;" = '',")</f>
        <v>this.remarks = '',</v>
      </c>
      <c r="V25" s="31" t="str">
        <f>IF(AND(E25="string",F25="1"),D25,"")</f>
        <v/>
      </c>
    </row>
    <row r="26" spans="1:22" ht="15" customHeight="1" x14ac:dyDescent="0.25">
      <c r="A26" s="44" t="s">
        <v>336</v>
      </c>
      <c r="B26" s="31" t="str">
        <f t="shared" ref="B26" si="39">SUBSTITUTE(PROPER(A26),"_","")</f>
        <v>UpCalltime</v>
      </c>
      <c r="C26" s="31" t="str">
        <f t="shared" ref="C26" si="40">SUBSTITUTE(PROPER(A26),"_"," ")</f>
        <v>Up Calltime</v>
      </c>
      <c r="D26" s="31" t="str">
        <f t="shared" ref="D26" si="41">LOWER(LEFT(B26,1))&amp;RIGHT(B26,LEN(B26) - 1)</f>
        <v>upCalltime</v>
      </c>
      <c r="E26" s="31" t="str">
        <f>A.Backend!H20</f>
        <v>DateTime</v>
      </c>
      <c r="F26" s="31" t="str">
        <f>A.Backend!G20</f>
        <v>7</v>
      </c>
      <c r="G26" s="31" t="str">
        <f t="shared" ref="G26" si="42">IF(E26="string"," : string = '' ; ",IF(OR(E26="DateTime",E26="TimeSpan")," : any ;",IF(E26="int"," : number = 0 ;","")))</f>
        <v xml:space="preserve"> : any ;</v>
      </c>
      <c r="H26" s="38" t="str">
        <f t="shared" ref="H26" si="43">IF(E26="DateTime",
REPT(CHAR(9),3)&amp;"{headerName: this.l('"&amp;C26&amp;"'),headerTooltip: this.l('"&amp;C26&amp;"'),field: '"&amp;D26&amp;"',valueGetter: (params) =&gt; this.pipe.transform(params.data?."&amp;D26&amp;", 'dd/MM/yyyy'),flex: 1},",
IF(AND(E26="string",F26="1"),
REPT(CHAR(9),3)&amp;"{headerName: this.l('"&amp;C26&amp;"'),headerTooltip: this.l('"&amp;C26&amp;"'),field:  '"&amp;D26&amp;"', cellClass: ['text-center'], width: 120, cellRenderer: 'agCellButtonComponent',
buttonDefTwo: { text: params =&gt; (params.data?.'"&amp;D26&amp;"' == 'Y') ? 'Active' : 'Inactive',iconName: 'fa fa-circle',className: params =&gt; (params.data?.'"&amp;D26&amp;"' == 'Y') ? 'btnActive' : 'btnInActive',},}",
REPT(CHAR(9),3)&amp;"{headerName: this.l('"&amp;C26&amp;"'),headerTooltip: this.l('"&amp;C26&amp;"'),field: '"&amp;D26&amp;"',flex: 1},"))</f>
        <v xml:space="preserve">			{headerName: this.l('Up Calltime'),headerTooltip: this.l('Up Calltime'),field: 'upCalltime',valueGetter: (params) =&gt; this.pipe.transform(params.data?.upCalltime, 'dd/MM/yyyy'),flex: 1},</v>
      </c>
      <c r="I26" s="38" t="str">
        <f t="shared" ref="I26" si="44">IF(E26="DateTime",
REPT(CHAR(9),8)&amp;"&lt;div class='input-search'&gt;
"&amp;REPT(CHAR(9),9)&amp;"&lt;input type='text' [placeholder]=""l('"&amp;C26&amp;"')"" [(ngModel)]='"&amp;D26&amp;"' 
"&amp;REPT(CHAR(9),9)&amp;"name='"&amp;D26&amp;"'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IF(E26="string",
REPT(CHAR(9),8)&amp;"&lt;div class='input-search'&gt;
"&amp;REPT(CHAR(9),9)&amp;"&lt;input [(ngModel)]='"&amp;D26&amp;"' name='"&amp;D26&amp;"'
"&amp;REPT(CHAR(9),9)&amp;"class='form-control' [placeholder]=""l('"&amp;C26&amp;"')""
"&amp;REPT(CHAR(9),9)&amp;"type='text' (keyup.enter)='searchDatas()'&gt;
"&amp;REPT(CHAR(9),8)&amp;"&lt;/div&gt;",""))</f>
        <v xml:space="preserve">								&lt;div class='input-search'&gt;
									&lt;input type='text' [placeholder]="l('Up Calltime')" [(ngModel)]='upCalltime' 
									name='upCalltime' (keydown)='searchDatas()' class='form-control' 
									bsDatepicker #d='bsDatepicker' placement='bottom left'&gt;
									&lt;i class='fa fa-calendar-alt' (click)='d.toggle()'&gt;&lt;/i&gt;
								&lt;/div&gt;</v>
      </c>
      <c r="J26" s="31"/>
      <c r="K26" s="38" t="str">
        <f t="shared" ref="K26" si="45">IF(OR(E26="DateTime",E26="TimeSpan"),
REPT(CHAR(9),5)&amp;"&lt;div class='col-md-12 form-group row'&gt;
"&amp;REPT(CHAR(9),6)&amp;"&lt;label class='col-md-2 form-control title'&gt;"&amp;C26&amp;"&lt;/label&gt;
"&amp;REPT(CHAR(9),6)&amp;"&lt;input type='text' class='col-md-10 form-control input-text' name='"&amp;D26&amp;"' 
"&amp;REPT(CHAR(9),6)&amp;"#datepicker='bsDatepicker' [(ngModel)]='rowdata."&amp;D26&amp;"'  bsDatepicker &gt;
"&amp;REPT(CHAR(9),5)&amp;"&lt;/div&gt;",
IF(AND(E26="string",F26="1"),
REPT(CHAR(9),5)&amp;"&lt;div class='col-md-12 form-group row'&gt;
"&amp;REPT(CHAR(9),6)&amp;"&lt;label class='col-md-2 form-control title'&gt;"&amp;C26&amp;"&lt;/label&gt;
"&amp;REPT(CHAR(9),6)&amp;"&lt;new-checkbox [(ngModel)]='_"&amp;D26&amp;"' name='"&amp;D26&amp;"' className='col-md-10' &gt; &lt;/new-checkbox&gt;
"&amp;REPT(CHAR(9),5)&amp;"&lt;/div&gt;",
IF(E26="string",
REPT(CHAR(9),5)&amp;"&lt;div class='col-md-12 form-group row'&gt;
"&amp;REPT(CHAR(9),6)&amp;"&lt;label class='col-md-2 form-control title'&gt;"&amp;C26&amp;"&lt;/label&gt;
"&amp;REPT(CHAR(9),6)&amp;"&lt;input type='text' class='col-md-10 form-control input-text' name='"&amp;B26&amp;"' [(ngModel)]='rowdata."&amp;D26&amp;"'&gt;
"&amp;REPT(CHAR(9),5)&amp;"&lt;/div&gt;",
IF(E26="int",
REPT(CHAR(9),5)&amp;"&lt;div class='col-md-12 form-group row'&gt;
"&amp;REPT(CHAR(9),6)&amp;"&lt;label class='col-md-2 form-control title'&gt;"&amp;C26&amp;"&lt;/label&gt;
"&amp;REPT(CHAR(9),6)&amp;"&lt;input type='number' class='col-md-10 form-control input-text' name='"&amp;B26&amp;"' [(ngModel)]='rowdata."&amp;D26&amp;"'&gt;
"&amp;REPT(CHAR(9),5)&amp;"&lt;/div&gt;",""))))</f>
        <v xml:space="preserve">					&lt;div class='col-md-12 form-group row'&gt;
						&lt;label class='col-md-2 form-control title'&gt;Up Calltime&lt;/label&gt;
						&lt;input type='text' class='col-md-10 form-control input-text' name='upCalltime' 
						#datepicker='bsDatepicker' [(ngModel)]='rowdata.upCalltime'  bsDatepicker &gt;
					&lt;/div&gt;</v>
      </c>
      <c r="L26" s="60" t="str">
        <f t="shared" ref="L26" si="46">IF(E26="DateTime",
REPT(CHAR(9),2)&amp;"const dateValue =  this.rowdata."&amp;D26&amp;" ? new Date(this.rowdata."&amp;D26&amp;"?.toString()) : new Date();
"&amp;REPT(CHAR(9),2)&amp;"this.datepicker?.bsValueChange.emit(dateValue);","")</f>
        <v xml:space="preserve">		const dateValue =  this.rowdata.upCalltime ? new Date(this.rowdata.upCalltime?.toString()) : new Date();
		this.datepicker?.bsValueChange.emit(dateValue);</v>
      </c>
      <c r="M26" s="31"/>
      <c r="N26" s="31"/>
      <c r="O26" s="31"/>
      <c r="P26" s="31"/>
      <c r="Q26" s="31"/>
      <c r="R26" s="31"/>
      <c r="S26" s="31" t="str">
        <f t="shared" ref="S26" si="47">REPT(CHAR(9),1)&amp;D26&amp;G26</f>
        <v xml:space="preserve">	upCalltime : any ;</v>
      </c>
      <c r="T26" s="31" t="str">
        <f t="shared" ref="T26" si="48">REPT(CHAR(9),3)&amp;"this."&amp;D26&amp;","</f>
        <v xml:space="preserve">			this.upCalltime,</v>
      </c>
      <c r="U26" s="31" t="str">
        <f t="shared" ref="U26" si="49">IF(E26="int",REPT(CHAR(9),2)&amp;"this."&amp;D26&amp;" = 0,",REPT(CHAR(9),2)&amp;"this."&amp;D26&amp;" = '',")</f>
        <v xml:space="preserve">		this.upCalltime = '',</v>
      </c>
      <c r="V26" s="31" t="str">
        <f t="shared" ref="V26" si="50">IF(AND(E26="string",F26="1"),D26,"")</f>
        <v/>
      </c>
    </row>
    <row r="27" spans="1:22" ht="15" customHeight="1" x14ac:dyDescent="0.25">
      <c r="A27" s="44" t="s">
        <v>331</v>
      </c>
      <c r="B27" s="31" t="str">
        <f t="shared" ref="B27" si="51">SUBSTITUTE(PROPER(A27),"_","")</f>
        <v>UnpackingActualStartDatetime</v>
      </c>
      <c r="C27" s="31" t="str">
        <f t="shared" ref="C27" si="52">SUBSTITUTE(PROPER(A27),"_"," ")</f>
        <v>Unpacking Actual Start Datetime</v>
      </c>
      <c r="D27" s="31" t="str">
        <f t="shared" ref="D27" si="53">LOWER(LEFT(B27,1))&amp;RIGHT(B27,LEN(B27) - 1)</f>
        <v>unpackingActualStartDatetime</v>
      </c>
      <c r="E27" s="31" t="str">
        <f>A.Backend!H21</f>
        <v>DateTime</v>
      </c>
      <c r="F27" s="31" t="str">
        <f>A.Backend!G21</f>
        <v>7</v>
      </c>
      <c r="G27" s="31" t="str">
        <f t="shared" ref="G27" si="54">IF(E27="string"," : string = '' ; ",IF(OR(E27="DateTime",E27="TimeSpan")," : any ;",IF(E27="int"," : number = 0 ;","")))</f>
        <v xml:space="preserve"> : any ;</v>
      </c>
      <c r="H27" s="38" t="str">
        <f t="shared" ref="H27" si="55">IF(E27="DateTime",
REPT(CHAR(9),3)&amp;"{headerName: this.l('"&amp;C27&amp;"'),headerTooltip: this.l('"&amp;C27&amp;"'),field: '"&amp;D27&amp;"',valueGetter: (params) =&gt; this.pipe.transform(params.data?."&amp;D27&amp;", 'dd/MM/yyyy'),flex: 1},",
IF(AND(E27="string",F27="1"),
REPT(CHAR(9),3)&amp;"{headerName: this.l('"&amp;C27&amp;"'),headerTooltip: this.l('"&amp;C27&amp;"'),field:  '"&amp;D27&amp;"', cellClass: ['text-center'], width: 120, cellRenderer: 'agCellButtonComponent',
buttonDefTwo: { text: params =&gt; (params.data?.'"&amp;D27&amp;"' == 'Y') ? 'Active' : 'Inactive',iconName: 'fa fa-circle',className: params =&gt; (params.data?.'"&amp;D27&amp;"' == 'Y') ? 'btnActive' : 'btnInActive',},}",
REPT(CHAR(9),3)&amp;"{headerName: this.l('"&amp;C27&amp;"'),headerTooltip: this.l('"&amp;C27&amp;"'),field: '"&amp;D27&amp;"',flex: 1},"))</f>
        <v xml:space="preserve">			{headerName: this.l('Unpacking Actual Start Datetime'),headerTooltip: this.l('Unpacking Actual Start Datetime'),field: 'unpackingActualStartDatetime',valueGetter: (params) =&gt; this.pipe.transform(params.data?.unpackingActualStartDatetime, 'dd/MM/yyyy'),flex: 1},</v>
      </c>
      <c r="I27" s="38" t="str">
        <f t="shared" ref="I27" si="56">IF(E27="DateTime",
REPT(CHAR(9),8)&amp;"&lt;div class='input-search'&gt;
"&amp;REPT(CHAR(9),9)&amp;"&lt;input type='text' [placeholder]=""l('"&amp;C27&amp;"')"" [(ngModel)]='"&amp;D27&amp;"' 
"&amp;REPT(CHAR(9),9)&amp;"name='"&amp;D27&amp;"'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IF(E27="string",
REPT(CHAR(9),8)&amp;"&lt;div class='input-search'&gt;
"&amp;REPT(CHAR(9),9)&amp;"&lt;input [(ngModel)]='"&amp;D27&amp;"' name='"&amp;D27&amp;"'
"&amp;REPT(CHAR(9),9)&amp;"class='form-control' [placeholder]=""l('"&amp;C27&amp;"')""
"&amp;REPT(CHAR(9),9)&amp;"type='text' (keyup.enter)='searchDatas()'&gt;
"&amp;REPT(CHAR(9),8)&amp;"&lt;/div&gt;",""))</f>
        <v xml:space="preserve">								&lt;div class='input-search'&gt;
									&lt;input type='text' [placeholder]="l('Unpacking Actual Start Datetime')" [(ngModel)]='unpackingActualStartDatetime' 
									name='unpackingActualStartDatetime' (keydown)='searchDatas()' class='form-control' 
									bsDatepicker #d='bsDatepicker' placement='bottom left'&gt;
									&lt;i class='fa fa-calendar-alt' (click)='d.toggle()'&gt;&lt;/i&gt;
								&lt;/div&gt;</v>
      </c>
      <c r="J27" s="31"/>
      <c r="K27" s="38" t="str">
        <f t="shared" ref="K27" si="57">IF(OR(E27="DateTime",E27="TimeSpan"),
REPT(CHAR(9),5)&amp;"&lt;div class='col-md-12 form-group row'&gt;
"&amp;REPT(CHAR(9),6)&amp;"&lt;label class='col-md-2 form-control title'&gt;"&amp;C27&amp;"&lt;/label&gt;
"&amp;REPT(CHAR(9),6)&amp;"&lt;input type='text' class='col-md-10 form-control input-text' name='"&amp;D27&amp;"' 
"&amp;REPT(CHAR(9),6)&amp;"#datepicker='bsDatepicker' [(ngModel)]='rowdata."&amp;D27&amp;"'  bsDatepicker &gt;
"&amp;REPT(CHAR(9),5)&amp;"&lt;/div&gt;",
IF(AND(E27="string",F27="1"),
REPT(CHAR(9),5)&amp;"&lt;div class='col-md-12 form-group row'&gt;
"&amp;REPT(CHAR(9),6)&amp;"&lt;label class='col-md-2 form-control title'&gt;"&amp;C27&amp;"&lt;/label&gt;
"&amp;REPT(CHAR(9),6)&amp;"&lt;new-checkbox [(ngModel)]='_"&amp;D27&amp;"' name='"&amp;D27&amp;"' className='col-md-10' &gt; &lt;/new-checkbox&gt;
"&amp;REPT(CHAR(9),5)&amp;"&lt;/div&gt;",
IF(E27="string",
REPT(CHAR(9),5)&amp;"&lt;div class='col-md-12 form-group row'&gt;
"&amp;REPT(CHAR(9),6)&amp;"&lt;label class='col-md-2 form-control title'&gt;"&amp;C27&amp;"&lt;/label&gt;
"&amp;REPT(CHAR(9),6)&amp;"&lt;input type='text' class='col-md-10 form-control input-text' name='"&amp;B27&amp;"' [(ngModel)]='rowdata."&amp;D27&amp;"'&gt;
"&amp;REPT(CHAR(9),5)&amp;"&lt;/div&gt;",
IF(E27="int",
REPT(CHAR(9),5)&amp;"&lt;div class='col-md-12 form-group row'&gt;
"&amp;REPT(CHAR(9),6)&amp;"&lt;label class='col-md-2 form-control title'&gt;"&amp;C27&amp;"&lt;/label&gt;
"&amp;REPT(CHAR(9),6)&amp;"&lt;input type='number' class='col-md-10 form-control input-text' name='"&amp;B27&amp;"' [(ngModel)]='rowdata."&amp;D27&amp;"'&gt;
"&amp;REPT(CHAR(9),5)&amp;"&lt;/div&gt;",""))))</f>
        <v xml:space="preserve">					&lt;div class='col-md-12 form-group row'&gt;
						&lt;label class='col-md-2 form-control title'&gt;Unpacking Actual Start Datetime&lt;/label&gt;
						&lt;input type='text' class='col-md-10 form-control input-text' name='unpackingActualStartDatetime' 
						#datepicker='bsDatepicker' [(ngModel)]='rowdata.unpackingActualStartDatetime'  bsDatepicker &gt;
					&lt;/div&gt;</v>
      </c>
      <c r="L27" s="60" t="str">
        <f t="shared" ref="L27" si="58">IF(E27="DateTime",
REPT(CHAR(9),2)&amp;"const dateValue =  this.rowdata."&amp;D27&amp;" ? new Date(this.rowdata."&amp;D27&amp;"?.toString()) : new Date();
"&amp;REPT(CHAR(9),2)&amp;"this.datepicker?.bsValueChange.emit(dateValue);","")</f>
        <v xml:space="preserve">		const dateValue =  this.rowdata.unpackingActualStartDatetime ? new Date(this.rowdata.unpackingActualStartDatetime?.toString()) : new Date();
		this.datepicker?.bsValueChange.emit(dateValue);</v>
      </c>
      <c r="M27" s="31"/>
      <c r="N27" s="31"/>
      <c r="O27" s="31"/>
      <c r="P27" s="31"/>
      <c r="Q27" s="31"/>
      <c r="R27" s="31"/>
      <c r="S27" s="31" t="str">
        <f t="shared" ref="S27" si="59">REPT(CHAR(9),1)&amp;D27&amp;G27</f>
        <v xml:space="preserve">	unpackingActualStartDatetime : any ;</v>
      </c>
      <c r="T27" s="31" t="str">
        <f t="shared" ref="T27" si="60">REPT(CHAR(9),3)&amp;"this."&amp;D27&amp;","</f>
        <v xml:space="preserve">			this.unpackingActualStartDatetime,</v>
      </c>
      <c r="U27" s="31" t="str">
        <f t="shared" ref="U27" si="61">IF(E27="int",REPT(CHAR(9),2)&amp;"this."&amp;D27&amp;" = 0,",REPT(CHAR(9),2)&amp;"this."&amp;D27&amp;" = '',")</f>
        <v xml:space="preserve">		this.unpackingActualStartDatetime = '',</v>
      </c>
      <c r="V27" s="31" t="str">
        <f t="shared" ref="V27" si="62">IF(AND(E27="string",F27="1"),D27,"")</f>
        <v/>
      </c>
    </row>
    <row r="28" spans="1:22" ht="18" customHeight="1" x14ac:dyDescent="0.25">
      <c r="A28" s="44" t="s">
        <v>332</v>
      </c>
      <c r="B28" s="31" t="str">
        <f>SUBSTITUTE(PROPER(A28),"_","")</f>
        <v>UnpackingActualFinishDatetime</v>
      </c>
      <c r="C28" s="31" t="str">
        <f>SUBSTITUTE(PROPER(A28),"_"," ")</f>
        <v>Unpacking Actual Finish Datetime</v>
      </c>
      <c r="D28" s="31" t="str">
        <f>LOWER(LEFT(B28,1))&amp;RIGHT(B28,LEN(B28) - 1)</f>
        <v>unpackingActualFinishDatetime</v>
      </c>
      <c r="E28" s="31" t="str">
        <f>A.Backend!H22</f>
        <v>DateTime</v>
      </c>
      <c r="F28" s="31" t="str">
        <f>A.Backend!G22</f>
        <v>7</v>
      </c>
      <c r="G28" s="31" t="str">
        <f>IF(E28="string"," : string = '' ; ",IF(OR(E28="DateTime",E28="TimeSpan")," : any ;",IF(E28="int"," : number = 0 ;","")))</f>
        <v xml:space="preserve"> : any ;</v>
      </c>
      <c r="H28" s="38" t="str">
        <f>IF(E28="DateTime",
REPT(CHAR(9),3)&amp;"{headerName: this.l('"&amp;C28&amp;"'),headerTooltip: this.l('"&amp;C28&amp;"'),field: '"&amp;D28&amp;"',valueGetter: (params) =&gt; this.pipe.transform(params.data?."&amp;D28&amp;", 'dd/MM/yyyy'),flex: 1},",
IF(AND(E28="string",F28="1"),
REPT(CHAR(9),3)&amp;"{headerName: this.l('"&amp;C28&amp;"'),headerTooltip: this.l('"&amp;C28&amp;"'),field:  '"&amp;D28&amp;"', cellClass: ['text-center'], width: 120, cellRenderer: 'agCellButtonComponent',
buttonDefTwo: { text: params =&gt; (params.data?.'"&amp;D28&amp;"' == 'Y') ? 'Active' : 'Inactive',iconName: 'fa fa-circle',className: params =&gt; (params.data?.'"&amp;D28&amp;"' == 'Y') ? 'btnActive' : 'btnInActive',},}",
REPT(CHAR(9),3)&amp;"{headerName: this.l('"&amp;C28&amp;"'),headerTooltip: this.l('"&amp;C28&amp;"'),field: '"&amp;D28&amp;"',flex: 1},"))</f>
        <v xml:space="preserve">			{headerName: this.l('Unpacking Actual Finish Datetime'),headerTooltip: this.l('Unpacking Actual Finish Datetime'),field: 'unpackingActualFinishDatetime',valueGetter: (params) =&gt; this.pipe.transform(params.data?.unpackingActualFinishDatetime, 'dd/MM/yyyy'),flex: 1},</v>
      </c>
      <c r="I28" s="38" t="str">
        <f>IF(E28="DateTime",
REPT(CHAR(9),8)&amp;"&lt;div class='input-search'&gt;
"&amp;REPT(CHAR(9),9)&amp;"&lt;input type='text' [placeholder]=""l('"&amp;C28&amp;"')"" [(ngModel)]='"&amp;D28&amp;"' 
"&amp;REPT(CHAR(9),9)&amp;"name='"&amp;D28&amp;"'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IF(E28="string",
REPT(CHAR(9),8)&amp;"&lt;div class='input-search'&gt;
"&amp;REPT(CHAR(9),9)&amp;"&lt;input [(ngModel)]='"&amp;D28&amp;"' name='"&amp;D28&amp;"'
"&amp;REPT(CHAR(9),9)&amp;"class='form-control' [placeholder]=""l('"&amp;C28&amp;"')""
"&amp;REPT(CHAR(9),9)&amp;"type='text' (keyup.enter)='searchDatas()'&gt;
"&amp;REPT(CHAR(9),8)&amp;"&lt;/div&gt;",""))</f>
        <v xml:space="preserve">								&lt;div class='input-search'&gt;
									&lt;input type='text' [placeholder]="l('Unpacking Actual Finish Datetime')" [(ngModel)]='unpackingActualFinishDatetime' 
									name='unpackingActualFinishDatetime' (keydown)='searchDatas()' class='form-control' 
									bsDatepicker #d='bsDatepicker' placement='bottom left'&gt;
									&lt;i class='fa fa-calendar-alt' (click)='d.toggle()'&gt;&lt;/i&gt;
								&lt;/div&gt;</v>
      </c>
      <c r="J28" s="31"/>
      <c r="K28" s="38" t="str">
        <f>IF(OR(E28="DateTime",E28="TimeSpan"),
REPT(CHAR(9),5)&amp;"&lt;div class='col-md-12 form-group row'&gt;
"&amp;REPT(CHAR(9),6)&amp;"&lt;label class='col-md-2 form-control title'&gt;"&amp;C28&amp;"&lt;/label&gt;
"&amp;REPT(CHAR(9),6)&amp;"&lt;input type='text' class='col-md-10 form-control input-text' name='"&amp;D28&amp;"' 
"&amp;REPT(CHAR(9),6)&amp;"#datepicker='bsDatepicker' [(ngModel)]='rowdata."&amp;D28&amp;"'  bsDatepicker &gt;
"&amp;REPT(CHAR(9),5)&amp;"&lt;/div&gt;",
IF(AND(E28="string",F28="1"),
REPT(CHAR(9),5)&amp;"&lt;div class='col-md-12 form-group row'&gt;
"&amp;REPT(CHAR(9),6)&amp;"&lt;label class='col-md-2 form-control title'&gt;"&amp;C28&amp;"&lt;/label&gt;
"&amp;REPT(CHAR(9),6)&amp;"&lt;new-checkbox [(ngModel)]='_"&amp;D28&amp;"' name='"&amp;D28&amp;"' className='col-md-10' &gt; &lt;/new-checkbox&gt;
"&amp;REPT(CHAR(9),5)&amp;"&lt;/div&gt;",
IF(E28="string",
REPT(CHAR(9),5)&amp;"&lt;div class='col-md-12 form-group row'&gt;
"&amp;REPT(CHAR(9),6)&amp;"&lt;label class='col-md-2 form-control title'&gt;"&amp;C28&amp;"&lt;/label&gt;
"&amp;REPT(CHAR(9),6)&amp;"&lt;input type='text' class='col-md-10 form-control input-text' name='"&amp;B28&amp;"' [(ngModel)]='rowdata."&amp;D28&amp;"'&gt;
"&amp;REPT(CHAR(9),5)&amp;"&lt;/div&gt;",
IF(E28="int",
REPT(CHAR(9),5)&amp;"&lt;div class='col-md-12 form-group row'&gt;
"&amp;REPT(CHAR(9),6)&amp;"&lt;label class='col-md-2 form-control title'&gt;"&amp;C28&amp;"&lt;/label&gt;
"&amp;REPT(CHAR(9),6)&amp;"&lt;input type='number' class='col-md-10 form-control input-text' name='"&amp;B28&amp;"' [(ngModel)]='rowdata."&amp;D28&amp;"'&gt;
"&amp;REPT(CHAR(9),5)&amp;"&lt;/div&gt;",""))))</f>
        <v xml:space="preserve">					&lt;div class='col-md-12 form-group row'&gt;
						&lt;label class='col-md-2 form-control title'&gt;Unpacking Actual Finish Datetime&lt;/label&gt;
						&lt;input type='text' class='col-md-10 form-control input-text' name='unpackingActualFinishDatetime' 
						#datepicker='bsDatepicker' [(ngModel)]='rowdata.unpackingActualFinishDatetime'  bsDatepicker &gt;
					&lt;/div&gt;</v>
      </c>
      <c r="L28" s="60" t="str">
        <f>IF(E28="DateTime",
REPT(CHAR(9),2)&amp;"const dateValue =  this.rowdata."&amp;D28&amp;" ? new Date(this.rowdata."&amp;D28&amp;"?.toString()) : new Date();
"&amp;REPT(CHAR(9),2)&amp;"this.datepicker?.bsValueChange.emit(dateValue);","")</f>
        <v xml:space="preserve">		const dateValue =  this.rowdata.unpackingActualFinishDatetime ? new Date(this.rowdata.unpackingActualFinishDatetime?.toString()) : new Date();
		this.datepicker?.bsValueChange.emit(dateValue);</v>
      </c>
      <c r="M28" s="31"/>
      <c r="N28" s="31"/>
      <c r="O28" s="31"/>
      <c r="P28" s="31"/>
      <c r="Q28" s="31"/>
      <c r="R28" s="31"/>
      <c r="S28" s="31" t="str">
        <f>D28&amp;G28</f>
        <v>unpackingActualFinishDatetime : any ;</v>
      </c>
      <c r="T28" s="31" t="str">
        <f>REPT(CHAR(9),3)&amp;"this."&amp;D28&amp;","</f>
        <v xml:space="preserve">			this.unpackingActualFinishDatetime,</v>
      </c>
      <c r="U28" s="31" t="str">
        <f>IF(E28="int","this."&amp;D28&amp;" = 0,","this."&amp;D28&amp;" = '',")</f>
        <v>this.unpackingActualFinishDatetime = '',</v>
      </c>
      <c r="V28" s="31" t="str">
        <f>IF(AND(E28="string",F28="1"),D28,"")</f>
        <v/>
      </c>
    </row>
    <row r="29" spans="1:22" ht="18" customHeight="1" x14ac:dyDescent="0.25">
      <c r="A29" s="44" t="s">
        <v>335</v>
      </c>
      <c r="B29" s="31" t="str">
        <f>SUBSTITUTE(PROPER(A29),"_","")</f>
        <v>MakingFinishDatetime</v>
      </c>
      <c r="C29" s="31" t="str">
        <f>SUBSTITUTE(PROPER(A29),"_"," ")</f>
        <v>Making Finish Datetime</v>
      </c>
      <c r="D29" s="31" t="str">
        <f>LOWER(LEFT(B29,1))&amp;RIGHT(B29,LEN(B29) - 1)</f>
        <v>makingFinishDatetime</v>
      </c>
      <c r="E29" s="31" t="str">
        <f>A.Backend!H23</f>
        <v>DateTime</v>
      </c>
      <c r="F29" s="31" t="str">
        <f>A.Backend!G23</f>
        <v>7</v>
      </c>
      <c r="G29" s="31" t="str">
        <f t="shared" ref="G29:G30" si="63">IF(E29="string"," : string = '' ; ",IF(OR(E29="DateTime",E29="TimeSpan")," : any ;",IF(E29="int"," : number = 0 ;","")))</f>
        <v xml:space="preserve"> : any ;</v>
      </c>
      <c r="H29" s="38" t="str">
        <f t="shared" ref="H29:H30" si="64">IF(E29="DateTime",
REPT(CHAR(9),3)&amp;"{headerName: this.l('"&amp;C29&amp;"'),headerTooltip: this.l('"&amp;C29&amp;"'),field: '"&amp;D29&amp;"',valueGetter: (params) =&gt; this.pipe.transform(params.data?."&amp;D29&amp;", 'dd/MM/yyyy'),flex: 1},",
IF(AND(E29="string",F29="1"),
REPT(CHAR(9),3)&amp;"{headerName: this.l('"&amp;C29&amp;"'),headerTooltip: this.l('"&amp;C29&amp;"'),field:  '"&amp;D29&amp;"', cellClass: ['text-center'], width: 120, cellRenderer: 'agCellButtonComponent',
buttonDefTwo: { text: params =&gt; (params.data?.'"&amp;D29&amp;"' == 'Y') ? 'Active' : 'Inactive',iconName: 'fa fa-circle',className: params =&gt; (params.data?.'"&amp;D29&amp;"' == 'Y') ? 'btnActive' : 'btnInActive',},}",
REPT(CHAR(9),3)&amp;"{headerName: this.l('"&amp;C29&amp;"'),headerTooltip: this.l('"&amp;C29&amp;"'),field: '"&amp;D29&amp;"',flex: 1},"))</f>
        <v xml:space="preserve">			{headerName: this.l('Making Finish Datetime'),headerTooltip: this.l('Making Finish Datetime'),field: 'makingFinishDatetime',valueGetter: (params) =&gt; this.pipe.transform(params.data?.makingFinishDatetime, 'dd/MM/yyyy'),flex: 1},</v>
      </c>
      <c r="I29" s="38" t="str">
        <f t="shared" ref="I29:I30" si="65">IF(E29="DateTime",
REPT(CHAR(9),8)&amp;"&lt;div class='input-search'&gt;
"&amp;REPT(CHAR(9),9)&amp;"&lt;input type='text' [placeholder]=""l('"&amp;C29&amp;"')"" [(ngModel)]='"&amp;D29&amp;"' 
"&amp;REPT(CHAR(9),9)&amp;"name='"&amp;D29&amp;"'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IF(E29="string",
REPT(CHAR(9),8)&amp;"&lt;div class='input-search'&gt;
"&amp;REPT(CHAR(9),9)&amp;"&lt;input [(ngModel)]='"&amp;D29&amp;"' name='"&amp;D29&amp;"'
"&amp;REPT(CHAR(9),9)&amp;"class='form-control' [placeholder]=""l('"&amp;C29&amp;"')""
"&amp;REPT(CHAR(9),9)&amp;"type='text' (keyup.enter)='searchDatas()'&gt;
"&amp;REPT(CHAR(9),8)&amp;"&lt;/div&gt;",""))</f>
        <v xml:space="preserve">								&lt;div class='input-search'&gt;
									&lt;input type='text' [placeholder]="l('Making Finish Datetime')" [(ngModel)]='makingFinishDatetime' 
									name='makingFinishDatetime' (keydown)='searchDatas()' class='form-control' 
									bsDatepicker #d='bsDatepicker' placement='bottom left'&gt;
									&lt;i class='fa fa-calendar-alt' (click)='d.toggle()'&gt;&lt;/i&gt;
								&lt;/div&gt;</v>
      </c>
      <c r="J29" s="31"/>
      <c r="K29" s="38" t="str">
        <f t="shared" ref="K29:K30" si="66">IF(OR(E29="DateTime",E29="TimeSpan"),
REPT(CHAR(9),5)&amp;"&lt;div class='col-md-12 form-group row'&gt;
"&amp;REPT(CHAR(9),6)&amp;"&lt;label class='col-md-2 form-control title'&gt;"&amp;C29&amp;"&lt;/label&gt;
"&amp;REPT(CHAR(9),6)&amp;"&lt;input type='text' class='col-md-10 form-control input-text' name='"&amp;D29&amp;"' 
"&amp;REPT(CHAR(9),6)&amp;"#datepicker='bsDatepicker' [(ngModel)]='rowdata."&amp;D29&amp;"'  bsDatepicker &gt;
"&amp;REPT(CHAR(9),5)&amp;"&lt;/div&gt;",
IF(AND(E29="string",F29="1"),
REPT(CHAR(9),5)&amp;"&lt;div class='col-md-12 form-group row'&gt;
"&amp;REPT(CHAR(9),6)&amp;"&lt;label class='col-md-2 form-control title'&gt;"&amp;C29&amp;"&lt;/label&gt;
"&amp;REPT(CHAR(9),6)&amp;"&lt;new-checkbox [(ngModel)]='_"&amp;D29&amp;"' name='"&amp;D29&amp;"' className='col-md-10' &gt; &lt;/new-checkbox&gt;
"&amp;REPT(CHAR(9),5)&amp;"&lt;/div&gt;",
IF(E29="string",
REPT(CHAR(9),5)&amp;"&lt;div class='col-md-12 form-group row'&gt;
"&amp;REPT(CHAR(9),6)&amp;"&lt;label class='col-md-2 form-control title'&gt;"&amp;C29&amp;"&lt;/label&gt;
"&amp;REPT(CHAR(9),6)&amp;"&lt;input type='text' class='col-md-10 form-control input-text' name='"&amp;B29&amp;"' [(ngModel)]='rowdata."&amp;D29&amp;"'&gt;
"&amp;REPT(CHAR(9),5)&amp;"&lt;/div&gt;",
IF(E29="int",
REPT(CHAR(9),5)&amp;"&lt;div class='col-md-12 form-group row'&gt;
"&amp;REPT(CHAR(9),6)&amp;"&lt;label class='col-md-2 form-control title'&gt;"&amp;C29&amp;"&lt;/label&gt;
"&amp;REPT(CHAR(9),6)&amp;"&lt;input type='number' class='col-md-10 form-control input-text' name='"&amp;B29&amp;"' [(ngModel)]='rowdata."&amp;D29&amp;"'&gt;
"&amp;REPT(CHAR(9),5)&amp;"&lt;/div&gt;",""))))</f>
        <v xml:space="preserve">					&lt;div class='col-md-12 form-group row'&gt;
						&lt;label class='col-md-2 form-control title'&gt;Making Finish Datetime&lt;/label&gt;
						&lt;input type='text' class='col-md-10 form-control input-text' name='makingFinishDatetime' 
						#datepicker='bsDatepicker' [(ngModel)]='rowdata.makingFinishDatetime'  bsDatepicker &gt;
					&lt;/div&gt;</v>
      </c>
      <c r="L29" s="60" t="str">
        <f t="shared" ref="L29:L30" si="67">IF(E29="DateTime",
REPT(CHAR(9),2)&amp;"const dateValue =  this.rowdata."&amp;D29&amp;" ? new Date(this.rowdata."&amp;D29&amp;"?.toString()) : new Date();
"&amp;REPT(CHAR(9),2)&amp;"this.datepicker?.bsValueChange.emit(dateValue);","")</f>
        <v xml:space="preserve">		const dateValue =  this.rowdata.makingFinishDatetime ? new Date(this.rowdata.makingFinishDatetime?.toString()) : new Date();
		this.datepicker?.bsValueChange.emit(dateValue);</v>
      </c>
      <c r="M29" s="31"/>
      <c r="N29" s="31"/>
      <c r="O29" s="31"/>
      <c r="P29" s="31"/>
      <c r="Q29" s="31"/>
      <c r="R29" s="31"/>
      <c r="S29" s="31" t="str">
        <f t="shared" ref="S29:S30" si="68">REPT(CHAR(9),1)&amp;D29&amp;G29</f>
        <v xml:space="preserve">	makingFinishDatetime : any ;</v>
      </c>
      <c r="T29" s="31" t="str">
        <f t="shared" ref="T29:T30" si="69">REPT(CHAR(9),3)&amp;"this."&amp;D29&amp;","</f>
        <v xml:space="preserve">			this.makingFinishDatetime,</v>
      </c>
      <c r="U29" s="31" t="str">
        <f t="shared" ref="U29:U30" si="70">IF(E29="int",REPT(CHAR(9),2)&amp;"this."&amp;D29&amp;" = 0,",REPT(CHAR(9),2)&amp;"this."&amp;D29&amp;" = '',")</f>
        <v xml:space="preserve">		this.makingFinishDatetime = '',</v>
      </c>
      <c r="V29" s="31" t="str">
        <f t="shared" ref="V29:V30" si="71">IF(AND(E29="string",F29="1"),D29,"")</f>
        <v/>
      </c>
    </row>
    <row r="30" spans="1:22" ht="15" customHeight="1" x14ac:dyDescent="0.25">
      <c r="A30" s="44" t="s">
        <v>334</v>
      </c>
      <c r="B30" s="31" t="str">
        <f t="shared" ref="B30" si="72">SUBSTITUTE(PROPER(A30),"_","")</f>
        <v>MkStatus</v>
      </c>
      <c r="C30" s="31" t="str">
        <f t="shared" ref="C30" si="73">SUBSTITUTE(PROPER(A30),"_"," ")</f>
        <v>Mk Status</v>
      </c>
      <c r="D30" s="31" t="str">
        <f t="shared" ref="D30" si="74">LOWER(LEFT(B30,1))&amp;RIGHT(B30,LEN(B30) - 1)</f>
        <v>mkStatus</v>
      </c>
      <c r="E30" s="31" t="str">
        <f>A.Backend!H24</f>
        <v>string</v>
      </c>
      <c r="F30" s="31" t="str">
        <f>A.Backend!G24</f>
        <v>50</v>
      </c>
      <c r="G30" s="31" t="str">
        <f t="shared" si="63"/>
        <v xml:space="preserve"> : string = '' ; </v>
      </c>
      <c r="H30" s="38" t="str">
        <f t="shared" si="64"/>
        <v xml:space="preserve">			{headerName: this.l('Mk Status'),headerTooltip: this.l('Mk Status'),field: 'mkStatus',flex: 1},</v>
      </c>
      <c r="I30" s="38" t="str">
        <f t="shared" si="65"/>
        <v xml:space="preserve">								&lt;div class='input-search'&gt;
									&lt;input [(ngModel)]='mkStatus' name='mkStatus'
									class='form-control' [placeholder]="l('Mk Status')"
									type='text' (keyup.enter)='searchDatas()'&gt;
								&lt;/div&gt;</v>
      </c>
      <c r="J30" s="31"/>
      <c r="K30" s="38" t="str">
        <f t="shared" si="66"/>
        <v xml:space="preserve">					&lt;div class='col-md-12 form-group row'&gt;
						&lt;label class='col-md-2 form-control title'&gt;Mk Status&lt;/label&gt;
						&lt;input type='text' class='col-md-10 form-control input-text' name='MkStatus' [(ngModel)]='rowdata.mkStatus'&gt;
					&lt;/div&gt;</v>
      </c>
      <c r="L30" s="60" t="str">
        <f t="shared" si="67"/>
        <v/>
      </c>
      <c r="M30" s="31"/>
      <c r="N30" s="31"/>
      <c r="O30" s="31"/>
      <c r="P30" s="31"/>
      <c r="Q30" s="31"/>
      <c r="R30" s="31"/>
      <c r="S30" s="31" t="str">
        <f t="shared" si="68"/>
        <v xml:space="preserve">	mkStatus : string = '' ; </v>
      </c>
      <c r="T30" s="31" t="str">
        <f t="shared" si="69"/>
        <v xml:space="preserve">			this.mkStatus,</v>
      </c>
      <c r="U30" s="31" t="str">
        <f t="shared" si="70"/>
        <v xml:space="preserve">		this.mkStatus = '',</v>
      </c>
      <c r="V30" s="31" t="str">
        <f t="shared" si="71"/>
        <v/>
      </c>
    </row>
    <row r="31" spans="1:22" ht="18" customHeight="1" x14ac:dyDescent="0.25">
      <c r="A31" s="44" t="s">
        <v>333</v>
      </c>
      <c r="B31" s="31" t="str">
        <f>SUBSTITUTE(PROPER(A31),"_","")</f>
        <v>UpStatus</v>
      </c>
      <c r="C31" s="31" t="str">
        <f>SUBSTITUTE(PROPER(A31),"_"," ")</f>
        <v>Up Status</v>
      </c>
      <c r="D31" s="31" t="str">
        <f>LOWER(LEFT(B31,1))&amp;RIGHT(B31,LEN(B31) - 1)</f>
        <v>upStatus</v>
      </c>
      <c r="E31" s="31" t="str">
        <f>A.Backend!H25</f>
        <v>string</v>
      </c>
      <c r="F31" s="31" t="str">
        <f>A.Backend!G25</f>
        <v>50</v>
      </c>
      <c r="G31" s="31" t="str">
        <f>IF(E31="string"," : string = '' ; ",IF(OR(E31="DateTime",E31="TimeSpan")," : any ;",IF(E31="int"," : number = 0 ;","")))</f>
        <v xml:space="preserve"> : string = '' ; </v>
      </c>
      <c r="H31" s="38" t="str">
        <f>IF(E31="DateTime",
REPT(CHAR(9),3)&amp;"{headerName: this.l('"&amp;C31&amp;"'),headerTooltip: this.l('"&amp;C31&amp;"'),field: '"&amp;D31&amp;"',valueGetter: (params) =&gt; this.pipe.transform(params.data?."&amp;D31&amp;", 'dd/MM/yyyy'),flex: 1},",
IF(AND(E31="string",F31="1"),
REPT(CHAR(9),3)&amp;"{headerName: this.l('"&amp;C31&amp;"'),headerTooltip: this.l('"&amp;C31&amp;"'),field:  '"&amp;D31&amp;"', cellClass: ['text-center'], width: 120, cellRenderer: 'agCellButtonComponent',
buttonDefTwo: { text: params =&gt; (params.data?.'"&amp;D31&amp;"' == 'Y') ? 'Active' : 'Inactive',iconName: 'fa fa-circle',className: params =&gt; (params.data?.'"&amp;D31&amp;"' == 'Y') ? 'btnActive' : 'btnInActive',},}",
REPT(CHAR(9),3)&amp;"{headerName: this.l('"&amp;C31&amp;"'),headerTooltip: this.l('"&amp;C31&amp;"'),field: '"&amp;D31&amp;"',flex: 1},"))</f>
        <v xml:space="preserve">			{headerName: this.l('Up Status'),headerTooltip: this.l('Up Status'),field: 'upStatus',flex: 1},</v>
      </c>
      <c r="I31" s="38" t="str">
        <f>IF(E31="DateTime",
REPT(CHAR(9),8)&amp;"&lt;div class='input-search'&gt;
"&amp;REPT(CHAR(9),9)&amp;"&lt;input type='text' [placeholder]=""l('"&amp;C31&amp;"')"" [(ngModel)]='"&amp;D31&amp;"' 
"&amp;REPT(CHAR(9),9)&amp;"name='"&amp;D31&amp;"'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IF(E31="string",
REPT(CHAR(9),8)&amp;"&lt;div class='input-search'&gt;
"&amp;REPT(CHAR(9),9)&amp;"&lt;input [(ngModel)]='"&amp;D31&amp;"' name='"&amp;D31&amp;"'
"&amp;REPT(CHAR(9),9)&amp;"class='form-control' [placeholder]=""l('"&amp;C31&amp;"')""
"&amp;REPT(CHAR(9),9)&amp;"type='text' (keyup.enter)='searchDatas()'&gt;
"&amp;REPT(CHAR(9),8)&amp;"&lt;/div&gt;",""))</f>
        <v xml:space="preserve">								&lt;div class='input-search'&gt;
									&lt;input [(ngModel)]='upStatus' name='upStatus'
									class='form-control' [placeholder]="l('Up Status')"
									type='text' (keyup.enter)='searchDatas()'&gt;
								&lt;/div&gt;</v>
      </c>
      <c r="J31" s="31"/>
      <c r="K31" s="38" t="str">
        <f>IF(OR(E31="DateTime",E31="TimeSpan"),
REPT(CHAR(9),5)&amp;"&lt;div class='col-md-12 form-group row'&gt;
"&amp;REPT(CHAR(9),6)&amp;"&lt;label class='col-md-2 form-control title'&gt;"&amp;C31&amp;"&lt;/label&gt;
"&amp;REPT(CHAR(9),6)&amp;"&lt;input type='text' class='col-md-10 form-control input-text' name='"&amp;D31&amp;"' 
"&amp;REPT(CHAR(9),6)&amp;"#datepicker='bsDatepicker' [(ngModel)]='rowdata."&amp;D31&amp;"'  bsDatepicker &gt;
"&amp;REPT(CHAR(9),5)&amp;"&lt;/div&gt;",
IF(AND(E31="string",F31="1"),
REPT(CHAR(9),5)&amp;"&lt;div class='col-md-12 form-group row'&gt;
"&amp;REPT(CHAR(9),6)&amp;"&lt;label class='col-md-2 form-control title'&gt;"&amp;C31&amp;"&lt;/label&gt;
"&amp;REPT(CHAR(9),6)&amp;"&lt;new-checkbox [(ngModel)]='_"&amp;D31&amp;"' name='"&amp;D31&amp;"' className='col-md-10' &gt; &lt;/new-checkbox&gt;
"&amp;REPT(CHAR(9),5)&amp;"&lt;/div&gt;",
IF(E31="string",
REPT(CHAR(9),5)&amp;"&lt;div class='col-md-12 form-group row'&gt;
"&amp;REPT(CHAR(9),6)&amp;"&lt;label class='col-md-2 form-control title'&gt;"&amp;C31&amp;"&lt;/label&gt;
"&amp;REPT(CHAR(9),6)&amp;"&lt;input type='text' class='col-md-10 form-control input-text' name='"&amp;B31&amp;"' [(ngModel)]='rowdata."&amp;D31&amp;"'&gt;
"&amp;REPT(CHAR(9),5)&amp;"&lt;/div&gt;",
IF(E31="int",
REPT(CHAR(9),5)&amp;"&lt;div class='col-md-12 form-group row'&gt;
"&amp;REPT(CHAR(9),6)&amp;"&lt;label class='col-md-2 form-control title'&gt;"&amp;C31&amp;"&lt;/label&gt;
"&amp;REPT(CHAR(9),6)&amp;"&lt;input type='number' class='col-md-10 form-control input-text' name='"&amp;B31&amp;"' [(ngModel)]='rowdata."&amp;D31&amp;"'&gt;
"&amp;REPT(CHAR(9),5)&amp;"&lt;/div&gt;",""))))</f>
        <v xml:space="preserve">					&lt;div class='col-md-12 form-group row'&gt;
						&lt;label class='col-md-2 form-control title'&gt;Up Status&lt;/label&gt;
						&lt;input type='text' class='col-md-10 form-control input-text' name='UpStatus' [(ngModel)]='rowdata.upStatus'&gt;
					&lt;/div&gt;</v>
      </c>
      <c r="L31" s="60" t="str">
        <f>IF(E31="DateTime",
REPT(CHAR(9),2)&amp;"const dateValue =  this.rowdata."&amp;D31&amp;" ? new Date(this.rowdata."&amp;D31&amp;"?.toString()) : new Date();
"&amp;REPT(CHAR(9),2)&amp;"this.datepicker?.bsValueChange.emit(dateValue);","")</f>
        <v/>
      </c>
      <c r="M31" s="31"/>
      <c r="N31" s="31"/>
      <c r="O31" s="31"/>
      <c r="P31" s="31"/>
      <c r="Q31" s="31"/>
      <c r="R31" s="31"/>
      <c r="S31" s="31" t="str">
        <f>D31&amp;G31</f>
        <v xml:space="preserve">upStatus : string = '' ; </v>
      </c>
      <c r="T31" s="31" t="str">
        <f>REPT(CHAR(9),3)&amp;"this."&amp;D31&amp;","</f>
        <v xml:space="preserve">			this.upStatus,</v>
      </c>
      <c r="U31" s="31" t="str">
        <f>IF(E31="int","this."&amp;D31&amp;" = 0,","this."&amp;D31&amp;" = '',")</f>
        <v>this.upStatus = '',</v>
      </c>
      <c r="V31" s="31" t="str">
        <f>IF(AND(E31="string",F31="1"),D31,"")</f>
        <v/>
      </c>
    </row>
    <row r="32" spans="1:22" ht="15" customHeight="1" x14ac:dyDescent="0.25">
      <c r="A32" s="44" t="s">
        <v>302</v>
      </c>
      <c r="B32" s="31" t="str">
        <f t="shared" ref="B32" si="75">SUBSTITUTE(PROPER(A32),"_","")</f>
        <v>IsActive</v>
      </c>
      <c r="C32" s="31" t="str">
        <f t="shared" ref="C32" si="76">SUBSTITUTE(PROPER(A32),"_"," ")</f>
        <v>Is Active</v>
      </c>
      <c r="D32" s="31" t="str">
        <f t="shared" ref="D32" si="77">LOWER(LEFT(B32,1))&amp;RIGHT(B32,LEN(B32) - 1)</f>
        <v>isActive</v>
      </c>
      <c r="E32" s="31" t="str">
        <f>A.Backend!H26</f>
        <v>string</v>
      </c>
      <c r="F32" s="31" t="str">
        <f>A.Backend!G26</f>
        <v>1</v>
      </c>
      <c r="G32" s="31" t="str">
        <f t="shared" ref="G32" si="78">IF(E32="string"," : string = '' ; ",IF(OR(E32="DateTime",E32="TimeSpan")," : any ;",IF(E32="int"," : number = 0 ;","")))</f>
        <v xml:space="preserve"> : string = '' ; </v>
      </c>
      <c r="H32" s="38" t="str">
        <f t="shared" ref="H32" si="79">IF(E32="DateTime",
REPT(CHAR(9),3)&amp;"{headerName: this.l('"&amp;C32&amp;"'),headerTooltip: this.l('"&amp;C32&amp;"'),field: '"&amp;D32&amp;"',valueGetter: (params) =&gt; this.pipe.transform(params.data?."&amp;D32&amp;", 'dd/MM/yyyy'),flex: 1},",
IF(AND(E32="string",F32="1"),
REPT(CHAR(9),3)&amp;"{headerName: this.l('"&amp;C32&amp;"'),headerTooltip: this.l('"&amp;C32&amp;"'),field:  '"&amp;D32&amp;"', cellClass: ['text-center'], width: 120, cellRenderer: 'agCellButtonComponent',
buttonDefTwo: { text: params =&gt; (params.data?.'"&amp;D32&amp;"' == 'Y') ? 'Active' : 'Inactive',iconName: 'fa fa-circle',className: params =&gt; (params.data?.'"&amp;D32&amp;"' == 'Y') ? 'btnActive' : 'btnInActive',},}",
REPT(CHAR(9),3)&amp;"{headerName: this.l('"&amp;C32&amp;"'),headerTooltip: this.l('"&amp;C32&amp;"'),field: '"&amp;D32&amp;"',flex: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32" s="38" t="str">
        <f t="shared" ref="I32" si="80">IF(E32="DateTime",
REPT(CHAR(9),8)&amp;"&lt;div class='input-search'&gt;
"&amp;REPT(CHAR(9),9)&amp;"&lt;input type='text' [placeholder]=""l('"&amp;C32&amp;"')"" [(ngModel)]='"&amp;D32&amp;"' 
"&amp;REPT(CHAR(9),9)&amp;"name='"&amp;D32&amp;"'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IF(E32="string",
REPT(CHAR(9),8)&amp;"&lt;div class='input-search'&gt;
"&amp;REPT(CHAR(9),9)&amp;"&lt;input [(ngModel)]='"&amp;D32&amp;"' name='"&amp;D32&amp;"'
"&amp;REPT(CHAR(9),9)&amp;"class='form-control' [placeholder]=""l('"&amp;C32&amp;"')""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32" s="31"/>
      <c r="K32" s="38" t="str">
        <f t="shared" ref="K32" si="81">IF(OR(E32="DateTime",E32="TimeSpan"),
REPT(CHAR(9),5)&amp;"&lt;div class='col-md-12 form-group row'&gt;
"&amp;REPT(CHAR(9),6)&amp;"&lt;label class='col-md-2 form-control title'&gt;"&amp;C32&amp;"&lt;/label&gt;
"&amp;REPT(CHAR(9),6)&amp;"&lt;input type='text' class='col-md-10 form-control input-text' name='"&amp;D32&amp;"' 
"&amp;REPT(CHAR(9),6)&amp;"#datepicker='bsDatepicker' [(ngModel)]='rowdata."&amp;D32&amp;"'  bsDatepicker &gt;
"&amp;REPT(CHAR(9),5)&amp;"&lt;/div&gt;",
IF(AND(E32="string",F32="1"),
REPT(CHAR(9),5)&amp;"&lt;div class='col-md-12 form-group row'&gt;
"&amp;REPT(CHAR(9),6)&amp;"&lt;label class='col-md-2 form-control title'&gt;"&amp;C32&amp;"&lt;/label&gt;
"&amp;REPT(CHAR(9),6)&amp;"&lt;new-checkbox [(ngModel)]='_"&amp;D32&amp;"' name='"&amp;D32&amp;"' className='col-md-10' &gt; &lt;/new-checkbox&gt;
"&amp;REPT(CHAR(9),5)&amp;"&lt;/div&gt;",
IF(E32="string",
REPT(CHAR(9),5)&amp;"&lt;div class='col-md-12 form-group row'&gt;
"&amp;REPT(CHAR(9),6)&amp;"&lt;label class='col-md-2 form-control title'&gt;"&amp;C32&amp;"&lt;/label&gt;
"&amp;REPT(CHAR(9),6)&amp;"&lt;input type='text' class='col-md-10 form-control input-text' name='"&amp;B32&amp;"' [(ngModel)]='rowdata."&amp;D32&amp;"'&gt;
"&amp;REPT(CHAR(9),5)&amp;"&lt;/div&gt;",
IF(E32="int",
REPT(CHAR(9),5)&amp;"&lt;div class='col-md-12 form-group row'&gt;
"&amp;REPT(CHAR(9),6)&amp;"&lt;label class='col-md-2 form-control title'&gt;"&amp;C32&amp;"&lt;/label&gt;
"&amp;REPT(CHAR(9),6)&amp;"&lt;input type='number' class='col-md-10 form-control input-text' name='"&amp;B32&amp;"' [(ngModel)]='rowdata."&amp;D32&amp;"'&gt;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32" s="60" t="str">
        <f t="shared" ref="L32" si="82">IF(E32="DateTime",
REPT(CHAR(9),2)&amp;"const dateValue =  this.rowdata."&amp;D32&amp;" ? new Date(this.rowdata."&amp;D32&amp;"?.toString()) : new Date();
"&amp;REPT(CHAR(9),2)&amp;"this.datepicker?.bsValueChange.emit(dateValue);","")</f>
        <v/>
      </c>
      <c r="M32" s="31"/>
      <c r="N32" s="31"/>
      <c r="O32" s="31"/>
      <c r="P32" s="31"/>
      <c r="Q32" s="31"/>
      <c r="R32" s="31"/>
      <c r="S32" s="31" t="str">
        <f>REPT(CHAR(9),1)&amp;D32&amp;G32</f>
        <v xml:space="preserve">	isActive : string = '' ; </v>
      </c>
      <c r="T32" s="31" t="str">
        <f>REPT(CHAR(9),3)&amp;"this."&amp;D32&amp;","</f>
        <v xml:space="preserve">			this.isActive,</v>
      </c>
      <c r="U32" s="31" t="str">
        <f>IF(E32="int",REPT(CHAR(9),2)&amp;"this."&amp;D32&amp;" = 0,",REPT(CHAR(9),2)&amp;"this."&amp;D32&amp;" = '',")</f>
        <v xml:space="preserve">		this.isActive = '',</v>
      </c>
      <c r="V32" s="31" t="str">
        <f t="shared" ref="V32" si="83">IF(AND(E32="string",F32="1"),D32,"")</f>
        <v>isActive</v>
      </c>
    </row>
    <row r="35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2022-08-24T06:04:35Z</dcterms:modified>
</cp:coreProperties>
</file>
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w\lup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V23" i="5" s="1"/>
  <c r="E24" i="5"/>
  <c r="F24" i="5"/>
  <c r="V24" i="5" s="1"/>
  <c r="E25" i="5"/>
  <c r="F25" i="5"/>
  <c r="L25" i="5"/>
  <c r="G25" i="5"/>
  <c r="C25" i="5"/>
  <c r="B25" i="5"/>
  <c r="D25" i="5" s="1"/>
  <c r="G24" i="5"/>
  <c r="C24" i="5"/>
  <c r="I24" i="5" s="1"/>
  <c r="B24" i="5"/>
  <c r="D24" i="5" s="1"/>
  <c r="L23" i="5"/>
  <c r="G23" i="5"/>
  <c r="C23" i="5"/>
  <c r="B23" i="5"/>
  <c r="D23" i="5" s="1"/>
  <c r="L17" i="1"/>
  <c r="G17" i="1"/>
  <c r="E17" i="1"/>
  <c r="H17" i="1" s="1"/>
  <c r="D17" i="1"/>
  <c r="V17" i="1" s="1"/>
  <c r="L16" i="1"/>
  <c r="G16" i="1"/>
  <c r="E16" i="1"/>
  <c r="H16" i="1" s="1"/>
  <c r="N16" i="1" s="1"/>
  <c r="D16" i="1"/>
  <c r="T16" i="1" s="1"/>
  <c r="S25" i="5" l="1"/>
  <c r="U25" i="5"/>
  <c r="T25" i="5"/>
  <c r="I25" i="5"/>
  <c r="H25" i="5"/>
  <c r="V25" i="5"/>
  <c r="U23" i="5"/>
  <c r="T23" i="5"/>
  <c r="I23" i="5"/>
  <c r="S23" i="5"/>
  <c r="H23" i="5"/>
  <c r="L24" i="5"/>
  <c r="K24" i="5"/>
  <c r="S24" i="5"/>
  <c r="H24" i="5"/>
  <c r="U24" i="5"/>
  <c r="T24" i="5"/>
  <c r="K23" i="5"/>
  <c r="K25" i="5"/>
  <c r="P17" i="1"/>
  <c r="W17" i="1"/>
  <c r="O17" i="1"/>
  <c r="J17" i="1"/>
  <c r="N17" i="1"/>
  <c r="I17" i="1"/>
  <c r="M17" i="1"/>
  <c r="M16" i="1"/>
  <c r="J16" i="1"/>
  <c r="O16" i="1"/>
  <c r="W16" i="1"/>
  <c r="T17" i="1"/>
  <c r="I16" i="1"/>
  <c r="V16" i="1"/>
  <c r="P16" i="1"/>
  <c r="C20" i="5"/>
  <c r="B20" i="5"/>
  <c r="D20" i="5" s="1"/>
  <c r="C19" i="5"/>
  <c r="B19" i="5"/>
  <c r="D19" i="5" s="1"/>
  <c r="C18" i="5"/>
  <c r="B18" i="5"/>
  <c r="D18" i="5" s="1"/>
  <c r="T18" i="5" s="1"/>
  <c r="G15" i="1"/>
  <c r="E15" i="1"/>
  <c r="H15" i="1" s="1"/>
  <c r="D15" i="1"/>
  <c r="V15" i="1" s="1"/>
  <c r="G14" i="1"/>
  <c r="E14" i="1"/>
  <c r="H14" i="1" s="1"/>
  <c r="D14" i="1"/>
  <c r="V14" i="1" s="1"/>
  <c r="O14" i="1" l="1"/>
  <c r="V20" i="5"/>
  <c r="T20" i="5"/>
  <c r="H20" i="5"/>
  <c r="T19" i="5"/>
  <c r="L20" i="5"/>
  <c r="L15" i="1"/>
  <c r="W15" i="1"/>
  <c r="J15" i="1"/>
  <c r="O15" i="1"/>
  <c r="N15" i="1"/>
  <c r="M15" i="1"/>
  <c r="I15" i="1"/>
  <c r="P15" i="1"/>
  <c r="P14" i="1"/>
  <c r="L14" i="1"/>
  <c r="T15" i="1"/>
  <c r="N14" i="1"/>
  <c r="T14" i="1"/>
  <c r="I14" i="1"/>
  <c r="J14" i="1"/>
  <c r="W14" i="1"/>
  <c r="M14" i="1"/>
  <c r="G18" i="1"/>
  <c r="E18" i="1"/>
  <c r="H18" i="1" s="1"/>
  <c r="D18" i="1"/>
  <c r="V18" i="1" s="1"/>
  <c r="G19" i="1"/>
  <c r="E19" i="1"/>
  <c r="H19" i="1" s="1"/>
  <c r="D19" i="1"/>
  <c r="P19" i="1" s="1"/>
  <c r="G20" i="5" l="1"/>
  <c r="S20" i="5" s="1"/>
  <c r="K20" i="5"/>
  <c r="U20" i="5"/>
  <c r="I20" i="5"/>
  <c r="T18" i="1"/>
  <c r="W19" i="1"/>
  <c r="T19" i="1"/>
  <c r="P18" i="1"/>
  <c r="N18" i="1"/>
  <c r="I18" i="1"/>
  <c r="M18" i="1"/>
  <c r="W18" i="1"/>
  <c r="O18" i="1"/>
  <c r="J18" i="1"/>
  <c r="M19" i="1"/>
  <c r="I19" i="1"/>
  <c r="N19" i="1"/>
  <c r="V19" i="1"/>
  <c r="J19" i="1"/>
  <c r="O19" i="1"/>
  <c r="W3" i="1" l="1"/>
  <c r="V3" i="1"/>
  <c r="B2" i="5" l="1"/>
  <c r="B3" i="5" s="1"/>
  <c r="C22" i="5"/>
  <c r="B21" i="5"/>
  <c r="D21" i="5" s="1"/>
  <c r="G13" i="1"/>
  <c r="E13" i="1"/>
  <c r="H13" i="1" s="1"/>
  <c r="D13" i="1"/>
  <c r="G12" i="1"/>
  <c r="E12" i="1"/>
  <c r="H12" i="1" s="1"/>
  <c r="D12" i="1"/>
  <c r="V18" i="5" l="1"/>
  <c r="I18" i="5"/>
  <c r="L18" i="5"/>
  <c r="U18" i="5"/>
  <c r="K18" i="5"/>
  <c r="G18" i="5"/>
  <c r="S18" i="5" s="1"/>
  <c r="H18" i="5"/>
  <c r="H19" i="5"/>
  <c r="I19" i="5"/>
  <c r="G19" i="5"/>
  <c r="S19" i="5" s="1"/>
  <c r="U19" i="5"/>
  <c r="V19" i="5"/>
  <c r="K19" i="5"/>
  <c r="L19" i="5"/>
  <c r="V12" i="1"/>
  <c r="T12" i="1"/>
  <c r="N13" i="1"/>
  <c r="O13" i="1"/>
  <c r="M13" i="1"/>
  <c r="N12" i="1"/>
  <c r="M12" i="1"/>
  <c r="O12" i="1"/>
  <c r="T13" i="1"/>
  <c r="V13" i="1"/>
  <c r="W12" i="1"/>
  <c r="W13" i="1"/>
  <c r="T21" i="5"/>
  <c r="P13" i="1"/>
  <c r="C21" i="5"/>
  <c r="B22" i="5"/>
  <c r="D22" i="5" s="1"/>
  <c r="J12" i="1"/>
  <c r="I12" i="1"/>
  <c r="I13" i="1"/>
  <c r="P12" i="1"/>
  <c r="J13" i="1"/>
  <c r="B6" i="5"/>
  <c r="L22" i="5" l="1"/>
  <c r="I22" i="5"/>
  <c r="K22" i="5"/>
  <c r="H22" i="5"/>
  <c r="L21" i="5"/>
  <c r="K21" i="5"/>
  <c r="I21" i="5"/>
  <c r="H21" i="5"/>
  <c r="G22" i="5"/>
  <c r="S22" i="5" s="1"/>
  <c r="U22" i="5"/>
  <c r="V22" i="5"/>
  <c r="G21" i="5"/>
  <c r="S21" i="5" s="1"/>
  <c r="U21" i="5"/>
  <c r="V21" i="5"/>
  <c r="T22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21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21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21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V13" i="5"/>
  <c r="S13" i="5"/>
  <c r="K13" i="5"/>
  <c r="H13" i="5"/>
  <c r="U13" i="5"/>
  <c r="I13" i="5"/>
  <c r="L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8" i="1" s="1"/>
  <c r="L11" i="1" l="1"/>
  <c r="L13" i="1"/>
  <c r="L12" i="1"/>
  <c r="L19" i="1"/>
  <c r="L9" i="1"/>
  <c r="L10" i="1"/>
  <c r="J11" i="1"/>
  <c r="J9" i="1"/>
  <c r="J10" i="1"/>
  <c r="C7" i="1"/>
  <c r="I21" i="1"/>
  <c r="N21" i="1"/>
  <c r="O21" i="1"/>
  <c r="P21" i="1"/>
  <c r="J21" i="1"/>
  <c r="Q7" i="1" l="1"/>
  <c r="M47" i="3" s="1"/>
  <c r="L7" i="1"/>
  <c r="G47" i="3" s="1"/>
  <c r="K47" i="3"/>
  <c r="J47" i="3"/>
  <c r="M21" i="1"/>
  <c r="K21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<sst xmlns="http://schemas.openxmlformats.org/spreadsheetml/2006/main" count="414" uniqueCount="321">
  <si>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</si>
  <si>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</si>
  <si>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</si>
  <si>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</si>
  <si>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</si>
  <si>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</si>
  <si>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</si>
  <si>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</si>
  <si>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</si>
  <si>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</si>
  <si>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</si>
  <si>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</si>
  <si>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</si>
  <si>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</si>
  <si>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</si>
  <si>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</si>
  <si>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</si>
  <si>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</si>
  <si>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</si>
  <si>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</si>
  <si>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</si>
  <si>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</si>
  <si>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</si>
  <si>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</si>
  <si>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</si>
  <si>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</si>
  <si>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</si>
  <si>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</si>
  <si>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</si>
  <si>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</si>
  <si>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</si>
  <si>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</si>
  <si>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</si>
  <si>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</si>
  <si>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</si>
  <si>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</si>
  <si>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</si>
  <si>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</si>
  <si>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</si>
  <si>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</si>
  <si>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</si>
  <si>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</si>
  <si>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</si>
  <si>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</si>
  <si>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</si>
  <si>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</si>
  <si>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</si>
  <si>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</si>
  <si>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</si>
  <si>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</si>
  <si>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</si>
  <si>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</si>
  <si>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</si>
  <si>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</si>
  <si>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</si>
  <si>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</si>
  <si>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</si>
  <si>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</si>
  <si>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</si>
  <si>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</si>
  <si>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</si>
  <si>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</si>
  <si>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</si>
  <si>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</si>
  <si>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</si>
  <si>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</si>
  <si>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</si>
  <si>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</si>
  <si>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</si>
  <si>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</si>
  <si>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</si>
  <si>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</si>
  <si>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</si>
  <si>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</si>
  <si>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</si>
  <si>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</si>
  <si>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</si>
  <si>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</si>
  <si>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</si>
  <si>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</si>
  <si>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</si>
  <si>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</si>
  <si>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</si>
  <si>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</si>
  <si>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</si>
  <si>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</si>
  <si>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</si>
  <si>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</si>
  <si>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</si>
  <si>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</si>
  <si>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</si>
  <si>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</si>
  <si>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</si>
  <si>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</si>
  <si>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</si>
  <si>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</si>
  <si>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</si>
  <si>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</si>
  <si>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</si>
  <si>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</si>
  <si>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</si>
  <si>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</si>
  <si>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</si>
  <si>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</si>
  <si>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</si>
  <si>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</si>
  <si>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</si>
  <si>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</si>
  <si>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</si>
  <si>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</si>
  <si>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</si>
  <si>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</si>
  <si>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</si>
  <si>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</si>
  <si>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</si>
  <si>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</si>
  <si>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</si>
  <si>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</si>
  <si>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</si>
  <si>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</si>
  <si>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</si>
  <si>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</si>
  <si>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</si>
  <si>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</si>
  <si>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</si>
  <si>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</si>
  <si>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</si>
  <si>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</si>
  <si>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</si>
  <si>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</si>
  <si>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</si>
  <si>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</si>
  <si>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</si>
  <si>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</si>
  <si>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</si>
  <si>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</si>
  <si>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</si>
  <si>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</si>
  <si>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</si>
  <si>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</si>
  <si>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</si>
  <si>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</si>
  <si>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</si>
  <si>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</si>
  <si>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</si>
  <si>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</si>
  <si>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</si>
  <si>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</si>
  <si>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</si>
  <si>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</si>
  <si>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</si>
  <si>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</si>
  <si>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</si>
  <si>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</si>
  <si>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</si>
  <si>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</si>
  <si>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</si>
  <si>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</si>
  <si>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</si>
  <si>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</si>
  <si>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</si>
  <si>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</si>
  <si>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</si>
  <si>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</si>
  <si>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</si>
  <si>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</si>
  <si>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</si>
  <si>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</si>
  <si>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</si>
  <si>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</si>
  <si>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</si>
  <si>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</si>
  <si>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</si>
  <si>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</si>
  <si>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</si>
  <si>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</si>
  <si>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</si>
  <si>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</si>
  <si>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</si>
  <si>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</si>
  <si>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</si>
  <si>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</si>
  <si>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</si>
  <si>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</si>
  <si>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</si>
  <si>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</si>
  <si>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</si>
  <si>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</si>
  <si>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</si>
  <si>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</si>
  <si>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</si>
  <si>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</si>
  <si>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</si>
  <si>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</si>
  <si>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</si>
  <si>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</si>
  <si>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</si>
  <si>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</si>
  <si>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</si>
  <si>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</si>
  <si>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</si>
  <si>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</si>
  <si>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</si>
  <si>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</si>
  <si>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</si>
  <si>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</si>
  <si>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</si>
  <si>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</si>
  <si>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</si>
  <si>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</si>
  <si>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</si>
  <si>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</si>
  <si>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</si>
  <si>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</si>
  <si>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</si>
  <si>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</si>
  <si>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</si>
  <si>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</si>
  <si>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</si>
  <si>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</si>
  <si>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</si>
  <si>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</si>
  <si>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</si>
  <si>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</si>
  <si>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</si>
  <si>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</si>
  <si>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</si>
  <si>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</si>
  <si>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</si>
  <si>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</si>
  <si>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</si>
  <si>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</si>
  <si>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</si>
  <si>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</si>
  <si>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</si>
  <si>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</si>
  <si>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</si>
  <si>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</si>
  <si>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</si>
  <si>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</si>
  <si>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</si>
  <si>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</si>
  <si>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</si>
  <si>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</si>
  <si>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</si>
  <si>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</si>
  <si>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</si>
  <si>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</si>
  <si>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</si>
  <si>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</si>
  <si>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</si>
  <si>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</si>
  <si>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</si>
  <si>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</si>
  <si>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</si>
  <si>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</si>
  <si>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</si>
  <si>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</si>
  <si>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</si>
  <si>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</si>
  <si>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</si>
  <si>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</si>
  <si>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</si>
  <si>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</si>
  <si>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</si>
  <si>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</si>
  <si>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</si>
  <si>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</si>
  <si>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</si>
  <si>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</si>
  <si>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</si>
  <si>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</si>
  <si>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</si>
  <si>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</si>
  <si>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</si>
  <si>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</si>
  <si>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</si>
  <si>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</si>
  <si>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</si>
  <si>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</si>
  <si>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</si>
  <si>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</si>
  <si>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</si>
  <si>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</si>
  <si>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</si>
  <si>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</si>
  <si>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</si>
  <si>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</si>
  <si>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</si>
  <si>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</si>
  <si>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</si>
  <si>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</si>
  <si>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</si>
  <si>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</si>
  <si>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</si>
  <si>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</si>
  <si>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</si>
  <si>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</si>
  <si>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</si>
  <si>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</si>
  <si>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</si>
  <si>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SUPPLIER_NO</t>
  </si>
  <si>
    <t>IS_ACTIVE</t>
  </si>
  <si>
    <t>varchar(50)</t>
  </si>
  <si>
    <t>RENBAN</t>
  </si>
  <si>
    <t>CONTAINER_NO</t>
  </si>
  <si>
    <t>datetime2(7)</t>
  </si>
  <si>
    <t>STATUS</t>
  </si>
  <si>
    <t>INVOICE_NO</t>
  </si>
  <si>
    <t>LOT_NO</t>
  </si>
  <si>
    <t>varchar(20)</t>
  </si>
  <si>
    <t>MODULE_NO</t>
  </si>
  <si>
    <t>varchar(10)</t>
  </si>
  <si>
    <t>varchar(1)</t>
  </si>
  <si>
    <t>SORTING_TYPE</t>
  </si>
  <si>
    <t>SORTING_STATUS</t>
  </si>
  <si>
    <t>UPDATED_SORTING_STATUS</t>
  </si>
  <si>
    <t>LogW.Lup</t>
  </si>
  <si>
    <t>LgwLupContModule</t>
  </si>
  <si>
    <t>ContModule</t>
  </si>
  <si>
    <t>LogW Lot UP Container Module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</si>
</sst>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33" workbookViewId="0">
      <selection activeCell="G31" sqref="G31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vovina.LogW.Lup
{
	[Table("LgwLupContModule")]
	[Index(nameof(InvoiceNo), Name="IX_LgwLupContModule_InvoiceNo")]
	[Index(nameof(SupplierNo), Name="IX_LgwLupContModule_SupplierNo")]
	[Index(nameof(ContainerNo), Name="IX_LgwLupContModule_ContainerNo")]
	[Index(nameof(Renban), Name="IX_LgwLupContModule_Renban")]
	[Index(nameof(IsActive), Name="IX_LgwLupContModule_IsActive")]	public class LgwLupContModule: FullAuditedEntity&lt;long&gt;, IEntity&lt;long&gt;	
	{
		public const int MaxInvoiceNoLength = 50;
		public const int MaxSupplierNoLength = 50;
		public const int MaxContainerNoLength = 50;
		public const int MaxRenbanLength = 50;
		public const int MaxLotNoLength = 20;
		public const int MaxModuleNoLength = 20;
		public const int MaxStatusLength = 10;
		public const int MaxSortingTypeLength = 20;
		public const int MaxSortingStatusLength = 10;
		public const int MaxIsActiveLength = 1;
		[StringLength(MaxInvoiceNoLength)]
		public virtual string InvoiceNo { get; set; }
		[StringLength(MaxSupplierNoLength)]
		public virtual string SupplierNo { get; set; }
		[StringLength(MaxContainerNoLength)]
		public virtual string ContainerNo { get; set; }
		[StringLength(MaxRenbanLength)]
		public virtual string Renban { get; set; }
		[StringLength(MaxLotNoLength)]
		public virtual string LotNo { get; set; }
		[StringLength(MaxModuleNoLength)]
		public virtual string ModuleNo { get; set; }
		[StringLength(MaxStatusLength)]
		public virtual string Status { get; set; }
		[StringLength(MaxSortingTypeLength)]
		public virtual string SortingType { get; set; }
		[StringLength(MaxSortingStatusLength)]
		public virtual string SortingStatus { get; set; }
		[Column(TypeName="datetime2(7)")]
		public virtual DateTime UpdatedSortingStatus { get; set; }
		[StringLength(MaxIsActiveLength)]
		public virtual string IsActive { get; set; }
	}
}
</v>
      </c>
      <c r="D47" s="51" t="str">
        <f>A.Backend!O7</f>
        <v xml:space="preserve">		public const string Pages_LogW_Lup_ContModule = "Pages.LogW.Lup.ContModule";
		public const string Pages_LogW_Lup_ContModule_CreateEdit = "Pages.LogW.Lup.ContModule.CreateEdit";
		public const string Pages_LogW_Lup_ContModule_Delete = "Pages.LogW.Lup.ContModule.Delete";
</v>
      </c>
      <c r="E47" s="51" t="str">
        <f>A.Backend!N7</f>
        <v xml:space="preserve">		var perLgwLupContModule = PARENTS.CreateChildPermission(AppPermissions.Pages_LogW_Lup_ContModule, L( "LogWLupContModule"));
		perLgwLupContModule.CreateChildPermission(AppPermissions.Pages_LogW_Lup_ContModule_CreateEdit, L( "LogWLupContModuleCreateEdit"));
		perLgwLupContModule.CreateChildPermission(AppPermissions.Pages_LogW_Lup_ContModule_Delete, L( "LogWLupContModuleDelete"));</v>
      </c>
      <c r="F47" s="51" t="str">
        <f>A.Backend!K7</f>
        <v>public virtual DbSet&lt;LgwLupContModule&gt; LgwLupContModules { get; set; }</v>
      </c>
      <c r="G47" s="51" t="str">
        <f ca="1">A.Backend!L7</f>
        <v xml:space="preserve">namespace vovina.LogW.Lup
{
	public class LgwLupContModuleConsts	
	{
		public const int MaxInvoiceNoLength = 50;
		public const int MaxSupplierNoLength = 50;
		public const int MaxContainerNoLength = 50;
		public const int MaxRenbanLength = 50;
		public const int MaxLotNoLength = 20;
		public const int MaxModuleNoLength = 20;
		public const int MaxStatusLength = 10;
		public const int MaxSortingTypeLength = 20;
		public const int MaxSortingStatusLength = 10;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vovina.LogW.Lup.Dto
{
	public class LgwLupContModuleDto : EntityDto&lt;long?&gt;	
	{
		public virtual string InvoiceNo { get; set; }
		public virtual string SupplierNo { get; set; }
		public virtual string ContainerNo { get; set; }
		public virtual string Renban { get; set; }
		public virtual string LotNo { get; set; }
		public virtual string ModuleNo { get; set; }
		public virtual string Status { get; set; }
		public virtual string SortingType { get; set; }
		public virtual string SortingStatus { get; set; }
		public virtual DateTime? UpdatedSortingStatus { get; set; }
		public virtual string IsActive { get; set; }
	}
	public class CreateOrEditLgwLupContModuleDto : EntityDto&lt;long?&gt;	
	{
		[StringLength(LgwLupContModuleConsts.MaxInvoiceNoLength)]
		public virtual string InvoiceNo { get; set; }
		[StringLength(LgwLupContModuleConsts.MaxSupplierNoLength)]
		public virtual string SupplierNo { get; set; }
		[StringLength(LgwLupContModuleConsts.MaxContainerNoLength)]
		public virtual string ContainerNo { get; set; }
		[StringLength(LgwLupContModuleConsts.MaxRenbanLength)]
		public virtual string Renban { get; set; }
		[StringLength(LgwLupContModuleConsts.MaxLotNoLength)]
		public virtual string LotNo { get; set; }
		[StringLength(LgwLupContModuleConsts.MaxModuleNoLength)]
		public virtual string ModuleNo { get; set; }
		[StringLength(LgwLupContModuleConsts.MaxStatusLength)]
		public virtual string Status { get; set; }
		[StringLength(LgwLupContModuleConsts.MaxSortingTypeLength)]
		public virtual string SortingType { get; set; }
		[StringLength(LgwLupContModuleConsts.MaxSortingStatusLength)]
		public virtual string SortingStatus { get; set; }
		public virtual DateTime? UpdatedSortingStatus { get; set; }
		[StringLength(LgwLupContModuleConsts.MaxIsActiveLength)]
		public virtual string IsActive { get; set; }
	}
	public class GetLgwLupContModuleInput : PagedAndSortedResultRequestDto	
	{
		public virtual string InvoiceNo { get; set; }
		public virtual string SupplierNo { get; set; }
		public virtual string ContainerNo { get; set; }
		public virtual string Renban { get; set; }
		public virtual string LotNo { get; set; }
		public virtual string ModuleNo { get; set; }
		public virtual string Status { get; set; }
		public virtual string SortingType { get; set; }
		public virtual string SortingStatus { get; set; }
		public virtual DateTime? UpdatedSortingStatus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vovina.LogW.Lup.Dto
{
	public class LgwLupContModuleExportInput{
		public virtual string InvoiceNo { get; set; }
		public virtual string SupplierNo { get; set; }
		public virtual string ContainerNo { get; set; }
		public virtual string Renban { get; set; }
		public virtual string LotNo { get; set; }
		public virtual string ModuleNo { get; set; }
		public virtual string Status { get; set; }
		public virtual string SortingType { get; set; }
		public virtual string SortingStatus { get; set; }
		public virtual DateTime? UpdatedSortingStatus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vovina.LogW.Lup.Dto;
namespace vovina.LogW.Lup
{
	public interface ILgwLupContModuleAppService : IApplicationService
	{
		Task&lt;PagedResultDto&lt;LgwLupContModuleDto&gt;&gt; GetAll(GetLgwLupContModuleInput input);
		Task CreateOrEdit(CreateOrEditLgwLupContModuleDto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vovina.LogW.Lup.Dto;
namespace vovina.LogW.Lup.Exporting
{
	public interface ILgwLupContModuleExcelExporter : IApplicationService
	{
		FileDto ExportToFile(List&lt;LgwLupContModuleDto&gt; lgwlupcontmodule);
	}
}
</v>
      </c>
      <c r="L47" s="51" t="str">
        <f ca="1">A.Backend!T7</f>
        <v>using System.Collections.Generic;
using vovina.DataExporting.Excel.NPOI;
using vovina.Dto;
using vovina.LogW.Lup.Exporting;
using vovina.LogW.Lup.Dto;
using vovina.Storage;
using vovina.LogW.Lup.Dto;
namespace vovina.LogW.Lup.Exporting
{
    public class LgwLupContModuleExcelExporter : NpoiExcelExporterBase, ILgwLupContModuleExcelExporter
    {
        public LgwLupContModuleExcelExporter(ITempFileCacheManager tempFileCacheManager) : base(tempFileCacheManager) { }
        public FileDto ExportToFile(List&lt;LgwLupContModuleDto&gt; contmodule)
        {
            return CreateExcelPackage(
				"LogWLupContModule.xlsx",
				excelPackage =&gt;
				 {
					var sheet = excelPackage.CreateSheet("ContModule");
					AddHeader(
								sheet,
								("InvoiceNo"),
								("SupplierNo"),
								("ContainerNo"),
								("Renban"),
								("LotNo"),
								("ModuleNo"),
								("Status"),
								("SortingType"),
								("SortingStatus"),
								("UpdatedSortingStatus"),
								("IsActive"),
							   );
					AddObjects(
						 sheet, 1, contmodule,                                       
								_ =&gt; _.InvoiceNo,
								_ =&gt; _.SupplierNo,
								_ =&gt; _.ContainerNo,
								_ =&gt; _.Renban,
								_ =&gt; _.LotNo,
								_ =&gt; _.ModuleNo,
								_ =&gt; _.Status,
								_ =&gt; _.SortingType,
								_ =&gt; _.SortingStatus,
								_ =&gt; _.UpdatedSortingStatus,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vovina.LogW.Lup.Dto;
using vovina.LogW.Lup.Exporting;
namespace vovina.LogW.Lup
{
    [AbpAuthorize(AppPermissions.Pages_LogW_Lup_ContModule)]
    public class LgwLupContModuleAppService : vovinaAppServiceBase, ILgwLupContModuleAppService
    {
        private readonly IDapperRepository&lt;LgwLupContModule, long&gt; _dapperRepo;
        private readonly IRepository&lt;LgwLupContModule, long&gt; _repo;
        private readonly ILgwLupContModuleExcelExporter _calendarListExcelExporter;
        public LgwLupContModuleAppService(IRepository&lt;LgwLupContModule,long&gt; repo, 
                                         IDapperRepository&lt;LgwLupContModule,long&gt; dapperRepo,
                                        ILgwLupContModuleExcelExporter calendarListExcelExporter
            )
        {
            _repo = repo;
            _dapperRepo = dapperRepo;
            _calendarListExcelExporter = calendarListExcelExporter;
        }
        [AbpAuthorize(AppPermissions.Pages_LogW_Lup_ContModule_CreateEdit)]
        public async Task CreateOrEdit(CreateOrEditLgwLupContModuleDto input)
        {
            if (input.Id == null) await Create(input);
            else await Update(input);
        }
        //CREATE
        private async Task Create(CreateOrEditLgwLupContModuleDto input)
        {          
            var mainObj = ObjectMapper.Map&lt;LgwLupContModule&gt;(input);
            await CurrentUnitOfWork.GetDbContext&lt;vovinaDbContext&gt;().AddAsync(mainObj);
        }
        // EDIT
        private async Task Update(CreateOrEditLgwLupContModuleDto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[AbpAuthorize(AppPermissions.Pages_LogW_Lup_ContModule_Delete)]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Task&lt;PagedResultDto&lt;LgwLupContModuleDto&gt;&gt; GetAll(GetLgwLupContModuleInput input)
        {
            var filtered = _repo.GetAll()
				.WhereIf(!string.IsNullOrWhiteSpace(input.InvoiceNo), e =&gt; e.InvoiceNo.Contains(input.InvoiceNo))
				.WhereIf(!string.IsNullOrWhiteSpace(input.SupplierNo), e =&gt; e.SupplierNo.Contains(input.SupplierNo))
				.WhereIf(!string.IsNullOrWhiteSpace(input.ContainerNo), e =&gt; e.ContainerNo.Contains(input.ContainerNo))
				.WhereIf(!string.IsNullOrWhiteSpace(input.Renban), e =&gt; e.Renban.Contains(input.Renban))
				.WhereIf(!string.IsNullOrWhiteSpace(input.LotNo), e =&gt; e.LotNo.Contains(input.LotNo))
				.WhereIf(!string.IsNullOrWhiteSpace(input.ModuleNo), e =&gt; e.ModuleNo.Contains(input.ModuleNo))
				.WhereIf(!string.IsNullOrWhiteSpace(input.Status), e =&gt; e.Status.Contains(input.Status))
				.WhereIf(!string.IsNullOrWhiteSpace(input.SortingType), e =&gt; e.SortingType.Contains(input.SortingType))
				.WhereIf(!string.IsNullOrWhiteSpace(input.SortingStatus), e =&gt; e.SortingStatus.Contains(input.SortingStatus))
				.WhereIf(input.UpdatedSortingStatus.HasValue, t =&gt; t.UpdatedSortingStatus == input.UpdatedSortingStatus.Value)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LgwLupContModuleDto
                        {
							Id = o.Id,
							InvoiceNo = o.InvoiceNo,
							SupplierNo = o.SupplierNo,
							ContainerNo = o.ContainerNo,
							Renban = o.Renban,
							LotNo = o.LotNo,
							ModuleNo = o.ModuleNo,
							Status = o.Status,
							SortingType = o.SortingType,
							SortingStatus = o.SortingStatus,
							UpdatedSortingStatus = o.UpdatedSortingStatus,
							IsActive = o.IsActive,
                        };
            var totalCount = await filtered.CountAsync();
			var paged = system.PageBy(input);
            return new PagedResultDto&lt;LgwLupContModuleDto&gt;(
                totalCount,
                 await paged.ToListAsync()
            );
        }
        public async Task&lt;FileDto&gt; GetContModuleToExcel(LgwLupContModuleExportInput input)
        {
            var query = from o in _repo.GetAll()
                        select new LgwLupContModuleDto
                        {
							Id = o.Id,
							InvoiceNo = o.InvoiceNo,
							SupplierNo = o.SupplierNo,
							ContainerNo = o.ContainerNo,
							Renban = o.Renban,
							LotNo = o.LotNo,
							ModuleNo = o.ModuleNo,
							Status = o.Status,
							SortingType = o.SortingType,
							SortingStatus = o.SortingStatus,
							UpdatedSortingStatus = o.UpdatedSortingStatus,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_dapperRepo.ExecuteAsync(LgwLupContModuleConsts.SP_MST_WPT_CALENDAR_GENERATE);
       // }
    }
}</v>
      </c>
      <c r="N47" s="62" t="str">
        <f>A.Backend!U7</f>
        <v xml:space="preserve">  configuration.CreateMap&lt;LgwLupContModuleDto, LgwLupContModule&gt;();
  configuration.CreateMap&lt;LgwLupContModule, LgwLupContModuleDto&gt;();
  configuration.CreateMap&lt;CreateOrEditLgwLupContModuleDto, LgwLupContModule&gt;();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contmodule</v>
      </c>
      <c r="C52" s="72" t="str">
        <f>"create folder " &amp;B52</f>
        <v>create folder contmodule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contmodule.component.ts</v>
      </c>
      <c r="D53" s="31" t="str">
        <f>B.Frontend!I14</f>
        <v>contmodule.component.html</v>
      </c>
      <c r="E53" s="31" t="str">
        <f>B.Frontend!J14</f>
        <v>contmodule.component.less</v>
      </c>
      <c r="F53" s="31" t="str">
        <f>B.Frontend!K14</f>
        <v>create-or-edit-contmodule-modal.component.html</v>
      </c>
      <c r="G53" s="31" t="str">
        <f>B.Frontend!L14</f>
        <v>create-or-edit-contmodule-modal.component.ts</v>
      </c>
      <c r="H53" s="31" t="str">
        <f>B.Frontend!M14</f>
        <v>create-or-edit-contmodule-modal.component.less</v>
      </c>
      <c r="I53" s="31" t="str">
        <f>B.Frontend!N14</f>
        <v>contmodule.module.ts</v>
      </c>
      <c r="J53" s="31" t="str">
        <f>B.Frontend!O14</f>
        <v>contmodule-routing.module.ts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LgwLupContModuleDto, LgwLupContModuleServiceProxy } from '@shared/service-proxies/service-proxies';
import { finalize } from 'rxjs/internal/operators/finalize';
import { CreateOrEditContModuleModalComponent } from './create-or-edit-contmodule-modal.component';
import { DatePipe } from '@angular/common';
import { FileDownloadService } from '@shared/utils/file-download.service';
import ceil from 'lodash-es/ceil';
import { Paginator } from 'primeng/paginator';
@Component({
    templateUrl: './contmodule.component.html',
    styleUrls: ['./contmodule.component.less'],
})
export class ContModuleComponent extends AppComponentBase implements OnInit {
    @ViewChild('createOrEditModalContModule', { static: true }) createOrEditModalContModule:| CreateOrEditContModuleModalComponent|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LgwLupContModuleDto = new LgwLupContModuleDto();
    saveSelectedRow: LgwLupContModuleDto = new LgwLupContModuleDto();
    datas: LgwLupContModuleDto = new LgwLupContModuleDto();
    isLoading: boolean = false;
    dataParams: GridParams | undefined;
    rowData: any[] = [];
    gridApi!: GridApi;
    rowSelection = 'multiple';
    filter: string = '';
	pipe = new DatePipe('en-US');
	frameworkComponents: FrameworkComponent;
    invoiceNo : string = '' ; 
	supplierNo : string = '' ; 
	containerNo : string = '' ; 
	renban : string = '' ; 
	lotNo : string = '' ; 
moduleNo : string = '' ; 
	status : string = '' ; 
	sortingType : string = '' ; 
	sortingStatus : string = '' ; 
	updatedSortingStatus : any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LgwLupContModuleServiceProxy,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this.l('Invoice No'),headerTooltip: this.l('Invoice No'),field: 'invoiceNo',flex: 1},
			{headerName: this.l('Supplier No'),headerTooltip: this.l('Supplier No'),field: 'supplierNo',flex: 1},
			{headerName: this.l('Container No'),headerTooltip: this.l('Container No'),field: 'containerNo',flex: 1},
			{headerName: this.l('Renban'),headerTooltip: this.l('Renban'),field: 'renban',flex: 1},
			{headerName: this.l('Lot No'),headerTooltip: this.l('Lot No'),field: 'lotNo',flex: 1},
			{headerName: this.l('Module No'),headerTooltip: this.l('Module No'),field: 'moduleNo',flex: 1},
			{headerName: this.l('Status'),headerTooltip: this.l('Status'),field: 'status',flex: 1},
			{headerName: this.l('Sorting Type'),headerTooltip: this.l('Sorting Type'),field: 'sortingType',flex: 1},
			{headerName: this.l('Sorting Status'),headerTooltip: this.l('Sorting Status'),field: 'sortingStatus',flex: 1},
			{headerName: this.l('Updated Sorting Status'),headerTooltip: this.l('Updated Sorting Status'),field: 'updatedSortingStatus',valueGetter: (params) =&gt; this.pipe.transform(params.data?.updatedSortingStatus, 'dd/MM/yyyy'),flex: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this.invoiceNo,
			this.supplierNo,
			this.containerNo,
			this.renban,
			this.lotNo,
			this.moduleNo,
			this.status,
			this.sortingType,
			this.sortingStatus,
			this.updatedSortingStatus,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this.invoiceNo = '',
		this.supplierNo = '',
		this.containerNo = '',
		this.renban = '',
		this.lotNo = '',
this.moduleNo = '',
		this.status = '',
		this.sortingType = '',
		this.sortingStatus = '',
		this.updatedSortingStatus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this.invoiceNo,
			this.supplierNo,
			this.containerNo,
			this.renban,
			this.lotNo,
			this.moduleNo,
			this.status,
			this.sortingType,
			this.sortingStatus,
			this.updatedSortingStatus,
			this.isActive,
			'',
            this.paginationParams.skipCount,
            this.paginationParams.pageSize
        );
    }
    onChangeRowSelection(params: { api: { getSelectedRows: () =&gt; LgwLupContModuleDto[] } }) {
        this.saveSelectedRow = params.api.getSelectedRows()[0] ?? new LgwLupContModuleDto();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LgwLupContModuleDto):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this._service.getContModuleToExcel(
			this.invoiceNo,
			this.supplierNo,
			this.containerNo,
			this.renban,
			this.lotNo,
			this.moduleNo,
			this.status,
			this.sortingType,
			this.sortingStatus,
			this.updatedSortingStatus,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Module Warehouse Container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[(ngModel)]='sortingType' name='sortingType'
									class='form-control' [placeholder]="l('Sorting Type')"
									type='text' (keyup.enter)='searchDatas()'&gt;
								&lt;/div&gt;
								&lt;div class='input-search'&gt;
									&lt;input [(ngModel)]='sortingStatus' name='sortingStatus'
									class='form-control' [placeholder]="l('Sorting Status')"
									type='text' (keyup.enter)='searchDatas()'&gt;
								&lt;/div&gt;
								&lt;div class='input-search'&gt;
									&lt;input type='text' [placeholder]="l('Updated Sorting Status')" [(ngModel)]='updatedSortingStatus' 
									name='updatedSortingStatus'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(click)="createOrEditModalContModule.show()"&gt;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(click)="createOrEditModalContModule.show(selectedRow)"&gt;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&lt;create-or-edit-contmodule-modal
    #createOrEditModalContModule
    (modalSave)="callBackDataGrid(dataParams)"
    (modalClose)="onChangeRowSelection(dataParams)"
&gt;
&lt;/create-or-edit-contmodule-modal&gt;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#createOrEditModalContModule="bs-modal"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ContModule')}}&lt;/h3&gt;
                    &lt;h3 *ngIf="!rowdata.id"&gt;{{('Create New ContModule')}}&lt;/h3&gt;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title'&gt;Sorting Type&lt;/label&gt;
						&lt;input type='text' class='col-md-10 form-control input-text' name='SortingType' [(ngModel)]='rowdata.sortingType'&gt;
					&lt;/div&gt;
					&lt;div class='col-md-12 form-group row'&gt;
						&lt;label class='col-md-2 form-control title'&gt;Sorting Status&lt;/label&gt;
						&lt;input type='text' class='col-md-10 form-control input-text' name='SortingStatus' [(ngModel)]='rowdata.sortingStatus'&gt;
					&lt;/div&gt;
					&lt;div class='col-md-12 form-group row'&gt;
						&lt;label class='col-md-2 form-control title'&gt;Updated Sorting Status&lt;/label&gt;
						&lt;input type='text' class='col-md-10 form-control input-text' name='updatedSortingStatus' 
						#datepicker='bsDatepicker' [(ngModel)]='rowdata.updatedSortingStatus'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CreateOrEditLgwLupContModuleDto, LgwLupContModuleServiceProxy } from '@shared/service-proxies/service-proxies';
import { BsDatepickerDirective } from 'ngx-bootstrap/datepicker';
@Component({
    selector: 'create-or-edit-contmodule-modal',
    templateUrl: './create-or-edit-contmodule-modal.component.html',
    styleUrls: ['./create-or-edit-contmodule-modal.component.less']
    })
export class CreateOrEditContModuleModalComponent extends AppComponentBase {
    @ViewChild('createOrEditModalContModule',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CreateOrEditLgwLupContModuleDto = new CreateOrEditLgwLupContModuleDto();
    active: boolean = false;
    saving: boolean = false;
    _isActive: boolean;
    constructor(
        injector: Injector,
        private _mstwptContModuleService: LgwLupContModuleServiceProxy,
    ) 
    {
        super(injector);
    }
    show(rowdata?: CreateOrEditLgwLupContModuleDto): void {
        if (!rowdata) this.rowdata = new CreateOrEditLgwLupContModuleDto();
        else this.rowdata = rowdata;
		const dateValue =  this.rowdata.updatedSortingStatus ? new Date(this.rowdata.updatedSortingStatus?.toString())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this._mstwptContModuleService.createOrEdit(this.rowdata)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ContModuleRoutingModule } from './contmodule-routing.module';
import { ContModuleComponent } from './contmodule.component';
import { CreateOrEditContModuleModalComponent } from './create-or-edit-contmodule-modal.component';
@NgModule({
    declarations: [
       ContModuleComponent, 
        CreateOrEditContModuleModalComponent
    ],
    imports: [
        AppSharedModule, ContModuleRoutingModule]
})
export class ContModuleModule {}</v>
      </c>
      <c r="J54" s="49" t="str">
        <f>B.Frontend!O10</f>
        <v>import {NgModule} from '@angular/core';
import {RouterModule, Routes} from '@angular/router';
import { ContModuleComponent } from './contmodule.component';
const routes: Routes = [{
    path: '',
    component: ContModuleComponent,
    pathMatch: 'full'
}];
@NgModule({
    imports: [RouterModule.forChild(routes)],
    exports: [RouterModule],
})
export class ContModuleRoutingModule {}</v>
      </c>
      <c r="K54" s="49" t="str">
        <f>B.Frontend!P10</f>
        <v xml:space="preserve"> new AppMenuItem("ContModule", "Pages.LogW.Lup.ContModule", "flaticon-book",   "/app/main/logw/lup/contmodule"),</v>
      </c>
      <c r="L54" s="50" t="str">
        <f>B.Frontend!Q10</f>
        <v>{
    path: 'logw/lup/contmodule',
    loadChildren: () =&gt; import('./logw/lup/contmodule/contmodule.module').then(m =&gt; m.ContModuleModule),
    data: { permission: 'Pages.LogW.Lup.ContModule' }
},</v>
      </c>
      <c r="M54" s="48" t="str">
        <f>B.Frontend!R10</f>
        <v>ApiServiceProxies.LgwLupContModuleServiceProxy,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1"/>
  <sheetViews>
    <sheetView tabSelected="1" workbookViewId="0">
      <pane xSplit="1" topLeftCell="B1" activePane="topRight" state="frozen"/>
      <selection pane="topRight" activeCell="F13" sqref="F13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vovina.LogW.Lup.Dto;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317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318</v>
      </c>
      <c r="C3" s="10" t="s">
        <v>43</v>
      </c>
      <c r="D3" s="10" t="s">
        <v>44</v>
      </c>
      <c r="E3" s="10" t="s">
        <v>39</v>
      </c>
      <c r="F3" s="11" t="str">
        <f>"J"&amp;COUNTA($A:$A)</f>
        <v>J19</v>
      </c>
      <c r="G3" s="4" t="s">
        <v>57</v>
      </c>
      <c r="H3" s="10" t="str">
        <f>"I"&amp;COUNTA($A:$A)</f>
        <v>I19</v>
      </c>
      <c r="I3" s="10" t="str">
        <f>REPT(CHAR(9),2)&amp;"[Required]"&amp;"
"</f>
        <v xml:space="preserve">		[Required]
</v>
      </c>
      <c r="J3" s="11" t="str">
        <f>"L"&amp;COUNTA($A:$A)</f>
        <v>L19</v>
      </c>
      <c r="K3" s="5" t="s">
        <v>56</v>
      </c>
      <c r="L3" s="11" t="str">
        <f>"M"&amp;COUNTA($A:$A)</f>
        <v>M19</v>
      </c>
      <c r="M3" s="11" t="str">
        <f>"N"&amp;COUNTA($A:$A)</f>
        <v>N19</v>
      </c>
      <c r="N3" s="11" t="str">
        <f>"O"&amp;COUNTA($A:$A)</f>
        <v>O19</v>
      </c>
      <c r="O3" s="11" t="str">
        <f>"P"&amp;COUNTA($A:$A)</f>
        <v>P19</v>
      </c>
      <c r="Q3" s="11" t="str">
        <f>RIGHT(B2,(LEN(B2)-FIND(".",B2,1)))</f>
        <v>Lup</v>
      </c>
      <c r="R3" s="32" t="str">
        <f>REPT(CHAR(9),1)&amp;"public class "&amp;B3&amp;"ExportInput"&amp;C3</f>
        <v xml:space="preserve">	public class LgwLupContModuleExportInput{
</v>
      </c>
      <c r="S3" s="11" t="str">
        <f>"namespace "&amp;$B$6&amp;".Exporting
"&amp;$C$3</f>
        <v xml:space="preserve">namespace vovina.LogW.Lup.Exporting
{
</v>
      </c>
      <c r="T3" s="11" t="str">
        <f>"T"&amp;COUNTA($A:$A)</f>
        <v>T19</v>
      </c>
      <c r="V3" s="11" t="str">
        <f>"V"&amp;COUNTA($A:$A)</f>
        <v>V19</v>
      </c>
      <c r="W3" s="10" t="str">
        <f>"W"&amp;COUNTA($A:$A)</f>
        <v>W19</v>
      </c>
    </row>
    <row r="4" spans="1:23" s="11" customFormat="1" ht="33" customHeight="1" x14ac:dyDescent="0.25">
      <c r="A4" s="1" t="s">
        <v>237</v>
      </c>
      <c r="B4" s="64" t="s">
        <v>271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319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vovina.LogW.Lup</v>
      </c>
      <c r="C6" s="11" t="str">
        <f>"namespace "&amp;$B$6&amp;"
"&amp;$C$3</f>
        <v xml:space="preserve">namespace vovina.LogW.Lup
{
</v>
      </c>
      <c r="D6" s="11" t="str">
        <f>REPT(CHAR(9),1)&amp;"public class "&amp;B3&amp;G3&amp;REPT(CHAR(9),1)&amp;"
"&amp;REPT(CHAR(9),1)&amp;C3</f>
        <v xml:space="preserve">	public class LgwLupContModule: FullAuditedEntity&lt;long&gt;, IEntity&lt;long&gt;	
	{
</v>
      </c>
      <c r="E6" s="11" t="str">
        <f>REPT(CHAR(9),1)&amp;"public class "&amp;B3&amp;"Consts"&amp;REPT(CHAR(9),1)&amp;"
"&amp;REPT(CHAR(9),1)&amp;C3</f>
        <v xml:space="preserve">	public class LgwLupContModuleConsts	
	{
</v>
      </c>
      <c r="F6" s="11" t="str">
        <f>REPT(CHAR(9),1)&amp;"public class "&amp;B3&amp;"Dto"&amp;K3&amp;REPT(CHAR(9),1)&amp;"
"&amp;REPT(CHAR(9),1)&amp;C3</f>
        <v xml:space="preserve">	public class LgwLupContModuleDto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CreateOrEditLgwLupContModuleDto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GetLgwLupContModuleInput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LgwLupContModule</v>
      </c>
      <c r="C7" s="11" t="str">
        <f>REPT(CHAR(9),1)&amp;"[Table("""&amp;B7&amp;""")]"&amp;"
"</f>
        <v xml:space="preserve">	[Table("LgwLupContModule")]
</v>
      </c>
      <c r="D7" s="11"/>
      <c r="E7" s="11"/>
      <c r="F7" s="11"/>
      <c r="G7" s="11"/>
      <c r="H7" s="11"/>
      <c r="I7" s="11"/>
      <c r="J7" s="6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vovina.LogW.Lup
{
	[Table("LgwLupContModule")]
	[Index(nameof(InvoiceNo), Name="IX_LgwLupContModule_InvoiceNo")]
	[Index(nameof(SupplierNo), Name="IX_LgwLupContModule_SupplierNo")]
	[Index(nameof(ContainerNo), Name="IX_LgwLupContModule_ContainerNo")]
	[Index(nameof(Renban), Name="IX_LgwLupContModule_Renban")]
	[Index(nameof(IsActive), Name="IX_LgwLupContModule_IsActive")]	public class LgwLupContModule: FullAuditedEntity&lt;long&gt;, IEntity&lt;long&gt;	
	{
		public const int MaxInvoiceNoLength = 50;
		public const int MaxSupplierNoLength = 50;
		public const int MaxContainerNoLength = 50;
		public const int MaxRenbanLength = 50;
		public const int MaxLotNoLength = 20;
		public const int MaxModuleNoLength = 20;
		public const int MaxStatusLength = 10;
		public const int MaxSortingTypeLength = 20;
		public const int MaxSortingStatusLength = 10;
		public const int MaxIsActiveLength = 1;
		[StringLength(MaxInvoiceNoLength)]
		public virtual string InvoiceNo { get; set; }
		[StringLength(MaxSupplierNoLength)]
		public virtual string SupplierNo { get; set; }
		[StringLength(MaxContainerNoLength)]
		public virtual string ContainerNo { get; set; }
		[StringLength(MaxRenbanLength)]
		public virtual string Renban { get; set; }
		[StringLength(MaxLotNoLength)]
		public virtual string LotNo { get; set; }
		[StringLength(MaxModuleNoLength)]
		public virtual string ModuleNo { get; set; }
		[StringLength(MaxStatusLength)]
		public virtual string Status { get; set; }
		[StringLength(MaxSortingTypeLength)]
		public virtual string SortingType { get; set; }
		[StringLength(MaxSortingStatusLength)]
		public virtual string SortingStatus { get; set; }
		[Column(TypeName="datetime2(7)")]
		public virtual DateTime UpdatedSortingStatus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DbSet&lt;LgwLupContModule&gt; LgwLupContModules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vovina.LogW.Lup
{
	public class LgwLupContModuleConsts	
	{
		public const int MaxInvoiceNoLength = 50;
		public const int MaxSupplierNoLength = 50;
		public const int MaxContainerNoLength = 50;
		public const int MaxRenbanLength = 50;
		public const int MaxLotNoLength = 20;
		public const int MaxModuleNoLength = 20;
		public const int MaxStatusLength = 10;
		public const int MaxSortingTypeLength = 20;
		public const int MaxSortingStatusLength = 10;
		public const int MaxIsActiveLength = 1;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vovina.LogW.Lup.Dto
{
	public class LgwLupContModuleDto : EntityDto&lt;long?&gt;	
	{
		public virtual string InvoiceNo { get; set; }
		public virtual string SupplierNo { get; set; }
		public virtual string ContainerNo { get; set; }
		public virtual string Renban { get; set; }
		public virtual string LotNo { get; set; }
		public virtual string ModuleNo { get; set; }
		public virtual string Status { get; set; }
		public virtual string SortingType { get; set; }
		public virtual string SortingStatus { get; set; }
		public virtual DateTime? UpdatedSortingStatus { get; set; }
		public virtual string IsActive { get; set; }
	}
	public class CreateOrEditLgwLupContModuleDto : EntityDto&lt;long?&gt;	
	{
		[StringLength(LgwLupContModuleConsts.MaxInvoiceNoLength)]
		public virtual string InvoiceNo { get; set; }
		[StringLength(LgwLupContModuleConsts.MaxSupplierNoLength)]
		public virtual string SupplierNo { get; set; }
		[StringLength(LgwLupContModuleConsts.MaxContainerNoLength)]
		public virtual string ContainerNo { get; set; }
		[StringLength(LgwLupContModuleConsts.MaxRenbanLength)]
		public virtual string Renban { get; set; }
		[StringLength(LgwLupContModuleConsts.MaxLotNoLength)]
		public virtual string LotNo { get; set; }
		[StringLength(LgwLupContModuleConsts.MaxModuleNoLength)]
		public virtual string ModuleNo { get; set; }
		[StringLength(LgwLupContModuleConsts.MaxStatusLength)]
		public virtual string Status { get; set; }
		[StringLength(LgwLupContModuleConsts.MaxSortingTypeLength)]
		public virtual string SortingType { get; set; }
		[StringLength(LgwLupContModuleConsts.MaxSortingStatusLength)]
		public virtual string SortingStatus { get; set; }
		public virtual DateTime? UpdatedSortingStatus { get; set; }
		[StringLength(LgwLupContModuleConsts.MaxIsActiveLength)]
		public virtual string IsActive { get; set; }
	}
	public class GetLgwLupContModuleInput : PagedAndSortedResultRequestDto	
	{
		public virtual string InvoiceNo { get; set; }
		public virtual string SupplierNo { get; set; }
		public virtual string ContainerNo { get; set; }
		public virtual string Renban { get; set; }
		public virtual string LotNo { get; set; }
		public virtual string ModuleNo { get; set; }
		public virtual string Status { get; set; }
		public virtual string SortingType { get; set; }
		public virtual string SortingStatus { get; set; }
		public virtual DateTime? UpdatedSortingStatus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perLgwLupContModule = PARENTS.CreateChildPermission(AppPermissions.Pages_LogW_Lup_ContModule, L( "LogWLupContModule"));
		perLgwLupContModule.CreateChildPermission(AppPermissions.Pages_LogW_Lup_ContModule_CreateEdit, L( "LogWLupContModuleCreateEdit"));
		perLgwLupContModule.CreateChildPermission(AppPermissions.Pages_LogW_Lup_ContModule_Delete, L( "LogWLupContModuleDelete"));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Pages_LogW_Lup_ContModule = "Pages.LogW.Lup.ContModule";
		public const string Pages_LogW_Lup_ContModule_CreateEdit = "Pages.LogW.Lup.ContModule.CreateEdit";
		public const string Pages_LogW_Lup_ContModule_Delete = "Pages.LogW.Lup.ContModule.Delete";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vovina.LogW.Lup.Dto;
namespace vovina.LogW.Lup
{
	public interface ILgwLupContModuleAppService : IApplicationService
	{
		Task&lt;PagedResultDto&lt;LgwLupContModuleDto&gt;&gt; GetAll(GetLgwLupContModuleInput input);
		Task CreateOrEdit(CreateOrEditLgwLupContModuleDto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vovina.LogW.Lup.Dto;
using vovina.LogW.Lup.Exporting;
namespace vovina.LogW.Lup
{
    [AbpAuthorize(AppPermissions.Pages_LogW_Lup_ContModule)]
    public class LgwLupContModuleAppService : vovinaAppServiceBase, ILgwLupContModuleAppService
    {
        private readonly IDapperRepository&lt;LgwLupContModule, long&gt; _dapperRepo;
        private readonly IRepository&lt;LgwLupContModule, long&gt; _repo;
        private readonly ILgwLupContModuleExcelExporter _calendarListExcelExporter;
        public LgwLupContModuleAppService(IRepository&lt;LgwLupContModule,long&gt; repo, 
                                         IDapperRepository&lt;LgwLupContModule,long&gt; dapperRepo,
                                        ILgwLupContModuleExcelExporter calendarListExcelExporter
            )
        {
            _repo = repo;
            _dapperRepo = dapperRepo;
            _calendarListExcelExporter = calendarListExcelExporter;
        }
        [AbpAuthorize(AppPermissions.Pages_LogW_Lup_ContModule_CreateEdit)]
        public async Task CreateOrEdit(CreateOrEditLgwLupContModuleDto input)
        {
            if (input.Id == null) await Create(input);
            else await Update(input);
        }
        //CREATE
        private async Task Create(CreateOrEditLgwLupContModuleDto input)
        {          
            var mainObj = ObjectMapper.Map&lt;LgwLupContModule&gt;(input);
            await CurrentUnitOfWork.GetDbContext&lt;vovinaDbContext&gt;().AddAsync(mainObj);
        }
        // EDIT
        private async Task Update(CreateOrEditLgwLupContModuleDto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[AbpAuthorize(AppPermissions.Pages_LogW_Lup_ContModule_Delete)]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Task&lt;PagedResultDto&lt;LgwLupContModuleDto&gt;&gt; GetAll(GetLgwLupContModuleInput input)
        {
            var filtered = _repo.GetAll()
				.WhereIf(!string.IsNullOrWhiteSpace(input.InvoiceNo), e =&gt; e.InvoiceNo.Contains(input.InvoiceNo))
				.WhereIf(!string.IsNullOrWhiteSpace(input.SupplierNo), e =&gt; e.SupplierNo.Contains(input.SupplierNo))
				.WhereIf(!string.IsNullOrWhiteSpace(input.ContainerNo), e =&gt; e.ContainerNo.Contains(input.ContainerNo))
				.WhereIf(!string.IsNullOrWhiteSpace(input.Renban), e =&gt; e.Renban.Contains(input.Renban))
				.WhereIf(!string.IsNullOrWhiteSpace(input.LotNo), e =&gt; e.LotNo.Contains(input.LotNo))
				.WhereIf(!string.IsNullOrWhiteSpace(input.ModuleNo), e =&gt; e.ModuleNo.Contains(input.ModuleNo))
				.WhereIf(!string.IsNullOrWhiteSpace(input.Status), e =&gt; e.Status.Contains(input.Status))
				.WhereIf(!string.IsNullOrWhiteSpace(input.SortingType), e =&gt; e.SortingType.Contains(input.SortingType))
				.WhereIf(!string.IsNullOrWhiteSpace(input.SortingStatus), e =&gt; e.SortingStatus.Contains(input.SortingStatus))
				.WhereIf(input.UpdatedSortingStatus.HasValue, t =&gt; t.UpdatedSortingStatus == input.UpdatedSortingStatus.Value)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LgwLupContModuleDto
                        {
							Id = o.Id,
							InvoiceNo = o.InvoiceNo,
							SupplierNo = o.SupplierNo,
							ContainerNo = o.ContainerNo,
							Renban = o.Renban,
							LotNo = o.LotNo,
							ModuleNo = o.ModuleNo,
							Status = o.Status,
							SortingType = o.SortingType,
							SortingStatus = o.SortingStatus,
							UpdatedSortingStatus = o.UpdatedSortingStatus,
							IsActive = o.IsActive,
                        };
            var totalCount = await filtered.CountAsync();
			var paged = system.PageBy(input);
            return new PagedResultDto&lt;LgwLupContModuleDto&gt;(
                totalCount,
                 await paged.ToListAsync()
            );
        }
        public async Task&lt;FileDto&gt; GetContModuleToExcel(LgwLupContModuleExportInput input)
        {
            var query = from o in _repo.GetAll()
                        select new LgwLupContModuleDto
                        {
							Id = o.Id,
							InvoiceNo = o.InvoiceNo,
							SupplierNo = o.SupplierNo,
							ContainerNo = o.ContainerNo,
							Renban = o.Renban,
							LotNo = o.LotNo,
							ModuleNo = o.ModuleNo,
							Status = o.Status,
							SortingType = o.SortingType,
							SortingStatus = o.SortingStatus,
							UpdatedSortingStatus = o.UpdatedSortingStatus,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_dapperRepo.ExecuteAsync(LgwLupContModuleConsts.SP_MST_WPT_CALENDAR_GENERATE);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vovina.LogW.Lup.Dto
{
	public class LgwLupContModuleExportInput{
		public virtual string InvoiceNo { get; set; }
		public virtual string SupplierNo { get; set; }
		public virtual string ContainerNo { get; set; }
		public virtual string Renban { get; set; }
		public virtual string LotNo { get; set; }
		public virtual string ModuleNo { get; set; }
		public virtual string Status { get; set; }
		public virtual string SortingType { get; set; }
		public virtual string SortingStatus { get; set; }
		public virtual DateTime? UpdatedSortingStatus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vovina.LogW.Lup.Dto;
namespace vovina.LogW.Lup.Exporting
{
	public interface ILgwLupContModuleExcelExporter : IApplicationService
	{
		FileDto ExportToFile(List&lt;LgwLupContModuleDto&gt; lgwlupcontmodule);
	}
}
</v>
      </c>
      <c r="T7" s="28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vovina.LogW.Lup.Exporting;
using vovina.LogW.Lup.Dto;
using vovina.Storage;
using vovina.LogW.Lup.Dto;
namespace vovina.LogW.Lup.Exporting
{
    public class LgwLupContModuleExcelExporter : NpoiExcelExporterBase, ILgwLupContModuleExcelExporter
    {
        public LgwLupContModuleExcelExporter(ITempFileCacheManager tempFileCacheManager) : base(tempFileCacheManager) { }
        public FileDto ExportToFile(List&lt;LgwLupContModuleDto&gt; contmodule)
        {
            return CreateExcelPackage(
				"LogWLupContModule.xlsx",
				excelPackage =&gt;
				 {
					var sheet = excelPackage.CreateSheet("ContModule");
					AddHeader(
								sheet,
								("InvoiceNo"),
								("SupplierNo"),
								("ContainerNo"),
								("Renban"),
								("LotNo"),
								("ModuleNo"),
								("Status"),
								("SortingType"),
								("SortingStatus"),
								("UpdatedSortingStatus"),
								("IsActive"),
							   );
					AddObjects(
						 sheet, 1, contmodule,                                       
								_ =&gt; _.InvoiceNo,
								_ =&gt; _.SupplierNo,
								_ =&gt; _.ContainerNo,
								_ =&gt; _.Renban,
								_ =&gt; _.LotNo,
								_ =&gt; _.ModuleNo,
								_ =&gt; _.Status,
								_ =&gt; _.SortingType,
								_ =&gt; _.SortingStatus,
								_ =&gt; _.UpdatedSortingStatus,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configuration.CreateMap&lt;LgwLupContModuleDto, LgwLupContModule&gt;();
  configuration.CreateMap&lt;LgwLupContModule, LgwLupContModuleDto&gt;();
  configuration.CreateMap&lt;CreateOrEditLgwLupContModuleDto, LgwLupContModule&gt;();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308</v>
      </c>
      <c r="B9" t="s">
        <v>303</v>
      </c>
      <c r="C9" t="s">
        <v>1</v>
      </c>
      <c r="D9" t="str">
        <f>SUBSTITUTE(PROPER(A9),"_","")</f>
        <v>InvoiceNo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MaxInvoiceNoLength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[StringLength(MaxInvoiceNoLength)]
		public virtual string InvoiceNo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[Index(nameof(InvoiceNo), Name="IX_LgwLupContModule_InvoiceNo")]</v>
      </c>
      <c r="M9" t="str">
        <f>REPT(CHAR(9),2)&amp;"public virtual "&amp;IF(OR(H9="DateTime",H9="TimeSpan"),H9&amp;"?",H9)&amp;IF(C9="?","? "," ")&amp;D9&amp;" { get; set; }" &amp; "
"</f>
        <v xml:space="preserve">		public virtual string InvoiceNo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[StringLength(LgwLupContModuleConsts.MaxInvoiceNoLength)]
		public virtual string InvoiceNo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InvoiceNo { get; set; }
</v>
      </c>
      <c r="P9" t="str">
        <f t="shared" ref="P9:P11" si="4">REPT(CHAR(9),7)&amp;D9&amp;" = o." &amp;D9 &amp;","</f>
        <v xml:space="preserve">							InvoiceNo = o.InvoiceNo,</v>
      </c>
      <c r="T9" s="69" t="str">
        <f>REPT(CHAR(9),8)&amp;"("""&amp;D9&amp;"""),"</f>
        <v xml:space="preserve">								("InvoiceNo"),</v>
      </c>
      <c r="V9" s="70" t="str">
        <f>REPT(CHAR(9),8)&amp;"_ =&gt; _."&amp;D9&amp;","</f>
        <v xml:space="preserve">								_ =&gt; _.InvoiceNo,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.WhereIf(!string.IsNullOrWhiteSpace(input.InvoiceNo), e =&gt; e.InvoiceNo.Contains(input.InvoiceNo))</v>
      </c>
    </row>
    <row r="10" spans="1:23" customFormat="1" ht="21" customHeight="1" x14ac:dyDescent="0.25">
      <c r="A10" t="s">
        <v>301</v>
      </c>
      <c r="B10" t="s">
        <v>303</v>
      </c>
      <c r="C10" t="s">
        <v>1</v>
      </c>
      <c r="D10" t="str">
        <f t="shared" ref="D10:D11" si="5">SUBSTITUTE(PROPER(A10),"_","")</f>
        <v>SupplierNo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MaxSupplierNoLength = 50;
</v>
      </c>
      <c r="J10" t="str">
        <f t="shared" si="3"/>
        <v xml:space="preserve">		[StringLength(MaxSupplierNoLength)]
		public virtual string SupplierNo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[Index(nameof(SupplierNo), Name="IX_LgwLupContModule_SupplierNo")]</v>
      </c>
      <c r="M10" t="str">
        <f t="shared" ref="M10:M13" si="7">REPT(CHAR(9),2)&amp;"public virtual "&amp;IF(OR(H10="DateTime",H10="TimeSpan"),H10&amp;"?",H10)&amp;IF(C10="?","? "," ")&amp;D10&amp;" { get; set; }" &amp; "
"</f>
        <v xml:space="preserve">		public virtual string SupplierNo { get; set; }
</v>
      </c>
      <c r="N10" t="str">
        <f t="shared" ref="N10:N13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[StringLength(LgwLupContModuleConsts.MaxSupplierNoLength)]
		public virtual string SupplierNo { get; set; }
</v>
      </c>
      <c r="O10" t="str">
        <f t="shared" ref="O10:O13" si="9">IF(OR(H10="string",H10="DateTime",H10="int"),REPT(CHAR(9),2)&amp;"public virtual "&amp;IF(OR(H10="DateTime",H10="TimeSpan"),H10&amp;"?",H10)&amp;IF(C10="?","? "," ")&amp;D10&amp;" { get; set; }"&amp;$E$3,"")</f>
        <v xml:space="preserve">		public virtual string SupplierNo { get; set; }
</v>
      </c>
      <c r="P10" t="str">
        <f t="shared" si="4"/>
        <v xml:space="preserve">							SupplierNo = o.SupplierNo,</v>
      </c>
      <c r="T10" s="69" t="str">
        <f t="shared" ref="T10:T13" si="10">REPT(CHAR(9),8)&amp;"("""&amp;D10&amp;"""),"</f>
        <v xml:space="preserve">								("SupplierNo"),</v>
      </c>
      <c r="V10" s="70" t="str">
        <f t="shared" ref="V10:V13" si="11">REPT(CHAR(9),8)&amp;"_ =&gt; _."&amp;D10&amp;","</f>
        <v xml:space="preserve">								_ =&gt; _.SupplierNo,</v>
      </c>
      <c r="W10" s="69" t="str">
        <f t="shared" ref="W10:W13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.WhereIf(!string.IsNullOrWhiteSpace(input.SupplierNo), e =&gt; e.SupplierNo.Contains(input.SupplierNo))</v>
      </c>
    </row>
    <row r="11" spans="1:23" customFormat="1" ht="18.75" customHeight="1" x14ac:dyDescent="0.25">
      <c r="A11" t="s">
        <v>305</v>
      </c>
      <c r="B11" t="s">
        <v>303</v>
      </c>
      <c r="C11" t="s">
        <v>1</v>
      </c>
      <c r="D11" t="str">
        <f t="shared" si="5"/>
        <v>ContainerNo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MaxContainerNoLength = 50;
</v>
      </c>
      <c r="J11" t="str">
        <f t="shared" si="3"/>
        <v xml:space="preserve">		[StringLength(MaxContainerNoLength)]
		public virtual string ContainerNo { get; set; }
</v>
      </c>
      <c r="K11" s="7" t="s">
        <v>206</v>
      </c>
      <c r="L11" t="str">
        <f t="shared" si="6"/>
        <v xml:space="preserve">	[Index(nameof(ContainerNo), Name="IX_LgwLupContModule_ContainerNo")]</v>
      </c>
      <c r="M11" t="str">
        <f t="shared" si="7"/>
        <v xml:space="preserve">		public virtual string ContainerNo { get; set; }
</v>
      </c>
      <c r="N11" t="str">
        <f t="shared" si="8"/>
        <v xml:space="preserve">		[StringLength(LgwLupContModuleConsts.MaxContainerNoLength)]
		public virtual string ContainerNo { get; set; }
</v>
      </c>
      <c r="O11" t="str">
        <f t="shared" si="9"/>
        <v xml:space="preserve">		public virtual string ContainerNo { get; set; }
</v>
      </c>
      <c r="P11" t="str">
        <f t="shared" si="4"/>
        <v xml:space="preserve">							ContainerNo = o.ContainerNo,</v>
      </c>
      <c r="T11" s="69" t="str">
        <f t="shared" si="10"/>
        <v xml:space="preserve">								("ContainerNo"),</v>
      </c>
      <c r="V11" s="70" t="str">
        <f t="shared" si="11"/>
        <v xml:space="preserve">								_ =&gt; _.ContainerNo,</v>
      </c>
      <c r="W11" s="69" t="str">
        <f t="shared" si="12"/>
        <v xml:space="preserve">				.WhereIf(!string.IsNullOrWhiteSpace(input.ContainerNo), e =&gt; e.ContainerNo.Contains(input.ContainerNo))</v>
      </c>
    </row>
    <row r="12" spans="1:23" customFormat="1" ht="22.5" customHeight="1" x14ac:dyDescent="0.25">
      <c r="A12" t="s">
        <v>304</v>
      </c>
      <c r="B12" t="s">
        <v>303</v>
      </c>
      <c r="C12" t="s">
        <v>1</v>
      </c>
      <c r="D12" t="str">
        <f>SUBSTITUTE(PROPER(A12),"_","")</f>
        <v>Renban</v>
      </c>
      <c r="E12" t="str">
        <f t="shared" ref="E12:E14" si="13">IFERROR(LEFT(B12, FIND("(",B12)-1),B12)</f>
        <v>varchar</v>
      </c>
      <c r="F12" s="7"/>
      <c r="G12" t="str">
        <f t="shared" ref="G12:G14" si="14">IFERROR(MID(B12,FIND("(",B12) +1, FIND(")",B12) - FIND("(",B12) - 1),"")</f>
        <v>50</v>
      </c>
      <c r="H12" t="str">
        <f>+VLOOKUP(E12,'Data Type Mapping'!A:B,2,)</f>
        <v>string</v>
      </c>
      <c r="I12" t="str">
        <f t="shared" ref="I12:I14" si="15">IF(H12="string",REPT(CHAR(9),2)&amp;"public const int Max"&amp;D12&amp;"Length = "&amp;G12&amp;";"&amp;$E$3,"" )</f>
        <v xml:space="preserve">		public const int MaxRenbanLength = 50;
</v>
      </c>
      <c r="J12" t="str">
        <f t="shared" ref="J12:J14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[StringLength(MaxRenbanLength)]
		public virtual string Renban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[Index(nameof(Renban), Name="IX_LgwLupContModule_Renban")]</v>
      </c>
      <c r="M12" t="str">
        <f t="shared" si="7"/>
        <v xml:space="preserve">		public virtual string Renban { get; set; }
</v>
      </c>
      <c r="N12" t="str">
        <f t="shared" si="8"/>
        <v xml:space="preserve">		[StringLength(LgwLupContModuleConsts.MaxRenbanLength)]
		public virtual string Renban { get; set; }
</v>
      </c>
      <c r="O12" t="str">
        <f t="shared" si="9"/>
        <v xml:space="preserve">		public virtual string Renban { get; set; }
</v>
      </c>
      <c r="P12" t="str">
        <f t="shared" ref="P12:P14" si="17">REPT(CHAR(9),7)&amp;D12&amp;" = o." &amp;D12 &amp;","</f>
        <v xml:space="preserve">							Renban = o.Renban,</v>
      </c>
      <c r="T12" s="69" t="str">
        <f t="shared" si="10"/>
        <v xml:space="preserve">								("Renban"),</v>
      </c>
      <c r="V12" s="70" t="str">
        <f t="shared" si="11"/>
        <v xml:space="preserve">								_ =&gt; _.Renban,</v>
      </c>
      <c r="W12" s="69" t="str">
        <f t="shared" si="12"/>
        <v xml:space="preserve">				.WhereIf(!string.IsNullOrWhiteSpace(input.Renban), e =&gt; e.Renban.Contains(input.Renban))</v>
      </c>
    </row>
    <row r="13" spans="1:23" customFormat="1" ht="21" customHeight="1" x14ac:dyDescent="0.25">
      <c r="A13" t="s">
        <v>309</v>
      </c>
      <c r="B13" t="s">
        <v>310</v>
      </c>
      <c r="C13" t="s">
        <v>1</v>
      </c>
      <c r="D13" t="str">
        <f t="shared" ref="D13:D14" si="18">SUBSTITUTE(PROPER(A13),"_","")</f>
        <v>LotNo</v>
      </c>
      <c r="E13" t="str">
        <f t="shared" si="13"/>
        <v>varchar</v>
      </c>
      <c r="F13" s="7"/>
      <c r="G13" t="str">
        <f t="shared" si="14"/>
        <v>20</v>
      </c>
      <c r="H13" t="str">
        <f>+VLOOKUP(E13,'Data Type Mapping'!A:B,2,)</f>
        <v>string</v>
      </c>
      <c r="I13" t="str">
        <f t="shared" si="15"/>
        <v xml:space="preserve">		public const int MaxLotNoLength = 20;
</v>
      </c>
      <c r="J13" t="str">
        <f t="shared" si="16"/>
        <v xml:space="preserve">		[StringLength(MaxLotNoLength)]
		public virtual string LotNo { get; set; }
</v>
      </c>
      <c r="K13" s="7"/>
      <c r="L13" t="str">
        <f t="shared" ref="L13:L14" si="19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string LotNo { get; set; }
</v>
      </c>
      <c r="N13" t="str">
        <f t="shared" si="8"/>
        <v xml:space="preserve">		[StringLength(LgwLupContModuleConsts.MaxLotNoLength)]
		public virtual string LotNo { get; set; }
</v>
      </c>
      <c r="O13" t="str">
        <f t="shared" si="9"/>
        <v xml:space="preserve">		public virtual string LotNo { get; set; }
</v>
      </c>
      <c r="P13" t="str">
        <f t="shared" si="17"/>
        <v xml:space="preserve">							LotNo = o.LotNo,</v>
      </c>
      <c r="T13" s="69" t="str">
        <f t="shared" si="10"/>
        <v xml:space="preserve">								("LotNo"),</v>
      </c>
      <c r="V13" s="70" t="str">
        <f t="shared" si="11"/>
        <v xml:space="preserve">								_ =&gt; _.LotNo,</v>
      </c>
      <c r="W13" s="69" t="str">
        <f t="shared" si="12"/>
        <v xml:space="preserve">				.WhereIf(!string.IsNullOrWhiteSpace(input.LotNo), e =&gt; e.LotNo.Contains(input.LotNo))</v>
      </c>
    </row>
    <row r="14" spans="1:23" customFormat="1" ht="18.75" customHeight="1" x14ac:dyDescent="0.25">
      <c r="A14" t="s">
        <v>311</v>
      </c>
      <c r="B14" t="s">
        <v>310</v>
      </c>
      <c r="C14" t="s">
        <v>1</v>
      </c>
      <c r="D14" t="str">
        <f t="shared" si="18"/>
        <v>ModuleNo</v>
      </c>
      <c r="E14" t="str">
        <f t="shared" si="13"/>
        <v>varchar</v>
      </c>
      <c r="F14" s="7"/>
      <c r="G14" t="str">
        <f t="shared" si="14"/>
        <v>20</v>
      </c>
      <c r="H14" t="str">
        <f>+VLOOKUP(E14,'Data Type Mapping'!A:B,2,)</f>
        <v>string</v>
      </c>
      <c r="I14" t="str">
        <f t="shared" si="15"/>
        <v xml:space="preserve">		public const int MaxModuleNoLength = 20;
</v>
      </c>
      <c r="J14" t="str">
        <f t="shared" si="16"/>
        <v xml:space="preserve">		[StringLength(MaxModuleNoLength)]
		public virtual string ModuleNo { get; set; }
</v>
      </c>
      <c r="K14" s="7"/>
      <c r="L14" t="str">
        <f t="shared" si="19"/>
        <v/>
      </c>
      <c r="M14" t="str">
        <f t="shared" ref="M14:M15" si="20">REPT(CHAR(9),2)&amp;"public virtual "&amp;IF(OR(H14="DateTime",H14="TimeSpan"),H14&amp;"?",H14)&amp;IF(C14="?","? "," ")&amp;D14&amp;" { get; set; }" &amp; "
"</f>
        <v xml:space="preserve">		public virtual string ModuleNo { get; set; }
</v>
      </c>
      <c r="N14" t="str">
        <f t="shared" ref="N14:N15" si="21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[StringLength(LgwLupContModuleConsts.MaxModuleNoLength)]
		public virtual string ModuleNo { get; set; }
</v>
      </c>
      <c r="O14" t="str">
        <f t="shared" ref="O14:O15" si="22">IF(OR(H14="string",H14="DateTime",H14="int"),REPT(CHAR(9),2)&amp;"public virtual "&amp;IF(OR(H14="DateTime",H14="TimeSpan"),H14&amp;"?",H14)&amp;IF(C14="?","? "," ")&amp;D14&amp;" { get; set; }"&amp;$E$3,"")</f>
        <v xml:space="preserve">		public virtual string ModuleNo { get; set; }
</v>
      </c>
      <c r="P14" t="str">
        <f t="shared" si="17"/>
        <v xml:space="preserve">							ModuleNo = o.ModuleNo,</v>
      </c>
      <c r="T14" s="69" t="str">
        <f t="shared" ref="T14:T15" si="23">REPT(CHAR(9),8)&amp;"("""&amp;D14&amp;"""),"</f>
        <v xml:space="preserve">								("ModuleNo"),</v>
      </c>
      <c r="V14" s="70" t="str">
        <f t="shared" ref="V14:V15" si="24">REPT(CHAR(9),8)&amp;"_ =&gt; _."&amp;D14&amp;","</f>
        <v xml:space="preserve">								_ =&gt; _.ModuleNo,</v>
      </c>
      <c r="W14" s="69" t="str">
        <f t="shared" ref="W14:W15" si="25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.WhereIf(!string.IsNullOrWhiteSpace(input.ModuleNo), e =&gt; e.ModuleNo.Contains(input.ModuleNo))</v>
      </c>
    </row>
    <row r="15" spans="1:23" customFormat="1" ht="21" customHeight="1" x14ac:dyDescent="0.25">
      <c r="A15" t="s">
        <v>307</v>
      </c>
      <c r="B15" t="s">
        <v>312</v>
      </c>
      <c r="C15" t="s">
        <v>1</v>
      </c>
      <c r="D15" t="str">
        <f t="shared" ref="D15" si="26">SUBSTITUTE(PROPER(A15),"_","")</f>
        <v>Status</v>
      </c>
      <c r="E15" t="str">
        <f t="shared" ref="E15" si="27">IFERROR(LEFT(B15, FIND("(",B15)-1),B15)</f>
        <v>varchar</v>
      </c>
      <c r="F15" s="7"/>
      <c r="G15" t="str">
        <f t="shared" ref="G15" si="28">IFERROR(MID(B15,FIND("(",B15) +1, FIND(")",B15) - FIND("(",B15) - 1),"")</f>
        <v>10</v>
      </c>
      <c r="H15" t="str">
        <f>+VLOOKUP(E15,'Data Type Mapping'!A:B,2,)</f>
        <v>string</v>
      </c>
      <c r="I15" t="str">
        <f t="shared" ref="I15" si="29">IF(H15="string",REPT(CHAR(9),2)&amp;"public const int Max"&amp;D15&amp;"Length = "&amp;G15&amp;";"&amp;$E$3,"" )</f>
        <v xml:space="preserve">		public const int MaxStatusLength = 10;
</v>
      </c>
      <c r="J15" t="str">
        <f t="shared" ref="J15" si="30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[StringLength(MaxStatusLength)]
		public virtual string Status { get; set; }
</v>
      </c>
      <c r="K15" s="7"/>
      <c r="L15" t="str">
        <f t="shared" ref="L15" si="31">IF(K15="","",REPT(CHAR(9),1)&amp;"[Index(nameof("&amp;IF(D15="","",""&amp;D15)&amp;")"&amp;", Name="&amp;"""IX_"&amp;$B$7&amp;"_"&amp;D15&amp;""")]")</f>
        <v/>
      </c>
      <c r="M15" t="str">
        <f t="shared" si="20"/>
        <v xml:space="preserve">		public virtual string Status { get; set; }
</v>
      </c>
      <c r="N15" t="str">
        <f t="shared" si="21"/>
        <v xml:space="preserve">		[StringLength(LgwLupContModuleConsts.MaxStatusLength)]
		public virtual string Status { get; set; }
</v>
      </c>
      <c r="O15" t="str">
        <f t="shared" si="22"/>
        <v xml:space="preserve">		public virtual string Status { get; set; }
</v>
      </c>
      <c r="P15" t="str">
        <f t="shared" ref="P15" si="32">REPT(CHAR(9),7)&amp;D15&amp;" = o." &amp;D15 &amp;","</f>
        <v xml:space="preserve">							Status = o.Status,</v>
      </c>
      <c r="T15" s="69" t="str">
        <f t="shared" si="23"/>
        <v xml:space="preserve">								("Status"),</v>
      </c>
      <c r="V15" s="70" t="str">
        <f t="shared" si="24"/>
        <v xml:space="preserve">								_ =&gt; _.Status,</v>
      </c>
      <c r="W15" s="69" t="str">
        <f t="shared" si="25"/>
        <v xml:space="preserve">				.WhereIf(!string.IsNullOrWhiteSpace(input.Status), e =&gt; e.Status.Contains(input.Status))</v>
      </c>
    </row>
    <row r="16" spans="1:23" customFormat="1" ht="21" customHeight="1" x14ac:dyDescent="0.25">
      <c r="A16" t="s">
        <v>314</v>
      </c>
      <c r="B16" t="s">
        <v>310</v>
      </c>
      <c r="C16" t="s">
        <v>1</v>
      </c>
      <c r="D16" t="str">
        <f t="shared" ref="D16" si="33">SUBSTITUTE(PROPER(A16),"_","")</f>
        <v>SortingType</v>
      </c>
      <c r="E16" t="str">
        <f>IFERROR(LEFT(B16, FIND("(",B16)-1),B16)</f>
        <v>varchar</v>
      </c>
      <c r="F16" s="7"/>
      <c r="G16" t="str">
        <f>IFERROR(MID(B16,FIND("(",B16) +1, FIND(")",B16) - FIND("(",B16) - 1),"")</f>
        <v>20</v>
      </c>
      <c r="H16" t="str">
        <f>+VLOOKUP(E16,'Data Type Mapping'!A:B,2,)</f>
        <v>string</v>
      </c>
      <c r="I16" t="str">
        <f>IF(H16="string",REPT(CHAR(9),2)&amp;"public const int Max"&amp;D16&amp;"Length = "&amp;G16&amp;";"&amp;$E$3,"" )</f>
        <v xml:space="preserve">		public const int MaxSortingTypeLength = 20;
</v>
      </c>
      <c r="J16" t="str">
        <f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[StringLength(MaxSortingTypeLength)]
		public virtual string SortingType { get; set; }
</v>
      </c>
      <c r="K16" s="7"/>
      <c r="L16" t="str">
        <f t="shared" ref="L16" si="34">IF(K16="","",REPT(CHAR(9),1)&amp;"[Index(nameof("&amp;IF(D16="","",""&amp;D16)&amp;")"&amp;", Name="&amp;"""IX_"&amp;$B$7&amp;"_"&amp;D16&amp;""")]")</f>
        <v/>
      </c>
      <c r="M16" t="str">
        <f>REPT(CHAR(9),2)&amp;"public virtual "&amp;IF(OR(H16="DateTime",H16="TimeSpan"),H16&amp;"?",H16)&amp;IF(C16="?","? "," ")&amp;D16&amp;" { get; set; }" &amp; "
"</f>
        <v xml:space="preserve">		public virtual string SortingType { get; set; }
</v>
      </c>
      <c r="N16" t="str">
        <f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[StringLength(LgwLupContModuleConsts.MaxSortingTypeLength)]
		public virtual string SortingType { get; set; }
</v>
      </c>
      <c r="O16" t="str">
        <f>IF(OR(H16="string",H16="DateTime",H16="int"),REPT(CHAR(9),2)&amp;"public virtual "&amp;IF(OR(H16="DateTime",H16="TimeSpan"),H16&amp;"?",H16)&amp;IF(C16="?","? "," ")&amp;D16&amp;" { get; set; }"&amp;$E$3,"")</f>
        <v xml:space="preserve">		public virtual string SortingType { get; set; }
</v>
      </c>
      <c r="P16" t="str">
        <f>REPT(CHAR(9),7)&amp;D16&amp;" = o." &amp;D16 &amp;","</f>
        <v xml:space="preserve">							SortingType = o.SortingType,</v>
      </c>
      <c r="T16" s="69" t="str">
        <f>REPT(CHAR(9),8)&amp;"("""&amp;D16&amp;"""),"</f>
        <v xml:space="preserve">								("SortingType"),</v>
      </c>
      <c r="V16" s="70" t="str">
        <f>REPT(CHAR(9),8)&amp;"_ =&gt; _."&amp;D16&amp;","</f>
        <v xml:space="preserve">								_ =&gt; _.SortingType,</v>
      </c>
      <c r="W16" s="69" t="str">
        <f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.WhereIf(!string.IsNullOrWhiteSpace(input.SortingType), e =&gt; e.SortingType.Contains(input.SortingType))</v>
      </c>
    </row>
    <row r="17" spans="1:23" customFormat="1" ht="22.5" customHeight="1" x14ac:dyDescent="0.25">
      <c r="A17" t="s">
        <v>315</v>
      </c>
      <c r="B17" t="s">
        <v>312</v>
      </c>
      <c r="C17" t="s">
        <v>1</v>
      </c>
      <c r="D17" t="str">
        <f>SUBSTITUTE(PROPER(A17),"_","")</f>
        <v>SortingStatus</v>
      </c>
      <c r="E17" t="str">
        <f t="shared" ref="E17" si="35">IFERROR(LEFT(B17, FIND("(",B17)-1),B17)</f>
        <v>varchar</v>
      </c>
      <c r="F17" s="7"/>
      <c r="G17" t="str">
        <f t="shared" ref="G17" si="36">IFERROR(MID(B17,FIND("(",B17) +1, FIND(")",B17) - FIND("(",B17) - 1),"")</f>
        <v>10</v>
      </c>
      <c r="H17" t="str">
        <f>+VLOOKUP(E17,'Data Type Mapping'!A:B,2,)</f>
        <v>string</v>
      </c>
      <c r="I17" t="str">
        <f t="shared" ref="I17" si="37">IF(H17="string",REPT(CHAR(9),2)&amp;"public const int Max"&amp;D17&amp;"Length = "&amp;G17&amp;";"&amp;$E$3,"" )</f>
        <v xml:space="preserve">		public const int MaxSortingStatusLength = 10;
</v>
      </c>
      <c r="J17" t="str">
        <f t="shared" ref="J17" si="38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[StringLength(MaxSortingStatusLength)]
		public virtual string SortingStatus { get; set; }
</v>
      </c>
      <c r="K17" s="7"/>
      <c r="L17" t="str">
        <f>IF(K17="","",REPT(CHAR(9),1)&amp;"[Index(nameof("&amp;IF(D17="","",""&amp;D17)&amp;")"&amp;", Name="&amp;"""IX_"&amp;$B$7&amp;"_"&amp;D17&amp;""")]")</f>
        <v/>
      </c>
      <c r="M17" t="str">
        <f t="shared" ref="M17" si="39">REPT(CHAR(9),2)&amp;"public virtual "&amp;IF(OR(H17="DateTime",H17="TimeSpan"),H17&amp;"?",H17)&amp;IF(C17="?","? "," ")&amp;D17&amp;" { get; set; }" &amp; "
"</f>
        <v xml:space="preserve">		public virtual string SortingStatus { get; set; }
</v>
      </c>
      <c r="N17" t="str">
        <f t="shared" ref="N17" si="40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[StringLength(LgwLupContModuleConsts.MaxSortingStatusLength)]
		public virtual string SortingStatus { get; set; }
</v>
      </c>
      <c r="O17" t="str">
        <f t="shared" ref="O17" si="41">IF(OR(H17="string",H17="DateTime",H17="int"),REPT(CHAR(9),2)&amp;"public virtual "&amp;IF(OR(H17="DateTime",H17="TimeSpan"),H17&amp;"?",H17)&amp;IF(C17="?","? "," ")&amp;D17&amp;" { get; set; }"&amp;$E$3,"")</f>
        <v xml:space="preserve">		public virtual string SortingStatus { get; set; }
</v>
      </c>
      <c r="P17" t="str">
        <f t="shared" ref="P17" si="42">REPT(CHAR(9),7)&amp;D17&amp;" = o." &amp;D17 &amp;","</f>
        <v xml:space="preserve">							SortingStatus = o.SortingStatus,</v>
      </c>
      <c r="T17" s="69" t="str">
        <f t="shared" ref="T17" si="43">REPT(CHAR(9),8)&amp;"("""&amp;D17&amp;"""),"</f>
        <v xml:space="preserve">								("SortingStatus"),</v>
      </c>
      <c r="V17" s="70" t="str">
        <f t="shared" ref="V17" si="44">REPT(CHAR(9),8)&amp;"_ =&gt; _."&amp;D17&amp;","</f>
        <v xml:space="preserve">								_ =&gt; _.SortingStatus,</v>
      </c>
      <c r="W17" s="69" t="str">
        <f t="shared" ref="W17" si="45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.WhereIf(!string.IsNullOrWhiteSpace(input.SortingStatus), e =&gt; e.SortingStatus.Contains(input.SortingStatus))</v>
      </c>
    </row>
    <row r="18" spans="1:23" customFormat="1" ht="21" customHeight="1" x14ac:dyDescent="0.25">
      <c r="A18" t="s">
        <v>316</v>
      </c>
      <c r="B18" t="s">
        <v>3</v>
      </c>
      <c r="C18" t="s">
        <v>1</v>
      </c>
      <c r="D18" t="str">
        <f t="shared" ref="D18" si="46">SUBSTITUTE(PROPER(A18),"_","")</f>
        <v>UpdatedSortingStatus</v>
      </c>
      <c r="E18" t="str">
        <f>IFERROR(LEFT(B18, FIND("(",B18)-1),B18)</f>
        <v>datetime</v>
      </c>
      <c r="F18" s="7" t="s">
        <v>306</v>
      </c>
      <c r="G18" t="str">
        <f>IFERROR(MID(B18,FIND("(",B18) +1, FIND(")",B18) - FIND("(",B18) - 1),"")</f>
        <v/>
      </c>
      <c r="H18" t="str">
        <f>+VLOOKUP(E18,'Data Type Mapping'!A:B,2,)</f>
        <v>DateTime</v>
      </c>
      <c r="I18" t="str">
        <f>IF(H18="string",REPT(CHAR(9),2)&amp;"public const int Max"&amp;D18&amp;"Length = "&amp;G18&amp;";"&amp;$E$3,"" )</f>
        <v/>
      </c>
      <c r="J18" t="str">
        <f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[Column(TypeName="datetime2(7)")]
		public virtual DateTime UpdatedSortingStatus { get; set; }
</v>
      </c>
      <c r="K18" s="7"/>
      <c r="L18" t="str">
        <f t="shared" ref="L18" si="47">IF(K18="","",REPT(CHAR(9),1)&amp;"[Index(nameof("&amp;IF(D18="","",""&amp;D18)&amp;")"&amp;", Name="&amp;"""IX_"&amp;$B$7&amp;"_"&amp;D18&amp;""")]")</f>
        <v/>
      </c>
      <c r="M18" t="str">
        <f>REPT(CHAR(9),2)&amp;"public virtual "&amp;IF(OR(H18="DateTime",H18="TimeSpan"),H18&amp;"?",H18)&amp;IF(C18="?","? "," ")&amp;D18&amp;" { get; set; }" &amp; "
"</f>
        <v xml:space="preserve">		public virtual DateTime? UpdatedSortingStatus { get; set; }
</v>
      </c>
      <c r="N18" t="str">
        <f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DateTime? UpdatedSortingStatus { get; set; }
</v>
      </c>
      <c r="O18" t="str">
        <f>IF(OR(H18="string",H18="DateTime",H18="int"),REPT(CHAR(9),2)&amp;"public virtual "&amp;IF(OR(H18="DateTime",H18="TimeSpan"),H18&amp;"?",H18)&amp;IF(C18="?","? "," ")&amp;D18&amp;" { get; set; }"&amp;$E$3,"")</f>
        <v xml:space="preserve">		public virtual DateTime? UpdatedSortingStatus { get; set; }
</v>
      </c>
      <c r="P18" t="str">
        <f>REPT(CHAR(9),7)&amp;D18&amp;" = o." &amp;D18 &amp;","</f>
        <v xml:space="preserve">							UpdatedSortingStatus = o.UpdatedSortingStatus,</v>
      </c>
      <c r="T18" s="69" t="str">
        <f>REPT(CHAR(9),8)&amp;"("""&amp;D18&amp;"""),"</f>
        <v xml:space="preserve">								("UpdatedSortingStatus"),</v>
      </c>
      <c r="V18" s="70" t="str">
        <f>REPT(CHAR(9),8)&amp;"_ =&gt; _."&amp;D18&amp;","</f>
        <v xml:space="preserve">								_ =&gt; _.UpdatedSortingStatus,</v>
      </c>
      <c r="W18" s="69" t="str">
        <f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.WhereIf(input.UpdatedSortingStatus.HasValue, t =&gt; t.UpdatedSortingStatus == input.UpdatedSortingStatus.Value)</v>
      </c>
    </row>
    <row r="19" spans="1:23" customFormat="1" ht="22.5" customHeight="1" x14ac:dyDescent="0.25">
      <c r="A19" t="s">
        <v>302</v>
      </c>
      <c r="B19" t="s">
        <v>313</v>
      </c>
      <c r="C19" t="s">
        <v>1</v>
      </c>
      <c r="D19" t="str">
        <f>SUBSTITUTE(PROPER(A19),"_","")</f>
        <v>IsActive</v>
      </c>
      <c r="E19" t="str">
        <f t="shared" ref="E19" si="48">IFERROR(LEFT(B19, FIND("(",B19)-1),B19)</f>
        <v>varchar</v>
      </c>
      <c r="F19" s="7"/>
      <c r="G19" t="str">
        <f t="shared" ref="G19" si="49">IFERROR(MID(B19,FIND("(",B19) +1, FIND(")",B19) - FIND("(",B19) - 1),"")</f>
        <v>1</v>
      </c>
      <c r="H19" t="str">
        <f>+VLOOKUP(E19,'Data Type Mapping'!A:B,2,)</f>
        <v>string</v>
      </c>
      <c r="I19" t="str">
        <f t="shared" ref="I19" si="50">IF(H19="string",REPT(CHAR(9),2)&amp;"public const int Max"&amp;D19&amp;"Length = "&amp;G19&amp;";"&amp;$E$3,"" )</f>
        <v xml:space="preserve">		public const int MaxIsActiveLength = 1;
</v>
      </c>
      <c r="J19" t="str">
        <f t="shared" ref="J19" si="51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[StringLength(MaxIsActiveLength)]
		public virtual string IsActive { get; set; }
</v>
      </c>
      <c r="K19" s="7" t="s">
        <v>206</v>
      </c>
      <c r="L19" t="str">
        <f>IF(K19="","",REPT(CHAR(9),1)&amp;"[Index(nameof("&amp;IF(D19="","",""&amp;D19)&amp;")"&amp;", Name="&amp;"""IX_"&amp;$B$7&amp;"_"&amp;D19&amp;""")]")</f>
        <v xml:space="preserve">	[Index(nameof(IsActive), Name="IX_LgwLupContModule_IsActive")]</v>
      </c>
      <c r="M19" t="str">
        <f t="shared" ref="M19" si="52">REPT(CHAR(9),2)&amp;"public virtual "&amp;IF(OR(H19="DateTime",H19="TimeSpan"),H19&amp;"?",H19)&amp;IF(C19="?","? "," ")&amp;D19&amp;" { get; set; }" &amp; "
"</f>
        <v xml:space="preserve">		public virtual string IsActive { get; set; }
</v>
      </c>
      <c r="N19" t="str">
        <f t="shared" ref="N19" si="53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[StringLength(LgwLupContModuleConsts.MaxIsActiveLength)]
		public virtual string IsActive { get; set; }
</v>
      </c>
      <c r="O19" t="str">
        <f t="shared" ref="O19" si="54">IF(OR(H19="string",H19="DateTime",H19="int"),REPT(CHAR(9),2)&amp;"public virtual "&amp;IF(OR(H19="DateTime",H19="TimeSpan"),H19&amp;"?",H19)&amp;IF(C19="?","? "," ")&amp;D19&amp;" { get; set; }"&amp;$E$3,"")</f>
        <v xml:space="preserve">		public virtual string IsActive { get; set; }
</v>
      </c>
      <c r="P19" t="str">
        <f t="shared" ref="P19" si="55">REPT(CHAR(9),7)&amp;D19&amp;" = o." &amp;D19 &amp;","</f>
        <v xml:space="preserve">							IsActive = o.IsActive,</v>
      </c>
      <c r="T19" s="69" t="str">
        <f t="shared" ref="T19" si="56">REPT(CHAR(9),8)&amp;"("""&amp;D19&amp;"""),"</f>
        <v xml:space="preserve">								("IsActive"),</v>
      </c>
      <c r="V19" s="70" t="str">
        <f t="shared" ref="V19" si="57">REPT(CHAR(9),8)&amp;"_ =&gt; _."&amp;D19&amp;","</f>
        <v xml:space="preserve">								_ =&gt; _.IsActive,</v>
      </c>
      <c r="W19" s="69" t="str">
        <f t="shared" ref="W19" si="58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.WhereIf(!string.IsNullOrWhiteSpace(input.IsActive), e =&gt; e.IsActive.Contains(input.IsActive))</v>
      </c>
    </row>
    <row r="21" spans="1:23" ht="45.75" customHeight="1" x14ac:dyDescent="0.25">
      <c r="H21" s="12"/>
      <c r="I21" s="34" t="str">
        <f ca="1">TEXTJOIN2("
", TRUE,INDIRECT( $H$1):INDIRECT( $H$3))</f>
        <v xml:space="preserve">		public const int MaxInvoiceNoLength = 50;
		public const int MaxSupplierNoLength = 50;
		public const int MaxContainerNoLength = 50;
		public const int MaxRenbanLength = 50;
		public const int MaxLotNoLength = 20;
		public const int MaxModuleNoLength = 20;
		public const int MaxStatusLength = 10;
		public const int MaxSortingTypeLength = 20;
		public const int MaxSortingStatusLength = 10;
		public const int MaxIsActiveLength = 1;
</v>
      </c>
      <c r="J21" s="33" t="str">
        <f ca="1">TEXTJOIN2("
", TRUE,INDIRECT( $F$1):INDIRECT( $F$3))</f>
        <v xml:space="preserve">		[StringLength(MaxInvoiceNoLength)]
		public virtual string InvoiceNo { get; set; }
		[StringLength(MaxSupplierNoLength)]
		public virtual string SupplierNo { get; set; }
		[StringLength(MaxContainerNoLength)]
		public virtual string ContainerNo { get; set; }
		[StringLength(MaxRenbanLength)]
		public virtual string Renban { get; set; }
		[StringLength(MaxLotNoLength)]
		public virtual string LotNo { get; set; }
		[StringLength(MaxModuleNoLength)]
		public virtual string ModuleNo { get; set; }
		[StringLength(MaxStatusLength)]
		public virtual string Status { get; set; }
		[StringLength(MaxSortingTypeLength)]
		public virtual string SortingType { get; set; }
		[StringLength(MaxSortingStatusLength)]
		public virtual string SortingStatus { get; set; }
		[Column(TypeName="datetime2(7)")]
		public virtual DateTime UpdatedSortingStatus { get; set; }
		[StringLength(MaxIsActiveLength)]
		public virtual string IsActive { get; set; }
</v>
      </c>
      <c r="K21" s="35" t="str">
        <f ca="1">TEXTJOIN2("
", TRUE,INDIRECT( $J$1):INDIRECT( $J$3))</f>
        <v xml:space="preserve">	[Index(nameof(InvoiceNo), Name="IX_LgwLupContModule_InvoiceNo")]
	[Index(nameof(SupplierNo), Name="IX_LgwLupContModule_SupplierNo")]
	[Index(nameof(ContainerNo), Name="IX_LgwLupContModule_ContainerNo")]
	[Index(nameof(Renban), Name="IX_LgwLupContModule_Renban")]
	[Index(nameof(IsActive), Name="IX_LgwLupContModule_IsActive")]</v>
      </c>
      <c r="L21" s="13" t="s">
        <v>60</v>
      </c>
      <c r="M21" s="36" t="str">
        <f ca="1">TEXTJOIN2("
",TRUE,INDIRECT( $L$1):INDIRECT($L$3))</f>
        <v xml:space="preserve">		public virtual string InvoiceNo { get; set; }
		public virtual string SupplierNo { get; set; }
		public virtual string ContainerNo { get; set; }
		public virtual string Renban { get; set; }
		public virtual string LotNo { get; set; }
		public virtual string ModuleNo { get; set; }
		public virtual string Status { get; set; }
		public virtual string SortingType { get; set; }
		public virtual string SortingStatus { get; set; }
		public virtual DateTime? UpdatedSortingStatus { get; set; }
		public virtual string IsActive { get; set; }
</v>
      </c>
      <c r="N21" s="33" t="str">
        <f ca="1">TEXTJOIN2("
",TRUE,INDIRECT( $M$1):INDIRECT($M$3))</f>
        <v xml:space="preserve">		[StringLength(LgwLupContModuleConsts.MaxInvoiceNoLength)]
		public virtual string InvoiceNo { get; set; }
		[StringLength(LgwLupContModuleConsts.MaxSupplierNoLength)]
		public virtual string SupplierNo { get; set; }
		[StringLength(LgwLupContModuleConsts.MaxContainerNoLength)]
		public virtual string ContainerNo { get; set; }
		[StringLength(LgwLupContModuleConsts.MaxRenbanLength)]
		public virtual string Renban { get; set; }
		[StringLength(LgwLupContModuleConsts.MaxLotNoLength)]
		public virtual string LotNo { get; set; }
		[StringLength(LgwLupContModuleConsts.MaxModuleNoLength)]
		public virtual string ModuleNo { get; set; }
		[StringLength(LgwLupContModuleConsts.MaxStatusLength)]
		public virtual string Status { get; set; }
		[StringLength(LgwLupContModuleConsts.MaxSortingTypeLength)]
		public virtual string SortingType { get; set; }
		[StringLength(LgwLupContModuleConsts.MaxSortingStatusLength)]
		public virtual string SortingStatus { get; set; }
		public virtual DateTime? UpdatedSortingStatus { get; set; }
		[StringLength(LgwLupContModuleConsts.MaxIsActiveLength)]
		public virtual string IsActive { get; set; }
</v>
      </c>
      <c r="O21" s="33" t="str">
        <f ca="1">TEXTJOIN2("
",TRUE,INDIRECT( $N$1):INDIRECT($N$3))</f>
        <v xml:space="preserve">		public virtual string InvoiceNo { get; set; }
		public virtual string SupplierNo { get; set; }
		public virtual string ContainerNo { get; set; }
		public virtual string Renban { get; set; }
		public virtual string LotNo { get; set; }
		public virtual string ModuleNo { get; set; }
		public virtual string Status { get; set; }
		public virtual string SortingType { get; set; }
		public virtual string SortingStatus { get; set; }
		public virtual DateTime? UpdatedSortingStatus { get; set; }
		public virtual string IsActive { get; set; }
</v>
      </c>
      <c r="P21" s="9" t="str">
        <f ca="1">TEXTJOIN2("
",TRUE,INDIRECT( $O$1):INDIRECT($O$3))</f>
        <v xml:space="preserve">							InvoiceNo = o.InvoiceNo,
							SupplierNo = o.SupplierNo,
							ContainerNo = o.ContainerNo,
							Renban = o.Renban,
							LotNo = o.LotNo,
							ModuleNo = o.ModuleNo,
							Status = o.Status,
							SortingType = o.SortingType,
							SortingStatus = o.SortingStatus,
							UpdatedSortingStatus = o.UpdatedSortingStatus,
							IsActive = o.IsActive,</v>
      </c>
      <c r="T21" s="9" t="str">
        <f ca="1">TEXTJOIN2("
",TRUE,INDIRECT( $T$2):INDIRECT($T$3))</f>
        <v xml:space="preserve">								("InvoiceNo"),
								("SupplierNo"),
								("ContainerNo"),
								("Renban"),
								("LotNo"),
								("ModuleNo"),
								("Status"),
								("SortingType"),
								("SortingStatus"),
								("UpdatedSortingStatus"),
								("IsActive"),</v>
      </c>
      <c r="V21" s="9" t="str">
        <f ca="1">TEXTJOIN2("
",TRUE,INDIRECT( $V$2):INDIRECT($V$3))</f>
        <v xml:space="preserve">								_ =&gt; _.InvoiceNo,
								_ =&gt; _.SupplierNo,
								_ =&gt; _.ContainerNo,
								_ =&gt; _.Renban,
								_ =&gt; _.LotNo,
								_ =&gt; _.ModuleNo,
								_ =&gt; _.Status,
								_ =&gt; _.SortingType,
								_ =&gt; _.SortingStatus,
								_ =&gt; _.UpdatedSortingStatus,
								_ =&gt; _.IsActive,</v>
      </c>
      <c r="W21" s="9" t="str">
        <f ca="1">TEXTJOIN2("
",TRUE,INDIRECT( $W$2):INDIRECT($W$3))</f>
        <v xml:space="preserve">				.WhereIf(!string.IsNullOrWhiteSpace(input.InvoiceNo), e =&gt; e.InvoiceNo.Contains(input.InvoiceNo))
				.WhereIf(!string.IsNullOrWhiteSpace(input.SupplierNo), e =&gt; e.SupplierNo.Contains(input.SupplierNo))
				.WhereIf(!string.IsNullOrWhiteSpace(input.ContainerNo), e =&gt; e.ContainerNo.Contains(input.ContainerNo))
				.WhereIf(!string.IsNullOrWhiteSpace(input.Renban), e =&gt; e.Renban.Contains(input.Renban))
				.WhereIf(!string.IsNullOrWhiteSpace(input.LotNo), e =&gt; e.LotNo.Contains(input.LotNo))
				.WhereIf(!string.IsNullOrWhiteSpace(input.ModuleNo), e =&gt; e.ModuleNo.Contains(input.ModuleNo))
				.WhereIf(!string.IsNullOrWhiteSpace(input.Status), e =&gt; e.Status.Contains(input.Status))
				.WhereIf(!string.IsNullOrWhiteSpace(input.SortingType), e =&gt; e.SortingType.Contains(input.SortingType))
				.WhereIf(!string.IsNullOrWhiteSpace(input.SortingStatus), e =&gt; e.SortingStatus.Contains(input.SortingStatus))
				.WhereIf(input.UpdatedSortingStatus.HasValue, t =&gt; t.UpdatedSortingStatus == input.UpdatedSortingStatus.Value)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8"/>
  <sheetViews>
    <sheetView workbookViewId="0">
      <selection activeCell="F15" sqref="F1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320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LogW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logw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Lup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lup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LgwLupContModule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ContModule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contmodule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LgwLupContModuleDto, LgwLupContModuleServiceProxy } from '@shared/service-proxies/service-proxies';
import { finalize } from 'rxjs/internal/operators/finalize';
import { CreateOrEditContModuleModalComponent } from './create-or-edit-contmodule-modal.component';
import { DatePipe } from '@angular/common';
import { FileDownloadService } from '@shared/utils/file-download.service';
import ceil from 'lodash-es/ceil';
import { Paginator } from 'primeng/paginator';
@Component({
    templateUrl: './contmodule.component.html',
    styleUrls: ['./contmodule.component.less'],
})
export class ContModuleComponent extends AppComponentBase implements OnInit {
    @ViewChild('createOrEditModalContModule', { static: true }) createOrEditModalContModule:| CreateOrEditContModuleModalComponent|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LgwLupContModuleDto = new LgwLupContModuleDto();
    saveSelectedRow: LgwLupContModuleDto = new LgwLupContModuleDto();
    datas: LgwLupContModuleDto = new LgwLupContModuleDto();
    isLoading: boolean = false;
    dataParams: GridParams | undefined;
    rowData: any[] = [];
    gridApi!: GridApi;
    rowSelection = 'multiple';
    filter: string = '';
	pipe = new DatePipe('en-US');
	frameworkComponents: FrameworkComponent;
    invoiceNo : string = '' ; 
	supplierNo : string = '' ; 
	containerNo : string = '' ; 
	renban : string = '' ; 
	lotNo : string = '' ; 
moduleNo : string = '' ; 
	status : string = '' ; 
	sortingType : string = '' ; 
	sortingStatus : string = '' ; 
	updatedSortingStatus : any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LgwLupContModuleServiceProxy,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this.l('Invoice No'),headerTooltip: this.l('Invoice No'),field: 'invoiceNo',flex: 1},
			{headerName: this.l('Supplier No'),headerTooltip: this.l('Supplier No'),field: 'supplierNo',flex: 1},
			{headerName: this.l('Container No'),headerTooltip: this.l('Container No'),field: 'containerNo',flex: 1},
			{headerName: this.l('Renban'),headerTooltip: this.l('Renban'),field: 'renban',flex: 1},
			{headerName: this.l('Lot No'),headerTooltip: this.l('Lot No'),field: 'lotNo',flex: 1},
			{headerName: this.l('Module No'),headerTooltip: this.l('Module No'),field: 'moduleNo',flex: 1},
			{headerName: this.l('Status'),headerTooltip: this.l('Status'),field: 'status',flex: 1},
			{headerName: this.l('Sorting Type'),headerTooltip: this.l('Sorting Type'),field: 'sortingType',flex: 1},
			{headerName: this.l('Sorting Status'),headerTooltip: this.l('Sorting Status'),field: 'sortingStatus',flex: 1},
			{headerName: this.l('Updated Sorting Status'),headerTooltip: this.l('Updated Sorting Status'),field: 'updatedSortingStatus',valueGetter: (params) =&gt; this.pipe.transform(params.data?.updatedSortingStatus, 'dd/MM/yyyy'),flex: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this.invoiceNo,
			this.supplierNo,
			this.containerNo,
			this.renban,
			this.lotNo,
			this.moduleNo,
			this.status,
			this.sortingType,
			this.sortingStatus,
			this.updatedSortingStatus,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this.invoiceNo = '',
		this.supplierNo = '',
		this.containerNo = '',
		this.renban = '',
		this.lotNo = '',
this.moduleNo = '',
		this.status = '',
		this.sortingType = '',
		this.sortingStatus = '',
		this.updatedSortingStatus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this.invoiceNo,
			this.supplierNo,
			this.containerNo,
			this.renban,
			this.lotNo,
			this.moduleNo,
			this.status,
			this.sortingType,
			this.sortingStatus,
			this.updatedSortingStatus,
			this.isActive,
			'',
            this.paginationParams.skipCount,
            this.paginationParams.pageSize
        );
    }
    onChangeRowSelection(params: { api: { getSelectedRows: () =&gt; LgwLupContModuleDto[] } }) {
        this.saveSelectedRow = params.api.getSelectedRows()[0] ?? new LgwLupContModuleDto();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LgwLupContModuleDto):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this._service.getContModuleToExcel(
			this.invoiceNo,
			this.supplierNo,
			this.containerNo,
			this.renban,
			this.lotNo,
			this.moduleNo,
			this.status,
			this.sortingType,
			this.sortingStatus,
			this.updatedSortingStatus,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Module Warehouse Container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[(ngModel)]='sortingType' name='sortingType'
									class='form-control' [placeholder]="l('Sorting Type')"
									type='text' (keyup.enter)='searchDatas()'&gt;
								&lt;/div&gt;
								&lt;div class='input-search'&gt;
									&lt;input [(ngModel)]='sortingStatus' name='sortingStatus'
									class='form-control' [placeholder]="l('Sorting Status')"
									type='text' (keyup.enter)='searchDatas()'&gt;
								&lt;/div&gt;
								&lt;div class='input-search'&gt;
									&lt;input type='text' [placeholder]="l('Updated Sorting Status')" [(ngModel)]='updatedSortingStatus' 
									name='updatedSortingStatus'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(click)="createOrEditModalContModule.show()"&gt;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(click)="createOrEditModalContModule.show(selectedRow)"&gt;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&lt;create-or-edit-contmodule-modal
    #createOrEditModalContModule
    (modalSave)="callBackDataGrid(dataParams)"
    (modalClose)="onChangeRowSelection(dataParams)"
&gt;
&lt;/create-or-edit-contmodule-modal&gt;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#createOrEditModalContModule="bs-modal"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ContModule')}}&lt;/h3&gt;
                    &lt;h3 *ngIf="!rowdata.id"&gt;{{('Create New ContModule')}}&lt;/h3&gt;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title'&gt;Sorting Type&lt;/label&gt;
						&lt;input type='text' class='col-md-10 form-control input-text' name='SortingType' [(ngModel)]='rowdata.sortingType'&gt;
					&lt;/div&gt;
					&lt;div class='col-md-12 form-group row'&gt;
						&lt;label class='col-md-2 form-control title'&gt;Sorting Status&lt;/label&gt;
						&lt;input type='text' class='col-md-10 form-control input-text' name='SortingStatus' [(ngModel)]='rowdata.sortingStatus'&gt;
					&lt;/div&gt;
					&lt;div class='col-md-12 form-group row'&gt;
						&lt;label class='col-md-2 form-control title'&gt;Updated Sorting Status&lt;/label&gt;
						&lt;input type='text' class='col-md-10 form-control input-text' name='updatedSortingStatus' 
						#datepicker='bsDatepicker' [(ngModel)]='rowdata.updatedSortingStatus'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CreateOrEditLgwLupContModuleDto, LgwLupContModuleServiceProxy } from '@shared/service-proxies/service-proxies';
import { BsDatepickerDirective } from 'ngx-bootstrap/datepicker';
@Component({
    selector: 'create-or-edit-contmodule-modal',
    templateUrl: './create-or-edit-contmodule-modal.component.html',
    styleUrls: ['./create-or-edit-contmodule-modal.component.less']
    })
export class CreateOrEditContModuleModalComponent extends AppComponentBase {
    @ViewChild('createOrEditModalContModule',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CreateOrEditLgwLupContModuleDto = new CreateOrEditLgwLupContModuleDto();
    active: boolean = false;
    saving: boolean = false;
    _isActive: boolean;
    constructor(
        injector: Injector,
        private _mstwptContModuleService: LgwLupContModuleServiceProxy,
    ) 
    {
        super(injector);
    }
    show(rowdata?: CreateOrEditLgwLupContModuleDto): void {
        if (!rowdata) this.rowdata = new CreateOrEditLgwLupContModuleDto();
        else this.rowdata = rowdata;
		const dateValue =  this.rowdata.updatedSortingStatus ? new Date(this.rowdata.updatedSortingStatus?.toString())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this._mstwptContModuleService.createOrEdit(this.rowdata)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ContModuleRoutingModule } from './contmodule-routing.module';
import { ContModuleComponent } from './contmodule.component';
import { CreateOrEditContModuleModalComponent } from './create-or-edit-contmodule-modal.component';
@NgModule({
    declarations: [
       ContModuleComponent, 
        CreateOrEditContModuleModalComponent
    ],
    imports: [
        AppSharedModule, ContModuleRoutingModule]
})
export class ContModuleModule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ContModuleComponent } from './contmodule.component';
const routes: Routes = [{
    path: '',
    component: ContModuleComponent,
    pathMatch: 'full'
}];
@NgModule({
    imports: [RouterModule.forChild(routes)],
    exports: [RouterModule],
})
export class ContModuleRoutingModule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AppMenuItem("ContModule", "Pages.LogW.Lup.ContModule", "flaticon-book",   "/app/main/logw/lup/contmodule"),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'logw/lup/contmodule',
    loadChildren: () =&gt; import('./logw/lup/contmodule/contmodule.module').then(m =&gt; m.ContModuleModule),
    data: { permission: 'Pages.LogW.Lup.ContModule' }
},</v>
      </c>
      <c r="R10" s="50" t="str">
        <f>SUBSTITUTE(R9,"MstWptCalendar",$B$6)</f>
        <v>ApiServiceProxies.LgwLupContModuleServiceProxy,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H25</v>
      </c>
      <c r="I12" s="31" t="str">
        <f>"I"&amp;COUNTA($A:$A)</f>
        <v>I25</v>
      </c>
      <c r="J12" s="31"/>
      <c r="K12" s="31" t="str">
        <f>"K"&amp;COUNTA($A:$A)</f>
        <v>K25</v>
      </c>
      <c r="L12" s="31" t="str">
        <f>"L"&amp;COUNTA($A:$A)</f>
        <v>L25</v>
      </c>
      <c r="M12" s="31"/>
      <c r="N12" s="31"/>
      <c r="O12" s="31"/>
      <c r="P12" s="31"/>
      <c r="Q12" s="31"/>
      <c r="R12" s="31"/>
      <c r="S12" s="31" t="str">
        <f>"S"&amp;COUNTA($A:$A)</f>
        <v>S25</v>
      </c>
      <c r="T12" s="31" t="str">
        <f>"T"&amp;COUNTA($A:$A)</f>
        <v>T25</v>
      </c>
      <c r="U12" s="31" t="str">
        <f>"U"&amp;COUNTA($A:$A)</f>
        <v>U25</v>
      </c>
      <c r="V12" s="31" t="str">
        <f>"V"&amp;COUNTA($A:$A)</f>
        <v>V25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this.l('Invoice No'),headerTooltip: this.l('Invoice No'),field: 'invoiceNo',flex: 1},
			{headerName: this.l('Supplier No'),headerTooltip: this.l('Supplier No'),field: 'supplierNo',flex: 1},
			{headerName: this.l('Container No'),headerTooltip: this.l('Container No'),field: 'containerNo',flex: 1},
			{headerName: this.l('Renban'),headerTooltip: this.l('Renban'),field: 'renban',flex: 1},
			{headerName: this.l('Lot No'),headerTooltip: this.l('Lot No'),field: 'lotNo',flex: 1},
			{headerName: this.l('Module No'),headerTooltip: this.l('Module No'),field: 'moduleNo',flex: 1},
			{headerName: this.l('Status'),headerTooltip: this.l('Status'),field: 'status',flex: 1},
			{headerName: this.l('Sorting Type'),headerTooltip: this.l('Sorting Type'),field: 'sortingType',flex: 1},
			{headerName: this.l('Sorting Status'),headerTooltip: this.l('Sorting Status'),field: 'sortingStatus',flex: 1},
			{headerName: this.l('Updated Sorting Status'),headerTooltip: this.l('Updated Sorting Status'),field: 'updatedSortingStatus',valueGetter: (params) =&gt; this.pipe.transform(params.data?.updatedSortingStatus, 'dd/MM/yyyy'),flex: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[(ngModel)]='sortingType' name='sortingType'
									class='form-control' [placeholder]="l('Sorting Type')"
									type='text' (keyup.enter)='searchDatas()'&gt;
								&lt;/div&gt;
								&lt;div class='input-search'&gt;
									&lt;input [(ngModel)]='sortingStatus' name='sortingStatus'
									class='form-control' [placeholder]="l('Sorting Status')"
									type='text' (keyup.enter)='searchDatas()'&gt;
								&lt;/div&gt;
								&lt;div class='input-search'&gt;
									&lt;input type='text' [placeholder]="l('Updated Sorting Status')" [(ngModel)]='updatedSortingStatus' 
									name='updatedSortingStatus'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title'&gt;Sorting Type&lt;/label&gt;
						&lt;input type='text' class='col-md-10 form-control input-text' name='SortingType' [(ngModel)]='rowdata.sortingType'&gt;
					&lt;/div&gt;
					&lt;div class='col-md-12 form-group row'&gt;
						&lt;label class='col-md-2 form-control title'&gt;Sorting Status&lt;/label&gt;
						&lt;input type='text' class='col-md-10 form-control input-text' name='SortingStatus' [(ngModel)]='rowdata.sortingStatus'&gt;
					&lt;/div&gt;
					&lt;div class='col-md-12 form-group row'&gt;
						&lt;label class='col-md-2 form-control title'&gt;Updated Sorting Status&lt;/label&gt;
						&lt;input type='text' class='col-md-10 form-control input-text' name='updatedSortingStatus' 
						#datepicker='bsDatepicker' [(ngModel)]='rowdata.updatedSortingStatus'  bsDatepicker 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this.rowdata.updatedSortingStatus ? new Date(this.rowdata.updatedSortingStatus?.toString())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invoiceNo : string = '' ; 
	supplierNo : string = '' ; 
	containerNo : string = '' ; 
	renban : string = '' ; 
	lotNo : string = '' ; 
moduleNo : string = '' ; 
	status : string = '' ; 
	sortingType : string = '' ; 
	sortingStatus : string = '' ; 
	updatedSortingStatus : any ;
	isActive : string = '' ; </v>
      </c>
      <c r="T13" s="68" t="str">
        <f ca="1">TEXTJOIN2("
",TRUE,INDIRECT(T11):INDIRECT(T12))</f>
        <v xml:space="preserve">			this.invoiceNo,
			this.supplierNo,
			this.containerNo,
			this.renban,
			this.lotNo,
			this.moduleNo,
			this.status,
			this.sortingType,
			this.sortingStatus,
			this.updatedSortingStatus,
			this.isActive,</v>
      </c>
      <c r="U13" s="68" t="str">
        <f ca="1">TEXTJOIN2("
",TRUE,INDIRECT(U11):INDIRECT(U12))</f>
        <v>this.invoiceNo = '',
		this.supplierNo = '',
		this.containerNo = '',
		this.renban = '',
		this.lotNo = '',
this.moduleNo = '',
		this.status = '',
		this.sortingType = '',
		this.sortingStatus = '',
		this.updatedSortingStatus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contmodule.component.ts</v>
      </c>
      <c r="I14" s="40" t="str">
        <f>B8&amp;".component.html"</f>
        <v>contmodule.component.html</v>
      </c>
      <c r="J14" s="39" t="str">
        <f>B8&amp;".component.less"</f>
        <v>contmodule.component.less</v>
      </c>
      <c r="K14" s="40" t="str">
        <f>"create-or-edit-"&amp;B8&amp;"-modal.component.html"</f>
        <v>create-or-edit-contmodule-modal.component.html</v>
      </c>
      <c r="L14" s="40" t="str">
        <f>"create-or-edit-"&amp;B8&amp;"-modal.component.ts"</f>
        <v>create-or-edit-contmodule-modal.component.ts</v>
      </c>
      <c r="M14" s="40" t="str">
        <f>"create-or-edit-"&amp;B8&amp;"-modal.component.less"</f>
        <v>create-or-edit-contmodule-modal.component.less</v>
      </c>
      <c r="N14" s="40" t="str">
        <f>B8&amp;".module.ts"</f>
        <v>contmodule.module.ts</v>
      </c>
      <c r="O14" s="40" t="str">
        <f>B8&amp;"-routing.module.ts"</f>
        <v>contmodule-routing.module.ts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308</v>
      </c>
      <c r="B15" s="31" t="str">
        <f>SUBSTITUTE(PROPER(A15),"_","")</f>
        <v>InvoiceNo</v>
      </c>
      <c r="C15" s="31" t="str">
        <f>SUBSTITUTE(PROPER(A15),"_"," ")</f>
        <v>Invoice No</v>
      </c>
      <c r="D15" s="31" t="str">
        <f>LOWER(LEFT(B15,1))&amp;RIGHT(B15,LEN(B15) - 1)</f>
        <v>invoiceNo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this.l('Invoice No'),headerTooltip: this.l('Invoice No'),field: 'invoiceNo',flex: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[(ngModel)]='invoiceNo' name='invoiceNo'
									class='form-control' [placeholder]="l('Invoice No')"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title'&gt;Invoice No&lt;/label&gt;
						&lt;input type='text' class='col-md-10 form-control input-text' name='InvoiceNo' [(ngModel)]='rowdata.invoiceNo'&gt;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invoiceNo : string = '' ; </v>
      </c>
      <c r="T15" s="31" t="str">
        <f>REPT(CHAR(9),3)&amp;"this."&amp;D15&amp;","</f>
        <v xml:space="preserve">			this.invoiceNo,</v>
      </c>
      <c r="U15" s="31" t="str">
        <f>IF(E15="int","this."&amp;D15&amp;" = 0,","this."&amp;D15&amp;" = '',")</f>
        <v>this.invoiceNo = '',</v>
      </c>
      <c r="V15" s="31" t="str">
        <f>IF(AND(E15="string",F15="1"),D15,"")</f>
        <v/>
      </c>
    </row>
    <row r="16" spans="1:22" ht="15" customHeight="1" x14ac:dyDescent="0.25">
      <c r="A16" s="44" t="s">
        <v>301</v>
      </c>
      <c r="B16" s="31" t="str">
        <f t="shared" ref="B16:B17" si="0">SUBSTITUTE(PROPER(A16),"_","")</f>
        <v>SupplierNo</v>
      </c>
      <c r="C16" s="31" t="str">
        <f t="shared" ref="C16:C17" si="1">SUBSTITUTE(PROPER(A16),"_"," ")</f>
        <v>Supplier No</v>
      </c>
      <c r="D16" s="31" t="str">
        <f t="shared" ref="D16:D17" si="2">LOWER(LEFT(B16,1))&amp;RIGHT(B16,LEN(B16) - 1)</f>
        <v>supplierNo</v>
      </c>
      <c r="E16" s="31" t="str">
        <f>A.Backend!H10</f>
        <v>string</v>
      </c>
      <c r="F16" s="31" t="str">
        <f>A.Backend!G10</f>
        <v>50</v>
      </c>
      <c r="G16" s="31" t="str">
        <f t="shared" ref="G16:G22" si="3">IF(E16="string"," : string = '' ; ",IF(OR(E16="DateTime",E16="TimeSpan")," : any ;",IF(E16="int"," : number = 0 ;","")))</f>
        <v xml:space="preserve"> : string = '' ; </v>
      </c>
      <c r="H16" s="38" t="str">
        <f t="shared" ref="H16:H22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this.l('Supplier No'),headerTooltip: this.l('Supplier No'),field: 'supplierNo',flex: 1},</v>
      </c>
      <c r="I16" s="38" t="str">
        <f t="shared" ref="I16:I22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6" s="31"/>
      <c r="K16" s="38" t="str">
        <f t="shared" ref="K16:K22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6" s="60" t="str">
        <f t="shared" ref="L16:L22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supplierNo : string = '' ; </v>
      </c>
      <c r="T16" s="31" t="str">
        <f>REPT(CHAR(9),3)&amp;"this."&amp;D16&amp;","</f>
        <v xml:space="preserve">			this.supplierNo,</v>
      </c>
      <c r="U16" s="31" t="str">
        <f>IF(E16="int",REPT(CHAR(9),2)&amp;"this."&amp;D16&amp;" = 0,",REPT(CHAR(9),2)&amp;"this."&amp;D16&amp;" = '',")</f>
        <v xml:space="preserve">		this.supplierNo = '',</v>
      </c>
      <c r="V16" s="31" t="str">
        <f t="shared" ref="V16:V22" si="8">IF(AND(E16="string",F16="1"),D16,"")</f>
        <v/>
      </c>
    </row>
    <row r="17" spans="1:22" ht="18" customHeight="1" x14ac:dyDescent="0.25">
      <c r="A17" s="44" t="s">
        <v>305</v>
      </c>
      <c r="B17" s="31" t="str">
        <f t="shared" si="0"/>
        <v>ContainerNo</v>
      </c>
      <c r="C17" s="31" t="str">
        <f t="shared" si="1"/>
        <v>Container No</v>
      </c>
      <c r="D17" s="31" t="str">
        <f t="shared" si="2"/>
        <v>containerNo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this.l('Container No'),headerTooltip: this.l('Container No'),field: 'containerNo',flex: 1},</v>
      </c>
      <c r="I17" s="38" t="str">
        <f t="shared" si="5"/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22" si="9">REPT(CHAR(9),1)&amp;D17&amp;G17</f>
        <v xml:space="preserve">	containerNo : string = '' ; </v>
      </c>
      <c r="T17" s="31" t="str">
        <f t="shared" ref="T17:T22" si="10">REPT(CHAR(9),3)&amp;"this."&amp;D17&amp;","</f>
        <v xml:space="preserve">			this.containerNo,</v>
      </c>
      <c r="U17" s="31" t="str">
        <f t="shared" ref="U17:U22" si="11">IF(E17="int",REPT(CHAR(9),2)&amp;"this."&amp;D17&amp;" = 0,",REPT(CHAR(9),2)&amp;"this."&amp;D17&amp;" = '',")</f>
        <v xml:space="preserve">		this.containerNo = '',</v>
      </c>
      <c r="V17" s="31" t="str">
        <f t="shared" si="8"/>
        <v/>
      </c>
    </row>
    <row r="18" spans="1:22" ht="18" customHeight="1" x14ac:dyDescent="0.25">
      <c r="A18" s="44" t="s">
        <v>304</v>
      </c>
      <c r="B18" s="31" t="str">
        <f>SUBSTITUTE(PROPER(A18),"_","")</f>
        <v>Renban</v>
      </c>
      <c r="C18" s="31" t="str">
        <f>SUBSTITUTE(PROPER(A18),"_"," ")</f>
        <v>Renban</v>
      </c>
      <c r="D18" s="31" t="str">
        <f>LOWER(LEFT(B18,1))&amp;RIGHT(B18,LEN(B18) - 1)</f>
        <v>renban</v>
      </c>
      <c r="E18" s="31" t="str">
        <f>A.Backend!H12</f>
        <v>string</v>
      </c>
      <c r="F18" s="31" t="str">
        <f>A.Backend!G12</f>
        <v>50</v>
      </c>
      <c r="G18" s="31" t="str">
        <f t="shared" ref="G18:G19" si="12">IF(E18="string"," : string = '' ; ",IF(OR(E18="DateTime",E18="TimeSpan")," : any ;",IF(E18="int"," : number = 0 ;","")))</f>
        <v xml:space="preserve"> : string = '' ; </v>
      </c>
      <c r="H18" s="38" t="str">
        <f t="shared" ref="H18:H19" si="13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this.l('Renban'),headerTooltip: this.l('Renban'),field: 'renban',flex: 1},</v>
      </c>
      <c r="I18" s="38" t="str">
        <f t="shared" ref="I18:I19" si="14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8" s="31"/>
      <c r="K18" s="38" t="str">
        <f t="shared" ref="K18:K19" si="15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8" s="60" t="str">
        <f t="shared" ref="L18:L19" si="16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 t="shared" ref="S18:S19" si="17">REPT(CHAR(9),1)&amp;D18&amp;G18</f>
        <v xml:space="preserve">	renban : string = '' ; </v>
      </c>
      <c r="T18" s="31" t="str">
        <f t="shared" ref="T18:T19" si="18">REPT(CHAR(9),3)&amp;"this."&amp;D18&amp;","</f>
        <v xml:space="preserve">			this.renban,</v>
      </c>
      <c r="U18" s="31" t="str">
        <f t="shared" ref="U18:U19" si="19">IF(E18="int",REPT(CHAR(9),2)&amp;"this."&amp;D18&amp;" = 0,",REPT(CHAR(9),2)&amp;"this."&amp;D18&amp;" = '',")</f>
        <v xml:space="preserve">		this.renban = '',</v>
      </c>
      <c r="V18" s="31" t="str">
        <f t="shared" ref="V18:V19" si="20">IF(AND(E18="string",F18="1"),D18,"")</f>
        <v/>
      </c>
    </row>
    <row r="19" spans="1:22" ht="15" customHeight="1" x14ac:dyDescent="0.25">
      <c r="A19" s="44" t="s">
        <v>309</v>
      </c>
      <c r="B19" s="31" t="str">
        <f t="shared" ref="B19" si="21">SUBSTITUTE(PROPER(A19),"_","")</f>
        <v>LotNo</v>
      </c>
      <c r="C19" s="31" t="str">
        <f t="shared" ref="C19" si="22">SUBSTITUTE(PROPER(A19),"_"," ")</f>
        <v>Lot No</v>
      </c>
      <c r="D19" s="31" t="str">
        <f t="shared" ref="D19" si="23">LOWER(LEFT(B19,1))&amp;RIGHT(B19,LEN(B19) - 1)</f>
        <v>lotNo</v>
      </c>
      <c r="E19" s="31" t="str">
        <f>A.Backend!H13</f>
        <v>string</v>
      </c>
      <c r="F19" s="31" t="str">
        <f>A.Backend!G13</f>
        <v>20</v>
      </c>
      <c r="G19" s="31" t="str">
        <f t="shared" si="12"/>
        <v xml:space="preserve"> : string = '' ; </v>
      </c>
      <c r="H19" s="38" t="str">
        <f t="shared" si="13"/>
        <v xml:space="preserve">			{headerName: this.l('Lot No'),headerTooltip: this.l('Lot No'),field: 'lotNo',flex: 1},</v>
      </c>
      <c r="I19" s="38" t="str">
        <f t="shared" si="14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9" s="31"/>
      <c r="K19" s="38" t="str">
        <f t="shared" si="15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9" s="60" t="str">
        <f t="shared" si="16"/>
        <v/>
      </c>
      <c r="M19" s="31"/>
      <c r="N19" s="31"/>
      <c r="O19" s="31"/>
      <c r="P19" s="31"/>
      <c r="Q19" s="31"/>
      <c r="R19" s="31"/>
      <c r="S19" s="31" t="str">
        <f t="shared" si="17"/>
        <v xml:space="preserve">	lotNo : string = '' ; </v>
      </c>
      <c r="T19" s="31" t="str">
        <f t="shared" si="18"/>
        <v xml:space="preserve">			this.lotNo,</v>
      </c>
      <c r="U19" s="31" t="str">
        <f t="shared" si="19"/>
        <v xml:space="preserve">		this.lotNo = '',</v>
      </c>
      <c r="V19" s="31" t="str">
        <f t="shared" si="20"/>
        <v/>
      </c>
    </row>
    <row r="20" spans="1:22" ht="18" customHeight="1" x14ac:dyDescent="0.25">
      <c r="A20" s="44" t="s">
        <v>311</v>
      </c>
      <c r="B20" s="31" t="str">
        <f>SUBSTITUTE(PROPER(A20),"_","")</f>
        <v>ModuleNo</v>
      </c>
      <c r="C20" s="31" t="str">
        <f>SUBSTITUTE(PROPER(A20),"_"," ")</f>
        <v>Module No</v>
      </c>
      <c r="D20" s="31" t="str">
        <f>LOWER(LEFT(B20,1))&amp;RIGHT(B20,LEN(B20) - 1)</f>
        <v>moduleNo</v>
      </c>
      <c r="E20" s="31" t="str">
        <f>A.Backend!H14</f>
        <v>string</v>
      </c>
      <c r="F20" s="31" t="str">
        <f>A.Backend!G14</f>
        <v>20</v>
      </c>
      <c r="G20" s="31" t="str">
        <f>IF(E20="string"," : string = '' ; ",IF(OR(E20="DateTime",E20="TimeSpan")," : any ;",IF(E20="int"," : number = 0 ;","")))</f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this.l('Module No'),headerTooltip: this.l('Module No'),field: 'moduleNo',flex: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[(ngModel)]='moduleNo' name='moduleNo'
									class='form-control' [placeholder]="l('Module No')"
									type='text' (keyup.enter)='searchDatas()'&gt;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title'&gt;Module No&lt;/label&gt;
						&lt;input type='text' class='col-md-10 form-control input-text' name='ModuleNo' [(ngModel)]='rowdata.moduleNo'&gt;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 xml:space="preserve">moduleNo : string = '' ; </v>
      </c>
      <c r="T20" s="31" t="str">
        <f>REPT(CHAR(9),3)&amp;"this."&amp;D20&amp;","</f>
        <v xml:space="preserve">			this.moduleNo,</v>
      </c>
      <c r="U20" s="31" t="str">
        <f>IF(E20="int","this."&amp;D20&amp;" = 0,","this."&amp;D20&amp;" = '',")</f>
        <v>this.moduleNo = '',</v>
      </c>
      <c r="V20" s="31" t="str">
        <f>IF(AND(E20="string",F20="1"),D20,"")</f>
        <v/>
      </c>
    </row>
    <row r="21" spans="1:22" ht="18" customHeight="1" x14ac:dyDescent="0.25">
      <c r="A21" s="44" t="s">
        <v>307</v>
      </c>
      <c r="B21" s="31" t="str">
        <f>SUBSTITUTE(PROPER(A21),"_","")</f>
        <v>Status</v>
      </c>
      <c r="C21" s="31" t="str">
        <f>SUBSTITUTE(PROPER(A21),"_"," ")</f>
        <v>Status</v>
      </c>
      <c r="D21" s="31" t="str">
        <f>LOWER(LEFT(B21,1))&amp;RIGHT(B21,LEN(B21) - 1)</f>
        <v>status</v>
      </c>
      <c r="E21" s="31" t="str">
        <f>A.Backend!H15</f>
        <v>string</v>
      </c>
      <c r="F21" s="31" t="str">
        <f>A.Backend!G15</f>
        <v>10</v>
      </c>
      <c r="G21" s="31" t="str">
        <f t="shared" si="3"/>
        <v xml:space="preserve"> : string = '' ; </v>
      </c>
      <c r="H21" s="38" t="str">
        <f t="shared" si="4"/>
        <v xml:space="preserve">			{headerName: this.l('Status'),headerTooltip: this.l('Status'),field: 'status',flex: 1},</v>
      </c>
      <c r="I21" s="38" t="str">
        <f t="shared" si="5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1" s="31"/>
      <c r="K21" s="38" t="str">
        <f t="shared" si="6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si="9"/>
        <v xml:space="preserve">	status : string = '' ; </v>
      </c>
      <c r="T21" s="31" t="str">
        <f t="shared" si="10"/>
        <v xml:space="preserve">			this.status,</v>
      </c>
      <c r="U21" s="31" t="str">
        <f t="shared" si="11"/>
        <v xml:space="preserve">		this.status = '',</v>
      </c>
      <c r="V21" s="31" t="str">
        <f t="shared" si="8"/>
        <v/>
      </c>
    </row>
    <row r="22" spans="1:22" ht="15" customHeight="1" x14ac:dyDescent="0.25">
      <c r="A22" s="44" t="s">
        <v>314</v>
      </c>
      <c r="B22" s="31" t="str">
        <f t="shared" ref="B22:B23" si="24">SUBSTITUTE(PROPER(A22),"_","")</f>
        <v>SortingType</v>
      </c>
      <c r="C22" s="31" t="str">
        <f t="shared" ref="C22:C23" si="25">SUBSTITUTE(PROPER(A22),"_"," ")</f>
        <v>Sorting Type</v>
      </c>
      <c r="D22" s="31" t="str">
        <f t="shared" ref="D22:D23" si="26">LOWER(LEFT(B22,1))&amp;RIGHT(B22,LEN(B22) - 1)</f>
        <v>sortingType</v>
      </c>
      <c r="E22" s="31" t="str">
        <f>A.Backend!H16</f>
        <v>string</v>
      </c>
      <c r="F22" s="31" t="str">
        <f>A.Backend!G16</f>
        <v>20</v>
      </c>
      <c r="G22" s="31" t="str">
        <f t="shared" si="3"/>
        <v xml:space="preserve"> : string = '' ; </v>
      </c>
      <c r="H22" s="38" t="str">
        <f t="shared" si="4"/>
        <v xml:space="preserve">			{headerName: this.l('Sorting Type'),headerTooltip: this.l('Sorting Type'),field: 'sortingType',flex: 1},</v>
      </c>
      <c r="I22" s="38" t="str">
        <f t="shared" si="5"/>
        <v xml:space="preserve">								&lt;div class='input-search'&gt;
									&lt;input [(ngModel)]='sortingType' name='sortingType'
									class='form-control' [placeholder]="l('Sorting Type')"
									type='text' (keyup.enter)='searchDatas()'&gt;
								&lt;/div&gt;</v>
      </c>
      <c r="J22" s="31"/>
      <c r="K22" s="38" t="str">
        <f t="shared" si="6"/>
        <v xml:space="preserve">					&lt;div class='col-md-12 form-group row'&gt;
						&lt;label class='col-md-2 form-control title'&gt;Sorting Type&lt;/label&gt;
						&lt;input type='text' class='col-md-10 form-control input-text' name='SortingType' [(ngModel)]='rowdata.sortingType'&gt;
					&lt;/div&gt;</v>
      </c>
      <c r="L22" s="60" t="str">
        <f t="shared" si="7"/>
        <v/>
      </c>
      <c r="M22" s="31"/>
      <c r="N22" s="31"/>
      <c r="O22" s="31"/>
      <c r="P22" s="31"/>
      <c r="Q22" s="31"/>
      <c r="R22" s="31"/>
      <c r="S22" s="31" t="str">
        <f t="shared" si="9"/>
        <v xml:space="preserve">	sortingType : string = '' ; </v>
      </c>
      <c r="T22" s="31" t="str">
        <f t="shared" si="10"/>
        <v xml:space="preserve">			this.sortingType,</v>
      </c>
      <c r="U22" s="31" t="str">
        <f t="shared" si="11"/>
        <v xml:space="preserve">		this.sortingType = '',</v>
      </c>
      <c r="V22" s="31" t="str">
        <f t="shared" si="8"/>
        <v/>
      </c>
    </row>
    <row r="23" spans="1:22" ht="18" customHeight="1" x14ac:dyDescent="0.25">
      <c r="A23" s="44" t="s">
        <v>315</v>
      </c>
      <c r="B23" s="31" t="str">
        <f t="shared" si="24"/>
        <v>SortingStatus</v>
      </c>
      <c r="C23" s="31" t="str">
        <f t="shared" si="25"/>
        <v>Sorting Status</v>
      </c>
      <c r="D23" s="31" t="str">
        <f t="shared" si="26"/>
        <v>sortingStatus</v>
      </c>
      <c r="E23" s="31" t="str">
        <f>A.Backend!H17</f>
        <v>string</v>
      </c>
      <c r="F23" s="31" t="str">
        <f>A.Backend!G17</f>
        <v>10</v>
      </c>
      <c r="G23" s="31" t="str">
        <f t="shared" ref="G23:G25" si="27">IF(E23="string"," : string = '' ; ",IF(OR(E23="DateTime",E23="TimeSpan")," : any ;",IF(E23="int"," : number = 0 ;","")))</f>
        <v xml:space="preserve"> : string = '' ; </v>
      </c>
      <c r="H23" s="38" t="str">
        <f t="shared" ref="H23:H25" si="28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this.l('Sorting Status'),headerTooltip: this.l('Sorting Status'),field: 'sortingStatus',flex: 1},</v>
      </c>
      <c r="I23" s="38" t="str">
        <f t="shared" ref="I23:I25" si="29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[(ngModel)]='sortingStatus' name='sortingStatus'
									class='form-control' [placeholder]="l('Sorting Status')"
									type='text' (keyup.enter)='searchDatas()'&gt;
								&lt;/div&gt;</v>
      </c>
      <c r="J23" s="31"/>
      <c r="K23" s="38" t="str">
        <f t="shared" ref="K23:K25" si="30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title'&gt;Sorting Status&lt;/label&gt;
						&lt;input type='text' class='col-md-10 form-control input-text' name='SortingStatus' [(ngModel)]='rowdata.sortingStatus'&gt;
					&lt;/div&gt;</v>
      </c>
      <c r="L23" s="60" t="str">
        <f t="shared" ref="L23:L25" si="31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31"/>
      <c r="N23" s="31"/>
      <c r="O23" s="31"/>
      <c r="P23" s="31"/>
      <c r="Q23" s="31"/>
      <c r="R23" s="31"/>
      <c r="S23" s="31" t="str">
        <f t="shared" ref="S23:S25" si="32">REPT(CHAR(9),1)&amp;D23&amp;G23</f>
        <v xml:space="preserve">	sortingStatus : string = '' ; </v>
      </c>
      <c r="T23" s="31" t="str">
        <f t="shared" ref="T23:T25" si="33">REPT(CHAR(9),3)&amp;"this."&amp;D23&amp;","</f>
        <v xml:space="preserve">			this.sortingStatus,</v>
      </c>
      <c r="U23" s="31" t="str">
        <f t="shared" ref="U23:U25" si="34">IF(E23="int",REPT(CHAR(9),2)&amp;"this."&amp;D23&amp;" = 0,",REPT(CHAR(9),2)&amp;"this."&amp;D23&amp;" = '',")</f>
        <v xml:space="preserve">		this.sortingStatus = '',</v>
      </c>
      <c r="V23" s="31" t="str">
        <f t="shared" ref="V23:V25" si="35">IF(AND(E23="string",F23="1"),D23,"")</f>
        <v/>
      </c>
    </row>
    <row r="24" spans="1:22" ht="18" customHeight="1" x14ac:dyDescent="0.25">
      <c r="A24" s="44" t="s">
        <v>316</v>
      </c>
      <c r="B24" s="31" t="str">
        <f>SUBSTITUTE(PROPER(A24),"_","")</f>
        <v>UpdatedSortingStatus</v>
      </c>
      <c r="C24" s="31" t="str">
        <f>SUBSTITUTE(PROPER(A24),"_"," ")</f>
        <v>Updated Sorting Status</v>
      </c>
      <c r="D24" s="31" t="str">
        <f>LOWER(LEFT(B24,1))&amp;RIGHT(B24,LEN(B24) - 1)</f>
        <v>updatedSortingStatus</v>
      </c>
      <c r="E24" s="31" t="str">
        <f>A.Backend!H18</f>
        <v>DateTime</v>
      </c>
      <c r="F24" s="31" t="str">
        <f>A.Backend!G18</f>
        <v/>
      </c>
      <c r="G24" s="31" t="str">
        <f t="shared" si="27"/>
        <v xml:space="preserve"> : any ;</v>
      </c>
      <c r="H24" s="38" t="str">
        <f t="shared" si="28"/>
        <v xml:space="preserve">			{headerName: this.l('Updated Sorting Status'),headerTooltip: this.l('Updated Sorting Status'),field: 'updatedSortingStatus',valueGetter: (params) =&gt; this.pipe.transform(params.data?.updatedSortingStatus, 'dd/MM/yyyy'),flex: 1},</v>
      </c>
      <c r="I24" s="38" t="str">
        <f t="shared" si="29"/>
        <v xml:space="preserve">								&lt;div class='input-search'&gt;
									&lt;input type='text' [placeholder]="l('Updated Sorting Status')" [(ngModel)]='updatedSortingStatus' 
									name='updatedSortingStatus' (keydown)='searchDatas()' class='form-control' 
									bsDatepicker #d='bsDatepicker' placement='bottom left'&gt;
									&lt;i class='fa fa-calendar-alt' (click)='d.toggle()'&gt;&lt;/i&gt;
								&lt;/div&gt;</v>
      </c>
      <c r="J24" s="31"/>
      <c r="K24" s="38" t="str">
        <f t="shared" si="30"/>
        <v xml:space="preserve">					&lt;div class='col-md-12 form-group row'&gt;
						&lt;label class='col-md-2 form-control title'&gt;Updated Sorting Status&lt;/label&gt;
						&lt;input type='text' class='col-md-10 form-control input-text' name='updatedSortingStatus' 
						#datepicker='bsDatepicker' [(ngModel)]='rowdata.updatedSortingStatus'  bsDatepicker &gt;
					&lt;/div&gt;</v>
      </c>
      <c r="L24" s="60" t="str">
        <f t="shared" si="31"/>
        <v xml:space="preserve">		const dateValue =  this.rowdata.updatedSortingStatus ? new Date(this.rowdata.updatedSortingStatus?.toString()) : new Date();
		this.datepicker?.bsValueChange.emit(dateValue);</v>
      </c>
      <c r="M24" s="31"/>
      <c r="N24" s="31"/>
      <c r="O24" s="31"/>
      <c r="P24" s="31"/>
      <c r="Q24" s="31"/>
      <c r="R24" s="31"/>
      <c r="S24" s="31" t="str">
        <f t="shared" si="32"/>
        <v xml:space="preserve">	updatedSortingStatus : any ;</v>
      </c>
      <c r="T24" s="31" t="str">
        <f t="shared" si="33"/>
        <v xml:space="preserve">			this.updatedSortingStatus,</v>
      </c>
      <c r="U24" s="31" t="str">
        <f t="shared" si="34"/>
        <v xml:space="preserve">		this.updatedSortingStatus = '',</v>
      </c>
      <c r="V24" s="31" t="str">
        <f t="shared" si="35"/>
        <v/>
      </c>
    </row>
    <row r="25" spans="1:22" ht="15" customHeight="1" x14ac:dyDescent="0.25">
      <c r="A25" s="44" t="s">
        <v>302</v>
      </c>
      <c r="B25" s="31" t="str">
        <f t="shared" ref="B25" si="36">SUBSTITUTE(PROPER(A25),"_","")</f>
        <v>IsActive</v>
      </c>
      <c r="C25" s="31" t="str">
        <f t="shared" ref="C25" si="37">SUBSTITUTE(PROPER(A25),"_"," ")</f>
        <v>Is Active</v>
      </c>
      <c r="D25" s="31" t="str">
        <f t="shared" ref="D25" si="38">LOWER(LEFT(B25,1))&amp;RIGHT(B25,LEN(B25) - 1)</f>
        <v>isActive</v>
      </c>
      <c r="E25" s="31" t="str">
        <f>A.Backend!H19</f>
        <v>string</v>
      </c>
      <c r="F25" s="31" t="str">
        <f>A.Backend!G19</f>
        <v>1</v>
      </c>
      <c r="G25" s="31" t="str">
        <f t="shared" si="27"/>
        <v xml:space="preserve"> : string = '' ; </v>
      </c>
      <c r="H25" s="38" t="str">
        <f t="shared" si="28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5" s="38" t="str">
        <f t="shared" si="29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5" s="31"/>
      <c r="K25" s="38" t="str">
        <f t="shared" si="30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5" s="60" t="str">
        <f t="shared" si="31"/>
        <v/>
      </c>
      <c r="M25" s="31"/>
      <c r="N25" s="31"/>
      <c r="O25" s="31"/>
      <c r="P25" s="31"/>
      <c r="Q25" s="31"/>
      <c r="R25" s="31"/>
      <c r="S25" s="31" t="str">
        <f t="shared" si="32"/>
        <v xml:space="preserve">	isActive : string = '' ; </v>
      </c>
      <c r="T25" s="31" t="str">
        <f t="shared" si="33"/>
        <v xml:space="preserve">			this.isActive,</v>
      </c>
      <c r="U25" s="31" t="str">
        <f t="shared" si="34"/>
        <v xml:space="preserve">		this.isActive = '',</v>
      </c>
      <c r="V25" s="31" t="str">
        <f t="shared" si="35"/>
        <v>isActive</v>
      </c>
    </row>
    <row r="28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2022-07-18T02:02:09Z</dcterms:modified>
</cp:coreProperties>
</file>
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pik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C26" i="5"/>
  <c r="B26" i="5"/>
  <c r="D26" i="5" s="1"/>
  <c r="I25" i="5"/>
  <c r="C25" i="5"/>
  <c r="B25" i="5"/>
  <c r="D25" i="5" s="1"/>
  <c r="U25" i="5" s="1"/>
  <c r="L20" i="1"/>
  <c r="G20" i="1"/>
  <c r="E20" i="1"/>
  <c r="H20" i="1" s="1"/>
  <c r="D20" i="1"/>
  <c r="T20" i="1" s="1"/>
  <c r="V25" i="5" l="1"/>
  <c r="G25" i="5"/>
  <c r="L25" i="5"/>
  <c r="T26" i="5"/>
  <c r="H25" i="5"/>
  <c r="S25" i="5"/>
  <c r="T25" i="5"/>
  <c r="K25" i="5"/>
  <c r="W20" i="1"/>
  <c r="O20" i="1"/>
  <c r="J20" i="1"/>
  <c r="M20" i="1"/>
  <c r="N20" i="1"/>
  <c r="I20" i="1"/>
  <c r="V20" i="1"/>
  <c r="P20" i="1"/>
  <c r="L19" i="1"/>
  <c r="G19" i="1"/>
  <c r="E19" i="1"/>
  <c r="H19" i="1" s="1"/>
  <c r="I26" i="5" s="1"/>
  <c r="D19" i="1"/>
  <c r="V19" i="1" s="1"/>
  <c r="V26" i="5" l="1"/>
  <c r="U26" i="5"/>
  <c r="L26" i="5"/>
  <c r="K26" i="5"/>
  <c r="H26" i="5"/>
  <c r="G26" i="5"/>
  <c r="S26" i="5" s="1"/>
  <c r="P19" i="1"/>
  <c r="W19" i="1"/>
  <c r="O19" i="1"/>
  <c r="J19" i="1"/>
  <c r="N19" i="1"/>
  <c r="I19" i="1"/>
  <c r="M19" i="1"/>
  <c r="T19" i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D16" i="1"/>
  <c r="P16" i="1" s="1"/>
  <c r="E16" i="1"/>
  <c r="G16" i="1"/>
  <c r="H16" i="1"/>
  <c r="I16" i="1" s="1"/>
  <c r="L16" i="1"/>
  <c r="V16" i="1" l="1"/>
  <c r="T16" i="1"/>
  <c r="G22" i="5"/>
  <c r="S22" i="5" s="1"/>
  <c r="T21" i="5"/>
  <c r="T20" i="5"/>
  <c r="T23" i="5"/>
  <c r="L22" i="5"/>
  <c r="T22" i="5"/>
  <c r="M16" i="1"/>
  <c r="W16" i="1"/>
  <c r="O16" i="1"/>
  <c r="J16" i="1"/>
  <c r="N16" i="1"/>
  <c r="I22" i="5" l="1"/>
  <c r="H22" i="5"/>
  <c r="V22" i="5"/>
  <c r="U22" i="5"/>
  <c r="K22" i="5"/>
  <c r="G15" i="1"/>
  <c r="E15" i="1"/>
  <c r="H15" i="1" s="1"/>
  <c r="D15" i="1"/>
  <c r="V15" i="1" s="1"/>
  <c r="G14" i="1"/>
  <c r="E14" i="1"/>
  <c r="H14" i="1" s="1"/>
  <c r="D14" i="1"/>
  <c r="V14" i="1" s="1"/>
  <c r="L18" i="1"/>
  <c r="G18" i="1"/>
  <c r="E18" i="1"/>
  <c r="H18" i="1" s="1"/>
  <c r="D18" i="1"/>
  <c r="V18" i="1" s="1"/>
  <c r="G10" i="1"/>
  <c r="E10" i="1"/>
  <c r="H10" i="1" s="1"/>
  <c r="D10" i="1"/>
  <c r="T10" i="1" s="1"/>
  <c r="G20" i="5" l="1"/>
  <c r="S20" i="5" s="1"/>
  <c r="V20" i="5"/>
  <c r="H20" i="5"/>
  <c r="U20" i="5"/>
  <c r="K20" i="5"/>
  <c r="I20" i="5"/>
  <c r="L20" i="5"/>
  <c r="W10" i="1"/>
  <c r="V21" i="5"/>
  <c r="I21" i="5"/>
  <c r="U21" i="5"/>
  <c r="L21" i="5"/>
  <c r="G21" i="5"/>
  <c r="S21" i="5" s="1"/>
  <c r="H21" i="5"/>
  <c r="K21" i="5"/>
  <c r="P10" i="1"/>
  <c r="N15" i="1"/>
  <c r="I15" i="1"/>
  <c r="M15" i="1"/>
  <c r="W15" i="1"/>
  <c r="O15" i="1"/>
  <c r="J15" i="1"/>
  <c r="P15" i="1"/>
  <c r="T15" i="1"/>
  <c r="W14" i="1"/>
  <c r="O14" i="1"/>
  <c r="J14" i="1"/>
  <c r="N14" i="1"/>
  <c r="I14" i="1"/>
  <c r="M14" i="1"/>
  <c r="P14" i="1"/>
  <c r="T14" i="1"/>
  <c r="W18" i="1"/>
  <c r="O18" i="1"/>
  <c r="J18" i="1"/>
  <c r="N18" i="1"/>
  <c r="I18" i="1"/>
  <c r="M18" i="1"/>
  <c r="P18" i="1"/>
  <c r="T18" i="1"/>
  <c r="I10" i="1"/>
  <c r="N10" i="1"/>
  <c r="V10" i="1"/>
  <c r="M10" i="1"/>
  <c r="J10" i="1"/>
  <c r="O10" i="1"/>
  <c r="C24" i="5" l="1"/>
  <c r="B24" i="5"/>
  <c r="D24" i="5" s="1"/>
  <c r="C19" i="5"/>
  <c r="B19" i="5"/>
  <c r="D19" i="5" s="1"/>
  <c r="C18" i="5"/>
  <c r="B18" i="5"/>
  <c r="D18" i="5" s="1"/>
  <c r="T18" i="5" s="1"/>
  <c r="G13" i="1"/>
  <c r="E13" i="1"/>
  <c r="H13" i="1" s="1"/>
  <c r="D13" i="1"/>
  <c r="V13" i="1" s="1"/>
  <c r="V24" i="5" l="1"/>
  <c r="T24" i="5"/>
  <c r="T19" i="5"/>
  <c r="L13" i="1"/>
  <c r="W13" i="1"/>
  <c r="J13" i="1"/>
  <c r="O13" i="1"/>
  <c r="N13" i="1"/>
  <c r="M13" i="1"/>
  <c r="I13" i="1"/>
  <c r="P13" i="1"/>
  <c r="T13" i="1"/>
  <c r="B27" i="5"/>
  <c r="D27" i="5" s="1"/>
  <c r="G21" i="1"/>
  <c r="E21" i="1"/>
  <c r="H21" i="1" s="1"/>
  <c r="D21" i="1"/>
  <c r="V21" i="1" s="1"/>
  <c r="G17" i="1"/>
  <c r="E17" i="1"/>
  <c r="H17" i="1" s="1"/>
  <c r="D17" i="1"/>
  <c r="P17" i="1" s="1"/>
  <c r="V23" i="5" l="1"/>
  <c r="I23" i="5"/>
  <c r="H23" i="5"/>
  <c r="K23" i="5"/>
  <c r="G23" i="5"/>
  <c r="S23" i="5" s="1"/>
  <c r="U23" i="5"/>
  <c r="L23" i="5"/>
  <c r="G24" i="5"/>
  <c r="S24" i="5" s="1"/>
  <c r="H24" i="5"/>
  <c r="K24" i="5"/>
  <c r="U24" i="5"/>
  <c r="L24" i="5"/>
  <c r="I24" i="5"/>
  <c r="T27" i="5"/>
  <c r="C27" i="5"/>
  <c r="I27" i="5" s="1"/>
  <c r="V27" i="5"/>
  <c r="U27" i="5"/>
  <c r="G27" i="5"/>
  <c r="S27" i="5" s="1"/>
  <c r="L27" i="5"/>
  <c r="T21" i="1"/>
  <c r="W17" i="1"/>
  <c r="T17" i="1"/>
  <c r="P21" i="1"/>
  <c r="N21" i="1"/>
  <c r="I21" i="1"/>
  <c r="M21" i="1"/>
  <c r="W21" i="1"/>
  <c r="O21" i="1"/>
  <c r="J21" i="1"/>
  <c r="M17" i="1"/>
  <c r="I17" i="1"/>
  <c r="N17" i="1"/>
  <c r="V17" i="1"/>
  <c r="J17" i="1"/>
  <c r="O17" i="1"/>
  <c r="K27" i="5" l="1"/>
  <c r="H27" i="5"/>
  <c r="W3" i="1"/>
  <c r="V3" i="1"/>
  <c r="B2" i="5" l="1"/>
  <c r="B3" i="5" s="1"/>
  <c r="G19" i="5" l="1"/>
  <c r="S19" i="5" s="1"/>
  <c r="U19" i="5"/>
  <c r="V19" i="5"/>
  <c r="K19" i="5"/>
  <c r="L19" i="5"/>
  <c r="H19" i="5"/>
  <c r="I19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1" i="1"/>
  <c r="D12" i="1"/>
  <c r="V11" i="1" l="1"/>
  <c r="T11" i="1"/>
  <c r="V12" i="1"/>
  <c r="T12" i="1"/>
  <c r="C15" i="5"/>
  <c r="B15" i="5"/>
  <c r="D15" i="5" s="1"/>
  <c r="V23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1" i="1"/>
  <c r="G12" i="1"/>
  <c r="E9" i="1"/>
  <c r="H9" i="1" s="1"/>
  <c r="E11" i="1"/>
  <c r="H11" i="1" s="1"/>
  <c r="E12" i="1"/>
  <c r="H12" i="1" s="1"/>
  <c r="P9" i="1"/>
  <c r="P11" i="1"/>
  <c r="P12" i="1"/>
  <c r="T23" i="1"/>
  <c r="L18" i="5" l="1"/>
  <c r="K18" i="5"/>
  <c r="U18" i="5"/>
  <c r="V18" i="5"/>
  <c r="H18" i="5"/>
  <c r="G18" i="5"/>
  <c r="S18" i="5" s="1"/>
  <c r="I18" i="5"/>
  <c r="O12" i="1"/>
  <c r="M12" i="1"/>
  <c r="N12" i="1"/>
  <c r="O11" i="1"/>
  <c r="M11" i="1"/>
  <c r="N11" i="1"/>
  <c r="O9" i="1"/>
  <c r="M9" i="1"/>
  <c r="N9" i="1"/>
  <c r="W12" i="1"/>
  <c r="E15" i="5"/>
  <c r="W9" i="1"/>
  <c r="W11" i="1"/>
  <c r="T7" i="1"/>
  <c r="I12" i="1"/>
  <c r="I11" i="1"/>
  <c r="I9" i="1"/>
  <c r="W23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L13" i="5"/>
  <c r="I13" i="5"/>
  <c r="K13" i="5"/>
  <c r="S13" i="5"/>
  <c r="U13" i="5"/>
  <c r="H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21" i="1" l="1"/>
  <c r="L15" i="1"/>
  <c r="L14" i="1"/>
  <c r="L10" i="1"/>
  <c r="L12" i="1"/>
  <c r="L17" i="1"/>
  <c r="L9" i="1"/>
  <c r="L11" i="1"/>
  <c r="J12" i="1"/>
  <c r="J9" i="1"/>
  <c r="J11" i="1"/>
  <c r="C7" i="1"/>
  <c r="I23" i="1"/>
  <c r="J23" i="1"/>
  <c r="O23" i="1"/>
  <c r="N23" i="1"/>
  <c r="P23" i="1"/>
  <c r="Q7" i="1" l="1"/>
  <c r="M47" i="3" s="1"/>
  <c r="L7" i="1"/>
  <c r="G47" i="3" s="1"/>
  <c r="K47" i="3"/>
  <c r="J47" i="3"/>
  <c r="M23" i="1"/>
  <c r="K23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<sst xmlns="http://schemas.openxmlformats.org/spreadsheetml/2006/main" count="456" uniqueCount="329">
  <si>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</si>
  <si>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</si>
  <si>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</si>
  <si>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</si>
  <si>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</si>
  <si>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</si>
  <si>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</si>
  <si>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</si>
  <si>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</si>
  <si>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</si>
  <si>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</si>
  <si>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</si>
  <si>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</si>
  <si>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</si>
  <si>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</si>
  <si>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</si>
  <si>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</si>
  <si>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</si>
  <si>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</si>
  <si>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</si>
  <si>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</si>
  <si>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</si>
  <si>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</si>
  <si>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</si>
  <si>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</si>
  <si>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</si>
  <si>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</si>
  <si>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</si>
  <si>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</si>
  <si>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</si>
  <si>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</si>
  <si>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</si>
  <si>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</si>
  <si>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</si>
  <si>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</si>
  <si>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</si>
  <si>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</si>
  <si>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</si>
  <si>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</si>
  <si>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</si>
  <si>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</si>
  <si>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</si>
  <si>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</si>
  <si>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</si>
  <si>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</si>
  <si>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</si>
  <si>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</si>
  <si>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</si>
  <si>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</si>
  <si>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</si>
  <si>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</si>
  <si>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</si>
  <si>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</si>
  <si>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</si>
  <si>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</si>
  <si>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</si>
  <si>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</si>
  <si>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</si>
  <si>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</si>
  <si>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</si>
  <si>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</si>
  <si>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</si>
  <si>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</si>
  <si>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</si>
  <si>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</si>
  <si>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</si>
  <si>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</si>
  <si>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</si>
  <si>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</si>
  <si>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</si>
  <si>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</si>
  <si>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</si>
  <si>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</si>
  <si>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</si>
  <si>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</si>
  <si>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</si>
  <si>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</si>
  <si>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</si>
  <si>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</si>
  <si>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</si>
  <si>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</si>
  <si>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</si>
  <si>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</si>
  <si>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</si>
  <si>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</si>
  <si>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</si>
  <si>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</si>
  <si>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</si>
  <si>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</si>
  <si>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</si>
  <si>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</si>
  <si>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</si>
  <si>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</si>
  <si>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</si>
  <si>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</si>
  <si>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</si>
  <si>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</si>
  <si>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</si>
  <si>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</si>
  <si>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</si>
  <si>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</si>
  <si>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</si>
  <si>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</si>
  <si>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</si>
  <si>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</si>
  <si>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</si>
  <si>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</si>
  <si>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</si>
  <si>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</si>
  <si>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</si>
  <si>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</si>
  <si>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</si>
  <si>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</si>
  <si>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</si>
  <si>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</si>
  <si>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</si>
  <si>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</si>
  <si>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</si>
  <si>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</si>
  <si>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</si>
  <si>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</si>
  <si>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</si>
  <si>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</si>
  <si>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</si>
  <si>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</si>
  <si>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</si>
  <si>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</si>
  <si>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</si>
  <si>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</si>
  <si>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</si>
  <si>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</si>
  <si>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</si>
  <si>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</si>
  <si>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</si>
  <si>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</si>
  <si>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</si>
  <si>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</si>
  <si>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</si>
  <si>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</si>
  <si>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</si>
  <si>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</si>
  <si>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</si>
  <si>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</si>
  <si>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</si>
  <si>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</si>
  <si>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</si>
  <si>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</si>
  <si>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</si>
  <si>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</si>
  <si>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</si>
  <si>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</si>
  <si>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</si>
  <si>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</si>
  <si>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</si>
  <si>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</si>
  <si>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</si>
  <si>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</si>
  <si>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</si>
  <si>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</si>
  <si>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</si>
  <si>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</si>
  <si>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</si>
  <si>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</si>
  <si>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</si>
  <si>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</si>
  <si>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</si>
  <si>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</si>
  <si>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</si>
  <si>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</si>
  <si>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</si>
  <si>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</si>
  <si>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</si>
  <si>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</si>
  <si>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</si>
  <si>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</si>
  <si>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</si>
  <si>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</si>
  <si>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</si>
  <si>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</si>
  <si>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</si>
  <si>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</si>
  <si>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</si>
  <si>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</si>
  <si>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</si>
  <si>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</si>
  <si>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</si>
  <si>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</si>
  <si>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</si>
  <si>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</si>
  <si>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</si>
  <si>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</si>
  <si>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</si>
  <si>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</si>
  <si>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</si>
  <si>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</si>
  <si>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</si>
  <si>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</si>
  <si>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</si>
  <si>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</si>
  <si>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</si>
  <si>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</si>
  <si>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</si>
  <si>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</si>
  <si>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</si>
  <si>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</si>
  <si>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</si>
  <si>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</si>
  <si>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</si>
  <si>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</si>
  <si>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</si>
  <si>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</si>
  <si>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</si>
  <si>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</si>
  <si>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</si>
  <si>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</si>
  <si>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</si>
  <si>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</si>
  <si>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</si>
  <si>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</si>
  <si>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</si>
  <si>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</si>
  <si>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</si>
  <si>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</si>
  <si>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</si>
  <si>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</si>
  <si>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</si>
  <si>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</si>
  <si>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</si>
  <si>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</si>
  <si>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</si>
  <si>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</si>
  <si>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</si>
  <si>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</si>
  <si>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</si>
  <si>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</si>
  <si>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</si>
  <si>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</si>
  <si>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</si>
  <si>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</si>
  <si>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</si>
  <si>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</si>
  <si>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</si>
  <si>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</si>
  <si>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</si>
  <si>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</si>
  <si>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</si>
  <si>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</si>
  <si>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</si>
  <si>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</si>
  <si>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</si>
  <si>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</si>
  <si>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</si>
  <si>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</si>
  <si>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</si>
  <si>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</si>
  <si>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</si>
  <si>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</si>
  <si>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</si>
  <si>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</si>
  <si>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</si>
  <si>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</si>
  <si>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</si>
  <si>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</si>
  <si>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</si>
  <si>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</si>
  <si>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</si>
  <si>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</si>
  <si>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</si>
  <si>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</si>
  <si>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</si>
  <si>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</si>
  <si>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</si>
  <si>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</si>
  <si>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</si>
  <si>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</si>
  <si>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</si>
  <si>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</si>
  <si>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</si>
  <si>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</si>
  <si>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</si>
  <si>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</si>
  <si>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</si>
  <si>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</si>
  <si>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</si>
  <si>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</si>
  <si>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</si>
  <si>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</si>
  <si>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</si>
  <si>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</si>
  <si>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</si>
  <si>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</si>
  <si>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</si>
  <si>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</si>
  <si>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</si>
  <si>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</si>
  <si>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</si>
  <si>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</si>
  <si>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</si>
  <si>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</si>
  <si>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</si>
  <si>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</si>
  <si>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</si>
  <si>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</si>
  <si>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</si>
  <si>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</si>
  <si>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</si>
  <si>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</si>
  <si>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</si>
  <si>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</si>
  <si>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</si>
  <si>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</si>
  <si>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</si>
  <si>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</si>
  <si>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LgwPikPickingProgress</t>
  </si>
  <si>
    <t>PickingProgress</t>
  </si>
  <si>
    <t>PICKING_TABLET_ID</t>
  </si>
  <si>
    <t>PROCESS_CODE</t>
  </si>
  <si>
    <t>PROCESS_GROUP</t>
  </si>
  <si>
    <t>PROD_LINE</t>
  </si>
  <si>
    <t>START_TIME</t>
  </si>
  <si>
    <t>FINISH_TIME</t>
  </si>
  <si>
    <t>SEQ_NO</t>
  </si>
  <si>
    <t>WORKING_DATE</t>
  </si>
  <si>
    <t>SHIFT</t>
  </si>
  <si>
    <t>LogW Picking Progress</t>
  </si>
  <si>
    <t>TAKT_START_TIME</t>
  </si>
  <si>
    <t>LogW.Pik</t>
  </si>
  <si>
    <t>LOT_NO</t>
  </si>
  <si>
    <t>BODY_NO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</si>
</sst>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vovina.LogW.Pik
{
	[Table("LgwPikPickingProgress")]
	[Index(nameof(PickingTabletId), Name="IX_LgwPikPickingProgress_PickingTabletId")]
	[Index(nameof(ProdLine), Name="IX_LgwPikPickingProgress_ProdLine")]
	[Index(nameof(ProcessCode), Name="IX_LgwPikPickingProgress_ProcessCode")]
	[Index(nameof(WorkingDate), Name="IX_LgwPikPickingProgress_WorkingDate")]
	[Index(nameof(Shift), Name="IX_LgwPikPickingProgress_Shift")]
	[Index(nameof(IsActive), Name="IX_LgwPikPickingProgress_IsActive")]	public class LgwPikPickingProgress: FullAuditedEntity&lt;long&gt;, IEntity&lt;long&gt;	
	{
		public const int MaxPickingTabletIdLength = 50;
		public const int MaxProdLineLength = 50;
		public const int MaxProcessCodeLength = 50;
		public const int MaxProcessGroupLength = 50;
		public const int MaxShiftLength = 50;
		public const int MaxLotNoLength = 50;
		public const int MaxBodyNoLength = 50;
		public const int MaxIsActiveLength = 50;
		[StringLength(MaxPickingTabletIdLength)]
		public virtual string PickingTabletId { get; set; }
		[StringLength(MaxProdLineLength)]
		public virtual string ProdLine { get; set; }
		[StringLength(MaxProcessCodeLength)]
		public virtual string ProcessCode { get; set; }
		[StringLength(MaxProcessGroupLength)]
		public virtual string ProcessGroup { get; set; }
		public virtual int SeqNo { get; set; }
		[Column(TypeName="date")]
		public virtual DateTime WorkingDate { get; set; }
		[StringLength(MaxShiftLength)]
		public virtual string Shift { get; set; }
		[Column(TypeName="datetime2(7)")]
		public virtual DateTime TaktStartTime { get; set; }
		[Column(TypeName="datetime2(7)")]
		public virtual DateTime StartTime { get; set; }
		[Column(TypeName="datetime2(7)")]
		public virtual DateTime FinishTime { get; set; }
		[StringLength(MaxLotNoLength)]
		public virtual string LotNo { get; set; }
		[StringLength(MaxBodyNoLength)]
		public virtual string BodyNo { get; set; }
		[StringLength(MaxIsActiveLength)]
		public virtual string IsActive { get; set; }
	}
}
</v>
      </c>
      <c r="D47" s="51" t="str">
        <f>A.Backend!O7</f>
        <v xml:space="preserve">		public const string Pages_LogW_Pik_PickingProgress = "Pages.LogW.Pik.PickingProgress";
		public const string Pages_LogW_Pik_PickingProgress_CreateEdit = "Pages.LogW.Pik.PickingProgress.CreateEdit";
		public const string Pages_LogW_Pik_PickingProgress_Delete = "Pages.LogW.Pik.PickingProgress.Delete";
</v>
      </c>
      <c r="E47" s="51" t="str">
        <f>A.Backend!N7</f>
        <v xml:space="preserve">		var perLgwPikPickingProgress = PARENTS.CreateChildPermission(AppPermissions.Pages_LogW_Pik_PickingProgress, L( "LogWPikPickingProgress"));
		perLgwPikPickingProgress.CreateChildPermission(AppPermissions.Pages_LogW_Pik_PickingProgress_CreateEdit, L( "LogWPikPickingProgressCreateEdit"));
		perLgwPikPickingProgress.CreateChildPermission(AppPermissions.Pages_LogW_Pik_PickingProgress_Delete, L( "LogWPikPickingProgressDelete"));</v>
      </c>
      <c r="F47" s="51" t="str">
        <f>A.Backend!K7</f>
        <v>public virtual DbSet&lt;LgwPikPickingProgress&gt; LgwPikPickingProgresss { get; set; }</v>
      </c>
      <c r="G47" s="51" t="str">
        <f ca="1">A.Backend!L7</f>
        <v xml:space="preserve">namespace vovina.LogW.Pik
{
	public class LgwPikPickingProgressConsts	
	{
		public const int MaxPickingTabletIdLength = 50;
		public const int MaxProdLineLength = 50;
		public const int MaxProcessCodeLength = 50;
		public const int MaxProcessGroupLength = 50;
		public const int MaxShiftLength = 50;
		public const int MaxLotNoLength = 50;
		public const int MaxBodyNoLength = 50;
		public const int MaxIsActiveLength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vovina.LogW.Pik.Dto
{
	public class LgwPikPickingProgressDto : EntityDto&lt;long?&gt;	
	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	public class CreateOrEditLgwPikPickingProgressDto : EntityDto&lt;long?&gt;	
	{
		[StringLength(LgwPikPickingProgressConsts.MaxPickingTabletIdLength)]
		public virtual string PickingTabletId { get; set; }
		[StringLength(LgwPikPickingProgressConsts.MaxProdLineLength)]
		public virtual string ProdLine { get; set; }
		[StringLength(LgwPikPickingProgressConsts.MaxProcessCodeLength)]
		public virtual string ProcessCode { get; set; }
		[StringLength(LgwPikPickingProgressConsts.MaxProcessGroupLength)]
		public virtual string ProcessGroup { get; set; }
		public virtual int SeqNo { get; set; }
		public virtual DateTime? WorkingDate { get; set; }
		[StringLength(LgwPikPickingProgressConsts.MaxShiftLength)]
		public virtual string Shift { get; set; }
		public virtual DateTime? TaktStartTime { get; set; }
		public virtual DateTime? StartTime { get; set; }
		public virtual DateTime? FinishTime { get; set; }
		[StringLength(LgwPikPickingProgressConsts.MaxLotNoLength)]
		public virtual string LotNo { get; set; }
		[StringLength(LgwPikPickingProgressConsts.MaxBodyNoLength)]
		public virtual string BodyNo { get; set; }
		[StringLength(LgwPikPickingProgressConsts.MaxIsActiveLength)]
		public virtual string IsActive { get; set; }
	}
	public class GetLgwPikPickingProgressInput : PagedAndSortedResultRequestDto	
	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vovina.LogW.Pik.Dto
{
	public class LgwPikPickingProgressExportInput{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vovina.LogW.Pik.Dto;
namespace vovina.LogW.Pik
{
	public interface ILgwPikPickingProgressAppService : IApplicationService
	{
		Task&lt;PagedResultDto&lt;LgwPikPickingProgressDto&gt;&gt; GetAll(GetLgwPikPickingProgressInput input);
		Task CreateOrEdit(CreateOrEditLgwPikPickingProgressDto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vovina.LogW.Pik.Dto;
namespace vovina.LogW.Pik.Exporting
{
	public interface ILgwPikPickingProgressExcelExporter : IApplicationService
	{
		FileDto ExportToFile(List&lt;LgwPikPickingProgressDto&gt; lgwpikpickingprogress);
	}
}
</v>
      </c>
      <c r="L47" s="51" t="str">
        <f ca="1">A.Backend!T7</f>
        <v>using System.Collections.Generic;
using vovina.DataExporting.Excel.NPOI;
using vovina.Dto;
using vovina.LogW.Pik.Exporting;
using vovina.LogW.Pik.Dto;
using vovina.Storage;
using vovina.LogW.Pik.Dto;
namespace vovina.LogW.Pik.Exporting
{
    public class LgwPikPickingProgressExcelExporter : NpoiExcelExporterBase, ILgwPikPickingProgressExcelExporter
    {
        public LgwPikPickingProgressExcelExporter(ITempFileCacheManager tempFileCacheManager) : base(tempFileCacheManager) { }
        public FileDto ExportToFile(List&lt;LgwPikPickingProgressDto&gt; pickingprogress)
        {
            return CreateExcelPackage(
				"LogWPikPickingProgress.xlsx",
				excelPackage =&gt;
				 {
					var sheet = excelPackage.CreateSheet("PickingProgress");
					AddHeader(
								sheet,
								("PickingTabletId"),
								("ProdLine"),
								("ProcessCode"),
								("ProcessGroup"),
								("SeqNo"),
								("WorkingDate"),
								("Shift"),
								("TaktStartTime"),
								("StartTime"),
								("FinishTime"),
								("LotNo"),
								("BodyNo"),
								("IsActive"),
							   );
					AddObjects(
						 sheet, 1, pickingprogress,                                       
								_ =&gt; _.PickingTabletId,
								_ =&gt; _.ProdLine,
								_ =&gt; _.ProcessCode,
								_ =&gt; _.ProcessGroup,
								_ =&gt; _.SeqNo,
								_ =&gt; _.WorkingDate,
								_ =&gt; _.Shift,
								_ =&gt; _.TaktStartTime,
								_ =&gt; _.StartTime,
								_ =&gt; _.FinishTime,
								_ =&gt; _.LotNo,
								_ =&gt; _.BodyNo,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vovina.LogW.Pik.Dto;
using vovina.LogW.Pik.Exporting;
namespace vovina.LogW.Pik
{
    [AbpAuthorize(AppPermissions.Pages_LogW_Pik_PickingProgress)]
    public class LgwPikPickingProgressAppService : vovinaAppServiceBase, ILgwPikPickingProgressAppService
    {
        private readonly IDapperRepository&lt;LgwPikPickingProgress, long&gt; _dapperRepo;
        private readonly IRepository&lt;LgwPikPickingProgress, long&gt; _repo;
        private readonly ILgwPikPickingProgressExcelExporter _calendarListExcelExporter;
        public LgwPikPickingProgressAppService(IRepository&lt;LgwPikPickingProgress,long&gt; repo, 
                                         IDapperRepository&lt;LgwPikPickingProgress,long&gt; dapperRepo,
                                        ILgwPikPickingProgressExcelExporter calendarListExcelExporter
            )
        {
            _repo = repo;
            _dapperRepo = dapperRepo;
            _calendarListExcelExporter = calendarListExcelExporter;
        }
        [AbpAuthorize(AppPermissions.Pages_LogW_Pik_PickingProgress_CreateEdit)]
        public async Task CreateOrEdit(CreateOrEditLgwPikPickingProgressDto input)
        {
            if (input.Id == null) await Create(input);
            else await Update(input);
        }
        //CREATE
        private async Task Create(CreateOrEditLgwPikPickingProgressDto input)
        {          
            var mainObj = ObjectMapper.Map&lt;LgwPikPickingProgress&gt;(input);
            await CurrentUnitOfWork.GetDbContext&lt;vovinaDbContext&gt;().AddAsync(mainObj);
        }
        // EDIT
        private async Task Update(CreateOrEditLgwPikPickingProgressDto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[AbpAuthorize(AppPermissions.Pages_LogW_Pik_PickingProgress_Delete)]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Task&lt;PagedResultDto&lt;LgwPikPickingProgressDto&gt;&gt; GetAll(GetLgwPikPickingProgressInput input)
        {
            var filtered = _repo.GetAll()
				.WhereIf(!string.IsNullOrWhiteSpace(input.PickingTabletId), e =&gt; e.PickingTabletId.Contains(input.PickingTabletId))
				.WhereIf(!string.IsNullOrWhiteSpace(input.ProdLine), e =&gt; e.ProdLine.Contains(input.ProdLine))
				.WhereIf(!string.IsNullOrWhiteSpace(input.ProcessCode), e =&gt; e.ProcessCode.Contains(input.ProcessCode))
				.WhereIf(!string.IsNullOrWhiteSpace(input.ProcessGroup), e =&gt; e.ProcessGroup.Contains(input.ProcessGroup))
				.WhereIf(input.WorkingDate.HasValue, t =&gt; t.WorkingDate == input.WorkingDate.Value)
				.WhereIf(!string.IsNullOrWhiteSpace(input.Shift), e =&gt; e.Shift.Contains(input.Shift))
				.WhereIf(input.TaktStartTime.HasValue, t =&gt; t.TaktStartTime == input.TaktStartTime.Value)
				.WhereIf(input.StartTime.HasValue, t =&gt; t.StartTime == input.StartTime.Value)
				.WhereIf(input.FinishTime.HasValue, t =&gt; t.FinishTime == input.FinishTime.Value)
				.WhereIf(!string.IsNullOrWhiteSpace(input.LotNo), e =&gt; e.LotNo.Contains(input.LotNo))
				.WhereIf(!string.IsNullOrWhiteSpace(input.BodyNo), e =&gt; e.BodyNo.Contains(input.BodyNo))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LgwPikPickingProgressDto
                        {
							Id = o.Id,
							PickingTabletId = o.PickingTabletId,
							ProdLine = o.ProdLine,
							ProcessCode = o.ProcessCode,
							ProcessGroup = o.ProcessGroup,
							SeqNo = o.SeqNo,
							WorkingDate = o.WorkingDate,
							Shift = o.Shift,
							TaktStartTime = o.TaktStartTime,
							StartTime = o.StartTime,
							FinishTime = o.FinishTime,
							LotNo = o.LotNo,
							BodyNo = o.BodyNo,
							IsActive = o.IsActive,
                        };
            var totalCount = await filtered.CountAsync();
			var paged = system.PageBy(input);
            return new PagedResultDto&lt;LgwPikPickingProgressDto&gt;(
                totalCount,
                 await paged.ToListAsync()
            );
        }
        public async Task&lt;FileDto&gt; GetPickingProgressToExcel(LgwPikPickingProgressExportInput input)
        {
            var query = from o in _repo.GetAll()
                        select new LgwPikPickingProgressDto
                        {
							Id = o.Id,
							PickingTabletId = o.PickingTabletId,
							ProdLine = o.ProdLine,
							ProcessCode = o.ProcessCode,
							ProcessGroup = o.ProcessGroup,
							SeqNo = o.SeqNo,
							WorkingDate = o.WorkingDate,
							Shift = o.Shift,
							TaktStartTime = o.TaktStartTime,
							StartTime = o.StartTime,
							FinishTime = o.FinishTime,
							LotNo = o.LotNo,
							BodyNo = o.BodyNo,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_dapperRepo.ExecuteAsync(LgwPikPickingProgressConsts.SP_MST_WPT_CALENDAR_GENERATE);
       // }
    }
}</v>
      </c>
      <c r="N47" s="62" t="str">
        <f>A.Backend!U7</f>
        <v xml:space="preserve">  configuration.CreateMap&lt;LgwPikPickingProgressDto, LgwPikPickingProgress&gt;();
  configuration.CreateMap&lt;LgwPikPickingProgress, LgwPikPickingProgressDto&gt;();
  configuration.CreateMap&lt;CreateOrEditLgwPikPickingProgressDto, LgwPikPickingProgress&gt;();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pickingprogress</v>
      </c>
      <c r="C52" s="72" t="str">
        <f>"create folder " &amp;B52</f>
        <v>create folder pickingprogress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pickingprogress.component.ts</v>
      </c>
      <c r="D53" s="31" t="str">
        <f>B.Frontend!I14</f>
        <v>pickingprogress.component.html</v>
      </c>
      <c r="E53" s="31" t="str">
        <f>B.Frontend!J14</f>
        <v>pickingprogress.component.less</v>
      </c>
      <c r="F53" s="31" t="str">
        <f>B.Frontend!K14</f>
        <v>create-or-edit-pickingprogress-modal.component.html</v>
      </c>
      <c r="G53" s="31" t="str">
        <f>B.Frontend!L14</f>
        <v>create-or-edit-pickingprogress-modal.component.ts</v>
      </c>
      <c r="H53" s="31" t="str">
        <f>B.Frontend!M14</f>
        <v>create-or-edit-pickingprogress-modal.component.less</v>
      </c>
      <c r="I53" s="31" t="str">
        <f>B.Frontend!N14</f>
        <v>pickingprogress.module.ts</v>
      </c>
      <c r="J53" s="31" t="str">
        <f>B.Frontend!O14</f>
        <v>pickingprogress-routing.module.ts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LgwPikPickingProgressDto, LgwPikPickingProgressServiceProxy } from '@shared/service-proxies/service-proxies';
import { finalize } from 'rxjs/internal/operators/finalize';
import { CreateOrEditPickingProgressModalComponent } from './create-or-edit-pickingprogress-modal.component';
import { DatePipe } from '@angular/common';
import { FileDownloadService } from '@shared/utils/file-download.service';
import ceil from 'lodash-es/ceil';
import { Paginator } from 'primeng/paginator';
@Component({
    templateUrl: './pickingprogress.component.html',
    styleUrls: ['./pickingprogress.component.less'],
})
export class PickingProgressComponent extends AppComponentBase implements OnInit {
    @ViewChild('createOrEditModalPickingProgress', { static: true }) createOrEditModalPickingProgress:| CreateOrEditPickingProgressModalComponent|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LgwPikPickingProgressDto = new LgwPikPickingProgressDto();
    saveSelectedRow: LgwPikPickingProgressDto = new LgwPikPickingProgressDto();
    datas: LgwPikPickingProgressDto = new LgwPikPickingProgressDto();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prodLine : string = '' ; 
	processCode : string = '' ; 
	processGroup : string = '' ; 
	seqNo : number = 0 ;
workingDate : any ;
	shift : string = '' ; 
	taktStartTime : any ;
startTime : any ;
finishTime : any ;
	lotNo : string = '' ; 
bodyNo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LgwPikPickingProgressServiceProxy,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this.l('Prod Line'),headerTooltip: this.l('Prod Line'),field: 'prodLine',flex: 1},
			{headerName: this.l('Process Code'),headerTooltip: this.l('Process Code'),field: 'processCode',flex: 1},
			{headerName: this.l('Process Group'),headerTooltip: this.l('Process Group'),field: 'processGroup',flex: 1},
			{headerName: this.l('Seq No'),headerTooltip: this.l('Seq No'),field: 'seqNo',flex: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this.l('Takt Start Time'),headerTooltip: this.l('Takt Start Time'),field: 'taktStartTime',valueGetter: (params) =&gt; this.pipe.transform(params.data?.taktStartTime, 'dd/MM/yyyy'),flex: 1},
			{headerName: this.l('Start Time'),headerTooltip: this.l('Start Time'),field: 'startTime',valueGetter: (params) =&gt; this.pipe.transform(params.data?.startTime, 'dd/MM/yyyy'),flex: 1},
			{headerName: this.l('Finish Time'),headerTooltip: this.l('Finish Time'),field: 'finishTime',valueGetter: (params) =&gt; this.pipe.transform(params.data?.finishTime, 'dd/MM/yyyy'),flex: 1},
			{headerName: this.l('Lot No'),headerTooltip: this.l('Lot No'),field: 'lotNo',flex: 1},
			{headerName: this.l('Body No'),headerTooltip: this.l('Body No'),field: 'bodyNo',flex: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this.prodLine,
			this.processCode,
			this.processGroup,
			this.seqNo,
			this.workingDate,
			this.shift,
			this.taktStartTime,
			this.startTime,
			this.finishTime,
			this.lotNo,
			this.bodyNo,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this.prodLine = '',
		this.processCode = '',
		this.processGroup = '',
		this.seqNo = 0,
this.workingDate = '',
		this.shift = '',
		this.taktStartTime = '',
this.startTime = '',
this.finishTime = '',
		this.lotNo = '',
this.bodyNo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this.prodLine,
			this.processCode,
			this.processGroup,
			this.seqNo,
			this.workingDate,
			this.shift,
			this.taktStartTime,
			this.startTime,
			this.finishTime,
			this.lotNo,
			this.bodyNo,
			this.isActive,
			'',
            this.paginationParams.skipCount,
            this.paginationParams.pageSize
        );
    }
    onChangeRowSelection(params: { api: { getSelectedRows: () =&gt; LgwPikPickingProgressDto[] } }) {
        this.saveSelectedRow = params.api.getSelectedRows()[0] ?? new LgwPikPickingProgressDto();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LgwPikPickingProgressDto):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this._service.getPickingProgressToExcel(
			this.pickingTabletId,
			this.prodLine,
			this.processCode,
			this.processGroup,
			this.seqNo,
			this.workingDate,
			this.shift,
			this.taktStartTime,
			this.startTime,
			this.finishTime,
			this.lotNo,
			this.bodyNo,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Picking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Start Time')" [(ngModel)]='taktStartTime' 
									name='taktStartTime'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Time')" [(ngModel)]='startTime' 
									name='startTime'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Time')" [(ngModel)]='finishTime' 
									name='finishTime'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&lt;create-or-edit-pickingprogress-modal
    #createOrEditModalPickingProgress
    (modalSave)="callBackDataGrid(dataParams)"
    (modalClose)="onChangeRowSelection(dataParams)"
&gt;
&lt;/create-or-edit-pickingprogress-modal&gt;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#createOrEditModalPickingProgress="bs-modal"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PickingProgress')}}&lt;/h3&gt;
                    &lt;h3 *ngIf="!rowdata.id"&gt;{{('Create New PickingProgress')}}&lt;/h3&gt;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title'&gt;Seq No&lt;/label&gt;
						&lt;input type='number' class='col-md-10 form-control input-text' name='SeqNo' [(ngModel)]='rowdata.seqNo'&gt;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title'&gt;Takt Start Time&lt;/label&gt;
						&lt;input type='text' class='col-md-10 form-control input-text' name='taktStartTime' 
						#datepicker='bsDatepicker' [(ngModel)]='rowdata.taktStartTime'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CreateOrEditLgwPikPickingProgressDto, LgwPikPickingProgressServiceProxy } from '@shared/service-proxies/service-proxies';
import { BsDatepickerDirective } from 'ngx-bootstrap/datepicker';
@Component({
    selector: 'create-or-edit-pickingprogress-modal',
    templateUrl: './create-or-edit-pickingprogress-modal.component.html',
    styleUrls: ['./create-or-edit-pickingprogress-modal.component.less']
    })
export class CreateOrEditPickingProgressModalComponent extends AppComponentBase {
    @ViewChild('createOrEditModalPickingProgress',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CreateOrEditLgwPikPickingProgressDto = new CreateOrEditLgwPikPickingProgressDto();
    active: boolean = false;
    saving: boolean = false;
    _: boolean;
    constructor(
        injector: Injector,
        private _mstwptPickingProgressService: LgwPikPickingProgressServiceProxy,
    ) 
    {
        super(injector);
    }
    show(rowdata?: CreateOrEditLgwPikPickingProgressDto): void {
        if (!rowdata) this.rowdata = new CreateOrEditLgwPikPickingProgressDto();
        else this.rowdata = rowdata;
		const dateValue =  this.rowdata.workingDate ? new Date(this.rowdata.workingDate?.toString()) : new Date();
		this.datepicker?.bsValueChange.emit(dateValue);
		const dateValue =  this.rowdata.taktStartTime ? new Date(this.rowdata.taktStartTime?.toString()) : new Date();
		this.datepicker?.bsValueChange.emit(dateValue);
		const dateValue =  this.rowdata.startTime ? new Date(this.rowdata.startTime?.toString()) : new Date();
		this.datepicker?.bsValueChange.emit(dateValue);
		const dateValue =  this.rowdata.finishTime ? new Date(this.rowdata.finishTime?.toString())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this._mstwptPickingProgressService.createOrEdit(this.rowdata)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PickingProgressRoutingModule } from './pickingprogress-routing.module';
import { PickingProgressComponent } from './pickingprogress.component';
import { CreateOrEditPickingProgressModalComponent } from './create-or-edit-pickingprogress-modal.component';
@NgModule({
    declarations: [
       PickingProgressComponent, 
        CreateOrEditPickingProgressModalComponent
    ],
    imports: [
        AppSharedModule, PickingProgressRoutingModule]
})
export class PickingProgressModule {}</v>
      </c>
      <c r="J54" s="49" t="str">
        <f>B.Frontend!O10</f>
        <v>import {NgModule} from '@angular/core';
import {RouterModule, Routes} from '@angular/router';
import { PickingProgressComponent } from './pickingprogress.component';
const routes: Routes = [{
    path: '',
    component: PickingProgressComponent,
    pathMatch: 'full'
}];
@NgModule({
    imports: [RouterModule.forChild(routes)],
    exports: [RouterModule],
})
export class PickingProgressRoutingModule {}</v>
      </c>
      <c r="K54" s="49" t="str">
        <f>B.Frontend!P10</f>
        <v xml:space="preserve"> new AppMenuItem("PickingProgress", "Pages.LogW.Pik.PickingProgress", "flaticon-book",   "/app/main/logw/pik/pickingprogress"),</v>
      </c>
      <c r="L54" s="50" t="str">
        <f>B.Frontend!Q10</f>
        <v>{
    path: 'logw/pik/pickingprogress',
    loadChildren: () =&gt; import('./logw/pik/pickingprogress/pickingprogress.module').then(m =&gt; m.PickingProgressModule),
    data: { permission: 'Pages.LogW.Pik.PickingProgress' }
},</v>
      </c>
      <c r="M54" s="48" t="str">
        <f>B.Frontend!R10</f>
        <v>ApiServiceProxies.LgwPikPickingProgressServiceProxy,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tabSelected="1" workbookViewId="0">
      <pane xSplit="1" topLeftCell="B1" activePane="topRight" state="frozen"/>
      <selection pane="topRight" activeCell="A10" sqref="A1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vovina.LogW.Pik.Dto;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313</v>
      </c>
      <c r="C3" s="10" t="s">
        <v>43</v>
      </c>
      <c r="D3" s="10" t="s">
        <v>44</v>
      </c>
      <c r="E3" s="10" t="s">
        <v>39</v>
      </c>
      <c r="F3" s="11" t="str">
        <f>"J"&amp;COUNTA($A:$A)</f>
        <v>J21</v>
      </c>
      <c r="G3" s="4" t="s">
        <v>57</v>
      </c>
      <c r="H3" s="10" t="str">
        <f>"I"&amp;COUNTA($A:$A)</f>
        <v>I21</v>
      </c>
      <c r="I3" s="10" t="str">
        <f>REPT(CHAR(9),2)&amp;"[Required]"&amp;"
"</f>
        <v xml:space="preserve">		[Required]
</v>
      </c>
      <c r="J3" s="11" t="str">
        <f>"L"&amp;COUNTA($A:$A)</f>
        <v>L21</v>
      </c>
      <c r="K3" s="5" t="s">
        <v>56</v>
      </c>
      <c r="L3" s="11" t="str">
        <f>"M"&amp;COUNTA($A:$A)</f>
        <v>M21</v>
      </c>
      <c r="M3" s="11" t="str">
        <f>"N"&amp;COUNTA($A:$A)</f>
        <v>N21</v>
      </c>
      <c r="N3" s="11" t="str">
        <f>"O"&amp;COUNTA($A:$A)</f>
        <v>O21</v>
      </c>
      <c r="O3" s="11" t="str">
        <f>"P"&amp;COUNTA($A:$A)</f>
        <v>P21</v>
      </c>
      <c r="Q3" s="11" t="str">
        <f>RIGHT(B2,(LEN(B2)-FIND(".",B2,1)))</f>
        <v>Pik</v>
      </c>
      <c r="R3" s="32" t="str">
        <f>REPT(CHAR(9),1)&amp;"public class "&amp;B3&amp;"ExportInput"&amp;C3</f>
        <v xml:space="preserve">	public class LgwPikPickingProgressExportInput{
</v>
      </c>
      <c r="S3" s="11" t="str">
        <f>"namespace "&amp;$B$6&amp;".Exporting
"&amp;$C$3</f>
        <v xml:space="preserve">namespace vovina.LogW.Pik.Exporting
{
</v>
      </c>
      <c r="T3" s="11" t="str">
        <f>"T"&amp;COUNTA($A:$A)</f>
        <v>T21</v>
      </c>
      <c r="V3" s="11" t="str">
        <f>"V"&amp;COUNTA($A:$A)</f>
        <v>V21</v>
      </c>
      <c r="W3" s="10" t="str">
        <f>"W"&amp;COUNTA($A:$A)</f>
        <v>W21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vovina.LogW.Pik</v>
      </c>
      <c r="C6" s="11" t="str">
        <f>"namespace "&amp;$B$6&amp;"
"&amp;$C$3</f>
        <v xml:space="preserve">namespace vovina.LogW.Pik
{
</v>
      </c>
      <c r="D6" s="11" t="str">
        <f>REPT(CHAR(9),1)&amp;"public class "&amp;B3&amp;G3&amp;REPT(CHAR(9),1)&amp;"
"&amp;REPT(CHAR(9),1)&amp;C3</f>
        <v xml:space="preserve">	public class LgwPikPickingProgress: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LgwPikPickingProgressConsts	
	{
</v>
      </c>
      <c r="F6" s="11" t="str">
        <f>REPT(CHAR(9),1)&amp;"public class "&amp;B3&amp;"Dto"&amp;K3&amp;REPT(CHAR(9),1)&amp;"
"&amp;REPT(CHAR(9),1)&amp;C3</f>
        <v xml:space="preserve">	public class LgwPikPickingProgressDto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CreateOrEditLgwPikPickingProgressDto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GetLgwPikPickingProgressInput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LgwPikPickingProgress</v>
      </c>
      <c r="C7" s="11" t="str">
        <f>REPT(CHAR(9),1)&amp;"[Table("""&amp;B7&amp;""")]"&amp;"
"</f>
        <v xml:space="preserve">	[Table("LgwPikPickingProgress")]
</v>
      </c>
      <c r="D7" s="11"/>
      <c r="E7" s="11"/>
      <c r="F7" s="11"/>
      <c r="G7" s="11"/>
      <c r="H7" s="11"/>
      <c r="I7" s="11"/>
      <c r="J7" s="6" t="str">
        <f ca="1">SUBSTITUTE(SUBSTITUTE((B1&amp;C6&amp;C7&amp;K23&amp;D6&amp;I23&amp;E3&amp;J23&amp;""&amp;REPT(CHAR(9),1)&amp;D3&amp;D3),"WorkingPattern",$Q$3),"Master",$B$4)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vovina.LogW.Pik
{
	[Table("LgwPikPickingProgress")]
	[Index(nameof(PickingTabletId), Name="IX_LgwPikPickingProgress_PickingTabletId")]
	[Index(nameof(ProdLine), Name="IX_LgwPikPickingProgress_ProdLine")]
	[Index(nameof(ProcessCode), Name="IX_LgwPikPickingProgress_ProcessCode")]
	[Index(nameof(WorkingDate), Name="IX_LgwPikPickingProgress_WorkingDate")]
	[Index(nameof(Shift), Name="IX_LgwPikPickingProgress_Shift")]
	[Index(nameof(IsActive), Name="IX_LgwPikPickingProgress_IsActive")]	public class LgwPikPickingProgress: FullAuditedEntity&lt;long&gt;, IEntity&lt;long&gt;	
	{
		public const int MaxPickingTabletIdLength = 50;
		public const int MaxProdLineLength = 50;
		public const int MaxProcessCodeLength = 50;
		public const int MaxProcessGroupLength = 50;
		public const int MaxShiftLength = 50;
		public const int MaxLotNoLength = 50;
		public const int MaxBodyNoLength = 50;
		public const int MaxIsActiveLength = 50;
		[StringLength(MaxPickingTabletIdLength)]
		public virtual string PickingTabletId { get; set; }
		[StringLength(MaxProdLineLength)]
		public virtual string ProdLine { get; set; }
		[StringLength(MaxProcessCodeLength)]
		public virtual string ProcessCode { get; set; }
		[StringLength(MaxProcessGroupLength)]
		public virtual string ProcessGroup { get; set; }
		public virtual int SeqNo { get; set; }
		[Column(TypeName="date")]
		public virtual DateTime WorkingDate { get; set; }
		[StringLength(MaxShiftLength)]
		public virtual string Shift { get; set; }
		[Column(TypeName="datetime2(7)")]
		public virtual DateTime TaktStartTime { get; set; }
		[Column(TypeName="datetime2(7)")]
		public virtual DateTime StartTime { get; set; }
		[Column(TypeName="datetime2(7)")]
		public virtual DateTime FinishTime { get; set; }
		[StringLength(MaxLotNoLength)]
		public virtual string LotNo { get; set; }
		[StringLength(MaxBodyNoLength)]
		public virtual string BodyNo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DbSet&lt;LgwPikPickingProgress&gt; LgwPikPickingProgresss { get; set; }</v>
      </c>
      <c r="L7" t="str">
        <f ca="1">SUBSTITUTE(SUBSTITUTE((C6&amp;E6&amp;I23&amp;"
"&amp;REPT(CHAR(9),2)&amp;"// Define Store Name: Format SP_ + &lt;Store Name&gt; = &lt;Store Name&gt;
"&amp;E3&amp;REPT(CHAR(9),1)&amp;D3&amp;D3),"WorkingPattern",$Q$3),"Master",$B$4)</f>
        <v xml:space="preserve">namespace vovina.LogW.Pik
{
	public class LgwPikPickingProgressConsts	
	{
		public const int MaxPickingTabletIdLength = 50;
		public const int MaxProdLineLength = 50;
		public const int MaxProcessCodeLength = 50;
		public const int MaxProcessGroupLength = 50;
		public const int MaxShiftLength = 50;
		public const int MaxLotNoLength = 50;
		public const int MaxBodyNoLength = 50;
		public const int MaxIsActiveLength = 50;
		// Define Store Name: Format SP_ + &lt;Store Name&gt; = &lt;Store Name&gt;
	}
}
</v>
      </c>
      <c r="M7" t="str">
        <f ca="1">SUBSTITUTE(SUBSTITUTE((C1&amp;"namespace "&amp;B6&amp;".Dto"&amp;E3&amp;C3&amp;F6&amp;M23&amp;E3&amp;REPT(CHAR(9),1)&amp;D3&amp;G6&amp;N23&amp;REPT(CHAR(9),1)&amp;D3&amp;H6&amp;O23&amp;"
"&amp;REPT(CHAR(9),1)&amp;D3&amp;D3),"WorkingPattern",$Q$3),"Master",$B$4)</f>
        <v xml:space="preserve">using Abp.Application.Services.Dto;
using System;
using System.ComponentModel.DataAnnotations;
namespace vovina.LogW.Pik.Dto
{
	public class LgwPikPickingProgressDto : EntityDto&lt;long?&gt;	
	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	public class CreateOrEditLgwPikPickingProgressDto : EntityDto&lt;long?&gt;	
	{
		[StringLength(LgwPikPickingProgressConsts.MaxPickingTabletIdLength)]
		public virtual string PickingTabletId { get; set; }
		[StringLength(LgwPikPickingProgressConsts.MaxProdLineLength)]
		public virtual string ProdLine { get; set; }
		[StringLength(LgwPikPickingProgressConsts.MaxProcessCodeLength)]
		public virtual string ProcessCode { get; set; }
		[StringLength(LgwPikPickingProgressConsts.MaxProcessGroupLength)]
		public virtual string ProcessGroup { get; set; }
		public virtual int SeqNo { get; set; }
		public virtual DateTime? WorkingDate { get; set; }
		[StringLength(LgwPikPickingProgressConsts.MaxShiftLength)]
		public virtual string Shift { get; set; }
		public virtual DateTime? TaktStartTime { get; set; }
		public virtual DateTime? StartTime { get; set; }
		public virtual DateTime? FinishTime { get; set; }
		[StringLength(LgwPikPickingProgressConsts.MaxLotNoLength)]
		public virtual string LotNo { get; set; }
		[StringLength(LgwPikPickingProgressConsts.MaxBodyNoLength)]
		public virtual string BodyNo { get; set; }
		[StringLength(LgwPikPickingProgressConsts.MaxIsActiveLength)]
		public virtual string IsActive { get; set; }
	}
	public class GetLgwPikPickingProgressInput : PagedAndSortedResultRequestDto	
	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perLgwPikPickingProgress = PARENTS.CreateChildPermission(AppPermissions.Pages_LogW_Pik_PickingProgress, L( "LogWPikPickingProgress"));
		perLgwPikPickingProgress.CreateChildPermission(AppPermissions.Pages_LogW_Pik_PickingProgress_CreateEdit, L( "LogWPikPickingProgressCreateEdit"));
		perLgwPikPickingProgress.CreateChildPermission(AppPermissions.Pages_LogW_Pik_PickingProgress_Delete, L( "LogWPikPickingProgressDelete"));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Pages_LogW_Pik_PickingProgress = "Pages.LogW.Pik.PickingProgress";
		public const string Pages_LogW_Pik_PickingProgress_CreateEdit = "Pages.LogW.Pik.PickingProgress.CreateEdit";
		public const string Pages_LogW_Pik_PickingProgress_Delete = "Pages.LogW.Pik.PickingProgress.Delete";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vovina.LogW.Pik.Dto;
namespace vovina.LogW.Pik
{
	public interface ILgwPikPickingProgressAppService : IApplicationService
	{
		Task&lt;PagedResultDto&lt;LgwPikPickingProgressDto&gt;&gt; GetAll(GetLgwPikPickingProgressInput input);
		Task CreateOrEdit(CreateOrEditLgwPikPickingProgressDto input);
		Task Delete(EntityDto input);
	}
}
</v>
      </c>
      <c r="Q7" t="str">
        <f ca="1">SUBSTITUTE(SUBSTITUTE(SUBSTITUTE(SUBSTITUTE(SUBSTITUTE(SUBSTITUTE(E1,"MstWptCalendar",$B$3),"&lt;PROPERTIES&gt;",P23),"Calendar",$B$5),"WorkingPattern",$Q$3),"Master",$B$4),"&lt;PARAMS_SEARCH&gt;",$W$23)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vovina.LogW.Pik.Dto;
using vovina.LogW.Pik.Exporting;
namespace vovina.LogW.Pik
{
    [AbpAuthorize(AppPermissions.Pages_LogW_Pik_PickingProgress)]
    public class LgwPikPickingProgressAppService : vovinaAppServiceBase, ILgwPikPickingProgressAppService
    {
        private readonly IDapperRepository&lt;LgwPikPickingProgress, long&gt; _dapperRepo;
        private readonly IRepository&lt;LgwPikPickingProgress, long&gt; _repo;
        private readonly ILgwPikPickingProgressExcelExporter _calendarListExcelExporter;
        public LgwPikPickingProgressAppService(IRepository&lt;LgwPikPickingProgress,long&gt; repo, 
                                         IDapperRepository&lt;LgwPikPickingProgress,long&gt; dapperRepo,
                                        ILgwPikPickingProgressExcelExporter calendarListExcelExporter
            )
        {
            _repo = repo;
            _dapperRepo = dapperRepo;
            _calendarListExcelExporter = calendarListExcelExporter;
        }
        [AbpAuthorize(AppPermissions.Pages_LogW_Pik_PickingProgress_CreateEdit)]
        public async Task CreateOrEdit(CreateOrEditLgwPikPickingProgressDto input)
        {
            if (input.Id == null) await Create(input);
            else await Update(input);
        }
        //CREATE
        private async Task Create(CreateOrEditLgwPikPickingProgressDto input)
        {          
            var mainObj = ObjectMapper.Map&lt;LgwPikPickingProgress&gt;(input);
            await CurrentUnitOfWork.GetDbContext&lt;vovinaDbContext&gt;().AddAsync(mainObj);
        }
        // EDIT
        private async Task Update(CreateOrEditLgwPikPickingProgressDto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[AbpAuthorize(AppPermissions.Pages_LogW_Pik_PickingProgress_Delete)]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Task&lt;PagedResultDto&lt;LgwPikPickingProgressDto&gt;&gt; GetAll(GetLgwPikPickingProgressInput input)
        {
            var filtered = _repo.GetAll()
				.WhereIf(!string.IsNullOrWhiteSpace(input.PickingTabletId), e =&gt; e.PickingTabletId.Contains(input.PickingTabletId))
				.WhereIf(!string.IsNullOrWhiteSpace(input.ProdLine), e =&gt; e.ProdLine.Contains(input.ProdLine))
				.WhereIf(!string.IsNullOrWhiteSpace(input.ProcessCode), e =&gt; e.ProcessCode.Contains(input.ProcessCode))
				.WhereIf(!string.IsNullOrWhiteSpace(input.ProcessGroup), e =&gt; e.ProcessGroup.Contains(input.ProcessGroup))
				.WhereIf(input.WorkingDate.HasValue, t =&gt; t.WorkingDate == input.WorkingDate.Value)
				.WhereIf(!string.IsNullOrWhiteSpace(input.Shift), e =&gt; e.Shift.Contains(input.Shift))
				.WhereIf(input.TaktStartTime.HasValue, t =&gt; t.TaktStartTime == input.TaktStartTime.Value)
				.WhereIf(input.StartTime.HasValue, t =&gt; t.StartTime == input.StartTime.Value)
				.WhereIf(input.FinishTime.HasValue, t =&gt; t.FinishTime == input.FinishTime.Value)
				.WhereIf(!string.IsNullOrWhiteSpace(input.LotNo), e =&gt; e.LotNo.Contains(input.LotNo))
				.WhereIf(!string.IsNullOrWhiteSpace(input.BodyNo), e =&gt; e.BodyNo.Contains(input.BodyNo))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LgwPikPickingProgressDto
                        {
							Id = o.Id,
							PickingTabletId = o.PickingTabletId,
							ProdLine = o.ProdLine,
							ProcessCode = o.ProcessCode,
							ProcessGroup = o.ProcessGroup,
							SeqNo = o.SeqNo,
							WorkingDate = o.WorkingDate,
							Shift = o.Shift,
							TaktStartTime = o.TaktStartTime,
							StartTime = o.StartTime,
							FinishTime = o.FinishTime,
							LotNo = o.LotNo,
							BodyNo = o.BodyNo,
							IsActive = o.IsActive,
                        };
            var totalCount = await filtered.CountAsync();
			var paged = system.PageBy(input);
            return new PagedResultDto&lt;LgwPikPickingProgressDto&gt;(
                totalCount,
                 await paged.ToListAsync()
            );
        }
        public async Task&lt;FileDto&gt; GetPickingProgressToExcel(LgwPikPickingProgressExportInput input)
        {
            var query = from o in _repo.GetAll()
                        select new LgwPikPickingProgressDto
                        {
							Id = o.Id,
							PickingTabletId = o.PickingTabletId,
							ProdLine = o.ProdLine,
							ProcessCode = o.ProcessCode,
							ProcessGroup = o.ProcessGroup,
							SeqNo = o.SeqNo,
							WorkingDate = o.WorkingDate,
							Shift = o.Shift,
							TaktStartTime = o.TaktStartTime,
							StartTime = o.StartTime,
							FinishTime = o.FinishTime,
							LotNo = o.LotNo,
							BodyNo = o.BodyNo,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_dapperRepo.ExecuteAsync(LgwPikPickingProgressConsts.SP_MST_WPT_CALENDAR_GENERATE);
       // }
    }
}</v>
      </c>
      <c r="R7" t="str">
        <f ca="1">SUBSTITUTE(SUBSTITUTE((C1&amp;"namespace "&amp;B6&amp;".Dto"&amp;E3&amp;C3&amp;R3&amp;M23&amp;E3&amp;REPT(CHAR(9),1)&amp;D3&amp;D3),"WorkingPattern",$Q$3),"Master",$B$4)</f>
        <v xml:space="preserve">using Abp.Application.Services.Dto;
using System;
using System.ComponentModel.DataAnnotations;
namespace vovina.LogW.Pik.Dto
{
	public class LgwPikPickingProgressExportInput{
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vovina.LogW.Pik.Dto;
namespace vovina.LogW.Pik.Exporting
{
	public interface ILgwPikPickingProgressExcelExporter : IApplicationService
	{
		FileDto ExportToFile(List&lt;LgwPikPickingProgressDto&gt; lgwpikpickingprogress);
	}
}
</v>
      </c>
      <c r="T7" s="28" t="str">
        <f ca="1">SUBSTITUTE(SUBSTITUTE(SUBSTITUTE(SUBSTITUTE(SUBSTITUTE(SUBSTITUTE(SUBSTITUTE(T1,"MstWptCalendar",$B$3),"&lt;PROPERTIES1&gt;",V23),"&lt;PROPERTIES&gt;",T23),"Calendar",$B$5),"calendar",LOWER(B5)),"WorkingPattern",$Q$3),"Master",$B$4)</f>
        <v>using System.Collections.Generic;
using vovina.DataExporting.Excel.NPOI;
using vovina.Dto;
using vovina.LogW.Pik.Exporting;
using vovina.LogW.Pik.Dto;
using vovina.Storage;
using vovina.LogW.Pik.Dto;
namespace vovina.LogW.Pik.Exporting
{
    public class LgwPikPickingProgressExcelExporter : NpoiExcelExporterBase, ILgwPikPickingProgressExcelExporter
    {
        public LgwPikPickingProgressExcelExporter(ITempFileCacheManager tempFileCacheManager) : base(tempFileCacheManager) { }
        public FileDto ExportToFile(List&lt;LgwPikPickingProgressDto&gt; pickingprogress)
        {
            return CreateExcelPackage(
				"LogWPikPickingProgress.xlsx",
				excelPackage =&gt;
				 {
					var sheet = excelPackage.CreateSheet("PickingProgress");
					AddHeader(
								sheet,
								("PickingTabletId"),
								("ProdLine"),
								("ProcessCode"),
								("ProcessGroup"),
								("SeqNo"),
								("WorkingDate"),
								("Shift"),
								("TaktStartTime"),
								("StartTime"),
								("FinishTime"),
								("LotNo"),
								("BodyNo"),
								("IsActive"),
							   );
					AddObjects(
						 sheet, 1, pickingprogress,                                       
								_ =&gt; _.PickingTabletId,
								_ =&gt; _.ProdLine,
								_ =&gt; _.ProcessCode,
								_ =&gt; _.ProcessGroup,
								_ =&gt; _.SeqNo,
								_ =&gt; _.WorkingDate,
								_ =&gt; _.Shift,
								_ =&gt; _.TaktStartTime,
								_ =&gt; _.StartTime,
								_ =&gt; _.FinishTime,
								_ =&gt; _.LotNo,
								_ =&gt; _.BodyNo,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configuration.CreateMap&lt;LgwPikPickingProgressDto, LgwPikPickingProgress&gt;();
  configuration.CreateMap&lt;LgwPikPickingProgress, LgwPikPickingProgressDto&gt;();
  configuration.CreateMap&lt;CreateOrEditLgwPikPickingProgressDto, LgwPikPickingProgress&gt;();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315</v>
      </c>
      <c r="B9" t="s">
        <v>303</v>
      </c>
      <c r="C9" t="s">
        <v>1</v>
      </c>
      <c r="D9" t="str">
        <f>SUBSTITUTE(PROPER(A9),"_","")</f>
        <v>PickingTabletId</v>
      </c>
      <c r="E9" t="str">
        <f t="shared" ref="E9:E12" si="0">IFERROR(LEFT(B9, FIND("(",B9)-1),B9)</f>
        <v>varchar</v>
      </c>
      <c r="F9" s="7"/>
      <c r="G9" t="str">
        <f t="shared" ref="G9:G12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2" si="2">IF(H9="string",REPT(CHAR(9),2)&amp;"public const int Max"&amp;D9&amp;"Length = "&amp;G9&amp;";"&amp;$E$3,"" )</f>
        <v xml:space="preserve">		public const int MaxPickingTabletIdLength = 50;
</v>
      </c>
      <c r="J9" t="str">
        <f t="shared" ref="J9:J12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[StringLength(MaxPickingTabletIdLength)]
		public virtual string PickingTabletId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[Index(nameof(PickingTabletId), Name="IX_LgwPikPickingProgress_PickingTabletId")]</v>
      </c>
      <c r="M9" t="str">
        <f>REPT(CHAR(9),2)&amp;"public virtual "&amp;IF(OR(H9="DateTime",H9="TimeSpan"),H9&amp;"?",H9)&amp;IF(C9="?","? "," ")&amp;D9&amp;" { get; set; }" &amp; "
"</f>
        <v xml:space="preserve">		public virtual string PickingTabletId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[StringLength(LgwPikPickingProgressConsts.MaxPickingTabletIdLength)]
		public virtual string PickingTabletId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PickingTabletId { get; set; }
</v>
      </c>
      <c r="P9" t="str">
        <f t="shared" ref="P9:P12" si="4">REPT(CHAR(9),7)&amp;D9&amp;" = o." &amp;D9 &amp;","</f>
        <v xml:space="preserve">							PickingTabletId = o.PickingTabletId,</v>
      </c>
      <c r="T9" s="69" t="str">
        <f>REPT(CHAR(9),8)&amp;"("""&amp;D9&amp;"""),"</f>
        <v xml:space="preserve">								("PickingTabletId"),</v>
      </c>
      <c r="V9" s="70" t="str">
        <f>REPT(CHAR(9),8)&amp;"_ =&gt; _."&amp;D9&amp;","</f>
        <v xml:space="preserve">								_ =&gt; _.PickingTabletId,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.WhereIf(!string.IsNullOrWhiteSpace(input.PickingTabletId), e =&gt; e.PickingTabletId.Contains(input.PickingTabletId))</v>
      </c>
    </row>
    <row r="10" spans="1:23" customFormat="1" ht="22.5" customHeight="1" x14ac:dyDescent="0.25">
      <c r="A10" t="s">
        <v>318</v>
      </c>
      <c r="B10" t="s">
        <v>303</v>
      </c>
      <c r="C10" t="s">
        <v>1</v>
      </c>
      <c r="D10" t="str">
        <f>SUBSTITUTE(PROPER(A10),"_","")</f>
        <v>ProdLine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MaxProdLineLength = 50;
</v>
      </c>
      <c r="J10" t="str">
        <f t="shared" si="3"/>
        <v xml:space="preserve">		[StringLength(MaxProdLineLength)]
		public virtual string ProdLine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[Index(nameof(ProdLine), Name="IX_LgwPikPickingProgress_ProdLine")]</v>
      </c>
      <c r="M10" t="str">
        <f t="shared" ref="M10" si="5">REPT(CHAR(9),2)&amp;"public virtual "&amp;IF(OR(H10="DateTime",H10="TimeSpan"),H10&amp;"?",H10)&amp;IF(C10="?","? "," ")&amp;D10&amp;" { get; set; }" &amp; "
"</f>
        <v xml:space="preserve">		public virtual string ProdLine { get; set; }
</v>
      </c>
      <c r="N10" t="str">
        <f t="shared" ref="N10" si="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[StringLength(LgwPikPickingProgressConsts.MaxProdLineLength)]
		public virtual string ProdLine { get; set; }
</v>
      </c>
      <c r="O10" t="str">
        <f t="shared" ref="O10" si="7">IF(OR(H10="string",H10="DateTime",H10="int"),REPT(CHAR(9),2)&amp;"public virtual "&amp;IF(OR(H10="DateTime",H10="TimeSpan"),H10&amp;"?",H10)&amp;IF(C10="?","? "," ")&amp;D10&amp;" { get; set; }"&amp;$E$3,"")</f>
        <v xml:space="preserve">		public virtual string ProdLine { get; set; }
</v>
      </c>
      <c r="P10" t="str">
        <f t="shared" si="4"/>
        <v xml:space="preserve">							ProdLine = o.ProdLine,</v>
      </c>
      <c r="T10" s="69" t="str">
        <f t="shared" ref="T10" si="8">REPT(CHAR(9),8)&amp;"("""&amp;D10&amp;"""),"</f>
        <v xml:space="preserve">								("ProdLine"),</v>
      </c>
      <c r="V10" s="70" t="str">
        <f t="shared" ref="V10" si="9">REPT(CHAR(9),8)&amp;"_ =&gt; _."&amp;D10&amp;","</f>
        <v xml:space="preserve">								_ =&gt; _.ProdLine,</v>
      </c>
      <c r="W10" s="69" t="str">
        <f t="shared" ref="W10" si="10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.WhereIf(!string.IsNullOrWhiteSpace(input.ProdLine), e =&gt; e.ProdLine.Contains(input.ProdLine))</v>
      </c>
    </row>
    <row r="11" spans="1:23" customFormat="1" ht="21" customHeight="1" x14ac:dyDescent="0.25">
      <c r="A11" t="s">
        <v>316</v>
      </c>
      <c r="B11" t="s">
        <v>303</v>
      </c>
      <c r="C11" t="s">
        <v>1</v>
      </c>
      <c r="D11" t="str">
        <f t="shared" ref="D11:D12" si="11">SUBSTITUTE(PROPER(A11),"_","")</f>
        <v>ProcessCode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MaxProcessCodeLength = 50;
</v>
      </c>
      <c r="J11" t="str">
        <f t="shared" si="3"/>
        <v xml:space="preserve">		[StringLength(MaxProcessCodeLength)]
		public virtual string ProcessCode { get; set; }
</v>
      </c>
      <c r="K11" s="7" t="s">
        <v>206</v>
      </c>
      <c r="L11" t="str">
        <f t="shared" ref="L11:L12" si="12">IF(K11="","",REPT(CHAR(9),1)&amp;"[Index(nameof("&amp;IF(D11="","",""&amp;D11)&amp;")"&amp;", Name="&amp;"""IX_"&amp;$B$7&amp;"_"&amp;D11&amp;""")]")</f>
        <v xml:space="preserve">	[Index(nameof(ProcessCode), Name="IX_LgwPikPickingProgress_ProcessCode")]</v>
      </c>
      <c r="M11" t="str">
        <f t="shared" ref="M11:M12" si="13">REPT(CHAR(9),2)&amp;"public virtual "&amp;IF(OR(H11="DateTime",H11="TimeSpan"),H11&amp;"?",H11)&amp;IF(C11="?","? "," ")&amp;D11&amp;" { get; set; }" &amp; "
"</f>
        <v xml:space="preserve">		public virtual string ProcessCode { get; set; }
</v>
      </c>
      <c r="N11" t="str">
        <f t="shared" ref="N11:N12" si="14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[StringLength(LgwPikPickingProgressConsts.MaxProcessCodeLength)]
		public virtual string ProcessCode { get; set; }
</v>
      </c>
      <c r="O11" t="str">
        <f t="shared" ref="O11:O12" si="15">IF(OR(H11="string",H11="DateTime",H11="int"),REPT(CHAR(9),2)&amp;"public virtual "&amp;IF(OR(H11="DateTime",H11="TimeSpan"),H11&amp;"?",H11)&amp;IF(C11="?","? "," ")&amp;D11&amp;" { get; set; }"&amp;$E$3,"")</f>
        <v xml:space="preserve">		public virtual string ProcessCode { get; set; }
</v>
      </c>
      <c r="P11" t="str">
        <f t="shared" si="4"/>
        <v xml:space="preserve">							ProcessCode = o.ProcessCode,</v>
      </c>
      <c r="T11" s="69" t="str">
        <f t="shared" ref="T11:T12" si="16">REPT(CHAR(9),8)&amp;"("""&amp;D11&amp;"""),"</f>
        <v xml:space="preserve">								("ProcessCode"),</v>
      </c>
      <c r="V11" s="70" t="str">
        <f t="shared" ref="V11:V12" si="17">REPT(CHAR(9),8)&amp;"_ =&gt; _."&amp;D11&amp;","</f>
        <v xml:space="preserve">								_ =&gt; _.ProcessCode,</v>
      </c>
      <c r="W11" s="69" t="str">
        <f t="shared" ref="W11:W12" si="1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.WhereIf(!string.IsNullOrWhiteSpace(input.ProcessCode), e =&gt; e.ProcessCode.Contains(input.ProcessCode))</v>
      </c>
    </row>
    <row r="12" spans="1:23" customFormat="1" ht="18.75" customHeight="1" x14ac:dyDescent="0.25">
      <c r="A12" t="s">
        <v>317</v>
      </c>
      <c r="B12" t="s">
        <v>303</v>
      </c>
      <c r="C12" t="s">
        <v>1</v>
      </c>
      <c r="D12" t="str">
        <f t="shared" si="11"/>
        <v>ProcessGroup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MaxProcessGroupLength = 50;
</v>
      </c>
      <c r="J12" t="str">
        <f t="shared" si="3"/>
        <v xml:space="preserve">		[StringLength(MaxProcessGroupLength)]
		public virtual string ProcessGroup { get; set; }
</v>
      </c>
      <c r="K12" s="7"/>
      <c r="L12" t="str">
        <f t="shared" si="12"/>
        <v/>
      </c>
      <c r="M12" t="str">
        <f t="shared" si="13"/>
        <v xml:space="preserve">		public virtual string ProcessGroup { get; set; }
</v>
      </c>
      <c r="N12" t="str">
        <f t="shared" si="14"/>
        <v xml:space="preserve">		[StringLength(LgwPikPickingProgressConsts.MaxProcessGroupLength)]
		public virtual string ProcessGroup { get; set; }
</v>
      </c>
      <c r="O12" t="str">
        <f t="shared" si="15"/>
        <v xml:space="preserve">		public virtual string ProcessGroup { get; set; }
</v>
      </c>
      <c r="P12" t="str">
        <f t="shared" si="4"/>
        <v xml:space="preserve">							ProcessGroup = o.ProcessGroup,</v>
      </c>
      <c r="T12" s="69" t="str">
        <f t="shared" si="16"/>
        <v xml:space="preserve">								("ProcessGroup"),</v>
      </c>
      <c r="V12" s="70" t="str">
        <f t="shared" si="17"/>
        <v xml:space="preserve">								_ =&gt; _.ProcessGroup,</v>
      </c>
      <c r="W12" s="69" t="str">
        <f t="shared" si="18"/>
        <v xml:space="preserve">				.WhereIf(!string.IsNullOrWhiteSpace(input.ProcessGroup), e =&gt; e.ProcessGroup.Contains(input.ProcessGroup))</v>
      </c>
    </row>
    <row r="13" spans="1:23" customFormat="1" ht="21" customHeight="1" x14ac:dyDescent="0.25">
      <c r="A13" t="s">
        <v>321</v>
      </c>
      <c r="B13" t="s">
        <v>4</v>
      </c>
      <c r="C13" t="s">
        <v>1</v>
      </c>
      <c r="D13" t="str">
        <f t="shared" ref="D13" si="19">SUBSTITUTE(PROPER(A13),"_","")</f>
        <v>SeqNo</v>
      </c>
      <c r="E13" t="str">
        <f t="shared" ref="E13:E14" si="20">IFERROR(LEFT(B13, FIND("(",B13)-1),B13)</f>
        <v>int</v>
      </c>
      <c r="F13" s="7"/>
      <c r="G13" t="str">
        <f t="shared" ref="G13:G14" si="21">IFERROR(MID(B13,FIND("(",B13) +1, FIND(")",B13) - FIND("(",B13) - 1),"")</f>
        <v/>
      </c>
      <c r="H13" t="str">
        <f>+VLOOKUP(E13,'Data Type Mapping'!A:B,2,)</f>
        <v>int</v>
      </c>
      <c r="I13" t="str">
        <f t="shared" ref="I13:I14" si="22">IF(H13="string",REPT(CHAR(9),2)&amp;"public const int Max"&amp;D13&amp;"Length = "&amp;G13&amp;";"&amp;$E$3,"" )</f>
        <v/>
      </c>
      <c r="J13" t="str">
        <f t="shared" ref="J13:J14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SeqNo { get; set; }
</v>
      </c>
      <c r="K13" s="7"/>
      <c r="L13" t="str">
        <f t="shared" ref="L13" si="24">IF(K13="","",REPT(CHAR(9),1)&amp;"[Index(nameof("&amp;IF(D13="","",""&amp;D13)&amp;")"&amp;", Name="&amp;"""IX_"&amp;$B$7&amp;"_"&amp;D13&amp;""")]")</f>
        <v/>
      </c>
      <c r="M13" t="str">
        <f t="shared" ref="M13:M14" si="25">REPT(CHAR(9),2)&amp;"public virtual "&amp;IF(OR(H13="DateTime",H13="TimeSpan"),H13&amp;"?",H13)&amp;IF(C13="?","? "," ")&amp;D13&amp;" { get; set; }" &amp; "
"</f>
        <v xml:space="preserve">		public virtual int SeqNo { get; set; }
</v>
      </c>
      <c r="N13" t="str">
        <f t="shared" ref="N13:N14" si="2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SeqNo { get; set; }
</v>
      </c>
      <c r="O13" t="str">
        <f t="shared" ref="O13:O14" si="27">IF(OR(H13="string",H13="DateTime",H13="int"),REPT(CHAR(9),2)&amp;"public virtual "&amp;IF(OR(H13="DateTime",H13="TimeSpan"),H13&amp;"?",H13)&amp;IF(C13="?","? "," ")&amp;D13&amp;" { get; set; }"&amp;$E$3,"")</f>
        <v xml:space="preserve">		public virtual int SeqNo { get; set; }
</v>
      </c>
      <c r="P13" t="str">
        <f t="shared" ref="P13:P14" si="28">REPT(CHAR(9),7)&amp;D13&amp;" = o." &amp;D13 &amp;","</f>
        <v xml:space="preserve">							SeqNo = o.SeqNo,</v>
      </c>
      <c r="T13" s="69" t="str">
        <f t="shared" ref="T13:T14" si="29">REPT(CHAR(9),8)&amp;"("""&amp;D13&amp;"""),"</f>
        <v xml:space="preserve">								("SeqNo"),</v>
      </c>
      <c r="V13" s="70" t="str">
        <f t="shared" ref="V13:V14" si="30">REPT(CHAR(9),8)&amp;"_ =&gt; _."&amp;D13&amp;","</f>
        <v xml:space="preserve">								_ =&gt; _.SeqNo,</v>
      </c>
      <c r="W13" s="69" t="str">
        <f t="shared" ref="W13:W14" si="3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2.5" customHeight="1" x14ac:dyDescent="0.25">
      <c r="A14" t="s">
        <v>322</v>
      </c>
      <c r="B14" t="s">
        <v>2</v>
      </c>
      <c r="C14" t="s">
        <v>1</v>
      </c>
      <c r="D14" t="str">
        <f t="shared" ref="D14:D19" si="32">SUBSTITUTE(PROPER(A14),"_","")</f>
        <v>WorkingDate</v>
      </c>
      <c r="E14" t="str">
        <f t="shared" si="20"/>
        <v>date</v>
      </c>
      <c r="F14" s="7" t="s">
        <v>2</v>
      </c>
      <c r="G14" t="str">
        <f t="shared" si="21"/>
        <v/>
      </c>
      <c r="H14" t="str">
        <f>+VLOOKUP(E14,'Data Type Mapping'!A:B,2,)</f>
        <v>DateTime</v>
      </c>
      <c r="I14" t="str">
        <f t="shared" si="22"/>
        <v/>
      </c>
      <c r="J14" t="str">
        <f t="shared" si="23"/>
        <v xml:space="preserve">		[Column(TypeName="date")]
		public virtual DateTime WorkingDate { get; set; }
</v>
      </c>
      <c r="K14" s="7" t="s">
        <v>206</v>
      </c>
      <c r="L14" t="str">
        <f t="shared" ref="L14:L19" si="33">IF(K14="","",REPT(CHAR(9),1)&amp;"[Index(nameof("&amp;IF(D14="","",""&amp;D14)&amp;")"&amp;", Name="&amp;"""IX_"&amp;$B$7&amp;"_"&amp;D14&amp;""")]")</f>
        <v xml:space="preserve">	[Index(nameof(WorkingDate), Name="IX_LgwPikPickingProgress_WorkingDate")]</v>
      </c>
      <c r="M14" t="str">
        <f t="shared" si="25"/>
        <v xml:space="preserve">		public virtual DateTime? WorkingDate { get; set; }
</v>
      </c>
      <c r="N14" t="str">
        <f t="shared" si="26"/>
        <v xml:space="preserve">		public virtual DateTime? WorkingDate { get; set; }
</v>
      </c>
      <c r="O14" t="str">
        <f t="shared" si="27"/>
        <v xml:space="preserve">		public virtual DateTime? WorkingDate { get; set; }
</v>
      </c>
      <c r="P14" t="str">
        <f t="shared" si="28"/>
        <v xml:space="preserve">							WorkingDate = o.WorkingDate,</v>
      </c>
      <c r="T14" s="69" t="str">
        <f t="shared" si="29"/>
        <v xml:space="preserve">								("WorkingDate"),</v>
      </c>
      <c r="V14" s="70" t="str">
        <f t="shared" si="30"/>
        <v xml:space="preserve">								_ =&gt; _.WorkingDate,</v>
      </c>
      <c r="W14" s="69" t="str">
        <f t="shared" si="31"/>
        <v xml:space="preserve">				.WhereIf(input.WorkingDate.HasValue, t =&gt; t.WorkingDate == input.WorkingDate.Value)</v>
      </c>
    </row>
    <row r="15" spans="1:23" customFormat="1" ht="22.5" customHeight="1" x14ac:dyDescent="0.25">
      <c r="A15" t="s">
        <v>323</v>
      </c>
      <c r="B15" t="s">
        <v>303</v>
      </c>
      <c r="C15" t="s">
        <v>1</v>
      </c>
      <c r="D15" t="str">
        <f t="shared" si="32"/>
        <v>Shift</v>
      </c>
      <c r="E15" t="str">
        <f t="shared" ref="E15:E16" si="34">IFERROR(LEFT(B15, FIND("(",B15)-1),B15)</f>
        <v>varchar</v>
      </c>
      <c r="F15" s="7"/>
      <c r="G15" t="str">
        <f t="shared" ref="G15:G16" si="35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6" si="36">IF(H15="string",REPT(CHAR(9),2)&amp;"public const int Max"&amp;D15&amp;"Length = "&amp;G15&amp;";"&amp;$E$3,"" )</f>
        <v xml:space="preserve">		public const int MaxShiftLength = 50;
</v>
      </c>
      <c r="J15" t="str">
        <f t="shared" ref="J15:J16" si="3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[StringLength(MaxShiftLength)]
		public virtual string Shift { get; set; }
</v>
      </c>
      <c r="K15" s="7" t="s">
        <v>206</v>
      </c>
      <c r="L15" t="str">
        <f t="shared" si="33"/>
        <v xml:space="preserve">	[Index(nameof(Shift), Name="IX_LgwPikPickingProgress_Shift")]</v>
      </c>
      <c r="M15" t="str">
        <f t="shared" ref="M15:M16" si="38">REPT(CHAR(9),2)&amp;"public virtual "&amp;IF(OR(H15="DateTime",H15="TimeSpan"),H15&amp;"?",H15)&amp;IF(C15="?","? "," ")&amp;D15&amp;" { get; set; }" &amp; "
"</f>
        <v xml:space="preserve">		public virtual string Shift { get; set; }
</v>
      </c>
      <c r="N15" t="str">
        <f t="shared" ref="N15:N16" si="3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[StringLength(LgwPikPickingProgressConsts.MaxShiftLength)]
		public virtual string Shift { get; set; }
</v>
      </c>
      <c r="O15" t="str">
        <f t="shared" ref="O15:O16" si="40">IF(OR(H15="string",H15="DateTime",H15="int"),REPT(CHAR(9),2)&amp;"public virtual "&amp;IF(OR(H15="DateTime",H15="TimeSpan"),H15&amp;"?",H15)&amp;IF(C15="?","? "," ")&amp;D15&amp;" { get; set; }"&amp;$E$3,"")</f>
        <v xml:space="preserve">		public virtual string Shift { get; set; }
</v>
      </c>
      <c r="P15" t="str">
        <f t="shared" ref="P15:P16" si="41">REPT(CHAR(9),7)&amp;D15&amp;" = o." &amp;D15 &amp;","</f>
        <v xml:space="preserve">							Shift = o.Shift,</v>
      </c>
      <c r="T15" s="69" t="str">
        <f t="shared" ref="T15:T16" si="42">REPT(CHAR(9),8)&amp;"("""&amp;D15&amp;"""),"</f>
        <v xml:space="preserve">								("Shift"),</v>
      </c>
      <c r="V15" s="70" t="str">
        <f t="shared" ref="V15:V16" si="43">REPT(CHAR(9),8)&amp;"_ =&gt; _."&amp;D15&amp;","</f>
        <v xml:space="preserve">								_ =&gt; _.Shift,</v>
      </c>
      <c r="W15" s="69" t="str">
        <f t="shared" ref="W15:W16" si="4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.WhereIf(!string.IsNullOrWhiteSpace(input.Shift), e =&gt; e.Shift.Contains(input.Shift))</v>
      </c>
    </row>
    <row r="16" spans="1:23" customFormat="1" ht="22.5" customHeight="1" x14ac:dyDescent="0.25">
      <c r="A16" t="s">
        <v>325</v>
      </c>
      <c r="B16" t="s">
        <v>308</v>
      </c>
      <c r="C16" t="s">
        <v>1</v>
      </c>
      <c r="D16" t="str">
        <f t="shared" si="32"/>
        <v>TaktStartTime</v>
      </c>
      <c r="E16" t="str">
        <f t="shared" si="34"/>
        <v>datetime2</v>
      </c>
      <c r="F16" s="7" t="s">
        <v>308</v>
      </c>
      <c r="G16" t="str">
        <f t="shared" si="35"/>
        <v>7</v>
      </c>
      <c r="H16" t="str">
        <f>+VLOOKUP(E16,'Data Type Mapping'!A:B,2,)</f>
        <v>DateTime</v>
      </c>
      <c r="I16" t="str">
        <f t="shared" si="36"/>
        <v/>
      </c>
      <c r="J16" t="str">
        <f t="shared" si="37"/>
        <v xml:space="preserve">		[Column(TypeName="datetime2(7)")]
		public virtual DateTime TaktStartTime { get; set; }
</v>
      </c>
      <c r="K16" s="7"/>
      <c r="L16" t="str">
        <f t="shared" si="33"/>
        <v/>
      </c>
      <c r="M16" t="str">
        <f t="shared" si="38"/>
        <v xml:space="preserve">		public virtual DateTime? TaktStartTime { get; set; }
</v>
      </c>
      <c r="N16" t="str">
        <f t="shared" si="39"/>
        <v xml:space="preserve">		public virtual DateTime? TaktStartTime { get; set; }
</v>
      </c>
      <c r="O16" t="str">
        <f t="shared" si="40"/>
        <v xml:space="preserve">		public virtual DateTime? TaktStartTime { get; set; }
</v>
      </c>
      <c r="P16" t="str">
        <f t="shared" si="41"/>
        <v xml:space="preserve">							TaktStartTime = o.TaktStartTime,</v>
      </c>
      <c r="T16" s="69" t="str">
        <f t="shared" si="42"/>
        <v xml:space="preserve">								("TaktStartTime"),</v>
      </c>
      <c r="V16" s="70" t="str">
        <f t="shared" si="43"/>
        <v xml:space="preserve">								_ =&gt; _.TaktStartTime,</v>
      </c>
      <c r="W16" s="69" t="str">
        <f t="shared" si="44"/>
        <v xml:space="preserve">				.WhereIf(input.TaktStartTime.HasValue, t =&gt; t.TaktStartTime == input.TaktStartTime.Value)</v>
      </c>
    </row>
    <row r="17" spans="1:23" customFormat="1" ht="22.5" customHeight="1" x14ac:dyDescent="0.25">
      <c r="A17" t="s">
        <v>319</v>
      </c>
      <c r="B17" t="s">
        <v>308</v>
      </c>
      <c r="C17" t="s">
        <v>1</v>
      </c>
      <c r="D17" t="str">
        <f t="shared" si="32"/>
        <v>StartTime</v>
      </c>
      <c r="E17" t="str">
        <f t="shared" ref="E17:E21" si="45">IFERROR(LEFT(B17, FIND("(",B17)-1),B17)</f>
        <v>datetime2</v>
      </c>
      <c r="F17" s="7" t="s">
        <v>308</v>
      </c>
      <c r="G17" t="str">
        <f t="shared" ref="G17:G21" si="46">IFERROR(MID(B17,FIND("(",B17) +1, FIND(")",B17) - FIND("(",B17) - 1),"")</f>
        <v>7</v>
      </c>
      <c r="H17" t="str">
        <f>+VLOOKUP(E17,'Data Type Mapping'!A:B,2,)</f>
        <v>DateTime</v>
      </c>
      <c r="I17" t="str">
        <f t="shared" ref="I17:I21" si="47">IF(H17="string",REPT(CHAR(9),2)&amp;"public const int Max"&amp;D17&amp;"Length = "&amp;G17&amp;";"&amp;$E$3,"" )</f>
        <v/>
      </c>
      <c r="J17" t="str">
        <f t="shared" ref="J17:J21" si="48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[Column(TypeName="datetime2(7)")]
		public virtual DateTime StartTime { get; set; }
</v>
      </c>
      <c r="K17" s="7"/>
      <c r="L17" t="str">
        <f t="shared" si="33"/>
        <v/>
      </c>
      <c r="M17" t="str">
        <f t="shared" ref="M17:M21" si="49">REPT(CHAR(9),2)&amp;"public virtual "&amp;IF(OR(H17="DateTime",H17="TimeSpan"),H17&amp;"?",H17)&amp;IF(C17="?","? "," ")&amp;D17&amp;" { get; set; }" &amp; "
"</f>
        <v xml:space="preserve">		public virtual DateTime? StartTime { get; set; }
</v>
      </c>
      <c r="N17" t="str">
        <f t="shared" ref="N17:N21" si="50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StartTime { get; set; }
</v>
      </c>
      <c r="O17" t="str">
        <f t="shared" ref="O17:O21" si="51">IF(OR(H17="string",H17="DateTime",H17="int"),REPT(CHAR(9),2)&amp;"public virtual "&amp;IF(OR(H17="DateTime",H17="TimeSpan"),H17&amp;"?",H17)&amp;IF(C17="?","? "," ")&amp;D17&amp;" { get; set; }"&amp;$E$3,"")</f>
        <v xml:space="preserve">		public virtual DateTime? StartTime { get; set; }
</v>
      </c>
      <c r="P17" t="str">
        <f t="shared" ref="P17:P21" si="52">REPT(CHAR(9),7)&amp;D17&amp;" = o." &amp;D17 &amp;","</f>
        <v xml:space="preserve">							StartTime = o.StartTime,</v>
      </c>
      <c r="T17" s="69" t="str">
        <f t="shared" ref="T17:T21" si="53">REPT(CHAR(9),8)&amp;"("""&amp;D17&amp;"""),"</f>
        <v xml:space="preserve">								("StartTime"),</v>
      </c>
      <c r="V17" s="70" t="str">
        <f t="shared" ref="V17:V21" si="54">REPT(CHAR(9),8)&amp;"_ =&gt; _."&amp;D17&amp;","</f>
        <v xml:space="preserve">								_ =&gt; _.StartTime,</v>
      </c>
      <c r="W17" s="69" t="str">
        <f t="shared" ref="W17:W21" si="55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.WhereIf(input.StartTime.HasValue, t =&gt; t.StartTime == input.StartTime.Value)</v>
      </c>
    </row>
    <row r="18" spans="1:23" customFormat="1" ht="22.5" customHeight="1" x14ac:dyDescent="0.25">
      <c r="A18" t="s">
        <v>320</v>
      </c>
      <c r="B18" t="s">
        <v>308</v>
      </c>
      <c r="C18" t="s">
        <v>1</v>
      </c>
      <c r="D18" t="str">
        <f t="shared" si="32"/>
        <v>FinishTime</v>
      </c>
      <c r="E18" t="str">
        <f t="shared" ref="E18" si="56">IFERROR(LEFT(B18, FIND("(",B18)-1),B18)</f>
        <v>datetime2</v>
      </c>
      <c r="F18" s="7" t="s">
        <v>308</v>
      </c>
      <c r="G18" t="str">
        <f t="shared" ref="G18" si="57">IFERROR(MID(B18,FIND("(",B18) +1, FIND(")",B18) - FIND("(",B18) - 1),"")</f>
        <v>7</v>
      </c>
      <c r="H18" t="str">
        <f>+VLOOKUP(E18,'Data Type Mapping'!A:B,2,)</f>
        <v>DateTime</v>
      </c>
      <c r="I18" t="str">
        <f t="shared" ref="I18" si="58">IF(H18="string",REPT(CHAR(9),2)&amp;"public const int Max"&amp;D18&amp;"Length = "&amp;G18&amp;";"&amp;$E$3,"" )</f>
        <v/>
      </c>
      <c r="J18" t="str">
        <f t="shared" ref="J18" si="5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 FinishTime { get; set; }
</v>
      </c>
      <c r="K18" s="7"/>
      <c r="L18" t="str">
        <f t="shared" si="33"/>
        <v/>
      </c>
      <c r="M18" t="str">
        <f t="shared" ref="M18" si="60">REPT(CHAR(9),2)&amp;"public virtual "&amp;IF(OR(H18="DateTime",H18="TimeSpan"),H18&amp;"?",H18)&amp;IF(C18="?","? "," ")&amp;D18&amp;" { get; set; }" &amp; "
"</f>
        <v xml:space="preserve">		public virtual DateTime? FinishTime { get; set; }
</v>
      </c>
      <c r="N18" t="str">
        <f t="shared" ref="N18" si="61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FinishTime { get; set; }
</v>
      </c>
      <c r="O18" t="str">
        <f t="shared" ref="O18" si="62">IF(OR(H18="string",H18="DateTime",H18="int"),REPT(CHAR(9),2)&amp;"public virtual "&amp;IF(OR(H18="DateTime",H18="TimeSpan"),H18&amp;"?",H18)&amp;IF(C18="?","? "," ")&amp;D18&amp;" { get; set; }"&amp;$E$3,"")</f>
        <v xml:space="preserve">		public virtual DateTime? FinishTime { get; set; }
</v>
      </c>
      <c r="P18" t="str">
        <f t="shared" ref="P18" si="63">REPT(CHAR(9),7)&amp;D18&amp;" = o." &amp;D18 &amp;","</f>
        <v xml:space="preserve">							FinishTime = o.FinishTime,</v>
      </c>
      <c r="T18" s="69" t="str">
        <f t="shared" ref="T18" si="64">REPT(CHAR(9),8)&amp;"("""&amp;D18&amp;"""),"</f>
        <v xml:space="preserve">								("FinishTime"),</v>
      </c>
      <c r="V18" s="70" t="str">
        <f t="shared" ref="V18" si="65">REPT(CHAR(9),8)&amp;"_ =&gt; _."&amp;D18&amp;","</f>
        <v xml:space="preserve">								_ =&gt; _.FinishTime,</v>
      </c>
      <c r="W18" s="69" t="str">
        <f t="shared" ref="W18" si="66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.WhereIf(input.FinishTime.HasValue, t =&gt; t.FinishTime == input.FinishTime.Value)</v>
      </c>
    </row>
    <row r="19" spans="1:23" customFormat="1" ht="22.5" customHeight="1" x14ac:dyDescent="0.25">
      <c r="A19" t="s">
        <v>327</v>
      </c>
      <c r="B19" t="s">
        <v>303</v>
      </c>
      <c r="C19" t="s">
        <v>1</v>
      </c>
      <c r="D19" t="str">
        <f t="shared" si="32"/>
        <v>LotNo</v>
      </c>
      <c r="E19" t="str">
        <f t="shared" ref="E19" si="67">IFERROR(LEFT(B19, FIND("(",B19)-1),B19)</f>
        <v>varchar</v>
      </c>
      <c r="F19" s="7"/>
      <c r="G19" t="str">
        <f t="shared" ref="G19" si="68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69">IF(H19="string",REPT(CHAR(9),2)&amp;"public const int Max"&amp;D19&amp;"Length = "&amp;G19&amp;";"&amp;$E$3,"" )</f>
        <v xml:space="preserve">		public const int MaxLotNoLength = 50;
</v>
      </c>
      <c r="J19" t="str">
        <f t="shared" ref="J19" si="7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[StringLength(MaxLotNoLength)]
		public virtual string LotNo { get; set; }
</v>
      </c>
      <c r="K19" s="7"/>
      <c r="L19" t="str">
        <f t="shared" si="33"/>
        <v/>
      </c>
      <c r="M19" t="str">
        <f t="shared" ref="M19" si="71">REPT(CHAR(9),2)&amp;"public virtual "&amp;IF(OR(H19="DateTime",H19="TimeSpan"),H19&amp;"?",H19)&amp;IF(C19="?","? "," ")&amp;D19&amp;" { get; set; }" &amp; "
"</f>
        <v xml:space="preserve">		public virtual string LotNo { get; set; }
</v>
      </c>
      <c r="N19" t="str">
        <f t="shared" ref="N19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[StringLength(LgwPikPickingProgressConsts.MaxLotNoLength)]
		public virtual string LotNo { get; set; }
</v>
      </c>
      <c r="O19" t="str">
        <f t="shared" ref="O19" si="73">IF(OR(H19="string",H19="DateTime",H19="int"),REPT(CHAR(9),2)&amp;"public virtual "&amp;IF(OR(H19="DateTime",H19="TimeSpan"),H19&amp;"?",H19)&amp;IF(C19="?","? "," ")&amp;D19&amp;" { get; set; }"&amp;$E$3,"")</f>
        <v xml:space="preserve">		public virtual string LotNo { get; set; }
</v>
      </c>
      <c r="P19" t="str">
        <f t="shared" ref="P19" si="74">REPT(CHAR(9),7)&amp;D19&amp;" = o." &amp;D19 &amp;","</f>
        <v xml:space="preserve">							LotNo = o.LotNo,</v>
      </c>
      <c r="T19" s="69" t="str">
        <f t="shared" ref="T19" si="75">REPT(CHAR(9),8)&amp;"("""&amp;D19&amp;"""),"</f>
        <v xml:space="preserve">								("LotNo"),</v>
      </c>
      <c r="V19" s="70" t="str">
        <f t="shared" ref="V19" si="76">REPT(CHAR(9),8)&amp;"_ =&gt; _."&amp;D19&amp;","</f>
        <v xml:space="preserve">								_ =&gt; _.LotNo,</v>
      </c>
      <c r="W19" s="69" t="str">
        <f t="shared" ref="W19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.WhereIf(!string.IsNullOrWhiteSpace(input.LotNo), e =&gt; e.LotNo.Contains(input.LotNo))</v>
      </c>
    </row>
    <row r="20" spans="1:23" customFormat="1" ht="22.5" customHeight="1" x14ac:dyDescent="0.25">
      <c r="A20" t="s">
        <v>328</v>
      </c>
      <c r="B20" t="s">
        <v>303</v>
      </c>
      <c r="C20" t="s">
        <v>1</v>
      </c>
      <c r="D20" t="str">
        <f t="shared" ref="D20" si="78">SUBSTITUTE(PROPER(A20),"_","")</f>
        <v>BodyNo</v>
      </c>
      <c r="E20" t="str">
        <f t="shared" ref="E20" si="79">IFERROR(LEFT(B20, FIND("(",B20)-1),B20)</f>
        <v>varchar</v>
      </c>
      <c r="F20" s="7"/>
      <c r="G20" t="str">
        <f t="shared" ref="G20" si="80">IFERROR(MID(B20,FIND("(",B20) +1, FIND(")",B20) - FIND("(",B20) - 1),"")</f>
        <v>50</v>
      </c>
      <c r="H20" t="str">
        <f>+VLOOKUP(E20,'Data Type Mapping'!A:B,2,)</f>
        <v>string</v>
      </c>
      <c r="I20" t="str">
        <f t="shared" ref="I20" si="81">IF(H20="string",REPT(CHAR(9),2)&amp;"public const int Max"&amp;D20&amp;"Length = "&amp;G20&amp;";"&amp;$E$3,"" )</f>
        <v xml:space="preserve">		public const int MaxBodyNoLength = 50;
</v>
      </c>
      <c r="J20" t="str">
        <f t="shared" ref="J20" si="82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[StringLength(MaxBodyNoLength)]
		public virtual string BodyNo { get; set; }
</v>
      </c>
      <c r="K20" s="7"/>
      <c r="L20" t="str">
        <f t="shared" ref="L20" si="83">IF(K20="","",REPT(CHAR(9),1)&amp;"[Index(nameof("&amp;IF(D20="","",""&amp;D20)&amp;")"&amp;", Name="&amp;"""IX_"&amp;$B$7&amp;"_"&amp;D20&amp;""")]")</f>
        <v/>
      </c>
      <c r="M20" t="str">
        <f t="shared" ref="M20" si="84">REPT(CHAR(9),2)&amp;"public virtual "&amp;IF(OR(H20="DateTime",H20="TimeSpan"),H20&amp;"?",H20)&amp;IF(C20="?","? "," ")&amp;D20&amp;" { get; set; }" &amp; "
"</f>
        <v xml:space="preserve">		public virtual string BodyNo { get; set; }
</v>
      </c>
      <c r="N20" t="str">
        <f t="shared" ref="N20" si="8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[StringLength(LgwPikPickingProgressConsts.MaxBodyNoLength)]
		public virtual string BodyNo { get; set; }
</v>
      </c>
      <c r="O20" t="str">
        <f t="shared" ref="O20" si="86">IF(OR(H20="string",H20="DateTime",H20="int"),REPT(CHAR(9),2)&amp;"public virtual "&amp;IF(OR(H20="DateTime",H20="TimeSpan"),H20&amp;"?",H20)&amp;IF(C20="?","? "," ")&amp;D20&amp;" { get; set; }"&amp;$E$3,"")</f>
        <v xml:space="preserve">		public virtual string BodyNo { get; set; }
</v>
      </c>
      <c r="P20" t="str">
        <f t="shared" ref="P20" si="87">REPT(CHAR(9),7)&amp;D20&amp;" = o." &amp;D20 &amp;","</f>
        <v xml:space="preserve">							BodyNo = o.BodyNo,</v>
      </c>
      <c r="T20" s="69" t="str">
        <f t="shared" ref="T20" si="88">REPT(CHAR(9),8)&amp;"("""&amp;D20&amp;"""),"</f>
        <v xml:space="preserve">								("BodyNo"),</v>
      </c>
      <c r="V20" s="70" t="str">
        <f t="shared" ref="V20" si="89">REPT(CHAR(9),8)&amp;"_ =&gt; _."&amp;D20&amp;","</f>
        <v xml:space="preserve">								_ =&gt; _.BodyNo,</v>
      </c>
      <c r="W20" s="69" t="str">
        <f t="shared" ref="W20" si="90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.WhereIf(!string.IsNullOrWhiteSpace(input.BodyNo), e =&gt; e.BodyNo.Contains(input.BodyNo))</v>
      </c>
    </row>
    <row r="21" spans="1:23" customFormat="1" ht="21" customHeight="1" x14ac:dyDescent="0.25">
      <c r="A21" t="s">
        <v>302</v>
      </c>
      <c r="B21" t="s">
        <v>303</v>
      </c>
      <c r="C21" t="s">
        <v>1</v>
      </c>
      <c r="D21" t="str">
        <f t="shared" ref="D21" si="91">SUBSTITUTE(PROPER(A21),"_","")</f>
        <v>IsActive</v>
      </c>
      <c r="E21" t="str">
        <f t="shared" si="45"/>
        <v>varchar</v>
      </c>
      <c r="F21" s="7"/>
      <c r="G21" t="str">
        <f t="shared" si="46"/>
        <v>50</v>
      </c>
      <c r="H21" t="str">
        <f>+VLOOKUP(E21,'Data Type Mapping'!A:B,2,)</f>
        <v>string</v>
      </c>
      <c r="I21" t="str">
        <f t="shared" si="47"/>
        <v xml:space="preserve">		public const int MaxIsActiveLength = 50;
</v>
      </c>
      <c r="J21" t="str">
        <f t="shared" si="48"/>
        <v xml:space="preserve">		[StringLength(MaxIsActiveLength)]
		public virtual string IsActive { get; set; }
</v>
      </c>
      <c r="K21" s="7" t="s">
        <v>206</v>
      </c>
      <c r="L21" t="str">
        <f t="shared" ref="L21" si="92">IF(K21="","",REPT(CHAR(9),1)&amp;"[Index(nameof("&amp;IF(D21="","",""&amp;D21)&amp;")"&amp;", Name="&amp;"""IX_"&amp;$B$7&amp;"_"&amp;D21&amp;""")]")</f>
        <v xml:space="preserve">	[Index(nameof(IsActive), Name="IX_LgwPikPickingProgress_IsActive")]</v>
      </c>
      <c r="M21" t="str">
        <f t="shared" si="49"/>
        <v xml:space="preserve">		public virtual string IsActive { get; set; }
</v>
      </c>
      <c r="N21" t="str">
        <f t="shared" si="50"/>
        <v xml:space="preserve">		[StringLength(LgwPikPickingProgressConsts.MaxIsActiveLength)]
		public virtual string IsActive { get; set; }
</v>
      </c>
      <c r="O21" t="str">
        <f t="shared" si="51"/>
        <v xml:space="preserve">		public virtual string IsActive { get; set; }
</v>
      </c>
      <c r="P21" t="str">
        <f t="shared" si="52"/>
        <v xml:space="preserve">							IsActive = o.IsActive,</v>
      </c>
      <c r="T21" s="69" t="str">
        <f t="shared" si="53"/>
        <v xml:space="preserve">								("IsActive"),</v>
      </c>
      <c r="V21" s="70" t="str">
        <f t="shared" si="54"/>
        <v xml:space="preserve">								_ =&gt; _.IsActive,</v>
      </c>
      <c r="W21" s="69" t="str">
        <f t="shared" si="55"/>
        <v xml:space="preserve">				.WhereIf(!string.IsNullOrWhiteSpace(input.IsActive), e =&gt; e.IsActive.Contains(input.IsActive))</v>
      </c>
    </row>
    <row r="23" spans="1:23" ht="45.75" customHeight="1" x14ac:dyDescent="0.25">
      <c r="H23" s="12"/>
      <c r="I23" s="34" t="str">
        <f ca="1">TEXTJOIN2("
", TRUE,INDIRECT( $H$1):INDIRECT( $H$3))</f>
        <v xml:space="preserve">		public const int MaxPickingTabletIdLength = 50;
		public const int MaxProdLineLength = 50;
		public const int MaxProcessCodeLength = 50;
		public const int MaxProcessGroupLength = 50;
		public const int MaxShiftLength = 50;
		public const int MaxLotNoLength = 50;
		public const int MaxBodyNoLength = 50;
		public const int MaxIsActiveLength = 50;
</v>
      </c>
      <c r="J23" s="33" t="str">
        <f ca="1">TEXTJOIN2("
", TRUE,INDIRECT( $F$1):INDIRECT( $F$3))</f>
        <v xml:space="preserve">		[StringLength(MaxPickingTabletIdLength)]
		public virtual string PickingTabletId { get; set; }
		[StringLength(MaxProdLineLength)]
		public virtual string ProdLine { get; set; }
		[StringLength(MaxProcessCodeLength)]
		public virtual string ProcessCode { get; set; }
		[StringLength(MaxProcessGroupLength)]
		public virtual string ProcessGroup { get; set; }
		public virtual int SeqNo { get; set; }
		[Column(TypeName="date")]
		public virtual DateTime WorkingDate { get; set; }
		[StringLength(MaxShiftLength)]
		public virtual string Shift { get; set; }
		[Column(TypeName="datetime2(7)")]
		public virtual DateTime TaktStartTime { get; set; }
		[Column(TypeName="datetime2(7)")]
		public virtual DateTime StartTime { get; set; }
		[Column(TypeName="datetime2(7)")]
		public virtual DateTime FinishTime { get; set; }
		[StringLength(MaxLotNoLength)]
		public virtual string LotNo { get; set; }
		[StringLength(MaxBodyNoLength)]
		public virtual string BodyNo { get; set; }
		[StringLength(MaxIsActiveLength)]
		public virtual string IsActive { get; set; }
</v>
      </c>
      <c r="K23" s="35" t="str">
        <f ca="1">TEXTJOIN2("
", TRUE,INDIRECT( $J$1):INDIRECT( $J$3))</f>
        <v xml:space="preserve">	[Index(nameof(PickingTabletId), Name="IX_LgwPikPickingProgress_PickingTabletId")]
	[Index(nameof(ProdLine), Name="IX_LgwPikPickingProgress_ProdLine")]
	[Index(nameof(ProcessCode), Name="IX_LgwPikPickingProgress_ProcessCode")]
	[Index(nameof(WorkingDate), Name="IX_LgwPikPickingProgress_WorkingDate")]
	[Index(nameof(Shift), Name="IX_LgwPikPickingProgress_Shift")]
	[Index(nameof(IsActive), Name="IX_LgwPikPickingProgress_IsActive")]</v>
      </c>
      <c r="L23" s="13" t="s">
        <v>60</v>
      </c>
      <c r="M23" s="36" t="str">
        <f ca="1">TEXTJOIN2("
",TRUE,INDIRECT( $L$1):INDIRECT($L$3))</f>
        <v xml:space="preserve">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</v>
      </c>
      <c r="N23" s="33" t="str">
        <f ca="1">TEXTJOIN2("
",TRUE,INDIRECT( $M$1):INDIRECT($M$3))</f>
        <v xml:space="preserve">		[StringLength(LgwPikPickingProgressConsts.MaxPickingTabletIdLength)]
		public virtual string PickingTabletId { get; set; }
		[StringLength(LgwPikPickingProgressConsts.MaxProdLineLength)]
		public virtual string ProdLine { get; set; }
		[StringLength(LgwPikPickingProgressConsts.MaxProcessCodeLength)]
		public virtual string ProcessCode { get; set; }
		[StringLength(LgwPikPickingProgressConsts.MaxProcessGroupLength)]
		public virtual string ProcessGroup { get; set; }
		public virtual int SeqNo { get; set; }
		public virtual DateTime? WorkingDate { get; set; }
		[StringLength(LgwPikPickingProgressConsts.MaxShiftLength)]
		public virtual string Shift { get; set; }
		public virtual DateTime? TaktStartTime { get; set; }
		public virtual DateTime? StartTime { get; set; }
		public virtual DateTime? FinishTime { get; set; }
		[StringLength(LgwPikPickingProgressConsts.MaxLotNoLength)]
		public virtual string LotNo { get; set; }
		[StringLength(LgwPikPickingProgressConsts.MaxBodyNoLength)]
		public virtual string BodyNo { get; set; }
		[StringLength(LgwPikPickingProgressConsts.MaxIsActiveLength)]
		public virtual string IsActive { get; set; }
</v>
      </c>
      <c r="O23" s="33" t="str">
        <f ca="1">TEXTJOIN2("
",TRUE,INDIRECT( $N$1):INDIRECT($N$3))</f>
        <v xml:space="preserve">		public virtual string PickingTabletId { get; set; }
		public virtual string ProdLine { get; set; }
		public virtual string ProcessCode { get; set; }
		public virtual string ProcessGroup { get; set; }
		public virtual int SeqNo { get; set; }
		public virtual DateTime? WorkingDate { get; set; }
		public virtual string Shift { get; set; }
		public virtual DateTime? TaktStartTime { get; set; }
		public virtual DateTime? StartTime { get; set; }
		public virtual DateTime? FinishTime { get; set; }
		public virtual string LotNo { get; set; }
		public virtual string BodyNo { get; set; }
		public virtual string IsActive { get; set; }
</v>
      </c>
      <c r="P23" s="9" t="str">
        <f ca="1">TEXTJOIN2("
",TRUE,INDIRECT( $O$1):INDIRECT($O$3))</f>
        <v xml:space="preserve">							PickingTabletId = o.PickingTabletId,
							ProdLine = o.ProdLine,
							ProcessCode = o.ProcessCode,
							ProcessGroup = o.ProcessGroup,
							SeqNo = o.SeqNo,
							WorkingDate = o.WorkingDate,
							Shift = o.Shift,
							TaktStartTime = o.TaktStartTime,
							StartTime = o.StartTime,
							FinishTime = o.FinishTime,
							LotNo = o.LotNo,
							BodyNo = o.BodyNo,
							IsActive = o.IsActive,</v>
      </c>
      <c r="T23" s="9" t="str">
        <f ca="1">TEXTJOIN2("
",TRUE,INDIRECT( $T$2):INDIRECT($T$3))</f>
        <v xml:space="preserve">								("PickingTabletId"),
								("ProdLine"),
								("ProcessCode"),
								("ProcessGroup"),
								("SeqNo"),
								("WorkingDate"),
								("Shift"),
								("TaktStartTime"),
								("StartTime"),
								("FinishTime"),
								("LotNo"),
								("BodyNo"),
								("IsActive"),</v>
      </c>
      <c r="V23" s="9" t="str">
        <f ca="1">TEXTJOIN2("
",TRUE,INDIRECT( $V$2):INDIRECT($V$3))</f>
        <v xml:space="preserve">								_ =&gt; _.PickingTabletId,
								_ =&gt; _.ProdLine,
								_ =&gt; _.ProcessCode,
								_ =&gt; _.ProcessGroup,
								_ =&gt; _.SeqNo,
								_ =&gt; _.WorkingDate,
								_ =&gt; _.Shift,
								_ =&gt; _.TaktStartTime,
								_ =&gt; _.StartTime,
								_ =&gt; _.FinishTime,
								_ =&gt; _.LotNo,
								_ =&gt; _.BodyNo,
								_ =&gt; _.IsActive,</v>
      </c>
      <c r="W23" s="9" t="str">
        <f ca="1">TEXTJOIN2("
",TRUE,INDIRECT( $W$2):INDIRECT($W$3))</f>
        <v xml:space="preserve">				.WhereIf(!string.IsNullOrWhiteSpace(input.PickingTabletId), e =&gt; e.PickingTabletId.Contains(input.PickingTabletId))
				.WhereIf(!string.IsNullOrWhiteSpace(input.ProdLine), e =&gt; e.ProdLine.Contains(input.ProdLine))
				.WhereIf(!string.IsNullOrWhiteSpace(input.ProcessCode), e =&gt; e.ProcessCode.Contains(input.ProcessCode))
				.WhereIf(!string.IsNullOrWhiteSpace(input.ProcessGroup), e =&gt; e.ProcessGroup.Contains(input.ProcessGroup))
				.WhereIf(input.WorkingDate.HasValue, t =&gt; t.WorkingDate == input.WorkingDate.Value)
				.WhereIf(!string.IsNullOrWhiteSpace(input.Shift), e =&gt; e.Shift.Contains(input.Shift))
				.WhereIf(input.TaktStartTime.HasValue, t =&gt; t.TaktStartTime == input.TaktStartTime.Value)
				.WhereIf(input.StartTime.HasValue, t =&gt; t.StartTime == input.StartTime.Value)
				.WhereIf(input.FinishTime.HasValue, t =&gt; t.FinishTime == input.FinishTime.Value)
				.WhereIf(!string.IsNullOrWhiteSpace(input.LotNo), e =&gt; e.LotNo.Contains(input.LotNo))
				.WhereIf(!string.IsNullOrWhiteSpace(input.BodyNo), e =&gt; e.BodyNo.Contains(input.BodyNo))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workbookViewId="0">
      <selection activeCell="C26" sqref="C2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Pik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pik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LgwPikPickingProgress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PickingProgress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pickingprogress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LgwPikPickingProgressDto, LgwPikPickingProgressServiceProxy } from '@shared/service-proxies/service-proxies';
import { finalize } from 'rxjs/internal/operators/finalize';
import { CreateOrEditPickingProgressModalComponent } from './create-or-edit-pickingprogress-modal.component';
import { DatePipe } from '@angular/common';
import { FileDownloadService } from '@shared/utils/file-download.service';
import ceil from 'lodash-es/ceil';
import { Paginator } from 'primeng/paginator';
@Component({
    templateUrl: './pickingprogress.component.html',
    styleUrls: ['./pickingprogress.component.less'],
})
export class PickingProgressComponent extends AppComponentBase implements OnInit {
    @ViewChild('createOrEditModalPickingProgress', { static: true }) createOrEditModalPickingProgress:| CreateOrEditPickingProgressModalComponent|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LgwPikPickingProgressDto = new LgwPikPickingProgressDto();
    saveSelectedRow: LgwPikPickingProgressDto = new LgwPikPickingProgressDto();
    datas: LgwPikPickingProgressDto = new LgwPikPickingProgressDto();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prodLine : string = '' ; 
	processCode : string = '' ; 
	processGroup : string = '' ; 
	seqNo : number = 0 ;
workingDate : any ;
	shift : string = '' ; 
	taktStartTime : any ;
startTime : any ;
finishTime : any ;
	lotNo : string = '' ; 
bodyNo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LgwPikPickingProgressServiceProxy,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this.l('Prod Line'),headerTooltip: this.l('Prod Line'),field: 'prodLine',flex: 1},
			{headerName: this.l('Process Code'),headerTooltip: this.l('Process Code'),field: 'processCode',flex: 1},
			{headerName: this.l('Process Group'),headerTooltip: this.l('Process Group'),field: 'processGroup',flex: 1},
			{headerName: this.l('Seq No'),headerTooltip: this.l('Seq No'),field: 'seqNo',flex: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this.l('Takt Start Time'),headerTooltip: this.l('Takt Start Time'),field: 'taktStartTime',valueGetter: (params) =&gt; this.pipe.transform(params.data?.taktStartTime, 'dd/MM/yyyy'),flex: 1},
			{headerName: this.l('Start Time'),headerTooltip: this.l('Start Time'),field: 'startTime',valueGetter: (params) =&gt; this.pipe.transform(params.data?.startTime, 'dd/MM/yyyy'),flex: 1},
			{headerName: this.l('Finish Time'),headerTooltip: this.l('Finish Time'),field: 'finishTime',valueGetter: (params) =&gt; this.pipe.transform(params.data?.finishTime, 'dd/MM/yyyy'),flex: 1},
			{headerName: this.l('Lot No'),headerTooltip: this.l('Lot No'),field: 'lotNo',flex: 1},
			{headerName: this.l('Body No'),headerTooltip: this.l('Body No'),field: 'bodyNo',flex: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this.prodLine,
			this.processCode,
			this.processGroup,
			this.seqNo,
			this.workingDate,
			this.shift,
			this.taktStartTime,
			this.startTime,
			this.finishTime,
			this.lotNo,
			this.bodyNo,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this.prodLine = '',
		this.processCode = '',
		this.processGroup = '',
		this.seqNo = 0,
this.workingDate = '',
		this.shift = '',
		this.taktStartTime = '',
this.startTime = '',
this.finishTime = '',
		this.lotNo = '',
this.bodyNo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this.prodLine,
			this.processCode,
			this.processGroup,
			this.seqNo,
			this.workingDate,
			this.shift,
			this.taktStartTime,
			this.startTime,
			this.finishTime,
			this.lotNo,
			this.bodyNo,
			this.isActive,
			'',
            this.paginationParams.skipCount,
            this.paginationParams.pageSize
        );
    }
    onChangeRowSelection(params: { api: { getSelectedRows: () =&gt; LgwPikPickingProgressDto[] } }) {
        this.saveSelectedRow = params.api.getSelectedRows()[0] ?? new LgwPikPickingProgressDto();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LgwPikPickingProgressDto):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this._service.getPickingProgressToExcel(
			this.pickingTabletId,
			this.prodLine,
			this.processCode,
			this.processGroup,
			this.seqNo,
			this.workingDate,
			this.shift,
			this.taktStartTime,
			this.startTime,
			this.finishTime,
			this.lotNo,
			this.bodyNo,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Picking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Start Time')" [(ngModel)]='taktStartTime' 
									name='taktStartTime'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Time')" [(ngModel)]='startTime' 
									name='startTime'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Time')" [(ngModel)]='finishTime' 
									name='finishTime'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&lt;create-or-edit-pickingprogress-modal
    #createOrEditModalPickingProgress
    (modalSave)="callBackDataGrid(dataParams)"
    (modalClose)="onChangeRowSelection(dataParams)"
&gt;
&lt;/create-or-edit-pickingprogress-modal&gt;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#createOrEditModalPickingProgress="bs-modal"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PickingProgress')}}&lt;/h3&gt;
                    &lt;h3 *ngIf="!rowdata.id"&gt;{{('Create New PickingProgress')}}&lt;/h3&gt;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title'&gt;Seq No&lt;/label&gt;
						&lt;input type='number' class='col-md-10 form-control input-text' name='SeqNo' [(ngModel)]='rowdata.seqNo'&gt;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title'&gt;Takt Start Time&lt;/label&gt;
						&lt;input type='text' class='col-md-10 form-control input-text' name='taktStartTime' 
						#datepicker='bsDatepicker' [(ngModel)]='rowdata.taktStartTime'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CreateOrEditLgwPikPickingProgressDto, LgwPikPickingProgressServiceProxy } from '@shared/service-proxies/service-proxies';
import { BsDatepickerDirective } from 'ngx-bootstrap/datepicker';
@Component({
    selector: 'create-or-edit-pickingprogress-modal',
    templateUrl: './create-or-edit-pickingprogress-modal.component.html',
    styleUrls: ['./create-or-edit-pickingprogress-modal.component.less']
    })
export class CreateOrEditPickingProgressModalComponent extends AppComponentBase {
    @ViewChild('createOrEditModalPickingProgress',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CreateOrEditLgwPikPickingProgressDto = new CreateOrEditLgwPikPickingProgressDto();
    active: boolean = false;
    saving: boolean = false;
    _: boolean;
    constructor(
        injector: Injector,
        private _mstwptPickingProgressService: LgwPikPickingProgressServiceProxy,
    ) 
    {
        super(injector);
    }
    show(rowdata?: CreateOrEditLgwPikPickingProgressDto): void {
        if (!rowdata) this.rowdata = new CreateOrEditLgwPikPickingProgressDto();
        else this.rowdata = rowdata;
		const dateValue =  this.rowdata.workingDate ? new Date(this.rowdata.workingDate?.toString()) : new Date();
		this.datepicker?.bsValueChange.emit(dateValue);
		const dateValue =  this.rowdata.taktStartTime ? new Date(this.rowdata.taktStartTime?.toString()) : new Date();
		this.datepicker?.bsValueChange.emit(dateValue);
		const dateValue =  this.rowdata.startTime ? new Date(this.rowdata.startTime?.toString()) : new Date();
		this.datepicker?.bsValueChange.emit(dateValue);
		const dateValue =  this.rowdata.finishTime ? new Date(this.rowdata.finishTime?.toString())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this._mstwptPickingProgressService.createOrEdit(this.rowdata)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PickingProgressRoutingModule } from './pickingprogress-routing.module';
import { PickingProgressComponent } from './pickingprogress.component';
import { CreateOrEditPickingProgressModalComponent } from './create-or-edit-pickingprogress-modal.component';
@NgModule({
    declarations: [
       PickingProgressComponent, 
        CreateOrEditPickingProgressModalComponent
    ],
    imports: [
        AppSharedModule, PickingProgressRoutingModule]
})
export class PickingProgressModule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PickingProgressComponent } from './pickingprogress.component';
const routes: Routes = [{
    path: '',
    component: PickingProgressComponent,
    pathMatch: 'full'
}];
@NgModule({
    imports: [RouterModule.forChild(routes)],
    exports: [RouterModule],
})
export class PickingProgressRoutingModule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AppMenuItem("PickingProgress", "Pages.LogW.Pik.PickingProgress", "flaticon-book",   "/app/main/logw/pik/pickingprogress"),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'logw/pik/pickingprogress',
    loadChildren: () =&gt; import('./logw/pik/pickingprogress/pickingprogress.module').then(m =&gt; m.PickingProgressModule),
    data: { permission: 'Pages.LogW.Pik.PickingProgress' }
},</v>
      </c>
      <c r="R10" s="50" t="str">
        <f>SUBSTITUTE(R9,"MstWptCalendar",$B$6)</f>
        <v>ApiServiceProxies.LgwPikPickingProgressServiceProxy,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H27</v>
      </c>
      <c r="I12" s="31" t="str">
        <f>"I"&amp;COUNTA($A:$A)</f>
        <v>I27</v>
      </c>
      <c r="J12" s="31"/>
      <c r="K12" s="31" t="str">
        <f>"K"&amp;COUNTA($A:$A)</f>
        <v>K27</v>
      </c>
      <c r="L12" s="31" t="str">
        <f>"L"&amp;COUNTA($A:$A)</f>
        <v>L27</v>
      </c>
      <c r="M12" s="31"/>
      <c r="N12" s="31"/>
      <c r="O12" s="31"/>
      <c r="P12" s="31"/>
      <c r="Q12" s="31"/>
      <c r="R12" s="31"/>
      <c r="S12" s="31" t="str">
        <f>"S"&amp;COUNTA($A:$A)</f>
        <v>S27</v>
      </c>
      <c r="T12" s="31" t="str">
        <f>"T"&amp;COUNTA($A:$A)</f>
        <v>T27</v>
      </c>
      <c r="U12" s="31" t="str">
        <f>"U"&amp;COUNTA($A:$A)</f>
        <v>U27</v>
      </c>
      <c r="V12" s="31" t="str">
        <f>"V"&amp;COUNTA($A:$A)</f>
        <v>V27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this.l('Picking Tablet Id'),headerTooltip: this.l('Picking Tablet Id'),field: 'pickingTabletId',flex: 1},
			{headerName: this.l('Prod Line'),headerTooltip: this.l('Prod Line'),field: 'prodLine',flex: 1},
			{headerName: this.l('Process Code'),headerTooltip: this.l('Process Code'),field: 'processCode',flex: 1},
			{headerName: this.l('Process Group'),headerTooltip: this.l('Process Group'),field: 'processGroup',flex: 1},
			{headerName: this.l('Seq No'),headerTooltip: this.l('Seq No'),field: 'seqNo',flex: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this.l('Takt Start Time'),headerTooltip: this.l('Takt Start Time'),field: 'taktStartTime',valueGetter: (params) =&gt; this.pipe.transform(params.data?.taktStartTime, 'dd/MM/yyyy'),flex: 1},
			{headerName: this.l('Start Time'),headerTooltip: this.l('Start Time'),field: 'startTime',valueGetter: (params) =&gt; this.pipe.transform(params.data?.startTime, 'dd/MM/yyyy'),flex: 1},
			{headerName: this.l('Finish Time'),headerTooltip: this.l('Finish Time'),field: 'finishTime',valueGetter: (params) =&gt; this.pipe.transform(params.data?.finishTime, 'dd/MM/yyyy'),flex: 1},
			{headerName: this.l('Lot No'),headerTooltip: this.l('Lot No'),field: 'lotNo',flex: 1},
			{headerName: this.l('Body No'),headerTooltip: this.l('Body No'),field: 'bodyNo',flex: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Start Time')" [(ngModel)]='taktStartTime' 
									name='taktStartTime'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Time')" [(ngModel)]='startTime' 
									name='startTime'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Time')" [(ngModel)]='finishTime' 
									name='finishTime'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title'&gt;Seq No&lt;/label&gt;
						&lt;input type='number' class='col-md-10 form-control input-text' name='SeqNo' [(ngModel)]='rowdata.seqNo'&gt;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title'&gt;Takt Start Time&lt;/label&gt;
						&lt;input type='text' class='col-md-10 form-control input-text' name='taktStartTime' 
						#datepicker='bsDatepicker' [(ngModel)]='rowdata.taktStartTime'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this.rowdata.taktStartTime ? new Date(this.rowdata.taktStartTime?.toString()) : new Date();
		this.datepicker?.bsValueChange.emit(dateValue);
		const dateValue =  this.rowdata.startTime ? new Date(this.rowdata.startTime?.toString()) : new Date();
		this.datepicker?.bsValueChange.emit(dateValue);
		const dateValue =  this.rowdata.finishTime ? new Date(this.rowdata.finishTime?.toString())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pickingTabletId : string = '' ; 
	prodLine : string = '' ; 
	processCode : string = '' ; 
	processGroup : string = '' ; 
	seqNo : number = 0 ;
workingDate : any ;
	shift : string = '' ; 
	taktStartTime : any ;
startTime : any ;
finishTime : any ;
	lotNo : string = '' ; 
bodyNo : string = '' ; 
	isActive : string = '' ; </v>
      </c>
      <c r="T13" s="68" t="str">
        <f ca="1">TEXTJOIN2("
",TRUE,INDIRECT(T11):INDIRECT(T12))</f>
        <v xml:space="preserve">			this.pickingTabletId,
			this.prodLine,
			this.processCode,
			this.processGroup,
			this.seqNo,
			this.workingDate,
			this.shift,
			this.taktStartTime,
			this.startTime,
			this.finishTime,
			this.lotNo,
			this.bodyNo,
			this.isActive,</v>
      </c>
      <c r="U13" s="68" t="str">
        <f ca="1">TEXTJOIN2("
",TRUE,INDIRECT(U11):INDIRECT(U12))</f>
        <v>this.pickingTabletId = '',
		this.prodLine = '',
		this.processCode = '',
		this.processGroup = '',
		this.seqNo = 0,
this.workingDate = '',
		this.shift = '',
		this.taktStartTime = '',
this.startTime = '',
this.finishTime = '',
		this.lotNo = '',
this.bodyNo = '',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pickingprogress.component.ts</v>
      </c>
      <c r="I14" s="40" t="str">
        <f>B8&amp;".component.html"</f>
        <v>pickingprogress.component.html</v>
      </c>
      <c r="J14" s="39" t="str">
        <f>B8&amp;".component.less"</f>
        <v>pickingprogress.component.less</v>
      </c>
      <c r="K14" s="40" t="str">
        <f>"create-or-edit-"&amp;B8&amp;"-modal.component.html"</f>
        <v>create-or-edit-pickingprogress-modal.component.html</v>
      </c>
      <c r="L14" s="40" t="str">
        <f>"create-or-edit-"&amp;B8&amp;"-modal.component.ts"</f>
        <v>create-or-edit-pickingprogress-modal.component.ts</v>
      </c>
      <c r="M14" s="40" t="str">
        <f>"create-or-edit-"&amp;B8&amp;"-modal.component.less"</f>
        <v>create-or-edit-pickingprogress-modal.component.less</v>
      </c>
      <c r="N14" s="40" t="str">
        <f>B8&amp;".module.ts"</f>
        <v>pickingprogress.module.ts</v>
      </c>
      <c r="O14" s="40" t="str">
        <f>B8&amp;"-routing.module.ts"</f>
        <v>pickingprogress-routing.module.ts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315</v>
      </c>
      <c r="B15" s="31" t="str">
        <f>SUBSTITUTE(PROPER(A15),"_","")</f>
        <v>PickingTabletId</v>
      </c>
      <c r="C15" s="31" t="str">
        <f>SUBSTITUTE(PROPER(A15),"_"," ")</f>
        <v>Picking Tablet Id</v>
      </c>
      <c r="D15" s="31" t="str">
        <f>LOWER(LEFT(B15,1))&amp;RIGHT(B15,LEN(B15) - 1)</f>
        <v>pickingTabletId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this.l('Picking Tablet Id'),headerTooltip: this.l('Picking Tablet Id'),field: 'pickingTabletId',flex: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pickingTabletId : string = '' ; </v>
      </c>
      <c r="T15" s="31" t="str">
        <f>REPT(CHAR(9),3)&amp;"this."&amp;D15&amp;","</f>
        <v xml:space="preserve">			this.pickingTabletId,</v>
      </c>
      <c r="U15" s="31" t="str">
        <f>IF(E15="int","this."&amp;D15&amp;" = 0,","this."&amp;D15&amp;" = '',")</f>
        <v>this.pickingTabletId = '',</v>
      </c>
      <c r="V15" s="31" t="str">
        <f>IF(AND(E15="string",F15="1"),D15,"")</f>
        <v/>
      </c>
    </row>
    <row r="16" spans="1:22" ht="15" customHeight="1" x14ac:dyDescent="0.25">
      <c r="A16" s="44" t="s">
        <v>318</v>
      </c>
      <c r="B16" s="31" t="str">
        <f t="shared" ref="B16:B17" si="0">SUBSTITUTE(PROPER(A16),"_","")</f>
        <v>ProdLine</v>
      </c>
      <c r="C16" s="31" t="str">
        <f t="shared" ref="C16:C17" si="1">SUBSTITUTE(PROPER(A16),"_"," ")</f>
        <v>Prod Line</v>
      </c>
      <c r="D16" s="31" t="str">
        <f t="shared" ref="D16:D17" si="2">LOWER(LEFT(B16,1))&amp;RIGHT(B16,LEN(B16) - 1)</f>
        <v>prodLine</v>
      </c>
      <c r="E16" s="31" t="str">
        <f>A.Backend!H10</f>
        <v>string</v>
      </c>
      <c r="F16" s="31" t="str">
        <f>A.Backend!G10</f>
        <v>50</v>
      </c>
      <c r="G16" s="31" t="str">
        <f t="shared" ref="G16:G17" si="3">IF(E16="string"," : string = '' ; ",IF(OR(E16="DateTime",E16="TimeSpan")," : any ;",IF(E16="int"," : number = 0 ;","")))</f>
        <v xml:space="preserve"> : string = '' ; </v>
      </c>
      <c r="H16" s="38" t="str">
        <f t="shared" ref="H16:H17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 Line'),headerTooltip: this.l('Prod Line'),field: 'prodLine',flex: 1},</v>
      </c>
      <c r="I16" s="38" t="str">
        <f t="shared" ref="I16:I17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6" s="31"/>
      <c r="K16" s="38" t="str">
        <f t="shared" ref="K16:K17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6" s="60" t="str">
        <f t="shared" ref="L16:L17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prodLine : string = '' ; </v>
      </c>
      <c r="T16" s="31" t="str">
        <f>REPT(CHAR(9),3)&amp;"this."&amp;D16&amp;","</f>
        <v xml:space="preserve">			this.prodLine,</v>
      </c>
      <c r="U16" s="31" t="str">
        <f>IF(E16="int",REPT(CHAR(9),2)&amp;"this."&amp;D16&amp;" = 0,",REPT(CHAR(9),2)&amp;"this."&amp;D16&amp;" = '',")</f>
        <v xml:space="preserve">		this.prodLine = '',</v>
      </c>
      <c r="V16" s="31" t="str">
        <f t="shared" ref="V16:V17" si="8">IF(AND(E16="string",F16="1"),D16,"")</f>
        <v/>
      </c>
    </row>
    <row r="17" spans="1:22" ht="18" customHeight="1" x14ac:dyDescent="0.25">
      <c r="A17" s="44" t="s">
        <v>316</v>
      </c>
      <c r="B17" s="31" t="str">
        <f t="shared" si="0"/>
        <v>ProcessCode</v>
      </c>
      <c r="C17" s="31" t="str">
        <f t="shared" si="1"/>
        <v>Process Code</v>
      </c>
      <c r="D17" s="31" t="str">
        <f t="shared" si="2"/>
        <v>processCode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this.l('Process Code'),headerTooltip: this.l('Process Code'),field: 'processCode',flex: 1},</v>
      </c>
      <c r="I17" s="38" t="str">
        <f t="shared" si="5"/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" si="9">REPT(CHAR(9),1)&amp;D17&amp;G17</f>
        <v xml:space="preserve">	processCode : string = '' ; </v>
      </c>
      <c r="T17" s="31" t="str">
        <f t="shared" ref="T17" si="10">REPT(CHAR(9),3)&amp;"this."&amp;D17&amp;","</f>
        <v xml:space="preserve">			this.processCode,</v>
      </c>
      <c r="U17" s="31" t="str">
        <f t="shared" ref="U17" si="11">IF(E17="int",REPT(CHAR(9),2)&amp;"this."&amp;D17&amp;" = 0,",REPT(CHAR(9),2)&amp;"this."&amp;D17&amp;" = '',")</f>
        <v xml:space="preserve">		this.processCode = '',</v>
      </c>
      <c r="V17" s="31" t="str">
        <f t="shared" si="8"/>
        <v/>
      </c>
    </row>
    <row r="18" spans="1:22" ht="18" customHeight="1" x14ac:dyDescent="0.25">
      <c r="A18" s="44" t="s">
        <v>317</v>
      </c>
      <c r="B18" s="31" t="str">
        <f>SUBSTITUTE(PROPER(A18),"_","")</f>
        <v>ProcessGroup</v>
      </c>
      <c r="C18" s="31" t="str">
        <f>SUBSTITUTE(PROPER(A18),"_"," ")</f>
        <v>Process Group</v>
      </c>
      <c r="D18" s="31" t="str">
        <f>LOWER(LEFT(B18,1))&amp;RIGHT(B18,LEN(B18) - 1)</f>
        <v>processGroup</v>
      </c>
      <c r="E18" s="31" t="str">
        <f>A.Backend!H12</f>
        <v>string</v>
      </c>
      <c r="F18" s="31" t="str">
        <f>A.Backend!G12</f>
        <v>50</v>
      </c>
      <c r="G18" s="31" t="str">
        <f t="shared" ref="G18:G19" si="12">IF(E18="string"," : string = '' ; ",IF(OR(E18="DateTime",E18="TimeSpan")," : any ;",IF(E18="int"," : number = 0 ;","")))</f>
        <v xml:space="preserve"> : string = '' ; </v>
      </c>
      <c r="H18" s="38" t="str">
        <f t="shared" ref="H18:H19" si="1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this.l('Process Group'),headerTooltip: this.l('Process Group'),field: 'processGroup',flex: 1},</v>
      </c>
      <c r="I18" s="38" t="str">
        <f t="shared" ref="I18:I19" si="1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8" s="31"/>
      <c r="K18" s="38" t="str">
        <f t="shared" ref="K18:K19" si="1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8" s="60" t="str">
        <f t="shared" ref="L18:L19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:S19" si="17">REPT(CHAR(9),1)&amp;D18&amp;G18</f>
        <v xml:space="preserve">	processGroup : string = '' ; </v>
      </c>
      <c r="T18" s="31" t="str">
        <f t="shared" ref="T18:T19" si="18">REPT(CHAR(9),3)&amp;"this."&amp;D18&amp;","</f>
        <v xml:space="preserve">			this.processGroup,</v>
      </c>
      <c r="U18" s="31" t="str">
        <f t="shared" ref="U18:U19" si="19">IF(E18="int",REPT(CHAR(9),2)&amp;"this."&amp;D18&amp;" = 0,",REPT(CHAR(9),2)&amp;"this."&amp;D18&amp;" = '',")</f>
        <v xml:space="preserve">		this.processGroup = '',</v>
      </c>
      <c r="V18" s="31" t="str">
        <f t="shared" ref="V18:V19" si="20">IF(AND(E18="string",F18="1"),D18,"")</f>
        <v/>
      </c>
    </row>
    <row r="19" spans="1:22" ht="15" customHeight="1" x14ac:dyDescent="0.25">
      <c r="A19" s="44" t="s">
        <v>321</v>
      </c>
      <c r="B19" s="31" t="str">
        <f t="shared" ref="B19" si="21">SUBSTITUTE(PROPER(A19),"_","")</f>
        <v>SeqNo</v>
      </c>
      <c r="C19" s="31" t="str">
        <f t="shared" ref="C19" si="22">SUBSTITUTE(PROPER(A19),"_"," ")</f>
        <v>Seq No</v>
      </c>
      <c r="D19" s="31" t="str">
        <f t="shared" ref="D19" si="23">LOWER(LEFT(B19,1))&amp;RIGHT(B19,LEN(B19) - 1)</f>
        <v>seqNo</v>
      </c>
      <c r="E19" s="31" t="str">
        <f>A.Backend!H13</f>
        <v>int</v>
      </c>
      <c r="F19" s="31" t="str">
        <f>A.Backend!G13</f>
        <v/>
      </c>
      <c r="G19" s="31" t="str">
        <f t="shared" si="12"/>
        <v xml:space="preserve"> : number = 0 ;</v>
      </c>
      <c r="H19" s="38" t="str">
        <f t="shared" si="13"/>
        <v xml:space="preserve">			{headerName: this.l('Seq No'),headerTooltip: this.l('Seq No'),field: 'seqNo',flex: 1},</v>
      </c>
      <c r="I19" s="38" t="str">
        <f t="shared" si="14"/>
        <v/>
      </c>
      <c r="J19" s="31"/>
      <c r="K19" s="38" t="str">
        <f t="shared" si="15"/>
        <v xml:space="preserve">					&lt;div class='col-md-12 form-group row'&gt;
						&lt;label class='col-md-2 form-control title'&gt;Seq No&lt;/label&gt;
						&lt;input type='number' class='col-md-10 form-control input-text' name='SeqNo' [(ngModel)]='rowdata.seqNo'&gt;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seqNo : number = 0 ;</v>
      </c>
      <c r="T19" s="31" t="str">
        <f t="shared" si="18"/>
        <v xml:space="preserve">			this.seqNo,</v>
      </c>
      <c r="U19" s="31" t="str">
        <f t="shared" si="19"/>
        <v xml:space="preserve">		this.seqNo = 0,</v>
      </c>
      <c r="V19" s="31" t="str">
        <f t="shared" si="20"/>
        <v/>
      </c>
    </row>
    <row r="20" spans="1:22" ht="18" customHeight="1" x14ac:dyDescent="0.25">
      <c r="A20" s="44" t="s">
        <v>322</v>
      </c>
      <c r="B20" s="31" t="str">
        <f>SUBSTITUTE(PROPER(A20),"_","")</f>
        <v>WorkingDate</v>
      </c>
      <c r="C20" s="31" t="str">
        <f>SUBSTITUTE(PROPER(A20),"_"," ")</f>
        <v>Working Date</v>
      </c>
      <c r="D20" s="31" t="str">
        <f>LOWER(LEFT(B20,1))&amp;RIGHT(B20,LEN(B20) - 1)</f>
        <v>workingDate</v>
      </c>
      <c r="E20" s="31" t="str">
        <f>A.Backend!H14</f>
        <v>DateTime</v>
      </c>
      <c r="F20" s="31" t="str">
        <f>A.Backend!G14</f>
        <v/>
      </c>
      <c r="G20" s="31" t="str">
        <f>IF(E20="string"," : string = '' ; ",IF(OR(E20="DateTime",E20="TimeSpan")," : any ;",IF(E20="int"," : number = 0 ;","")))</f>
        <v xml:space="preserve"> : any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>D20&amp;G20</f>
        <v>workingDate : any ;</v>
      </c>
      <c r="T20" s="31" t="str">
        <f>REPT(CHAR(9),3)&amp;"this."&amp;D20&amp;","</f>
        <v xml:space="preserve">			this.workingDate,</v>
      </c>
      <c r="U20" s="31" t="str">
        <f>IF(E20="int","this."&amp;D20&amp;" = 0,","this."&amp;D20&amp;" = '',")</f>
        <v>this.workingDate = '',</v>
      </c>
      <c r="V20" s="31" t="str">
        <f>IF(AND(E20="string",F20="1"),D20,"")</f>
        <v/>
      </c>
    </row>
    <row r="21" spans="1:22" ht="18" customHeight="1" x14ac:dyDescent="0.25">
      <c r="A21" s="44" t="s">
        <v>323</v>
      </c>
      <c r="B21" s="31" t="str">
        <f>SUBSTITUTE(PROPER(A21),"_","")</f>
        <v>Shift</v>
      </c>
      <c r="C21" s="31" t="str">
        <f>SUBSTITUTE(PROPER(A21),"_"," ")</f>
        <v>Shift</v>
      </c>
      <c r="D21" s="31" t="str">
        <f>LOWER(LEFT(B21,1))&amp;RIGHT(B21,LEN(B21) - 1)</f>
        <v>shift</v>
      </c>
      <c r="E21" s="31" t="str">
        <f>A.Backend!H15</f>
        <v>string</v>
      </c>
      <c r="F21" s="31" t="str">
        <f>A.Backend!G15</f>
        <v>50</v>
      </c>
      <c r="G21" s="31" t="str">
        <f t="shared" ref="G21:G22" si="24">IF(E21="string"," : string = '' ; ",IF(OR(E21="DateTime",E21="TimeSpan")," : any ;",IF(E21="int"," : number = 0 ;","")))</f>
        <v xml:space="preserve"> : string = '' ; </v>
      </c>
      <c r="H21" s="38" t="str">
        <f t="shared" ref="H21:H22" si="25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this.l('Shift'),headerTooltip: this.l('Shift'),field: 'shift',flex: 1},</v>
      </c>
      <c r="I21" s="38" t="str">
        <f t="shared" ref="I21:I22" si="26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21" s="31"/>
      <c r="K21" s="38" t="str">
        <f t="shared" ref="K21:K22" si="27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21" s="60" t="str">
        <f t="shared" ref="L21:L22" si="28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:S22" si="29">REPT(CHAR(9),1)&amp;D21&amp;G21</f>
        <v xml:space="preserve">	shift : string = '' ; </v>
      </c>
      <c r="T21" s="31" t="str">
        <f t="shared" ref="T21:T22" si="30">REPT(CHAR(9),3)&amp;"this."&amp;D21&amp;","</f>
        <v xml:space="preserve">			this.shift,</v>
      </c>
      <c r="U21" s="31" t="str">
        <f t="shared" ref="U21:U22" si="31">IF(E21="int",REPT(CHAR(9),2)&amp;"this."&amp;D21&amp;" = 0,",REPT(CHAR(9),2)&amp;"this."&amp;D21&amp;" = '',")</f>
        <v xml:space="preserve">		this.shift = '',</v>
      </c>
      <c r="V21" s="31" t="str">
        <f t="shared" ref="V21:V22" si="32">IF(AND(E21="string",F21="1"),D21,"")</f>
        <v/>
      </c>
    </row>
    <row r="22" spans="1:22" ht="15" customHeight="1" x14ac:dyDescent="0.25">
      <c r="A22" s="44" t="s">
        <v>325</v>
      </c>
      <c r="B22" s="31" t="str">
        <f t="shared" ref="B22" si="33">SUBSTITUTE(PROPER(A22),"_","")</f>
        <v>TaktStartTime</v>
      </c>
      <c r="C22" s="31" t="str">
        <f t="shared" ref="C22" si="34">SUBSTITUTE(PROPER(A22),"_"," ")</f>
        <v>Takt Start Time</v>
      </c>
      <c r="D22" s="31" t="str">
        <f t="shared" ref="D22" si="35">LOWER(LEFT(B22,1))&amp;RIGHT(B22,LEN(B22) - 1)</f>
        <v>taktStartTime</v>
      </c>
      <c r="E22" s="31" t="str">
        <f>A.Backend!H16</f>
        <v>DateTime</v>
      </c>
      <c r="F22" s="31" t="str">
        <f>A.Backend!G16</f>
        <v>7</v>
      </c>
      <c r="G22" s="31" t="str">
        <f t="shared" si="24"/>
        <v xml:space="preserve"> : any ;</v>
      </c>
      <c r="H22" s="38" t="str">
        <f t="shared" si="25"/>
        <v xml:space="preserve">			{headerName: this.l('Takt Start Time'),headerTooltip: this.l('Takt Start Time'),field: 'taktStartTime',valueGetter: (params) =&gt; this.pipe.transform(params.data?.taktStartTime, 'dd/MM/yyyy'),flex: 1},</v>
      </c>
      <c r="I22" s="38" t="str">
        <f t="shared" si="26"/>
        <v xml:space="preserve">								&lt;div class='input-search'&gt;
									&lt;input type='text' [placeholder]="l('Takt Start Time')" [(ngModel)]='taktStartTime' 
									name='taktStartTime'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27"/>
        <v xml:space="preserve">					&lt;div class='col-md-12 form-group row'&gt;
						&lt;label class='col-md-2 form-control title'&gt;Takt Start Time&lt;/label&gt;
						&lt;input type='text' class='col-md-10 form-control input-text' name='taktStartTime' 
						#datepicker='bsDatepicker' [(ngModel)]='rowdata.taktStartTime'  bsDatepicker &gt;
					&lt;/div&gt;</v>
      </c>
      <c r="L22" s="60" t="str">
        <f t="shared" si="28"/>
        <v xml:space="preserve">		const dateValue =  this.rowdata.taktStartTime ? new Date(this.rowdata.taktStartTime?.toString())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 t="shared" si="29"/>
        <v xml:space="preserve">	taktStartTime : any ;</v>
      </c>
      <c r="T22" s="31" t="str">
        <f t="shared" si="30"/>
        <v xml:space="preserve">			this.taktStartTime,</v>
      </c>
      <c r="U22" s="31" t="str">
        <f t="shared" si="31"/>
        <v xml:space="preserve">		this.taktStartTime = '',</v>
      </c>
      <c r="V22" s="31" t="str">
        <f t="shared" si="32"/>
        <v/>
      </c>
    </row>
    <row r="23" spans="1:22" ht="18" customHeight="1" x14ac:dyDescent="0.25">
      <c r="A23" s="44" t="s">
        <v>319</v>
      </c>
      <c r="B23" s="31" t="str">
        <f>SUBSTITUTE(PROPER(A23),"_","")</f>
        <v>StartTime</v>
      </c>
      <c r="C23" s="31" t="str">
        <f>SUBSTITUTE(PROPER(A23),"_"," ")</f>
        <v>Start Time</v>
      </c>
      <c r="D23" s="31" t="str">
        <f>LOWER(LEFT(B23,1))&amp;RIGHT(B23,LEN(B23) - 1)</f>
        <v>startTime</v>
      </c>
      <c r="E23" s="31" t="str">
        <f>A.Backend!H17</f>
        <v>DateTime</v>
      </c>
      <c r="F23" s="31" t="str">
        <f>A.Backend!G17</f>
        <v>7</v>
      </c>
      <c r="G23" s="31" t="str">
        <f>IF(E23="string"," : string = '' ; ",IF(OR(E23="DateTime",E23="TimeSpan")," : any ;",IF(E23="int"," : number = 0 ;","")))</f>
        <v xml:space="preserve"> : any ;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this.l('Start Time'),headerTooltip: this.l('Start Time'),field: 'startTime',valueGetter: (params) =&gt; this.pipe.transform(params.data?.startTime, 'dd/MM/yyyy'),flex: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type='text' [placeholder]="l('Start Time')" [(ngModel)]='startTime' 
									name='startTime'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 xml:space="preserve">		const dateValue =  this.rowdata.startTime ? new Date(this.rowdata.startTime?.toString())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>D23&amp;G23</f>
        <v>startTime : any ;</v>
      </c>
      <c r="T23" s="31" t="str">
        <f>REPT(CHAR(9),3)&amp;"this."&amp;D23&amp;","</f>
        <v xml:space="preserve">			this.startTime,</v>
      </c>
      <c r="U23" s="31" t="str">
        <f>IF(E23="int","this."&amp;D23&amp;" = 0,","this."&amp;D23&amp;" = '',")</f>
        <v>this.startTime = '',</v>
      </c>
      <c r="V23" s="31" t="str">
        <f>IF(AND(E23="string",F23="1"),D23,"")</f>
        <v/>
      </c>
    </row>
    <row r="24" spans="1:22" ht="18" customHeight="1" x14ac:dyDescent="0.25">
      <c r="A24" s="44" t="s">
        <v>320</v>
      </c>
      <c r="B24" s="31" t="str">
        <f>SUBSTITUTE(PROPER(A24),"_","")</f>
        <v>FinishTime</v>
      </c>
      <c r="C24" s="31" t="str">
        <f>SUBSTITUTE(PROPER(A24),"_"," ")</f>
        <v>Finish Time</v>
      </c>
      <c r="D24" s="31" t="str">
        <f>LOWER(LEFT(B24,1))&amp;RIGHT(B24,LEN(B24) - 1)</f>
        <v>finishTime</v>
      </c>
      <c r="E24" s="31" t="str">
        <f>A.Backend!H18</f>
        <v>DateTime</v>
      </c>
      <c r="F24" s="31" t="str">
        <f>A.Backend!G18</f>
        <v>7</v>
      </c>
      <c r="G24" s="31" t="str">
        <f>IF(E24="string"," : string = '' ; ",IF(OR(E24="DateTime",E24="TimeSpan")," : any ;",IF(E24="int"," : number = 0 ;","")))</f>
        <v xml:space="preserve"> : any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this.l('Finish Time'),headerTooltip: this.l('Finish Time'),field: 'finishTime',valueGetter: (params) =&gt; this.pipe.transform(params.data?.finishTime, 'dd/MM/yyyy'),flex: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type='text' [placeholder]="l('Finish Time')" [(ngModel)]='finishTime' 
									name='finishTime'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 xml:space="preserve">		const dateValue =  this.rowdata.finishTime ? new Date(this.rowdata.finishTime?.toString())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>D24&amp;G24</f>
        <v>finishTime : any ;</v>
      </c>
      <c r="T24" s="31" t="str">
        <f>REPT(CHAR(9),3)&amp;"this."&amp;D24&amp;","</f>
        <v xml:space="preserve">			this.finishTime,</v>
      </c>
      <c r="U24" s="31" t="str">
        <f>IF(E24="int","this."&amp;D24&amp;" = 0,","this."&amp;D24&amp;" = '',")</f>
        <v>this.finishTime = '',</v>
      </c>
      <c r="V24" s="31" t="str">
        <f>IF(AND(E24="string",F24="1"),D24,"")</f>
        <v/>
      </c>
    </row>
    <row r="25" spans="1:22" ht="15" customHeight="1" x14ac:dyDescent="0.25">
      <c r="A25" s="44" t="s">
        <v>327</v>
      </c>
      <c r="B25" s="31" t="str">
        <f t="shared" ref="B25" si="36">SUBSTITUTE(PROPER(A25),"_","")</f>
        <v>LotNo</v>
      </c>
      <c r="C25" s="31" t="str">
        <f t="shared" ref="C25" si="37">SUBSTITUTE(PROPER(A25),"_"," ")</f>
        <v>Lot No</v>
      </c>
      <c r="D25" s="31" t="str">
        <f t="shared" ref="D25" si="38">LOWER(LEFT(B25,1))&amp;RIGHT(B25,LEN(B25) - 1)</f>
        <v>lotNo</v>
      </c>
      <c r="E25" s="31" t="str">
        <f>A.Backend!H19</f>
        <v>string</v>
      </c>
      <c r="F25" s="31" t="str">
        <f>A.Backend!G19</f>
        <v>50</v>
      </c>
      <c r="G25" s="31" t="str">
        <f t="shared" ref="G25" si="39">IF(E25="string"," : string = '' ; ",IF(OR(E25="DateTime",E25="TimeSpan")," : any ;",IF(E25="int"," : number = 0 ;","")))</f>
        <v xml:space="preserve"> : string = '' ; </v>
      </c>
      <c r="H25" s="38" t="str">
        <f t="shared" ref="H25" si="40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this.l('Lot No'),headerTooltip: this.l('Lot No'),field: 'lotNo',flex: 1},</v>
      </c>
      <c r="I25" s="38" t="str">
        <f t="shared" ref="I25" si="41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5" s="31"/>
      <c r="K25" s="38" t="str">
        <f t="shared" ref="K25" si="42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5" s="60" t="str">
        <f t="shared" ref="L25" si="43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" si="44">REPT(CHAR(9),1)&amp;D25&amp;G25</f>
        <v xml:space="preserve">	lotNo : string = '' ; </v>
      </c>
      <c r="T25" s="31" t="str">
        <f t="shared" ref="T25" si="45">REPT(CHAR(9),3)&amp;"this."&amp;D25&amp;","</f>
        <v xml:space="preserve">			this.lotNo,</v>
      </c>
      <c r="U25" s="31" t="str">
        <f t="shared" ref="U25" si="46">IF(E25="int",REPT(CHAR(9),2)&amp;"this."&amp;D25&amp;" = 0,",REPT(CHAR(9),2)&amp;"this."&amp;D25&amp;" = '',")</f>
        <v xml:space="preserve">		this.lotNo = '',</v>
      </c>
      <c r="V25" s="31" t="str">
        <f t="shared" ref="V25" si="47">IF(AND(E25="string",F25="1"),D25,"")</f>
        <v/>
      </c>
    </row>
    <row r="26" spans="1:22" ht="18" customHeight="1" x14ac:dyDescent="0.25">
      <c r="A26" s="44" t="s">
        <v>328</v>
      </c>
      <c r="B26" s="31" t="str">
        <f>SUBSTITUTE(PROPER(A26),"_","")</f>
        <v>BodyNo</v>
      </c>
      <c r="C26" s="31" t="str">
        <f>SUBSTITUTE(PROPER(A26),"_"," ")</f>
        <v>Body No</v>
      </c>
      <c r="D26" s="31" t="str">
        <f>LOWER(LEFT(B26,1))&amp;RIGHT(B26,LEN(B26) - 1)</f>
        <v>bodyNo</v>
      </c>
      <c r="E26" s="31" t="str">
        <f>A.Backend!H20</f>
        <v>string</v>
      </c>
      <c r="F26" s="31" t="str">
        <f>A.Backend!G20</f>
        <v>50</v>
      </c>
      <c r="G26" s="31" t="str">
        <f>IF(E26="string"," : string = '' ; ",IF(OR(E26="DateTime",E26="TimeSpan")," : any ;",IF(E26="int"," : number = 0 ;","")))</f>
        <v xml:space="preserve"> : string = '' ; </v>
      </c>
      <c r="H26" s="38" t="str">
        <f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this.l('Body No'),headerTooltip: this.l('Body No'),field: 'bodyNo',flex: 1},</v>
      </c>
      <c r="I26" s="38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26" s="31"/>
      <c r="K26" s="38" t="str">
        <f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26" s="60" t="str">
        <f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D26&amp;G26</f>
        <v xml:space="preserve">bodyNo : string = '' ; </v>
      </c>
      <c r="T26" s="31" t="str">
        <f>REPT(CHAR(9),3)&amp;"this."&amp;D26&amp;","</f>
        <v xml:space="preserve">			this.bodyNo,</v>
      </c>
      <c r="U26" s="31" t="str">
        <f>IF(E26="int","this."&amp;D26&amp;" = 0,","this."&amp;D26&amp;" = '',")</f>
        <v>this.bodyNo = '',</v>
      </c>
      <c r="V26" s="31" t="str">
        <f>IF(AND(E26="string",F26="1"),D26,"")</f>
        <v/>
      </c>
    </row>
    <row r="27" spans="1:22" ht="15" customHeight="1" x14ac:dyDescent="0.25">
      <c r="A27" s="44" t="s">
        <v>302</v>
      </c>
      <c r="B27" s="31" t="str">
        <f t="shared" ref="B27" si="48">SUBSTITUTE(PROPER(A27),"_","")</f>
        <v>IsActive</v>
      </c>
      <c r="C27" s="31" t="str">
        <f t="shared" ref="C27" si="49">SUBSTITUTE(PROPER(A27),"_"," ")</f>
        <v>Is Active</v>
      </c>
      <c r="D27" s="31" t="str">
        <f t="shared" ref="D27" si="50">LOWER(LEFT(B27,1))&amp;RIGHT(B27,LEN(B27) - 1)</f>
        <v>isActive</v>
      </c>
      <c r="E27" s="31" t="str">
        <f>A.Backend!H21</f>
        <v>string</v>
      </c>
      <c r="F27" s="31" t="str">
        <f>A.Backend!G21</f>
        <v>50</v>
      </c>
      <c r="G27" s="31" t="str">
        <f t="shared" ref="G27" si="51">IF(E27="string"," : string = '' ; ",IF(OR(E27="DateTime",E27="TimeSpan")," : any ;",IF(E27="int"," : number = 0 ;","")))</f>
        <v xml:space="preserve"> : string = '' ; </v>
      </c>
      <c r="H27" s="38" t="str">
        <f t="shared" ref="H27" si="52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this.l('Is Active'),headerTooltip: this.l('Is Active'),field: 'isActive',flex: 1},</v>
      </c>
      <c r="I27" s="38" t="str">
        <f t="shared" ref="I27" si="53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7" s="31"/>
      <c r="K27" s="38" t="str">
        <f t="shared" ref="K27" si="54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7" s="60" t="str">
        <f t="shared" ref="L27" si="55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>REPT(CHAR(9),1)&amp;D27&amp;G27</f>
        <v xml:space="preserve">	isActive : string = '' ; </v>
      </c>
      <c r="T27" s="31" t="str">
        <f>REPT(CHAR(9),3)&amp;"this."&amp;D27&amp;","</f>
        <v xml:space="preserve">			this.isActive,</v>
      </c>
      <c r="U27" s="31" t="str">
        <f>IF(E27="int",REPT(CHAR(9),2)&amp;"this."&amp;D27&amp;" = 0,",REPT(CHAR(9),2)&amp;"this."&amp;D27&amp;" = '',")</f>
        <v xml:space="preserve">		this.isActive = '',</v>
      </c>
      <c r="V27" s="31" t="str">
        <f t="shared" ref="V27" si="56">IF(AND(E27="string",F27="1"),D27,"")</f>
        <v/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2022-08-26T10:28:02Z</dcterms:modified>
</cp:coreProperties>
</file>
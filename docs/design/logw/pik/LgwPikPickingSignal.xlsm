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pik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T11" i="1"/>
  <c r="P11" i="1"/>
  <c r="L11" i="1"/>
  <c r="H11" i="1"/>
  <c r="W11" i="1" s="1"/>
  <c r="G11" i="1"/>
  <c r="E11" i="1"/>
  <c r="D11" i="1"/>
  <c r="V11" i="1" s="1"/>
  <c r="G10" i="1"/>
  <c r="E10" i="1"/>
  <c r="H10" i="1" s="1"/>
  <c r="D10" i="1"/>
  <c r="V10" i="1" s="1"/>
  <c r="I11" i="1" l="1"/>
  <c r="N11" i="1"/>
  <c r="M11" i="1"/>
  <c r="J11" i="1"/>
  <c r="O11" i="1"/>
  <c r="N10" i="1"/>
  <c r="I10" i="1"/>
  <c r="M10" i="1"/>
  <c r="W10" i="1"/>
  <c r="O10" i="1"/>
  <c r="J10" i="1"/>
  <c r="P10" i="1"/>
  <c r="T10" i="1"/>
  <c r="L12" i="1" l="1"/>
  <c r="G12" i="1"/>
  <c r="E12" i="1"/>
  <c r="H12" i="1" s="1"/>
  <c r="D12" i="1"/>
  <c r="V12" i="1" s="1"/>
  <c r="W12" i="1" l="1"/>
  <c r="O12" i="1"/>
  <c r="J12" i="1"/>
  <c r="N12" i="1"/>
  <c r="I12" i="1"/>
  <c r="M12" i="1"/>
  <c r="P12" i="1"/>
  <c r="T12" i="1"/>
  <c r="C20" i="5" l="1"/>
  <c r="B20" i="5"/>
  <c r="D20" i="5" s="1"/>
  <c r="D13" i="1"/>
  <c r="T13" i="1" s="1"/>
  <c r="E13" i="1"/>
  <c r="H13" i="1" s="1"/>
  <c r="G13" i="1"/>
  <c r="L13" i="1"/>
  <c r="P13" i="1" l="1"/>
  <c r="I13" i="1"/>
  <c r="V13" i="1"/>
  <c r="T20" i="5"/>
  <c r="M13" i="1"/>
  <c r="W13" i="1"/>
  <c r="O13" i="1"/>
  <c r="J13" i="1"/>
  <c r="N13" i="1"/>
  <c r="G20" i="5" l="1"/>
  <c r="S20" i="5" s="1"/>
  <c r="U20" i="5"/>
  <c r="K20" i="5"/>
  <c r="I20" i="5"/>
  <c r="L20" i="5"/>
  <c r="H20" i="5"/>
  <c r="V20" i="5"/>
  <c r="C19" i="5" l="1"/>
  <c r="B19" i="5"/>
  <c r="D19" i="5" s="1"/>
  <c r="C18" i="5"/>
  <c r="B18" i="5"/>
  <c r="D18" i="5" s="1"/>
  <c r="T18" i="5" s="1"/>
  <c r="T19" i="5" l="1"/>
  <c r="B21" i="5"/>
  <c r="D21" i="5" s="1"/>
  <c r="G15" i="1"/>
  <c r="E15" i="1"/>
  <c r="H15" i="1" s="1"/>
  <c r="D15" i="1"/>
  <c r="V15" i="1" s="1"/>
  <c r="G14" i="1"/>
  <c r="E14" i="1"/>
  <c r="H14" i="1" s="1"/>
  <c r="D14" i="1"/>
  <c r="P14" i="1" s="1"/>
  <c r="T21" i="5" l="1"/>
  <c r="C21" i="5"/>
  <c r="I21" i="5" s="1"/>
  <c r="V21" i="5"/>
  <c r="U21" i="5"/>
  <c r="G21" i="5"/>
  <c r="S21" i="5" s="1"/>
  <c r="L21" i="5"/>
  <c r="T15" i="1"/>
  <c r="W14" i="1"/>
  <c r="T14" i="1"/>
  <c r="P15" i="1"/>
  <c r="N15" i="1"/>
  <c r="I15" i="1"/>
  <c r="M15" i="1"/>
  <c r="W15" i="1"/>
  <c r="O15" i="1"/>
  <c r="J15" i="1"/>
  <c r="M14" i="1"/>
  <c r="I14" i="1"/>
  <c r="N14" i="1"/>
  <c r="V14" i="1"/>
  <c r="J14" i="1"/>
  <c r="O14" i="1"/>
  <c r="K21" i="5" l="1"/>
  <c r="H21" i="5"/>
  <c r="W3" i="1"/>
  <c r="V3" i="1"/>
  <c r="B2" i="5" l="1"/>
  <c r="B3" i="5" s="1"/>
  <c r="G19" i="5" l="1"/>
  <c r="S19" i="5" s="1"/>
  <c r="U19" i="5"/>
  <c r="V19" i="5"/>
  <c r="K19" i="5"/>
  <c r="L19" i="5"/>
  <c r="H19" i="5"/>
  <c r="I19" i="5"/>
  <c r="B6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C15" i="5" l="1"/>
  <c r="B15" i="5"/>
  <c r="D15" i="5" s="1"/>
  <c r="V17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E9" i="1"/>
  <c r="H9" i="1" s="1"/>
  <c r="P9" i="1"/>
  <c r="T17" i="1"/>
  <c r="L18" i="5" l="1"/>
  <c r="K18" i="5"/>
  <c r="H18" i="5"/>
  <c r="U18" i="5"/>
  <c r="V18" i="5"/>
  <c r="G18" i="5"/>
  <c r="S18" i="5" s="1"/>
  <c r="I18" i="5"/>
  <c r="O9" i="1"/>
  <c r="M9" i="1"/>
  <c r="N9" i="1"/>
  <c r="E15" i="5"/>
  <c r="W9" i="1"/>
  <c r="T7" i="1"/>
  <c r="I9" i="1"/>
  <c r="W17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I13" i="5"/>
  <c r="H13" i="5"/>
  <c r="U13" i="5"/>
  <c r="V13" i="5"/>
  <c r="K13" i="5"/>
  <c r="L13" i="5"/>
  <c r="S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0" i="1" s="1"/>
  <c r="L15" i="1" l="1"/>
  <c r="L14" i="1"/>
  <c r="L9" i="1"/>
  <c r="J9" i="1"/>
  <c r="C7" i="1"/>
  <c r="I17" i="1"/>
  <c r="J17" i="1"/>
  <c r="P17" i="1"/>
  <c r="N17" i="1"/>
  <c r="O17" i="1"/>
  <c r="Q7" i="1" l="1"/>
  <c r="M47" i="3" s="1"/>
  <c r="L7" i="1"/>
  <c r="G47" i="3" s="1"/>
  <c r="K47" i="3"/>
  <c r="J47" i="3"/>
  <c r="M17" i="1"/>
  <c r="K17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<sst xmlns="http://schemas.openxmlformats.org/spreadsheetml/2006/main" count="428" uniqueCount="324">
  <si>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</si>
  <si>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</si>
  <si>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</si>
  <si>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</si>
  <si>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</si>
  <si>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</si>
  <si>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</si>
  <si>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</si>
  <si>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</si>
  <si>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</si>
  <si>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</si>
  <si>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</si>
  <si>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</si>
  <si>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</si>
  <si>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</si>
  <si>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</si>
  <si>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</si>
  <si>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</si>
  <si>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</si>
  <si>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</si>
  <si>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</si>
  <si>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</si>
  <si>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</si>
  <si>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</si>
  <si>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</si>
  <si>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</si>
  <si>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</si>
  <si>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</si>
  <si>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</si>
  <si>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</si>
  <si>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</si>
  <si>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</si>
  <si>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</si>
  <si>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</si>
  <si>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</si>
  <si>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</si>
  <si>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</si>
  <si>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</si>
  <si>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</si>
  <si>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</si>
  <si>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</si>
  <si>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</si>
  <si>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</si>
  <si>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</si>
  <si>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</si>
  <si>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</si>
  <si>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</si>
  <si>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</si>
  <si>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</si>
  <si>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</si>
  <si>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</si>
  <si>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</si>
  <si>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</si>
  <si>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</si>
  <si>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</si>
  <si>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</si>
  <si>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</si>
  <si>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</si>
  <si>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</si>
  <si>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</si>
  <si>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</si>
  <si>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</si>
  <si>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</si>
  <si>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</si>
  <si>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</si>
  <si>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</si>
  <si>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</si>
  <si>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</si>
  <si>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</si>
  <si>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</si>
  <si>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</si>
  <si>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</si>
  <si>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</si>
  <si>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</si>
  <si>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</si>
  <si>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</si>
  <si>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</si>
  <si>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</si>
  <si>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</si>
  <si>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</si>
  <si>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</si>
  <si>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</si>
  <si>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</si>
  <si>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</si>
  <si>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</si>
  <si>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</si>
  <si>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</si>
  <si>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</si>
  <si>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</si>
  <si>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</si>
  <si>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</si>
  <si>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</si>
  <si>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</si>
  <si>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</si>
  <si>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</si>
  <si>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</si>
  <si>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</si>
  <si>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</si>
  <si>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</si>
  <si>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</si>
  <si>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</si>
  <si>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</si>
  <si>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</si>
  <si>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</si>
  <si>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</si>
  <si>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</si>
  <si>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</si>
  <si>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</si>
  <si>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</si>
  <si>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</si>
  <si>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</si>
  <si>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</si>
  <si>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</si>
  <si>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</si>
  <si>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</si>
  <si>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</si>
  <si>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</si>
  <si>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</si>
  <si>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</si>
  <si>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</si>
  <si>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</si>
  <si>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</si>
  <si>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</si>
  <si>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</si>
  <si>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</si>
  <si>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</si>
  <si>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</si>
  <si>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</si>
  <si>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</si>
  <si>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</si>
  <si>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</si>
  <si>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</si>
  <si>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</si>
  <si>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</si>
  <si>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</si>
  <si>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</si>
  <si>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</si>
  <si>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</si>
  <si>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</si>
  <si>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</si>
  <si>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</si>
  <si>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</si>
  <si>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</si>
  <si>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</si>
  <si>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</si>
  <si>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</si>
  <si>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</si>
  <si>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</si>
  <si>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</si>
  <si>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</si>
  <si>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</si>
  <si>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</si>
  <si>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</si>
  <si>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</si>
  <si>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</si>
  <si>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</si>
  <si>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</si>
  <si>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</si>
  <si>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</si>
  <si>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</si>
  <si>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</si>
  <si>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</si>
  <si>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</si>
  <si>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</si>
  <si>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</si>
  <si>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</si>
  <si>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</si>
  <si>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</si>
  <si>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</si>
  <si>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</si>
  <si>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</si>
  <si>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</si>
  <si>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</si>
  <si>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</si>
  <si>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</si>
  <si>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</si>
  <si>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</si>
  <si>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</si>
  <si>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</si>
  <si>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</si>
  <si>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</si>
  <si>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</si>
  <si>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</si>
  <si>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</si>
  <si>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</si>
  <si>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</si>
  <si>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</si>
  <si>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</si>
  <si>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</si>
  <si>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</si>
  <si>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</si>
  <si>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</si>
  <si>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</si>
  <si>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</si>
  <si>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</si>
  <si>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</si>
  <si>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</si>
  <si>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</si>
  <si>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</si>
  <si>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</si>
  <si>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</si>
  <si>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</si>
  <si>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</si>
  <si>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</si>
  <si>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</si>
  <si>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</si>
  <si>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</si>
  <si>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</si>
  <si>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</si>
  <si>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</si>
  <si>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</si>
  <si>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</si>
  <si>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</si>
  <si>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</si>
  <si>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</si>
  <si>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</si>
  <si>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</si>
  <si>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</si>
  <si>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</si>
  <si>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</si>
  <si>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</si>
  <si>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</si>
  <si>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</si>
  <si>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</si>
  <si>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</si>
  <si>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</si>
  <si>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</si>
  <si>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</si>
  <si>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</si>
  <si>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</si>
  <si>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</si>
  <si>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</si>
  <si>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</si>
  <si>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</si>
  <si>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</si>
  <si>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</si>
  <si>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</si>
  <si>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</si>
  <si>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</si>
  <si>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</si>
  <si>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</si>
  <si>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</si>
  <si>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</si>
  <si>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</si>
  <si>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</si>
  <si>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</si>
  <si>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</si>
  <si>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</si>
  <si>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</si>
  <si>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</si>
  <si>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</si>
  <si>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</si>
  <si>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</si>
  <si>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</si>
  <si>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</si>
  <si>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</si>
  <si>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</si>
  <si>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</si>
  <si>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</si>
  <si>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</si>
  <si>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</si>
  <si>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</si>
  <si>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</si>
  <si>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</si>
  <si>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</si>
  <si>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</si>
  <si>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</si>
  <si>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</si>
  <si>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</si>
  <si>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</si>
  <si>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</si>
  <si>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</si>
  <si>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</si>
  <si>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</si>
  <si>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</si>
  <si>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</si>
  <si>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</si>
  <si>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</si>
  <si>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</si>
  <si>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</si>
  <si>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</si>
  <si>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</si>
  <si>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</si>
  <si>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</si>
  <si>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</si>
  <si>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</si>
  <si>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</si>
  <si>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</si>
  <si>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</si>
  <si>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</si>
  <si>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</si>
  <si>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</si>
  <si>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</si>
  <si>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</si>
  <si>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</si>
  <si>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</si>
  <si>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</si>
  <si>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</si>
  <si>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</si>
  <si>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</si>
  <si>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</si>
  <si>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</si>
  <si>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</si>
  <si>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varchar(50)</t>
  </si>
  <si>
    <t>RENBAN</t>
  </si>
  <si>
    <t>CONTAINER_NO</t>
  </si>
  <si>
    <t>DEVANNING_DATE</t>
  </si>
  <si>
    <t>START_DEVANNING_DATE</t>
  </si>
  <si>
    <t>datetime2(7)</t>
  </si>
  <si>
    <t>FINISH_DEVANNING_DATE</t>
  </si>
  <si>
    <t>STATUS</t>
  </si>
  <si>
    <t>CONT_SCHEDULE_ID</t>
  </si>
  <si>
    <t>SHOP</t>
  </si>
  <si>
    <t>PICKING_TABLET_ID</t>
  </si>
  <si>
    <t>LogW.Pik</t>
  </si>
  <si>
    <t>LgwPikPickingSignal</t>
  </si>
  <si>
    <t>PickingSignal</t>
  </si>
  <si>
    <t>IS_COMPLETED</t>
  </si>
  <si>
    <t>LAST_SIGNAL_TIME</t>
  </si>
  <si>
    <t>FIRST_SIGNAL_TIME</t>
  </si>
  <si>
    <t>varchar(1)</t>
  </si>
  <si>
    <t>PICKING_PROGRESS_ID</t>
  </si>
  <si>
    <t>TABLET_PROCESS_ID</t>
  </si>
  <si>
    <t xml:space="preserve">LogW Picking Signal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</si>
</sst>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4"/>
  <sheetViews>
    <sheetView topLeftCell="A53" workbookViewId="0">
      <selection activeCell="C65" sqref="C65:E7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vovina.LogW.Pik
{
	[Table("LgwPikPickingSignal")]
	[Index(nameof(PickingTabletId), Name="IX_LgwPikPickingSignal_PickingTabletId")]
	[Index(nameof(TabletProcessId), Name="IX_LgwPikPickingSignal_TabletProcessId")]
	[Index(nameof(PickingProgressId), Name="IX_LgwPikPickingSignal_PickingProgressId")]
	[Index(nameof(IsActive), Name="IX_LgwPikPickingSignal_IsActive")]	public class LgwPikPickingSignal: FullAuditedEntity&lt;long&gt;, IEntity&lt;long&gt;	
	{
		public const int MaxPickingTabletIdLength = 50;
		public const int MaxIsCompletedLength = 1;
		public const int MaxIsActiveLength = 1;
		[StringLength(MaxPickingTabletIdLength)]
		public virtual string PickingTabletId { get; set; }
		public virtual int TabletProcessId { get; set; }
		public virtual int PickingProgressId { get; set; }
		[Column(TypeName="datetime2(7)")]
		public virtual DateTime FirstSignalTime { get; set; }
		[Column(TypeName="datetime2(7)")]
		public virtual DateTime LastSignalTime { get; set; }
		[StringLength(MaxIsCompletedLength)]
		public virtual string IsCompleted { get; set; }
		[StringLength(MaxIsActiveLength)]
		public virtual string IsActive { get; set; }
	}
}
</v>
      </c>
      <c r="D47" s="51" t="str">
        <f>A.Backend!O7</f>
        <v xml:space="preserve">		public const string Pages_LogW_Pik_PickingSignal = "Pages.LogW.Pik.PickingSignal";
		public const string Pages_LogW_Pik_PickingSignal_CreateEdit = "Pages.LogW.Pik.PickingSignal.CreateEdit";
		public const string Pages_LogW_Pik_PickingSignal_Delete = "Pages.LogW.Pik.PickingSignal.Delete";
</v>
      </c>
      <c r="E47" s="51" t="str">
        <f>A.Backend!N7</f>
        <v xml:space="preserve">		var perLgwPikPickingSignal = PARENTS.CreateChildPermission(AppPermissions.Pages_LogW_Pik_PickingSignal, L( "LogWPikPickingSignal"));
		perLgwPikPickingSignal.CreateChildPermission(AppPermissions.Pages_LogW_Pik_PickingSignal_CreateEdit, L( "LogWPikPickingSignalCreateEdit"));
		perLgwPikPickingSignal.CreateChildPermission(AppPermissions.Pages_LogW_Pik_PickingSignal_Delete, L( "LogWPikPickingSignalDelete"));</v>
      </c>
      <c r="F47" s="51" t="str">
        <f>A.Backend!K7</f>
        <v>public virtual DbSet&lt;LgwPikPickingSignal&gt; LgwPikPickingSignals { get; set; }</v>
      </c>
      <c r="G47" s="51" t="str">
        <f ca="1">A.Backend!L7</f>
        <v xml:space="preserve">namespace vovina.LogW.Pik
{
	public class LgwPikPickingSignalConsts	
	{
		public const int MaxPickingTabletIdLength = 50;
		public const int MaxIsCompletedLength = 1;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vovina.LogW.Pik.Dto
{
	public class LgwPikPickingSignalDto : EntityDto&lt;long?&gt;	
	{
		public virtual string PickingTabletId { get; set; }
		public virtual int TabletProcessId { get; set; }
		public virtual int PickingProgressId { get; set; }
		public virtual DateTime? FirstSignalTime { get; set; }
		public virtual DateTime? LastSignalTime { get; set; }
		public virtual string IsCompleted { get; set; }
		public virtual string IsActive { get; set; }
	}
	public class CreateOrEditLgwPikPickingSignalDto : EntityDto&lt;long?&gt;	
	{
		[StringLength(LgwPikPickingSignalConsts.MaxPickingTabletIdLength)]
		public virtual string PickingTabletId { get; set; }
		public virtual int TabletProcessId { get; set; }
		public virtual int PickingProgressId { get; set; }
		public virtual DateTime? FirstSignalTime { get; set; }
		public virtual DateTime? LastSignalTime { get; set; }
		[StringLength(LgwPikPickingSignalConsts.MaxIsCompletedLength)]
		public virtual string IsCompleted { get; set; }
		[StringLength(LgwPikPickingSignalConsts.MaxIsActiveLength)]
		public virtual string IsActive { get; set; }
	}
	public class GetLgwPikPickingSignalInput : PagedAndSortedResultRequestDto	
	{
		public virtual string PickingTabletId { get; set; }
		public virtual int TabletProcessId { get; set; }
		public virtual int PickingProgressId { get; set; }
		public virtual DateTime? FirstSignalTime { get; set; }
		public virtual DateTime? LastSignalTime { get; set; }
		public virtual string IsCompleted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vovina.LogW.Pik.Dto
{
	public class LgwPikPickingSignalExportInput{
		public virtual string PickingTabletId { get; set; }
		public virtual int TabletProcessId { get; set; }
		public virtual int PickingProgressId { get; set; }
		public virtual DateTime? FirstSignalTime { get; set; }
		public virtual DateTime? LastSignalTime { get; set; }
		public virtual string IsCompleted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vovina.LogW.Pik.Dto;
namespace vovina.LogW.Pik
{
	public interface ILgwPikPickingSignalAppService : IApplicationService
	{
		Task&lt;PagedResultDto&lt;LgwPikPickingSignalDto&gt;&gt; GetAll(GetLgwPikPickingSignalInput input);
		Task CreateOrEdit(CreateOrEditLgwPikPickingSignalDto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vovina.LogW.Pik.Dto;
namespace vovina.LogW.Pik.Exporting
{
	public interface ILgwPikPickingSignalExcelExporter : IApplicationService
	{
		FileDto ExportToFile(List&lt;LgwPikPickingSignalDto&gt; lgwpikpickingsignal);
	}
}
</v>
      </c>
      <c r="L47" s="51" t="str">
        <f ca="1">A.Backend!T7</f>
        <v>using System.Collections.Generic;
using vovina.DataExporting.Excel.NPOI;
using vovina.Dto;
using vovina.LogW.Pik.Exporting;
using vovina.LogW.Pik.Dto;
using vovina.Storage;
using vovina.LogW.Pik.Dto;
namespace vovina.LogW.Pik.Exporting
{
    public class LgwPikPickingSignalExcelExporter : NpoiExcelExporterBase, ILgwPikPickingSignalExcelExporter
    {
        public LgwPikPickingSignalExcelExporter(ITempFileCacheManager tempFileCacheManager) : base(tempFileCacheManager) { }
        public FileDto ExportToFile(List&lt;LgwPikPickingSignalDto&gt; pickingsignal)
        {
            return CreateExcelPackage(
				"LogWPikPickingSignal.xlsx",
				excelPackage =&gt;
				 {
					var sheet = excelPackage.CreateSheet("PickingSignal");
					AddHeader(
								sheet,
								("PickingTabletId"),
								("TabletProcessId"),
								("PickingProgressId"),
								("FirstSignalTime"),
								("LastSignalTime"),
								("IsCompleted"),
								("IsActive"),
							   );
					AddObjects(
						 sheet, 1, pickingsignal,                                       
								_ =&gt; _.PickingTabletId,
								_ =&gt; _.TabletProcessId,
								_ =&gt; _.PickingProgressId,
								_ =&gt; _.FirstSignalTime,
								_ =&gt; _.LastSignalTime,
								_ =&gt; _.IsCompleted,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vovina.LogW.Pik.Dto;
using vovina.LogW.Pik.Exporting;
namespace vovina.LogW.Pik
{
    [AbpAuthorize(AppPermissions.Pages_LogW_Pik_PickingSignal)]
    public class LgwPikPickingSignalAppService : vovinaAppServiceBase, ILgwPikPickingSignalAppService
    {
        private readonly IDapperRepository&lt;LgwPikPickingSignal, long&gt; _dapperRepo;
        private readonly IRepository&lt;LgwPikPickingSignal, long&gt; _repo;
        private readonly ILgwPikPickingSignalExcelExporter _calendarListExcelExporter;
        public LgwPikPickingSignalAppService(IRepository&lt;LgwPikPickingSignal,long&gt; repo, 
                                         IDapperRepository&lt;LgwPikPickingSignal,long&gt; dapperRepo,
                                        ILgwPikPickingSignalExcelExporter calendarListExcelExporter
            )
        {
            _repo = repo;
            _dapperRepo = dapperRepo;
            _calendarListExcelExporter = calendarListExcelExporter;
        }
        [AbpAuthorize(AppPermissions.Pages_LogW_Pik_PickingSignal_CreateEdit)]
        public async Task CreateOrEdit(CreateOrEditLgwPikPickingSignalDto input)
        {
            if (input.Id == null) await Create(input);
            else await Update(input);
        }
        //CREATE
        private async Task Create(CreateOrEditLgwPikPickingSignalDto input)
        {          
            var mainObj = ObjectMapper.Map&lt;LgwPikPickingSignal&gt;(input);
            await CurrentUnitOfWork.GetDbContext&lt;vovinaDbContext&gt;().AddAsync(mainObj);
        }
        // EDIT
        private async Task Update(CreateOrEditLgwPikPickingSignalDto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[AbpAuthorize(AppPermissions.Pages_LogW_Pik_PickingSignal_Delete)]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Task&lt;PagedResultDto&lt;LgwPikPickingSignalDto&gt;&gt; GetAll(GetLgwPikPickingSignalInput input)
        {
            var filtered = _repo.GetAll()
				.WhereIf(!string.IsNullOrWhiteSpace(input.PickingTabletId), e =&gt; e.PickingTabletId.Contains(input.PickingTabletId))
				.WhereIf(input.FirstSignalTime.HasValue, t =&gt; t.FirstSignalTime == input.FirstSignalTime.Value)
				.WhereIf(input.LastSignalTime.HasValue, t =&gt; t.LastSignalTime == input.LastSignalTime.Value)
				.WhereIf(!string.IsNullOrWhiteSpace(input.IsCompleted), e =&gt; e.IsCompleted.Contains(input.IsCompleted))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LgwPikPickingSignalDto
                        {
							Id = o.Id,
							PickingTabletId = o.PickingTabletId,
							TabletProcessId = o.TabletProcessId,
							PickingProgressId = o.PickingProgressId,
							FirstSignalTime = o.FirstSignalTime,
							LastSignalTime = o.LastSignalTime,
							IsCompleted = o.IsCompleted,
							IsActive = o.IsActive,
                        };
            var totalCount = await filtered.CountAsync();
			var paged = system.PageBy(input);
            return new PagedResultDto&lt;LgwPikPickingSignalDto&gt;(
                totalCount,
                 await paged.ToListAsync()
            );
        }
        public async Task&lt;FileDto&gt; GetPickingSignalToExcel(LgwPikPickingSignalExportInput input)
        {
            var query = from o in _repo.GetAll()
                        select new LgwPikPickingSignalDto
                        {
							Id = o.Id,
							PickingTabletId = o.PickingTabletId,
							TabletProcessId = o.TabletProcessId,
							PickingProgressId = o.PickingProgressId,
							FirstSignalTime = o.FirstSignalTime,
							LastSignalTime = o.LastSignalTime,
							IsCompleted = o.IsCompleted,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_dapperRepo.ExecuteAsync(LgwPikPickingSignalConsts.SP_MST_WPT_CALENDAR_GENERATE);
       // }
    }
}</v>
      </c>
      <c r="N47" s="62" t="str">
        <f>A.Backend!U7</f>
        <v xml:space="preserve">  configuration.CreateMap&lt;LgwPikPickingSignalDto, LgwPikPickingSignal&gt;();
  configuration.CreateMap&lt;LgwPikPickingSignal, LgwPikPickingSignalDto&gt;();
  configuration.CreateMap&lt;CreateOrEditLgwPikPickingSignalDto, LgwPikPickingSignal&gt;();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pickingsignal</v>
      </c>
      <c r="C52" s="72" t="str">
        <f>"create folder " &amp;B52</f>
        <v>create folder pickingsignal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pickingsignal.component.ts</v>
      </c>
      <c r="D53" s="31" t="str">
        <f>B.Frontend!I14</f>
        <v>pickingsignal.component.html</v>
      </c>
      <c r="E53" s="31" t="str">
        <f>B.Frontend!J14</f>
        <v>pickingsignal.component.less</v>
      </c>
      <c r="F53" s="31" t="str">
        <f>B.Frontend!K14</f>
        <v>create-or-edit-pickingsignal-modal.component.html</v>
      </c>
      <c r="G53" s="31" t="str">
        <f>B.Frontend!L14</f>
        <v>create-or-edit-pickingsignal-modal.component.ts</v>
      </c>
      <c r="H53" s="31" t="str">
        <f>B.Frontend!M14</f>
        <v>create-or-edit-pickingsignal-modal.component.less</v>
      </c>
      <c r="I53" s="31" t="str">
        <f>B.Frontend!N14</f>
        <v>pickingsignal.module.ts</v>
      </c>
      <c r="J53" s="31" t="str">
        <f>B.Frontend!O14</f>
        <v>pickingsignal-routing.module.ts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LgwPikPickingSignalDto, LgwPikPickingSignalServiceProxy } from '@shared/service-proxies/service-proxies';
import { finalize } from 'rxjs/internal/operators/finalize';
import { CreateOrEditPickingSignalModalComponent } from './create-or-edit-pickingsignal-modal.component';
import { DatePipe } from '@angular/common';
import { FileDownloadService } from '@shared/utils/file-download.service';
import ceil from 'lodash-es/ceil';
import { Paginator } from 'primeng/paginator';
@Component({
    templateUrl: './pickingsignal.component.html',
    styleUrls: ['./pickingsignal.component.less'],
})
export class PickingSignalComponent extends AppComponentBase implements OnInit {
    @ViewChild('createOrEditModalPickingSignal', { static: true }) createOrEditModalPickingSignal:| CreateOrEditPickingSignalModalComponent|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LgwPikPickingSignalDto = new LgwPikPickingSignalDto();
    saveSelectedRow: LgwPikPickingSignalDto = new LgwPikPickingSignalDto();
    datas: LgwPikPickingSignalDto = new LgwPikPickingSignalDto();
    isLoading: boolean = false;
    dataParams: GridParams | undefined;
    rowData: any[] = [];
    gridApi!: GridApi;
    rowSelection = 'multiple';
    filter: string = '';
	pipe = new DatePipe('en-US');
	frameworkComponents: FrameworkComponent;
    pickingTabletId : string = '' ; 
	tabletProcessId : number = 0 ;
	pickingProgressId : number = 0 ;
	firstSignalTime : any ;
	lastSignalTime : any ;
isCompleted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LgwPikPickingSignalServiceProxy,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this.l('Picking Tablet Id'),headerTooltip: this.l('Picking Tablet Id'),field: 'pickingTabletId',flex: 1},
			{headerName: this.l('Tablet Process Id'),headerTooltip: this.l('Tablet Process Id'),field: 'tabletProcessId',flex: 1},
			{headerName: this.l('Picking Progress Id'),headerTooltip: this.l('Picking Progress Id'),field: 'pickingProgressId',flex: 1},
			{headerName: this.l('First Signal Time'),headerTooltip: this.l('First Signal Time'),field: 'firstSignalTime',valueGetter: (params) =&gt; this.pipe.transform(params.data?.firstSignalTime, 'dd/MM/yyyy'),flex: 1},
			{headerName: this.l('Last Signal Time'),headerTooltip: this.l('Last Signal Time'),field: 'lastSignalTime',valueGetter: (params) =&gt; this.pipe.transform(params.data?.lastSignalTime, 'dd/MM/yyyy'),flex: 1},
			{headerName: this.l('Is Completed'),headerTooltip: this.l('Is Completed'),field:  'isCompleted', cellClass: ['text-center'], width: 120, cellRenderer: 'agCellButtonComponent',
buttonDefTwo: { text: params =&gt; (params.data?.'isCompleted' == 'Y') ? 'Active' : 'Inactive',iconName: 'fa fa-circle',className: params =&gt; (params.data?.'isCompleted'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this.pickingTabletId,
			this.tabletProcessId,
			this.pickingProgressId,
			this.firstSignalTime,
			this.lastSignalTime,
			this.isCompleted,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this.pickingTabletId = '',
		this.tabletProcessId = 0,
		this.pickingProgressId = 0,
		this.firstSignalTime = '',
		this.lastSignalTime = '',
this.isCompleted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this.pickingTabletId,
			this.tabletProcessId,
			this.pickingProgressId,
			this.firstSignalTime,
			this.lastSignalTime,
			this.isCompleted,
			this.isActive,
			'',
            this.paginationParams.skipCount,
            this.paginationParams.pageSize
        );
    }
    onChangeRowSelection(params: { api: { getSelectedRows: () =&gt; LgwPikPickingSignalDto[] } }) {
        this.saveSelectedRow = params.api.getSelectedRows()[0] ?? new LgwPikPickingSignalDto();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LgwPikPickingSignalDto):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this._service.getPickingSignalToExcel(
			this.pickingTabletId,
			this.tabletProcessId,
			this.pickingProgressId,
			this.firstSignalTime,
			this.lastSignalTime,
			this.isCompleted,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Picking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type='text' [placeholder]="l('First Signal Time')" [(ngModel)]='firstSignalTime' 
									name='firstSignalTime'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[placeholder]="l('Last Signal Time')" [(ngModel)]='lastSignalTime' 
									name='lastSignalTime'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[(ngModel)]='isCompleted' name='isCompleted'
									class='form-control' [placeholder]="l('Is Completed')"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(click)="createOrEditModalPickingSignal.show()"&gt;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(click)="createOrEditModalPickingSignal.show(selectedRow)"&gt;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&lt;create-or-edit-pickingsignal-modal
    #createOrEditModalPickingSignal
    (modalSave)="callBackDataGrid(dataParams)"
    (modalClose)="onChangeRowSelection(dataParams)"
&gt;
&lt;/create-or-edit-pickingsignal-modal&gt;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#createOrEditModalPickingSignal="bs-modal"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PickingSignal')}}&lt;/h3&gt;
                    &lt;h3 *ngIf="!rowdata.id"&gt;{{('Create New PickingSignal')}}&lt;/h3&gt;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title'&gt;Tablet Process Id&lt;/label&gt;
						&lt;input type='number' class='col-md-10 form-control input-text' name='TabletProcessId' [(ngModel)]='rowdata.tabletProcessId'&gt;
					&lt;/div&gt;
					&lt;div class='col-md-12 form-group row'&gt;
						&lt;label class='col-md-2 form-control title'&gt;Picking Progress Id&lt;/label&gt;
						&lt;input type='number' class='col-md-10 form-control input-text' name='PickingProgressId' [(ngModel)]='rowdata.pickingProgressId'&gt;
					&lt;/div&gt;
					&lt;div class='col-md-12 form-group row'&gt;
						&lt;label class='col-md-2 form-control title'&gt;First Signal Time&lt;/label&gt;
						&lt;input type='text' class='col-md-10 form-control input-text' name='firstSignalTime' 
						#datepicker='bsDatepicker' [(ngModel)]='rowdata.firstSignalTime'  bsDatepicker &gt;
					&lt;/div&gt;
					&lt;div class='col-md-12 form-group row'&gt;
						&lt;label class='col-md-2 form-control title'&gt;Last Signal Time&lt;/label&gt;
						&lt;input type='text' class='col-md-10 form-control input-text' name='lastSignalTime' 
						#datepicker='bsDatepicker' [(ngModel)]='rowdata.lastSignalTime'  bsDatepicker &gt;
					&lt;/div&gt;
					&lt;div class='col-md-12 form-group row'&gt;
						&lt;label class='col-md-2 form-control title'&gt;Is Completed&lt;/label&gt;
						&lt;new-checkbox [(ngModel)]='_isCompleted' name='isCompleted'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CreateOrEditLgwPikPickingSignalDto, LgwPikPickingSignalServiceProxy } from '@shared/service-proxies/service-proxies';
import { BsDatepickerDirective } from 'ngx-bootstrap/datepicker';
@Component({
    selector: 'create-or-edit-pickingsignal-modal',
    templateUrl: './create-or-edit-pickingsignal-modal.component.html',
    styleUrls: ['./create-or-edit-pickingsignal-modal.component.less']
    })
export class CreateOrEditPickingSignalModalComponent extends AppComponentBase {
    @ViewChild('createOrEditModalPickingSignal',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CreateOrEditLgwPikPickingSignalDto = new CreateOrEditLgwPikPickingSignalDto();
    active: boolean = false;
    saving: boolean = false;
    _isCompleted
isActive: boolean;
    constructor(
        injector: Injector,
        private _mstwptPickingSignalService: LgwPikPickingSignalServiceProxy,
    ) 
    {
        super(injector);
    }
    show(rowdata?: CreateOrEditLgwPikPickingSignalDto): void {
        if (!rowdata) this.rowdata = new CreateOrEditLgwPikPickingSignalDto();
        else this.rowdata = rowdata;
		const dateValue =  this.rowdata.firstSignalTime ? new Date(this.rowdata.firstSignalTime?.toString()) : new Date();
		this.datepicker?.bsValueChange.emit(dateValue);
		const dateValue =  this.rowdata.lastSignalTime ? new Date(this.rowdata.lastSignalTime?.toString()) : new Date();
		this.datepicker?.bsValueChange.emit(dateValue);
        this._isCompleted
isActive = (this.rowdata.isCompleted
isActive == "N")? false: true;
        this.active = true;
        this.modal.show();
    } 
    changeActive(event){
        this._isCompleted
isActive = event.target.checked;
    }
    save(): void {
    this.saving = true; 
    this.rowdata.isCompleted
isActive = (this._isCompleted
isActive == true) ? 'Y' : 'N'
    this._mstwptPickingSignalService.createOrEdit(this.rowdata)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PickingSignalRoutingModule } from './pickingsignal-routing.module';
import { PickingSignalComponent } from './pickingsignal.component';
import { CreateOrEditPickingSignalModalComponent } from './create-or-edit-pickingsignal-modal.component';
@NgModule({
    declarations: [
       PickingSignalComponent, 
        CreateOrEditPickingSignalModalComponent
    ],
    imports: [
        AppSharedModule, PickingSignalRoutingModule]
})
export class PickingSignalModule {}</v>
      </c>
      <c r="J54" s="49" t="str">
        <f>B.Frontend!O10</f>
        <v>import {NgModule} from '@angular/core';
import {RouterModule, Routes} from '@angular/router';
import { PickingSignalComponent } from './pickingsignal.component';
const routes: Routes = [{
    path: '',
    component: PickingSignalComponent,
    pathMatch: 'full'
}];
@NgModule({
    imports: [RouterModule.forChild(routes)],
    exports: [RouterModule],
})
export class PickingSignalRoutingModule {}</v>
      </c>
      <c r="K54" s="49" t="str">
        <f>B.Frontend!P10</f>
        <v xml:space="preserve"> new AppMenuItem("PickingSignal", "Pages.LogW.Pik.PickingSignal", "flaticon-book",   "/app/main/logw/pik/pickingsignal"),</v>
      </c>
      <c r="L54" s="50" t="str">
        <f>B.Frontend!Q10</f>
        <v>{
    path: 'logw/pik/pickingsignal',
    loadChildren: () =&gt; import('./logw/pik/pickingsignal/pickingsignal.module').then(m =&gt; m.PickingSignalModule),
    data: { permission: 'Pages.LogW.Pik.PickingSignal' }
},</v>
      </c>
      <c r="M54" s="48" t="str">
        <f>B.Frontend!R10</f>
        <v>ApiServiceProxies.LgwPikPickingSignalServiceProxy,</v>
      </c>
    </row>
    <row r="56" spans="2:13" x14ac:dyDescent="0.25">
      <c r="B56" s="1" t="s">
        <v>75</v>
      </c>
    </row>
    <row r="65" spans="3:5" x14ac:dyDescent="0.25">
      <c r="C65" t="s">
        <v>305</v>
      </c>
      <c r="D65" t="s">
        <v>303</v>
      </c>
      <c r="E65" t="s">
        <v>1</v>
      </c>
    </row>
    <row r="66" spans="3:5" x14ac:dyDescent="0.25">
      <c r="C66" t="s">
        <v>304</v>
      </c>
      <c r="D66" t="s">
        <v>303</v>
      </c>
      <c r="E66" t="s">
        <v>1</v>
      </c>
    </row>
    <row r="67" spans="3:5" x14ac:dyDescent="0.25">
      <c r="C67" t="s">
        <v>301</v>
      </c>
      <c r="D67" t="s">
        <v>303</v>
      </c>
      <c r="E67" t="s">
        <v>1</v>
      </c>
    </row>
    <row r="68" spans="3:5" x14ac:dyDescent="0.25">
      <c r="C68" t="s">
        <v>306</v>
      </c>
      <c r="D68" t="s">
        <v>2</v>
      </c>
      <c r="E68" t="s">
        <v>1</v>
      </c>
    </row>
    <row r="69" spans="3:5" x14ac:dyDescent="0.25">
      <c r="C69" t="s">
        <v>307</v>
      </c>
      <c r="D69" t="s">
        <v>308</v>
      </c>
      <c r="E69" t="s">
        <v>1</v>
      </c>
    </row>
    <row r="70" spans="3:5" x14ac:dyDescent="0.25">
      <c r="C70" t="s">
        <v>309</v>
      </c>
      <c r="D70" t="s">
        <v>308</v>
      </c>
      <c r="E70" t="s">
        <v>1</v>
      </c>
    </row>
    <row r="71" spans="3:5" x14ac:dyDescent="0.25">
      <c r="C71" t="s">
        <v>310</v>
      </c>
      <c r="D71" t="s">
        <v>303</v>
      </c>
      <c r="E71" t="s">
        <v>1</v>
      </c>
    </row>
    <row r="72" spans="3:5" x14ac:dyDescent="0.25">
      <c r="C72" t="s">
        <v>311</v>
      </c>
      <c r="D72" t="s">
        <v>4</v>
      </c>
      <c r="E72" t="s">
        <v>1</v>
      </c>
    </row>
    <row r="73" spans="3:5" x14ac:dyDescent="0.25">
      <c r="C73" t="s">
        <v>312</v>
      </c>
      <c r="D73" t="s">
        <v>303</v>
      </c>
      <c r="E73" t="s">
        <v>1</v>
      </c>
    </row>
    <row r="74" spans="3:5" x14ac:dyDescent="0.25">
      <c r="C74" t="s">
        <v>302</v>
      </c>
      <c r="D74" t="s">
        <v>303</v>
      </c>
      <c r="E74" t="s">
        <v>1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topLeftCell="A6" workbookViewId="0">
      <pane xSplit="1" topLeftCell="B1" activePane="topRight" state="frozen"/>
      <selection pane="topRight" activeCell="A9" sqref="A9:A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vovina.LogW.Pik.Dto;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314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315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Pik</v>
      </c>
      <c r="R3" s="32" t="str">
        <f>REPT(CHAR(9),1)&amp;"public class "&amp;B3&amp;"ExportInput"&amp;C3</f>
        <v xml:space="preserve">	public class LgwPikPickingSignalExportInput{
</v>
      </c>
      <c r="S3" s="11" t="str">
        <f>"namespace "&amp;$B$6&amp;".Exporting
"&amp;$C$3</f>
        <v xml:space="preserve">namespace vovina.LogW.Pik.Exporting
{
</v>
      </c>
      <c r="T3" s="11" t="str">
        <f>"T"&amp;COUNTA($A:$A)</f>
        <v>T15</v>
      </c>
      <c r="V3" s="11" t="str">
        <f>"V"&amp;COUNTA($A:$A)</f>
        <v>V15</v>
      </c>
      <c r="W3" s="10" t="str">
        <f>"W"&amp;COUNTA($A:$A)</f>
        <v>W15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vovina.LogW.Pik</v>
      </c>
      <c r="C6" s="11" t="str">
        <f>"namespace "&amp;$B$6&amp;"
"&amp;$C$3</f>
        <v xml:space="preserve">namespace vovina.LogW.Pik
{
</v>
      </c>
      <c r="D6" s="11" t="str">
        <f>REPT(CHAR(9),1)&amp;"public class "&amp;B3&amp;G3&amp;REPT(CHAR(9),1)&amp;"
"&amp;REPT(CHAR(9),1)&amp;C3</f>
        <v xml:space="preserve">	public class LgwPikPickingSignal: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LgwPikPickingSignalConsts	
	{
</v>
      </c>
      <c r="F6" s="11" t="str">
        <f>REPT(CHAR(9),1)&amp;"public class "&amp;B3&amp;"Dto"&amp;K3&amp;REPT(CHAR(9),1)&amp;"
"&amp;REPT(CHAR(9),1)&amp;C3</f>
        <v xml:space="preserve">	public class LgwPikPickingSignalDto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CreateOrEditLgwPikPickingSignalDto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GetLgwPikPickingSignalInput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LgwPikPickingSignal</v>
      </c>
      <c r="C7" s="11" t="str">
        <f>REPT(CHAR(9),1)&amp;"[Table("""&amp;B7&amp;""")]"&amp;"
"</f>
        <v xml:space="preserve">	[Table("LgwPikPickingSignal")]
</v>
      </c>
      <c r="D7" s="11"/>
      <c r="E7" s="11"/>
      <c r="F7" s="11"/>
      <c r="G7" s="11"/>
      <c r="H7" s="11"/>
      <c r="I7" s="11"/>
      <c r="J7" s="6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vovina.LogW.Pik
{
	[Table("LgwPikPickingSignal")]
	[Index(nameof(PickingTabletId), Name="IX_LgwPikPickingSignal_PickingTabletId")]
	[Index(nameof(TabletProcessId), Name="IX_LgwPikPickingSignal_TabletProcessId")]
	[Index(nameof(PickingProgressId), Name="IX_LgwPikPickingSignal_PickingProgressId")]
	[Index(nameof(IsActive), Name="IX_LgwPikPickingSignal_IsActive")]	public class LgwPikPickingSignal: FullAuditedEntity&lt;long&gt;, IEntity&lt;long&gt;	
	{
		public const int MaxPickingTabletIdLength = 50;
		public const int MaxIsCompletedLength = 1;
		public const int MaxIsActiveLength = 1;
		[StringLength(MaxPickingTabletIdLength)]
		public virtual string PickingTabletId { get; set; }
		public virtual int TabletProcessId { get; set; }
		public virtual int PickingProgressId { get; set; }
		[Column(TypeName="datetime2(7)")]
		public virtual DateTime FirstSignalTime { get; set; }
		[Column(TypeName="datetime2(7)")]
		public virtual DateTime LastSignalTime { get; set; }
		[StringLength(MaxIsCompletedLength)]
		public virtual string IsCompleted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DbSet&lt;LgwPikPickingSignal&gt; LgwPikPickingSignals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vovina.LogW.Pik
{
	public class LgwPikPickingSignalConsts	
	{
		public const int MaxPickingTabletIdLength = 50;
		public const int MaxIsCompletedLength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vovina.LogW.Pik.Dto
{
	public class LgwPikPickingSignalDto : EntityDto&lt;long?&gt;	
	{
		public virtual string PickingTabletId { get; set; }
		public virtual int TabletProcessId { get; set; }
		public virtual int PickingProgressId { get; set; }
		public virtual DateTime? FirstSignalTime { get; set; }
		public virtual DateTime? LastSignalTime { get; set; }
		public virtual string IsCompleted { get; set; }
		public virtual string IsActive { get; set; }
	}
	public class CreateOrEditLgwPikPickingSignalDto : EntityDto&lt;long?&gt;	
	{
		[StringLength(LgwPikPickingSignalConsts.MaxPickingTabletIdLength)]
		public virtual string PickingTabletId { get; set; }
		public virtual int TabletProcessId { get; set; }
		public virtual int PickingProgressId { get; set; }
		public virtual DateTime? FirstSignalTime { get; set; }
		public virtual DateTime? LastSignalTime { get; set; }
		[StringLength(LgwPikPickingSignalConsts.MaxIsCompletedLength)]
		public virtual string IsCompleted { get; set; }
		[StringLength(LgwPikPickingSignalConsts.MaxIsActiveLength)]
		public virtual string IsActive { get; set; }
	}
	public class GetLgwPikPickingSignalInput : PagedAndSortedResultRequestDto	
	{
		public virtual string PickingTabletId { get; set; }
		public virtual int TabletProcessId { get; set; }
		public virtual int PickingProgressId { get; set; }
		public virtual DateTime? FirstSignalTime { get; set; }
		public virtual DateTime? LastSignalTime { get; set; }
		public virtual string IsCompleted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perLgwPikPickingSignal = PARENTS.CreateChildPermission(AppPermissions.Pages_LogW_Pik_PickingSignal, L( "LogWPikPickingSignal"));
		perLgwPikPickingSignal.CreateChildPermission(AppPermissions.Pages_LogW_Pik_PickingSignal_CreateEdit, L( "LogWPikPickingSignalCreateEdit"));
		perLgwPikPickingSignal.CreateChildPermission(AppPermissions.Pages_LogW_Pik_PickingSignal_Delete, L( "LogWPikPickingSignalDelete"));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Pages_LogW_Pik_PickingSignal = "Pages.LogW.Pik.PickingSignal";
		public const string Pages_LogW_Pik_PickingSignal_CreateEdit = "Pages.LogW.Pik.PickingSignal.CreateEdit";
		public const string Pages_LogW_Pik_PickingSignal_Delete = "Pages.LogW.Pik.PickingSignal.Delete";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vovina.LogW.Pik.Dto;
namespace vovina.LogW.Pik
{
	public interface ILgwPikPickingSignalAppService : IApplicationService
	{
		Task&lt;PagedResultDto&lt;LgwPikPickingSignalDto&gt;&gt; GetAll(GetLgwPikPickingSignalInput input);
		Task CreateOrEdit(CreateOrEditLgwPikPickingSignalDto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vovina.LogW.Pik.Dto;
using vovina.LogW.Pik.Exporting;
namespace vovina.LogW.Pik
{
    [AbpAuthorize(AppPermissions.Pages_LogW_Pik_PickingSignal)]
    public class LgwPikPickingSignalAppService : vovinaAppServiceBase, ILgwPikPickingSignalAppService
    {
        private readonly IDapperRepository&lt;LgwPikPickingSignal, long&gt; _dapperRepo;
        private readonly IRepository&lt;LgwPikPickingSignal, long&gt; _repo;
        private readonly ILgwPikPickingSignalExcelExporter _calendarListExcelExporter;
        public LgwPikPickingSignalAppService(IRepository&lt;LgwPikPickingSignal,long&gt; repo, 
                                         IDapperRepository&lt;LgwPikPickingSignal,long&gt; dapperRepo,
                                        ILgwPikPickingSignalExcelExporter calendarListExcelExporter
            )
        {
            _repo = repo;
            _dapperRepo = dapperRepo;
            _calendarListExcelExporter = calendarListExcelExporter;
        }
        [AbpAuthorize(AppPermissions.Pages_LogW_Pik_PickingSignal_CreateEdit)]
        public async Task CreateOrEdit(CreateOrEditLgwPikPickingSignalDto input)
        {
            if (input.Id == null) await Create(input);
            else await Update(input);
        }
        //CREATE
        private async Task Create(CreateOrEditLgwPikPickingSignalDto input)
        {          
            var mainObj = ObjectMapper.Map&lt;LgwPikPickingSignal&gt;(input);
            await CurrentUnitOfWork.GetDbContext&lt;vovinaDbContext&gt;().AddAsync(mainObj);
        }
        // EDIT
        private async Task Update(CreateOrEditLgwPikPickingSignalDto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[AbpAuthorize(AppPermissions.Pages_LogW_Pik_PickingSignal_Delete)]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Task&lt;PagedResultDto&lt;LgwPikPickingSignalDto&gt;&gt; GetAll(GetLgwPikPickingSignalInput input)
        {
            var filtered = _repo.GetAll()
				.WhereIf(!string.IsNullOrWhiteSpace(input.PickingTabletId), e =&gt; e.PickingTabletId.Contains(input.PickingTabletId))
				.WhereIf(input.FirstSignalTime.HasValue, t =&gt; t.FirstSignalTime == input.FirstSignalTime.Value)
				.WhereIf(input.LastSignalTime.HasValue, t =&gt; t.LastSignalTime == input.LastSignalTime.Value)
				.WhereIf(!string.IsNullOrWhiteSpace(input.IsCompleted), e =&gt; e.IsCompleted.Contains(input.IsCompleted))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LgwPikPickingSignalDto
                        {
							Id = o.Id,
							PickingTabletId = o.PickingTabletId,
							TabletProcessId = o.TabletProcessId,
							PickingProgressId = o.PickingProgressId,
							FirstSignalTime = o.FirstSignalTime,
							LastSignalTime = o.LastSignalTime,
							IsCompleted = o.IsCompleted,
							IsActive = o.IsActive,
                        };
            var totalCount = await filtered.CountAsync();
			var paged = system.PageBy(input);
            return new PagedResultDto&lt;LgwPikPickingSignalDto&gt;(
                totalCount,
                 await paged.ToListAsync()
            );
        }
        public async Task&lt;FileDto&gt; GetPickingSignalToExcel(LgwPikPickingSignalExportInput input)
        {
            var query = from o in _repo.GetAll()
                        select new LgwPikPickingSignalDto
                        {
							Id = o.Id,
							PickingTabletId = o.PickingTabletId,
							TabletProcessId = o.TabletProcessId,
							PickingProgressId = o.PickingProgressId,
							FirstSignalTime = o.FirstSignalTime,
							LastSignalTime = o.LastSignalTime,
							IsCompleted = o.IsCompleted,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_dapperRepo.ExecuteAsync(LgwPikPickingSignalConsts.SP_MST_WPT_CALENDAR_GENERATE);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vovina.LogW.Pik.Dto
{
	public class LgwPikPickingSignalExportInput{
		public virtual string PickingTabletId { get; set; }
		public virtual int TabletProcessId { get; set; }
		public virtual int PickingProgressId { get; set; }
		public virtual DateTime? FirstSignalTime { get; set; }
		public virtual DateTime? LastSignalTime { get; set; }
		public virtual string IsCompleted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vovina.LogW.Pik.Dto;
namespace vovina.LogW.Pik.Exporting
{
	public interface ILgwPikPickingSignalExcelExporter : IApplicationService
	{
		FileDto ExportToFile(List&lt;LgwPikPickingSignalDto&gt; lgwpikpickingsignal);
	}
}
</v>
      </c>
      <c r="T7" s="28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vovina.LogW.Pik.Exporting;
using vovina.LogW.Pik.Dto;
using vovina.Storage;
using vovina.LogW.Pik.Dto;
namespace vovina.LogW.Pik.Exporting
{
    public class LgwPikPickingSignalExcelExporter : NpoiExcelExporterBase, ILgwPikPickingSignalExcelExporter
    {
        public LgwPikPickingSignalExcelExporter(ITempFileCacheManager tempFileCacheManager) : base(tempFileCacheManager) { }
        public FileDto ExportToFile(List&lt;LgwPikPickingSignalDto&gt; pickingsignal)
        {
            return CreateExcelPackage(
				"LogWPikPickingSignal.xlsx",
				excelPackage =&gt;
				 {
					var sheet = excelPackage.CreateSheet("PickingSignal");
					AddHeader(
								sheet,
								("PickingTabletId"),
								("TabletProcessId"),
								("PickingProgressId"),
								("FirstSignalTime"),
								("LastSignalTime"),
								("IsCompleted"),
								("IsActive"),
							   );
					AddObjects(
						 sheet, 1, pickingsignal,                                       
								_ =&gt; _.PickingTabletId,
								_ =&gt; _.TabletProcessId,
								_ =&gt; _.PickingProgressId,
								_ =&gt; _.FirstSignalTime,
								_ =&gt; _.LastSignalTime,
								_ =&gt; _.IsCompleted,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configuration.CreateMap&lt;LgwPikPickingSignalDto, LgwPikPickingSignal&gt;();
  configuration.CreateMap&lt;LgwPikPickingSignal, LgwPikPickingSignalDto&gt;();
  configuration.CreateMap&lt;CreateOrEditLgwPikPickingSignalDto, LgwPikPickingSignal&gt;();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313</v>
      </c>
      <c r="B9" t="s">
        <v>303</v>
      </c>
      <c r="C9" t="s">
        <v>1</v>
      </c>
      <c r="D9" t="str">
        <f>SUBSTITUTE(PROPER(A9),"_","")</f>
        <v>PickingTabletId</v>
      </c>
      <c r="E9" t="str">
        <f t="shared" ref="E9" si="0">IFERROR(LEFT(B9, FIND("(",B9)-1),B9)</f>
        <v>varchar</v>
      </c>
      <c r="F9" s="7"/>
      <c r="G9" t="str">
        <f t="shared" ref="G9" si="1">IFERROR(MID(B9,FIND("(",B9) +1, FIND(")",B9) - FIND("(",B9) - 1),"")</f>
        <v>50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MaxPickingTabletIdLength = 50;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[StringLength(MaxPickingTabletIdLength)]
		public virtual string PickingTabletId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[Index(nameof(PickingTabletId), Name="IX_LgwPikPickingSignal_PickingTabletId")]</v>
      </c>
      <c r="M9" t="str">
        <f>REPT(CHAR(9),2)&amp;"public virtual "&amp;IF(OR(H9="DateTime",H9="TimeSpan"),H9&amp;"?",H9)&amp;IF(C9="?","? "," ")&amp;D9&amp;" { get; set; }" &amp; "
"</f>
        <v xml:space="preserve">		public virtual string PickingTabletId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[StringLength(LgwPikPickingSignalConsts.MaxPickingTabletIdLength)]
		public virtual string PickingTabletId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PickingTabletId { get; set; }
</v>
      </c>
      <c r="P9" t="str">
        <f t="shared" ref="P9" si="4">REPT(CHAR(9),7)&amp;D9&amp;" = o." &amp;D9 &amp;","</f>
        <v xml:space="preserve">							PickingTabletId = o.PickingTabletId,</v>
      </c>
      <c r="T9" s="69" t="str">
        <f>REPT(CHAR(9),8)&amp;"("""&amp;D9&amp;"""),"</f>
        <v xml:space="preserve">								("PickingTabletId"),</v>
      </c>
      <c r="V9" s="70" t="str">
        <f>REPT(CHAR(9),8)&amp;"_ =&gt; _."&amp;D9&amp;","</f>
        <v xml:space="preserve">								_ =&gt; _.PickingTabletId,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.WhereIf(!string.IsNullOrWhiteSpace(input.PickingTabletId), e =&gt; e.PickingTabletId.Contains(input.PickingTabletId))</v>
      </c>
    </row>
    <row r="10" spans="1:23" customFormat="1" ht="22.5" customHeight="1" x14ac:dyDescent="0.25">
      <c r="A10" t="s">
        <v>322</v>
      </c>
      <c r="B10" t="s">
        <v>4</v>
      </c>
      <c r="C10" t="s">
        <v>1</v>
      </c>
      <c r="D10" t="str">
        <f>SUBSTITUTE(PROPER(A10),"_","")</f>
        <v>TabletProcessId</v>
      </c>
      <c r="E10" t="str">
        <f t="shared" ref="E10" si="5">IFERROR(LEFT(B10, FIND("(",B10)-1),B10)</f>
        <v>int</v>
      </c>
      <c r="F10" s="7"/>
      <c r="G10" t="str">
        <f t="shared" ref="G10" si="6">IFERROR(MID(B10,FIND("(",B10) +1, FIND(")",B10) - FIND("(",B10) - 1),"")</f>
        <v/>
      </c>
      <c r="H10" t="str">
        <f>+VLOOKUP(E10,'Data Type Mapping'!A:B,2,)</f>
        <v>int</v>
      </c>
      <c r="I10" t="str">
        <f t="shared" ref="I10" si="7">IF(H10="string",REPT(CHAR(9),2)&amp;"public const int Max"&amp;D10&amp;"Length = "&amp;G10&amp;";"&amp;$E$3,"" )</f>
        <v/>
      </c>
      <c r="J10" t="str">
        <f t="shared" ref="J10" si="8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 TabletProcessId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[Index(nameof(TabletProcessId), Name="IX_LgwPikPickingSignal_TabletProcessId")]</v>
      </c>
      <c r="M10" t="str">
        <f t="shared" ref="M10" si="9">REPT(CHAR(9),2)&amp;"public virtual "&amp;IF(OR(H10="DateTime",H10="TimeSpan"),H10&amp;"?",H10)&amp;IF(C10="?","? "," ")&amp;D10&amp;" { get; set; }" &amp; "
"</f>
        <v xml:space="preserve">		public virtual int TabletProcessId { get; set; }
</v>
      </c>
      <c r="N10" t="str">
        <f t="shared" ref="N10" si="1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 TabletProcessId { get; set; }
</v>
      </c>
      <c r="O10" t="str">
        <f t="shared" ref="O10" si="11">IF(OR(H10="string",H10="DateTime",H10="int"),REPT(CHAR(9),2)&amp;"public virtual "&amp;IF(OR(H10="DateTime",H10="TimeSpan"),H10&amp;"?",H10)&amp;IF(C10="?","? "," ")&amp;D10&amp;" { get; set; }"&amp;$E$3,"")</f>
        <v xml:space="preserve">		public virtual int TabletProcessId { get; set; }
</v>
      </c>
      <c r="P10" t="str">
        <f t="shared" ref="P10" si="12">REPT(CHAR(9),7)&amp;D10&amp;" = o." &amp;D10 &amp;","</f>
        <v xml:space="preserve">							TabletProcessId = o.TabletProcessId,</v>
      </c>
      <c r="T10" s="69" t="str">
        <f t="shared" ref="T10" si="13">REPT(CHAR(9),8)&amp;"("""&amp;D10&amp;"""),"</f>
        <v xml:space="preserve">								("TabletProcessId"),</v>
      </c>
      <c r="V10" s="70" t="str">
        <f t="shared" ref="V10" si="14">REPT(CHAR(9),8)&amp;"_ =&gt; _."&amp;D10&amp;","</f>
        <v xml:space="preserve">								_ =&gt; _.TabletProcessId,</v>
      </c>
      <c r="W10" s="69" t="str">
        <f t="shared" ref="W10" si="1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22.5" customHeight="1" x14ac:dyDescent="0.25">
      <c r="A11" t="s">
        <v>321</v>
      </c>
      <c r="B11" t="s">
        <v>4</v>
      </c>
      <c r="C11" t="s">
        <v>1</v>
      </c>
      <c r="D11" t="str">
        <f>SUBSTITUTE(PROPER(A11),"_","")</f>
        <v>PickingProgressId</v>
      </c>
      <c r="E11" t="str">
        <f t="shared" ref="E11" si="16">IFERROR(LEFT(B11, FIND("(",B11)-1),B11)</f>
        <v>int</v>
      </c>
      <c r="F11" s="7"/>
      <c r="G11" t="str">
        <f t="shared" ref="G11" si="17">IFERROR(MID(B11,FIND("(",B11) +1, FIND(")",B11) - FIND("(",B11) - 1),"")</f>
        <v/>
      </c>
      <c r="H11" t="str">
        <f>+VLOOKUP(E11,'Data Type Mapping'!A:B,2,)</f>
        <v>int</v>
      </c>
      <c r="I11" t="str">
        <f t="shared" ref="I11" si="18">IF(H11="string",REPT(CHAR(9),2)&amp;"public const int Max"&amp;D11&amp;"Length = "&amp;G11&amp;";"&amp;$E$3,"" )</f>
        <v/>
      </c>
      <c r="J11" t="str">
        <f t="shared" ref="J11" si="1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 PickingProgressId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[Index(nameof(PickingProgressId), Name="IX_LgwPikPickingSignal_PickingProgressId")]</v>
      </c>
      <c r="M11" t="str">
        <f t="shared" ref="M11" si="20">REPT(CHAR(9),2)&amp;"public virtual "&amp;IF(OR(H11="DateTime",H11="TimeSpan"),H11&amp;"?",H11)&amp;IF(C11="?","? "," ")&amp;D11&amp;" { get; set; }" &amp; "
"</f>
        <v xml:space="preserve">		public virtual int PickingProgressId { get; set; }
</v>
      </c>
      <c r="N11" t="str">
        <f t="shared" ref="N11" si="2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 PickingProgressId { get; set; }
</v>
      </c>
      <c r="O11" t="str">
        <f t="shared" ref="O11" si="22">IF(OR(H11="string",H11="DateTime",H11="int"),REPT(CHAR(9),2)&amp;"public virtual "&amp;IF(OR(H11="DateTime",H11="TimeSpan"),H11&amp;"?",H11)&amp;IF(C11="?","? "," ")&amp;D11&amp;" { get; set; }"&amp;$E$3,"")</f>
        <v xml:space="preserve">		public virtual int PickingProgressId { get; set; }
</v>
      </c>
      <c r="P11" t="str">
        <f t="shared" ref="P11" si="23">REPT(CHAR(9),7)&amp;D11&amp;" = o." &amp;D11 &amp;","</f>
        <v xml:space="preserve">							PickingProgressId = o.PickingProgressId,</v>
      </c>
      <c r="T11" s="69" t="str">
        <f t="shared" ref="T11" si="24">REPT(CHAR(9),8)&amp;"("""&amp;D11&amp;"""),"</f>
        <v xml:space="preserve">								("PickingProgressId"),</v>
      </c>
      <c r="V11" s="70" t="str">
        <f t="shared" ref="V11" si="25">REPT(CHAR(9),8)&amp;"_ =&gt; _."&amp;D11&amp;","</f>
        <v xml:space="preserve">								_ =&gt; _.PickingProgressId,</v>
      </c>
      <c r="W11" s="69" t="str">
        <f t="shared" ref="W11" si="2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22.5" customHeight="1" x14ac:dyDescent="0.25">
      <c r="A12" t="s">
        <v>319</v>
      </c>
      <c r="B12" t="s">
        <v>308</v>
      </c>
      <c r="C12" t="s">
        <v>1</v>
      </c>
      <c r="D12" t="str">
        <f>SUBSTITUTE(PROPER(A12),"_","")</f>
        <v>FirstSignalTime</v>
      </c>
      <c r="E12" t="str">
        <f t="shared" ref="E12" si="27">IFERROR(LEFT(B12, FIND("(",B12)-1),B12)</f>
        <v>datetime2</v>
      </c>
      <c r="F12" s="7" t="s">
        <v>308</v>
      </c>
      <c r="G12" t="str">
        <f t="shared" ref="G12" si="28">IFERROR(MID(B12,FIND("(",B12) +1, FIND(")",B12) - FIND("(",B12) - 1),"")</f>
        <v>7</v>
      </c>
      <c r="H12" t="str">
        <f>+VLOOKUP(E12,'Data Type Mapping'!A:B,2,)</f>
        <v>DateTime</v>
      </c>
      <c r="I12" t="str">
        <f t="shared" ref="I12" si="29">IF(H12="string",REPT(CHAR(9),2)&amp;"public const int Max"&amp;D12&amp;"Length = "&amp;G12&amp;";"&amp;$E$3,"" )</f>
        <v/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[Column(TypeName="datetime2(7)")]
		public virtual DateTime FirstSignalTime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ref="M12" si="31">REPT(CHAR(9),2)&amp;"public virtual "&amp;IF(OR(H12="DateTime",H12="TimeSpan"),H12&amp;"?",H12)&amp;IF(C12="?","? "," ")&amp;D12&amp;" { get; set; }" &amp; "
"</f>
        <v xml:space="preserve">		public virtual DateTime? FirstSignalTime { get; set; }
</v>
      </c>
      <c r="N12" t="str">
        <f t="shared" ref="N12" si="32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DateTime? FirstSignalTime { get; set; }
</v>
      </c>
      <c r="O12" t="str">
        <f t="shared" ref="O12" si="33">IF(OR(H12="string",H12="DateTime",H12="int"),REPT(CHAR(9),2)&amp;"public virtual "&amp;IF(OR(H12="DateTime",H12="TimeSpan"),H12&amp;"?",H12)&amp;IF(C12="?","? "," ")&amp;D12&amp;" { get; set; }"&amp;$E$3,"")</f>
        <v xml:space="preserve">		public virtual DateTime? FirstSignalTime { get; set; }
</v>
      </c>
      <c r="P12" t="str">
        <f t="shared" ref="P12" si="34">REPT(CHAR(9),7)&amp;D12&amp;" = o." &amp;D12 &amp;","</f>
        <v xml:space="preserve">							FirstSignalTime = o.FirstSignalTime,</v>
      </c>
      <c r="T12" s="69" t="str">
        <f t="shared" ref="T12" si="35">REPT(CHAR(9),8)&amp;"("""&amp;D12&amp;"""),"</f>
        <v xml:space="preserve">								("FirstSignalTime"),</v>
      </c>
      <c r="V12" s="70" t="str">
        <f t="shared" ref="V12" si="36">REPT(CHAR(9),8)&amp;"_ =&gt; _."&amp;D12&amp;","</f>
        <v xml:space="preserve">								_ =&gt; _.FirstSignalTime,</v>
      </c>
      <c r="W12" s="69" t="str">
        <f t="shared" ref="W12" si="37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.WhereIf(input.FirstSignalTime.HasValue, t =&gt; t.FirstSignalTime == input.FirstSignalTime.Value)</v>
      </c>
    </row>
    <row r="13" spans="1:23" customFormat="1" ht="22.5" customHeight="1" x14ac:dyDescent="0.25">
      <c r="A13" t="s">
        <v>318</v>
      </c>
      <c r="B13" t="s">
        <v>308</v>
      </c>
      <c r="C13" t="s">
        <v>1</v>
      </c>
      <c r="D13" t="str">
        <f>SUBSTITUTE(PROPER(A13),"_","")</f>
        <v>LastSignalTime</v>
      </c>
      <c r="E13" t="str">
        <f t="shared" ref="E13" si="38">IFERROR(LEFT(B13, FIND("(",B13)-1),B13)</f>
        <v>datetime2</v>
      </c>
      <c r="F13" s="7" t="s">
        <v>308</v>
      </c>
      <c r="G13" t="str">
        <f t="shared" ref="G13" si="39">IFERROR(MID(B13,FIND("(",B13) +1, FIND(")",B13) - FIND("(",B13) - 1),"")</f>
        <v>7</v>
      </c>
      <c r="H13" t="str">
        <f>+VLOOKUP(E13,'Data Type Mapping'!A:B,2,)</f>
        <v>DateTime</v>
      </c>
      <c r="I13" t="str">
        <f t="shared" ref="I13" si="40">IF(H13="string",REPT(CHAR(9),2)&amp;"public const int Max"&amp;D13&amp;"Length = "&amp;G13&amp;";"&amp;$E$3,"" )</f>
        <v/>
      </c>
      <c r="J13" t="str">
        <f t="shared" ref="J13" si="41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[Column(TypeName="datetime2(7)")]
		public virtual DateTime LastSignalTime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 t="shared" ref="M13" si="42">REPT(CHAR(9),2)&amp;"public virtual "&amp;IF(OR(H13="DateTime",H13="TimeSpan"),H13&amp;"?",H13)&amp;IF(C13="?","? "," ")&amp;D13&amp;" { get; set; }" &amp; "
"</f>
        <v xml:space="preserve">		public virtual DateTime? LastSignalTime { get; set; }
</v>
      </c>
      <c r="N13" t="str">
        <f t="shared" ref="N13" si="43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DateTime? LastSignalTime { get; set; }
</v>
      </c>
      <c r="O13" t="str">
        <f t="shared" ref="O13" si="44">IF(OR(H13="string",H13="DateTime",H13="int"),REPT(CHAR(9),2)&amp;"public virtual "&amp;IF(OR(H13="DateTime",H13="TimeSpan"),H13&amp;"?",H13)&amp;IF(C13="?","? "," ")&amp;D13&amp;" { get; set; }"&amp;$E$3,"")</f>
        <v xml:space="preserve">		public virtual DateTime? LastSignalTime { get; set; }
</v>
      </c>
      <c r="P13" t="str">
        <f t="shared" ref="P13" si="45">REPT(CHAR(9),7)&amp;D13&amp;" = o." &amp;D13 &amp;","</f>
        <v xml:space="preserve">							LastSignalTime = o.LastSignalTime,</v>
      </c>
      <c r="T13" s="69" t="str">
        <f t="shared" ref="T13" si="46">REPT(CHAR(9),8)&amp;"("""&amp;D13&amp;"""),"</f>
        <v xml:space="preserve">								("LastSignalTime"),</v>
      </c>
      <c r="V13" s="70" t="str">
        <f t="shared" ref="V13" si="47">REPT(CHAR(9),8)&amp;"_ =&gt; _."&amp;D13&amp;","</f>
        <v xml:space="preserve">								_ =&gt; _.LastSignalTime,</v>
      </c>
      <c r="W13" s="69" t="str">
        <f t="shared" ref="W13" si="4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.WhereIf(input.LastSignalTime.HasValue, t =&gt; t.LastSignalTime == input.LastSignalTime.Value)</v>
      </c>
    </row>
    <row r="14" spans="1:23" customFormat="1" ht="22.5" customHeight="1" x14ac:dyDescent="0.25">
      <c r="A14" t="s">
        <v>317</v>
      </c>
      <c r="B14" t="s">
        <v>320</v>
      </c>
      <c r="C14" t="s">
        <v>1</v>
      </c>
      <c r="D14" t="str">
        <f>SUBSTITUTE(PROPER(A14),"_","")</f>
        <v>IsCompleted</v>
      </c>
      <c r="E14" t="str">
        <f t="shared" ref="E14:E15" si="49">IFERROR(LEFT(B14, FIND("(",B14)-1),B14)</f>
        <v>varchar</v>
      </c>
      <c r="F14" s="7"/>
      <c r="G14" t="str">
        <f t="shared" ref="G14:G15" si="50">IFERROR(MID(B14,FIND("(",B14) +1, FIND(")",B14) - FIND("(",B14) - 1),"")</f>
        <v>1</v>
      </c>
      <c r="H14" t="str">
        <f>+VLOOKUP(E14,'Data Type Mapping'!A:B,2,)</f>
        <v>string</v>
      </c>
      <c r="I14" t="str">
        <f t="shared" ref="I14:I15" si="51">IF(H14="string",REPT(CHAR(9),2)&amp;"public const int Max"&amp;D14&amp;"Length = "&amp;G14&amp;";"&amp;$E$3,"" )</f>
        <v xml:space="preserve">		public const int MaxIsCompletedLength = 1;
</v>
      </c>
      <c r="J14" t="str">
        <f t="shared" ref="J14:J15" si="52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[StringLength(MaxIsCompletedLength)]
		public virtual string IsCompleted { get; set; }
</v>
      </c>
      <c r="K14" s="7"/>
      <c r="L14" t="str">
        <f>IF(K14="","",REPT(CHAR(9),1)&amp;"[Index(nameof("&amp;IF(D14="","",""&amp;D14)&amp;")"&amp;", Name="&amp;"""IX_"&amp;$B$7&amp;"_"&amp;D14&amp;""")]")</f>
        <v/>
      </c>
      <c r="M14" t="str">
        <f t="shared" ref="M14:M15" si="53">REPT(CHAR(9),2)&amp;"public virtual "&amp;IF(OR(H14="DateTime",H14="TimeSpan"),H14&amp;"?",H14)&amp;IF(C14="?","? "," ")&amp;D14&amp;" { get; set; }" &amp; "
"</f>
        <v xml:space="preserve">		public virtual string IsCompleted { get; set; }
</v>
      </c>
      <c r="N14" t="str">
        <f t="shared" ref="N14:N15" si="54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[StringLength(LgwPikPickingSignalConsts.MaxIsCompletedLength)]
		public virtual string IsCompleted { get; set; }
</v>
      </c>
      <c r="O14" t="str">
        <f t="shared" ref="O14:O15" si="55">IF(OR(H14="string",H14="DateTime",H14="int"),REPT(CHAR(9),2)&amp;"public virtual "&amp;IF(OR(H14="DateTime",H14="TimeSpan"),H14&amp;"?",H14)&amp;IF(C14="?","? "," ")&amp;D14&amp;" { get; set; }"&amp;$E$3,"")</f>
        <v xml:space="preserve">		public virtual string IsCompleted { get; set; }
</v>
      </c>
      <c r="P14" t="str">
        <f t="shared" ref="P14:P15" si="56">REPT(CHAR(9),7)&amp;D14&amp;" = o." &amp;D14 &amp;","</f>
        <v xml:space="preserve">							IsCompleted = o.IsCompleted,</v>
      </c>
      <c r="T14" s="69" t="str">
        <f t="shared" ref="T14:T15" si="57">REPT(CHAR(9),8)&amp;"("""&amp;D14&amp;"""),"</f>
        <v xml:space="preserve">								("IsCompleted"),</v>
      </c>
      <c r="V14" s="70" t="str">
        <f t="shared" ref="V14:V15" si="58">REPT(CHAR(9),8)&amp;"_ =&gt; _."&amp;D14&amp;","</f>
        <v xml:space="preserve">								_ =&gt; _.IsCompleted,</v>
      </c>
      <c r="W14" s="69" t="str">
        <f t="shared" ref="W14:W15" si="59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.WhereIf(!string.IsNullOrWhiteSpace(input.IsCompleted), e =&gt; e.IsCompleted.Contains(input.IsCompleted))</v>
      </c>
    </row>
    <row r="15" spans="1:23" customFormat="1" ht="21" customHeight="1" x14ac:dyDescent="0.25">
      <c r="A15" t="s">
        <v>302</v>
      </c>
      <c r="B15" t="s">
        <v>320</v>
      </c>
      <c r="C15" t="s">
        <v>1</v>
      </c>
      <c r="D15" t="str">
        <f t="shared" ref="D15" si="60">SUBSTITUTE(PROPER(A15),"_","")</f>
        <v>IsActive</v>
      </c>
      <c r="E15" t="str">
        <f t="shared" si="49"/>
        <v>varchar</v>
      </c>
      <c r="F15" s="7"/>
      <c r="G15" t="str">
        <f t="shared" si="50"/>
        <v>1</v>
      </c>
      <c r="H15" t="str">
        <f>+VLOOKUP(E15,'Data Type Mapping'!A:B,2,)</f>
        <v>string</v>
      </c>
      <c r="I15" t="str">
        <f t="shared" si="51"/>
        <v xml:space="preserve">		public const int MaxIsActiveLength = 1;
</v>
      </c>
      <c r="J15" t="str">
        <f t="shared" si="52"/>
        <v xml:space="preserve">		[StringLength(MaxIsActiveLength)]
		public virtual string IsActive { get; set; }
</v>
      </c>
      <c r="K15" s="7" t="s">
        <v>206</v>
      </c>
      <c r="L15" t="str">
        <f t="shared" ref="L15" si="61">IF(K15="","",REPT(CHAR(9),1)&amp;"[Index(nameof("&amp;IF(D15="","",""&amp;D15)&amp;")"&amp;", Name="&amp;"""IX_"&amp;$B$7&amp;"_"&amp;D15&amp;""")]")</f>
        <v xml:space="preserve">	[Index(nameof(IsActive), Name="IX_LgwPikPickingSignal_IsActive")]</v>
      </c>
      <c r="M15" t="str">
        <f t="shared" si="53"/>
        <v xml:space="preserve">		public virtual string IsActive { get; set; }
</v>
      </c>
      <c r="N15" t="str">
        <f t="shared" si="54"/>
        <v xml:space="preserve">		[StringLength(LgwPikPickingSignalConsts.MaxIsActiveLength)]
		public virtual string IsActive { get; set; }
</v>
      </c>
      <c r="O15" t="str">
        <f t="shared" si="55"/>
        <v xml:space="preserve">		public virtual string IsActive { get; set; }
</v>
      </c>
      <c r="P15" t="str">
        <f t="shared" si="56"/>
        <v xml:space="preserve">							IsActive = o.IsActive,</v>
      </c>
      <c r="T15" s="69" t="str">
        <f t="shared" si="57"/>
        <v xml:space="preserve">								("IsActive"),</v>
      </c>
      <c r="V15" s="70" t="str">
        <f t="shared" si="58"/>
        <v xml:space="preserve">								_ =&gt; _.IsActive,</v>
      </c>
      <c r="W15" s="69" t="str">
        <f t="shared" si="59"/>
        <v xml:space="preserve">				.WhereIf(!string.IsNullOrWhiteSpace(input.IsActive), e =&gt; e.IsActive.Contains(input.IsActive))</v>
      </c>
    </row>
    <row r="17" spans="8:23" ht="45.75" customHeight="1" x14ac:dyDescent="0.25">
      <c r="H17" s="12"/>
      <c r="I17" s="34" t="str">
        <f ca="1">TEXTJOIN2("
", TRUE,INDIRECT( $H$1):INDIRECT( $H$3))</f>
        <v xml:space="preserve">		public const int MaxPickingTabletIdLength = 50;
		public const int MaxIsCompletedLength = 1;
		public const int MaxIsActiveLength = 1;
</v>
      </c>
      <c r="J17" s="33" t="str">
        <f ca="1">TEXTJOIN2("
", TRUE,INDIRECT( $F$1):INDIRECT( $F$3))</f>
        <v xml:space="preserve">		[StringLength(MaxPickingTabletIdLength)]
		public virtual string PickingTabletId { get; set; }
		public virtual int TabletProcessId { get; set; }
		public virtual int PickingProgressId { get; set; }
		[Column(TypeName="datetime2(7)")]
		public virtual DateTime FirstSignalTime { get; set; }
		[Column(TypeName="datetime2(7)")]
		public virtual DateTime LastSignalTime { get; set; }
		[StringLength(MaxIsCompletedLength)]
		public virtual string IsCompleted { get; set; }
		[StringLength(MaxIsActiveLength)]
		public virtual string IsActive { get; set; }
</v>
      </c>
      <c r="K17" s="35" t="str">
        <f ca="1">TEXTJOIN2("
", TRUE,INDIRECT( $J$1):INDIRECT( $J$3))</f>
        <v xml:space="preserve">	[Index(nameof(PickingTabletId), Name="IX_LgwPikPickingSignal_PickingTabletId")]
	[Index(nameof(TabletProcessId), Name="IX_LgwPikPickingSignal_TabletProcessId")]
	[Index(nameof(PickingProgressId), Name="IX_LgwPikPickingSignal_PickingProgressId")]
	[Index(nameof(IsActive), Name="IX_LgwPikPickingSignal_IsActive")]</v>
      </c>
      <c r="L17" s="13" t="s">
        <v>60</v>
      </c>
      <c r="M17" s="36" t="str">
        <f ca="1">TEXTJOIN2("
",TRUE,INDIRECT( $L$1):INDIRECT($L$3))</f>
        <v xml:space="preserve">		public virtual string PickingTabletId { get; set; }
		public virtual int TabletProcessId { get; set; }
		public virtual int PickingProgressId { get; set; }
		public virtual DateTime? FirstSignalTime { get; set; }
		public virtual DateTime? LastSignalTime { get; set; }
		public virtual string IsCompleted { get; set; }
		public virtual string IsActive { get; set; }
</v>
      </c>
      <c r="N17" s="33" t="str">
        <f ca="1">TEXTJOIN2("
",TRUE,INDIRECT( $M$1):INDIRECT($M$3))</f>
        <v xml:space="preserve">		[StringLength(LgwPikPickingSignalConsts.MaxPickingTabletIdLength)]
		public virtual string PickingTabletId { get; set; }
		public virtual int TabletProcessId { get; set; }
		public virtual int PickingProgressId { get; set; }
		public virtual DateTime? FirstSignalTime { get; set; }
		public virtual DateTime? LastSignalTime { get; set; }
		[StringLength(LgwPikPickingSignalConsts.MaxIsCompletedLength)]
		public virtual string IsCompleted { get; set; }
		[StringLength(LgwPikPickingSignalConsts.MaxIsActiveLength)]
		public virtual string IsActive { get; set; }
</v>
      </c>
      <c r="O17" s="33" t="str">
        <f ca="1">TEXTJOIN2("
",TRUE,INDIRECT( $N$1):INDIRECT($N$3))</f>
        <v xml:space="preserve">		public virtual string PickingTabletId { get; set; }
		public virtual int TabletProcessId { get; set; }
		public virtual int PickingProgressId { get; set; }
		public virtual DateTime? FirstSignalTime { get; set; }
		public virtual DateTime? LastSignalTime { get; set; }
		public virtual string IsCompleted { get; set; }
		public virtual string IsActive { get; set; }
</v>
      </c>
      <c r="P17" s="9" t="str">
        <f ca="1">TEXTJOIN2("
",TRUE,INDIRECT( $O$1):INDIRECT($O$3))</f>
        <v xml:space="preserve">							PickingTabletId = o.PickingTabletId,
							TabletProcessId = o.TabletProcessId,
							PickingProgressId = o.PickingProgressId,
							FirstSignalTime = o.FirstSignalTime,
							LastSignalTime = o.LastSignalTime,
							IsCompleted = o.IsCompleted,
							IsActive = o.IsActive,</v>
      </c>
      <c r="T17" s="9" t="str">
        <f ca="1">TEXTJOIN2("
",TRUE,INDIRECT( $T$2):INDIRECT($T$3))</f>
        <v xml:space="preserve">								("PickingTabletId"),
								("TabletProcessId"),
								("PickingProgressId"),
								("FirstSignalTime"),
								("LastSignalTime"),
								("IsCompleted"),
								("IsActive"),</v>
      </c>
      <c r="V17" s="9" t="str">
        <f ca="1">TEXTJOIN2("
",TRUE,INDIRECT( $V$2):INDIRECT($V$3))</f>
        <v xml:space="preserve">								_ =&gt; _.PickingTabletId,
								_ =&gt; _.TabletProcessId,
								_ =&gt; _.PickingProgressId,
								_ =&gt; _.FirstSignalTime,
								_ =&gt; _.LastSignalTime,
								_ =&gt; _.IsCompleted,
								_ =&gt; _.IsActive,</v>
      </c>
      <c r="W17" s="9" t="str">
        <f ca="1">TEXTJOIN2("
",TRUE,INDIRECT( $W$2):INDIRECT($W$3))</f>
        <v xml:space="preserve">				.WhereIf(!string.IsNullOrWhiteSpace(input.PickingTabletId), e =&gt; e.PickingTabletId.Contains(input.PickingTabletId))
				.WhereIf(input.FirstSignalTime.HasValue, t =&gt; t.FirstSignalTime == input.FirstSignalTime.Value)
				.WhereIf(input.LastSignalTime.HasValue, t =&gt; t.LastSignalTime == input.LastSignalTime.Value)
				.WhereIf(!string.IsNullOrWhiteSpace(input.IsCompleted), e =&gt; e.IsCompleted.Contains(input.IsCompleted))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tabSelected="1" workbookViewId="0">
      <selection activeCell="B2" sqref="B2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323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Pik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pik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LgwPikPickingSignal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PickingSignal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pickingsignal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LgwPikPickingSignalDto, LgwPikPickingSignalServiceProxy } from '@shared/service-proxies/service-proxies';
import { finalize } from 'rxjs/internal/operators/finalize';
import { CreateOrEditPickingSignalModalComponent } from './create-or-edit-pickingsignal-modal.component';
import { DatePipe } from '@angular/common';
import { FileDownloadService } from '@shared/utils/file-download.service';
import ceil from 'lodash-es/ceil';
import { Paginator } from 'primeng/paginator';
@Component({
    templateUrl: './pickingsignal.component.html',
    styleUrls: ['./pickingsignal.component.less'],
})
export class PickingSignalComponent extends AppComponentBase implements OnInit {
    @ViewChild('createOrEditModalPickingSignal', { static: true }) createOrEditModalPickingSignal:| CreateOrEditPickingSignalModalComponent|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LgwPikPickingSignalDto = new LgwPikPickingSignalDto();
    saveSelectedRow: LgwPikPickingSignalDto = new LgwPikPickingSignalDto();
    datas: LgwPikPickingSignalDto = new LgwPikPickingSignalDto();
    isLoading: boolean = false;
    dataParams: GridParams | undefined;
    rowData: any[] = [];
    gridApi!: GridApi;
    rowSelection = 'multiple';
    filter: string = '';
	pipe = new DatePipe('en-US');
	frameworkComponents: FrameworkComponent;
    pickingTabletId : string = '' ; 
	tabletProcessId : number = 0 ;
	pickingProgressId : number = 0 ;
	firstSignalTime : any ;
	lastSignalTime : any ;
isCompleted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LgwPikPickingSignalServiceProxy,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this.l('Picking Tablet Id'),headerTooltip: this.l('Picking Tablet Id'),field: 'pickingTabletId',flex: 1},
			{headerName: this.l('Tablet Process Id'),headerTooltip: this.l('Tablet Process Id'),field: 'tabletProcessId',flex: 1},
			{headerName: this.l('Picking Progress Id'),headerTooltip: this.l('Picking Progress Id'),field: 'pickingProgressId',flex: 1},
			{headerName: this.l('First Signal Time'),headerTooltip: this.l('First Signal Time'),field: 'firstSignalTime',valueGetter: (params) =&gt; this.pipe.transform(params.data?.firstSignalTime, 'dd/MM/yyyy'),flex: 1},
			{headerName: this.l('Last Signal Time'),headerTooltip: this.l('Last Signal Time'),field: 'lastSignalTime',valueGetter: (params) =&gt; this.pipe.transform(params.data?.lastSignalTime, 'dd/MM/yyyy'),flex: 1},
			{headerName: this.l('Is Completed'),headerTooltip: this.l('Is Completed'),field:  'isCompleted', cellClass: ['text-center'], width: 120, cellRenderer: 'agCellButtonComponent',
buttonDefTwo: { text: params =&gt; (params.data?.'isCompleted' == 'Y') ? 'Active' : 'Inactive',iconName: 'fa fa-circle',className: params =&gt; (params.data?.'isCompleted'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this.pickingTabletId,
			this.tabletProcessId,
			this.pickingProgressId,
			this.firstSignalTime,
			this.lastSignalTime,
			this.isCompleted,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this.pickingTabletId = '',
		this.tabletProcessId = 0,
		this.pickingProgressId = 0,
		this.firstSignalTime = '',
		this.lastSignalTime = '',
this.isCompleted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this.pickingTabletId,
			this.tabletProcessId,
			this.pickingProgressId,
			this.firstSignalTime,
			this.lastSignalTime,
			this.isCompleted,
			this.isActive,
			'',
            this.paginationParams.skipCount,
            this.paginationParams.pageSize
        );
    }
    onChangeRowSelection(params: { api: { getSelectedRows: () =&gt; LgwPikPickingSignalDto[] } }) {
        this.saveSelectedRow = params.api.getSelectedRows()[0] ?? new LgwPikPickingSignalDto();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LgwPikPickingSignalDto):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this._service.getPickingSignalToExcel(
			this.pickingTabletId,
			this.tabletProcessId,
			this.pickingProgressId,
			this.firstSignalTime,
			this.lastSignalTime,
			this.isCompleted,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Picking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type='text' [placeholder]="l('First Signal Time')" [(ngModel)]='firstSignalTime' 
									name='firstSignalTime'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[placeholder]="l('Last Signal Time')" [(ngModel)]='lastSignalTime' 
									name='lastSignalTime'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[(ngModel)]='isCompleted' name='isCompleted'
									class='form-control' [placeholder]="l('Is Completed')"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(click)="createOrEditModalPickingSignal.show()"&gt;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(click)="createOrEditModalPickingSignal.show(selectedRow)"&gt;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&lt;create-or-edit-pickingsignal-modal
    #createOrEditModalPickingSignal
    (modalSave)="callBackDataGrid(dataParams)"
    (modalClose)="onChangeRowSelection(dataParams)"
&gt;
&lt;/create-or-edit-pickingsignal-modal&gt;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#createOrEditModalPickingSignal="bs-modal"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PickingSignal')}}&lt;/h3&gt;
                    &lt;h3 *ngIf="!rowdata.id"&gt;{{('Create New PickingSignal')}}&lt;/h3&gt;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title'&gt;Tablet Process Id&lt;/label&gt;
						&lt;input type='number' class='col-md-10 form-control input-text' name='TabletProcessId' [(ngModel)]='rowdata.tabletProcessId'&gt;
					&lt;/div&gt;
					&lt;div class='col-md-12 form-group row'&gt;
						&lt;label class='col-md-2 form-control title'&gt;Picking Progress Id&lt;/label&gt;
						&lt;input type='number' class='col-md-10 form-control input-text' name='PickingProgressId' [(ngModel)]='rowdata.pickingProgressId'&gt;
					&lt;/div&gt;
					&lt;div class='col-md-12 form-group row'&gt;
						&lt;label class='col-md-2 form-control title'&gt;First Signal Time&lt;/label&gt;
						&lt;input type='text' class='col-md-10 form-control input-text' name='firstSignalTime' 
						#datepicker='bsDatepicker' [(ngModel)]='rowdata.firstSignalTime'  bsDatepicker &gt;
					&lt;/div&gt;
					&lt;div class='col-md-12 form-group row'&gt;
						&lt;label class='col-md-2 form-control title'&gt;Last Signal Time&lt;/label&gt;
						&lt;input type='text' class='col-md-10 form-control input-text' name='lastSignalTime' 
						#datepicker='bsDatepicker' [(ngModel)]='rowdata.lastSignalTime'  bsDatepicker &gt;
					&lt;/div&gt;
					&lt;div class='col-md-12 form-group row'&gt;
						&lt;label class='col-md-2 form-control title'&gt;Is Completed&lt;/label&gt;
						&lt;new-checkbox [(ngModel)]='_isCompleted' name='isCompleted'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CreateOrEditLgwPikPickingSignalDto, LgwPikPickingSignalServiceProxy } from '@shared/service-proxies/service-proxies';
import { BsDatepickerDirective } from 'ngx-bootstrap/datepicker';
@Component({
    selector: 'create-or-edit-pickingsignal-modal',
    templateUrl: './create-or-edit-pickingsignal-modal.component.html',
    styleUrls: ['./create-or-edit-pickingsignal-modal.component.less']
    })
export class CreateOrEditPickingSignalModalComponent extends AppComponentBase {
    @ViewChild('createOrEditModalPickingSignal',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CreateOrEditLgwPikPickingSignalDto = new CreateOrEditLgwPikPickingSignalDto();
    active: boolean = false;
    saving: boolean = false;
    _isCompleted
isActive: boolean;
    constructor(
        injector: Injector,
        private _mstwptPickingSignalService: LgwPikPickingSignalServiceProxy,
    ) 
    {
        super(injector);
    }
    show(rowdata?: CreateOrEditLgwPikPickingSignalDto): void {
        if (!rowdata) this.rowdata = new CreateOrEditLgwPikPickingSignalDto();
        else this.rowdata = rowdata;
		const dateValue =  this.rowdata.firstSignalTime ? new Date(this.rowdata.firstSignalTime?.toString()) : new Date();
		this.datepicker?.bsValueChange.emit(dateValue);
		const dateValue =  this.rowdata.lastSignalTime ? new Date(this.rowdata.lastSignalTime?.toString()) : new Date();
		this.datepicker?.bsValueChange.emit(dateValue);
        this._isCompleted
isActive = (this.rowdata.isCompleted
isActive == "N")? false: true;
        this.active = true;
        this.modal.show();
    } 
    changeActive(event){
        this._isCompleted
isActive = event.target.checked;
    }
    save(): void {
    this.saving = true; 
    this.rowdata.isCompleted
isActive = (this._isCompleted
isActive == true) ? 'Y' : 'N'
    this._mstwptPickingSignalService.createOrEdit(this.rowdata)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PickingSignalRoutingModule } from './pickingsignal-routing.module';
import { PickingSignalComponent } from './pickingsignal.component';
import { CreateOrEditPickingSignalModalComponent } from './create-or-edit-pickingsignal-modal.component';
@NgModule({
    declarations: [
       PickingSignalComponent, 
        CreateOrEditPickingSignalModalComponent
    ],
    imports: [
        AppSharedModule, PickingSignalRoutingModule]
})
export class PickingSignalModule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PickingSignalComponent } from './pickingsignal.component';
const routes: Routes = [{
    path: '',
    component: PickingSignalComponent,
    pathMatch: 'full'
}];
@NgModule({
    imports: [RouterModule.forChild(routes)],
    exports: [RouterModule],
})
export class PickingSignalRoutingModule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AppMenuItem("PickingSignal", "Pages.LogW.Pik.PickingSignal", "flaticon-book",   "/app/main/logw/pik/pickingsignal"),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'logw/pik/pickingsignal',
    loadChildren: () =&gt; import('./logw/pik/pickingsignal/pickingsignal.module').then(m =&gt; m.PickingSignalModule),
    data: { permission: 'Pages.LogW.Pik.PickingSignal' }
},</v>
      </c>
      <c r="R10" s="50" t="str">
        <f>SUBSTITUTE(R9,"MstWptCalendar",$B$6)</f>
        <v>ApiServiceProxies.LgwPikPickingSignalServiceProxy,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H21</v>
      </c>
      <c r="I12" s="31" t="str">
        <f>"I"&amp;COUNTA($A:$A)</f>
        <v>I21</v>
      </c>
      <c r="J12" s="31"/>
      <c r="K12" s="31" t="str">
        <f>"K"&amp;COUNTA($A:$A)</f>
        <v>K21</v>
      </c>
      <c r="L12" s="31" t="str">
        <f>"L"&amp;COUNTA($A:$A)</f>
        <v>L21</v>
      </c>
      <c r="M12" s="31"/>
      <c r="N12" s="31"/>
      <c r="O12" s="31"/>
      <c r="P12" s="31"/>
      <c r="Q12" s="31"/>
      <c r="R12" s="31"/>
      <c r="S12" s="31" t="str">
        <f>"S"&amp;COUNTA($A:$A)</f>
        <v>S21</v>
      </c>
      <c r="T12" s="31" t="str">
        <f>"T"&amp;COUNTA($A:$A)</f>
        <v>T21</v>
      </c>
      <c r="U12" s="31" t="str">
        <f>"U"&amp;COUNTA($A:$A)</f>
        <v>U21</v>
      </c>
      <c r="V12" s="31" t="str">
        <f>"V"&amp;COUNTA($A:$A)</f>
        <v>V21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this.l('Picking Tablet Id'),headerTooltip: this.l('Picking Tablet Id'),field: 'pickingTabletId',flex: 1},
			{headerName: this.l('Tablet Process Id'),headerTooltip: this.l('Tablet Process Id'),field: 'tabletProcessId',flex: 1},
			{headerName: this.l('Picking Progress Id'),headerTooltip: this.l('Picking Progress Id'),field: 'pickingProgressId',flex: 1},
			{headerName: this.l('First Signal Time'),headerTooltip: this.l('First Signal Time'),field: 'firstSignalTime',valueGetter: (params) =&gt; this.pipe.transform(params.data?.firstSignalTime, 'dd/MM/yyyy'),flex: 1},
			{headerName: this.l('Last Signal Time'),headerTooltip: this.l('Last Signal Time'),field: 'lastSignalTime',valueGetter: (params) =&gt; this.pipe.transform(params.data?.lastSignalTime, 'dd/MM/yyyy'),flex: 1},
			{headerName: this.l('Is Completed'),headerTooltip: this.l('Is Completed'),field:  'isCompleted', cellClass: ['text-center'], width: 120, cellRenderer: 'agCellButtonComponent',
buttonDefTwo: { text: params =&gt; (params.data?.'isCompleted' == 'Y') ? 'Active' : 'Inactive',iconName: 'fa fa-circle',className: params =&gt; (params.data?.'isCompleted'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type='text' [placeholder]="l('First Signal Time')" [(ngModel)]='firstSignalTime' 
									name='firstSignalTime'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[placeholder]="l('Last Signal Time')" [(ngModel)]='lastSignalTime' 
									name='lastSignalTime'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[(ngModel)]='isCompleted' name='isCompleted'
									class='form-control' [placeholder]="l('Is Completed')"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title'&gt;Tablet Process Id&lt;/label&gt;
						&lt;input type='number' class='col-md-10 form-control input-text' name='TabletProcessId' [(ngModel)]='rowdata.tabletProcessId'&gt;
					&lt;/div&gt;
					&lt;div class='col-md-12 form-group row'&gt;
						&lt;label class='col-md-2 form-control title'&gt;Picking Progress Id&lt;/label&gt;
						&lt;input type='number' class='col-md-10 form-control input-text' name='PickingProgressId' [(ngModel)]='rowdata.pickingProgressId'&gt;
					&lt;/div&gt;
					&lt;div class='col-md-12 form-group row'&gt;
						&lt;label class='col-md-2 form-control title'&gt;First Signal Time&lt;/label&gt;
						&lt;input type='text' class='col-md-10 form-control input-text' name='firstSignalTime' 
						#datepicker='bsDatepicker' [(ngModel)]='rowdata.firstSignalTime'  bsDatepicker &gt;
					&lt;/div&gt;
					&lt;div class='col-md-12 form-group row'&gt;
						&lt;label class='col-md-2 form-control title'&gt;Last Signal Time&lt;/label&gt;
						&lt;input type='text' class='col-md-10 form-control input-text' name='lastSignalTime' 
						#datepicker='bsDatepicker' [(ngModel)]='rowdata.lastSignalTime'  bsDatepicker &gt;
					&lt;/div&gt;
					&lt;div class='col-md-12 form-group row'&gt;
						&lt;label class='col-md-2 form-control title'&gt;Is Completed&lt;/label&gt;
						&lt;new-checkbox [(ngModel)]='_isCompleted' name='isCompleted'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this.rowdata.firstSignalTime ? new Date(this.rowdata.firstSignalTime?.toString()) : new Date();
		this.datepicker?.bsValueChange.emit(dateValue);
		const dateValue =  this.rowdata.lastSignalTime ? new Date(this.rowdata.lastSignalTime?.toString())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pickingTabletId : string = '' ; 
	tabletProcessId : number = 0 ;
	pickingProgressId : number = 0 ;
	firstSignalTime : any ;
	lastSignalTime : any ;
isCompleted : string = '' ; 
	isActive : string = '' ; </v>
      </c>
      <c r="T13" s="68" t="str">
        <f ca="1">TEXTJOIN2("
",TRUE,INDIRECT(T11):INDIRECT(T12))</f>
        <v xml:space="preserve">			this.pickingTabletId,
			this.tabletProcessId,
			this.pickingProgressId,
			this.firstSignalTime,
			this.lastSignalTime,
			this.isCompleted,
			this.isActive,</v>
      </c>
      <c r="U13" s="68" t="str">
        <f ca="1">TEXTJOIN2("
",TRUE,INDIRECT(U11):INDIRECT(U12))</f>
        <v>this.pickingTabletId = '',
		this.tabletProcessId = 0,
		this.pickingProgressId = 0,
		this.firstSignalTime = '',
		this.lastSignalTime = '',
this.isCompleted = '',
		this.isActive = '',</v>
      </c>
      <c r="V13" s="31" t="str">
        <f ca="1">TEXTJOIN2("
",TRUE,INDIRECT(V11):INDIRECT(V12))</f>
        <v>isCompleted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pickingsignal.component.ts</v>
      </c>
      <c r="I14" s="40" t="str">
        <f>B8&amp;".component.html"</f>
        <v>pickingsignal.component.html</v>
      </c>
      <c r="J14" s="39" t="str">
        <f>B8&amp;".component.less"</f>
        <v>pickingsignal.component.less</v>
      </c>
      <c r="K14" s="40" t="str">
        <f>"create-or-edit-"&amp;B8&amp;"-modal.component.html"</f>
        <v>create-or-edit-pickingsignal-modal.component.html</v>
      </c>
      <c r="L14" s="40" t="str">
        <f>"create-or-edit-"&amp;B8&amp;"-modal.component.ts"</f>
        <v>create-or-edit-pickingsignal-modal.component.ts</v>
      </c>
      <c r="M14" s="40" t="str">
        <f>"create-or-edit-"&amp;B8&amp;"-modal.component.less"</f>
        <v>create-or-edit-pickingsignal-modal.component.less</v>
      </c>
      <c r="N14" s="40" t="str">
        <f>B8&amp;".module.ts"</f>
        <v>pickingsignal.module.ts</v>
      </c>
      <c r="O14" s="40" t="str">
        <f>B8&amp;"-routing.module.ts"</f>
        <v>pickingsignal-routing.module.ts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313</v>
      </c>
      <c r="B15" s="31" t="str">
        <f>SUBSTITUTE(PROPER(A15),"_","")</f>
        <v>PickingTabletId</v>
      </c>
      <c r="C15" s="31" t="str">
        <f>SUBSTITUTE(PROPER(A15),"_"," ")</f>
        <v>Picking Tablet Id</v>
      </c>
      <c r="D15" s="31" t="str">
        <f>LOWER(LEFT(B15,1))&amp;RIGHT(B15,LEN(B15) - 1)</f>
        <v>pickingTabletId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this.l('Picking Tablet Id'),headerTooltip: this.l('Picking Tablet Id'),field: 'pickingTabletId',flex: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[(ngModel)]='pickingTabletId' name='pickingTabletId'
									class='form-control' [placeholder]="l('Picking Tablet Id')"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pickingTabletId : string = '' ; </v>
      </c>
      <c r="T15" s="31" t="str">
        <f>REPT(CHAR(9),3)&amp;"this."&amp;D15&amp;","</f>
        <v xml:space="preserve">			this.pickingTabletId,</v>
      </c>
      <c r="U15" s="31" t="str">
        <f>IF(E15="int","this."&amp;D15&amp;" = 0,","this."&amp;D15&amp;" = '',")</f>
        <v>this.pickingTabletId = '',</v>
      </c>
      <c r="V15" s="31" t="str">
        <f>IF(AND(E15="string",F15="1"),D15,"")</f>
        <v/>
      </c>
    </row>
    <row r="16" spans="1:22" ht="15" customHeight="1" x14ac:dyDescent="0.25">
      <c r="A16" s="44" t="s">
        <v>322</v>
      </c>
      <c r="B16" s="31" t="str">
        <f t="shared" ref="B16:B17" si="0">SUBSTITUTE(PROPER(A16),"_","")</f>
        <v>TabletProcessId</v>
      </c>
      <c r="C16" s="31" t="str">
        <f t="shared" ref="C16:C17" si="1">SUBSTITUTE(PROPER(A16),"_"," ")</f>
        <v>Tablet Process Id</v>
      </c>
      <c r="D16" s="31" t="str">
        <f t="shared" ref="D16:D17" si="2">LOWER(LEFT(B16,1))&amp;RIGHT(B16,LEN(B16) - 1)</f>
        <v>tabletProcessId</v>
      </c>
      <c r="E16" s="31" t="str">
        <f>A.Backend!H10</f>
        <v>int</v>
      </c>
      <c r="F16" s="31" t="str">
        <f>A.Backend!G10</f>
        <v/>
      </c>
      <c r="G16" s="31" t="str">
        <f t="shared" ref="G16:G17" si="3">IF(E16="string"," : string = '' ; ",IF(OR(E16="DateTime",E16="TimeSpan")," : any ;",IF(E16="int"," : number = 0 ;","")))</f>
        <v xml:space="preserve"> : number = 0 ;</v>
      </c>
      <c r="H16" s="38" t="str">
        <f t="shared" ref="H16:H17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this.l('Tablet Process Id'),headerTooltip: this.l('Tablet Process Id'),field: 'tabletProcessId',flex: 1},</v>
      </c>
      <c r="I16" s="38" t="str">
        <f t="shared" ref="I16:I17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17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title'&gt;Tablet Process Id&lt;/label&gt;
						&lt;input type='number' class='col-md-10 form-control input-text' name='TabletProcessId' [(ngModel)]='rowdata.tabletProcessId'&gt;
					&lt;/div&gt;</v>
      </c>
      <c r="L16" s="60" t="str">
        <f t="shared" ref="L16:L17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tabletProcessId : number = 0 ;</v>
      </c>
      <c r="T16" s="31" t="str">
        <f>REPT(CHAR(9),3)&amp;"this."&amp;D16&amp;","</f>
        <v xml:space="preserve">			this.tabletProcessId,</v>
      </c>
      <c r="U16" s="31" t="str">
        <f>IF(E16="int",REPT(CHAR(9),2)&amp;"this."&amp;D16&amp;" = 0,",REPT(CHAR(9),2)&amp;"this."&amp;D16&amp;" = '',")</f>
        <v xml:space="preserve">		this.tabletProcessId = 0,</v>
      </c>
      <c r="V16" s="31" t="str">
        <f t="shared" ref="V16:V17" si="8">IF(AND(E16="string",F16="1"),D16,"")</f>
        <v/>
      </c>
    </row>
    <row r="17" spans="1:22" ht="18" customHeight="1" x14ac:dyDescent="0.25">
      <c r="A17" s="44" t="s">
        <v>321</v>
      </c>
      <c r="B17" s="31" t="str">
        <f t="shared" si="0"/>
        <v>PickingProgressId</v>
      </c>
      <c r="C17" s="31" t="str">
        <f t="shared" si="1"/>
        <v>Picking Progress Id</v>
      </c>
      <c r="D17" s="31" t="str">
        <f t="shared" si="2"/>
        <v>pickingProgressId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this.l('Picking Progress Id'),headerTooltip: this.l('Picking Progress Id'),field: 'pickingProgressId',flex: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title'&gt;Picking Progress Id&lt;/label&gt;
						&lt;input type='number' class='col-md-10 form-control input-text' name='PickingProgressId' [(ngModel)]='rowdata.pickingProgressId'&gt;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" si="9">REPT(CHAR(9),1)&amp;D17&amp;G17</f>
        <v xml:space="preserve">	pickingProgressId : number = 0 ;</v>
      </c>
      <c r="T17" s="31" t="str">
        <f t="shared" ref="T17" si="10">REPT(CHAR(9),3)&amp;"this."&amp;D17&amp;","</f>
        <v xml:space="preserve">			this.pickingProgressId,</v>
      </c>
      <c r="U17" s="31" t="str">
        <f t="shared" ref="U17" si="11">IF(E17="int",REPT(CHAR(9),2)&amp;"this."&amp;D17&amp;" = 0,",REPT(CHAR(9),2)&amp;"this."&amp;D17&amp;" = '',")</f>
        <v xml:space="preserve">		this.pickingProgressId = 0,</v>
      </c>
      <c r="V17" s="31" t="str">
        <f t="shared" si="8"/>
        <v/>
      </c>
    </row>
    <row r="18" spans="1:22" ht="18" customHeight="1" x14ac:dyDescent="0.25">
      <c r="A18" s="44" t="s">
        <v>319</v>
      </c>
      <c r="B18" s="31" t="str">
        <f>SUBSTITUTE(PROPER(A18),"_","")</f>
        <v>FirstSignalTime</v>
      </c>
      <c r="C18" s="31" t="str">
        <f>SUBSTITUTE(PROPER(A18),"_"," ")</f>
        <v>First Signal Time</v>
      </c>
      <c r="D18" s="31" t="str">
        <f>LOWER(LEFT(B18,1))&amp;RIGHT(B18,LEN(B18) - 1)</f>
        <v>firstSignalTime</v>
      </c>
      <c r="E18" s="31" t="str">
        <f>A.Backend!H12</f>
        <v>DateTime</v>
      </c>
      <c r="F18" s="31" t="str">
        <f>A.Backend!G12</f>
        <v>7</v>
      </c>
      <c r="G18" s="31" t="str">
        <f t="shared" ref="G18:G19" si="12">IF(E18="string"," : string = '' ; ",IF(OR(E18="DateTime",E18="TimeSpan")," : any ;",IF(E18="int"," : number = 0 ;","")))</f>
        <v xml:space="preserve"> : any ;</v>
      </c>
      <c r="H18" s="38" t="str">
        <f t="shared" ref="H18:H19" si="13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this.l('First Signal Time'),headerTooltip: this.l('First Signal Time'),field: 'firstSignalTime',valueGetter: (params) =&gt; this.pipe.transform(params.data?.firstSignalTime, 'dd/MM/yyyy'),flex: 1},</v>
      </c>
      <c r="I18" s="38" t="str">
        <f t="shared" ref="I18:I19" si="14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type='text' [placeholder]="l('First Signal Time')" [(ngModel)]='firstSignalTime' 
									name='firstSignalTime' (keydown)='searchDatas()' class='form-control' 
									bsDatepicker #d='bsDatepicker' placement='bottom left'&gt;
									&lt;i class='fa fa-calendar-alt' (click)='d.toggle()'&gt;&lt;/i&gt;
								&lt;/div&gt;</v>
      </c>
      <c r="J18" s="31"/>
      <c r="K18" s="38" t="str">
        <f t="shared" ref="K18:K19" si="15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title'&gt;First Signal Time&lt;/label&gt;
						&lt;input type='text' class='col-md-10 form-control input-text' name='firstSignalTime' 
						#datepicker='bsDatepicker' [(ngModel)]='rowdata.firstSignalTime'  bsDatepicker &gt;
					&lt;/div&gt;</v>
      </c>
      <c r="L18" s="60" t="str">
        <f t="shared" ref="L18:L19" si="16">IF(E18="DateTime",
REPT(CHAR(9),2)&amp;"const dateValue =  this.rowdata."&amp;D18&amp;" ? new Date(this.rowdata."&amp;D18&amp;"?.toString()) : new Date();
"&amp;REPT(CHAR(9),2)&amp;"this.datepicker?.bsValueChange.emit(dateValue);","")</f>
        <v xml:space="preserve">		const dateValue =  this.rowdata.firstSignalTime ? new Date(this.rowdata.firstSignalTime?.toString()) : new Date();
		this.datepicker?.bsValueChange.emit(dateValue);</v>
      </c>
      <c r="M18" s="31"/>
      <c r="N18" s="31"/>
      <c r="O18" s="31"/>
      <c r="P18" s="31"/>
      <c r="Q18" s="31"/>
      <c r="R18" s="31"/>
      <c r="S18" s="31" t="str">
        <f t="shared" ref="S18:S19" si="17">REPT(CHAR(9),1)&amp;D18&amp;G18</f>
        <v xml:space="preserve">	firstSignalTime : any ;</v>
      </c>
      <c r="T18" s="31" t="str">
        <f t="shared" ref="T18:T19" si="18">REPT(CHAR(9),3)&amp;"this."&amp;D18&amp;","</f>
        <v xml:space="preserve">			this.firstSignalTime,</v>
      </c>
      <c r="U18" s="31" t="str">
        <f t="shared" ref="U18:U19" si="19">IF(E18="int",REPT(CHAR(9),2)&amp;"this."&amp;D18&amp;" = 0,",REPT(CHAR(9),2)&amp;"this."&amp;D18&amp;" = '',")</f>
        <v xml:space="preserve">		this.firstSignalTime = '',</v>
      </c>
      <c r="V18" s="31" t="str">
        <f t="shared" ref="V18:V19" si="20">IF(AND(E18="string",F18="1"),D18,"")</f>
        <v/>
      </c>
    </row>
    <row r="19" spans="1:22" ht="15" customHeight="1" x14ac:dyDescent="0.25">
      <c r="A19" s="44" t="s">
        <v>318</v>
      </c>
      <c r="B19" s="31" t="str">
        <f t="shared" ref="B19" si="21">SUBSTITUTE(PROPER(A19),"_","")</f>
        <v>LastSignalTime</v>
      </c>
      <c r="C19" s="31" t="str">
        <f t="shared" ref="C19" si="22">SUBSTITUTE(PROPER(A19),"_"," ")</f>
        <v>Last Signal Time</v>
      </c>
      <c r="D19" s="31" t="str">
        <f t="shared" ref="D19" si="23">LOWER(LEFT(B19,1))&amp;RIGHT(B19,LEN(B19) - 1)</f>
        <v>lastSignalTime</v>
      </c>
      <c r="E19" s="31" t="str">
        <f>A.Backend!H13</f>
        <v>DateTime</v>
      </c>
      <c r="F19" s="31" t="str">
        <f>A.Backend!G13</f>
        <v>7</v>
      </c>
      <c r="G19" s="31" t="str">
        <f t="shared" si="12"/>
        <v xml:space="preserve"> : any ;</v>
      </c>
      <c r="H19" s="38" t="str">
        <f t="shared" si="13"/>
        <v xml:space="preserve">			{headerName: this.l('Last Signal Time'),headerTooltip: this.l('Last Signal Time'),field: 'lastSignalTime',valueGetter: (params) =&gt; this.pipe.transform(params.data?.lastSignalTime, 'dd/MM/yyyy'),flex: 1},</v>
      </c>
      <c r="I19" s="38" t="str">
        <f t="shared" si="14"/>
        <v xml:space="preserve">								&lt;div class='input-search'&gt;
									&lt;input type='text' [placeholder]="l('Last Signal Time')" [(ngModel)]='lastSignalTime' 
									name='lastSignalTime'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si="15"/>
        <v xml:space="preserve">					&lt;div class='col-md-12 form-group row'&gt;
						&lt;label class='col-md-2 form-control title'&gt;Last Signal Time&lt;/label&gt;
						&lt;input type='text' class='col-md-10 form-control input-text' name='lastSignalTime' 
						#datepicker='bsDatepicker' [(ngModel)]='rowdata.lastSignalTime'  bsDatepicker &gt;
					&lt;/div&gt;</v>
      </c>
      <c r="L19" s="60" t="str">
        <f t="shared" si="16"/>
        <v xml:space="preserve">		const dateValue =  this.rowdata.lastSignalTime ? new Date(this.rowdata.lastSignalTime?.toString())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 t="shared" si="17"/>
        <v xml:space="preserve">	lastSignalTime : any ;</v>
      </c>
      <c r="T19" s="31" t="str">
        <f t="shared" si="18"/>
        <v xml:space="preserve">			this.lastSignalTime,</v>
      </c>
      <c r="U19" s="31" t="str">
        <f t="shared" si="19"/>
        <v xml:space="preserve">		this.lastSignalTime = '',</v>
      </c>
      <c r="V19" s="31" t="str">
        <f t="shared" si="20"/>
        <v/>
      </c>
    </row>
    <row r="20" spans="1:22" ht="18" customHeight="1" x14ac:dyDescent="0.25">
      <c r="A20" s="44" t="s">
        <v>317</v>
      </c>
      <c r="B20" s="31" t="str">
        <f>SUBSTITUTE(PROPER(A20),"_","")</f>
        <v>IsCompleted</v>
      </c>
      <c r="C20" s="31" t="str">
        <f>SUBSTITUTE(PROPER(A20),"_"," ")</f>
        <v>Is Completed</v>
      </c>
      <c r="D20" s="31" t="str">
        <f>LOWER(LEFT(B20,1))&amp;RIGHT(B20,LEN(B20) - 1)</f>
        <v>isCompleted</v>
      </c>
      <c r="E20" s="31" t="str">
        <f>A.Backend!H14</f>
        <v>string</v>
      </c>
      <c r="F20" s="31" t="str">
        <f>A.Backend!G14</f>
        <v>1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this.l('Is Completed'),headerTooltip: this.l('Is Completed'),field:  'isCompleted', cellClass: ['text-center'], width: 120, cellRenderer: 'agCellButtonComponent',
buttonDefTwo: { text: params =&gt; (params.data?.'isCompleted' == 'Y') ? 'Active' : 'Inactive',iconName: 'fa fa-circle',className: params =&gt; (params.data?.'isCompleted' == 'Y') ? 'btnActive' : 'btnInActive',},}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[(ngModel)]='isCompleted' name='isCompleted'
									class='form-control' [placeholder]="l('Is Completed')"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Completed&lt;/label&gt;
						&lt;new-checkbox [(ngModel)]='_isCompleted' name='isCompleted' className='col-md-10' &gt; &lt;/new-checkbox&gt;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isCompleted : string = '' ; </v>
      </c>
      <c r="T20" s="31" t="str">
        <f>REPT(CHAR(9),3)&amp;"this."&amp;D20&amp;","</f>
        <v xml:space="preserve">			this.isCompleted,</v>
      </c>
      <c r="U20" s="31" t="str">
        <f>IF(E20="int","this."&amp;D20&amp;" = 0,","this."&amp;D20&amp;" = '',")</f>
        <v>this.isCompleted = '',</v>
      </c>
      <c r="V20" s="31" t="str">
        <f>IF(AND(E20="string",F20="1"),D20,"")</f>
        <v>isCompleted</v>
      </c>
    </row>
    <row r="21" spans="1:22" ht="15" customHeight="1" x14ac:dyDescent="0.25">
      <c r="A21" s="44" t="s">
        <v>302</v>
      </c>
      <c r="B21" s="31" t="str">
        <f t="shared" ref="B21" si="24">SUBSTITUTE(PROPER(A21),"_","")</f>
        <v>IsActive</v>
      </c>
      <c r="C21" s="31" t="str">
        <f t="shared" ref="C21" si="25">SUBSTITUTE(PROPER(A21),"_"," ")</f>
        <v>Is Active</v>
      </c>
      <c r="D21" s="31" t="str">
        <f t="shared" ref="D21" si="26">LOWER(LEFT(B21,1))&amp;RIGHT(B21,LEN(B21) - 1)</f>
        <v>isActive</v>
      </c>
      <c r="E21" s="31" t="str">
        <f>A.Backend!H15</f>
        <v>string</v>
      </c>
      <c r="F21" s="31" t="str">
        <f>A.Backend!G15</f>
        <v>1</v>
      </c>
      <c r="G21" s="31" t="str">
        <f t="shared" ref="G21" si="27">IF(E21="string"," : string = '' ; ",IF(OR(E21="DateTime",E21="TimeSpan")," : any ;",IF(E21="int"," : number = 0 ;","")))</f>
        <v xml:space="preserve"> : string = '' ; </v>
      </c>
      <c r="H21" s="38" t="str">
        <f t="shared" ref="H21" si="28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8" t="str">
        <f t="shared" ref="I21" si="29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31"/>
      <c r="K21" s="38" t="str">
        <f t="shared" ref="K21" si="30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60" t="str">
        <f t="shared" ref="L21" si="31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isActive : string = '' ; </v>
      </c>
      <c r="T21" s="31" t="str">
        <f>REPT(CHAR(9),3)&amp;"this."&amp;D21&amp;","</f>
        <v xml:space="preserve">			this.isActive,</v>
      </c>
      <c r="U21" s="31" t="str">
        <f>IF(E21="int",REPT(CHAR(9),2)&amp;"this."&amp;D21&amp;" = 0,",REPT(CHAR(9),2)&amp;"this."&amp;D21&amp;" = '',")</f>
        <v xml:space="preserve">		this.isActive = '',</v>
      </c>
      <c r="V21" s="31" t="str">
        <f t="shared" ref="V21" si="32">IF(AND(E21="string",F21="1"),D21,"")</f>
        <v>isActive</v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2022-08-09T06:42:52Z</dcterms:modified>
</cp:coreProperties>
</file>
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frame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definedNames>
    <definedName name="_xlnm._FilterDatabase" localSheetId="2" hidden="1">B.Frontend!$A$1:$A$31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C28" i="5" l="1"/>
  <c r="B28" i="5"/>
  <c r="D28" i="5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C22" i="5"/>
  <c r="B22" i="5"/>
  <c r="D22" i="5" s="1"/>
  <c r="C21" i="5"/>
  <c r="B21" i="5"/>
  <c r="D21" i="5" s="1"/>
  <c r="C20" i="5"/>
  <c r="B20" i="5"/>
  <c r="D20" i="5" s="1"/>
  <c r="T20" i="5" s="1"/>
  <c r="C19" i="5"/>
  <c r="B19" i="5"/>
  <c r="D19" i="5" s="1"/>
  <c r="C18" i="5"/>
  <c r="B18" i="5"/>
  <c r="D18" i="5" s="1"/>
  <c r="T18" i="5" s="1"/>
  <c r="C17" i="5"/>
  <c r="B17" i="5"/>
  <c r="D17" i="5" s="1"/>
  <c r="C16" i="5"/>
  <c r="B16" i="5"/>
  <c r="D16" i="5" s="1"/>
  <c r="G18" i="1"/>
  <c r="E18" i="1"/>
  <c r="H18" i="1" s="1"/>
  <c r="D18" i="1"/>
  <c r="V18" i="1" s="1"/>
  <c r="G17" i="1"/>
  <c r="E17" i="1"/>
  <c r="H17" i="1" s="1"/>
  <c r="D17" i="1"/>
  <c r="T17" i="1" s="1"/>
  <c r="G16" i="1"/>
  <c r="E16" i="1"/>
  <c r="H16" i="1" s="1"/>
  <c r="D16" i="1"/>
  <c r="V16" i="1" s="1"/>
  <c r="G15" i="1"/>
  <c r="E15" i="1"/>
  <c r="H15" i="1" s="1"/>
  <c r="D15" i="1"/>
  <c r="T15" i="1" s="1"/>
  <c r="L14" i="1"/>
  <c r="G14" i="1"/>
  <c r="E14" i="1"/>
  <c r="H14" i="1" s="1"/>
  <c r="D14" i="1"/>
  <c r="V14" i="1" s="1"/>
  <c r="L13" i="1"/>
  <c r="G13" i="1"/>
  <c r="E13" i="1"/>
  <c r="H13" i="1" s="1"/>
  <c r="D13" i="1"/>
  <c r="T13" i="1" s="1"/>
  <c r="G12" i="1"/>
  <c r="E12" i="1"/>
  <c r="H12" i="1" s="1"/>
  <c r="D12" i="1"/>
  <c r="V12" i="1" s="1"/>
  <c r="G11" i="1"/>
  <c r="E11" i="1"/>
  <c r="H11" i="1" s="1"/>
  <c r="D11" i="1"/>
  <c r="G10" i="1"/>
  <c r="E10" i="1"/>
  <c r="H10" i="1" s="1"/>
  <c r="D10" i="1"/>
  <c r="V10" i="1" s="1"/>
  <c r="G9" i="1"/>
  <c r="F15" i="5" s="1"/>
  <c r="E9" i="1"/>
  <c r="H9" i="1" s="1"/>
  <c r="E15" i="5" s="1"/>
  <c r="D9" i="1"/>
  <c r="L22" i="1"/>
  <c r="G22" i="1"/>
  <c r="E22" i="1"/>
  <c r="H22" i="1" s="1"/>
  <c r="D22" i="1"/>
  <c r="V22" i="1" s="1"/>
  <c r="L21" i="1"/>
  <c r="G21" i="1"/>
  <c r="E21" i="1"/>
  <c r="H21" i="1" s="1"/>
  <c r="D21" i="1"/>
  <c r="T21" i="1" s="1"/>
  <c r="L20" i="1"/>
  <c r="G20" i="1"/>
  <c r="E20" i="1"/>
  <c r="H20" i="1" s="1"/>
  <c r="D20" i="1"/>
  <c r="V20" i="1" s="1"/>
  <c r="G19" i="1"/>
  <c r="E19" i="1"/>
  <c r="H19" i="1" s="1"/>
  <c r="D19" i="1"/>
  <c r="T19" i="1" s="1"/>
  <c r="L26" i="5" l="1"/>
  <c r="T16" i="1"/>
  <c r="W12" i="1"/>
  <c r="W16" i="1"/>
  <c r="G22" i="5"/>
  <c r="S22" i="5" s="1"/>
  <c r="W10" i="1"/>
  <c r="H16" i="5"/>
  <c r="M19" i="1"/>
  <c r="H25" i="5"/>
  <c r="W14" i="1"/>
  <c r="H20" i="5"/>
  <c r="I9" i="1"/>
  <c r="M21" i="1"/>
  <c r="V27" i="5"/>
  <c r="T10" i="1"/>
  <c r="I26" i="5"/>
  <c r="W18" i="1"/>
  <c r="I24" i="5"/>
  <c r="U26" i="5"/>
  <c r="G26" i="5"/>
  <c r="S26" i="5" s="1"/>
  <c r="U17" i="5"/>
  <c r="K17" i="5"/>
  <c r="H28" i="5"/>
  <c r="I28" i="5"/>
  <c r="H23" i="5"/>
  <c r="H22" i="5"/>
  <c r="I17" i="5"/>
  <c r="U20" i="5"/>
  <c r="V21" i="5"/>
  <c r="K19" i="5"/>
  <c r="I19" i="5"/>
  <c r="U19" i="5"/>
  <c r="H21" i="5"/>
  <c r="L22" i="5"/>
  <c r="H26" i="5"/>
  <c r="V28" i="5"/>
  <c r="L28" i="5"/>
  <c r="V23" i="5"/>
  <c r="K26" i="5"/>
  <c r="G28" i="5"/>
  <c r="S28" i="5" s="1"/>
  <c r="U28" i="5"/>
  <c r="K24" i="5"/>
  <c r="L20" i="5"/>
  <c r="K28" i="5"/>
  <c r="T26" i="5"/>
  <c r="T22" i="5"/>
  <c r="T24" i="5"/>
  <c r="T28" i="5"/>
  <c r="I21" i="5"/>
  <c r="T21" i="5"/>
  <c r="I23" i="5"/>
  <c r="T23" i="5"/>
  <c r="T25" i="5"/>
  <c r="I27" i="5"/>
  <c r="T27" i="5"/>
  <c r="K21" i="5"/>
  <c r="U21" i="5"/>
  <c r="K23" i="5"/>
  <c r="U23" i="5"/>
  <c r="G21" i="5"/>
  <c r="S21" i="5" s="1"/>
  <c r="L21" i="5"/>
  <c r="G23" i="5"/>
  <c r="S23" i="5" s="1"/>
  <c r="L23" i="5"/>
  <c r="L25" i="5"/>
  <c r="T17" i="5"/>
  <c r="T19" i="5"/>
  <c r="T16" i="5"/>
  <c r="G17" i="5"/>
  <c r="S17" i="5" s="1"/>
  <c r="L17" i="5"/>
  <c r="V17" i="5"/>
  <c r="G19" i="5"/>
  <c r="S19" i="5" s="1"/>
  <c r="L19" i="5"/>
  <c r="V19" i="5"/>
  <c r="H17" i="5"/>
  <c r="H19" i="5"/>
  <c r="P14" i="1"/>
  <c r="P20" i="1"/>
  <c r="P12" i="1"/>
  <c r="T14" i="1"/>
  <c r="P18" i="1"/>
  <c r="P22" i="1"/>
  <c r="I19" i="1"/>
  <c r="P10" i="1"/>
  <c r="T12" i="1"/>
  <c r="P16" i="1"/>
  <c r="T18" i="1"/>
  <c r="M11" i="1"/>
  <c r="W11" i="1"/>
  <c r="O11" i="1"/>
  <c r="J11" i="1"/>
  <c r="M15" i="1"/>
  <c r="W15" i="1"/>
  <c r="O15" i="1"/>
  <c r="J15" i="1"/>
  <c r="N15" i="1"/>
  <c r="I15" i="1"/>
  <c r="T9" i="1"/>
  <c r="P9" i="1"/>
  <c r="N9" i="1"/>
  <c r="I11" i="1"/>
  <c r="M17" i="1"/>
  <c r="W17" i="1"/>
  <c r="O17" i="1"/>
  <c r="J17" i="1"/>
  <c r="N17" i="1"/>
  <c r="I17" i="1"/>
  <c r="N11" i="1"/>
  <c r="M13" i="1"/>
  <c r="W13" i="1"/>
  <c r="O13" i="1"/>
  <c r="J13" i="1"/>
  <c r="N13" i="1"/>
  <c r="I13" i="1"/>
  <c r="M9" i="1"/>
  <c r="W9" i="1"/>
  <c r="O9" i="1"/>
  <c r="J9" i="1"/>
  <c r="V9" i="1"/>
  <c r="T11" i="1"/>
  <c r="P11" i="1"/>
  <c r="V11" i="1"/>
  <c r="V13" i="1"/>
  <c r="V15" i="1"/>
  <c r="V17" i="1"/>
  <c r="M10" i="1"/>
  <c r="M12" i="1"/>
  <c r="M14" i="1"/>
  <c r="M16" i="1"/>
  <c r="M18" i="1"/>
  <c r="I21" i="1"/>
  <c r="I10" i="1"/>
  <c r="N10" i="1"/>
  <c r="I12" i="1"/>
  <c r="N12" i="1"/>
  <c r="P13" i="1"/>
  <c r="I14" i="1"/>
  <c r="N14" i="1"/>
  <c r="L15" i="1"/>
  <c r="P15" i="1"/>
  <c r="I16" i="1"/>
  <c r="N16" i="1"/>
  <c r="P17" i="1"/>
  <c r="I18" i="1"/>
  <c r="N18" i="1"/>
  <c r="J10" i="1"/>
  <c r="O10" i="1"/>
  <c r="J12" i="1"/>
  <c r="O12" i="1"/>
  <c r="J14" i="1"/>
  <c r="O14" i="1"/>
  <c r="J16" i="1"/>
  <c r="O16" i="1"/>
  <c r="J18" i="1"/>
  <c r="O18" i="1"/>
  <c r="W22" i="1"/>
  <c r="O22" i="1"/>
  <c r="J22" i="1"/>
  <c r="N22" i="1"/>
  <c r="I22" i="1"/>
  <c r="M22" i="1"/>
  <c r="W20" i="1"/>
  <c r="O20" i="1"/>
  <c r="J20" i="1"/>
  <c r="N20" i="1"/>
  <c r="I20" i="1"/>
  <c r="M20" i="1"/>
  <c r="N21" i="1"/>
  <c r="V21" i="1"/>
  <c r="J19" i="1"/>
  <c r="O19" i="1"/>
  <c r="W19" i="1"/>
  <c r="T20" i="1"/>
  <c r="J21" i="1"/>
  <c r="O21" i="1"/>
  <c r="W21" i="1"/>
  <c r="T22" i="1"/>
  <c r="N19" i="1"/>
  <c r="V19" i="1"/>
  <c r="P19" i="1"/>
  <c r="P21" i="1"/>
  <c r="C15" i="5"/>
  <c r="V26" i="5" l="1"/>
  <c r="V24" i="5"/>
  <c r="L16" i="5"/>
  <c r="I16" i="5"/>
  <c r="G24" i="5"/>
  <c r="S24" i="5" s="1"/>
  <c r="V16" i="5"/>
  <c r="G27" i="5"/>
  <c r="S27" i="5" s="1"/>
  <c r="U16" i="5"/>
  <c r="K27" i="5"/>
  <c r="G16" i="5"/>
  <c r="S16" i="5" s="1"/>
  <c r="H24" i="5"/>
  <c r="L27" i="5"/>
  <c r="U27" i="5"/>
  <c r="K16" i="5"/>
  <c r="L24" i="5"/>
  <c r="U24" i="5"/>
  <c r="I20" i="5"/>
  <c r="G25" i="5"/>
  <c r="S25" i="5" s="1"/>
  <c r="U25" i="5"/>
  <c r="V25" i="5"/>
  <c r="V22" i="5"/>
  <c r="I22" i="5"/>
  <c r="K20" i="5"/>
  <c r="K25" i="5"/>
  <c r="I25" i="5"/>
  <c r="U22" i="5"/>
  <c r="G20" i="5"/>
  <c r="S20" i="5" s="1"/>
  <c r="V20" i="5"/>
  <c r="K22" i="5"/>
  <c r="H27" i="5"/>
  <c r="B15" i="5"/>
  <c r="D15" i="5" s="1"/>
  <c r="T15" i="5" s="1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I18" i="5" l="1"/>
  <c r="L18" i="5"/>
  <c r="H18" i="5"/>
  <c r="G18" i="5"/>
  <c r="S18" i="5" s="1"/>
  <c r="U18" i="5"/>
  <c r="R10" i="5"/>
  <c r="M45" i="3" s="1"/>
  <c r="N38" i="3" l="1"/>
  <c r="B8" i="5"/>
  <c r="B5" i="5"/>
  <c r="P10" i="5" l="1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24" i="1"/>
  <c r="N3" i="1" l="1"/>
  <c r="M3" i="1"/>
  <c r="O3" i="1"/>
  <c r="T12" i="5" l="1"/>
  <c r="H12" i="5"/>
  <c r="I12" i="5"/>
  <c r="K12" i="5"/>
  <c r="U12" i="5"/>
  <c r="L12" i="5"/>
  <c r="V12" i="5"/>
  <c r="S12" i="5"/>
  <c r="R3" i="1" l="1"/>
  <c r="D1" i="1"/>
  <c r="F6" i="1"/>
  <c r="T13" i="5"/>
  <c r="T24" i="1"/>
  <c r="T7" i="1" l="1"/>
  <c r="W24" i="1"/>
  <c r="G6" i="1" l="1"/>
  <c r="K18" i="5" l="1"/>
  <c r="V18" i="5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15" i="5" l="1"/>
  <c r="U15" i="5"/>
  <c r="H15" i="5"/>
  <c r="V15" i="5"/>
  <c r="G15" i="5"/>
  <c r="S15" i="5" s="1"/>
  <c r="L15" i="5"/>
  <c r="K15" i="5"/>
  <c r="I3" i="1"/>
  <c r="B7" i="1"/>
  <c r="I13" i="5"/>
  <c r="U13" i="5"/>
  <c r="S13" i="5"/>
  <c r="L13" i="5"/>
  <c r="H13" i="5"/>
  <c r="V13" i="5"/>
  <c r="K13" i="5"/>
  <c r="L17" i="1" l="1"/>
  <c r="L16" i="1"/>
  <c r="L12" i="1"/>
  <c r="L19" i="1"/>
  <c r="L11" i="1"/>
  <c r="L18" i="1"/>
  <c r="L10" i="1"/>
  <c r="L9" i="1"/>
  <c r="I10" i="5"/>
  <c r="D45" i="3" s="1"/>
  <c r="K10" i="5"/>
  <c r="F45" i="3" s="1"/>
  <c r="H10" i="5"/>
  <c r="C45" i="3" s="1"/>
  <c r="L10" i="5"/>
  <c r="G45" i="3" s="1"/>
  <c r="C7" i="1"/>
  <c r="P24" i="1"/>
  <c r="J24" i="1"/>
  <c r="I24" i="1"/>
  <c r="O24" i="1"/>
  <c r="N24" i="1"/>
  <c r="Q7" i="1" l="1"/>
  <c r="M38" i="3" s="1"/>
  <c r="L7" i="1"/>
  <c r="G38" i="3" s="1"/>
  <c r="K38" i="3"/>
  <c r="J38" i="3"/>
  <c r="K24" i="1"/>
  <c r="M24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<sst xmlns="http://schemas.openxmlformats.org/spreadsheetml/2006/main" count="389" uniqueCount="291">
  <si>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</si>
  <si>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</si>
  <si>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</si>
  <si>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</si>
  <si>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</si>
  <si>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</si>
  <si>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</si>
  <si>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</si>
  <si>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</si>
  <si>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</si>
  <si>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</si>
  <si>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</si>
  <si>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</si>
  <si>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</si>
  <si>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</si>
  <si>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</si>
  <si>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</si>
  <si>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</si>
  <si>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</si>
  <si>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</si>
  <si>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</si>
  <si>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</si>
  <si>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</si>
  <si>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</si>
  <si>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</si>
  <si>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</si>
  <si>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</si>
  <si>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</si>
  <si>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</si>
  <si>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</si>
  <si>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</si>
  <si>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</si>
  <si>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</si>
  <si>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</si>
  <si>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</si>
  <si>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</si>
  <si>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</si>
  <si>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</si>
  <si>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</si>
  <si>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</si>
  <si>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</si>
  <si>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</si>
  <si>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</si>
  <si>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</si>
  <si>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</si>
  <si>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</si>
  <si>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</si>
  <si>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</si>
  <si>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</si>
  <si>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</si>
  <si>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</si>
  <si>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</si>
  <si>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</si>
  <si>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</si>
  <si>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</si>
  <si>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</si>
  <si>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</si>
  <si>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</si>
  <si>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</si>
  <si>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</si>
  <si>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</si>
  <si>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</si>
  <si>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</si>
  <si>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</si>
  <si>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</si>
  <si>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</si>
  <si>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</si>
  <si>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</si>
  <si>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</si>
  <si>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</si>
  <si>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</si>
  <si>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</si>
  <si>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</si>
  <si>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</si>
  <si>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</si>
  <si>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</si>
  <si>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</si>
  <si>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</si>
  <si>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</si>
  <si>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</si>
  <si>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</si>
  <si>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</si>
  <si>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</si>
  <si>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</si>
  <si>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</si>
  <si>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</si>
  <si>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</si>
  <si>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</si>
  <si>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</si>
  <si>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</si>
  <si>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</si>
  <si>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</si>
  <si>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</si>
  <si>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</si>
  <si>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</si>
  <si>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</si>
  <si>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</si>
  <si>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</si>
  <si>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</si>
  <si>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</si>
  <si>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</si>
  <si>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</si>
  <si>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</si>
  <si>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</si>
  <si>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</si>
  <si>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</si>
  <si>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</si>
  <si>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</si>
  <si>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</si>
  <si>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</si>
  <si>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</si>
  <si>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</si>
  <si>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</si>
  <si>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</si>
  <si>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</si>
  <si>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</si>
  <si>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</si>
  <si>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</si>
  <si>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</si>
  <si>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</si>
  <si>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</si>
  <si>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</si>
  <si>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</si>
  <si>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</si>
  <si>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</si>
  <si>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</si>
  <si>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</si>
  <si>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</si>
  <si>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</si>
  <si>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</si>
  <si>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</si>
  <si>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</si>
  <si>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</si>
  <si>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</si>
  <si>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</si>
  <si>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</si>
  <si>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</si>
  <si>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</si>
  <si>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</si>
  <si>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</si>
  <si>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</si>
  <si>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</si>
  <si>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</si>
  <si>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</si>
  <si>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</si>
  <si>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</si>
  <si>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</si>
  <si>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</si>
  <si>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</si>
  <si>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</si>
  <si>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</si>
  <si>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</si>
  <si>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</si>
  <si>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</si>
  <si>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</si>
  <si>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</si>
  <si>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</si>
  <si>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</si>
  <si>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</si>
  <si>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</si>
  <si>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</si>
  <si>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</si>
  <si>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</si>
  <si>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</si>
  <si>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</si>
  <si>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</si>
  <si>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</si>
  <si>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</si>
  <si>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</si>
  <si>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</si>
  <si>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</si>
  <si>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</si>
  <si>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</si>
  <si>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</si>
  <si>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</si>
  <si>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</si>
  <si>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</si>
  <si>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</si>
  <si>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</si>
  <si>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</si>
  <si>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</si>
  <si>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</si>
  <si>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</si>
  <si>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</si>
  <si>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</si>
  <si>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</si>
  <si>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</si>
  <si>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</si>
  <si>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</si>
  <si>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</si>
  <si>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</si>
  <si>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</si>
  <si>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</si>
  <si>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</si>
  <si>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</si>
  <si>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</si>
  <si>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</si>
  <si>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</si>
  <si>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</si>
  <si>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</si>
  <si>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</si>
  <si>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</si>
  <si>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</si>
  <si>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</si>
  <si>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</si>
  <si>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</si>
  <si>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</si>
  <si>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</si>
  <si>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</si>
  <si>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</si>
  <si>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</si>
  <si>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</si>
  <si>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</si>
  <si>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</si>
  <si>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</si>
  <si>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</si>
  <si>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</si>
  <si>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</si>
  <si>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</si>
  <si>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</si>
  <si>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</si>
  <si>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</si>
  <si>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</si>
  <si>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</si>
  <si>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</si>
  <si>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</si>
  <si>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</si>
  <si>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</si>
  <si>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</si>
  <si>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</si>
  <si>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</si>
  <si>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</si>
  <si>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</si>
  <si>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</si>
  <si>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</si>
  <si>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</si>
  <si>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</si>
  <si>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</si>
  <si>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</si>
  <si>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</si>
  <si>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</si>
  <si>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</si>
  <si>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</si>
  <si>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</si>
  <si>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</si>
  <si>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</si>
  <si>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</si>
  <si>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</si>
  <si>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</si>
  <si>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</si>
  <si>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</si>
  <si>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</si>
  <si>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</si>
  <si>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</si>
  <si>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</si>
  <si>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</si>
  <si>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</si>
  <si>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</si>
  <si>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</si>
  <si>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</si>
  <si>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</si>
  <si>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</si>
  <si>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</si>
  <si>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</si>
  <si>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</si>
  <si>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</si>
  <si>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</si>
  <si>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</si>
  <si>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</si>
  <si>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</si>
  <si>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</si>
  <si>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</si>
  <si>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MODEL</t>
  </si>
  <si>
    <t>LOT_NO</t>
  </si>
  <si>
    <t>NO_IN_LOT</t>
  </si>
  <si>
    <t>BODY_NO</t>
  </si>
  <si>
    <t>COLOR</t>
  </si>
  <si>
    <t>varchar(50)</t>
  </si>
  <si>
    <t>IS_ACTIVE</t>
  </si>
  <si>
    <t>VIN_NO</t>
  </si>
  <si>
    <t>GRADE</t>
  </si>
  <si>
    <t>Frame.Andon</t>
  </si>
  <si>
    <t>NO</t>
  </si>
  <si>
    <t>FRAME_ID</t>
  </si>
  <si>
    <t>STATUS</t>
  </si>
  <si>
    <t>PLAN_MONTH</t>
  </si>
  <si>
    <t>PLAN_DATE</t>
  </si>
  <si>
    <t>VERSION</t>
  </si>
  <si>
    <t>FrmAdoFramePlanA1</t>
  </si>
  <si>
    <t>FramePlanA1</t>
  </si>
  <si>
    <t>Frame Andon Frame Plan 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</si>
</sst>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5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opLeftCell="A26" workbookViewId="0">
      <selection activeCell="C38" sqref="C3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vovina.Frame.Andon
{
	[Table("FrmAdoFramePlanA1")]
	[Index(nameof(No), Name="IX_FrmAdoFramePlanA1_No")]
	[Index(nameof(LotNo), Name="IX_FrmAdoFramePlanA1_LotNo")]
	[Index(nameof(NoInLot), Name="IX_FrmAdoFramePlanA1_NoInLot")]
	[Index(nameof(FrameId), Name="IX_FrmAdoFramePlanA1_FrameId")]
	[Index(nameof(PlanMonth), Name="IX_FrmAdoFramePlanA1_PlanMonth")]
	[Index(nameof(PlanDate), Name="IX_FrmAdoFramePlanA1_PlanDate")]
	public class FrmAdoFramePlanA1: FullAuditedEntity&lt;long&gt;, IEntity&lt;long&gt;	
	{
		public const int MaxModelLength = 50;
		public const int MaxLotNoLength = 50;
		public const int MaxBodyNoLength = 50;
		public const int MaxColorLength = 50;
		public const int MaxVinNoLength = 50;
		public const int MaxFrameIdLength = 50;
		public const int MaxStatusLength = 50;
		public const int MaxPlanMonthLength = 50;
		public const int MaxGradeLength = 50;
		public const int MaxVersionLength = 50;
		public const int MaxIsActiveLength = 50;
		public virtual int No { get; set; }
		[StringLength(MaxModelLength)]
		public virtual string Model { get; set; }
		[StringLength(MaxLotNoLength)]
		public virtual string LotNo { get; set; }
		public virtual int NoInLot { get; set; }
		[StringLength(MaxBodyNoLength)]
		public virtual string BodyNo { get; set; }
		[StringLength(MaxColorLength)]
		public virtual string Color { get; set; }
		[StringLength(MaxVinNoLength)]
		public virtual string VinNo { get; set; }
		[StringLength(MaxFrameIdLength)]
		public virtual string FrameId { get; set; }
		[StringLength(MaxStatusLength)]
		public virtual string Status { get; set; }
		[StringLength(MaxPlanMonthLength)]
		public virtual string PlanMonth { get; set; }
		[Column(TypeName="date")]
		public virtual DateTime PlanDate { get; set; }
		[StringLength(MaxGradeLength)]
		public virtual string Grade { get; set; }
		[StringLength(MaxVersionLength)]
		public virtual string Version { get; set; }
		[StringLength(MaxIsActiveLength)]
		public virtual string IsActive { get; set; }
	}
}
</v>
      </c>
      <c r="D38" s="51" t="str">
        <f>A.Backend!O7</f>
        <v xml:space="preserve">		public const string Pages_Frame_Andon_FramePlanA1 = "Pages.Frame.Andon.FramePlanA1";
		public const string Pages_Frame_Andon_FramePlanA1_CreateEdit = "Pages.Frame.Andon.FramePlanA1.CreateEdit";
		public const string Pages_Frame_Andon_FramePlanA1_Delete = "Pages.Frame.Andon.FramePlanA1.Delete";
</v>
      </c>
      <c r="E38" s="51" t="str">
        <f>A.Backend!N7</f>
        <v xml:space="preserve">		var perFrmAdoFramePlanA1 = PARENTS.CreateChildPermission(AppPermissions.Pages_Frame_Andon_FramePlanA1, L( "FrameAndonFramePlanA1"));
		perFrmAdoFramePlanA1.CreateChildPermission(AppPermissions.Pages_Frame_Andon_FramePlanA1_CreateEdit, L( "FrameAndonFramePlanA1CreateEdit"));
		perFrmAdoFramePlanA1.CreateChildPermission(AppPermissions.Pages_Frame_Andon_FramePlanA1_Delete, L( "FrameAndonFramePlanA1Delete"));</v>
      </c>
      <c r="F38" s="51" t="str">
        <f>A.Backend!K7</f>
        <v>public virtual DbSet&lt;FrmAdoFramePlanA1&gt; FrmAdoFramePlanA1s { get; set; }</v>
      </c>
      <c r="G38" s="51" t="str">
        <f ca="1">A.Backend!L7</f>
        <v xml:space="preserve">namespace vovina.Frame.Andon
{
	public class FrmAdoFramePlanA1Consts	
	{
		public const int MaxModelLength = 50;
		public const int MaxLotNoLength = 50;
		public const int MaxBodyNoLength = 50;
		public const int MaxColorLength = 50;
		public const int MaxVinNoLength = 50;
		public const int MaxFrameIdLength = 50;
		public const int MaxStatusLength = 50;
		public const int MaxPlanMonthLength = 50;
		public const int MaxGradeLength = 50;
		public const int MaxVersionLength = 50;
		public const int MaxIsActiveLength = 50;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vovina.Frame.Andon.Dto
{
	public class FrmAdoFramePlanA1Dto : EntityDto&lt;long?&gt;	
	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	public class CreateOrEditFrmAdoFramePlanA1Dto : EntityDto&lt;long?&gt;	
	{
		public virtual int No { get; set; }
		[StringLength(FrmAdoFramePlanA1Consts.MaxModelLength)]
		public virtual string Model { get; set; }
		[StringLength(FrmAdoFramePlanA1Consts.MaxLotNoLength)]
		public virtual string LotNo { get; set; }
		public virtual int NoInLot { get; set; }
		[StringLength(FrmAdoFramePlanA1Consts.MaxBodyNoLength)]
		public virtual string BodyNo { get; set; }
		[StringLength(FrmAdoFramePlanA1Consts.MaxColorLength)]
		public virtual string Color { get; set; }
		[StringLength(FrmAdoFramePlanA1Consts.MaxVinNoLength)]
		public virtual string VinNo { get; set; }
		[StringLength(FrmAdoFramePlanA1Consts.MaxFrameIdLength)]
		public virtual string FrameId { get; set; }
		[StringLength(FrmAdoFramePlanA1Consts.MaxStatusLength)]
		public virtual string Status { get; set; }
		[StringLength(FrmAdoFramePlanA1Consts.MaxPlanMonthLength)]
		public virtual string PlanMonth { get; set; }
		public virtual DateTime? PlanDate { get; set; }
		[StringLength(FrmAdoFramePlanA1Consts.MaxGradeLength)]
		public virtual string Grade { get; set; }
		[StringLength(FrmAdoFramePlanA1Consts.MaxVersionLength)]
		public virtual string Version { get; set; }
		[StringLength(FrmAdoFramePlanA1Consts.MaxIsActiveLength)]
		public virtual string IsActive { get; set; }
	}
	public class GetFrmAdoFramePlanA1Input : PagedAndSortedResultRequestDto	
	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vovina.Frame.Andon.Dto
{
	public class FrmAdoFramePlanA1ExportInput{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vovina.Frame.Andon.Dto;
namespace vovina.Frame.Andon
{
	public interface IFrmAdoFramePlanA1AppService : IApplicationService
	{
		Task&lt;PagedResultDto&lt;FrmAdoFramePlanA1Dto&gt;&gt; GetAll(GetFrmAdoFramePlanA1Input input);
		Task CreateOrEdit(CreateOrEditFrmAdoFramePlanA1Dto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vovina.Frame.Andon.Dto;
namespace vovina.Frame.Andon.Exporting
{
	public interface IFrmAdoFramePlanA1ExcelExporter : IApplicationService
	{
		FileDto ExportToFile(List&lt;FrmAdoFramePlanA1Dto&gt; frmadoframeplana1);
	}
}
</v>
      </c>
      <c r="L38" s="51" t="str">
        <f ca="1">A.Backend!T7</f>
        <v>using System.Collections.Generic;
using vovina.DataExporting.Excel.NPOI;
using vovina.Dto;
using vovina.Frame.Andon.Exporting;
using vovina.Frame.Andon.Dto;
using vovina.Storage;
using vovina.Frame.Andon.Dto;
namespace vovina.Frame.Andon.Exporting
{
    public class FrmAdoFramePlanA1ExcelExporter : NpoiExcelExporterBase, IFrmAdoFramePlanA1ExcelExporter
    {
        public FrmAdoFramePlanA1ExcelExporter(ITempFileCacheManager tempFileCacheManager) : base(tempFileCacheManager) { }
        public FileDto ExportToFile(List&lt;FrmAdoFramePlanA1Dto&gt; frameplana1)
        {
            return CreateExcelPackage(
				"FrameAndonFramePlanA1.xlsx",
				excelPackage =&gt;
				 {
					var sheet = excelPackage.CreateSheet("FramePlanA1");
					AddHeader(
								sheet,
								("No"),
								("Model"),
								("LotNo"),
								("NoInLot"),
								("BodyNo"),
								("Color"),
								("VinNo"),
								("FrameId"),
								("Status"),
								("PlanMonth"),
								("PlanDate"),
								("Grade"),
								("Version"),
								("IsActive"),
							   );
					AddObjects(
						 sheet, 1, frameplana1,                                       
								_ =&gt; _.No,
								_ =&gt; _.Model,
								_ =&gt; _.LotNo,
								_ =&gt; _.NoInLot,
								_ =&gt; _.BodyNo,
								_ =&gt; _.Color,
								_ =&gt; _.VinNo,
								_ =&gt; _.FrameId,
								_ =&gt; _.Status,
								_ =&gt; _.PlanMonth,
								_ =&gt; _.PlanDate,
								_ =&gt; _.Grade,
								_ =&gt; _.Version,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vovina.Frame.Andon.Dto;
using vovina.Frame.Andon.Exporting;
namespace vovina.Frame.Andon
{
    [AbpAuthorize(AppPermissions.Pages_Frame_Andon_FramePlanA1)]
    public class FrmAdoFramePlanA1AppService : vovinaAppServiceBase, IFrmAdoFramePlanA1AppService
    {
        private readonly IDapperRepository&lt;FrmAdoFramePlanA1, long&gt; _dapperRepo;
        private readonly IRepository&lt;FrmAdoFramePlanA1, long&gt; _repo;
        private readonly IFrmAdoFramePlanA1ExcelExporter _calendarListExcelExporter;
        public FrmAdoFramePlanA1AppService(IRepository&lt;FrmAdoFramePlanA1,long&gt; repo, 
                                         IDapperRepository&lt;FrmAdoFramePlanA1,long&gt; dapperRepo,
                                        IFrmAdoFramePlanA1ExcelExporter calendarListExcelExporter
            )
        {
            _repo = repo;
            _dapperRepo = dapperRepo;
            _calendarListExcelExporter = calendarListExcelExporter;
        }
        [AbpAuthorize(AppPermissions.Pages_Frame_Andon_FramePlanA1_CreateEdit)]
        public async Task CreateOrEdit(CreateOrEditFrmAdoFramePlanA1Dto input)
        {
            if (input.Id == null) await Create(input);
            else await Update(input);
        }
        //CREATE
        private async Task Create(CreateOrEditFrmAdoFramePlanA1Dto input)
        {          
            var mainObj = ObjectMapper.Map&lt;FrmAdoFramePlanA1&gt;(input);
            await CurrentUnitOfWork.GetDbContext&lt;vovinaDbContext&gt;().AddAsync(mainObj);
        }
        // EDIT
        private async Task Update(CreateOrEditFrmAdoFramePlanA1Dto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[AbpAuthorize(AppPermissions.Pages_Frame_Andon_FramePlanA1_Delete)]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Task&lt;PagedResultDto&lt;FrmAdoFramePlanA1Dto&gt;&gt; GetAll(GetFrmAdoFramePlanA1Input input)
        {
            var filtered = _repo.GetAll()
				.WhereIf(!string.IsNullOrWhiteSpace(input.Model), e =&gt; e.Model.Contains(input.Model))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.WhereIf(!string.IsNullOrWhiteSpace(input.VinNo), e =&gt; e.VinNo.Contains(input.VinNo))
				.WhereIf(!string.IsNullOrWhiteSpace(input.FrameId), e =&gt; e.FrameId.Contains(input.FrameId))
				.WhereIf(!string.IsNullOrWhiteSpace(input.Status), e =&gt; e.Status.Contains(input.Status))
				.WhereIf(!string.IsNullOrWhiteSpace(input.PlanMonth), e =&gt; e.PlanMonth.Contains(input.PlanMonth))
				.WhereIf(input.PlanDate.HasValue, t =&gt; t.PlanDate == input.PlanDate.Value)
				.WhereIf(!string.IsNullOrWhiteSpace(input.Grade), e =&gt; e.Grade.Contains(input.Grade))
				.WhereIf(!string.IsNullOrWhiteSpace(input.Version), e =&gt; e.Version.Contains(input.Version))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FrmAdoFramePlanA1Dto
                        {
							Id = o.Id,
							No = o.No,
							Model = o.Model,
							LotNo = o.LotNo,
							NoInLot = o.NoInLot,
							BodyNo = o.BodyNo,
							Color = o.Color,
							VinNo = o.VinNo,
							FrameId = o.FrameId,
							Status = o.Status,
							PlanMonth = o.PlanMonth,
							PlanDate = o.PlanDate,
							Grade = o.Grade,
							Version = o.Version,
							IsActive = o.IsActive,
                        };
            var totalCount = await filtered.CountAsync();
			var paged = system.PageBy(input);
            return new PagedResultDto&lt;FrmAdoFramePlanA1Dto&gt;(
                totalCount,
                 await paged.ToListAsync()
            );
        }
        public async Task&lt;FileDto&gt; GetFramePlanA1ToExcel(FrmAdoFramePlanA1ExportInput input)
        {
            var query = from o in _repo.GetAll()
                        select new FrmAdoFramePlanA1Dto
                        {
							Id = o.Id,
							No = o.No,
							Model = o.Model,
							LotNo = o.LotNo,
							NoInLot = o.NoInLot,
							BodyNo = o.BodyNo,
							Color = o.Color,
							VinNo = o.VinNo,
							FrameId = o.FrameId,
							Status = o.Status,
							PlanMonth = o.PlanMonth,
							PlanDate = o.PlanDate,
							Grade = o.Grade,
							Version = o.Version,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_dapperRepo.ExecuteAsync(FrmAdoFramePlanA1Consts.SP_MST_WPT_CALENDAR_GENERATE);
       // }
    }
}</v>
      </c>
      <c r="N38" s="62" t="str">
        <f>A.Backend!U7</f>
        <v xml:space="preserve">  configuration.CreateMap&lt;FrmAdoFramePlanA1Dto, FrmAdoFramePlanA1&gt;();
  configuration.CreateMap&lt;FrmAdoFramePlanA1, FrmAdoFramePlanA1Dto&gt;();
  configuration.CreateMap&lt;CreateOrEditFrmAdoFramePlanA1Dto, FrmAdoFramePlanA1&gt;();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frameplana1</v>
      </c>
      <c r="C43" s="73" t="str">
        <f>"create folder " &amp;B43</f>
        <v>create folder frameplana1</v>
      </c>
      <c r="D43" s="73"/>
      <c r="E43" s="73"/>
      <c r="F43" s="73"/>
      <c r="G43" s="73"/>
      <c r="H43" s="73"/>
      <c r="I43" s="73"/>
      <c r="J43" s="73"/>
      <c r="K43" s="74" t="s">
        <v>228</v>
      </c>
      <c r="L43" s="74"/>
      <c r="M43" s="31"/>
    </row>
    <row r="44" spans="1:14" s="28" customFormat="1" ht="18" customHeight="1" x14ac:dyDescent="0.25">
      <c r="B44" s="60" t="s">
        <v>229</v>
      </c>
      <c r="C44" s="31" t="str">
        <f>B.Frontend!H14</f>
        <v>frameplana1.component.ts</v>
      </c>
      <c r="D44" s="31" t="str">
        <f>B.Frontend!I14</f>
        <v>frameplana1.component.html</v>
      </c>
      <c r="E44" s="31" t="str">
        <f>B.Frontend!J14</f>
        <v>frameplana1.component.less</v>
      </c>
      <c r="F44" s="31" t="str">
        <f>B.Frontend!K14</f>
        <v>create-or-edit-frameplana1-modal.component.html</v>
      </c>
      <c r="G44" s="31" t="str">
        <f>B.Frontend!L14</f>
        <v>create-or-edit-frameplana1-modal.component.ts</v>
      </c>
      <c r="H44" s="31" t="str">
        <f>B.Frontend!M14</f>
        <v>create-or-edit-frameplana1-modal.component.less</v>
      </c>
      <c r="I44" s="31" t="str">
        <f>B.Frontend!N14</f>
        <v>frameplana1.module.ts</v>
      </c>
      <c r="J44" s="31" t="str">
        <f>B.Frontend!O14</f>
        <v>frameplana1-routing.module.ts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FrmAdoFramePlanA1Dto, FrmAdoFramePlanA1ServiceProxy } from '@shared/service-proxies/service-proxies';
import { finalize } from 'rxjs/internal/operators/finalize';
import { CreateOrEditFramePlanA1ModalComponent } from './create-or-edit-frameplana1-modal.component';
import { DatePipe } from '@angular/common';
import { FileDownloadService } from '@shared/utils/file-download.service';
import ceil from 'lodash-es/ceil';
import { Paginator } from 'primeng/paginator';
@Component({
    templateUrl: './frameplana1.component.html',
    styleUrls: ['./frameplana1.component.less'],
})
export class FramePlanA1Component extends AppComponentBase implements OnInit {
    @ViewChild('createOrEditModalFramePlanA1', { static: true }) createOrEditModalFramePlanA1:| CreateOrEditFramePlanA1ModalComponent|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FrmAdoFramePlanA1Dto = new FrmAdoFramePlanA1Dto();
    saveSelectedRow: FrmAdoFramePlanA1Dto = new FrmAdoFramePlanA1Dto();
    datas: FrmAdoFramePlanA1Dto = new FrmAdoFramePlanA1Dto();
    isLoading: boolean = false;
    dataParams: GridParams | undefined;
    rowData: any[] = [];
    gridApi!: GridApi;
    rowSelection = 'multiple';
    filter: string = '';
	pipe = new DatePipe('en-US');
    no : number = 0 ;
model : string = '' ; 
	lotNo : string = '' ; 
	noInLot : number = 0 ;
	bodyNo : string = '' ; 
	color : string = '' ; 
vinNo : string = '' ; 
	frameId : string = '' ; 
	status : string = '' ; 
	planMonth : string = '' ; 
	planDate : any ;
	grade : string = '' ; 
	version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FrmAdoFramePlanA1ServiceProxy,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this.l('No'),headerTooltip: this.l('No'),field: 'no',flex: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this.l('Vin No'),headerTooltip: this.l('Vin No'),field: 'vinNo',flex: 1},
			{headerName: this.l('Frame Id'),headerTooltip: this.l('Frame Id'),field: 'frameId',flex: 1},
			{headerName: this.l('Status'),headerTooltip: this.l('Status'),field: 'status',flex: 1},
			{headerName: this.l('Plan Month'),headerTooltip: this.l('Plan Month'),field: 'planMonth',flex: 1},
			{headerName: this.l('Plan Date'),headerTooltip: this.l('Plan Date'),field: 'planDate',valueGetter: (params) =&gt; this.pipe.transform(params.data?.planDate, 'dd/MM/yyyy'),flex: 1},
			{headerName: this.l('Grade'),headerTooltip: this.l('Grade'),field: 'grade',flex: 1},
			{headerName: this.l('Version'),headerTooltip: this.l('Version'),field: 'version',flex: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this.no,
			this.model,
			this.lotNo,
			this.noInLot,
			this.bodyNo,
			this.color,
			this.vinNo,
			this.frameId,
			this.status,
			this.planMonth,
			this.planDate,
			this.grade,
			this.version,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this.no = 0,
this.model = '',
		this.lotNo = '',
		this.noInLot = 0,
		this.bodyNo = '',
		this.color = '',
this.vinNo = '',
		this.frameId = '',
		this.status = '',
		this.planMonth = '',
		this.planDate = '',
		this.grade = '',
		this.version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this.no,
			this.model,
			this.lotNo,
			this.noInLot,
			this.bodyNo,
			this.color,
			this.vinNo,
			this.frameId,
			this.status,
			this.planMonth,
			this.planDate,
			this.grade,
			this.version,
			this.isActive,
			'',
            this.paginationParams.skipCount,
            this.paginationParams.pageSize
        );
    }
    onChangeRowSelection(params: { api: { getSelectedRows: () =&gt; FrmAdoFramePlanA1Dto[] } }) {
        this.saveSelectedRow = params.api.getSelectedRows()[0] ?? new FrmAdoFramePlanA1Dto();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FrmAdoFramePlanA1Dto):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this._service.getFramePlanA1ToExcel(
			this.no,
			this.model,
			this.lotNo,
			this.noInLot,
			this.bodyNo,
			this.color,
			this.vinNo,
			this.frameId,
			this.status,
			this.planMonth,
			this.planDate,
			this.grade,
			this.version,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Andon Frame Plan A1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[(ngModel)]='frameId' name='frameId'
									class='form-control' [placeholder]="l('Frame Id')"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[(ngModel)]='planMonth' name='planMonth'
									class='form-control' [placeholder]="l('Plan Month')"
									type='text' (keyup.enter)='searchDatas()'&gt;
								&lt;/div&gt;
								&lt;div class='input-search'&gt;
									&lt;input type='text' [placeholder]="l('Plan Date')" [(ngModel)]='planDate' 
									name='planDate'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[(ngModel)]='version' name='version'
									class='form-control' [placeholder]="l('Version')"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(click)="createOrEditModalFramePlanA1.show()"&gt;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(click)="createOrEditModalFramePlanA1.show(selectedRow)"&gt;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&lt;create-or-edit-frameplana1-modal
    #createOrEditModalFramePlanA1
    (modalSave)="callBackDataGrid(dataParams)"
    (modalClose)="onChangeRowSelection(dataParams)"
&gt;
&lt;/create-or-edit-frameplana1-modal&gt;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#createOrEditModalFramePlanA1="bs-modal"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FramePlanA1')}}&lt;/h3&gt;
                    &lt;h3 *ngIf="!rowdata.id"&gt;{{('Create New FramePlanA1')}}&lt;/h3&gt;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title'&gt;No&lt;/label&gt;
						&lt;input type='number' class='col-md-10 form-control input-text' name='No' [(ngModel)]='rowdata.no'&gt;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title'&gt;Frame Id&lt;/label&gt;
						&lt;input type='text' class='col-md-10 form-control input-text' name='FrameId' [(ngModel)]='rowdata.frameId'&gt;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title'&gt;Plan Month&lt;/label&gt;
						&lt;input type='text' class='col-md-10 form-control input-text' name='PlanMonth' [(ngModel)]='rowdata.planMonth'&gt;
					&lt;/div&gt;
					&lt;div class='col-md-12 form-group row'&gt;
						&lt;label class='col-md-2 form-control title'&gt;Plan Date&lt;/label&gt;
						&lt;input type='text' class='col-md-10 form-control input-text' name='planDate' 
						#datepicker='bsDatepicker' [(ngModel)]='rowdata.planDate'  bsDatepicker 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title'&gt;Version&lt;/label&gt;
						&lt;input type='text' class='col-md-10 form-control input-text' name='Version' [(ngModel)]='rowdata.version'&gt;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CreateOrEditFrmAdoFramePlanA1Dto, FrmAdoFramePlanA1ServiceProxy } from '@shared/service-proxies/service-proxies';
import { BsDatepickerDirective } from 'ngx-bootstrap/datepicker';
@Component({
    selector: 'create-or-edit-frameplana1-modal',
    templateUrl: './create-or-edit-frameplana1-modal.component.html',
    styleUrls: ['./create-or-edit-frameplana1-modal.component.less']
    })
export class CreateOrEditFramePlanA1ModalComponent extends AppComponentBase {
    @ViewChild('createOrEditModalFramePlanA1',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CreateOrEditFrmAdoFramePlanA1Dto = new CreateOrEditFrmAdoFramePlanA1Dto();
    active: boolean = false;
    saving: boolean = false;
    _: boolean;
    constructor(
        injector: Injector,
        private _mstwptFramePlanA1Service: FrmAdoFramePlanA1ServiceProxy,
    ) 
    {
        super(injector);
    }
    show(rowdata?: CreateOrEditFrmAdoFramePlanA1Dto): void {
        if (!rowdata) this.rowdata = new CreateOrEditFrmAdoFramePlanA1Dto();
        else this.rowdata = rowdata;
		const dateValue =  this.rowdata.planDate ? new Date(this.rowdata.planDate?.toString())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this._mstwptFramePlanA1Service.createOrEdit(this.rowdata)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FramePlanA1RoutingModule } from './frameplana1-routing.module';
import { FramePlanA1Component } from './frameplana1.component';
import { CreateOrEditFramePlanA1ModalComponent } from './create-or-edit-frameplana1-modal.component';
@NgModule({
    declarations: [
       FramePlanA1Component, 
        CreateOrEditFramePlanA1ModalComponent
    ],
    imports: [
        AppSharedModule, FramePlanA1RoutingModule]
})
export class FramePlanA1Module {}</v>
      </c>
      <c r="J45" s="49" t="str">
        <f>B.Frontend!O10</f>
        <v>import {NgModule} from '@angular/core';
import {RouterModule, Routes} from '@angular/router';
import { FramePlanA1Component } from './frameplana1.component';
const routes: Routes = [{
    path: '',
    component: FramePlanA1Component,
    pathMatch: 'full'
}];
@NgModule({
    imports: [RouterModule.forChild(routes)],
    exports: [RouterModule],
})
export class FramePlanA1RoutingModule {}</v>
      </c>
      <c r="K45" s="49" t="str">
        <f>B.Frontend!P10</f>
        <v xml:space="preserve"> new AppMenuItem("FramePlanA1", "Pages.Frame.Andon.FramePlanA1", "flaticon-book",   "/app/main/frame/andon/frameplana1"),</v>
      </c>
      <c r="L45" s="50" t="str">
        <f>B.Frontend!Q10</f>
        <v>{
    path: 'frame/andon/frameplana1',
    loadChildren: () =&gt; import('./frame/andon/frameplana1/frameplana1.module').then(m =&gt; m.FramePlanA1Module),
    data: { permission: 'Pages.Frame.Andon.FramePlanA1' }
},</v>
      </c>
      <c r="M45" s="48" t="str">
        <f>B.Frontend!R10</f>
        <v>ApiServiceProxies.FrmAdoFramePlanA1ServiceProxy,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4"/>
  <sheetViews>
    <sheetView tabSelected="1" workbookViewId="0">
      <pane xSplit="1" topLeftCell="B1" activePane="topRight" state="frozen"/>
      <selection pane="topRight" activeCell="K7" sqref="K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vovina.Frame.Andon.Dto;</v>
      </c>
      <c r="E1" s="10" t="s">
        <v>269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260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281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259</v>
      </c>
    </row>
    <row r="3" spans="1:23" s="11" customFormat="1" ht="33" customHeight="1" x14ac:dyDescent="0.25">
      <c r="A3" s="1" t="s">
        <v>5</v>
      </c>
      <c r="B3" s="30" t="s">
        <v>288</v>
      </c>
      <c r="C3" s="10" t="s">
        <v>43</v>
      </c>
      <c r="D3" s="10" t="s">
        <v>44</v>
      </c>
      <c r="E3" s="10" t="s">
        <v>39</v>
      </c>
      <c r="F3" s="11" t="str">
        <f>"J"&amp;COUNTA($A:$A)</f>
        <v>J22</v>
      </c>
      <c r="G3" s="4" t="s">
        <v>57</v>
      </c>
      <c r="H3" s="10" t="str">
        <f>"I"&amp;COUNTA($A:$A)</f>
        <v>I22</v>
      </c>
      <c r="I3" s="10" t="str">
        <f>REPT(CHAR(9),2)&amp;"[Required]"&amp;"
"</f>
        <v xml:space="preserve">		[Required]
</v>
      </c>
      <c r="J3" s="11" t="str">
        <f>"L"&amp;COUNTA($A:$A)</f>
        <v>L22</v>
      </c>
      <c r="K3" s="5" t="s">
        <v>56</v>
      </c>
      <c r="L3" s="11" t="str">
        <f>"M"&amp;COUNTA($A:$A)</f>
        <v>M22</v>
      </c>
      <c r="M3" s="11" t="str">
        <f>"N"&amp;COUNTA($A:$A)</f>
        <v>N22</v>
      </c>
      <c r="N3" s="11" t="str">
        <f>"O"&amp;COUNTA($A:$A)</f>
        <v>O22</v>
      </c>
      <c r="O3" s="11" t="str">
        <f>"P"&amp;COUNTA($A:$A)</f>
        <v>P22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FrmAdoFramePlanA1ExportInput{
</v>
      </c>
      <c r="S3" s="11" t="str">
        <f>"namespace "&amp;$B$6&amp;".Exporting
"&amp;$C$3</f>
        <v xml:space="preserve">namespace vovina.Frame.Andon.Exporting
{
</v>
      </c>
      <c r="T3" s="11" t="str">
        <f>"T"&amp;COUNTA($A:$A)</f>
        <v>T22</v>
      </c>
      <c r="V3" s="11" t="str">
        <f>"V"&amp;COUNTA($A:$A)</f>
        <v>V22</v>
      </c>
      <c r="W3" s="10" t="str">
        <f>"W"&amp;COUNTA($A:$A)</f>
        <v>W22</v>
      </c>
    </row>
    <row r="4" spans="1:23" s="11" customFormat="1" ht="33" customHeight="1" x14ac:dyDescent="0.25">
      <c r="A4" s="1" t="s">
        <v>237</v>
      </c>
      <c r="B4" s="64" t="s">
        <v>90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289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vovina.Frame.Andon</v>
      </c>
      <c r="C6" s="11" t="str">
        <f>"namespace "&amp;$B$6&amp;"
"&amp;$C$3</f>
        <v xml:space="preserve">namespace vovina.Frame.Andon
{
</v>
      </c>
      <c r="D6" s="11" t="str">
        <f>REPT(CHAR(9),1)&amp;"public class "&amp;B3&amp;G3&amp;REPT(CHAR(9),1)&amp;"
"&amp;REPT(CHAR(9),1)&amp;C3</f>
        <v xml:space="preserve">	public class FrmAdoFramePlanA1: FullAuditedEntity&lt;long&gt;, IEntity&lt;long&gt;	
	{
</v>
      </c>
      <c r="E6" s="11" t="str">
        <f>REPT(CHAR(9),1)&amp;"public class "&amp;B3&amp;"Consts"&amp;REPT(CHAR(9),1)&amp;"
"&amp;REPT(CHAR(9),1)&amp;C3</f>
        <v xml:space="preserve">	public class FrmAdoFramePlanA1Consts	
	{
</v>
      </c>
      <c r="F6" s="11" t="str">
        <f>REPT(CHAR(9),1)&amp;"public class "&amp;B3&amp;"Dto"&amp;K3&amp;REPT(CHAR(9),1)&amp;"
"&amp;REPT(CHAR(9),1)&amp;C3</f>
        <v xml:space="preserve">	public class FrmAdoFramePlanA1Dto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CreateOrEditFrmAdoFramePlanA1Dto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GetFrmAdoFramePlanA1Input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FrmAdoFramePlanA1</v>
      </c>
      <c r="C7" s="11" t="str">
        <f>REPT(CHAR(9),1)&amp;"[Table("""&amp;B7&amp;""")]"&amp;"
"</f>
        <v xml:space="preserve">	[Table("FrmAdoFramePlanA1")]
</v>
      </c>
      <c r="D7" s="11"/>
      <c r="E7" s="11"/>
      <c r="F7" s="11"/>
      <c r="G7" s="11"/>
      <c r="H7" s="11"/>
      <c r="I7" s="11"/>
      <c r="J7" s="6" t="str">
        <f ca="1">SUBSTITUTE(SUBSTITUTE((B1&amp;C6&amp;C7&amp;K24&amp;D6&amp;I24&amp;E3&amp;J24&amp;""&amp;REPT(CHAR(9),1)&amp;D3&amp;D3),"WorkingPattern",$Q$3),"Master",$B$4)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vovina.Frame.Andon
{
	[Table("FrmAdoFramePlanA1")]
	[Index(nameof(No), Name="IX_FrmAdoFramePlanA1_No")]
	[Index(nameof(LotNo), Name="IX_FrmAdoFramePlanA1_LotNo")]
	[Index(nameof(NoInLot), Name="IX_FrmAdoFramePlanA1_NoInLot")]
	[Index(nameof(FrameId), Name="IX_FrmAdoFramePlanA1_FrameId")]
	[Index(nameof(PlanMonth), Name="IX_FrmAdoFramePlanA1_PlanMonth")]
	[Index(nameof(PlanDate), Name="IX_FrmAdoFramePlanA1_PlanDate")]
	public class FrmAdoFramePlanA1: FullAuditedEntity&lt;long&gt;, IEntity&lt;long&gt;	
	{
		public const int MaxModelLength = 50;
		public const int MaxLotNoLength = 50;
		public const int MaxBodyNoLength = 50;
		public const int MaxColorLength = 50;
		public const int MaxVinNoLength = 50;
		public const int MaxFrameIdLength = 50;
		public const int MaxStatusLength = 50;
		public const int MaxPlanMonthLength = 50;
		public const int MaxGradeLength = 50;
		public const int MaxVersionLength = 50;
		public const int MaxIsActiveLength = 50;
		public virtual int No { get; set; }
		[StringLength(MaxModelLength)]
		public virtual string Model { get; set; }
		[StringLength(MaxLotNoLength)]
		public virtual string LotNo { get; set; }
		public virtual int NoInLot { get; set; }
		[StringLength(MaxBodyNoLength)]
		public virtual string BodyNo { get; set; }
		[StringLength(MaxColorLength)]
		public virtual string Color { get; set; }
		[StringLength(MaxVinNoLength)]
		public virtual string VinNo { get; set; }
		[StringLength(MaxFrameIdLength)]
		public virtual string FrameId { get; set; }
		[StringLength(MaxStatusLength)]
		public virtual string Status { get; set; }
		[StringLength(MaxPlanMonthLength)]
		public virtual string PlanMonth { get; set; }
		[Column(TypeName="date")]
		public virtual DateTime PlanDate { get; set; }
		[StringLength(MaxGradeLength)]
		public virtual string Grade { get; set; }
		[StringLength(MaxVersionLength)]
		public virtual string Version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DbSet&lt;FrmAdoFramePlanA1&gt; FrmAdoFramePlanA1s { get; set; }</v>
      </c>
      <c r="L7" t="str">
        <f ca="1">SUBSTITUTE(SUBSTITUTE((C6&amp;E6&amp;I24&amp;"
"&amp;REPT(CHAR(9),2)&amp;"// Define Store Name: Format SP_ + &lt;Store Name&gt; = &lt;Store Name&gt;
"&amp;E3&amp;REPT(CHAR(9),1)&amp;D3&amp;D3),"WorkingPattern",$Q$3),"Master",$B$4)</f>
        <v xml:space="preserve">namespace vovina.Frame.Andon
{
	public class FrmAdoFramePlanA1Consts	
	{
		public const int MaxModelLength = 50;
		public const int MaxLotNoLength = 50;
		public const int MaxBodyNoLength = 50;
		public const int MaxColorLength = 50;
		public const int MaxVinNoLength = 50;
		public const int MaxFrameIdLength = 50;
		public const int MaxStatusLength = 50;
		public const int MaxPlanMonthLength = 50;
		public const int MaxGradeLength = 50;
		public const int MaxVersionLength = 50;
		public const int MaxIsActiveLength = 50;
		// Define Store Name: Format SP_ + &lt;Store Name&gt; = &lt;Store Name&gt;
	}
}
</v>
      </c>
      <c r="M7" t="str">
        <f ca="1">SUBSTITUTE(SUBSTITUTE((C1&amp;"namespace "&amp;B6&amp;".Dto"&amp;E3&amp;C3&amp;F6&amp;M24&amp;E3&amp;REPT(CHAR(9),1)&amp;D3&amp;G6&amp;N24&amp;REPT(CHAR(9),1)&amp;D3&amp;H6&amp;O24&amp;"
"&amp;REPT(CHAR(9),1)&amp;D3&amp;D3),"WorkingPattern",$Q$3),"Master",$B$4)</f>
        <v xml:space="preserve">using Abp.Application.Services.Dto;
using System;
using System.ComponentModel.DataAnnotations;
namespace vovina.Frame.Andon.Dto
{
	public class FrmAdoFramePlanA1Dto : EntityDto&lt;long?&gt;	
	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	public class CreateOrEditFrmAdoFramePlanA1Dto : EntityDto&lt;long?&gt;	
	{
		public virtual int No { get; set; }
		[StringLength(FrmAdoFramePlanA1Consts.MaxModelLength)]
		public virtual string Model { get; set; }
		[StringLength(FrmAdoFramePlanA1Consts.MaxLotNoLength)]
		public virtual string LotNo { get; set; }
		public virtual int NoInLot { get; set; }
		[StringLength(FrmAdoFramePlanA1Consts.MaxBodyNoLength)]
		public virtual string BodyNo { get; set; }
		[StringLength(FrmAdoFramePlanA1Consts.MaxColorLength)]
		public virtual string Color { get; set; }
		[StringLength(FrmAdoFramePlanA1Consts.MaxVinNoLength)]
		public virtual string VinNo { get; set; }
		[StringLength(FrmAdoFramePlanA1Consts.MaxFrameIdLength)]
		public virtual string FrameId { get; set; }
		[StringLength(FrmAdoFramePlanA1Consts.MaxStatusLength)]
		public virtual string Status { get; set; }
		[StringLength(FrmAdoFramePlanA1Consts.MaxPlanMonthLength)]
		public virtual string PlanMonth { get; set; }
		public virtual DateTime? PlanDate { get; set; }
		[StringLength(FrmAdoFramePlanA1Consts.MaxGradeLength)]
		public virtual string Grade { get; set; }
		[StringLength(FrmAdoFramePlanA1Consts.MaxVersionLength)]
		public virtual string Version { get; set; }
		[StringLength(FrmAdoFramePlanA1Consts.MaxIsActiveLength)]
		public virtual string IsActive { get; set; }
	}
	public class GetFrmAdoFramePlanA1Input : PagedAndSortedResultRequestDto	
	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perFrmAdoFramePlanA1 = PARENTS.CreateChildPermission(AppPermissions.Pages_Frame_Andon_FramePlanA1, L( "FrameAndonFramePlanA1"));
		perFrmAdoFramePlanA1.CreateChildPermission(AppPermissions.Pages_Frame_Andon_FramePlanA1_CreateEdit, L( "FrameAndonFramePlanA1CreateEdit"));
		perFrmAdoFramePlanA1.CreateChildPermission(AppPermissions.Pages_Frame_Andon_FramePlanA1_Delete, L( "FrameAndonFramePlanA1Delete"));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Pages_Frame_Andon_FramePlanA1 = "Pages.Frame.Andon.FramePlanA1";
		public const string Pages_Frame_Andon_FramePlanA1_CreateEdit = "Pages.Frame.Andon.FramePlanA1.CreateEdit";
		public const string Pages_Frame_Andon_FramePlanA1_Delete = "Pages.Frame.Andon.FramePlanA1.Delete";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vovina.Frame.Andon.Dto;
namespace vovina.Frame.Andon
{
	public interface IFrmAdoFramePlanA1AppService : IApplicationService
	{
		Task&lt;PagedResultDto&lt;FrmAdoFramePlanA1Dto&gt;&gt; GetAll(GetFrmAdoFramePlanA1Input input);
		Task CreateOrEdit(CreateOrEditFrmAdoFramePlanA1Dto input);
		Task Delete(EntityDto input);
	}
}
</v>
      </c>
      <c r="Q7" t="str">
        <f ca="1">SUBSTITUTE(SUBSTITUTE(SUBSTITUTE(SUBSTITUTE(SUBSTITUTE(SUBSTITUTE(E1,"MstWptCalendar",$B$3),"&lt;PROPERTIES&gt;",P24),"Calendar",$B$5),"WorkingPattern",$Q$3),"Master",$B$4),"&lt;PARAMS_SEARCH&gt;",$W$24)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vovina.Frame.Andon.Dto;
using vovina.Frame.Andon.Exporting;
namespace vovina.Frame.Andon
{
    [AbpAuthorize(AppPermissions.Pages_Frame_Andon_FramePlanA1)]
    public class FrmAdoFramePlanA1AppService : vovinaAppServiceBase, IFrmAdoFramePlanA1AppService
    {
        private readonly IDapperRepository&lt;FrmAdoFramePlanA1, long&gt; _dapperRepo;
        private readonly IRepository&lt;FrmAdoFramePlanA1, long&gt; _repo;
        private readonly IFrmAdoFramePlanA1ExcelExporter _calendarListExcelExporter;
        public FrmAdoFramePlanA1AppService(IRepository&lt;FrmAdoFramePlanA1,long&gt; repo, 
                                         IDapperRepository&lt;FrmAdoFramePlanA1,long&gt; dapperRepo,
                                        IFrmAdoFramePlanA1ExcelExporter calendarListExcelExporter
            )
        {
            _repo = repo;
            _dapperRepo = dapperRepo;
            _calendarListExcelExporter = calendarListExcelExporter;
        }
        [AbpAuthorize(AppPermissions.Pages_Frame_Andon_FramePlanA1_CreateEdit)]
        public async Task CreateOrEdit(CreateOrEditFrmAdoFramePlanA1Dto input)
        {
            if (input.Id == null) await Create(input);
            else await Update(input);
        }
        //CREATE
        private async Task Create(CreateOrEditFrmAdoFramePlanA1Dto input)
        {          
            var mainObj = ObjectMapper.Map&lt;FrmAdoFramePlanA1&gt;(input);
            await CurrentUnitOfWork.GetDbContext&lt;vovinaDbContext&gt;().AddAsync(mainObj);
        }
        // EDIT
        private async Task Update(CreateOrEditFrmAdoFramePlanA1Dto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[AbpAuthorize(AppPermissions.Pages_Frame_Andon_FramePlanA1_Delete)]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Task&lt;PagedResultDto&lt;FrmAdoFramePlanA1Dto&gt;&gt; GetAll(GetFrmAdoFramePlanA1Input input)
        {
            var filtered = _repo.GetAll()
				.WhereIf(!string.IsNullOrWhiteSpace(input.Model), e =&gt; e.Model.Contains(input.Model))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.WhereIf(!string.IsNullOrWhiteSpace(input.VinNo), e =&gt; e.VinNo.Contains(input.VinNo))
				.WhereIf(!string.IsNullOrWhiteSpace(input.FrameId), e =&gt; e.FrameId.Contains(input.FrameId))
				.WhereIf(!string.IsNullOrWhiteSpace(input.Status), e =&gt; e.Status.Contains(input.Status))
				.WhereIf(!string.IsNullOrWhiteSpace(input.PlanMonth), e =&gt; e.PlanMonth.Contains(input.PlanMonth))
				.WhereIf(input.PlanDate.HasValue, t =&gt; t.PlanDate == input.PlanDate.Value)
				.WhereIf(!string.IsNullOrWhiteSpace(input.Grade), e =&gt; e.Grade.Contains(input.Grade))
				.WhereIf(!string.IsNullOrWhiteSpace(input.Version), e =&gt; e.Version.Contains(input.Version))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FrmAdoFramePlanA1Dto
                        {
							Id = o.Id,
							No = o.No,
							Model = o.Model,
							LotNo = o.LotNo,
							NoInLot = o.NoInLot,
							BodyNo = o.BodyNo,
							Color = o.Color,
							VinNo = o.VinNo,
							FrameId = o.FrameId,
							Status = o.Status,
							PlanMonth = o.PlanMonth,
							PlanDate = o.PlanDate,
							Grade = o.Grade,
							Version = o.Version,
							IsActive = o.IsActive,
                        };
            var totalCount = await filtered.CountAsync();
			var paged = system.PageBy(input);
            return new PagedResultDto&lt;FrmAdoFramePlanA1Dto&gt;(
                totalCount,
                 await paged.ToListAsync()
            );
        }
        public async Task&lt;FileDto&gt; GetFramePlanA1ToExcel(FrmAdoFramePlanA1ExportInput input)
        {
            var query = from o in _repo.GetAll()
                        select new FrmAdoFramePlanA1Dto
                        {
							Id = o.Id,
							No = o.No,
							Model = o.Model,
							LotNo = o.LotNo,
							NoInLot = o.NoInLot,
							BodyNo = o.BodyNo,
							Color = o.Color,
							VinNo = o.VinNo,
							FrameId = o.FrameId,
							Status = o.Status,
							PlanMonth = o.PlanMonth,
							PlanDate = o.PlanDate,
							Grade = o.Grade,
							Version = o.Version,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_dapperRepo.ExecuteAsync(FrmAdoFramePlanA1Consts.SP_MST_WPT_CALENDAR_GENERATE);
       // }
    }
}</v>
      </c>
      <c r="R7" t="str">
        <f ca="1">SUBSTITUTE(SUBSTITUTE((C1&amp;"namespace "&amp;B6&amp;".Dto"&amp;E3&amp;C3&amp;R3&amp;M24&amp;E3&amp;REPT(CHAR(9),1)&amp;D3&amp;D3),"WorkingPattern",$Q$3),"Master",$B$4)</f>
        <v xml:space="preserve">using Abp.Application.Services.Dto;
using System;
using System.ComponentModel.DataAnnotations;
namespace vovina.Frame.Andon.Dto
{
	public class FrmAdoFramePlanA1ExportInput{
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vovina.Frame.Andon.Dto;
namespace vovina.Frame.Andon.Exporting
{
	public interface IFrmAdoFramePlanA1ExcelExporter : IApplicationService
	{
		FileDto ExportToFile(List&lt;FrmAdoFramePlanA1Dto&gt; frmadoframeplana1);
	}
}
</v>
      </c>
      <c r="T7" s="28" t="str">
        <f ca="1">SUBSTITUTE(SUBSTITUTE(SUBSTITUTE(SUBSTITUTE(SUBSTITUTE(SUBSTITUTE(SUBSTITUTE(T1,"MstWptCalendar",$B$3),"&lt;PROPERTIES1&gt;",V24),"&lt;PROPERTIES&gt;",T24),"Calendar",$B$5),"calendar",LOWER(B5)),"WorkingPattern",$Q$3),"Master",$B$4)</f>
        <v>using System.Collections.Generic;
using vovina.DataExporting.Excel.NPOI;
using vovina.Dto;
using vovina.Frame.Andon.Exporting;
using vovina.Frame.Andon.Dto;
using vovina.Storage;
using vovina.Frame.Andon.Dto;
namespace vovina.Frame.Andon.Exporting
{
    public class FrmAdoFramePlanA1ExcelExporter : NpoiExcelExporterBase, IFrmAdoFramePlanA1ExcelExporter
    {
        public FrmAdoFramePlanA1ExcelExporter(ITempFileCacheManager tempFileCacheManager) : base(tempFileCacheManager) { }
        public FileDto ExportToFile(List&lt;FrmAdoFramePlanA1Dto&gt; frameplana1)
        {
            return CreateExcelPackage(
				"FrameAndonFramePlanA1.xlsx",
				excelPackage =&gt;
				 {
					var sheet = excelPackage.CreateSheet("FramePlanA1");
					AddHeader(
								sheet,
								("No"),
								("Model"),
								("LotNo"),
								("NoInLot"),
								("BodyNo"),
								("Color"),
								("VinNo"),
								("FrameId"),
								("Status"),
								("PlanMonth"),
								("PlanDate"),
								("Grade"),
								("Version"),
								("IsActive"),
							   );
					AddObjects(
						 sheet, 1, frameplana1,                                       
								_ =&gt; _.No,
								_ =&gt; _.Model,
								_ =&gt; _.LotNo,
								_ =&gt; _.NoInLot,
								_ =&gt; _.BodyNo,
								_ =&gt; _.Color,
								_ =&gt; _.VinNo,
								_ =&gt; _.FrameId,
								_ =&gt; _.Status,
								_ =&gt; _.PlanMonth,
								_ =&gt; _.PlanDate,
								_ =&gt; _.Grade,
								_ =&gt; _.Version,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configuration.CreateMap&lt;FrmAdoFramePlanA1Dto, FrmAdoFramePlanA1&gt;();
  configuration.CreateMap&lt;FrmAdoFramePlanA1, FrmAdoFramePlanA1Dto&gt;();
  configuration.CreateMap&lt;CreateOrEditFrmAdoFramePlanA1Dto, FrmAdoFramePlanA1&gt;();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282</v>
      </c>
      <c r="B9" t="s">
        <v>4</v>
      </c>
      <c r="C9" t="s">
        <v>1</v>
      </c>
      <c r="D9" t="str">
        <f>SUBSTITUTE(PROPER(A9),"_","")</f>
        <v>No</v>
      </c>
      <c r="E9" t="str">
        <f t="shared" ref="E9:E18" si="0">IFERROR(LEFT(B9, FIND("(",B9)-1),B9)</f>
        <v>int</v>
      </c>
      <c r="F9" s="7"/>
      <c r="G9" t="str">
        <f t="shared" ref="G9:G18" si="1">IFERROR(MID(B9,FIND("(",B9) +1, FIND(")",B9) - FIND("(",B9) - 1),"")</f>
        <v/>
      </c>
      <c r="H9" t="str">
        <f>+VLOOKUP(E9,'Data Type Mapping'!A:B,2,)</f>
        <v>int</v>
      </c>
      <c r="I9" t="str">
        <f t="shared" ref="I9:I18" si="2">IF(H9="string",REPT(CHAR(9),2)&amp;"public const int Max"&amp;D9&amp;"Length = "&amp;G9&amp;";"&amp;$E$3,"" )</f>
        <v/>
      </c>
      <c r="J9" t="str">
        <f t="shared" ref="J9:J18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 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[Index(nameof(No), Name="IX_FrmAdoFramePlanA1_No")]</v>
      </c>
      <c r="M9" t="str">
        <f>REPT(CHAR(9),2)&amp;"public virtual "&amp;IF(OR(H9="DateTime",H9="TimeSpan"),H9&amp;"?",H9)&amp;IF(C9="?","? "," ")&amp;D9&amp;" { get; set; }" &amp; "
"</f>
        <v xml:space="preserve">		public virtual int 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 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int No { get; set; }
</v>
      </c>
      <c r="P9" t="str">
        <f t="shared" ref="P9:P18" si="4">REPT(CHAR(9),7)&amp;D9&amp;" = o." &amp;D9 &amp;","</f>
        <v xml:space="preserve">							No = o.No,</v>
      </c>
      <c r="T9" s="69" t="str">
        <f>REPT(CHAR(9),8)&amp;"("""&amp;D9&amp;"""),"</f>
        <v xml:space="preserve">								("No"),</v>
      </c>
      <c r="V9" s="70" t="str">
        <f>REPT(CHAR(9),8)&amp;"_ =&gt; _."&amp;D9&amp;","</f>
        <v xml:space="preserve">								_ =&gt; _.No,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272</v>
      </c>
      <c r="B10" t="s">
        <v>277</v>
      </c>
      <c r="C10" t="s">
        <v>1</v>
      </c>
      <c r="D10" t="str">
        <f t="shared" ref="D10:D11" si="5">SUBSTITUTE(PROPER(A10),"_","")</f>
        <v>Model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MaxModelLength = 50;
</v>
      </c>
      <c r="J10" t="str">
        <f t="shared" si="3"/>
        <v xml:space="preserve">		[StringLength(MaxModelLength)]
		public virtual string Model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8" si="7">REPT(CHAR(9),2)&amp;"public virtual "&amp;IF(OR(H10="DateTime",H10="TimeSpan"),H10&amp;"?",H10)&amp;IF(C10="?","? "," ")&amp;D10&amp;" { get; set; }" &amp; "
"</f>
        <v xml:space="preserve">		public virtual string Model { get; set; }
</v>
      </c>
      <c r="N10" t="str">
        <f t="shared" ref="N10:N18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[StringLength(FrmAdoFramePlanA1Consts.MaxModelLength)]
		public virtual string Model { get; set; }
</v>
      </c>
      <c r="O10" t="str">
        <f t="shared" ref="O10:O18" si="9">IF(OR(H10="string",H10="DateTime",H10="int"),REPT(CHAR(9),2)&amp;"public virtual "&amp;IF(OR(H10="DateTime",H10="TimeSpan"),H10&amp;"?",H10)&amp;IF(C10="?","? "," ")&amp;D10&amp;" { get; set; }"&amp;$E$3,"")</f>
        <v xml:space="preserve">		public virtual string Model { get; set; }
</v>
      </c>
      <c r="P10" t="str">
        <f t="shared" si="4"/>
        <v xml:space="preserve">							Model = o.Model,</v>
      </c>
      <c r="T10" s="69" t="str">
        <f t="shared" ref="T10:T18" si="10">REPT(CHAR(9),8)&amp;"("""&amp;D10&amp;"""),"</f>
        <v xml:space="preserve">								("Model"),</v>
      </c>
      <c r="V10" s="70" t="str">
        <f t="shared" ref="V10:V18" si="11">REPT(CHAR(9),8)&amp;"_ =&gt; _."&amp;D10&amp;","</f>
        <v xml:space="preserve">								_ =&gt; _.Model,</v>
      </c>
      <c r="W10" s="69" t="str">
        <f t="shared" ref="W10:W18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.WhereIf(!string.IsNullOrWhiteSpace(input.Model), e =&gt; e.Model.Contains(input.Model))</v>
      </c>
    </row>
    <row r="11" spans="1:23" customFormat="1" ht="18.75" customHeight="1" x14ac:dyDescent="0.25">
      <c r="A11" t="s">
        <v>273</v>
      </c>
      <c r="B11" t="s">
        <v>277</v>
      </c>
      <c r="C11" t="s">
        <v>1</v>
      </c>
      <c r="D11" t="str">
        <f t="shared" si="5"/>
        <v>LotNo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MaxLotNoLength = 50;
</v>
      </c>
      <c r="J11" t="str">
        <f t="shared" si="3"/>
        <v xml:space="preserve">		[StringLength(MaxLotNoLength)]
		public virtual string LotNo { get; set; }
</v>
      </c>
      <c r="K11" s="7" t="s">
        <v>206</v>
      </c>
      <c r="L11" t="str">
        <f t="shared" si="6"/>
        <v xml:space="preserve">	[Index(nameof(LotNo), Name="IX_FrmAdoFramePlanA1_LotNo")]</v>
      </c>
      <c r="M11" t="str">
        <f t="shared" si="7"/>
        <v xml:space="preserve">		public virtual string LotNo { get; set; }
</v>
      </c>
      <c r="N11" t="str">
        <f t="shared" si="8"/>
        <v xml:space="preserve">		[StringLength(FrmAdoFramePlanA1Consts.MaxLotNoLength)]
		public virtual string LotNo { get; set; }
</v>
      </c>
      <c r="O11" t="str">
        <f t="shared" si="9"/>
        <v xml:space="preserve">		public virtual string LotNo { get; set; }
</v>
      </c>
      <c r="P11" t="str">
        <f t="shared" si="4"/>
        <v xml:space="preserve">							LotNo = o.LotNo,</v>
      </c>
      <c r="T11" s="69" t="str">
        <f t="shared" si="10"/>
        <v xml:space="preserve">								("LotNo"),</v>
      </c>
      <c r="V11" s="70" t="str">
        <f t="shared" si="11"/>
        <v xml:space="preserve">								_ =&gt; _.LotNo,</v>
      </c>
      <c r="W11" s="69" t="str">
        <f t="shared" si="12"/>
        <v xml:space="preserve">				.WhereIf(!string.IsNullOrWhiteSpace(input.LotNo), e =&gt; e.LotNo.Contains(input.LotNo))</v>
      </c>
    </row>
    <row r="12" spans="1:23" customFormat="1" ht="22.5" customHeight="1" x14ac:dyDescent="0.25">
      <c r="A12" t="s">
        <v>274</v>
      </c>
      <c r="B12" t="s">
        <v>4</v>
      </c>
      <c r="C12" t="s">
        <v>1</v>
      </c>
      <c r="D12" t="str">
        <f>SUBSTITUTE(PROPER(A12),"_","")</f>
        <v>NoInLot</v>
      </c>
      <c r="E12" t="str">
        <f t="shared" si="0"/>
        <v>int</v>
      </c>
      <c r="F12" s="7"/>
      <c r="G12" t="str">
        <f t="shared" si="1"/>
        <v/>
      </c>
      <c r="H12" t="str">
        <f>+VLOOKUP(E12,'Data Type Mapping'!A:B,2,)</f>
        <v>int</v>
      </c>
      <c r="I12" t="str">
        <f t="shared" si="2"/>
        <v/>
      </c>
      <c r="J12" t="str">
        <f t="shared" si="3"/>
        <v xml:space="preserve">		public virtual int NoInLot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[Index(nameof(NoInLot), Name="IX_FrmAdoFramePlanA1_NoInLot")]</v>
      </c>
      <c r="M12" t="str">
        <f t="shared" si="7"/>
        <v xml:space="preserve">		public virtual int NoInLot { get; set; }
</v>
      </c>
      <c r="N12" t="str">
        <f t="shared" si="8"/>
        <v xml:space="preserve">		public virtual int NoInLot { get; set; }
</v>
      </c>
      <c r="O12" t="str">
        <f t="shared" si="9"/>
        <v xml:space="preserve">		public virtual int NoInLot { get; set; }
</v>
      </c>
      <c r="P12" t="str">
        <f t="shared" si="4"/>
        <v xml:space="preserve">							NoInLot = o.NoInLot,</v>
      </c>
      <c r="T12" s="69" t="str">
        <f t="shared" si="10"/>
        <v xml:space="preserve">								("NoInLot"),</v>
      </c>
      <c r="V12" s="70" t="str">
        <f t="shared" si="11"/>
        <v xml:space="preserve">								_ =&gt; _.NoInLot,</v>
      </c>
      <c r="W12" s="69" t="str">
        <f t="shared" si="12"/>
        <v/>
      </c>
    </row>
    <row r="13" spans="1:23" customFormat="1" ht="21" customHeight="1" x14ac:dyDescent="0.25">
      <c r="A13" t="s">
        <v>275</v>
      </c>
      <c r="B13" t="s">
        <v>277</v>
      </c>
      <c r="C13" t="s">
        <v>1</v>
      </c>
      <c r="D13" t="str">
        <f t="shared" ref="D13:D15" si="13">SUBSTITUTE(PROPER(A13),"_","")</f>
        <v>BodyNo</v>
      </c>
      <c r="E13" t="str">
        <f t="shared" si="0"/>
        <v>varchar</v>
      </c>
      <c r="F13" s="7"/>
      <c r="G13" t="str">
        <f t="shared" si="1"/>
        <v>50</v>
      </c>
      <c r="H13" t="str">
        <f>+VLOOKUP(E13,'Data Type Mapping'!A:B,2,)</f>
        <v>string</v>
      </c>
      <c r="I13" t="str">
        <f t="shared" si="2"/>
        <v xml:space="preserve">		public const int MaxBodyNoLength = 50;
</v>
      </c>
      <c r="J13" t="str">
        <f t="shared" si="3"/>
        <v xml:space="preserve">		[StringLength(MaxBodyNoLength)]
		public virtual string BodyNo { get; set; }
</v>
      </c>
      <c r="K13" s="7"/>
      <c r="L13" t="str">
        <f t="shared" ref="L13:L15" si="14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BodyNo { get; set; }
</v>
      </c>
      <c r="N13" t="str">
        <f t="shared" si="8"/>
        <v xml:space="preserve">		[StringLength(FrmAdoFramePlanA1Consts.MaxBodyNoLength)]
		public virtual string BodyNo { get; set; }
</v>
      </c>
      <c r="O13" t="str">
        <f t="shared" si="9"/>
        <v xml:space="preserve">		public virtual string BodyNo { get; set; }
</v>
      </c>
      <c r="P13" t="str">
        <f t="shared" si="4"/>
        <v xml:space="preserve">							BodyNo = o.BodyNo,</v>
      </c>
      <c r="T13" s="69" t="str">
        <f t="shared" si="10"/>
        <v xml:space="preserve">								("BodyNo"),</v>
      </c>
      <c r="V13" s="70" t="str">
        <f t="shared" si="11"/>
        <v xml:space="preserve">								_ =&gt; _.BodyNo,</v>
      </c>
      <c r="W13" s="69" t="str">
        <f t="shared" si="12"/>
        <v xml:space="preserve">				.WhereIf(!string.IsNullOrWhiteSpace(input.BodyNo), e =&gt; e.BodyNo.Contains(input.BodyNo))</v>
      </c>
    </row>
    <row r="14" spans="1:23" customFormat="1" ht="21" customHeight="1" x14ac:dyDescent="0.25">
      <c r="A14" t="s">
        <v>276</v>
      </c>
      <c r="B14" t="s">
        <v>277</v>
      </c>
      <c r="C14" t="s">
        <v>1</v>
      </c>
      <c r="D14" t="str">
        <f t="shared" si="13"/>
        <v>Color</v>
      </c>
      <c r="E14" t="str">
        <f t="shared" si="0"/>
        <v>varchar</v>
      </c>
      <c r="F14" s="7"/>
      <c r="G14" t="str">
        <f t="shared" si="1"/>
        <v>50</v>
      </c>
      <c r="H14" t="str">
        <f>+VLOOKUP(E14,'Data Type Mapping'!A:B,2,)</f>
        <v>string</v>
      </c>
      <c r="I14" t="str">
        <f t="shared" si="2"/>
        <v xml:space="preserve">		public const int MaxColorLength = 50;
</v>
      </c>
      <c r="J14" t="str">
        <f t="shared" si="3"/>
        <v xml:space="preserve">		[StringLength(MaxColorLength)]
		public virtual string Color { get; set; }
</v>
      </c>
      <c r="K14" s="7"/>
      <c r="L14" t="str">
        <f t="shared" si="14"/>
        <v/>
      </c>
      <c r="M14" t="str">
        <f t="shared" si="7"/>
        <v xml:space="preserve">		public virtual string Color { get; set; }
</v>
      </c>
      <c r="N14" t="str">
        <f t="shared" si="8"/>
        <v xml:space="preserve">		[StringLength(FrmAdoFramePlanA1Consts.MaxColorLength)]
		public virtual string Color { get; set; }
</v>
      </c>
      <c r="O14" t="str">
        <f t="shared" si="9"/>
        <v xml:space="preserve">		public virtual string Color { get; set; }
</v>
      </c>
      <c r="P14" t="str">
        <f t="shared" si="4"/>
        <v xml:space="preserve">							Color = o.Color,</v>
      </c>
      <c r="T14" s="69" t="str">
        <f t="shared" si="10"/>
        <v xml:space="preserve">								("Color"),</v>
      </c>
      <c r="V14" s="70" t="str">
        <f t="shared" si="11"/>
        <v xml:space="preserve">								_ =&gt; _.Color,</v>
      </c>
      <c r="W14" s="69" t="str">
        <f t="shared" si="12"/>
        <v xml:space="preserve">				.WhereIf(!string.IsNullOrWhiteSpace(input.Color), e =&gt; e.Color.Contains(input.Color))</v>
      </c>
    </row>
    <row r="15" spans="1:23" customFormat="1" ht="18.75" customHeight="1" x14ac:dyDescent="0.25">
      <c r="A15" t="s">
        <v>279</v>
      </c>
      <c r="B15" t="s">
        <v>277</v>
      </c>
      <c r="C15" t="s">
        <v>1</v>
      </c>
      <c r="D15" t="str">
        <f t="shared" si="13"/>
        <v>VinNo</v>
      </c>
      <c r="E15" t="str">
        <f t="shared" si="0"/>
        <v>varchar</v>
      </c>
      <c r="F15" s="7"/>
      <c r="G15" t="str">
        <f t="shared" si="1"/>
        <v>50</v>
      </c>
      <c r="H15" t="str">
        <f>+VLOOKUP(E15,'Data Type Mapping'!A:B,2,)</f>
        <v>string</v>
      </c>
      <c r="I15" t="str">
        <f t="shared" si="2"/>
        <v xml:space="preserve">		public const int MaxVinNoLength = 50;
</v>
      </c>
      <c r="J15" t="str">
        <f t="shared" si="3"/>
        <v xml:space="preserve">		[StringLength(MaxVinNoLength)]
		public virtual string VinNo { get; set; }
</v>
      </c>
      <c r="K15" s="7"/>
      <c r="L15" t="str">
        <f t="shared" si="14"/>
        <v/>
      </c>
      <c r="M15" t="str">
        <f t="shared" si="7"/>
        <v xml:space="preserve">		public virtual string VinNo { get; set; }
</v>
      </c>
      <c r="N15" t="str">
        <f t="shared" si="8"/>
        <v xml:space="preserve">		[StringLength(FrmAdoFramePlanA1Consts.MaxVinNoLength)]
		public virtual string VinNo { get; set; }
</v>
      </c>
      <c r="O15" t="str">
        <f t="shared" si="9"/>
        <v xml:space="preserve">		public virtual string VinNo { get; set; }
</v>
      </c>
      <c r="P15" t="str">
        <f t="shared" si="4"/>
        <v xml:space="preserve">							VinNo = o.VinNo,</v>
      </c>
      <c r="T15" s="69" t="str">
        <f t="shared" si="10"/>
        <v xml:space="preserve">								("VinNo"),</v>
      </c>
      <c r="V15" s="70" t="str">
        <f t="shared" si="11"/>
        <v xml:space="preserve">								_ =&gt; _.VinNo,</v>
      </c>
      <c r="W15" s="69" t="str">
        <f t="shared" si="12"/>
        <v xml:space="preserve">				.WhereIf(!string.IsNullOrWhiteSpace(input.VinNo), e =&gt; e.VinNo.Contains(input.VinNo))</v>
      </c>
    </row>
    <row r="16" spans="1:23" customFormat="1" ht="22.5" customHeight="1" x14ac:dyDescent="0.25">
      <c r="A16" t="s">
        <v>283</v>
      </c>
      <c r="B16" t="s">
        <v>277</v>
      </c>
      <c r="C16" t="s">
        <v>1</v>
      </c>
      <c r="D16" t="str">
        <f>SUBSTITUTE(PROPER(A16),"_","")</f>
        <v>FrameId</v>
      </c>
      <c r="E16" t="str">
        <f t="shared" si="0"/>
        <v>varchar</v>
      </c>
      <c r="F16" s="7"/>
      <c r="G16" t="str">
        <f t="shared" si="1"/>
        <v>50</v>
      </c>
      <c r="H16" t="str">
        <f>+VLOOKUP(E16,'Data Type Mapping'!A:B,2,)</f>
        <v>string</v>
      </c>
      <c r="I16" t="str">
        <f t="shared" si="2"/>
        <v xml:space="preserve">		public const int MaxFrameIdLength = 50;
</v>
      </c>
      <c r="J16" t="str">
        <f t="shared" si="3"/>
        <v xml:space="preserve">		[StringLength(MaxFrameIdLength)]
		public virtual string FrameId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[Index(nameof(FrameId), Name="IX_FrmAdoFramePlanA1_FrameId")]</v>
      </c>
      <c r="M16" t="str">
        <f t="shared" si="7"/>
        <v xml:space="preserve">		public virtual string FrameId { get; set; }
</v>
      </c>
      <c r="N16" t="str">
        <f t="shared" si="8"/>
        <v xml:space="preserve">		[StringLength(FrmAdoFramePlanA1Consts.MaxFrameIdLength)]
		public virtual string FrameId { get; set; }
</v>
      </c>
      <c r="O16" t="str">
        <f t="shared" si="9"/>
        <v xml:space="preserve">		public virtual string FrameId { get; set; }
</v>
      </c>
      <c r="P16" t="str">
        <f t="shared" si="4"/>
        <v xml:space="preserve">							FrameId = o.FrameId,</v>
      </c>
      <c r="T16" s="69" t="str">
        <f t="shared" si="10"/>
        <v xml:space="preserve">								("FrameId"),</v>
      </c>
      <c r="V16" s="70" t="str">
        <f t="shared" si="11"/>
        <v xml:space="preserve">								_ =&gt; _.FrameId,</v>
      </c>
      <c r="W16" s="69" t="str">
        <f t="shared" si="12"/>
        <v xml:space="preserve">				.WhereIf(!string.IsNullOrWhiteSpace(input.FrameId), e =&gt; e.FrameId.Contains(input.FrameId))</v>
      </c>
    </row>
    <row r="17" spans="1:23" customFormat="1" ht="21" customHeight="1" x14ac:dyDescent="0.25">
      <c r="A17" t="s">
        <v>284</v>
      </c>
      <c r="B17" t="s">
        <v>277</v>
      </c>
      <c r="C17" t="s">
        <v>1</v>
      </c>
      <c r="D17" t="str">
        <f t="shared" ref="D17:D18" si="15">SUBSTITUTE(PROPER(A17),"_","")</f>
        <v>Status</v>
      </c>
      <c r="E17" t="str">
        <f t="shared" si="0"/>
        <v>varchar</v>
      </c>
      <c r="F17" s="7"/>
      <c r="G17" t="str">
        <f t="shared" si="1"/>
        <v>50</v>
      </c>
      <c r="H17" t="str">
        <f>+VLOOKUP(E17,'Data Type Mapping'!A:B,2,)</f>
        <v>string</v>
      </c>
      <c r="I17" t="str">
        <f t="shared" si="2"/>
        <v xml:space="preserve">		public const int MaxStatusLength = 50;
</v>
      </c>
      <c r="J17" t="str">
        <f t="shared" si="3"/>
        <v xml:space="preserve">		[StringLength(MaxStatusLength)]
		public virtual string Status { get; set; }
</v>
      </c>
      <c r="K17" s="7"/>
      <c r="L17" t="str">
        <f t="shared" ref="L17:L18" si="16">IF(K17="","",REPT(CHAR(9),1)&amp;"[Index(nameof("&amp;IF(D17="","",""&amp;D17)&amp;")"&amp;", Name="&amp;"""IX_"&amp;$B$7&amp;"_"&amp;D17&amp;""")]")</f>
        <v/>
      </c>
      <c r="M17" t="str">
        <f t="shared" si="7"/>
        <v xml:space="preserve">		public virtual string Status { get; set; }
</v>
      </c>
      <c r="N17" t="str">
        <f t="shared" si="8"/>
        <v xml:space="preserve">		[StringLength(FrmAdoFramePlanA1Consts.MaxStatusLength)]
		public virtual string Status { get; set; }
</v>
      </c>
      <c r="O17" t="str">
        <f t="shared" si="9"/>
        <v xml:space="preserve">		public virtual string Status { get; set; }
</v>
      </c>
      <c r="P17" t="str">
        <f t="shared" si="4"/>
        <v xml:space="preserve">							Status = o.Status,</v>
      </c>
      <c r="T17" s="69" t="str">
        <f t="shared" si="10"/>
        <v xml:space="preserve">								("Status"),</v>
      </c>
      <c r="V17" s="70" t="str">
        <f t="shared" si="11"/>
        <v xml:space="preserve">								_ =&gt; _.Status,</v>
      </c>
      <c r="W17" s="69" t="str">
        <f t="shared" si="12"/>
        <v xml:space="preserve">				.WhereIf(!string.IsNullOrWhiteSpace(input.Status), e =&gt; e.Status.Contains(input.Status))</v>
      </c>
    </row>
    <row r="18" spans="1:23" customFormat="1" ht="18.75" customHeight="1" x14ac:dyDescent="0.25">
      <c r="A18" t="s">
        <v>285</v>
      </c>
      <c r="B18" t="s">
        <v>277</v>
      </c>
      <c r="C18" t="s">
        <v>1</v>
      </c>
      <c r="D18" t="str">
        <f t="shared" si="15"/>
        <v>PlanMonth</v>
      </c>
      <c r="E18" t="str">
        <f t="shared" si="0"/>
        <v>varchar</v>
      </c>
      <c r="F18" s="7"/>
      <c r="G18" t="str">
        <f t="shared" si="1"/>
        <v>50</v>
      </c>
      <c r="H18" t="str">
        <f>+VLOOKUP(E18,'Data Type Mapping'!A:B,2,)</f>
        <v>string</v>
      </c>
      <c r="I18" t="str">
        <f t="shared" si="2"/>
        <v xml:space="preserve">		public const int MaxPlanMonthLength = 50;
</v>
      </c>
      <c r="J18" t="str">
        <f t="shared" si="3"/>
        <v xml:space="preserve">		[StringLength(MaxPlanMonthLength)]
		public virtual string PlanMonth { get; set; }
</v>
      </c>
      <c r="K18" s="7" t="s">
        <v>206</v>
      </c>
      <c r="L18" t="str">
        <f t="shared" si="16"/>
        <v xml:space="preserve">	[Index(nameof(PlanMonth), Name="IX_FrmAdoFramePlanA1_PlanMonth")]</v>
      </c>
      <c r="M18" t="str">
        <f t="shared" si="7"/>
        <v xml:space="preserve">		public virtual string PlanMonth { get; set; }
</v>
      </c>
      <c r="N18" t="str">
        <f t="shared" si="8"/>
        <v xml:space="preserve">		[StringLength(FrmAdoFramePlanA1Consts.MaxPlanMonthLength)]
		public virtual string PlanMonth { get; set; }
</v>
      </c>
      <c r="O18" t="str">
        <f t="shared" si="9"/>
        <v xml:space="preserve">		public virtual string PlanMonth { get; set; }
</v>
      </c>
      <c r="P18" t="str">
        <f t="shared" si="4"/>
        <v xml:space="preserve">							PlanMonth = o.PlanMonth,</v>
      </c>
      <c r="T18" s="69" t="str">
        <f t="shared" si="10"/>
        <v xml:space="preserve">								("PlanMonth"),</v>
      </c>
      <c r="V18" s="70" t="str">
        <f t="shared" si="11"/>
        <v xml:space="preserve">								_ =&gt; _.PlanMonth,</v>
      </c>
      <c r="W18" s="69" t="str">
        <f t="shared" si="12"/>
        <v xml:space="preserve">				.WhereIf(!string.IsNullOrWhiteSpace(input.PlanMonth), e =&gt; e.PlanMonth.Contains(input.PlanMonth))</v>
      </c>
    </row>
    <row r="19" spans="1:23" customFormat="1" ht="22.5" customHeight="1" x14ac:dyDescent="0.25">
      <c r="A19" t="s">
        <v>286</v>
      </c>
      <c r="B19" t="s">
        <v>248</v>
      </c>
      <c r="C19" t="s">
        <v>1</v>
      </c>
      <c r="D19" t="str">
        <f>SUBSTITUTE(PROPER(A19),"_","")</f>
        <v>PlanDate</v>
      </c>
      <c r="E19" t="str">
        <f t="shared" ref="E19:E22" si="17">IFERROR(LEFT(B19, FIND("(",B19)-1),B19)</f>
        <v>datetime2</v>
      </c>
      <c r="F19" s="7" t="s">
        <v>2</v>
      </c>
      <c r="G19" t="str">
        <f t="shared" ref="G19:G22" si="18">IFERROR(MID(B19,FIND("(",B19) +1, FIND(")",B19) - FIND("(",B19) - 1),"")</f>
        <v>7</v>
      </c>
      <c r="H19" t="str">
        <f>+VLOOKUP(E19,'Data Type Mapping'!A:B,2,)</f>
        <v>DateTime</v>
      </c>
      <c r="I19" t="str">
        <f t="shared" ref="I19:I22" si="19">IF(H19="string",REPT(CHAR(9),2)&amp;"public const int Max"&amp;D19&amp;"Length = "&amp;G19&amp;";"&amp;$E$3,"" )</f>
        <v/>
      </c>
      <c r="J19" t="str">
        <f t="shared" ref="J19:J22" si="20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[Column(TypeName="date")]
		public virtual DateTime PlanDate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[Index(nameof(PlanDate), Name="IX_FrmAdoFramePlanA1_PlanDate")]</v>
      </c>
      <c r="M19" t="str">
        <f>REPT(CHAR(9),2)&amp;"public virtual "&amp;IF(OR(H19="DateTime",H19="TimeSpan"),H19&amp;"?",H19)&amp;IF(C19="?","? "," ")&amp;D19&amp;" { get; set; }" &amp; "
"</f>
        <v xml:space="preserve">		public virtual DateTime? PlanDate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PlanDate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 xml:space="preserve">		public virtual DateTime? PlanDate { get; set; }
</v>
      </c>
      <c r="P19" t="str">
        <f t="shared" ref="P19:P22" si="21">REPT(CHAR(9),7)&amp;D19&amp;" = o." &amp;D19 &amp;","</f>
        <v xml:space="preserve">							PlanDate = o.PlanDate,</v>
      </c>
      <c r="T19" s="69" t="str">
        <f>REPT(CHAR(9),8)&amp;"("""&amp;D19&amp;"""),"</f>
        <v xml:space="preserve">								("PlanDate"),</v>
      </c>
      <c r="V19" s="70" t="str">
        <f>REPT(CHAR(9),8)&amp;"_ =&gt; _."&amp;D19&amp;","</f>
        <v xml:space="preserve">								_ =&gt; _.PlanDate,</v>
      </c>
      <c r="W19" s="69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.WhereIf(input.PlanDate.HasValue, t =&gt; t.PlanDate == input.PlanDate.Value)</v>
      </c>
    </row>
    <row r="20" spans="1:23" customFormat="1" ht="21" customHeight="1" x14ac:dyDescent="0.25">
      <c r="A20" t="s">
        <v>280</v>
      </c>
      <c r="B20" t="s">
        <v>277</v>
      </c>
      <c r="C20" t="s">
        <v>1</v>
      </c>
      <c r="D20" t="str">
        <f t="shared" ref="D20:D21" si="22">SUBSTITUTE(PROPER(A20),"_","")</f>
        <v>Grade</v>
      </c>
      <c r="E20" t="str">
        <f t="shared" si="17"/>
        <v>varchar</v>
      </c>
      <c r="F20" s="7"/>
      <c r="G20" t="str">
        <f t="shared" si="18"/>
        <v>50</v>
      </c>
      <c r="H20" t="str">
        <f>+VLOOKUP(E20,'Data Type Mapping'!A:B,2,)</f>
        <v>string</v>
      </c>
      <c r="I20" t="str">
        <f t="shared" si="19"/>
        <v xml:space="preserve">		public const int MaxGradeLength = 50;
</v>
      </c>
      <c r="J20" t="str">
        <f t="shared" si="20"/>
        <v xml:space="preserve">		[StringLength(MaxGradeLength)]
		public virtual string Grade { get; set; }
</v>
      </c>
      <c r="K20" s="7"/>
      <c r="L20" t="str">
        <f t="shared" ref="L20:L21" si="23">IF(K20="","",REPT(CHAR(9),1)&amp;"[Index(nameof("&amp;IF(D20="","",""&amp;D20)&amp;")"&amp;", Name="&amp;"""IX_"&amp;$B$7&amp;"_"&amp;D20&amp;""")]")</f>
        <v/>
      </c>
      <c r="M20" t="str">
        <f t="shared" ref="M20:M22" si="24">REPT(CHAR(9),2)&amp;"public virtual "&amp;IF(OR(H20="DateTime",H20="TimeSpan"),H20&amp;"?",H20)&amp;IF(C20="?","? "," ")&amp;D20&amp;" { get; set; }" &amp; "
"</f>
        <v xml:space="preserve">		public virtual string Grade { get; set; }
</v>
      </c>
      <c r="N20" t="str">
        <f t="shared" ref="N20:N22" si="25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[StringLength(FrmAdoFramePlanA1Consts.MaxGradeLength)]
		public virtual string Grade { get; set; }
</v>
      </c>
      <c r="O20" t="str">
        <f t="shared" ref="O20:O22" si="26">IF(OR(H20="string",H20="DateTime",H20="int"),REPT(CHAR(9),2)&amp;"public virtual "&amp;IF(OR(H20="DateTime",H20="TimeSpan"),H20&amp;"?",H20)&amp;IF(C20="?","? "," ")&amp;D20&amp;" { get; set; }"&amp;$E$3,"")</f>
        <v xml:space="preserve">		public virtual string Grade { get; set; }
</v>
      </c>
      <c r="P20" t="str">
        <f t="shared" si="21"/>
        <v xml:space="preserve">							Grade = o.Grade,</v>
      </c>
      <c r="T20" s="69" t="str">
        <f t="shared" ref="T20:T22" si="27">REPT(CHAR(9),8)&amp;"("""&amp;D20&amp;"""),"</f>
        <v xml:space="preserve">								("Grade"),</v>
      </c>
      <c r="V20" s="70" t="str">
        <f t="shared" ref="V20:V22" si="28">REPT(CHAR(9),8)&amp;"_ =&gt; _."&amp;D20&amp;","</f>
        <v xml:space="preserve">								_ =&gt; _.Grade,</v>
      </c>
      <c r="W20" s="69" t="str">
        <f t="shared" ref="W20:W22" si="29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.WhereIf(!string.IsNullOrWhiteSpace(input.Grade), e =&gt; e.Grade.Contains(input.Grade))</v>
      </c>
    </row>
    <row r="21" spans="1:23" customFormat="1" ht="18.75" customHeight="1" x14ac:dyDescent="0.25">
      <c r="A21" t="s">
        <v>287</v>
      </c>
      <c r="B21" t="s">
        <v>277</v>
      </c>
      <c r="C21" t="s">
        <v>1</v>
      </c>
      <c r="D21" t="str">
        <f t="shared" si="22"/>
        <v>Version</v>
      </c>
      <c r="E21" t="str">
        <f t="shared" si="17"/>
        <v>varchar</v>
      </c>
      <c r="F21" s="7"/>
      <c r="G21" t="str">
        <f t="shared" si="18"/>
        <v>50</v>
      </c>
      <c r="H21" t="str">
        <f>+VLOOKUP(E21,'Data Type Mapping'!A:B,2,)</f>
        <v>string</v>
      </c>
      <c r="I21" t="str">
        <f t="shared" si="19"/>
        <v xml:space="preserve">		public const int MaxVersionLength = 50;
</v>
      </c>
      <c r="J21" t="str">
        <f t="shared" si="20"/>
        <v xml:space="preserve">		[StringLength(MaxVersionLength)]
		public virtual string Version { get; set; }
</v>
      </c>
      <c r="K21" s="7"/>
      <c r="L21" t="str">
        <f t="shared" si="23"/>
        <v/>
      </c>
      <c r="M21" t="str">
        <f t="shared" si="24"/>
        <v xml:space="preserve">		public virtual string Version { get; set; }
</v>
      </c>
      <c r="N21" t="str">
        <f t="shared" si="25"/>
        <v xml:space="preserve">		[StringLength(FrmAdoFramePlanA1Consts.MaxVersionLength)]
		public virtual string Version { get; set; }
</v>
      </c>
      <c r="O21" t="str">
        <f t="shared" si="26"/>
        <v xml:space="preserve">		public virtual string Version { get; set; }
</v>
      </c>
      <c r="P21" t="str">
        <f t="shared" si="21"/>
        <v xml:space="preserve">							Version = o.Version,</v>
      </c>
      <c r="T21" s="69" t="str">
        <f t="shared" si="27"/>
        <v xml:space="preserve">								("Version"),</v>
      </c>
      <c r="V21" s="70" t="str">
        <f t="shared" si="28"/>
        <v xml:space="preserve">								_ =&gt; _.Version,</v>
      </c>
      <c r="W21" s="69" t="str">
        <f t="shared" si="29"/>
        <v xml:space="preserve">				.WhereIf(!string.IsNullOrWhiteSpace(input.Version), e =&gt; e.Version.Contains(input.Version))</v>
      </c>
    </row>
    <row r="22" spans="1:23" customFormat="1" ht="22.5" customHeight="1" x14ac:dyDescent="0.25">
      <c r="A22" t="s">
        <v>278</v>
      </c>
      <c r="B22" t="s">
        <v>277</v>
      </c>
      <c r="C22" t="s">
        <v>1</v>
      </c>
      <c r="D22" t="str">
        <f>SUBSTITUTE(PROPER(A22),"_","")</f>
        <v>IsActive</v>
      </c>
      <c r="E22" t="str">
        <f t="shared" si="17"/>
        <v>varchar</v>
      </c>
      <c r="F22" s="7"/>
      <c r="G22" t="str">
        <f t="shared" si="18"/>
        <v>50</v>
      </c>
      <c r="H22" t="str">
        <f>+VLOOKUP(E22,'Data Type Mapping'!A:B,2,)</f>
        <v>string</v>
      </c>
      <c r="I22" t="str">
        <f t="shared" si="19"/>
        <v xml:space="preserve">		public const int MaxIsActiveLength = 50;
</v>
      </c>
      <c r="J22" t="str">
        <f t="shared" si="20"/>
        <v xml:space="preserve">		[StringLength(MaxIsActiveLength)]
		public virtual string IsActive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24"/>
        <v xml:space="preserve">		public virtual string IsActive { get; set; }
</v>
      </c>
      <c r="N22" t="str">
        <f t="shared" si="25"/>
        <v xml:space="preserve">		[StringLength(FrmAdoFramePlanA1Consts.MaxIsActiveLength)]
		public virtual string IsActive { get; set; }
</v>
      </c>
      <c r="O22" t="str">
        <f t="shared" si="26"/>
        <v xml:space="preserve">		public virtual string IsActive { get; set; }
</v>
      </c>
      <c r="P22" t="str">
        <f t="shared" si="21"/>
        <v xml:space="preserve">							IsActive = o.IsActive,</v>
      </c>
      <c r="T22" s="69" t="str">
        <f t="shared" si="27"/>
        <v xml:space="preserve">								("IsActive"),</v>
      </c>
      <c r="V22" s="70" t="str">
        <f t="shared" si="28"/>
        <v xml:space="preserve">								_ =&gt; _.IsActive,</v>
      </c>
      <c r="W22" s="69" t="str">
        <f t="shared" si="29"/>
        <v xml:space="preserve">				.WhereIf(!string.IsNullOrWhiteSpace(input.IsActive), e =&gt; e.IsActive.Contains(input.IsActive))</v>
      </c>
    </row>
    <row r="24" spans="1:23" ht="45.75" customHeight="1" x14ac:dyDescent="0.25">
      <c r="H24" s="12"/>
      <c r="I24" s="34" t="str">
        <f ca="1">TEXTJOIN2("
", TRUE,INDIRECT( $H$1):INDIRECT( $H$3))</f>
        <v xml:space="preserve">		public const int MaxModelLength = 50;
		public const int MaxLotNoLength = 50;
		public const int MaxBodyNoLength = 50;
		public const int MaxColorLength = 50;
		public const int MaxVinNoLength = 50;
		public const int MaxFrameIdLength = 50;
		public const int MaxStatusLength = 50;
		public const int MaxPlanMonthLength = 50;
		public const int MaxGradeLength = 50;
		public const int MaxVersionLength = 50;
		public const int MaxIsActiveLength = 50;
</v>
      </c>
      <c r="J24" s="33" t="str">
        <f ca="1">TEXTJOIN2("
", TRUE,INDIRECT( $F$1):INDIRECT( $F$3))</f>
        <v xml:space="preserve">		public virtual int No { get; set; }
		[StringLength(MaxModelLength)]
		public virtual string Model { get; set; }
		[StringLength(MaxLotNoLength)]
		public virtual string LotNo { get; set; }
		public virtual int NoInLot { get; set; }
		[StringLength(MaxBodyNoLength)]
		public virtual string BodyNo { get; set; }
		[StringLength(MaxColorLength)]
		public virtual string Color { get; set; }
		[StringLength(MaxVinNoLength)]
		public virtual string VinNo { get; set; }
		[StringLength(MaxFrameIdLength)]
		public virtual string FrameId { get; set; }
		[StringLength(MaxStatusLength)]
		public virtual string Status { get; set; }
		[StringLength(MaxPlanMonthLength)]
		public virtual string PlanMonth { get; set; }
		[Column(TypeName="date")]
		public virtual DateTime PlanDate { get; set; }
		[StringLength(MaxGradeLength)]
		public virtual string Grade { get; set; }
		[StringLength(MaxVersionLength)]
		public virtual string Version { get; set; }
		[StringLength(MaxIsActiveLength)]
		public virtual string IsActive { get; set; }
</v>
      </c>
      <c r="K24" s="35" t="str">
        <f ca="1">TEXTJOIN2("
", TRUE,INDIRECT( $J$1):INDIRECT( $J$3))</f>
        <v xml:space="preserve">	[Index(nameof(No), Name="IX_FrmAdoFramePlanA1_No")]
	[Index(nameof(LotNo), Name="IX_FrmAdoFramePlanA1_LotNo")]
	[Index(nameof(NoInLot), Name="IX_FrmAdoFramePlanA1_NoInLot")]
	[Index(nameof(FrameId), Name="IX_FrmAdoFramePlanA1_FrameId")]
	[Index(nameof(PlanMonth), Name="IX_FrmAdoFramePlanA1_PlanMonth")]
	[Index(nameof(PlanDate), Name="IX_FrmAdoFramePlanA1_PlanDate")]
</v>
      </c>
      <c r="L24" s="13" t="s">
        <v>60</v>
      </c>
      <c r="M24" s="36" t="str">
        <f ca="1">TEXTJOIN2("
",TRUE,INDIRECT( $L$1):INDIRECT($L$3))</f>
        <v xml:space="preserve">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</v>
      </c>
      <c r="N24" s="33" t="str">
        <f ca="1">TEXTJOIN2("
",TRUE,INDIRECT( $M$1):INDIRECT($M$3))</f>
        <v xml:space="preserve">		public virtual int No { get; set; }
		[StringLength(FrmAdoFramePlanA1Consts.MaxModelLength)]
		public virtual string Model { get; set; }
		[StringLength(FrmAdoFramePlanA1Consts.MaxLotNoLength)]
		public virtual string LotNo { get; set; }
		public virtual int NoInLot { get; set; }
		[StringLength(FrmAdoFramePlanA1Consts.MaxBodyNoLength)]
		public virtual string BodyNo { get; set; }
		[StringLength(FrmAdoFramePlanA1Consts.MaxColorLength)]
		public virtual string Color { get; set; }
		[StringLength(FrmAdoFramePlanA1Consts.MaxVinNoLength)]
		public virtual string VinNo { get; set; }
		[StringLength(FrmAdoFramePlanA1Consts.MaxFrameIdLength)]
		public virtual string FrameId { get; set; }
		[StringLength(FrmAdoFramePlanA1Consts.MaxStatusLength)]
		public virtual string Status { get; set; }
		[StringLength(FrmAdoFramePlanA1Consts.MaxPlanMonthLength)]
		public virtual string PlanMonth { get; set; }
		public virtual DateTime? PlanDate { get; set; }
		[StringLength(FrmAdoFramePlanA1Consts.MaxGradeLength)]
		public virtual string Grade { get; set; }
		[StringLength(FrmAdoFramePlanA1Consts.MaxVersionLength)]
		public virtual string Version { get; set; }
		[StringLength(FrmAdoFramePlanA1Consts.MaxIsActiveLength)]
		public virtual string IsActive { get; set; }
</v>
      </c>
      <c r="O24" s="33" t="str">
        <f ca="1">TEXTJOIN2("
",TRUE,INDIRECT( $N$1):INDIRECT($N$3))</f>
        <v xml:space="preserve">		public virtual int No { get; set; }
		public virtual string Model { get; set; }
		public virtual string LotNo { get; set; }
		public virtual int NoInLot { get; set; }
		public virtual string BodyNo { get; set; }
		public virtual string Color { get; set; }
		public virtual string VinNo { get; set; }
		public virtual string FrameId { get; set; }
		public virtual string Status { get; set; }
		public virtual string PlanMonth { get; set; }
		public virtual DateTime? PlanDate { get; set; }
		public virtual string Grade { get; set; }
		public virtual string Version { get; set; }
		public virtual string IsActive { get; set; }
</v>
      </c>
      <c r="P24" s="9" t="str">
        <f ca="1">TEXTJOIN2("
",TRUE,INDIRECT( $O$1):INDIRECT($O$3))</f>
        <v xml:space="preserve">							No = o.No,
							Model = o.Model,
							LotNo = o.LotNo,
							NoInLot = o.NoInLot,
							BodyNo = o.BodyNo,
							Color = o.Color,
							VinNo = o.VinNo,
							FrameId = o.FrameId,
							Status = o.Status,
							PlanMonth = o.PlanMonth,
							PlanDate = o.PlanDate,
							Grade = o.Grade,
							Version = o.Version,
							IsActive = o.IsActive,</v>
      </c>
      <c r="T24" s="9" t="str">
        <f ca="1">TEXTJOIN2("
",TRUE,INDIRECT( $T$2):INDIRECT($T$3))</f>
        <v xml:space="preserve">								("No"),
								("Model"),
								("LotNo"),
								("NoInLot"),
								("BodyNo"),
								("Color"),
								("VinNo"),
								("FrameId"),
								("Status"),
								("PlanMonth"),
								("PlanDate"),
								("Grade"),
								("Version"),
								("IsActive"),</v>
      </c>
      <c r="V24" s="9" t="str">
        <f ca="1">TEXTJOIN2("
",TRUE,INDIRECT( $V$2):INDIRECT($V$3))</f>
        <v xml:space="preserve">								_ =&gt; _.No,
								_ =&gt; _.Model,
								_ =&gt; _.LotNo,
								_ =&gt; _.NoInLot,
								_ =&gt; _.BodyNo,
								_ =&gt; _.Color,
								_ =&gt; _.VinNo,
								_ =&gt; _.FrameId,
								_ =&gt; _.Status,
								_ =&gt; _.PlanMonth,
								_ =&gt; _.PlanDate,
								_ =&gt; _.Grade,
								_ =&gt; _.Version,
								_ =&gt; _.IsActive,</v>
      </c>
      <c r="W24" s="9" t="str">
        <f ca="1">TEXTJOIN2("
",TRUE,INDIRECT( $W$2):INDIRECT($W$3))</f>
        <v xml:space="preserve">				.WhereIf(!string.IsNullOrWhiteSpace(input.Model), e =&gt; e.Model.Contains(input.Model))
				.WhereIf(!string.IsNullOrWhiteSpace(input.LotNo), e =&gt; e.LotNo.Contains(input.LotNo))
				.WhereIf(!string.IsNullOrWhiteSpace(input.BodyNo), e =&gt; e.BodyNo.Contains(input.BodyNo))
				.WhereIf(!string.IsNullOrWhiteSpace(input.Color), e =&gt; e.Color.Contains(input.Color))
				.WhereIf(!string.IsNullOrWhiteSpace(input.VinNo), e =&gt; e.VinNo.Contains(input.VinNo))
				.WhereIf(!string.IsNullOrWhiteSpace(input.FrameId), e =&gt; e.FrameId.Contains(input.FrameId))
				.WhereIf(!string.IsNullOrWhiteSpace(input.Status), e =&gt; e.Status.Contains(input.Status))
				.WhereIf(!string.IsNullOrWhiteSpace(input.PlanMonth), e =&gt; e.PlanMonth.Contains(input.PlanMonth))
				.WhereIf(input.PlanDate.HasValue, t =&gt; t.PlanDate == input.PlanDate.Value)
				.WhereIf(!string.IsNullOrWhiteSpace(input.Grade), e =&gt; e.Grade.Contains(input.Grade))
				.WhereIf(!string.IsNullOrWhiteSpace(input.Version), e =&gt; e.Version.Contains(input.Version))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1"/>
  <sheetViews>
    <sheetView workbookViewId="0">
      <selection activeCell="C23" sqref="C23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290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Frame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frame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FrmAdoFramePlanA1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FramePlanA1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frameplana1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263</v>
      </c>
      <c r="I9" s="46" t="s">
        <v>257</v>
      </c>
      <c r="J9" s="45" t="s">
        <v>219</v>
      </c>
      <c r="K9" s="47" t="s">
        <v>258</v>
      </c>
      <c r="L9" s="46" t="s">
        <v>262</v>
      </c>
      <c r="M9" s="45" t="s">
        <v>250</v>
      </c>
      <c r="N9" s="45" t="s">
        <v>220</v>
      </c>
      <c r="O9" s="45" t="s">
        <v>221</v>
      </c>
      <c r="P9" s="46" t="s">
        <v>223</v>
      </c>
      <c r="Q9" s="45" t="s">
        <v>251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FrmAdoFramePlanA1Dto, FrmAdoFramePlanA1ServiceProxy } from '@shared/service-proxies/service-proxies';
import { finalize } from 'rxjs/internal/operators/finalize';
import { CreateOrEditFramePlanA1ModalComponent } from './create-or-edit-frameplana1-modal.component';
import { DatePipe } from '@angular/common';
import { FileDownloadService } from '@shared/utils/file-download.service';
import ceil from 'lodash-es/ceil';
import { Paginator } from 'primeng/paginator';
@Component({
    templateUrl: './frameplana1.component.html',
    styleUrls: ['./frameplana1.component.less'],
})
export class FramePlanA1Component extends AppComponentBase implements OnInit {
    @ViewChild('createOrEditModalFramePlanA1', { static: true }) createOrEditModalFramePlanA1:| CreateOrEditFramePlanA1ModalComponent|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FrmAdoFramePlanA1Dto = new FrmAdoFramePlanA1Dto();
    saveSelectedRow: FrmAdoFramePlanA1Dto = new FrmAdoFramePlanA1Dto();
    datas: FrmAdoFramePlanA1Dto = new FrmAdoFramePlanA1Dto();
    isLoading: boolean = false;
    dataParams: GridParams | undefined;
    rowData: any[] = [];
    gridApi!: GridApi;
    rowSelection = 'multiple';
    filter: string = '';
	pipe = new DatePipe('en-US');
    no : number = 0 ;
model : string = '' ; 
	lotNo : string = '' ; 
	noInLot : number = 0 ;
	bodyNo : string = '' ; 
	color : string = '' ; 
vinNo : string = '' ; 
	frameId : string = '' ; 
	status : string = '' ; 
	planMonth : string = '' ; 
	planDate : any ;
	grade : string = '' ; 
	version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FrmAdoFramePlanA1ServiceProxy,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this.l('No'),headerTooltip: this.l('No'),field: 'no',flex: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this.l('Vin No'),headerTooltip: this.l('Vin No'),field: 'vinNo',flex: 1},
			{headerName: this.l('Frame Id'),headerTooltip: this.l('Frame Id'),field: 'frameId',flex: 1},
			{headerName: this.l('Status'),headerTooltip: this.l('Status'),field: 'status',flex: 1},
			{headerName: this.l('Plan Month'),headerTooltip: this.l('Plan Month'),field: 'planMonth',flex: 1},
			{headerName: this.l('Plan Date'),headerTooltip: this.l('Plan Date'),field: 'planDate',valueGetter: (params) =&gt; this.pipe.transform(params.data?.planDate, 'dd/MM/yyyy'),flex: 1},
			{headerName: this.l('Grade'),headerTooltip: this.l('Grade'),field: 'grade',flex: 1},
			{headerName: this.l('Version'),headerTooltip: this.l('Version'),field: 'version',flex: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this.no,
			this.model,
			this.lotNo,
			this.noInLot,
			this.bodyNo,
			this.color,
			this.vinNo,
			this.frameId,
			this.status,
			this.planMonth,
			this.planDate,
			this.grade,
			this.version,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this.no = 0,
this.model = '',
		this.lotNo = '',
		this.noInLot = 0,
		this.bodyNo = '',
		this.color = '',
this.vinNo = '',
		this.frameId = '',
		this.status = '',
		this.planMonth = '',
		this.planDate = '',
		this.grade = '',
		this.version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this.no,
			this.model,
			this.lotNo,
			this.noInLot,
			this.bodyNo,
			this.color,
			this.vinNo,
			this.frameId,
			this.status,
			this.planMonth,
			this.planDate,
			this.grade,
			this.version,
			this.isActive,
			'',
            this.paginationParams.skipCount,
            this.paginationParams.pageSize
        );
    }
    onChangeRowSelection(params: { api: { getSelectedRows: () =&gt; FrmAdoFramePlanA1Dto[] } }) {
        this.saveSelectedRow = params.api.getSelectedRows()[0] ?? new FrmAdoFramePlanA1Dto();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FrmAdoFramePlanA1Dto):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this._service.getFramePlanA1ToExcel(
			this.no,
			this.model,
			this.lotNo,
			this.noInLot,
			this.bodyNo,
			this.color,
			this.vinNo,
			this.frameId,
			this.status,
			this.planMonth,
			this.planDate,
			this.grade,
			this.version,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Andon Frame Plan A1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[(ngModel)]='frameId' name='frameId'
									class='form-control' [placeholder]="l('Frame Id')"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[(ngModel)]='planMonth' name='planMonth'
									class='form-control' [placeholder]="l('Plan Month')"
									type='text' (keyup.enter)='searchDatas()'&gt;
								&lt;/div&gt;
								&lt;div class='input-search'&gt;
									&lt;input type='text' [placeholder]="l('Plan Date')" [(ngModel)]='planDate' 
									name='planDate'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[(ngModel)]='version' name='version'
									class='form-control' [placeholder]="l('Version')"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(click)="createOrEditModalFramePlanA1.show()"&gt;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(click)="createOrEditModalFramePlanA1.show(selectedRow)"&gt;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&lt;create-or-edit-frameplana1-modal
    #createOrEditModalFramePlanA1
    (modalSave)="callBackDataGrid(dataParams)"
    (modalClose)="onChangeRowSelection(dataParams)"
&gt;
&lt;/create-or-edit-frameplana1-modal&gt;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#createOrEditModalFramePlanA1="bs-modal"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FramePlanA1')}}&lt;/h3&gt;
                    &lt;h3 *ngIf="!rowdata.id"&gt;{{('Create New FramePlanA1')}}&lt;/h3&gt;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title'&gt;No&lt;/label&gt;
						&lt;input type='number' class='col-md-10 form-control input-text' name='No' [(ngModel)]='rowdata.no'&gt;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title'&gt;Frame Id&lt;/label&gt;
						&lt;input type='text' class='col-md-10 form-control input-text' name='FrameId' [(ngModel)]='rowdata.frameId'&gt;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title'&gt;Plan Month&lt;/label&gt;
						&lt;input type='text' class='col-md-10 form-control input-text' name='PlanMonth' [(ngModel)]='rowdata.planMonth'&gt;
					&lt;/div&gt;
					&lt;div class='col-md-12 form-group row'&gt;
						&lt;label class='col-md-2 form-control title'&gt;Plan Date&lt;/label&gt;
						&lt;input type='text' class='col-md-10 form-control input-text' name='planDate' 
						#datepicker='bsDatepicker' [(ngModel)]='rowdata.planDate'  bsDatepicker 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title'&gt;Version&lt;/label&gt;
						&lt;input type='text' class='col-md-10 form-control input-text' name='Version' [(ngModel)]='rowdata.version'&gt;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CreateOrEditFrmAdoFramePlanA1Dto, FrmAdoFramePlanA1ServiceProxy } from '@shared/service-proxies/service-proxies';
import { BsDatepickerDirective } from 'ngx-bootstrap/datepicker';
@Component({
    selector: 'create-or-edit-frameplana1-modal',
    templateUrl: './create-or-edit-frameplana1-modal.component.html',
    styleUrls: ['./create-or-edit-frameplana1-modal.component.less']
    })
export class CreateOrEditFramePlanA1ModalComponent extends AppComponentBase {
    @ViewChild('createOrEditModalFramePlanA1',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CreateOrEditFrmAdoFramePlanA1Dto = new CreateOrEditFrmAdoFramePlanA1Dto();
    active: boolean = false;
    saving: boolean = false;
    _: boolean;
    constructor(
        injector: Injector,
        private _mstwptFramePlanA1Service: FrmAdoFramePlanA1ServiceProxy,
    ) 
    {
        super(injector);
    }
    show(rowdata?: CreateOrEditFrmAdoFramePlanA1Dto): void {
        if (!rowdata) this.rowdata = new CreateOrEditFrmAdoFramePlanA1Dto();
        else this.rowdata = rowdata;
		const dateValue =  this.rowdata.planDate ? new Date(this.rowdata.planDate?.toString())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this._mstwptFramePlanA1Service.createOrEdit(this.rowdata)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FramePlanA1RoutingModule } from './frameplana1-routing.module';
import { FramePlanA1Component } from './frameplana1.component';
import { CreateOrEditFramePlanA1ModalComponent } from './create-or-edit-frameplana1-modal.component';
@NgModule({
    declarations: [
       FramePlanA1Component, 
        CreateOrEditFramePlanA1ModalComponent
    ],
    imports: [
        AppSharedModule, FramePlanA1RoutingModule]
})
export class FramePlanA1Module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FramePlanA1Component } from './frameplana1.component';
const routes: Routes = [{
    path: '',
    component: FramePlanA1Component,
    pathMatch: 'full'
}];
@NgModule({
    imports: [RouterModule.forChild(routes)],
    exports: [RouterModule],
})
export class FramePlanA1RoutingModule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AppMenuItem("FramePlanA1", "Pages.Frame.Andon.FramePlanA1", "flaticon-book",   "/app/main/frame/andon/frameplana1"),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'frame/andon/frameplana1',
    loadChildren: () =&gt; import('./frame/andon/frameplana1/frameplana1.module').then(m =&gt; m.FramePlanA1Module),
    data: { permission: 'Pages.Frame.Andon.FramePlanA1' }
},</v>
      </c>
      <c r="R10" s="50" t="str">
        <f>SUBSTITUTE(R9,"MstWptCalendar",$B$6)</f>
        <v>ApiServiceProxies.FrmAdoFramePlanA1ServiceProxy,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264</v>
      </c>
      <c r="J11" s="31"/>
      <c r="K11" s="31" t="s">
        <v>261</v>
      </c>
      <c r="L11" s="31" t="s">
        <v>265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266</v>
      </c>
      <c r="V11" s="71" t="s">
        <v>268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H28</v>
      </c>
      <c r="I12" s="31" t="str">
        <f>"I"&amp;COUNTA($A:$A)</f>
        <v>I28</v>
      </c>
      <c r="J12" s="31"/>
      <c r="K12" s="31" t="str">
        <f>"K"&amp;COUNTA($A:$A)</f>
        <v>K28</v>
      </c>
      <c r="L12" s="31" t="str">
        <f>"L"&amp;COUNTA($A:$A)</f>
        <v>L28</v>
      </c>
      <c r="M12" s="31"/>
      <c r="N12" s="31"/>
      <c r="O12" s="31"/>
      <c r="P12" s="31"/>
      <c r="Q12" s="31"/>
      <c r="R12" s="31"/>
      <c r="S12" s="31" t="str">
        <f>"S"&amp;COUNTA($A:$A)</f>
        <v>S28</v>
      </c>
      <c r="T12" s="31" t="str">
        <f>"T"&amp;COUNTA($A:$A)</f>
        <v>T28</v>
      </c>
      <c r="U12" s="31" t="str">
        <f>"U"&amp;COUNTA($A:$A)</f>
        <v>U28</v>
      </c>
      <c r="V12" s="31" t="str">
        <f>"V"&amp;COUNTA($A:$A)</f>
        <v>V28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this.l('No'),headerTooltip: this.l('No'),field: 'no',flex: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this.l('Body No'),headerTooltip: this.l('Body No'),field: 'bodyNo',flex: 1},
			{headerName: this.l('Color'),headerTooltip: this.l('Color'),field: 'color',flex: 1},
			{headerName: this.l('Vin No'),headerTooltip: this.l('Vin No'),field: 'vinNo',flex: 1},
			{headerName: this.l('Frame Id'),headerTooltip: this.l('Frame Id'),field: 'frameId',flex: 1},
			{headerName: this.l('Status'),headerTooltip: this.l('Status'),field: 'status',flex: 1},
			{headerName: this.l('Plan Month'),headerTooltip: this.l('Plan Month'),field: 'planMonth',flex: 1},
			{headerName: this.l('Plan Date'),headerTooltip: this.l('Plan Date'),field: 'planDate',valueGetter: (params) =&gt; this.pipe.transform(params.data?.planDate, 'dd/MM/yyyy'),flex: 1},
			{headerName: this.l('Grade'),headerTooltip: this.l('Grade'),field: 'grade',flex: 1},
			{headerName: this.l('Version'),headerTooltip: this.l('Version'),field: 'version',flex: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[(ngModel)]='frameId' name='frameId'
									class='form-control' [placeholder]="l('Frame Id')"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[(ngModel)]='planMonth' name='planMonth'
									class='form-control' [placeholder]="l('Plan Month')"
									type='text' (keyup.enter)='searchDatas()'&gt;
								&lt;/div&gt;
								&lt;div class='input-search'&gt;
									&lt;input type='text' [placeholder]="l('Plan Date')" [(ngModel)]='planDate' 
									name='planDate'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[(ngModel)]='version' name='version'
									class='form-control' [placeholder]="l('Version')"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title'&gt;No&lt;/label&gt;
						&lt;input type='number' class='col-md-10 form-control input-text' name='No' [(ngModel)]='rowdata.no'&gt;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title'&gt;Frame Id&lt;/label&gt;
						&lt;input type='text' class='col-md-10 form-control input-text' name='FrameId' [(ngModel)]='rowdata.frameId'&gt;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title'&gt;Plan Month&lt;/label&gt;
						&lt;input type='text' class='col-md-10 form-control input-text' name='PlanMonth' [(ngModel)]='rowdata.planMonth'&gt;
					&lt;/div&gt;
					&lt;div class='col-md-12 form-group row'&gt;
						&lt;label class='col-md-2 form-control title'&gt;Plan Date&lt;/label&gt;
						&lt;input type='text' class='col-md-10 form-control input-text' name='planDate' 
						#datepicker='bsDatepicker' [(ngModel)]='rowdata.planDate'  bsDatepicker 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title'&gt;Version&lt;/label&gt;
						&lt;input type='text' class='col-md-10 form-control input-text' name='Version' [(ngModel)]='rowdata.version'&gt;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3" s="60" t="str">
        <f ca="1">TEXTJOIN2("
",TRUE,INDIRECT(L11):INDIRECT(L12))</f>
        <v xml:space="preserve">		const dateValue =  this.rowdata.planDate ? new Date(this.rowdata.planDate?.toString())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no : number = 0 ;
model : string = '' ; 
	lotNo : string = '' ; 
	noInLot : number = 0 ;
	bodyNo : string = '' ; 
	color : string = '' ; 
vinNo : string = '' ; 
	frameId : string = '' ; 
	status : string = '' ; 
	planMonth : string = '' ; 
	planDate : any ;
	grade : string = '' ; 
	version : string = '' ; 
	isActive : string = '' ; </v>
      </c>
      <c r="T13" s="68" t="str">
        <f ca="1">TEXTJOIN2("
",TRUE,INDIRECT(T11):INDIRECT(T12))</f>
        <v xml:space="preserve">			this.no,
			this.model,
			this.lotNo,
			this.noInLot,
			this.bodyNo,
			this.color,
			this.vinNo,
			this.frameId,
			this.status,
			this.planMonth,
			this.planDate,
			this.grade,
			this.version,
			this.isActive,</v>
      </c>
      <c r="U13" s="68" t="str">
        <f ca="1">TEXTJOIN2("
",TRUE,INDIRECT(U11):INDIRECT(U12))</f>
        <v>this.no = 0,
this.model = '',
		this.lotNo = '',
		this.noInLot = 0,
		this.bodyNo = '',
		this.color = '',
this.vinNo = '',
		this.frameId = '',
		this.status = '',
		this.planMonth = '',
		this.planDate = '',
		this.grade = '',
		this.version = '',
		this.isActive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frameplana1.component.ts</v>
      </c>
      <c r="I14" s="40" t="str">
        <f>B8&amp;".component.html"</f>
        <v>frameplana1.component.html</v>
      </c>
      <c r="J14" s="39" t="str">
        <f>B8&amp;".component.less"</f>
        <v>frameplana1.component.less</v>
      </c>
      <c r="K14" s="40" t="str">
        <f>"create-or-edit-"&amp;B8&amp;"-modal.component.html"</f>
        <v>create-or-edit-frameplana1-modal.component.html</v>
      </c>
      <c r="L14" s="40" t="str">
        <f>"create-or-edit-"&amp;B8&amp;"-modal.component.ts"</f>
        <v>create-or-edit-frameplana1-modal.component.ts</v>
      </c>
      <c r="M14" s="40" t="str">
        <f>"create-or-edit-"&amp;B8&amp;"-modal.component.less"</f>
        <v>create-or-edit-frameplana1-modal.component.less</v>
      </c>
      <c r="N14" s="40" t="str">
        <f>B8&amp;".module.ts"</f>
        <v>frameplana1.module.ts</v>
      </c>
      <c r="O14" s="40" t="str">
        <f>B8&amp;"-routing.module.ts"</f>
        <v>frameplana1-routing.module.ts</v>
      </c>
      <c r="P14" s="40" t="s">
        <v>222</v>
      </c>
      <c r="Q14" s="40" t="s">
        <v>225</v>
      </c>
      <c r="R14" s="41" t="s">
        <v>232</v>
      </c>
      <c r="S14" s="40" t="s">
        <v>252</v>
      </c>
      <c r="T14" s="40" t="s">
        <v>253</v>
      </c>
      <c r="U14" s="40" t="s">
        <v>256</v>
      </c>
      <c r="V14" s="40" t="s">
        <v>267</v>
      </c>
    </row>
    <row r="15" spans="1:22" ht="18" customHeight="1" x14ac:dyDescent="0.25">
      <c r="A15" s="44" t="s">
        <v>282</v>
      </c>
      <c r="B15" s="31" t="str">
        <f>SUBSTITUTE(PROPER(A15),"_","")</f>
        <v>No</v>
      </c>
      <c r="C15" s="31" t="str">
        <f>SUBSTITUTE(PROPER(A15),"_"," ")</f>
        <v>No</v>
      </c>
      <c r="D15" s="31" t="str">
        <f>LOWER(LEFT(B15,1))&amp;RIGHT(B15,LEN(B15) - 1)</f>
        <v>no</v>
      </c>
      <c r="E15" s="72" t="str">
        <f>A.Backend!H9</f>
        <v>int</v>
      </c>
      <c r="F15" s="72" t="str">
        <f>A.Backend!G9</f>
        <v/>
      </c>
      <c r="G15" s="31" t="str">
        <f>IF(E15="string"," : string = '' ; ",IF(OR(E15="DateTime",E15="TimeSpan")," : any ;",IF(E15="int"," : number = 0 ;","")))</f>
        <v xml:space="preserve"> : number = 0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this.l('No'),headerTooltip: this.l('No'),field: 'no',flex: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title'&gt;No&lt;/label&gt;
						&lt;input type='number' class='col-md-10 form-control input-text' name='No' [(ngModel)]='rowdata.no'&gt;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no : number = 0 ;</v>
      </c>
      <c r="T15" s="31" t="str">
        <f>REPT(CHAR(9),3)&amp;"this."&amp;D15&amp;","</f>
        <v xml:space="preserve">			this.no,</v>
      </c>
      <c r="U15" s="31" t="str">
        <f>IF(E15="int","this."&amp;D15&amp;" = 0,","this."&amp;D15&amp;" = '',")</f>
        <v>this.no = 0,</v>
      </c>
      <c r="V15" s="31" t="str">
        <f>IF(AND(E15="string",F15="1"),D15,"")</f>
        <v/>
      </c>
    </row>
    <row r="16" spans="1:22" ht="18" customHeight="1" x14ac:dyDescent="0.25">
      <c r="A16" s="44" t="s">
        <v>272</v>
      </c>
      <c r="B16" s="31" t="str">
        <f>SUBSTITUTE(PROPER(A16),"_","")</f>
        <v>Model</v>
      </c>
      <c r="C16" s="31" t="str">
        <f>SUBSTITUTE(PROPER(A16),"_"," ")</f>
        <v>Model</v>
      </c>
      <c r="D16" s="31" t="str">
        <f>LOWER(LEFT(B16,1))&amp;RIGHT(B16,LEN(B16) - 1)</f>
        <v>model</v>
      </c>
      <c r="E16" s="72" t="str">
        <f>A.Backend!H10</f>
        <v>string</v>
      </c>
      <c r="F16" s="72" t="str">
        <f>A.Backend!G10</f>
        <v>50</v>
      </c>
      <c r="G16" s="31" t="str">
        <f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this.l('Model'),headerTooltip: this.l('Model'),field: 'model',flex: 1},</v>
      </c>
      <c r="I16" s="38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6" s="31"/>
      <c r="K16" s="38" t="str">
        <f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6" s="60" t="str">
        <f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 xml:space="preserve">model : string = '' ; </v>
      </c>
      <c r="T16" s="31" t="str">
        <f>REPT(CHAR(9),3)&amp;"this."&amp;D16&amp;","</f>
        <v xml:space="preserve">			this.model,</v>
      </c>
      <c r="U16" s="31" t="str">
        <f>IF(E16="int","this."&amp;D16&amp;" = 0,","this."&amp;D16&amp;" = '',")</f>
        <v>this.model = '',</v>
      </c>
      <c r="V16" s="31" t="str">
        <f>IF(AND(E16="string",F16="1"),D16,"")</f>
        <v/>
      </c>
    </row>
    <row r="17" spans="1:22" ht="18" customHeight="1" x14ac:dyDescent="0.25">
      <c r="A17" s="44" t="s">
        <v>273</v>
      </c>
      <c r="B17" s="31" t="str">
        <f t="shared" ref="B17" si="0">SUBSTITUTE(PROPER(A17),"_","")</f>
        <v>LotNo</v>
      </c>
      <c r="C17" s="31" t="str">
        <f t="shared" ref="C17" si="1">SUBSTITUTE(PROPER(A17),"_"," ")</f>
        <v>Lot No</v>
      </c>
      <c r="D17" s="31" t="str">
        <f t="shared" ref="D17" si="2">LOWER(LEFT(B17,1))&amp;RIGHT(B17,LEN(B17) - 1)</f>
        <v>lotNo</v>
      </c>
      <c r="E17" s="72" t="str">
        <f>A.Backend!H11</f>
        <v>string</v>
      </c>
      <c r="F17" s="72" t="str">
        <f>A.Backend!G11</f>
        <v>50</v>
      </c>
      <c r="G17" s="31" t="str">
        <f t="shared" ref="G17:G20" si="3">IF(E17="string"," : string = '' ; ",IF(OR(E17="DateTime",E17="TimeSpan")," : any ;",IF(E17="int"," : number = 0 ;","")))</f>
        <v xml:space="preserve"> : string = '' ; </v>
      </c>
      <c r="H17" s="38" t="str">
        <f t="shared" ref="H17:H19" si="4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this.l('Lot No'),headerTooltip: this.l('Lot No'),field: 'lotNo',flex: 1},</v>
      </c>
      <c r="I17" s="38" t="str">
        <f t="shared" ref="I17:I20" si="5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7" s="31"/>
      <c r="K17" s="38" t="str">
        <f t="shared" ref="K17:K20" si="6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"&amp;REPT(CHAR(9),6)&amp;"&lt;input class='col-md-10 form-control checkboxActive' type='checkbox' name='"&amp;D17&amp;"'
"&amp;REPT(CHAR(9),6)&amp;"[checked]='_"&amp;D17&amp;"' (change)='changeActive($event)'&gt;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7" s="60" t="str">
        <f t="shared" ref="L17:L20" si="7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9" si="8">REPT(CHAR(9),1)&amp;D17&amp;G17</f>
        <v xml:space="preserve">	lotNo : string = '' ; </v>
      </c>
      <c r="T17" s="31" t="str">
        <f t="shared" ref="T17:T19" si="9">REPT(CHAR(9),3)&amp;"this."&amp;D17&amp;","</f>
        <v xml:space="preserve">			this.lotNo,</v>
      </c>
      <c r="U17" s="31" t="str">
        <f t="shared" ref="U17:U19" si="10">IF(E17="int",REPT(CHAR(9),2)&amp;"this."&amp;D17&amp;" = 0,",REPT(CHAR(9),2)&amp;"this."&amp;D17&amp;" = '',")</f>
        <v xml:space="preserve">		this.lotNo = '',</v>
      </c>
      <c r="V17" s="31" t="str">
        <f t="shared" ref="V17:V20" si="11">IF(AND(E17="string",F17="1"),D17,"")</f>
        <v/>
      </c>
    </row>
    <row r="18" spans="1:22" ht="18" customHeight="1" x14ac:dyDescent="0.25">
      <c r="A18" s="44" t="s">
        <v>274</v>
      </c>
      <c r="B18" s="31" t="str">
        <f>SUBSTITUTE(PROPER(A18),"_","")</f>
        <v>NoInLot</v>
      </c>
      <c r="C18" s="31" t="str">
        <f>SUBSTITUTE(PROPER(A18),"_"," ")</f>
        <v>No In Lot</v>
      </c>
      <c r="D18" s="31" t="str">
        <f>LOWER(LEFT(B18,1))&amp;RIGHT(B18,LEN(B18) - 1)</f>
        <v>noInLot</v>
      </c>
      <c r="E18" s="72" t="str">
        <f>A.Backend!H12</f>
        <v>int</v>
      </c>
      <c r="F18" s="72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this.l('No In Lot'),headerTooltip: this.l('No In Lot'),field: 'noInLot',flex: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	noInLot : number = 0 ;</v>
      </c>
      <c r="T18" s="31" t="str">
        <f t="shared" si="9"/>
        <v xml:space="preserve">			this.noInLot,</v>
      </c>
      <c r="U18" s="31" t="str">
        <f t="shared" si="10"/>
        <v xml:space="preserve">		this.noInLot = 0,</v>
      </c>
      <c r="V18" s="31" t="str">
        <f t="shared" si="11"/>
        <v/>
      </c>
    </row>
    <row r="19" spans="1:22" ht="15" customHeight="1" x14ac:dyDescent="0.25">
      <c r="A19" s="44" t="s">
        <v>275</v>
      </c>
      <c r="B19" s="31" t="str">
        <f t="shared" ref="B19:B20" si="12">SUBSTITUTE(PROPER(A19),"_","")</f>
        <v>BodyNo</v>
      </c>
      <c r="C19" s="31" t="str">
        <f t="shared" ref="C19:C20" si="13">SUBSTITUTE(PROPER(A19),"_"," ")</f>
        <v>Body No</v>
      </c>
      <c r="D19" s="31" t="str">
        <f t="shared" ref="D19:D20" si="14">LOWER(LEFT(B19,1))&amp;RIGHT(B19,LEN(B19) - 1)</f>
        <v>bodyNo</v>
      </c>
      <c r="E19" s="72" t="str">
        <f>A.Backend!H13</f>
        <v>string</v>
      </c>
      <c r="F19" s="72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this.l('Body No'),headerTooltip: this.l('Body No'),field: 'bodyNo',flex: 1},</v>
      </c>
      <c r="I19" s="38" t="str">
        <f t="shared" si="5"/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8"/>
        <v xml:space="preserve">	bodyNo : string = '' ; </v>
      </c>
      <c r="T19" s="31" t="str">
        <f t="shared" si="9"/>
        <v xml:space="preserve">			this.bodyNo,</v>
      </c>
      <c r="U19" s="31" t="str">
        <f t="shared" si="10"/>
        <v xml:space="preserve">		this.bodyNo = '',</v>
      </c>
      <c r="V19" s="31" t="str">
        <f t="shared" si="11"/>
        <v/>
      </c>
    </row>
    <row r="20" spans="1:22" ht="15" customHeight="1" x14ac:dyDescent="0.25">
      <c r="A20" s="44" t="s">
        <v>276</v>
      </c>
      <c r="B20" s="31" t="str">
        <f t="shared" si="12"/>
        <v>Color</v>
      </c>
      <c r="C20" s="31" t="str">
        <f t="shared" si="13"/>
        <v>Color</v>
      </c>
      <c r="D20" s="31" t="str">
        <f t="shared" si="14"/>
        <v>color</v>
      </c>
      <c r="E20" s="72" t="str">
        <f>A.Backend!H14</f>
        <v>string</v>
      </c>
      <c r="F20" s="72" t="str">
        <f>A.Backend!G14</f>
        <v>50</v>
      </c>
      <c r="G20" s="31" t="str">
        <f t="shared" si="3"/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REPT(CHAR(9),3)&amp;"{headerName: this.l('"&amp;C20&amp;"'),headerTooltip: this.l('"&amp;C20&amp;"'),field: '"&amp;D20&amp;"',flex: 1},")</f>
        <v xml:space="preserve">			{headerName: this.l('Color'),headerTooltip: this.l('Color'),field: 'color',flex: 1},</v>
      </c>
      <c r="I20" s="38" t="str">
        <f t="shared" si="5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color : string = '' ; </v>
      </c>
      <c r="T20" s="31" t="str">
        <f>REPT(CHAR(9),3)&amp;"this."&amp;D20&amp;","</f>
        <v xml:space="preserve">			this.color,</v>
      </c>
      <c r="U20" s="31" t="str">
        <f>IF(E20="int",REPT(CHAR(9),2)&amp;"this."&amp;D20&amp;" = 0,",REPT(CHAR(9),2)&amp;"this."&amp;D20&amp;" = '',")</f>
        <v xml:space="preserve">		this.color = '',</v>
      </c>
      <c r="V20" s="31" t="str">
        <f t="shared" si="11"/>
        <v/>
      </c>
    </row>
    <row r="21" spans="1:22" ht="18" customHeight="1" x14ac:dyDescent="0.25">
      <c r="A21" s="44" t="s">
        <v>279</v>
      </c>
      <c r="B21" s="31" t="str">
        <f>SUBSTITUTE(PROPER(A21),"_","")</f>
        <v>VinNo</v>
      </c>
      <c r="C21" s="31" t="str">
        <f>SUBSTITUTE(PROPER(A21),"_"," ")</f>
        <v>Vin No</v>
      </c>
      <c r="D21" s="31" t="str">
        <f>LOWER(LEFT(B21,1))&amp;RIGHT(B21,LEN(B21) - 1)</f>
        <v>vinNo</v>
      </c>
      <c r="E21" s="72" t="str">
        <f>A.Backend!H15</f>
        <v>string</v>
      </c>
      <c r="F21" s="72" t="str">
        <f>A.Backend!G15</f>
        <v>50</v>
      </c>
      <c r="G21" s="31" t="str">
        <f>IF(E21="string"," : string = '' ; ",IF(OR(E21="DateTime",E21="TimeSpan")," : any ;",IF(E21="int"," : number = 0 ;","")))</f>
        <v xml:space="preserve"> : string = '' ; 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REPT(CHAR(9),3)&amp;"{headerName: this.l('"&amp;C21&amp;"'),headerTooltip: this.l('"&amp;C21&amp;"'),field: '"&amp;D21&amp;"',flex: 1},")</f>
        <v xml:space="preserve">			{headerName: this.l('Vin No'),headerTooltip: this.l('Vin No'),field: 'vinNo',flex: 1},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[(ngModel)]='vinNo' name='vinNo'
									class='form-control' [placeholder]="l('Vin No')"
									type='text' (keyup.enter)='searchDatas()'&gt;
								&lt;/div&gt;</v>
      </c>
      <c r="J21" s="31"/>
      <c r="K21" s="38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"&amp;REPT(CHAR(9),6)&amp;"&lt;input class='col-md-10 form-control checkboxActive' type='checkbox' name='"&amp;D21&amp;"'
"&amp;REPT(CHAR(9),6)&amp;"[checked]='_"&amp;D21&amp;"' (change)='changeActive($event)'&gt;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title'&gt;Vin No&lt;/label&gt;
						&lt;input type='text' class='col-md-10 form-control input-text' name='VinNo' [(ngModel)]='rowdata.vinNo'&gt;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vinNo : string = '' ; </v>
      </c>
      <c r="T21" s="31" t="str">
        <f>REPT(CHAR(9),3)&amp;"this."&amp;D21&amp;","</f>
        <v xml:space="preserve">			this.vinNo,</v>
      </c>
      <c r="U21" s="31" t="str">
        <f>IF(E21="int","this."&amp;D21&amp;" = 0,","this."&amp;D21&amp;" = '',")</f>
        <v>this.vinNo = '',</v>
      </c>
      <c r="V21" s="31" t="str">
        <f>IF(AND(E21="string",F21="1"),D21,"")</f>
        <v/>
      </c>
    </row>
    <row r="22" spans="1:22" ht="18" customHeight="1" x14ac:dyDescent="0.25">
      <c r="A22" s="44" t="s">
        <v>283</v>
      </c>
      <c r="B22" s="31" t="str">
        <f t="shared" ref="B22" si="15">SUBSTITUTE(PROPER(A22),"_","")</f>
        <v>FrameId</v>
      </c>
      <c r="C22" s="31" t="str">
        <f t="shared" ref="C22" si="16">SUBSTITUTE(PROPER(A22),"_"," ")</f>
        <v>Frame Id</v>
      </c>
      <c r="D22" s="31" t="str">
        <f t="shared" ref="D22" si="17">LOWER(LEFT(B22,1))&amp;RIGHT(B22,LEN(B22) - 1)</f>
        <v>frameId</v>
      </c>
      <c r="E22" s="72" t="str">
        <f>A.Backend!H16</f>
        <v>string</v>
      </c>
      <c r="F22" s="72" t="str">
        <f>A.Backend!G16</f>
        <v>50</v>
      </c>
      <c r="G22" s="31" t="str">
        <f t="shared" ref="G22:G28" si="18">IF(E22="string"," : string = '' ; ",IF(OR(E22="DateTime",E22="TimeSpan")," : any ;",IF(E22="int"," : number = 0 ;","")))</f>
        <v xml:space="preserve"> : string = '' ; </v>
      </c>
      <c r="H22" s="38" t="str">
        <f t="shared" ref="H22:H24" si="19">IF(E22="DateTime",
REPT(CHAR(9),3)&amp;"{headerName: this.l('"&amp;C22&amp;"'),headerTooltip: this.l('"&amp;C22&amp;"'),field: '"&amp;D22&amp;"',valueGetter: (params) =&gt; this.pipe.transform(params.data?."&amp;D22&amp;", 'dd/MM/yyyy'),flex: 1},",
REPT(CHAR(9),3)&amp;"{headerName: this.l('"&amp;C22&amp;"'),headerTooltip: this.l('"&amp;C22&amp;"'),field: '"&amp;D22&amp;"',flex: 1},")</f>
        <v xml:space="preserve">			{headerName: this.l('Frame Id'),headerTooltip: this.l('Frame Id'),field: 'frameId',flex: 1},</v>
      </c>
      <c r="I22" s="38" t="str">
        <f t="shared" ref="I22:I28" si="20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[(ngModel)]='frameId' name='frameId'
									class='form-control' [placeholder]="l('Frame Id')"
									type='text' (keyup.enter)='searchDatas()'&gt;
								&lt;/div&gt;</v>
      </c>
      <c r="J22" s="31"/>
      <c r="K22" s="38" t="str">
        <f t="shared" ref="K22:K28" si="21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"&amp;REPT(CHAR(9),6)&amp;"&lt;input class='col-md-10 form-control checkboxActive' type='checkbox' name='"&amp;D22&amp;"'
"&amp;REPT(CHAR(9),6)&amp;"[checked]='_"&amp;D22&amp;"' (change)='changeActive($event)'&gt;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title'&gt;Frame Id&lt;/label&gt;
						&lt;input type='text' class='col-md-10 form-control input-text' name='FrameId' [(ngModel)]='rowdata.frameId'&gt;
					&lt;/div&gt;</v>
      </c>
      <c r="L22" s="60" t="str">
        <f t="shared" ref="L22:L28" si="22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4" si="23">REPT(CHAR(9),1)&amp;D22&amp;G22</f>
        <v xml:space="preserve">	frameId : string = '' ; </v>
      </c>
      <c r="T22" s="31" t="str">
        <f t="shared" ref="T22:T24" si="24">REPT(CHAR(9),3)&amp;"this."&amp;D22&amp;","</f>
        <v xml:space="preserve">			this.frameId,</v>
      </c>
      <c r="U22" s="31" t="str">
        <f t="shared" ref="U22:U24" si="25">IF(E22="int",REPT(CHAR(9),2)&amp;"this."&amp;D22&amp;" = 0,",REPT(CHAR(9),2)&amp;"this."&amp;D22&amp;" = '',")</f>
        <v xml:space="preserve">		this.frameId = '',</v>
      </c>
      <c r="V22" s="31" t="str">
        <f t="shared" ref="V22:V28" si="26">IF(AND(E22="string",F22="1"),D22,"")</f>
        <v/>
      </c>
    </row>
    <row r="23" spans="1:22" ht="18" customHeight="1" x14ac:dyDescent="0.25">
      <c r="A23" s="44" t="s">
        <v>284</v>
      </c>
      <c r="B23" s="31" t="str">
        <f>SUBSTITUTE(PROPER(A23),"_","")</f>
        <v>Status</v>
      </c>
      <c r="C23" s="31" t="str">
        <f>SUBSTITUTE(PROPER(A23),"_"," ")</f>
        <v>Status</v>
      </c>
      <c r="D23" s="31" t="str">
        <f>LOWER(LEFT(B23,1))&amp;RIGHT(B23,LEN(B23) - 1)</f>
        <v>status</v>
      </c>
      <c r="E23" s="72" t="str">
        <f>A.Backend!H17</f>
        <v>string</v>
      </c>
      <c r="F23" s="72" t="str">
        <f>A.Backend!G17</f>
        <v>50</v>
      </c>
      <c r="G23" s="31" t="str">
        <f t="shared" si="18"/>
        <v xml:space="preserve"> : string = '' ; </v>
      </c>
      <c r="H23" s="38" t="str">
        <f t="shared" si="19"/>
        <v xml:space="preserve">			{headerName: this.l('Status'),headerTooltip: this.l('Status'),field: 'status',flex: 1},</v>
      </c>
      <c r="I23" s="38" t="str">
        <f t="shared" si="20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3"/>
        <v xml:space="preserve">	status : string = '' ; </v>
      </c>
      <c r="T23" s="31" t="str">
        <f t="shared" si="24"/>
        <v xml:space="preserve">			this.status,</v>
      </c>
      <c r="U23" s="31" t="str">
        <f t="shared" si="25"/>
        <v xml:space="preserve">		this.status = '',</v>
      </c>
      <c r="V23" s="31" t="str">
        <f t="shared" si="26"/>
        <v/>
      </c>
    </row>
    <row r="24" spans="1:22" ht="15" customHeight="1" x14ac:dyDescent="0.25">
      <c r="A24" s="44" t="s">
        <v>285</v>
      </c>
      <c r="B24" s="31" t="str">
        <f t="shared" ref="B24:B26" si="27">SUBSTITUTE(PROPER(A24),"_","")</f>
        <v>PlanMonth</v>
      </c>
      <c r="C24" s="31" t="str">
        <f t="shared" ref="C24:C26" si="28">SUBSTITUTE(PROPER(A24),"_"," ")</f>
        <v>Plan Month</v>
      </c>
      <c r="D24" s="31" t="str">
        <f t="shared" ref="D24:D26" si="29">LOWER(LEFT(B24,1))&amp;RIGHT(B24,LEN(B24) - 1)</f>
        <v>planMonth</v>
      </c>
      <c r="E24" s="72" t="str">
        <f>A.Backend!H18</f>
        <v>string</v>
      </c>
      <c r="F24" s="72" t="str">
        <f>A.Backend!G18</f>
        <v>50</v>
      </c>
      <c r="G24" s="31" t="str">
        <f t="shared" si="18"/>
        <v xml:space="preserve"> : string = '' ; </v>
      </c>
      <c r="H24" s="38" t="str">
        <f t="shared" si="19"/>
        <v xml:space="preserve">			{headerName: this.l('Plan Month'),headerTooltip: this.l('Plan Month'),field: 'planMonth',flex: 1},</v>
      </c>
      <c r="I24" s="38" t="str">
        <f t="shared" si="20"/>
        <v xml:space="preserve">								&lt;div class='input-search'&gt;
									&lt;input [(ngModel)]='planMonth' name='planMonth'
									class='form-control' [placeholder]="l('Plan Month')"
									type='text' (keyup.enter)='searchDatas()'&gt;
								&lt;/div&gt;</v>
      </c>
      <c r="J24" s="31"/>
      <c r="K24" s="38" t="str">
        <f t="shared" si="21"/>
        <v xml:space="preserve">					&lt;div class='col-md-12 form-group row'&gt;
						&lt;label class='col-md-2 form-control title'&gt;Plan Month&lt;/label&gt;
						&lt;input type='text' class='col-md-10 form-control input-text' name='PlanMonth' [(ngModel)]='rowdata.planMonth'&gt;
					&lt;/div&gt;</v>
      </c>
      <c r="L24" s="60" t="str">
        <f t="shared" si="22"/>
        <v/>
      </c>
      <c r="M24" s="31"/>
      <c r="N24" s="31"/>
      <c r="O24" s="31"/>
      <c r="P24" s="31"/>
      <c r="Q24" s="31"/>
      <c r="R24" s="31"/>
      <c r="S24" s="31" t="str">
        <f t="shared" si="23"/>
        <v xml:space="preserve">	planMonth : string = '' ; </v>
      </c>
      <c r="T24" s="31" t="str">
        <f t="shared" si="24"/>
        <v xml:space="preserve">			this.planMonth,</v>
      </c>
      <c r="U24" s="31" t="str">
        <f t="shared" si="25"/>
        <v xml:space="preserve">		this.planMonth = '',</v>
      </c>
      <c r="V24" s="31" t="str">
        <f t="shared" si="26"/>
        <v/>
      </c>
    </row>
    <row r="25" spans="1:22" ht="15" customHeight="1" x14ac:dyDescent="0.25">
      <c r="A25" s="44" t="s">
        <v>286</v>
      </c>
      <c r="B25" s="31" t="str">
        <f t="shared" si="27"/>
        <v>PlanDate</v>
      </c>
      <c r="C25" s="31" t="str">
        <f t="shared" si="28"/>
        <v>Plan Date</v>
      </c>
      <c r="D25" s="31" t="str">
        <f t="shared" si="29"/>
        <v>planDate</v>
      </c>
      <c r="E25" s="72" t="str">
        <f>A.Backend!H19</f>
        <v>DateTime</v>
      </c>
      <c r="F25" s="72" t="str">
        <f>A.Backend!G19</f>
        <v>7</v>
      </c>
      <c r="G25" s="31" t="str">
        <f t="shared" si="18"/>
        <v xml:space="preserve"> : any ;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REPT(CHAR(9),3)&amp;"{headerName: this.l('"&amp;C25&amp;"'),headerTooltip: this.l('"&amp;C25&amp;"'),field: '"&amp;D25&amp;"',flex: 1},")</f>
        <v xml:space="preserve">			{headerName: this.l('Plan Date'),headerTooltip: this.l('Plan Date'),field: 'planDate',valueGetter: (params) =&gt; this.pipe.transform(params.data?.planDate, 'dd/MM/yyyy'),flex: 1},</v>
      </c>
      <c r="I25" s="38" t="str">
        <f t="shared" si="20"/>
        <v xml:space="preserve">								&lt;div class='input-search'&gt;
									&lt;input type='text' [placeholder]="l('Plan Date')" [(ngModel)]='planDate' 
									name='planDate' (keydown)='searchDatas()' class='form-control' 
									bsDatepicker #d='bsDatepicker' placement='bottom left'&gt;
									&lt;i class='fa fa-calendar-alt' (click)='d.toggle()'&gt;&lt;/i&gt;
								&lt;/div&gt;</v>
      </c>
      <c r="J25" s="31"/>
      <c r="K25" s="38" t="str">
        <f t="shared" si="21"/>
        <v xml:space="preserve">					&lt;div class='col-md-12 form-group row'&gt;
						&lt;label class='col-md-2 form-control title'&gt;Plan Date&lt;/label&gt;
						&lt;input type='text' class='col-md-10 form-control input-text' name='planDate' 
						#datepicker='bsDatepicker' [(ngModel)]='rowdata.planDate'  bsDatepicker &gt;
					&lt;/div&gt;</v>
      </c>
      <c r="L25" s="60" t="str">
        <f t="shared" si="22"/>
        <v xml:space="preserve">		const dateValue =  this.rowdata.planDate ? new Date(this.rowdata.planDate?.toString()) : new Date();
		this.datepicker?.bsValueChange.emit(dateValue);</v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planDate : any ;</v>
      </c>
      <c r="T25" s="31" t="str">
        <f>REPT(CHAR(9),3)&amp;"this."&amp;D25&amp;","</f>
        <v xml:space="preserve">			this.planDate,</v>
      </c>
      <c r="U25" s="31" t="str">
        <f>IF(E25="int",REPT(CHAR(9),2)&amp;"this."&amp;D25&amp;" = 0,",REPT(CHAR(9),2)&amp;"this."&amp;D25&amp;" = '',")</f>
        <v xml:space="preserve">		this.planDate = '',</v>
      </c>
      <c r="V25" s="31" t="str">
        <f t="shared" si="26"/>
        <v/>
      </c>
    </row>
    <row r="26" spans="1:22" ht="18" customHeight="1" x14ac:dyDescent="0.25">
      <c r="A26" s="44" t="s">
        <v>280</v>
      </c>
      <c r="B26" s="31" t="str">
        <f t="shared" si="27"/>
        <v>Grade</v>
      </c>
      <c r="C26" s="31" t="str">
        <f t="shared" si="28"/>
        <v>Grade</v>
      </c>
      <c r="D26" s="31" t="str">
        <f t="shared" si="29"/>
        <v>grade</v>
      </c>
      <c r="E26" s="72" t="str">
        <f>A.Backend!H20</f>
        <v>string</v>
      </c>
      <c r="F26" s="72" t="str">
        <f>A.Backend!G20</f>
        <v>50</v>
      </c>
      <c r="G26" s="31" t="str">
        <f t="shared" si="18"/>
        <v xml:space="preserve"> : string = '' ; </v>
      </c>
      <c r="H26" s="38" t="str">
        <f t="shared" ref="H26:H28" si="30">IF(E26="DateTime",
REPT(CHAR(9),3)&amp;"{headerName: this.l('"&amp;C26&amp;"'),headerTooltip: this.l('"&amp;C26&amp;"'),field: '"&amp;D26&amp;"',valueGetter: (params) =&gt; this.pipe.transform(params.data?."&amp;D26&amp;", 'dd/MM/yyyy'),flex: 1},",
REPT(CHAR(9),3)&amp;"{headerName: this.l('"&amp;C26&amp;"'),headerTooltip: this.l('"&amp;C26&amp;"'),field: '"&amp;D26&amp;"',flex: 1},")</f>
        <v xml:space="preserve">			{headerName: this.l('Grade'),headerTooltip: this.l('Grade'),field: 'grade',flex: 1},</v>
      </c>
      <c r="I26" s="38" t="str">
        <f t="shared" si="20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26" s="31"/>
      <c r="K26" s="38" t="str">
        <f t="shared" si="21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26" s="60" t="str">
        <f t="shared" si="22"/>
        <v/>
      </c>
      <c r="M26" s="31"/>
      <c r="N26" s="31"/>
      <c r="O26" s="31"/>
      <c r="P26" s="31"/>
      <c r="Q26" s="31"/>
      <c r="R26" s="31"/>
      <c r="S26" s="31" t="str">
        <f t="shared" ref="S26:S28" si="31">REPT(CHAR(9),1)&amp;D26&amp;G26</f>
        <v xml:space="preserve">	grade : string = '' ; </v>
      </c>
      <c r="T26" s="31" t="str">
        <f t="shared" ref="T26:T28" si="32">REPT(CHAR(9),3)&amp;"this."&amp;D26&amp;","</f>
        <v xml:space="preserve">			this.grade,</v>
      </c>
      <c r="U26" s="31" t="str">
        <f t="shared" ref="U26:U28" si="33">IF(E26="int",REPT(CHAR(9),2)&amp;"this."&amp;D26&amp;" = 0,",REPT(CHAR(9),2)&amp;"this."&amp;D26&amp;" = '',")</f>
        <v xml:space="preserve">		this.grade = '',</v>
      </c>
      <c r="V26" s="31" t="str">
        <f t="shared" si="26"/>
        <v/>
      </c>
    </row>
    <row r="27" spans="1:22" ht="18" customHeight="1" x14ac:dyDescent="0.25">
      <c r="A27" s="44" t="s">
        <v>287</v>
      </c>
      <c r="B27" s="31" t="str">
        <f>SUBSTITUTE(PROPER(A27),"_","")</f>
        <v>Version</v>
      </c>
      <c r="C27" s="31" t="str">
        <f>SUBSTITUTE(PROPER(A27),"_"," ")</f>
        <v>Version</v>
      </c>
      <c r="D27" s="31" t="str">
        <f>LOWER(LEFT(B27,1))&amp;RIGHT(B27,LEN(B27) - 1)</f>
        <v>version</v>
      </c>
      <c r="E27" s="72" t="str">
        <f>A.Backend!H21</f>
        <v>string</v>
      </c>
      <c r="F27" s="72" t="str">
        <f>A.Backend!G21</f>
        <v>50</v>
      </c>
      <c r="G27" s="31" t="str">
        <f t="shared" si="18"/>
        <v xml:space="preserve"> : string = '' ; </v>
      </c>
      <c r="H27" s="38" t="str">
        <f t="shared" si="30"/>
        <v xml:space="preserve">			{headerName: this.l('Version'),headerTooltip: this.l('Version'),field: 'version',flex: 1},</v>
      </c>
      <c r="I27" s="38" t="str">
        <f t="shared" si="20"/>
        <v xml:space="preserve">								&lt;div class='input-search'&gt;
									&lt;input [(ngModel)]='version' name='version'
									class='form-control' [placeholder]="l('Version')"
									type='text' (keyup.enter)='searchDatas()'&gt;
								&lt;/div&gt;</v>
      </c>
      <c r="J27" s="31"/>
      <c r="K27" s="38" t="str">
        <f t="shared" si="21"/>
        <v xml:space="preserve">					&lt;div class='col-md-12 form-group row'&gt;
						&lt;label class='col-md-2 form-control title'&gt;Version&lt;/label&gt;
						&lt;input type='text' class='col-md-10 form-control input-text' name='Version' [(ngModel)]='rowdata.version'&gt;
					&lt;/div&gt;</v>
      </c>
      <c r="L27" s="60" t="str">
        <f t="shared" si="22"/>
        <v/>
      </c>
      <c r="M27" s="31"/>
      <c r="N27" s="31"/>
      <c r="O27" s="31"/>
      <c r="P27" s="31"/>
      <c r="Q27" s="31"/>
      <c r="R27" s="31"/>
      <c r="S27" s="31" t="str">
        <f t="shared" si="31"/>
        <v xml:space="preserve">	version : string = '' ; </v>
      </c>
      <c r="T27" s="31" t="str">
        <f t="shared" si="32"/>
        <v xml:space="preserve">			this.version,</v>
      </c>
      <c r="U27" s="31" t="str">
        <f t="shared" si="33"/>
        <v xml:space="preserve">		this.version = '',</v>
      </c>
      <c r="V27" s="31" t="str">
        <f t="shared" si="26"/>
        <v/>
      </c>
    </row>
    <row r="28" spans="1:22" ht="18" customHeight="1" x14ac:dyDescent="0.25">
      <c r="A28" s="44" t="s">
        <v>278</v>
      </c>
      <c r="B28" s="31" t="str">
        <f>SUBSTITUTE(PROPER(A28),"_","")</f>
        <v>IsActive</v>
      </c>
      <c r="C28" s="31" t="str">
        <f>SUBSTITUTE(PROPER(A28),"_"," ")</f>
        <v>Is Active</v>
      </c>
      <c r="D28" s="31" t="str">
        <f>LOWER(LEFT(B28,1))&amp;RIGHT(B28,LEN(B28) - 1)</f>
        <v>isActive</v>
      </c>
      <c r="E28" s="72" t="str">
        <f>A.Backend!H22</f>
        <v>string</v>
      </c>
      <c r="F28" s="72" t="str">
        <f>A.Backend!G22</f>
        <v>50</v>
      </c>
      <c r="G28" s="31" t="str">
        <f t="shared" si="18"/>
        <v xml:space="preserve"> : string = '' ; </v>
      </c>
      <c r="H28" s="38" t="str">
        <f t="shared" si="30"/>
        <v xml:space="preserve">			{headerName: this.l('Is Active'),headerTooltip: this.l('Is Active'),field: 'isActive',flex: 1},</v>
      </c>
      <c r="I28" s="38" t="str">
        <f t="shared" si="20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8" s="31"/>
      <c r="K28" s="38" t="str">
        <f t="shared" si="21"/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28" s="60" t="str">
        <f t="shared" si="22"/>
        <v/>
      </c>
      <c r="M28" s="31"/>
      <c r="N28" s="31"/>
      <c r="O28" s="31"/>
      <c r="P28" s="31"/>
      <c r="Q28" s="31"/>
      <c r="R28" s="31"/>
      <c r="S28" s="31" t="str">
        <f t="shared" si="31"/>
        <v xml:space="preserve">	isActive : string = '' ; </v>
      </c>
      <c r="T28" s="31" t="str">
        <f t="shared" si="32"/>
        <v xml:space="preserve">			this.isActive,</v>
      </c>
      <c r="U28" s="31" t="str">
        <f t="shared" si="33"/>
        <v xml:space="preserve">		this.isActive = '',</v>
      </c>
      <c r="V28" s="31" t="str">
        <f t="shared" si="26"/>
        <v/>
      </c>
    </row>
    <row r="31" spans="1:22" ht="17.25" customHeight="1" x14ac:dyDescent="0.25"/>
  </sheetData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270</v>
      </c>
      <c r="B20" t="s">
        <v>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2022-07-26T08:54:55Z</dcterms:modified>
</cp:coreProperties>
</file>
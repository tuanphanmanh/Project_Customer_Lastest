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frame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definedNames>
    <definedName name="_xlnm._FilterDatabase" localSheetId="2" hidden="1">B.Frontend!$A$1:$A$42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C31" i="5" l="1"/>
  <c r="B31" i="5"/>
  <c r="D31" i="5" s="1"/>
  <c r="C30" i="5"/>
  <c r="B30" i="5"/>
  <c r="D30" i="5" s="1"/>
  <c r="C29" i="5"/>
  <c r="B29" i="5"/>
  <c r="D29" i="5" s="1"/>
  <c r="T29" i="5" s="1"/>
  <c r="C28" i="5"/>
  <c r="B28" i="5"/>
  <c r="D28" i="5" s="1"/>
  <c r="C27" i="5"/>
  <c r="B27" i="5"/>
  <c r="D27" i="5" s="1"/>
  <c r="C26" i="5"/>
  <c r="B26" i="5"/>
  <c r="D26" i="5" s="1"/>
  <c r="C25" i="5"/>
  <c r="B25" i="5"/>
  <c r="D25" i="5" s="1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39" i="5"/>
  <c r="B39" i="5"/>
  <c r="D39" i="5" s="1"/>
  <c r="T39" i="5" s="1"/>
  <c r="C38" i="5"/>
  <c r="B38" i="5"/>
  <c r="D38" i="5" s="1"/>
  <c r="C37" i="5"/>
  <c r="B37" i="5"/>
  <c r="D37" i="5" s="1"/>
  <c r="T37" i="5" s="1"/>
  <c r="C36" i="5"/>
  <c r="B36" i="5"/>
  <c r="D36" i="5" s="1"/>
  <c r="C35" i="5"/>
  <c r="B35" i="5"/>
  <c r="D35" i="5" s="1"/>
  <c r="C34" i="5"/>
  <c r="B34" i="5"/>
  <c r="D34" i="5" s="1"/>
  <c r="C33" i="5"/>
  <c r="B33" i="5"/>
  <c r="D33" i="5" s="1"/>
  <c r="T33" i="5" s="1"/>
  <c r="C32" i="5"/>
  <c r="B32" i="5"/>
  <c r="D32" i="5" s="1"/>
  <c r="C20" i="5"/>
  <c r="B20" i="5"/>
  <c r="D20" i="5" s="1"/>
  <c r="T20" i="5" s="1"/>
  <c r="C19" i="5"/>
  <c r="B19" i="5"/>
  <c r="D19" i="5" s="1"/>
  <c r="C18" i="5"/>
  <c r="B18" i="5"/>
  <c r="D18" i="5" s="1"/>
  <c r="T18" i="5" s="1"/>
  <c r="C17" i="5"/>
  <c r="B17" i="5"/>
  <c r="D17" i="5" s="1"/>
  <c r="C16" i="5"/>
  <c r="B16" i="5"/>
  <c r="D16" i="5" s="1"/>
  <c r="G18" i="1"/>
  <c r="E18" i="1"/>
  <c r="H18" i="1" s="1"/>
  <c r="D18" i="1"/>
  <c r="V18" i="1" s="1"/>
  <c r="G17" i="1"/>
  <c r="E17" i="1"/>
  <c r="H17" i="1" s="1"/>
  <c r="D17" i="1"/>
  <c r="T17" i="1" s="1"/>
  <c r="L16" i="1"/>
  <c r="G16" i="1"/>
  <c r="E16" i="1"/>
  <c r="H16" i="1" s="1"/>
  <c r="D16" i="1"/>
  <c r="V16" i="1" s="1"/>
  <c r="G15" i="1"/>
  <c r="E15" i="1"/>
  <c r="H15" i="1" s="1"/>
  <c r="D15" i="1"/>
  <c r="T15" i="1" s="1"/>
  <c r="L14" i="1"/>
  <c r="G14" i="1"/>
  <c r="E14" i="1"/>
  <c r="H14" i="1" s="1"/>
  <c r="D14" i="1"/>
  <c r="V14" i="1" s="1"/>
  <c r="L13" i="1"/>
  <c r="G13" i="1"/>
  <c r="E13" i="1"/>
  <c r="H13" i="1" s="1"/>
  <c r="D13" i="1"/>
  <c r="T13" i="1" s="1"/>
  <c r="L12" i="1"/>
  <c r="G12" i="1"/>
  <c r="E12" i="1"/>
  <c r="H12" i="1" s="1"/>
  <c r="D12" i="1"/>
  <c r="V12" i="1" s="1"/>
  <c r="G11" i="1"/>
  <c r="E11" i="1"/>
  <c r="H11" i="1" s="1"/>
  <c r="D11" i="1"/>
  <c r="G10" i="1"/>
  <c r="E10" i="1"/>
  <c r="H10" i="1" s="1"/>
  <c r="D10" i="1"/>
  <c r="V10" i="1" s="1"/>
  <c r="G9" i="1"/>
  <c r="F15" i="5" s="1"/>
  <c r="E9" i="1"/>
  <c r="H9" i="1" s="1"/>
  <c r="E15" i="5" s="1"/>
  <c r="D9" i="1"/>
  <c r="L28" i="1"/>
  <c r="G28" i="1"/>
  <c r="E28" i="1"/>
  <c r="H28" i="1" s="1"/>
  <c r="D28" i="1"/>
  <c r="V28" i="1" s="1"/>
  <c r="G27" i="1"/>
  <c r="E27" i="1"/>
  <c r="H27" i="1" s="1"/>
  <c r="G33" i="5" s="1"/>
  <c r="D27" i="1"/>
  <c r="T27" i="1" s="1"/>
  <c r="G26" i="1"/>
  <c r="E26" i="1"/>
  <c r="H26" i="1" s="1"/>
  <c r="I32" i="5" s="1"/>
  <c r="D26" i="1"/>
  <c r="V26" i="1" s="1"/>
  <c r="G25" i="1"/>
  <c r="E25" i="1"/>
  <c r="H25" i="1" s="1"/>
  <c r="D25" i="1"/>
  <c r="T25" i="1" s="1"/>
  <c r="G24" i="1"/>
  <c r="E24" i="1"/>
  <c r="H24" i="1" s="1"/>
  <c r="D24" i="1"/>
  <c r="V24" i="1" s="1"/>
  <c r="L23" i="1"/>
  <c r="H23" i="1"/>
  <c r="G23" i="1"/>
  <c r="E23" i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L26" i="5" s="1"/>
  <c r="D20" i="1"/>
  <c r="V20" i="1" s="1"/>
  <c r="G19" i="1"/>
  <c r="E19" i="1"/>
  <c r="H19" i="1" s="1"/>
  <c r="D19" i="1"/>
  <c r="T19" i="1" s="1"/>
  <c r="V30" i="5" l="1"/>
  <c r="T16" i="1"/>
  <c r="W12" i="1"/>
  <c r="W16" i="1"/>
  <c r="G22" i="5"/>
  <c r="S22" i="5" s="1"/>
  <c r="W10" i="1"/>
  <c r="H16" i="5"/>
  <c r="M19" i="1"/>
  <c r="H25" i="5"/>
  <c r="M23" i="1"/>
  <c r="V29" i="5"/>
  <c r="W14" i="1"/>
  <c r="H20" i="5"/>
  <c r="I9" i="1"/>
  <c r="M21" i="1"/>
  <c r="V27" i="5"/>
  <c r="M25" i="1"/>
  <c r="T10" i="1"/>
  <c r="I26" i="5"/>
  <c r="G30" i="5"/>
  <c r="S30" i="5" s="1"/>
  <c r="W18" i="1"/>
  <c r="I24" i="5"/>
  <c r="V26" i="5"/>
  <c r="K30" i="5"/>
  <c r="U26" i="5"/>
  <c r="G26" i="5"/>
  <c r="S26" i="5" s="1"/>
  <c r="U17" i="5"/>
  <c r="I34" i="5"/>
  <c r="K17" i="5"/>
  <c r="H28" i="5"/>
  <c r="I28" i="5"/>
  <c r="H23" i="5"/>
  <c r="H33" i="5"/>
  <c r="H22" i="5"/>
  <c r="I33" i="5"/>
  <c r="I17" i="5"/>
  <c r="U30" i="5"/>
  <c r="U33" i="5"/>
  <c r="U20" i="5"/>
  <c r="V21" i="5"/>
  <c r="I30" i="5"/>
  <c r="K34" i="5"/>
  <c r="K19" i="5"/>
  <c r="I19" i="5"/>
  <c r="H34" i="5"/>
  <c r="U19" i="5"/>
  <c r="V32" i="5"/>
  <c r="K33" i="5"/>
  <c r="H21" i="5"/>
  <c r="L22" i="5"/>
  <c r="H26" i="5"/>
  <c r="V28" i="5"/>
  <c r="L28" i="5"/>
  <c r="H31" i="5"/>
  <c r="G32" i="5"/>
  <c r="S32" i="5" s="1"/>
  <c r="V33" i="5"/>
  <c r="L33" i="5"/>
  <c r="U34" i="5"/>
  <c r="V23" i="5"/>
  <c r="K26" i="5"/>
  <c r="G28" i="5"/>
  <c r="S28" i="5" s="1"/>
  <c r="U28" i="5"/>
  <c r="L30" i="5"/>
  <c r="K24" i="5"/>
  <c r="V31" i="5"/>
  <c r="L20" i="5"/>
  <c r="K28" i="5"/>
  <c r="T26" i="5"/>
  <c r="T22" i="5"/>
  <c r="T30" i="5"/>
  <c r="T24" i="5"/>
  <c r="T28" i="5"/>
  <c r="I21" i="5"/>
  <c r="T21" i="5"/>
  <c r="I23" i="5"/>
  <c r="T23" i="5"/>
  <c r="T25" i="5"/>
  <c r="I27" i="5"/>
  <c r="T27" i="5"/>
  <c r="I31" i="5"/>
  <c r="T31" i="5"/>
  <c r="U32" i="5"/>
  <c r="L32" i="5"/>
  <c r="K21" i="5"/>
  <c r="U21" i="5"/>
  <c r="K23" i="5"/>
  <c r="U23" i="5"/>
  <c r="H30" i="5"/>
  <c r="K31" i="5"/>
  <c r="U31" i="5"/>
  <c r="G21" i="5"/>
  <c r="S21" i="5" s="1"/>
  <c r="L21" i="5"/>
  <c r="G23" i="5"/>
  <c r="S23" i="5" s="1"/>
  <c r="L23" i="5"/>
  <c r="L25" i="5"/>
  <c r="G29" i="5"/>
  <c r="S29" i="5" s="1"/>
  <c r="G31" i="5"/>
  <c r="S31" i="5" s="1"/>
  <c r="L31" i="5"/>
  <c r="T38" i="5"/>
  <c r="T34" i="5"/>
  <c r="T36" i="5"/>
  <c r="H32" i="5"/>
  <c r="S33" i="5"/>
  <c r="T32" i="5"/>
  <c r="G34" i="5"/>
  <c r="S34" i="5" s="1"/>
  <c r="L34" i="5"/>
  <c r="V34" i="5"/>
  <c r="T35" i="5"/>
  <c r="K32" i="5"/>
  <c r="T17" i="5"/>
  <c r="T19" i="5"/>
  <c r="T16" i="5"/>
  <c r="G17" i="5"/>
  <c r="S17" i="5" s="1"/>
  <c r="L17" i="5"/>
  <c r="V17" i="5"/>
  <c r="G19" i="5"/>
  <c r="S19" i="5" s="1"/>
  <c r="L19" i="5"/>
  <c r="V19" i="5"/>
  <c r="H17" i="5"/>
  <c r="H19" i="5"/>
  <c r="P28" i="1"/>
  <c r="P14" i="1"/>
  <c r="P20" i="1"/>
  <c r="P24" i="1"/>
  <c r="P12" i="1"/>
  <c r="T14" i="1"/>
  <c r="P18" i="1"/>
  <c r="P22" i="1"/>
  <c r="I19" i="1"/>
  <c r="P26" i="1"/>
  <c r="P10" i="1"/>
  <c r="T12" i="1"/>
  <c r="P16" i="1"/>
  <c r="T18" i="1"/>
  <c r="M11" i="1"/>
  <c r="W11" i="1"/>
  <c r="O11" i="1"/>
  <c r="J11" i="1"/>
  <c r="M15" i="1"/>
  <c r="W15" i="1"/>
  <c r="O15" i="1"/>
  <c r="J15" i="1"/>
  <c r="N15" i="1"/>
  <c r="I15" i="1"/>
  <c r="T9" i="1"/>
  <c r="P9" i="1"/>
  <c r="N9" i="1"/>
  <c r="I11" i="1"/>
  <c r="M17" i="1"/>
  <c r="W17" i="1"/>
  <c r="O17" i="1"/>
  <c r="J17" i="1"/>
  <c r="N17" i="1"/>
  <c r="I17" i="1"/>
  <c r="N11" i="1"/>
  <c r="M13" i="1"/>
  <c r="W13" i="1"/>
  <c r="O13" i="1"/>
  <c r="J13" i="1"/>
  <c r="N13" i="1"/>
  <c r="I13" i="1"/>
  <c r="M27" i="1"/>
  <c r="I27" i="1"/>
  <c r="M9" i="1"/>
  <c r="W9" i="1"/>
  <c r="O9" i="1"/>
  <c r="J9" i="1"/>
  <c r="V9" i="1"/>
  <c r="T11" i="1"/>
  <c r="P11" i="1"/>
  <c r="V11" i="1"/>
  <c r="V13" i="1"/>
  <c r="V15" i="1"/>
  <c r="V17" i="1"/>
  <c r="M10" i="1"/>
  <c r="M12" i="1"/>
  <c r="M14" i="1"/>
  <c r="M16" i="1"/>
  <c r="M18" i="1"/>
  <c r="I21" i="1"/>
  <c r="I10" i="1"/>
  <c r="N10" i="1"/>
  <c r="I12" i="1"/>
  <c r="N12" i="1"/>
  <c r="P13" i="1"/>
  <c r="I14" i="1"/>
  <c r="N14" i="1"/>
  <c r="L15" i="1"/>
  <c r="P15" i="1"/>
  <c r="I16" i="1"/>
  <c r="N16" i="1"/>
  <c r="P17" i="1"/>
  <c r="I18" i="1"/>
  <c r="N18" i="1"/>
  <c r="I25" i="1"/>
  <c r="J10" i="1"/>
  <c r="O10" i="1"/>
  <c r="J12" i="1"/>
  <c r="O12" i="1"/>
  <c r="J14" i="1"/>
  <c r="O14" i="1"/>
  <c r="J16" i="1"/>
  <c r="O16" i="1"/>
  <c r="J18" i="1"/>
  <c r="O18" i="1"/>
  <c r="W22" i="1"/>
  <c r="O22" i="1"/>
  <c r="J22" i="1"/>
  <c r="N22" i="1"/>
  <c r="I22" i="1"/>
  <c r="M22" i="1"/>
  <c r="W28" i="1"/>
  <c r="O28" i="1"/>
  <c r="J28" i="1"/>
  <c r="N28" i="1"/>
  <c r="I28" i="1"/>
  <c r="M28" i="1"/>
  <c r="W26" i="1"/>
  <c r="O26" i="1"/>
  <c r="J26" i="1"/>
  <c r="N26" i="1"/>
  <c r="I26" i="1"/>
  <c r="M26" i="1"/>
  <c r="W20" i="1"/>
  <c r="O20" i="1"/>
  <c r="J20" i="1"/>
  <c r="N20" i="1"/>
  <c r="I20" i="1"/>
  <c r="M20" i="1"/>
  <c r="W24" i="1"/>
  <c r="O24" i="1"/>
  <c r="J24" i="1"/>
  <c r="N24" i="1"/>
  <c r="I24" i="1"/>
  <c r="M24" i="1"/>
  <c r="N21" i="1"/>
  <c r="V21" i="1"/>
  <c r="I23" i="1"/>
  <c r="N23" i="1"/>
  <c r="V23" i="1"/>
  <c r="N25" i="1"/>
  <c r="V25" i="1"/>
  <c r="N27" i="1"/>
  <c r="V27" i="1"/>
  <c r="J19" i="1"/>
  <c r="O19" i="1"/>
  <c r="W19" i="1"/>
  <c r="T20" i="1"/>
  <c r="J21" i="1"/>
  <c r="O21" i="1"/>
  <c r="W21" i="1"/>
  <c r="T22" i="1"/>
  <c r="J23" i="1"/>
  <c r="O23" i="1"/>
  <c r="W23" i="1"/>
  <c r="T24" i="1"/>
  <c r="J25" i="1"/>
  <c r="O25" i="1"/>
  <c r="W25" i="1"/>
  <c r="T26" i="1"/>
  <c r="J27" i="1"/>
  <c r="O27" i="1"/>
  <c r="W27" i="1"/>
  <c r="T28" i="1"/>
  <c r="N19" i="1"/>
  <c r="V19" i="1"/>
  <c r="L19" i="1"/>
  <c r="P19" i="1"/>
  <c r="P21" i="1"/>
  <c r="P23" i="1"/>
  <c r="P25" i="1"/>
  <c r="P27" i="1"/>
  <c r="L33" i="1"/>
  <c r="G33" i="1"/>
  <c r="E33" i="1"/>
  <c r="H33" i="1" s="1"/>
  <c r="D33" i="1"/>
  <c r="T33" i="1" s="1"/>
  <c r="G32" i="1"/>
  <c r="E32" i="1"/>
  <c r="H32" i="1" s="1"/>
  <c r="L38" i="5" s="1"/>
  <c r="D32" i="1"/>
  <c r="V32" i="1" s="1"/>
  <c r="L31" i="1"/>
  <c r="G31" i="1"/>
  <c r="E31" i="1"/>
  <c r="H31" i="1" s="1"/>
  <c r="U37" i="5" s="1"/>
  <c r="D31" i="1"/>
  <c r="T31" i="1" s="1"/>
  <c r="L30" i="1"/>
  <c r="G30" i="1"/>
  <c r="E30" i="1"/>
  <c r="H30" i="1" s="1"/>
  <c r="I36" i="5" s="1"/>
  <c r="D30" i="1"/>
  <c r="V30" i="1" s="1"/>
  <c r="C15" i="5"/>
  <c r="V24" i="5" l="1"/>
  <c r="L16" i="5"/>
  <c r="K29" i="5"/>
  <c r="K36" i="5"/>
  <c r="G38" i="5"/>
  <c r="S38" i="5" s="1"/>
  <c r="I16" i="5"/>
  <c r="G24" i="5"/>
  <c r="S24" i="5" s="1"/>
  <c r="V16" i="5"/>
  <c r="G27" i="5"/>
  <c r="S27" i="5" s="1"/>
  <c r="U16" i="5"/>
  <c r="K27" i="5"/>
  <c r="G16" i="5"/>
  <c r="S16" i="5" s="1"/>
  <c r="I29" i="5"/>
  <c r="H24" i="5"/>
  <c r="L27" i="5"/>
  <c r="U27" i="5"/>
  <c r="L29" i="5"/>
  <c r="K16" i="5"/>
  <c r="U29" i="5"/>
  <c r="L24" i="5"/>
  <c r="H29" i="5"/>
  <c r="U24" i="5"/>
  <c r="L37" i="5"/>
  <c r="G37" i="5"/>
  <c r="S37" i="5" s="1"/>
  <c r="V37" i="5"/>
  <c r="I20" i="5"/>
  <c r="V36" i="5"/>
  <c r="G25" i="5"/>
  <c r="S25" i="5" s="1"/>
  <c r="U25" i="5"/>
  <c r="U38" i="5"/>
  <c r="V25" i="5"/>
  <c r="V22" i="5"/>
  <c r="H37" i="5"/>
  <c r="I22" i="5"/>
  <c r="K20" i="5"/>
  <c r="V38" i="5"/>
  <c r="L36" i="5"/>
  <c r="K25" i="5"/>
  <c r="I25" i="5"/>
  <c r="U36" i="5"/>
  <c r="U22" i="5"/>
  <c r="K38" i="5"/>
  <c r="G20" i="5"/>
  <c r="S20" i="5" s="1"/>
  <c r="H38" i="5"/>
  <c r="V20" i="5"/>
  <c r="I38" i="5"/>
  <c r="M33" i="1"/>
  <c r="G36" i="5"/>
  <c r="S36" i="5" s="1"/>
  <c r="K22" i="5"/>
  <c r="K37" i="5"/>
  <c r="H27" i="5"/>
  <c r="H36" i="5"/>
  <c r="I37" i="5"/>
  <c r="M31" i="1"/>
  <c r="P32" i="1"/>
  <c r="P30" i="1"/>
  <c r="W32" i="1"/>
  <c r="O32" i="1"/>
  <c r="I32" i="1"/>
  <c r="M32" i="1"/>
  <c r="N33" i="1"/>
  <c r="V33" i="1"/>
  <c r="T32" i="1"/>
  <c r="J33" i="1"/>
  <c r="O33" i="1"/>
  <c r="W33" i="1"/>
  <c r="P33" i="1"/>
  <c r="I33" i="1"/>
  <c r="W30" i="1"/>
  <c r="O30" i="1"/>
  <c r="I30" i="1"/>
  <c r="M30" i="1"/>
  <c r="I31" i="1"/>
  <c r="V31" i="1"/>
  <c r="T30" i="1"/>
  <c r="O31" i="1"/>
  <c r="W31" i="1"/>
  <c r="P31" i="1"/>
  <c r="B15" i="5"/>
  <c r="D15" i="5" s="1"/>
  <c r="T15" i="5" s="1"/>
  <c r="V39" i="5" l="1"/>
  <c r="L39" i="5"/>
  <c r="G39" i="5"/>
  <c r="S39" i="5" s="1"/>
  <c r="I39" i="5"/>
  <c r="U39" i="5"/>
  <c r="H39" i="5"/>
  <c r="K39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I18" i="5" l="1"/>
  <c r="L18" i="5"/>
  <c r="H18" i="5"/>
  <c r="G18" i="5"/>
  <c r="S18" i="5" s="1"/>
  <c r="U18" i="5"/>
  <c r="R10" i="5"/>
  <c r="M45" i="3" s="1"/>
  <c r="N38" i="3" l="1"/>
  <c r="B8" i="5"/>
  <c r="B5" i="5"/>
  <c r="D29" i="1"/>
  <c r="T29" i="1" l="1"/>
  <c r="V2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35" i="1"/>
  <c r="N3" i="1" l="1"/>
  <c r="M3" i="1"/>
  <c r="O3" i="1"/>
  <c r="T12" i="5" l="1"/>
  <c r="H12" i="5"/>
  <c r="I12" i="5"/>
  <c r="K12" i="5"/>
  <c r="U12" i="5"/>
  <c r="L12" i="5"/>
  <c r="V12" i="5"/>
  <c r="S12" i="5"/>
  <c r="R3" i="1" l="1"/>
  <c r="D1" i="1"/>
  <c r="F6" i="1"/>
  <c r="T13" i="5"/>
  <c r="G29" i="1" l="1"/>
  <c r="E29" i="1"/>
  <c r="H29" i="1" s="1"/>
  <c r="P29" i="1"/>
  <c r="T35" i="1"/>
  <c r="L35" i="5" l="1"/>
  <c r="G35" i="5"/>
  <c r="S35" i="5" s="1"/>
  <c r="V35" i="5"/>
  <c r="H35" i="5"/>
  <c r="U35" i="5"/>
  <c r="K35" i="5"/>
  <c r="I35" i="5"/>
  <c r="O29" i="1"/>
  <c r="M29" i="1"/>
  <c r="W29" i="1"/>
  <c r="T7" i="1"/>
  <c r="I29" i="1"/>
  <c r="W35" i="1"/>
  <c r="G6" i="1" l="1"/>
  <c r="K18" i="5" l="1"/>
  <c r="V18" i="5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15" i="5" l="1"/>
  <c r="U15" i="5"/>
  <c r="H15" i="5"/>
  <c r="V15" i="5"/>
  <c r="G15" i="5"/>
  <c r="S15" i="5" s="1"/>
  <c r="L15" i="5"/>
  <c r="K15" i="5"/>
  <c r="I3" i="1"/>
  <c r="B7" i="1"/>
  <c r="L17" i="1" s="1"/>
  <c r="I13" i="5"/>
  <c r="S13" i="5"/>
  <c r="U13" i="5"/>
  <c r="L13" i="5"/>
  <c r="V13" i="5"/>
  <c r="H13" i="5"/>
  <c r="K13" i="5"/>
  <c r="L11" i="1" l="1"/>
  <c r="L18" i="1"/>
  <c r="L10" i="1"/>
  <c r="L24" i="1"/>
  <c r="L26" i="1"/>
  <c r="L27" i="1"/>
  <c r="L9" i="1"/>
  <c r="L25" i="1"/>
  <c r="L32" i="1"/>
  <c r="N30" i="1"/>
  <c r="N31" i="1"/>
  <c r="N32" i="1"/>
  <c r="J31" i="1"/>
  <c r="J32" i="1"/>
  <c r="J30" i="1"/>
  <c r="N29" i="1"/>
  <c r="I10" i="5"/>
  <c r="D45" i="3" s="1"/>
  <c r="K10" i="5"/>
  <c r="F45" i="3" s="1"/>
  <c r="H10" i="5"/>
  <c r="C45" i="3" s="1"/>
  <c r="L10" i="5"/>
  <c r="G45" i="3" s="1"/>
  <c r="L29" i="1"/>
  <c r="J29" i="1"/>
  <c r="C7" i="1"/>
  <c r="O35" i="1"/>
  <c r="P35" i="1"/>
  <c r="J35" i="1"/>
  <c r="I35" i="1"/>
  <c r="N35" i="1"/>
  <c r="Q7" i="1" l="1"/>
  <c r="M38" i="3" s="1"/>
  <c r="L7" i="1"/>
  <c r="G38" i="3" s="1"/>
  <c r="K38" i="3"/>
  <c r="J38" i="3"/>
  <c r="K35" i="1"/>
  <c r="M35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<sst xmlns="http://schemas.openxmlformats.org/spreadsheetml/2006/main" count="433" uniqueCount="304">
  <si>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</si>
  <si>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</si>
  <si>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</si>
  <si>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</si>
  <si>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</si>
  <si>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</si>
  <si>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</si>
  <si>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</si>
  <si>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</si>
  <si>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</si>
  <si>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</si>
  <si>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</si>
  <si>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</si>
  <si>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</si>
  <si>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</si>
  <si>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</si>
  <si>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</si>
  <si>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</si>
  <si>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</si>
  <si>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</si>
  <si>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</si>
  <si>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</si>
  <si>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</si>
  <si>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</si>
  <si>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</si>
  <si>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</si>
  <si>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</si>
  <si>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</si>
  <si>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</si>
  <si>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</si>
  <si>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</si>
  <si>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</si>
  <si>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</si>
  <si>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</si>
  <si>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</si>
  <si>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</si>
  <si>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</si>
  <si>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</si>
  <si>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</si>
  <si>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</si>
  <si>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</si>
  <si>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</si>
  <si>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</si>
  <si>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</si>
  <si>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</si>
  <si>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</si>
  <si>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</si>
  <si>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</si>
  <si>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</si>
  <si>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</si>
  <si>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</si>
  <si>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</si>
  <si>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</si>
  <si>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</si>
  <si>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</si>
  <si>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</si>
  <si>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</si>
  <si>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</si>
  <si>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</si>
  <si>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</si>
  <si>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</si>
  <si>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</si>
  <si>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</si>
  <si>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</si>
  <si>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</si>
  <si>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</si>
  <si>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</si>
  <si>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</si>
  <si>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</si>
  <si>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</si>
  <si>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</si>
  <si>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</si>
  <si>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</si>
  <si>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</si>
  <si>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</si>
  <si>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</si>
  <si>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</si>
  <si>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</si>
  <si>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</si>
  <si>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</si>
  <si>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</si>
  <si>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</si>
  <si>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</si>
  <si>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</si>
  <si>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</si>
  <si>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</si>
  <si>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</si>
  <si>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</si>
  <si>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</si>
  <si>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</si>
  <si>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</si>
  <si>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</si>
  <si>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</si>
  <si>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</si>
  <si>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</si>
  <si>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</si>
  <si>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</si>
  <si>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</si>
  <si>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</si>
  <si>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</si>
  <si>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</si>
  <si>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</si>
  <si>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</si>
  <si>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</si>
  <si>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</si>
  <si>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</si>
  <si>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</si>
  <si>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</si>
  <si>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</si>
  <si>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</si>
  <si>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</si>
  <si>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</si>
  <si>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</si>
  <si>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</si>
  <si>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</si>
  <si>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</si>
  <si>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</si>
  <si>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</si>
  <si>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</si>
  <si>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</si>
  <si>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</si>
  <si>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</si>
  <si>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</si>
  <si>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</si>
  <si>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</si>
  <si>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</si>
  <si>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</si>
  <si>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</si>
  <si>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</si>
  <si>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</si>
  <si>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</si>
  <si>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</si>
  <si>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</si>
  <si>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</si>
  <si>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</si>
  <si>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</si>
  <si>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</si>
  <si>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</si>
  <si>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</si>
  <si>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</si>
  <si>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</si>
  <si>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</si>
  <si>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</si>
  <si>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</si>
  <si>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</si>
  <si>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</si>
  <si>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</si>
  <si>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</si>
  <si>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</si>
  <si>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</si>
  <si>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</si>
  <si>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</si>
  <si>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</si>
  <si>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</si>
  <si>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</si>
  <si>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</si>
  <si>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</si>
  <si>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</si>
  <si>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</si>
  <si>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</si>
  <si>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</si>
  <si>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</si>
  <si>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</si>
  <si>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</si>
  <si>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</si>
  <si>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</si>
  <si>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</si>
  <si>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</si>
  <si>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</si>
  <si>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</si>
  <si>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</si>
  <si>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</si>
  <si>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</si>
  <si>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</si>
  <si>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</si>
  <si>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</si>
  <si>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</si>
  <si>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</si>
  <si>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</si>
  <si>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</si>
  <si>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</si>
  <si>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</si>
  <si>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</si>
  <si>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</si>
  <si>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</si>
  <si>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</si>
  <si>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</si>
  <si>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</si>
  <si>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</si>
  <si>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</si>
  <si>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</si>
  <si>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</si>
  <si>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</si>
  <si>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</si>
  <si>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</si>
  <si>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</si>
  <si>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</si>
  <si>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</si>
  <si>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</si>
  <si>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</si>
  <si>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</si>
  <si>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</si>
  <si>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</si>
  <si>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</si>
  <si>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</si>
  <si>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</si>
  <si>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</si>
  <si>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</si>
  <si>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</si>
  <si>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</si>
  <si>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</si>
  <si>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</si>
  <si>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</si>
  <si>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</si>
  <si>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</si>
  <si>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</si>
  <si>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</si>
  <si>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</si>
  <si>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</si>
  <si>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</si>
  <si>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</si>
  <si>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</si>
  <si>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</si>
  <si>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</si>
  <si>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</si>
  <si>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</si>
  <si>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</si>
  <si>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</si>
  <si>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</si>
  <si>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</si>
  <si>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</si>
  <si>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</si>
  <si>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</si>
  <si>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</si>
  <si>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</si>
  <si>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</si>
  <si>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</si>
  <si>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</si>
  <si>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</si>
  <si>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</si>
  <si>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</si>
  <si>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</si>
  <si>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</si>
  <si>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</si>
  <si>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</si>
  <si>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</si>
  <si>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</si>
  <si>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</si>
  <si>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</si>
  <si>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</si>
  <si>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</si>
  <si>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</si>
  <si>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</si>
  <si>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</si>
  <si>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</si>
  <si>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</si>
  <si>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</si>
  <si>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</si>
  <si>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</si>
  <si>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</si>
  <si>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</si>
  <si>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</si>
  <si>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</si>
  <si>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</si>
  <si>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</si>
  <si>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</si>
  <si>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</si>
  <si>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</si>
  <si>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</si>
  <si>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</si>
  <si>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</si>
  <si>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</si>
  <si>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MODEL</t>
  </si>
  <si>
    <t>LOT_NO</t>
  </si>
  <si>
    <t>NO_IN_LOT</t>
  </si>
  <si>
    <t>BODY_NO</t>
  </si>
  <si>
    <t>COLOR</t>
  </si>
  <si>
    <t>SCANNING_ID</t>
  </si>
  <si>
    <t>varchar(50)</t>
  </si>
  <si>
    <t>SCAN_TYPE_CD</t>
  </si>
  <si>
    <t>varchar(255)</t>
  </si>
  <si>
    <t>SCAN_LOCATION</t>
  </si>
  <si>
    <t>SCAN_TIME</t>
  </si>
  <si>
    <t>SCAN_VALUE</t>
  </si>
  <si>
    <t>MODE</t>
  </si>
  <si>
    <t>PROCESS_GROUP</t>
  </si>
  <si>
    <t>PROCESS_SUBGROUP</t>
  </si>
  <si>
    <t>SEQUENCE_NO</t>
  </si>
  <si>
    <t>LOCATION</t>
  </si>
  <si>
    <t>varchar(1)</t>
  </si>
  <si>
    <t>RESCAN_BODY_NO</t>
  </si>
  <si>
    <t>RESCAN_LOT_NO</t>
  </si>
  <si>
    <t>RESCAN_MODE</t>
  </si>
  <si>
    <t>ERROR_CD</t>
  </si>
  <si>
    <t>IS_RESCAN</t>
  </si>
  <si>
    <t>IS_ACTIVE</t>
  </si>
  <si>
    <t>VIN_NO</t>
  </si>
  <si>
    <t>FRAME_NO</t>
  </si>
  <si>
    <t>GRADE</t>
  </si>
  <si>
    <t>ANDON_TRANSFER</t>
  </si>
  <si>
    <t>Frame.Andon</t>
  </si>
  <si>
    <t>FrmAdoFrameProgress</t>
  </si>
  <si>
    <t>FrameProgress</t>
  </si>
  <si>
    <t>Frame Andon Frame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</si>
</sst>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0" fillId="5" borderId="3" xfId="0" applyFill="1" applyBorder="1"/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6" workbookViewId="0">
      <selection activeCell="C46" sqref="C46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2" t="s">
        <v>226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[Table("FrmAdoFrameProgress")]
	[Index(nameof(ScanningId), Name="IX_FrmAdoFrameProgress_ScanningId")]
	[Index(nameof(BodyNo), Name="IX_FrmAdoFrameProgress_BodyNo")]
	[Index(nameof(ProcessGroup), Name="IX_FrmAdoFrameProgress_ProcessGroup")]
	[Index(nameof(NoInLot), Name="IX_FrmAdoFrameProgress_NoInLot")]
	[Index(nameof(SequenceNo), Name="IX_FrmAdoFrameProgress_SequenceNo")]
	[Index(nameof(Location), Name="IX_FrmAdoFrameProgress_Location")]
	public class FrmAdoFrameProgress: FullAuditedEntity&lt;long&gt;, IEntity&lt;long&gt;	
	{
		public const int MaxBodyNoLength = 50;
		public const int MaxColorLength = 50;
		public const int MaxScanTypeCdLength = 255;
		public const int MaxScanLocationLength = 50;
		public const int MaxScanValueLength = 255;
		public const int MaxModeLength = 50;
		public const int MaxVinNoLength = 50;
		public const int MaxFrameNoLength = 50;
		public const int MaxModelLength = 50;
		public const int MaxGradeLength = 50;
		public const int MaxLotNoLength = 50;
		public const int MaxSequenceNoLength = 50;
		public const int MaxLocationLength = 50;
		public const int MaxAndonTransferLength = 1;
		public const int MaxRescanBodyNoLength = 50;
		public const int MaxRescanLotNoLength = 50;
		public const int MaxRescanModeLength = 50;
		public const int MaxErrorCdLength = 50;
		public const int MaxIsRescanLength = 1;
		public const int MaxIsActiveLength = 1;
		public virtual long ScanningId { get; set; }
		[StringLength(MaxBodyNoLength)]
		public virtual string BodyNo { get; set; }
		[StringLength(MaxColorLength)]
		public virtual string Color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[StringLength(MaxVinNoLength)]
		public virtual string VinNo { get; set; }
		[StringLength(MaxFrameNoLength)]
		public virtual string FrameNo { get; set; }
		[StringLength(MaxModelLength)]
		public virtual string Model { get; set; }
		[StringLength(MaxGradeLength)]
		public virtual string Grade { get; set; }
		[StringLength(MaxLotNoLength)]
		public virtual string LotNo { get; set; }
		public virtual int NoInLot { get; set; }
		[StringLength(MaxSequenceNoLength)]
		public virtual string SequenceNo { get; set; }
		[StringLength(MaxLocationLength)]
		public virtual string Location { get; set; }
		[StringLength(MaxAndonTransferLength)]
		public virtual string AndonTransfer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[StringLength(MaxIsActiveLength)]
		public virtual string IsActive { get; set; }
	}
}
</v>
      </c>
      <c r="D38" s="51" t="str">
        <f>A.Backend!O7</f>
        <v xml:space="preserve">		public const string Pages_Frame_Andon_FrameProgress = "Pages.Frame.Andon.FrameProgress";
		public const string Pages_Frame_Andon_FrameProgress_CreateEdit = "Pages.Frame.Andon.FrameProgress.CreateEdit";
		public const string Pages_Frame_Andon_FrameProgress_Delete = "Pages.Frame.Andon.FrameProgress.Delete";
</v>
      </c>
      <c r="E38" s="51" t="str">
        <f>A.Backend!N7</f>
        <v xml:space="preserve">		var perFrmAdoFrameProgress = PARENTS.CreateChildPermission(AppPermissions.Pages_Frame_Andon_FrameProgress, L( "FrameAndonFrameProgress"));
		perFrmAdoFrameProgress.CreateChildPermission(AppPermissions.Pages_Frame_Andon_FrameProgress_CreateEdit, L( "FrameAndonFrameProgressCreateEdit"));
		perFrmAdoFrameProgress.CreateChildPermission(AppPermissions.Pages_Frame_Andon_FrameProgress_Delete, L( "FrameAndonFrameProgressDelete"));</v>
      </c>
      <c r="F38" s="51" t="str">
        <f>A.Backend!K7</f>
        <v>public virtual DbSet&lt;FrmAdoFrameProgress&gt; FrmAdoFrameProgresss { get; set; }</v>
      </c>
      <c r="G38" s="51" t="str">
        <f ca="1">A.Backend!L7</f>
        <v xml:space="preserve">namespace vovina.Frame.Andon
{
	public class FrmAdoFrameProgressConsts	
	{
		public const int MaxBodyNoLength = 50;
		public const int MaxColorLength = 50;
		public const int MaxScanTypeCdLength = 255;
		public const int MaxScanLocationLength = 50;
		public const int MaxScanValueLength = 255;
		public const int MaxModeLength = 50;
		public const int MaxVinNoLength = 50;
		public const int MaxFrameNoLength = 50;
		public const int MaxModelLength = 50;
		public const int MaxGradeLength = 50;
		public const int MaxLotNoLength = 50;
		public const int MaxSequenceNoLength = 50;
		public const int MaxLocationLength = 50;
		public const int MaxAndonTransferLength = 1;
		public const int MaxRescanBodyNoLength = 50;
		public const int MaxRescanLotNoLength = 50;
		public const int MaxRescanModeLength = 50;
		public const int MaxErrorCdLength = 50;
		public const int MaxIsRescanLength = 1;
		public const int MaxIsActiveLength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vovina.Frame.Andon.Dto
{
	public class FrmAdoFrameProgressDto : EntityDto&lt;long?&gt;	
	{
		public virtual long ScanningId { get; set; }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	public class CreateOrEditFrmAdoFrameProgressDto : EntityDto&lt;long?&gt;	
	{
		public virtual long ScanningId { get; set; }
		[StringLength(FrmAdoFrameProgressConsts.MaxBodyNoLength)]
		public virtual string BodyNo { get; set; }
		[StringLength(FrmAdoFrameProgressConsts.MaxColorLength)]
		public virtual string Color { get; set; }
		[StringLength(FrmAdoFrameProgressConsts.MaxScanTypeCdLength)]
		public virtual string ScanTypeCd { get; set; }
		[StringLength(FrmAdoFrameProgressConsts.MaxScanLocationLength)]
		public virtual string ScanLocation { get; set; }
		public virtual DateTime? ScanTime { get; set; }
		[StringLength(FrmAdoFrameProgressConsts.MaxScanValueLength)]
		public virtual string ScanValue { get; set; }
		[StringLength(FrmAdoFrameProgressConsts.MaxModeLength)]
		public virtual string Mode { get; set; }
		public virtual int ProcessGroup { get; set; }
		public virtual int ProcessSubgroup { get; set; }
		[StringLength(FrmAdoFrameProgressConsts.MaxVinNoLength)]
		public virtual string VinNo { get; set; }
		[StringLength(FrmAdoFrameProgressConsts.MaxFrameNoLength)]
		public virtual string FrameNo { get; set; }
		[StringLength(FrmAdoFrameProgressConsts.MaxModelLength)]
		public virtual string Model { get; set; }
		[StringLength(FrmAdoFrameProgressConsts.MaxGradeLength)]
		public virtual string Grade { get; set; }
		[StringLength(FrmAdoFrameProgressConsts.MaxLotNoLength)]
		public virtual string LotNo { get; set; }
		public virtual int NoInLot { get; set; }
		[StringLength(FrmAdoFrameProgressConsts.MaxSequenceNoLength)]
		public virtual string SequenceNo { get; set; }
		[StringLength(FrmAdoFrameProgressConsts.MaxLocationLength)]
		public virtual string Location { get; set; }
		[StringLength(FrmAdoFrameProgressConsts.MaxAndonTransferLength)]
		public virtual string AndonTransfer { get; set; }
		[StringLength(FrmAdoFrameProgressConsts.MaxRescanBodyNoLength)]
		public virtual string RescanBodyNo { get; set; }
		[StringLength(FrmAdoFrameProgressConsts.MaxRescanLotNoLength)]
		public virtual string RescanLotNo { get; set; }
		[StringLength(FrmAdoFrameProgressConsts.MaxRescanModeLength)]
		public virtual string RescanMode { get; set; }
		[StringLength(FrmAdoFrameProgressConsts.MaxErrorCdLength)]
		public virtual string ErrorCd { get; set; }
		[StringLength(FrmAdoFrameProgressConsts.MaxIsRescanLength)]
		public virtual string IsRescan { get; set; }
		[StringLength(FrmAdoFrameProgressConsts.MaxIsActiveLength)]
		public virtual string IsActive { get; set; }
	}
	public class GetFrmAdoFrameProgressInput : PagedAndSortedResultRequestDto	
	{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}
</v>
      </c>
      <c r="I38" s="51" t="str">
        <f ca="1">A.Backend!R7</f>
        <v xml:space="preserve">using Abp.Application.Services.Dto;
using System;
using System.ComponentModel.DataAnnotations;
namespace vovina.Frame.Andon.Dto
{
	public class FrmAdoFrameProgressExportInput{
		public virtual long ScanningId { get; set; }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vovina.Frame.Andon.Dto;
namespace vovina.Frame.Andon
{
	public interface IFrmAdoFrameProgressAppService : IApplicationService
	{
		Task&lt;PagedResultDto&lt;FrmAdoFrameProgressDto&gt;&gt; GetAll(GetFrmAdoFrameProgressInput input);
		Task CreateOrEdit(CreateOrEditFrmAdoFrameProgressDto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IFrmAdoFrameProgressExcelExporter : IApplicationService
	{
		FileDto ExportToFile(List&lt;FrmAdoFrameProgressDto&gt; frmadoframeprogress);
	}
}
</v>
      </c>
      <c r="L38" s="51" t="str">
        <f ca="1">A.Backend!T7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FrmAdoFrameProgressExcelExporter : NpoiExcelExporterBase, IFrmAdoFrameProgressExcelExporter
    {
        public FrmAdoFrameProgressExcelExporter(ITempFileCacheManager tempFileCacheManager) : base(tempFileCacheManager) { }
        public FileDto ExportToFile(List&lt;FrmAdoFrameProgressDto&gt; frameprogress)
        {
            return CreateExcelPackage(
				"FrameAndonFrameProgress.xlsx",
				excelPackage =&gt;
				 {
					var sheet = excelPackage.CreateSheet("FrameProgress");
					AddHeader(
								sheet,
								("ScanningId"),
								("BodyNo"),
								("Color"),
								("ScanTypeCd"),
								("ScanLocation"),
								("ScanTime"),
								("ScanValue"),
								("Mode"),
								("ProcessGroup"),
								("ProcessSubgroup"),
								("VinNo"),
								("FrameNo"),
								("Model"),
								("Grade"),
								("LotNo"),
								("NoInLot"),
								("SequenceNo"),
								("Location"),
								("AndonTransfer"),
								("RescanBodyNo"),
								("RescanLotNo"),
								("RescanMode"),
								("ErrorCd"),
								("IsRescan"),
								("IsActive"),
							   );
					AddObjects(
						 sheet, 1, frameprogress,                                       
								_ =&gt; _.ScanningId,
								_ =&gt; _.BodyNo,
								_ =&gt; _.Color,
								_ =&gt; _.ScanTypeCd,
								_ =&gt; _.ScanLocation,
								_ =&gt; _.ScanTime,
								_ =&gt; _.ScanValue,
								_ =&gt; _.Mode,
								_ =&gt; _.ProcessGroup,
								_ =&gt; _.ProcessSubgroup,
								_ =&gt; _.VinNo,
								_ =&gt; _.FrameNo,
								_ =&gt; _.Model,
								_ =&gt; _.Grade,
								_ =&gt; _.LotNo,
								_ =&gt; _.NoInLot,
								_ =&gt; _.SequenceNo,
								_ =&gt; _.Location,
								_ =&gt; _.AndonTransfer,
								_ =&gt; _.RescanBodyNo,
								_ =&gt; _.RescanLotNo,
								_ =&gt; _.RescanMode,
								_ =&gt; _.ErrorCd,
								_ =&gt; _.IsRescan,
								_ =&gt; _.IsActive,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[AbpAuthorize(AppPermissions.Pages_Frame_Andon_FrameProgress)]
    public class FrmAdoFrameProgressAppService : vovinaAppServiceBase, IFrmAdoFrameProgressAppService
    {
        private readonly IDapperRepository&lt;FrmAdoFrameProgress, long&gt; _dapperRepo;
        private readonly IRepository&lt;FrmAdoFrameProgress, long&gt; _repo;
        private readonly IFrmAdoFrameProgressExcelExporter _calendarListExcelExporter;
        public FrmAdoFrameProgressAppService(IRepository&lt;FrmAdoFrameProgress,long&gt; repo, 
                                         IDapperRepository&lt;FrmAdoFrameProgress,long&gt; dapperRepo,
                                        IFrmAdoFrameProgressExcelExporter calendarListExcelExporter
            )
        {
            _repo = repo;
            _dapperRepo = dapperRepo;
            _calendarListExcelExporter = calendarListExcelExporter;
        }
        [AbpAuthorize(AppPermissions.Pages_Frame_Andon_FrameProgress_CreateEdit)]
        public async Task CreateOrEdit(CreateOrEditFrmAdoFrameProgressDto input)
        {
            if (input.Id == null) await Create(input);
            else await Update(input);
        }
        //CREATE
        private async Task Create(CreateOrEditFrmAdoFrameProgressDto input)
        {          
            var mainObj = ObjectMapper.Map&lt;FrmAdoFrameProgress&gt;(input);
            await CurrentUnitOfWork.GetDbContext&lt;vovinaDbContext&gt;().AddAsync(mainObj);
        }
        // EDIT
        private async Task Update(CreateOrEditFrmAdoFrameProgressDto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Task&lt;PagedResultDto&lt;FrmAdoFrameProgressDto&gt;&gt; GetAll(GetFrmAdoFrameProgressInput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.WhereIf(!string.IsNullOrWhiteSpace(input.VinNo), e =&gt; e.VinNo.Contains(input.VinNo))
				.WhereIf(!string.IsNullOrWhiteSpace(input.FrameNo), e =&gt; e.FrameNo.Contains(input.FrameNo))
				.WhereIf(!string.IsNullOrWhiteSpace(input.Model), e =&gt; e.Model.Contains(input.Model))
				.WhereIf(!string.IsNullOrWhiteSpace(input.Grade), e =&gt; e.Grade.Contains(input.Grade))
				.WhereIf(!string.IsNullOrWhiteSpace(input.LotNo), e =&gt; e.LotNo.Contains(input.LotNo))
				.WhereIf(!string.IsNullOrWhiteSpace(input.SequenceNo), e =&gt; e.SequenceNo.Contains(input.SequenceNo))
				.WhereIf(!string.IsNullOrWhiteSpace(input.Location), e =&gt; e.Location.Contains(input.Location))
				.WhereIf(!string.IsNullOrWhiteSpace(input.AndonTransfer), e =&gt; e.AndonTransfer.Contains(input.AndonTransfer))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FrmAdoFrameProgressDto
                        {
							Id = o.Id,
							ScanningId = o.ScanningId,
							BodyNo = o.BodyNo,
							Color = o.Color,
							ScanTypeCd = o.ScanTypeCd,
							ScanLocation = o.ScanLocation,
							ScanTime = o.ScanTime,
							ScanValue = o.ScanValue,
							Mode = o.Mode,
							ProcessGroup = o.ProcessGroup,
							ProcessSubgroup = o.ProcessSubgroup,
							VinNo = o.VinNo,
							FrameNo = o.FrameNo,
							Model = o.Model,
							Grade = o.Grade,
							LotNo = o.LotNo,
							NoInLot = o.NoInLot,
							SequenceNo = o.SequenceNo,
							Location = o.Location,
							AndonTransfer = o.AndonTransfer,
							RescanBodyNo = o.RescanBodyNo,
							RescanLotNo = o.RescanLotNo,
							RescanMode = o.RescanMode,
							ErrorCd = o.ErrorCd,
							IsRescan = o.IsRescan,
							IsActive = o.IsActive,
                        };
            var totalCount = await filtered.CountAsync();
			var paged = system.PageBy(input);
            return new PagedResultDto&lt;FrmAdoFrameProgressDto&gt;(
                totalCount,
                 await paged.ToListAsync()
            );
        }
        public async Task&lt;FileDto&gt; GetFrameProgressToExcel(FrmAdoFrameProgressExportInput input)
        {
            var query = from o in _repo.GetAll()
                        select new FrmAdoFrameProgressDto
                        {
							Id = o.Id,
							ScanningId = o.ScanningId,
							BodyNo = o.BodyNo,
							Color = o.Color,
							ScanTypeCd = o.ScanTypeCd,
							ScanLocation = o.ScanLocation,
							ScanTime = o.ScanTime,
							ScanValue = o.ScanValue,
							Mode = o.Mode,
							ProcessGroup = o.ProcessGroup,
							ProcessSubgroup = o.ProcessSubgroup,
							VinNo = o.VinNo,
							FrameNo = o.FrameNo,
							Model = o.Model,
							Grade = o.Grade,
							LotNo = o.LotNo,
							NoInLot = o.NoInLot,
							SequenceNo = o.SequenceNo,
							Location = o.Location,
							AndonTransfer = o.AndonTransfer,
							RescanBodyNo = o.RescanBodyNo,
							RescanLotNo = o.RescanLotNo,
							RescanMode = o.RescanMode,
							ErrorCd = o.ErrorCd,
							IsRescan = o.IsRescan,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_dapperRepo.ExecuteAsync(FrmAdoFrameProgressConsts.SP_MST_WPT_CALENDAR_GENERATE);
       // }
    }
}</v>
      </c>
      <c r="N38" s="62" t="str">
        <f>A.Backend!U7</f>
        <v xml:space="preserve">  configuration.CreateMap&lt;FrmAdoFrameProgressDto, FrmAdoFrameProgress&gt;();
  configuration.CreateMap&lt;FrmAdoFrameProgress, FrmAdoFrameProgressDto&gt;();
  configuration.CreateMap&lt;CreateOrEditFrmAdoFrameProgressDto, FrmAdoFrameProgress&gt;();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frameprogress</v>
      </c>
      <c r="C43" s="72" t="str">
        <f>"create folder " &amp;B43</f>
        <v>create folder frameprogress</v>
      </c>
      <c r="D43" s="72"/>
      <c r="E43" s="72"/>
      <c r="F43" s="72"/>
      <c r="G43" s="72"/>
      <c r="H43" s="72"/>
      <c r="I43" s="72"/>
      <c r="J43" s="72"/>
      <c r="K43" s="73" t="s">
        <v>228</v>
      </c>
      <c r="L43" s="73"/>
      <c r="M43" s="31"/>
    </row>
    <row r="44" spans="1:14" s="28" customFormat="1" ht="18" customHeight="1" x14ac:dyDescent="0.25">
      <c r="B44" s="60" t="s">
        <v>229</v>
      </c>
      <c r="C44" s="31" t="str">
        <f>B.Frontend!H14</f>
        <v>frameprogress.component.ts</v>
      </c>
      <c r="D44" s="31" t="str">
        <f>B.Frontend!I14</f>
        <v>frameprogress.component.html</v>
      </c>
      <c r="E44" s="31" t="str">
        <f>B.Frontend!J14</f>
        <v>frameprogress.component.less</v>
      </c>
      <c r="F44" s="31" t="str">
        <f>B.Frontend!K14</f>
        <v>create-or-edit-frameprogress-modal.component.html</v>
      </c>
      <c r="G44" s="31" t="str">
        <f>B.Frontend!L14</f>
        <v>create-or-edit-frameprogress-modal.component.ts</v>
      </c>
      <c r="H44" s="31" t="str">
        <f>B.Frontend!M14</f>
        <v>create-or-edit-frameprogress-modal.component.less</v>
      </c>
      <c r="I44" s="31" t="str">
        <f>B.Frontend!N14</f>
        <v>frameprogress.module.ts</v>
      </c>
      <c r="J44" s="31" t="str">
        <f>B.Frontend!O14</f>
        <v>frameprogress-routing.module.ts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232</v>
      </c>
    </row>
    <row r="45" spans="1:14" ht="21.75" customHeight="1" x14ac:dyDescent="0.25">
      <c r="B45" s="61" t="s">
        <v>226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FrmAdoFrameProgressDto, FrmAdoFrameProgressServiceProxy } from '@shared/service-proxies/service-proxies';
import { finalize } from 'rxjs/internal/operators/finalize';
import { CreateOrEditFrameProgressModalComponent } from './create-or-edit-frameprogress-modal.component';
import { DatePipe } from '@angular/common';
import { FileDownloadService } from '@shared/utils/file-download.service';
import ceil from 'lodash-es/ceil';
import { Paginator } from 'primeng/paginator';
@Component({
    templateUrl: './frameprogress.component.html',
    styleUrls: ['./frameprogress.component.less'],
})
export class FrameProgressComponent extends AppComponentBase implements OnInit {
    @ViewChild('createOrEditModalFrameProgress', { static: true }) createOrEditModalFrameProgress:| CreateOrEditFrameProgressModalComponent|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FrmAdoFrameProgressDto = new FrmAdoFrameProgressDto();
    saveSelectedRow: FrmAdoFrameProgressDto = new FrmAdoFrameProgressDto();
    datas: FrmAdoFrameProgressDto = new FrmAdoFrameProgressDto();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scanTypeCd : string = '' ; 
	scanLocation : string = '' ; 
	scanTime : any ;
scanValue : string = '' ; 
	mode : string = '' ; 
	processGroup : number = 0 ;
	processSubgroup : number = 0 ;
	vinNo : string = '' ; 
	frameNo : string = '' ; 
	model : string = '' ; 
	grade : string = '' ; 
	lotNo : string = '' ; 
	noInLot : number = 0 ;
sequenceNo : string = '' ; 
location : string = '' ; 
	andonTransfer : string = '' ; 
	rescanBodyNo : string = '' ; 
	rescanLotNo : string = '' ; 
	rescanMode : string = '' ; 
	errorCd : string = '' ; 
	isRescan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this.l('Vin No'),headerTooltip: this.l('Vin No'),field: 'vinNo',flex: 1},
			{headerName: this.l('Frame No'),headerTooltip: this.l('Frame No'),field: 'frameNo',flex: 1},
			{headerName: this.l('Model'),headerTooltip: this.l('Model'),field: 'model',flex: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this.l('Location'),headerTooltip: this.l('Location'),field: 'location',flex: 1},
			{headerName: this.l('Andon Transfer'),headerTooltip: this.l('Andon Transfer'),field: 'andonTransfer',flex: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this.l('Error Cd'),headerTooltip: this.l('Error Cd'),field: 'errorCd',flex: 1},
			{headerName: this.l('Is Rescan'),headerTooltip: this.l('Is Rescan'),field: 'isRescan',flex: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this.scanTypeCd = '',
		this.scanLocation = '',
		this.scanTime = '',
this.scanValue = '',
		this.mode = '',
		this.processGroup = 0,
		this.processSubgroup = 0,
		this.vinNo = '',
		this.frameNo = '',
		this.model = '',
		this.grade = '',
		this.lotNo = '',
		this.noInLot = 0,
this.sequenceNo = '',
this.location = '',
		this.andonTransfer = '',
		this.rescanBodyNo = '',
		this.rescanLotNo = '',
		this.rescanMode = '',
		this.errorCd = '',
		this.isRescan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			'',
            this.paginationParams.skipCount,
            this.paginationParams.pageSize
        );
    }
    onChangeRowSelection(params: { api: { getSelectedRows: () =&gt; FrmAdoFrameProgressDto[] } }) {
        this.saveSelectedRow = params.api.getSelectedRows()[0] ?? new FrmAdoFrameProgressDto();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this._service.getFrameProgressToExcel(
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[(ngModel)]='frameNo' name='frameNo'
									class='form-control' [placeholder]="l('Frame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[(ngModel)]='andonTransfer' name='andonTransfer'
									class='form-control' [placeholder]="l('Andon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&lt;create-or-edit-frameprogress-modal
    #createOrEditModalFrameProgress
    (modalSave)="callBackDataGrid(dataParams)"
    (modalClose)="onChangeRowSelection(dataParams)"
&gt;
&lt;/create-or-edit-frameprogress-modal&gt;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#createOrEditModalFrameProgress="bs-modal"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FrameProgress')}}&lt;/h3&gt;
                    &lt;h3 *ngIf="!rowdata.id"&gt;{{('Create New FrameProgress')}}&lt;/h3&gt;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No&lt;/label&gt;
						&lt;input type='text' class='col-md-10 form-control input-text' name='FrameNo' [(ngModel)]='rowdata.frameNo'&gt;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title'&gt;Andon Transfer&lt;/label&gt;
						&lt;input class='col-md-10 form-control checkboxActive' type='checkbox' name='andonTransfer'
						[checked]='_andonTransfer' (change)='changeActive($event)'&gt;
					&lt;/div&gt;
					&lt;div class='col-md-12 form-group row'&gt;
						&lt;label class='col-md-2 form-control title'&gt;Rescan Body No&lt;/label&gt;
						&lt;input type='text' class='col-md-10 form-control input-text' name='RescanBodyNo' [(ngModel)]='rowdata.rescanBodyNo'&gt;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CreateOrEditFrmAdoFrameProgressDto, FrmAdoFrameProgressServiceProxy } from '@shared/service-proxies/service-proxies';
import { BsDatepickerDirective } from 'ngx-bootstrap/datepicker';
@Component({
    selector: 'create-or-edit-frameprogress-modal',
    templateUrl: './create-or-edit-frameprogress-modal.component.html',
    styleUrls: ['./create-or-edit-frameprogress-modal.component.less']
    })
export class CreateOrEditFrameProgressModalComponent extends AppComponentBase {
    @ViewChild('createOrEditModalFrameProgress',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CreateOrEditFrmAdoFrameProgressDto = new CreateOrEditFrmAdoFrameProgressDto();
    active: boolean = false;
    saving: boolean = false;
    _andonTransfer
isRescan
isActive: boolean;
    constructor(
        injector: Injector,
        private _mstwptFrameProgressService: FrmAdoFrameProgressServiceProxy,
    ) 
    {
        super(injector);
    }
    show(rowdata?: CreateOrEditFrmAdoFrameProgressDto): void {
        if (!rowdata) this.rowdata = new CreateOrEditFrmAdoFrameProgressDto();
        else this.rowdata = rowdata;
		const dateValue =  this.rowdata.scanTime ? new Date(this.rowdata.scanTime?.toString()) : new Date();
		this.datepicker?.bsValueChange.emit(dateValue);
        this._andonTransfer
isRescan
isActive = (this.rowdata.andonTransfer
isRescan
isActive == "N")? false: true;
        this.active = true;
        this.modal.show();
    } 
    changeActive(event){
        this._andonTransfer
isRescan
isActive = event.target.checked;
    }
    save(): void {
    this.saving = true; 
    this.rowdata.andonTransfer
isRescan
isActive = (this._andonTransfer
isRescan
isActive == true) ? 'Y' : 'N'
    this._mstwptFrameProgressService.createOrEdit(this.rowdata)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FrameProgressRoutingModule } from './frameprogress-routing.module';
import { FrameProgressComponent } from './frameprogress.component';
import { CreateOrEditFrameProgressModalComponent } from './create-or-edit-frameprogress-modal.component';
@NgModule({
    declarations: [
       FrameProgressComponent, 
        CreateOrEditFrameProgressModalComponent
    ],
    imports: [
        AppSharedModule, FrameProgressRoutingModule]
})
export class FrameProgressModule {}</v>
      </c>
      <c r="J45" s="49" t="str">
        <f>B.Frontend!O10</f>
        <v>import {NgModule} from '@angular/core';
import {RouterModule, Routes} from '@angular/router';
import { FrameProgressComponent } from './frameprogress.component';
const routes: Routes = [{
    path: '',
    component: FrameProgressComponent,
    pathMatch: 'full'
}];
@NgModule({
    imports: [RouterModule.forChild(routes)],
    exports: [RouterModule],
})
export class FrameProgressRoutingModule {}</v>
      </c>
      <c r="K45" s="49" t="str">
        <f>B.Frontend!P10</f>
        <v xml:space="preserve"> new AppMenuItem("FrameProgress", "Pages.Frame.Andon.FrameProgress", "flaticon-book",   "/app/main/frame/andon/frameprogress"),</v>
      </c>
      <c r="L45" s="50" t="str">
        <f>B.Frontend!Q10</f>
        <v>{
    path: 'frame/andon/frameprogress',
    loadChildren: () =&gt; import('./frame/andon/frameprogress/frameprogress.module').then(m =&gt; m.FrameProgressModule),
    data: { permission: 'Pages.Frame.Andon.FrameProgress' }
},</v>
      </c>
      <c r="M45" s="48" t="str">
        <f>B.Frontend!R10</f>
        <v>ApiServiceProxies.FrmAdoFrameProgressServiceProxy,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5"/>
  <sheetViews>
    <sheetView topLeftCell="A11" workbookViewId="0">
      <pane xSplit="1" topLeftCell="B1" activePane="topRight" state="frozen"/>
      <selection pane="topRight" activeCell="F14" sqref="F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vovina.Frame.Andon.Dto;</v>
      </c>
      <c r="E1" s="10" t="s">
        <v>269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260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301</v>
      </c>
      <c r="C3" s="10" t="s">
        <v>43</v>
      </c>
      <c r="D3" s="10" t="s">
        <v>44</v>
      </c>
      <c r="E3" s="10" t="s">
        <v>39</v>
      </c>
      <c r="F3" s="11" t="str">
        <f>"J"&amp;COUNTA($A:$A)</f>
        <v>J33</v>
      </c>
      <c r="G3" s="4" t="s">
        <v>57</v>
      </c>
      <c r="H3" s="10" t="str">
        <f>"I"&amp;COUNTA($A:$A)</f>
        <v>I33</v>
      </c>
      <c r="I3" s="10" t="str">
        <f>REPT(CHAR(9),2)&amp;"[Required]"&amp;"
"</f>
        <v xml:space="preserve">		[Required]
</v>
      </c>
      <c r="J3" s="11" t="str">
        <f>"L"&amp;COUNTA($A:$A)</f>
        <v>L33</v>
      </c>
      <c r="K3" s="5" t="s">
        <v>56</v>
      </c>
      <c r="L3" s="11" t="str">
        <f>"M"&amp;COUNTA($A:$A)</f>
        <v>M33</v>
      </c>
      <c r="M3" s="11" t="str">
        <f>"N"&amp;COUNTA($A:$A)</f>
        <v>N33</v>
      </c>
      <c r="N3" s="11" t="str">
        <f>"O"&amp;COUNTA($A:$A)</f>
        <v>O33</v>
      </c>
      <c r="O3" s="11" t="str">
        <f>"P"&amp;COUNTA($A:$A)</f>
        <v>P33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FrmAdoFrameProgressExportInput{
</v>
      </c>
      <c r="S3" s="11" t="str">
        <f>"namespace "&amp;$B$6&amp;".Exporting
"&amp;$C$3</f>
        <v xml:space="preserve">namespace vovina.Frame.Andon.Exporting
{
</v>
      </c>
      <c r="T3" s="11" t="str">
        <f>"T"&amp;COUNTA($A:$A)</f>
        <v>T33</v>
      </c>
      <c r="V3" s="11" t="str">
        <f>"V"&amp;COUNTA($A:$A)</f>
        <v>V33</v>
      </c>
      <c r="W3" s="10" t="str">
        <f>"W"&amp;COUNTA($A:$A)</f>
        <v>W33</v>
      </c>
    </row>
    <row r="4" spans="1:23" s="11" customFormat="1" ht="33" customHeight="1" x14ac:dyDescent="0.25">
      <c r="A4" s="1" t="s">
        <v>237</v>
      </c>
      <c r="B4" s="64" t="s">
        <v>90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302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vovina.Frame.Andon</v>
      </c>
      <c r="C6" s="11" t="str">
        <f>"namespace "&amp;$B$6&amp;"
"&amp;$C$3</f>
        <v xml:space="preserve">namespace vovina.Frame.Andon
{
</v>
      </c>
      <c r="D6" s="11" t="str">
        <f>REPT(CHAR(9),1)&amp;"public class "&amp;B3&amp;G3&amp;REPT(CHAR(9),1)&amp;"
"&amp;REPT(CHAR(9),1)&amp;C3</f>
        <v xml:space="preserve">	public class FrmAdoFrameProgress: FullAuditedEntity&lt;long&gt;, IEntity&lt;long&gt;	
	{
</v>
      </c>
      <c r="E6" s="11" t="str">
        <f>REPT(CHAR(9),1)&amp;"public class "&amp;B3&amp;"Consts"&amp;REPT(CHAR(9),1)&amp;"
"&amp;REPT(CHAR(9),1)&amp;C3</f>
        <v xml:space="preserve">	public class FrmAdoFrameProgressConsts	
	{
</v>
      </c>
      <c r="F6" s="11" t="str">
        <f>REPT(CHAR(9),1)&amp;"public class "&amp;B3&amp;"Dto"&amp;K3&amp;REPT(CHAR(9),1)&amp;"
"&amp;REPT(CHAR(9),1)&amp;C3</f>
        <v xml:space="preserve">	public class FrmAdoFrameProgressDto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CreateOrEditFrmAdoFrameProgressDto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GetFrmAdoFrameProgressInput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FrmAdoFrameProgress</v>
      </c>
      <c r="C7" s="11" t="str">
        <f>REPT(CHAR(9),1)&amp;"[Table("""&amp;B7&amp;""")]"&amp;"
"</f>
        <v xml:space="preserve">	[Table("FrmAdoFrameProgress")]
</v>
      </c>
      <c r="D7" s="11"/>
      <c r="E7" s="11"/>
      <c r="F7" s="11"/>
      <c r="G7" s="11"/>
      <c r="H7" s="11"/>
      <c r="I7" s="11"/>
      <c r="J7" s="6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vovina.Frame.Andon
{
	[Table("FrmAdoFrameProgress")]
	[Index(nameof(ScanningId), Name="IX_FrmAdoFrameProgress_ScanningId")]
	[Index(nameof(BodyNo), Name="IX_FrmAdoFrameProgress_BodyNo")]
	[Index(nameof(ProcessGroup), Name="IX_FrmAdoFrameProgress_ProcessGroup")]
	[Index(nameof(NoInLot), Name="IX_FrmAdoFrameProgress_NoInLot")]
	[Index(nameof(SequenceNo), Name="IX_FrmAdoFrameProgress_SequenceNo")]
	[Index(nameof(Location), Name="IX_FrmAdoFrameProgress_Location")]
	public class FrmAdoFrameProgress: FullAuditedEntity&lt;long&gt;, IEntity&lt;long&gt;	
	{
		public const int MaxBodyNoLength = 50;
		public const int MaxColorLength = 50;
		public const int MaxScanTypeCdLength = 255;
		public const int MaxScanLocationLength = 50;
		public const int MaxScanValueLength = 255;
		public const int MaxModeLength = 50;
		public const int MaxVinNoLength = 50;
		public const int MaxFrameNoLength = 50;
		public const int MaxModelLength = 50;
		public const int MaxGradeLength = 50;
		public const int MaxLotNoLength = 50;
		public const int MaxSequenceNoLength = 50;
		public const int MaxLocationLength = 50;
		public const int MaxAndonTransferLength = 1;
		public const int MaxRescanBodyNoLength = 50;
		public const int MaxRescanLotNoLength = 50;
		public const int MaxRescanModeLength = 50;
		public const int MaxErrorCdLength = 50;
		public const int MaxIsRescanLength = 1;
		public const int MaxIsActiveLength = 1;
		public virtual long ScanningId { get; set; }
		[StringLength(MaxBodyNoLength)]
		public virtual string BodyNo { get; set; }
		[StringLength(MaxColorLength)]
		public virtual string Color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[StringLength(MaxVinNoLength)]
		public virtual string VinNo { get; set; }
		[StringLength(MaxFrameNoLength)]
		public virtual string FrameNo { get; set; }
		[StringLength(MaxModelLength)]
		public virtual string Model { get; set; }
		[StringLength(MaxGradeLength)]
		public virtual string Grade { get; set; }
		[StringLength(MaxLotNoLength)]
		public virtual string LotNo { get; set; }
		public virtual int NoInLot { get; set; }
		[StringLength(MaxSequenceNoLength)]
		public virtual string SequenceNo { get; set; }
		[StringLength(MaxLocationLength)]
		public virtual string Location { get; set; }
		[StringLength(MaxAndonTransferLength)]
		public virtual string AndonTransfer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DbSet&lt;FrmAdoFrameProgress&gt; FrmAdoFrameProgresss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vovina.Frame.Andon
{
	public class FrmAdoFrameProgressConsts	
	{
		public const int MaxBodyNoLength = 50;
		public const int MaxColorLength = 50;
		public const int MaxScanTypeCdLength = 255;
		public const int MaxScanLocationLength = 50;
		public const int MaxScanValueLength = 255;
		public const int MaxModeLength = 50;
		public const int MaxVinNoLength = 50;
		public const int MaxFrameNoLength = 50;
		public const int MaxModelLength = 50;
		public const int MaxGradeLength = 50;
		public const int MaxLotNoLength = 50;
		public const int MaxSequenceNoLength = 50;
		public const int MaxLocationLength = 50;
		public const int MaxAndonTransferLength = 1;
		public const int MaxRescanBodyNoLength = 50;
		public const int MaxRescanLotNoLength = 50;
		public const int MaxRescanModeLength = 50;
		public const int MaxErrorCdLength = 50;
		public const int MaxIsRescanLength = 1;
		public const int MaxIsActiveLength = 1;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vovina.Frame.Andon.Dto
{
	public class FrmAdoFrameProgressDto : EntityDto&lt;long?&gt;	
	{
		public virtual long ScanningId { get; set; }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	public class CreateOrEditFrmAdoFrameProgressDto : EntityDto&lt;long?&gt;	
	{
		public virtual long ScanningId { get; set; }
		[StringLength(FrmAdoFrameProgressConsts.MaxBodyNoLength)]
		public virtual string BodyNo { get; set; }
		[StringLength(FrmAdoFrameProgressConsts.MaxColorLength)]
		public virtual string Color { get; set; }
		[StringLength(FrmAdoFrameProgressConsts.MaxScanTypeCdLength)]
		public virtual string ScanTypeCd { get; set; }
		[StringLength(FrmAdoFrameProgressConsts.MaxScanLocationLength)]
		public virtual string ScanLocation { get; set; }
		public virtual DateTime? ScanTime { get; set; }
		[StringLength(FrmAdoFrameProgressConsts.MaxScanValueLength)]
		public virtual string ScanValue { get; set; }
		[StringLength(FrmAdoFrameProgressConsts.MaxModeLength)]
		public virtual string Mode { get; set; }
		public virtual int ProcessGroup { get; set; }
		public virtual int ProcessSubgroup { get; set; }
		[StringLength(FrmAdoFrameProgressConsts.MaxVinNoLength)]
		public virtual string VinNo { get; set; }
		[StringLength(FrmAdoFrameProgressConsts.MaxFrameNoLength)]
		public virtual string FrameNo { get; set; }
		[StringLength(FrmAdoFrameProgressConsts.MaxModelLength)]
		public virtual string Model { get; set; }
		[StringLength(FrmAdoFrameProgressConsts.MaxGradeLength)]
		public virtual string Grade { get; set; }
		[StringLength(FrmAdoFrameProgressConsts.MaxLotNoLength)]
		public virtual string LotNo { get; set; }
		public virtual int NoInLot { get; set; }
		[StringLength(FrmAdoFrameProgressConsts.MaxSequenceNoLength)]
		public virtual string SequenceNo { get; set; }
		[StringLength(FrmAdoFrameProgressConsts.MaxLocationLength)]
		public virtual string Location { get; set; }
		[StringLength(FrmAdoFrameProgressConsts.MaxAndonTransferLength)]
		public virtual string AndonTransfer { get; set; }
		[StringLength(FrmAdoFrameProgressConsts.MaxRescanBodyNoLength)]
		public virtual string RescanBodyNo { get; set; }
		[StringLength(FrmAdoFrameProgressConsts.MaxRescanLotNoLength)]
		public virtual string RescanLotNo { get; set; }
		[StringLength(FrmAdoFrameProgressConsts.MaxRescanModeLength)]
		public virtual string RescanMode { get; set; }
		[StringLength(FrmAdoFrameProgressConsts.MaxErrorCdLength)]
		public virtual string ErrorCd { get; set; }
		[StringLength(FrmAdoFrameProgressConsts.MaxIsRescanLength)]
		public virtual string IsRescan { get; set; }
		[StringLength(FrmAdoFrameProgressConsts.MaxIsActiveLength)]
		public virtual string IsActive { get; set; }
	}
	public class GetFrmAdoFrameProgressInput : PagedAndSortedResultRequestDto	
	{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perFrmAdoFrameProgress = PARENTS.CreateChildPermission(AppPermissions.Pages_Frame_Andon_FrameProgress, L( "FrameAndonFrameProgress"));
		perFrmAdoFrameProgress.CreateChildPermission(AppPermissions.Pages_Frame_Andon_FrameProgress_CreateEdit, L( "FrameAndonFrameProgressCreateEdit"));
		perFrmAdoFrameProgress.CreateChildPermission(AppPermissions.Pages_Frame_Andon_FrameProgress_Delete, L( "FrameAndonFrameProgressDelete"));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Pages_Frame_Andon_FrameProgress = "Pages.Frame.Andon.FrameProgress";
		public const string Pages_Frame_Andon_FrameProgress_CreateEdit = "Pages.Frame.Andon.FrameProgress.CreateEdit";
		public const string Pages_Frame_Andon_FrameProgress_Delete = "Pages.Frame.Andon.FrameProgress.Delete";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
{
	public interface IFrmAdoFrameProgressAppService : IApplicationService
	{
		Task&lt;PagedResultDto&lt;FrmAdoFrameProgressDto&gt;&gt; GetAll(GetFrmAdoFrameProgressInput input);
		Task CreateOrEdit(CreateOrEditFrmAdoFrameProgressDto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vovina.Frame.Andon.Dto;
using vovina.Frame.Andon.Exporting;
namespace vovina.Frame.Andon
{
    [AbpAuthorize(AppPermissions.Pages_Frame_Andon_FrameProgress)]
    public class FrmAdoFrameProgressAppService : vovinaAppServiceBase, IFrmAdoFrameProgressAppService
    {
        private readonly IDapperRepository&lt;FrmAdoFrameProgress, long&gt; _dapperRepo;
        private readonly IRepository&lt;FrmAdoFrameProgress, long&gt; _repo;
        private readonly IFrmAdoFrameProgressExcelExporter _calendarListExcelExporter;
        public FrmAdoFrameProgressAppService(IRepository&lt;FrmAdoFrameProgress,long&gt; repo, 
                                         IDapperRepository&lt;FrmAdoFrameProgress,long&gt; dapperRepo,
                                        IFrmAdoFrameProgressExcelExporter calendarListExcelExporter
            )
        {
            _repo = repo;
            _dapperRepo = dapperRepo;
            _calendarListExcelExporter = calendarListExcelExporter;
        }
        [AbpAuthorize(AppPermissions.Pages_Frame_Andon_FrameProgress_CreateEdit)]
        public async Task CreateOrEdit(CreateOrEditFrmAdoFrameProgressDto input)
        {
            if (input.Id == null) await Create(input);
            else await Update(input);
        }
        //CREATE
        private async Task Create(CreateOrEditFrmAdoFrameProgressDto input)
        {          
            var mainObj = ObjectMapper.Map&lt;FrmAdoFrameProgress&gt;(input);
            await CurrentUnitOfWork.GetDbContext&lt;vovinaDbContext&gt;().AddAsync(mainObj);
        }
        // EDIT
        private async Task Update(CreateOrEditFrmAdoFrameProgressDto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[AbpAuthorize(AppPermissions.Pages_Frame_Andon_FrameProgress_Delete)]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Task&lt;PagedResultDto&lt;FrmAdoFrameProgressDto&gt;&gt; GetAll(GetFrmAdoFrameProgressInput input)
        {
            var filtered = _repo.GetAll()
				.WhereIf(!string.IsNullOrWhiteSpace(input.BodyNo), e =&gt; e.BodyNo.Contains(input.BodyNo))
				.WhereIf(!string.IsNullOrWhiteSpace(input.Color), e =&gt; e.Color.Contains(input.Color))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.WhereIf(!string.IsNullOrWhiteSpace(input.VinNo), e =&gt; e.VinNo.Contains(input.VinNo))
				.WhereIf(!string.IsNullOrWhiteSpace(input.FrameNo), e =&gt; e.FrameNo.Contains(input.FrameNo))
				.WhereIf(!string.IsNullOrWhiteSpace(input.Model), e =&gt; e.Model.Contains(input.Model))
				.WhereIf(!string.IsNullOrWhiteSpace(input.Grade), e =&gt; e.Grade.Contains(input.Grade))
				.WhereIf(!string.IsNullOrWhiteSpace(input.LotNo), e =&gt; e.LotNo.Contains(input.LotNo))
				.WhereIf(!string.IsNullOrWhiteSpace(input.SequenceNo), e =&gt; e.SequenceNo.Contains(input.SequenceNo))
				.WhereIf(!string.IsNullOrWhiteSpace(input.Location), e =&gt; e.Location.Contains(input.Location))
				.WhereIf(!string.IsNullOrWhiteSpace(input.AndonTransfer), e =&gt; e.AndonTransfer.Contains(input.AndonTransfer))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FrmAdoFrameProgressDto
                        {
							Id = o.Id,
							ScanningId = o.ScanningId,
							BodyNo = o.BodyNo,
							Color = o.Color,
							ScanTypeCd = o.ScanTypeCd,
							ScanLocation = o.ScanLocation,
							ScanTime = o.ScanTime,
							ScanValue = o.ScanValue,
							Mode = o.Mode,
							ProcessGroup = o.ProcessGroup,
							ProcessSubgroup = o.ProcessSubgroup,
							VinNo = o.VinNo,
							FrameNo = o.FrameNo,
							Model = o.Model,
							Grade = o.Grade,
							LotNo = o.LotNo,
							NoInLot = o.NoInLot,
							SequenceNo = o.SequenceNo,
							Location = o.Location,
							AndonTransfer = o.AndonTransfer,
							RescanBodyNo = o.RescanBodyNo,
							RescanLotNo = o.RescanLotNo,
							RescanMode = o.RescanMode,
							ErrorCd = o.ErrorCd,
							IsRescan = o.IsRescan,
							IsActive = o.IsActive,
                        };
            var totalCount = await filtered.CountAsync();
			var paged = system.PageBy(input);
            return new PagedResultDto&lt;FrmAdoFrameProgressDto&gt;(
                totalCount,
                 await paged.ToListAsync()
            );
        }
        public async Task&lt;FileDto&gt; GetFrameProgressToExcel(FrmAdoFrameProgressExportInput input)
        {
            var query = from o in _repo.GetAll()
                        select new FrmAdoFrameProgressDto
                        {
							Id = o.Id,
							ScanningId = o.ScanningId,
							BodyNo = o.BodyNo,
							Color = o.Color,
							ScanTypeCd = o.ScanTypeCd,
							ScanLocation = o.ScanLocation,
							ScanTime = o.ScanTime,
							ScanValue = o.ScanValue,
							Mode = o.Mode,
							ProcessGroup = o.ProcessGroup,
							ProcessSubgroup = o.ProcessSubgroup,
							VinNo = o.VinNo,
							FrameNo = o.FrameNo,
							Model = o.Model,
							Grade = o.Grade,
							LotNo = o.LotNo,
							NoInLot = o.NoInLot,
							SequenceNo = o.SequenceNo,
							Location = o.Location,
							AndonTransfer = o.AndonTransfer,
							RescanBodyNo = o.RescanBodyNo,
							RescanLotNo = o.RescanLotNo,
							RescanMode = o.RescanMode,
							ErrorCd = o.ErrorCd,
							IsRescan = o.IsRescan,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_dapperRepo.ExecuteAsync(FrmAdoFrameProgressConsts.SP_MST_WPT_CALENDAR_GENERATE);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vovina.Frame.Andon.Dto
{
	public class FrmAdoFrameProgressExportInput{
		public virtual long ScanningId { get; set; }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vovina.Frame.Andon.Dto;
namespace vovina.Frame.Andon.Exporting
{
	public interface IFrmAdoFrameProgressExcelExporter : IApplicationService
	{
		FileDto ExportToFile(List&lt;FrmAdoFrameProgressDto&gt; frmadoframeprogress);
	}
}
</v>
      </c>
      <c r="T7" s="28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vovina.Frame.Andon.Exporting;
using vovina.Frame.Andon.Dto;
using vovina.Storage;
using vovina.Frame.Andon.Dto;
namespace vovina.Frame.Andon.Exporting
{
    public class FrmAdoFrameProgressExcelExporter : NpoiExcelExporterBase, IFrmAdoFrameProgressExcelExporter
    {
        public FrmAdoFrameProgressExcelExporter(ITempFileCacheManager tempFileCacheManager) : base(tempFileCacheManager) { }
        public FileDto ExportToFile(List&lt;FrmAdoFrameProgressDto&gt; frameprogress)
        {
            return CreateExcelPackage(
				"FrameAndonFrameProgress.xlsx",
				excelPackage =&gt;
				 {
					var sheet = excelPackage.CreateSheet("FrameProgress");
					AddHeader(
								sheet,
								("ScanningId"),
								("BodyNo"),
								("Color"),
								("ScanTypeCd"),
								("ScanLocation"),
								("ScanTime"),
								("ScanValue"),
								("Mode"),
								("ProcessGroup"),
								("ProcessSubgroup"),
								("VinNo"),
								("FrameNo"),
								("Model"),
								("Grade"),
								("LotNo"),
								("NoInLot"),
								("SequenceNo"),
								("Location"),
								("AndonTransfer"),
								("RescanBodyNo"),
								("RescanLotNo"),
								("RescanMode"),
								("ErrorCd"),
								("IsRescan"),
								("IsActive"),
							   );
					AddObjects(
						 sheet, 1, frameprogress,                                       
								_ =&gt; _.ScanningId,
								_ =&gt; _.BodyNo,
								_ =&gt; _.Color,
								_ =&gt; _.ScanTypeCd,
								_ =&gt; _.ScanLocation,
								_ =&gt; _.ScanTime,
								_ =&gt; _.ScanValue,
								_ =&gt; _.Mode,
								_ =&gt; _.ProcessGroup,
								_ =&gt; _.ProcessSubgroup,
								_ =&gt; _.VinNo,
								_ =&gt; _.FrameNo,
								_ =&gt; _.Model,
								_ =&gt; _.Grade,
								_ =&gt; _.LotNo,
								_ =&gt; _.NoInLot,
								_ =&gt; _.SequenceNo,
								_ =&gt; _.Location,
								_ =&gt; _.AndonTransfer,
								_ =&gt; _.RescanBodyNo,
								_ =&gt; _.RescanLotNo,
								_ =&gt; _.RescanMode,
								_ =&gt; _.ErrorCd,
								_ =&gt; _.IsRescan,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configuration.CreateMap&lt;FrmAdoFrameProgressDto, FrmAdoFrameProgress&gt;();
  configuration.CreateMap&lt;FrmAdoFrameProgress, FrmAdoFrameProgressDto&gt;();
  configuration.CreateMap&lt;CreateOrEditFrmAdoFrameProgressDto, FrmAdoFrameProgress&gt;();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277</v>
      </c>
      <c r="B9" t="s">
        <v>0</v>
      </c>
      <c r="C9" t="s">
        <v>1</v>
      </c>
      <c r="D9" t="str">
        <f>SUBSTITUTE(PROPER(A9),"_","")</f>
        <v>ScanningId</v>
      </c>
      <c r="E9" t="str">
        <f t="shared" ref="E9:E18" si="0">IFERROR(LEFT(B9, FIND("(",B9)-1),B9)</f>
        <v>bigint</v>
      </c>
      <c r="F9" s="7"/>
      <c r="G9" t="str">
        <f t="shared" ref="G9:G18" si="1">IFERROR(MID(B9,FIND("(",B9) +1, FIND(")",B9) - FIND("(",B9) - 1),"")</f>
        <v/>
      </c>
      <c r="H9" t="str">
        <f>+VLOOKUP(E9,'Data Type Mapping'!A:B,2,)</f>
        <v>long</v>
      </c>
      <c r="I9" t="str">
        <f t="shared" ref="I9:I18" si="2">IF(H9="string",REPT(CHAR(9),2)&amp;"public const int Max"&amp;D9&amp;"Length = "&amp;G9&amp;";"&amp;$E$3,"" )</f>
        <v/>
      </c>
      <c r="J9" t="str">
        <f t="shared" ref="J9:J18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ScanningId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[Index(nameof(ScanningId), Name="IX_FrmAdoFrameProgress_ScanningId")]</v>
      </c>
      <c r="M9" t="str">
        <f>REPT(CHAR(9),2)&amp;"public virtual "&amp;IF(OR(H9="DateTime",H9="TimeSpan"),H9&amp;"?",H9)&amp;IF(C9="?","? "," ")&amp;D9&amp;" { get; set; }" &amp; "
"</f>
        <v xml:space="preserve">		public virtual long ScanningId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ScanningId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8" si="4">REPT(CHAR(9),7)&amp;D9&amp;" = o." &amp;D9 &amp;","</f>
        <v xml:space="preserve">							ScanningId = o.ScanningId,</v>
      </c>
      <c r="T9" s="69" t="str">
        <f>REPT(CHAR(9),8)&amp;"("""&amp;D9&amp;"""),"</f>
        <v xml:space="preserve">								("ScanningId"),</v>
      </c>
      <c r="V9" s="70" t="str">
        <f>REPT(CHAR(9),8)&amp;"_ =&gt; _."&amp;D9&amp;","</f>
        <v xml:space="preserve">								_ =&gt; _.ScanningId,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275</v>
      </c>
      <c r="B10" t="s">
        <v>278</v>
      </c>
      <c r="C10" t="s">
        <v>1</v>
      </c>
      <c r="D10" t="str">
        <f t="shared" ref="D10:D11" si="5">SUBSTITUTE(PROPER(A10),"_","")</f>
        <v>BodyNo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MaxBodyNoLength = 50;
</v>
      </c>
      <c r="J10" t="str">
        <f t="shared" si="3"/>
        <v xml:space="preserve">		[StringLength(MaxBodyNoLength)]
		public virtual string BodyNo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[Index(nameof(BodyNo), Name="IX_FrmAdoFrameProgress_BodyNo")]</v>
      </c>
      <c r="M10" t="str">
        <f t="shared" ref="M10:M18" si="7">REPT(CHAR(9),2)&amp;"public virtual "&amp;IF(OR(H10="DateTime",H10="TimeSpan"),H10&amp;"?",H10)&amp;IF(C10="?","? "," ")&amp;D10&amp;" { get; set; }" &amp; "
"</f>
        <v xml:space="preserve">		public virtual string BodyNo { get; set; }
</v>
      </c>
      <c r="N10" t="str">
        <f t="shared" ref="N10:N18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[StringLength(FrmAdoFrameProgressConsts.MaxBodyNoLength)]
		public virtual string BodyNo { get; set; }
</v>
      </c>
      <c r="O10" t="str">
        <f t="shared" ref="O10:O18" si="9">IF(OR(H10="string",H10="DateTime",H10="int"),REPT(CHAR(9),2)&amp;"public virtual "&amp;IF(OR(H10="DateTime",H10="TimeSpan"),H10&amp;"?",H10)&amp;IF(C10="?","? "," ")&amp;D10&amp;" { get; set; }"&amp;$E$3,"")</f>
        <v xml:space="preserve">		public virtual string BodyNo { get; set; }
</v>
      </c>
      <c r="P10" t="str">
        <f t="shared" si="4"/>
        <v xml:space="preserve">							BodyNo = o.BodyNo,</v>
      </c>
      <c r="T10" s="69" t="str">
        <f t="shared" ref="T10:T18" si="10">REPT(CHAR(9),8)&amp;"("""&amp;D10&amp;"""),"</f>
        <v xml:space="preserve">								("BodyNo"),</v>
      </c>
      <c r="V10" s="70" t="str">
        <f t="shared" ref="V10:V18" si="11">REPT(CHAR(9),8)&amp;"_ =&gt; _."&amp;D10&amp;","</f>
        <v xml:space="preserve">								_ =&gt; _.BodyNo,</v>
      </c>
      <c r="W10" s="69" t="str">
        <f t="shared" ref="W10:W18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.WhereIf(!string.IsNullOrWhiteSpace(input.BodyNo), e =&gt; e.BodyNo.Contains(input.BodyNo))</v>
      </c>
    </row>
    <row r="11" spans="1:23" customFormat="1" ht="18.75" customHeight="1" x14ac:dyDescent="0.25">
      <c r="A11" t="s">
        <v>276</v>
      </c>
      <c r="B11" t="s">
        <v>278</v>
      </c>
      <c r="C11" t="s">
        <v>1</v>
      </c>
      <c r="D11" t="str">
        <f t="shared" si="5"/>
        <v>Color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MaxColorLength = 50;
</v>
      </c>
      <c r="J11" t="str">
        <f t="shared" si="3"/>
        <v xml:space="preserve">		[StringLength(MaxColorLength)]
		public virtual string Color { get; set; }
</v>
      </c>
      <c r="K11" s="7"/>
      <c r="L11" t="str">
        <f t="shared" si="6"/>
        <v/>
      </c>
      <c r="M11" t="str">
        <f t="shared" si="7"/>
        <v xml:space="preserve">		public virtual string Color { get; set; }
</v>
      </c>
      <c r="N11" t="str">
        <f t="shared" si="8"/>
        <v xml:space="preserve">		[StringLength(FrmAdoFrameProgressConsts.MaxColorLength)]
		public virtual string Color { get; set; }
</v>
      </c>
      <c r="O11" t="str">
        <f t="shared" si="9"/>
        <v xml:space="preserve">		public virtual string Color { get; set; }
</v>
      </c>
      <c r="P11" t="str">
        <f t="shared" si="4"/>
        <v xml:space="preserve">							Color = o.Color,</v>
      </c>
      <c r="T11" s="69" t="str">
        <f t="shared" si="10"/>
        <v xml:space="preserve">								("Color"),</v>
      </c>
      <c r="V11" s="70" t="str">
        <f t="shared" si="11"/>
        <v xml:space="preserve">								_ =&gt; _.Color,</v>
      </c>
      <c r="W11" s="69" t="str">
        <f t="shared" si="12"/>
        <v xml:space="preserve">				.WhereIf(!string.IsNullOrWhiteSpace(input.Color), e =&gt; e.Color.Contains(input.Color))</v>
      </c>
    </row>
    <row r="12" spans="1:23" customFormat="1" ht="22.5" customHeight="1" x14ac:dyDescent="0.25">
      <c r="A12" t="s">
        <v>279</v>
      </c>
      <c r="B12" t="s">
        <v>280</v>
      </c>
      <c r="C12" t="s">
        <v>1</v>
      </c>
      <c r="D12" t="str">
        <f>SUBSTITUTE(PROPER(A12),"_","")</f>
        <v>ScanTypeCd</v>
      </c>
      <c r="E12" t="str">
        <f t="shared" si="0"/>
        <v>varchar</v>
      </c>
      <c r="F12" s="7"/>
      <c r="G12" t="str">
        <f t="shared" si="1"/>
        <v>255</v>
      </c>
      <c r="H12" t="str">
        <f>+VLOOKUP(E12,'Data Type Mapping'!A:B,2,)</f>
        <v>string</v>
      </c>
      <c r="I12" t="str">
        <f t="shared" si="2"/>
        <v xml:space="preserve">		public const int MaxScanTypeCdLength = 255;
</v>
      </c>
      <c r="J12" t="str">
        <f t="shared" si="3"/>
        <v xml:space="preserve">		[StringLength(MaxScanTypeCdLength)]
		public virtual string ScanTypeCd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ScanTypeCd { get; set; }
</v>
      </c>
      <c r="N12" t="str">
        <f t="shared" si="8"/>
        <v xml:space="preserve">		[StringLength(FrmAdoFrameProgressConsts.MaxScanTypeCdLength)]
		public virtual string ScanTypeCd { get; set; }
</v>
      </c>
      <c r="O12" t="str">
        <f t="shared" si="9"/>
        <v xml:space="preserve">		public virtual string ScanTypeCd { get; set; }
</v>
      </c>
      <c r="P12" t="str">
        <f t="shared" si="4"/>
        <v xml:space="preserve">							ScanTypeCd = o.ScanTypeCd,</v>
      </c>
      <c r="T12" s="69" t="str">
        <f t="shared" si="10"/>
        <v xml:space="preserve">								("ScanTypeCd"),</v>
      </c>
      <c r="V12" s="70" t="str">
        <f t="shared" si="11"/>
        <v xml:space="preserve">								_ =&gt; _.ScanTypeCd,</v>
      </c>
      <c r="W12" s="69" t="str">
        <f t="shared" si="12"/>
        <v xml:space="preserve">				.WhereIf(!string.IsNullOrWhiteSpace(input.ScanTypeCd), e =&gt; e.ScanTypeCd.Contains(input.ScanTypeCd))</v>
      </c>
    </row>
    <row r="13" spans="1:23" customFormat="1" ht="21" customHeight="1" x14ac:dyDescent="0.25">
      <c r="A13" t="s">
        <v>281</v>
      </c>
      <c r="B13" t="s">
        <v>278</v>
      </c>
      <c r="C13" t="s">
        <v>1</v>
      </c>
      <c r="D13" t="str">
        <f t="shared" ref="D13:D15" si="13">SUBSTITUTE(PROPER(A13),"_","")</f>
        <v>ScanLocation</v>
      </c>
      <c r="E13" t="str">
        <f t="shared" si="0"/>
        <v>varchar</v>
      </c>
      <c r="F13" s="7"/>
      <c r="G13" t="str">
        <f t="shared" si="1"/>
        <v>50</v>
      </c>
      <c r="H13" t="str">
        <f>+VLOOKUP(E13,'Data Type Mapping'!A:B,2,)</f>
        <v>string</v>
      </c>
      <c r="I13" t="str">
        <f t="shared" si="2"/>
        <v xml:space="preserve">		public const int MaxScanLocationLength = 50;
</v>
      </c>
      <c r="J13" t="str">
        <f t="shared" si="3"/>
        <v xml:space="preserve">		[StringLength(MaxScanLocationLength)]
		public virtual string ScanLocation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ScanLocation { get; set; }
</v>
      </c>
      <c r="N13" t="str">
        <f t="shared" si="8"/>
        <v xml:space="preserve">		[StringLength(FrmAdoFrameProgressConsts.MaxScanLocationLength)]
		public virtual string ScanLocation { get; set; }
</v>
      </c>
      <c r="O13" t="str">
        <f t="shared" si="9"/>
        <v xml:space="preserve">		public virtual string ScanLocation { get; set; }
</v>
      </c>
      <c r="P13" t="str">
        <f t="shared" si="4"/>
        <v xml:space="preserve">							ScanLocation = o.ScanLocation,</v>
      </c>
      <c r="T13" s="69" t="str">
        <f t="shared" si="10"/>
        <v xml:space="preserve">								("ScanLocation"),</v>
      </c>
      <c r="V13" s="70" t="str">
        <f t="shared" si="11"/>
        <v xml:space="preserve">								_ =&gt; _.ScanLocation,</v>
      </c>
      <c r="W13" s="69" t="str">
        <f t="shared" si="12"/>
        <v xml:space="preserve">				.WhereIf(!string.IsNullOrWhiteSpace(input.ScanLocation), e =&gt; e.ScanLocation.Contains(input.ScanLocation))</v>
      </c>
    </row>
    <row r="14" spans="1:23" customFormat="1" ht="21" customHeight="1" x14ac:dyDescent="0.25">
      <c r="A14" t="s">
        <v>282</v>
      </c>
      <c r="B14" t="s">
        <v>248</v>
      </c>
      <c r="C14" t="s">
        <v>1</v>
      </c>
      <c r="D14" t="str">
        <f t="shared" si="13"/>
        <v>ScanTime</v>
      </c>
      <c r="E14" t="str">
        <f t="shared" si="0"/>
        <v>datetime2</v>
      </c>
      <c r="F14" s="7" t="s">
        <v>248</v>
      </c>
      <c r="G14" t="str">
        <f t="shared" si="1"/>
        <v>7</v>
      </c>
      <c r="H14" t="str">
        <f>+VLOOKUP(E14,'Data Type Mapping'!A:B,2,)</f>
        <v>DateTime</v>
      </c>
      <c r="I14" t="str">
        <f t="shared" si="2"/>
        <v/>
      </c>
      <c r="J14" t="str">
        <f t="shared" si="3"/>
        <v xml:space="preserve">		[Column(TypeName="datetime2(7)")]
		public virtual DateTime ScanTime { get; set; }
</v>
      </c>
      <c r="K14" s="7"/>
      <c r="L14" t="str">
        <f t="shared" si="14"/>
        <v/>
      </c>
      <c r="M14" t="str">
        <f t="shared" si="7"/>
        <v xml:space="preserve">		public virtual DateTime? ScanTime { get; set; }
</v>
      </c>
      <c r="N14" t="str">
        <f t="shared" si="8"/>
        <v xml:space="preserve">		public virtual DateTime? ScanTime { get; set; }
</v>
      </c>
      <c r="O14" t="str">
        <f t="shared" si="9"/>
        <v xml:space="preserve">		public virtual DateTime? ScanTime { get; set; }
</v>
      </c>
      <c r="P14" t="str">
        <f t="shared" si="4"/>
        <v xml:space="preserve">							ScanTime = o.ScanTime,</v>
      </c>
      <c r="T14" s="69" t="str">
        <f t="shared" si="10"/>
        <v xml:space="preserve">								("ScanTime"),</v>
      </c>
      <c r="V14" s="70" t="str">
        <f t="shared" si="11"/>
        <v xml:space="preserve">								_ =&gt; _.ScanTime,</v>
      </c>
      <c r="W14" s="69" t="str">
        <f t="shared" si="12"/>
        <v xml:space="preserve">				.WhereIf(input.ScanTime.HasValue, t =&gt; t.ScanTime == input.ScanTime.Value)</v>
      </c>
    </row>
    <row r="15" spans="1:23" customFormat="1" ht="18.75" customHeight="1" x14ac:dyDescent="0.25">
      <c r="A15" t="s">
        <v>283</v>
      </c>
      <c r="B15" t="s">
        <v>280</v>
      </c>
      <c r="C15" t="s">
        <v>1</v>
      </c>
      <c r="D15" t="str">
        <f t="shared" si="13"/>
        <v>ScanValue</v>
      </c>
      <c r="E15" t="str">
        <f t="shared" si="0"/>
        <v>varchar</v>
      </c>
      <c r="F15" s="7"/>
      <c r="G15" t="str">
        <f t="shared" si="1"/>
        <v>255</v>
      </c>
      <c r="H15" t="str">
        <f>+VLOOKUP(E15,'Data Type Mapping'!A:B,2,)</f>
        <v>string</v>
      </c>
      <c r="I15" t="str">
        <f t="shared" si="2"/>
        <v xml:space="preserve">		public const int MaxScanValueLength = 255;
</v>
      </c>
      <c r="J15" t="str">
        <f t="shared" si="3"/>
        <v xml:space="preserve">		[StringLength(MaxScanValueLength)]
		public virtual string ScanValue { get; set; }
</v>
      </c>
      <c r="K15" s="7"/>
      <c r="L15" t="str">
        <f t="shared" si="14"/>
        <v/>
      </c>
      <c r="M15" t="str">
        <f t="shared" si="7"/>
        <v xml:space="preserve">		public virtual string ScanValue { get; set; }
</v>
      </c>
      <c r="N15" t="str">
        <f t="shared" si="8"/>
        <v xml:space="preserve">		[StringLength(FrmAdoFrameProgressConsts.MaxScanValueLength)]
		public virtual string ScanValue { get; set; }
</v>
      </c>
      <c r="O15" t="str">
        <f t="shared" si="9"/>
        <v xml:space="preserve">		public virtual string ScanValue { get; set; }
</v>
      </c>
      <c r="P15" t="str">
        <f t="shared" si="4"/>
        <v xml:space="preserve">							ScanValue = o.ScanValue,</v>
      </c>
      <c r="T15" s="69" t="str">
        <f t="shared" si="10"/>
        <v xml:space="preserve">								("ScanValue"),</v>
      </c>
      <c r="V15" s="70" t="str">
        <f t="shared" si="11"/>
        <v xml:space="preserve">								_ =&gt; _.ScanValue,</v>
      </c>
      <c r="W15" s="69" t="str">
        <f t="shared" si="12"/>
        <v xml:space="preserve">				.WhereIf(!string.IsNullOrWhiteSpace(input.ScanValue), e =&gt; e.ScanValue.Contains(input.ScanValue))</v>
      </c>
    </row>
    <row r="16" spans="1:23" customFormat="1" ht="22.5" customHeight="1" x14ac:dyDescent="0.25">
      <c r="A16" t="s">
        <v>284</v>
      </c>
      <c r="B16" t="s">
        <v>278</v>
      </c>
      <c r="C16" t="s">
        <v>1</v>
      </c>
      <c r="D16" t="str">
        <f>SUBSTITUTE(PROPER(A16),"_","")</f>
        <v>Mode</v>
      </c>
      <c r="E16" t="str">
        <f t="shared" si="0"/>
        <v>varchar</v>
      </c>
      <c r="F16" s="7"/>
      <c r="G16" t="str">
        <f t="shared" si="1"/>
        <v>50</v>
      </c>
      <c r="H16" t="str">
        <f>+VLOOKUP(E16,'Data Type Mapping'!A:B,2,)</f>
        <v>string</v>
      </c>
      <c r="I16" t="str">
        <f t="shared" si="2"/>
        <v xml:space="preserve">		public const int MaxModeLength = 50;
</v>
      </c>
      <c r="J16" t="str">
        <f t="shared" si="3"/>
        <v xml:space="preserve">		[StringLength(MaxModeLength)]
		public virtual string Mode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Mode { get; set; }
</v>
      </c>
      <c r="N16" t="str">
        <f t="shared" si="8"/>
        <v xml:space="preserve">		[StringLength(FrmAdoFrameProgressConsts.MaxModeLength)]
		public virtual string Mode { get; set; }
</v>
      </c>
      <c r="O16" t="str">
        <f t="shared" si="9"/>
        <v xml:space="preserve">		public virtual string Mode { get; set; }
</v>
      </c>
      <c r="P16" t="str">
        <f t="shared" si="4"/>
        <v xml:space="preserve">							Mode = o.Mode,</v>
      </c>
      <c r="T16" s="69" t="str">
        <f t="shared" si="10"/>
        <v xml:space="preserve">								("Mode"),</v>
      </c>
      <c r="V16" s="70" t="str">
        <f t="shared" si="11"/>
        <v xml:space="preserve">								_ =&gt; _.Mode,</v>
      </c>
      <c r="W16" s="69" t="str">
        <f t="shared" si="12"/>
        <v xml:space="preserve">				.WhereIf(!string.IsNullOrWhiteSpace(input.Mode), e =&gt; e.Mode.Contains(input.Mode))</v>
      </c>
    </row>
    <row r="17" spans="1:23" customFormat="1" ht="21" customHeight="1" x14ac:dyDescent="0.25">
      <c r="A17" t="s">
        <v>285</v>
      </c>
      <c r="B17" t="s">
        <v>4</v>
      </c>
      <c r="C17" t="s">
        <v>1</v>
      </c>
      <c r="D17" t="str">
        <f t="shared" ref="D17:D18" si="15">SUBSTITUTE(PROPER(A17),"_","")</f>
        <v>ProcessGroup</v>
      </c>
      <c r="E17" t="str">
        <f t="shared" si="0"/>
        <v>int</v>
      </c>
      <c r="F17" s="7"/>
      <c r="G17" t="str">
        <f t="shared" si="1"/>
        <v/>
      </c>
      <c r="H17" t="str">
        <f>+VLOOKUP(E17,'Data Type Mapping'!A:B,2,)</f>
        <v>int</v>
      </c>
      <c r="I17" t="str">
        <f t="shared" si="2"/>
        <v/>
      </c>
      <c r="J17" t="str">
        <f t="shared" si="3"/>
        <v xml:space="preserve">		public virtual int ProcessGroup { get; set; }
</v>
      </c>
      <c r="K17" s="7" t="s">
        <v>206</v>
      </c>
      <c r="L17" t="str">
        <f t="shared" ref="L17:L18" si="16">IF(K17="","",REPT(CHAR(9),1)&amp;"[Index(nameof("&amp;IF(D17="","",""&amp;D17)&amp;")"&amp;", Name="&amp;"""IX_"&amp;$B$7&amp;"_"&amp;D17&amp;""")]")</f>
        <v xml:space="preserve">	[Index(nameof(ProcessGroup), Name="IX_FrmAdoFrameProgress_ProcessGroup")]</v>
      </c>
      <c r="M17" t="str">
        <f t="shared" si="7"/>
        <v xml:space="preserve">		public virtual int ProcessGroup { get; set; }
</v>
      </c>
      <c r="N17" t="str">
        <f t="shared" si="8"/>
        <v xml:space="preserve">		public virtual int ProcessGroup { get; set; }
</v>
      </c>
      <c r="O17" t="str">
        <f t="shared" si="9"/>
        <v xml:space="preserve">		public virtual int ProcessGroup { get; set; }
</v>
      </c>
      <c r="P17" t="str">
        <f t="shared" si="4"/>
        <v xml:space="preserve">							ProcessGroup = o.ProcessGroup,</v>
      </c>
      <c r="T17" s="69" t="str">
        <f t="shared" si="10"/>
        <v xml:space="preserve">								("ProcessGroup"),</v>
      </c>
      <c r="V17" s="70" t="str">
        <f t="shared" si="11"/>
        <v xml:space="preserve">								_ =&gt; _.ProcessGroup,</v>
      </c>
      <c r="W17" s="69" t="str">
        <f t="shared" si="12"/>
        <v/>
      </c>
    </row>
    <row r="18" spans="1:23" customFormat="1" ht="18.75" customHeight="1" x14ac:dyDescent="0.25">
      <c r="A18" t="s">
        <v>286</v>
      </c>
      <c r="B18" t="s">
        <v>4</v>
      </c>
      <c r="C18" t="s">
        <v>1</v>
      </c>
      <c r="D18" t="str">
        <f t="shared" si="15"/>
        <v>ProcessSubgroup</v>
      </c>
      <c r="E18" t="str">
        <f t="shared" si="0"/>
        <v>int</v>
      </c>
      <c r="F18" s="7"/>
      <c r="G18" t="str">
        <f t="shared" si="1"/>
        <v/>
      </c>
      <c r="H18" t="str">
        <f>+VLOOKUP(E18,'Data Type Mapping'!A:B,2,)</f>
        <v>int</v>
      </c>
      <c r="I18" t="str">
        <f t="shared" si="2"/>
        <v/>
      </c>
      <c r="J18" t="str">
        <f t="shared" si="3"/>
        <v xml:space="preserve">		public virtual int ProcessSubgroup { get; set; }
</v>
      </c>
      <c r="K18" s="7"/>
      <c r="L18" t="str">
        <f t="shared" si="16"/>
        <v/>
      </c>
      <c r="M18" t="str">
        <f t="shared" si="7"/>
        <v xml:space="preserve">		public virtual int ProcessSubgroup { get; set; }
</v>
      </c>
      <c r="N18" t="str">
        <f t="shared" si="8"/>
        <v xml:space="preserve">		public virtual int ProcessSubgroup { get; set; }
</v>
      </c>
      <c r="O18" t="str">
        <f t="shared" si="9"/>
        <v xml:space="preserve">		public virtual int ProcessSubgroup { get; set; }
</v>
      </c>
      <c r="P18" t="str">
        <f t="shared" si="4"/>
        <v xml:space="preserve">							ProcessSubgroup = o.ProcessSubgroup,</v>
      </c>
      <c r="T18" s="69" t="str">
        <f t="shared" si="10"/>
        <v xml:space="preserve">								("ProcessSubgroup"),</v>
      </c>
      <c r="V18" s="70" t="str">
        <f t="shared" si="11"/>
        <v xml:space="preserve">								_ =&gt; _.ProcessSubgroup,</v>
      </c>
      <c r="W18" s="69" t="str">
        <f t="shared" si="12"/>
        <v/>
      </c>
    </row>
    <row r="19" spans="1:23" customFormat="1" ht="22.5" customHeight="1" x14ac:dyDescent="0.25">
      <c r="A19" t="s">
        <v>296</v>
      </c>
      <c r="B19" t="s">
        <v>278</v>
      </c>
      <c r="C19" t="s">
        <v>1</v>
      </c>
      <c r="D19" t="str">
        <f>SUBSTITUTE(PROPER(A19),"_","")</f>
        <v>VinNo</v>
      </c>
      <c r="E19" t="str">
        <f t="shared" ref="E19:E28" si="17">IFERROR(LEFT(B19, FIND("(",B19)-1),B19)</f>
        <v>varchar</v>
      </c>
      <c r="F19" s="7"/>
      <c r="G19" t="str">
        <f t="shared" ref="G19:G28" si="18">IFERROR(MID(B19,FIND("(",B19) +1, FIND(")",B19) - FIND("(",B19) - 1),"")</f>
        <v>50</v>
      </c>
      <c r="H19" t="str">
        <f>+VLOOKUP(E19,'Data Type Mapping'!A:B,2,)</f>
        <v>string</v>
      </c>
      <c r="I19" t="str">
        <f t="shared" ref="I19:I28" si="19">IF(H19="string",REPT(CHAR(9),2)&amp;"public const int Max"&amp;D19&amp;"Length = "&amp;G19&amp;";"&amp;$E$3,"" )</f>
        <v xml:space="preserve">		public const int MaxVinNoLength = 50;
</v>
      </c>
      <c r="J19" t="str">
        <f t="shared" ref="J19:J28" si="20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[StringLength(MaxVinNoLength)]
		public virtual string VinNo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string VinNo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[StringLength(FrmAdoFrameProgressConsts.MaxVinNoLength)]
		public virtual string VinNo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string VinNo { get; set; }
</v>
      </c>
      <c r="P19" t="str">
        <f t="shared" ref="P19:P28" si="21">REPT(CHAR(9),7)&amp;D19&amp;" = o." &amp;D19 &amp;","</f>
        <v xml:space="preserve">							VinNo = o.VinNo,</v>
      </c>
      <c r="T19" s="69" t="str">
        <f>REPT(CHAR(9),8)&amp;"("""&amp;D19&amp;"""),"</f>
        <v xml:space="preserve">								("VinNo"),</v>
      </c>
      <c r="V19" s="70" t="str">
        <f>REPT(CHAR(9),8)&amp;"_ =&gt; _."&amp;D19&amp;","</f>
        <v xml:space="preserve">								_ =&gt; _.VinNo,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.WhereIf(!string.IsNullOrWhiteSpace(input.VinNo), e =&gt; e.VinNo.Contains(input.VinNo))</v>
      </c>
    </row>
    <row r="20" spans="1:23" customFormat="1" ht="21" customHeight="1" x14ac:dyDescent="0.25">
      <c r="A20" t="s">
        <v>297</v>
      </c>
      <c r="B20" t="s">
        <v>278</v>
      </c>
      <c r="C20" t="s">
        <v>1</v>
      </c>
      <c r="D20" t="str">
        <f t="shared" ref="D20:D21" si="22">SUBSTITUTE(PROPER(A20),"_","")</f>
        <v>FrameNo</v>
      </c>
      <c r="E20" t="str">
        <f t="shared" si="17"/>
        <v>varchar</v>
      </c>
      <c r="F20" s="7"/>
      <c r="G20" t="str">
        <f t="shared" si="18"/>
        <v>50</v>
      </c>
      <c r="H20" t="str">
        <f>+VLOOKUP(E20,'Data Type Mapping'!A:B,2,)</f>
        <v>string</v>
      </c>
      <c r="I20" t="str">
        <f t="shared" si="19"/>
        <v xml:space="preserve">		public const int MaxFrameNoLength = 50;
</v>
      </c>
      <c r="J20" t="str">
        <f t="shared" si="20"/>
        <v xml:space="preserve">		[StringLength(MaxFrameNoLength)]
		public virtual string FrameNo { get; set; }
</v>
      </c>
      <c r="K20" s="7"/>
      <c r="L20" t="str">
        <f t="shared" ref="L20:L21" si="23">IF(K20="","",REPT(CHAR(9),1)&amp;"[Index(nameof("&amp;IF(D20="","",""&amp;D20)&amp;")"&amp;", Name="&amp;"""IX_"&amp;$B$7&amp;"_"&amp;D20&amp;""")]")</f>
        <v/>
      </c>
      <c r="M20" t="str">
        <f t="shared" ref="M20:M28" si="24">REPT(CHAR(9),2)&amp;"public virtual "&amp;IF(OR(H20="DateTime",H20="TimeSpan"),H20&amp;"?",H20)&amp;IF(C20="?","? "," ")&amp;D20&amp;" { get; set; }" &amp; "
"</f>
        <v xml:space="preserve">		public virtual string FrameNo { get; set; }
</v>
      </c>
      <c r="N20" t="str">
        <f t="shared" ref="N20:N28" si="25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[StringLength(FrmAdoFrameProgressConsts.MaxFrameNoLength)]
		public virtual string FrameNo { get; set; }
</v>
      </c>
      <c r="O20" t="str">
        <f t="shared" ref="O20:O28" si="26">IF(OR(H20="string",H20="DateTime",H20="int"),REPT(CHAR(9),2)&amp;"public virtual "&amp;IF(OR(H20="DateTime",H20="TimeSpan"),H20&amp;"?",H20)&amp;IF(C20="?","? "," ")&amp;D20&amp;" { get; set; }"&amp;$E$3,"")</f>
        <v xml:space="preserve">		public virtual string FrameNo { get; set; }
</v>
      </c>
      <c r="P20" t="str">
        <f t="shared" si="21"/>
        <v xml:space="preserve">							FrameNo = o.FrameNo,</v>
      </c>
      <c r="T20" s="69" t="str">
        <f t="shared" ref="T20:T28" si="27">REPT(CHAR(9),8)&amp;"("""&amp;D20&amp;"""),"</f>
        <v xml:space="preserve">								("FrameNo"),</v>
      </c>
      <c r="V20" s="70" t="str">
        <f t="shared" ref="V20:V28" si="28">REPT(CHAR(9),8)&amp;"_ =&gt; _."&amp;D20&amp;","</f>
        <v xml:space="preserve">								_ =&gt; _.FrameNo,</v>
      </c>
      <c r="W20" s="69" t="str">
        <f t="shared" ref="W20:W28" si="29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.WhereIf(!string.IsNullOrWhiteSpace(input.FrameNo), e =&gt; e.FrameNo.Contains(input.FrameNo))</v>
      </c>
    </row>
    <row r="21" spans="1:23" customFormat="1" ht="18.75" customHeight="1" x14ac:dyDescent="0.25">
      <c r="A21" t="s">
        <v>272</v>
      </c>
      <c r="B21" t="s">
        <v>278</v>
      </c>
      <c r="C21" t="s">
        <v>1</v>
      </c>
      <c r="D21" t="str">
        <f t="shared" si="22"/>
        <v>Model</v>
      </c>
      <c r="E21" t="str">
        <f t="shared" si="17"/>
        <v>varchar</v>
      </c>
      <c r="F21" s="7"/>
      <c r="G21" t="str">
        <f t="shared" si="18"/>
        <v>50</v>
      </c>
      <c r="H21" t="str">
        <f>+VLOOKUP(E21,'Data Type Mapping'!A:B,2,)</f>
        <v>string</v>
      </c>
      <c r="I21" t="str">
        <f t="shared" si="19"/>
        <v xml:space="preserve">		public const int MaxModelLength = 50;
</v>
      </c>
      <c r="J21" t="str">
        <f t="shared" si="20"/>
        <v xml:space="preserve">		[StringLength(MaxModelLength)]
		public virtual string Model { get; set; }
</v>
      </c>
      <c r="K21" s="7"/>
      <c r="L21" t="str">
        <f t="shared" si="23"/>
        <v/>
      </c>
      <c r="M21" t="str">
        <f t="shared" si="24"/>
        <v xml:space="preserve">		public virtual string Model { get; set; }
</v>
      </c>
      <c r="N21" t="str">
        <f t="shared" si="25"/>
        <v xml:space="preserve">		[StringLength(FrmAdoFrameProgressConsts.MaxModelLength)]
		public virtual string Model { get; set; }
</v>
      </c>
      <c r="O21" t="str">
        <f t="shared" si="26"/>
        <v xml:space="preserve">		public virtual string Model { get; set; }
</v>
      </c>
      <c r="P21" t="str">
        <f t="shared" si="21"/>
        <v xml:space="preserve">							Model = o.Model,</v>
      </c>
      <c r="T21" s="69" t="str">
        <f t="shared" si="27"/>
        <v xml:space="preserve">								("Model"),</v>
      </c>
      <c r="V21" s="70" t="str">
        <f t="shared" si="28"/>
        <v xml:space="preserve">								_ =&gt; _.Model,</v>
      </c>
      <c r="W21" s="69" t="str">
        <f t="shared" si="29"/>
        <v xml:space="preserve">				.WhereIf(!string.IsNullOrWhiteSpace(input.Model), e =&gt; e.Model.Contains(input.Model))</v>
      </c>
    </row>
    <row r="22" spans="1:23" customFormat="1" ht="22.5" customHeight="1" x14ac:dyDescent="0.25">
      <c r="A22" t="s">
        <v>298</v>
      </c>
      <c r="B22" t="s">
        <v>278</v>
      </c>
      <c r="C22" t="s">
        <v>1</v>
      </c>
      <c r="D22" t="str">
        <f>SUBSTITUTE(PROPER(A22),"_","")</f>
        <v>Grade</v>
      </c>
      <c r="E22" t="str">
        <f t="shared" si="17"/>
        <v>varchar</v>
      </c>
      <c r="F22" s="7"/>
      <c r="G22" t="str">
        <f t="shared" si="18"/>
        <v>50</v>
      </c>
      <c r="H22" t="str">
        <f>+VLOOKUP(E22,'Data Type Mapping'!A:B,2,)</f>
        <v>string</v>
      </c>
      <c r="I22" t="str">
        <f t="shared" si="19"/>
        <v xml:space="preserve">		public const int MaxGradeLength = 50;
</v>
      </c>
      <c r="J22" t="str">
        <f t="shared" si="20"/>
        <v xml:space="preserve">		[StringLength(MaxGradeLength)]
		public virtual string Grade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si="24"/>
        <v xml:space="preserve">		public virtual string Grade { get; set; }
</v>
      </c>
      <c r="N22" t="str">
        <f t="shared" si="25"/>
        <v xml:space="preserve">		[StringLength(FrmAdoFrameProgressConsts.MaxGradeLength)]
		public virtual string Grade { get; set; }
</v>
      </c>
      <c r="O22" t="str">
        <f t="shared" si="26"/>
        <v xml:space="preserve">		public virtual string Grade { get; set; }
</v>
      </c>
      <c r="P22" t="str">
        <f t="shared" si="21"/>
        <v xml:space="preserve">							Grade = o.Grade,</v>
      </c>
      <c r="T22" s="69" t="str">
        <f t="shared" si="27"/>
        <v xml:space="preserve">								("Grade"),</v>
      </c>
      <c r="V22" s="70" t="str">
        <f t="shared" si="28"/>
        <v xml:space="preserve">								_ =&gt; _.Grade,</v>
      </c>
      <c r="W22" s="69" t="str">
        <f t="shared" si="29"/>
        <v xml:space="preserve">				.WhereIf(!string.IsNullOrWhiteSpace(input.Grade), e =&gt; e.Grade.Contains(input.Grade))</v>
      </c>
    </row>
    <row r="23" spans="1:23" customFormat="1" ht="21" customHeight="1" x14ac:dyDescent="0.25">
      <c r="A23" t="s">
        <v>273</v>
      </c>
      <c r="B23" t="s">
        <v>278</v>
      </c>
      <c r="C23" t="s">
        <v>1</v>
      </c>
      <c r="D23" t="str">
        <f t="shared" ref="D23:D25" si="30">SUBSTITUTE(PROPER(A23),"_","")</f>
        <v>LotNo</v>
      </c>
      <c r="E23" t="str">
        <f t="shared" si="17"/>
        <v>varchar</v>
      </c>
      <c r="F23" s="7"/>
      <c r="G23" t="str">
        <f t="shared" si="18"/>
        <v>50</v>
      </c>
      <c r="H23" t="str">
        <f>+VLOOKUP(E23,'Data Type Mapping'!A:B,2,)</f>
        <v>string</v>
      </c>
      <c r="I23" t="str">
        <f t="shared" si="19"/>
        <v xml:space="preserve">		public const int MaxLotNoLength = 50;
</v>
      </c>
      <c r="J23" t="str">
        <f t="shared" si="20"/>
        <v xml:space="preserve">		[StringLength(MaxLotNoLength)]
		public virtual string LotNo { get; set; }
</v>
      </c>
      <c r="K23" s="7"/>
      <c r="L23" t="str">
        <f t="shared" ref="L23:L25" si="31">IF(K23="","",REPT(CHAR(9),1)&amp;"[Index(nameof("&amp;IF(D23="","",""&amp;D23)&amp;")"&amp;", Name="&amp;"""IX_"&amp;$B$7&amp;"_"&amp;D23&amp;""")]")</f>
        <v/>
      </c>
      <c r="M23" t="str">
        <f t="shared" si="24"/>
        <v xml:space="preserve">		public virtual string LotNo { get; set; }
</v>
      </c>
      <c r="N23" t="str">
        <f t="shared" si="25"/>
        <v xml:space="preserve">		[StringLength(FrmAdoFrameProgressConsts.MaxLotNoLength)]
		public virtual string LotNo { get; set; }
</v>
      </c>
      <c r="O23" t="str">
        <f t="shared" si="26"/>
        <v xml:space="preserve">		public virtual string LotNo { get; set; }
</v>
      </c>
      <c r="P23" t="str">
        <f t="shared" si="21"/>
        <v xml:space="preserve">							LotNo = o.LotNo,</v>
      </c>
      <c r="T23" s="69" t="str">
        <f t="shared" si="27"/>
        <v xml:space="preserve">								("LotNo"),</v>
      </c>
      <c r="V23" s="70" t="str">
        <f t="shared" si="28"/>
        <v xml:space="preserve">								_ =&gt; _.LotNo,</v>
      </c>
      <c r="W23" s="69" t="str">
        <f t="shared" si="29"/>
        <v xml:space="preserve">				.WhereIf(!string.IsNullOrWhiteSpace(input.LotNo), e =&gt; e.LotNo.Contains(input.LotNo))</v>
      </c>
    </row>
    <row r="24" spans="1:23" customFormat="1" ht="21" customHeight="1" x14ac:dyDescent="0.25">
      <c r="A24" t="s">
        <v>274</v>
      </c>
      <c r="B24" t="s">
        <v>4</v>
      </c>
      <c r="C24" t="s">
        <v>1</v>
      </c>
      <c r="D24" t="str">
        <f t="shared" si="30"/>
        <v>NoInLot</v>
      </c>
      <c r="E24" t="str">
        <f t="shared" si="17"/>
        <v>int</v>
      </c>
      <c r="F24" s="7"/>
      <c r="G24" t="str">
        <f t="shared" si="18"/>
        <v/>
      </c>
      <c r="H24" t="str">
        <f>+VLOOKUP(E24,'Data Type Mapping'!A:B,2,)</f>
        <v>int</v>
      </c>
      <c r="I24" t="str">
        <f t="shared" si="19"/>
        <v/>
      </c>
      <c r="J24" t="str">
        <f t="shared" si="20"/>
        <v xml:space="preserve">		public virtual int NoInLot { get; set; }
</v>
      </c>
      <c r="K24" s="7" t="s">
        <v>206</v>
      </c>
      <c r="L24" t="str">
        <f t="shared" si="31"/>
        <v xml:space="preserve">	[Index(nameof(NoInLot), Name="IX_FrmAdoFrameProgress_NoInLot")]</v>
      </c>
      <c r="M24" t="str">
        <f t="shared" si="24"/>
        <v xml:space="preserve">		public virtual int NoInLot { get; set; }
</v>
      </c>
      <c r="N24" t="str">
        <f t="shared" si="25"/>
        <v xml:space="preserve">		public virtual int NoInLot { get; set; }
</v>
      </c>
      <c r="O24" t="str">
        <f t="shared" si="26"/>
        <v xml:space="preserve">		public virtual int NoInLot { get; set; }
</v>
      </c>
      <c r="P24" t="str">
        <f t="shared" si="21"/>
        <v xml:space="preserve">							NoInLot = o.NoInLot,</v>
      </c>
      <c r="T24" s="69" t="str">
        <f t="shared" si="27"/>
        <v xml:space="preserve">								("NoInLot"),</v>
      </c>
      <c r="V24" s="70" t="str">
        <f t="shared" si="28"/>
        <v xml:space="preserve">								_ =&gt; _.NoInLot,</v>
      </c>
      <c r="W24" s="69" t="str">
        <f t="shared" si="29"/>
        <v/>
      </c>
    </row>
    <row r="25" spans="1:23" customFormat="1" ht="18.75" customHeight="1" x14ac:dyDescent="0.25">
      <c r="A25" t="s">
        <v>287</v>
      </c>
      <c r="B25" t="s">
        <v>278</v>
      </c>
      <c r="C25" t="s">
        <v>1</v>
      </c>
      <c r="D25" t="str">
        <f t="shared" si="30"/>
        <v>SequenceNo</v>
      </c>
      <c r="E25" t="str">
        <f t="shared" si="17"/>
        <v>varchar</v>
      </c>
      <c r="F25" s="7"/>
      <c r="G25" t="str">
        <f t="shared" si="18"/>
        <v>50</v>
      </c>
      <c r="H25" t="str">
        <f>+VLOOKUP(E25,'Data Type Mapping'!A:B,2,)</f>
        <v>string</v>
      </c>
      <c r="I25" t="str">
        <f t="shared" si="19"/>
        <v xml:space="preserve">		public const int MaxSequenceNoLength = 50;
</v>
      </c>
      <c r="J25" t="str">
        <f t="shared" si="20"/>
        <v xml:space="preserve">		[StringLength(MaxSequenceNoLength)]
		public virtual string SequenceNo { get; set; }
</v>
      </c>
      <c r="K25" s="7" t="s">
        <v>206</v>
      </c>
      <c r="L25" t="str">
        <f t="shared" si="31"/>
        <v xml:space="preserve">	[Index(nameof(SequenceNo), Name="IX_FrmAdoFrameProgress_SequenceNo")]</v>
      </c>
      <c r="M25" t="str">
        <f t="shared" si="24"/>
        <v xml:space="preserve">		public virtual string SequenceNo { get; set; }
</v>
      </c>
      <c r="N25" t="str">
        <f t="shared" si="25"/>
        <v xml:space="preserve">		[StringLength(FrmAdoFrameProgressConsts.MaxSequenceNoLength)]
		public virtual string SequenceNo { get; set; }
</v>
      </c>
      <c r="O25" t="str">
        <f t="shared" si="26"/>
        <v xml:space="preserve">		public virtual string SequenceNo { get; set; }
</v>
      </c>
      <c r="P25" t="str">
        <f t="shared" si="21"/>
        <v xml:space="preserve">							SequenceNo = o.SequenceNo,</v>
      </c>
      <c r="T25" s="69" t="str">
        <f t="shared" si="27"/>
        <v xml:space="preserve">								("SequenceNo"),</v>
      </c>
      <c r="V25" s="70" t="str">
        <f t="shared" si="28"/>
        <v xml:space="preserve">								_ =&gt; _.SequenceNo,</v>
      </c>
      <c r="W25" s="69" t="str">
        <f t="shared" si="29"/>
        <v xml:space="preserve">				.WhereIf(!string.IsNullOrWhiteSpace(input.SequenceNo), e =&gt; e.SequenceNo.Contains(input.SequenceNo))</v>
      </c>
    </row>
    <row r="26" spans="1:23" customFormat="1" ht="22.5" customHeight="1" x14ac:dyDescent="0.25">
      <c r="A26" t="s">
        <v>288</v>
      </c>
      <c r="B26" t="s">
        <v>278</v>
      </c>
      <c r="C26" t="s">
        <v>1</v>
      </c>
      <c r="D26" t="str">
        <f>SUBSTITUTE(PROPER(A26),"_","")</f>
        <v>Location</v>
      </c>
      <c r="E26" t="str">
        <f t="shared" si="17"/>
        <v>varchar</v>
      </c>
      <c r="F26" s="7"/>
      <c r="G26" t="str">
        <f t="shared" si="18"/>
        <v>50</v>
      </c>
      <c r="H26" t="str">
        <f>+VLOOKUP(E26,'Data Type Mapping'!A:B,2,)</f>
        <v>string</v>
      </c>
      <c r="I26" t="str">
        <f t="shared" si="19"/>
        <v xml:space="preserve">		public const int MaxLocationLength = 50;
</v>
      </c>
      <c r="J26" t="str">
        <f t="shared" si="20"/>
        <v xml:space="preserve">		[StringLength(MaxLocationLength)]
		public virtual string Location { get; set; }
</v>
      </c>
      <c r="K26" s="7" t="s">
        <v>206</v>
      </c>
      <c r="L26" t="str">
        <f>IF(K26="","",REPT(CHAR(9),1)&amp;"[Index(nameof("&amp;IF(D26="","",""&amp;D26)&amp;")"&amp;", Name="&amp;"""IX_"&amp;$B$7&amp;"_"&amp;D26&amp;""")]")</f>
        <v xml:space="preserve">	[Index(nameof(Location), Name="IX_FrmAdoFrameProgress_Location")]</v>
      </c>
      <c r="M26" t="str">
        <f t="shared" si="24"/>
        <v xml:space="preserve">		public virtual string Location { get; set; }
</v>
      </c>
      <c r="N26" t="str">
        <f t="shared" si="25"/>
        <v xml:space="preserve">		[StringLength(FrmAdoFrameProgressConsts.MaxLocationLength)]
		public virtual string Location { get; set; }
</v>
      </c>
      <c r="O26" t="str">
        <f t="shared" si="26"/>
        <v xml:space="preserve">		public virtual string Location { get; set; }
</v>
      </c>
      <c r="P26" t="str">
        <f t="shared" si="21"/>
        <v xml:space="preserve">							Location = o.Location,</v>
      </c>
      <c r="T26" s="69" t="str">
        <f t="shared" si="27"/>
        <v xml:space="preserve">								("Location"),</v>
      </c>
      <c r="V26" s="70" t="str">
        <f t="shared" si="28"/>
        <v xml:space="preserve">								_ =&gt; _.Location,</v>
      </c>
      <c r="W26" s="69" t="str">
        <f t="shared" si="29"/>
        <v xml:space="preserve">				.WhereIf(!string.IsNullOrWhiteSpace(input.Location), e =&gt; e.Location.Contains(input.Location))</v>
      </c>
    </row>
    <row r="27" spans="1:23" customFormat="1" ht="21" customHeight="1" x14ac:dyDescent="0.25">
      <c r="A27" t="s">
        <v>299</v>
      </c>
      <c r="B27" t="s">
        <v>289</v>
      </c>
      <c r="C27" t="s">
        <v>1</v>
      </c>
      <c r="D27" t="str">
        <f t="shared" ref="D27:D28" si="32">SUBSTITUTE(PROPER(A27),"_","")</f>
        <v>AndonTransfer</v>
      </c>
      <c r="E27" t="str">
        <f t="shared" si="17"/>
        <v>varchar</v>
      </c>
      <c r="F27" s="7"/>
      <c r="G27" t="str">
        <f t="shared" si="18"/>
        <v>1</v>
      </c>
      <c r="H27" t="str">
        <f>+VLOOKUP(E27,'Data Type Mapping'!A:B,2,)</f>
        <v>string</v>
      </c>
      <c r="I27" t="str">
        <f t="shared" si="19"/>
        <v xml:space="preserve">		public const int MaxAndonTransferLength = 1;
</v>
      </c>
      <c r="J27" t="str">
        <f t="shared" si="20"/>
        <v xml:space="preserve">		[StringLength(MaxAndonTransferLength)]
		public virtual string AndonTransfer { get; set; }
</v>
      </c>
      <c r="K27" s="7"/>
      <c r="L27" t="str">
        <f t="shared" ref="L27:L28" si="33">IF(K27="","",REPT(CHAR(9),1)&amp;"[Index(nameof("&amp;IF(D27="","",""&amp;D27)&amp;")"&amp;", Name="&amp;"""IX_"&amp;$B$7&amp;"_"&amp;D27&amp;""")]")</f>
        <v/>
      </c>
      <c r="M27" t="str">
        <f t="shared" si="24"/>
        <v xml:space="preserve">		public virtual string AndonTransfer { get; set; }
</v>
      </c>
      <c r="N27" t="str">
        <f t="shared" si="25"/>
        <v xml:space="preserve">		[StringLength(FrmAdoFrameProgressConsts.MaxAndonTransferLength)]
		public virtual string AndonTransfer { get; set; }
</v>
      </c>
      <c r="O27" t="str">
        <f t="shared" si="26"/>
        <v xml:space="preserve">		public virtual string AndonTransfer { get; set; }
</v>
      </c>
      <c r="P27" t="str">
        <f t="shared" si="21"/>
        <v xml:space="preserve">							AndonTransfer = o.AndonTransfer,</v>
      </c>
      <c r="T27" s="69" t="str">
        <f t="shared" si="27"/>
        <v xml:space="preserve">								("AndonTransfer"),</v>
      </c>
      <c r="V27" s="70" t="str">
        <f t="shared" si="28"/>
        <v xml:space="preserve">								_ =&gt; _.AndonTransfer,</v>
      </c>
      <c r="W27" s="69" t="str">
        <f t="shared" si="29"/>
        <v xml:space="preserve">				.WhereIf(!string.IsNullOrWhiteSpace(input.AndonTransfer), e =&gt; e.AndonTransfer.Contains(input.AndonTransfer))</v>
      </c>
    </row>
    <row r="28" spans="1:23" customFormat="1" ht="18.75" customHeight="1" x14ac:dyDescent="0.25">
      <c r="A28" t="s">
        <v>290</v>
      </c>
      <c r="B28" t="s">
        <v>278</v>
      </c>
      <c r="C28" t="s">
        <v>1</v>
      </c>
      <c r="D28" t="str">
        <f t="shared" si="32"/>
        <v>RescanBodyNo</v>
      </c>
      <c r="E28" t="str">
        <f t="shared" si="17"/>
        <v>varchar</v>
      </c>
      <c r="F28" s="7"/>
      <c r="G28" t="str">
        <f t="shared" si="18"/>
        <v>50</v>
      </c>
      <c r="H28" t="str">
        <f>+VLOOKUP(E28,'Data Type Mapping'!A:B,2,)</f>
        <v>string</v>
      </c>
      <c r="I28" t="str">
        <f t="shared" si="19"/>
        <v xml:space="preserve">		public const int MaxRescanBodyNoLength = 50;
</v>
      </c>
      <c r="J28" t="str">
        <f t="shared" si="20"/>
        <v xml:space="preserve">		[StringLength(MaxRescanBodyNoLength)]
		public virtual string RescanBodyNo { get; set; }
</v>
      </c>
      <c r="K28" s="7"/>
      <c r="L28" t="str">
        <f t="shared" si="33"/>
        <v/>
      </c>
      <c r="M28" t="str">
        <f t="shared" si="24"/>
        <v xml:space="preserve">		public virtual string RescanBodyNo { get; set; }
</v>
      </c>
      <c r="N28" t="str">
        <f t="shared" si="25"/>
        <v xml:space="preserve">		[StringLength(FrmAdoFrameProgressConsts.MaxRescanBodyNoLength)]
		public virtual string RescanBodyNo { get; set; }
</v>
      </c>
      <c r="O28" t="str">
        <f t="shared" si="26"/>
        <v xml:space="preserve">		public virtual string RescanBodyNo { get; set; }
</v>
      </c>
      <c r="P28" t="str">
        <f t="shared" si="21"/>
        <v xml:space="preserve">							RescanBodyNo = o.RescanBodyNo,</v>
      </c>
      <c r="T28" s="69" t="str">
        <f t="shared" si="27"/>
        <v xml:space="preserve">								("RescanBodyNo"),</v>
      </c>
      <c r="V28" s="70" t="str">
        <f t="shared" si="28"/>
        <v xml:space="preserve">								_ =&gt; _.RescanBodyNo,</v>
      </c>
      <c r="W28" s="69" t="str">
        <f t="shared" si="29"/>
        <v xml:space="preserve">				.WhereIf(!string.IsNullOrWhiteSpace(input.RescanBodyNo), e =&gt; e.RescanBodyNo.Contains(input.RescanBodyNo))</v>
      </c>
    </row>
    <row r="29" spans="1:23" customFormat="1" ht="22.5" customHeight="1" x14ac:dyDescent="0.25">
      <c r="A29" t="s">
        <v>291</v>
      </c>
      <c r="B29" t="s">
        <v>278</v>
      </c>
      <c r="C29" t="s">
        <v>1</v>
      </c>
      <c r="D29" t="str">
        <f>SUBSTITUTE(PROPER(A29),"_","")</f>
        <v>RescanLotNo</v>
      </c>
      <c r="E29" t="str">
        <f t="shared" ref="E29:E31" si="34">IFERROR(LEFT(B29, FIND("(",B29)-1),B29)</f>
        <v>varchar</v>
      </c>
      <c r="F29" s="7"/>
      <c r="G29" t="str">
        <f t="shared" ref="G29:G31" si="35">IFERROR(MID(B29,FIND("(",B29) +1, FIND(")",B29) - FIND("(",B29) - 1),"")</f>
        <v>50</v>
      </c>
      <c r="H29" t="str">
        <f>+VLOOKUP(E29,'Data Type Mapping'!A:B,2,)</f>
        <v>string</v>
      </c>
      <c r="I29" t="str">
        <f t="shared" ref="I29:I31" si="36">IF(H29="string",REPT(CHAR(9),2)&amp;"public const int Max"&amp;D29&amp;"Length = "&amp;G29&amp;";"&amp;$E$3,"" )</f>
        <v xml:space="preserve">		public const int MaxRescanLotNoLength = 50;
</v>
      </c>
      <c r="J29" t="str">
        <f t="shared" ref="J29:J31" si="37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[StringLength(MaxRescanLotNoLength)]
		public virtual string RescanLotNo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>REPT(CHAR(9),2)&amp;"public virtual "&amp;IF(OR(H29="DateTime",H29="TimeSpan"),H29&amp;"?",H29)&amp;IF(C29="?","? "," ")&amp;D29&amp;" { get; set; }" &amp; "
"</f>
        <v xml:space="preserve">		public virtual string RescanLotNo { get; set; }
</v>
      </c>
      <c r="N29" t="str">
        <f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[StringLength(FrmAdoFrameProgressConsts.MaxRescanLotNoLength)]
		public virtual string RescanLotNo { get; set; }
</v>
      </c>
      <c r="O29" t="str">
        <f>IF(OR(H29="string",H29="DateTime",H29="int"),REPT(CHAR(9),2)&amp;"public virtual "&amp;IF(OR(H29="DateTime",H29="TimeSpan"),H29&amp;"?",H29)&amp;IF(C29="?","? "," ")&amp;D29&amp;" { get; set; }"&amp;$E$3,"")</f>
        <v xml:space="preserve">		public virtual string RescanLotNo { get; set; }
</v>
      </c>
      <c r="P29" t="str">
        <f t="shared" ref="P29:P31" si="38">REPT(CHAR(9),7)&amp;D29&amp;" = o." &amp;D29 &amp;","</f>
        <v xml:space="preserve">							RescanLotNo = o.RescanLotNo,</v>
      </c>
      <c r="T29" s="69" t="str">
        <f>REPT(CHAR(9),8)&amp;"("""&amp;D29&amp;"""),"</f>
        <v xml:space="preserve">								("RescanLotNo"),</v>
      </c>
      <c r="V29" s="70" t="str">
        <f>REPT(CHAR(9),8)&amp;"_ =&gt; _."&amp;D29&amp;","</f>
        <v xml:space="preserve">								_ =&gt; _.RescanLotNo,</v>
      </c>
      <c r="W29" s="69" t="str">
        <f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.WhereIf(!string.IsNullOrWhiteSpace(input.RescanLotNo), e =&gt; e.RescanLotNo.Contains(input.RescanLotNo))</v>
      </c>
    </row>
    <row r="30" spans="1:23" customFormat="1" ht="21" customHeight="1" x14ac:dyDescent="0.25">
      <c r="A30" t="s">
        <v>292</v>
      </c>
      <c r="B30" t="s">
        <v>278</v>
      </c>
      <c r="C30" t="s">
        <v>1</v>
      </c>
      <c r="D30" t="str">
        <f t="shared" ref="D30:D31" si="39">SUBSTITUTE(PROPER(A30),"_","")</f>
        <v>RescanMode</v>
      </c>
      <c r="E30" t="str">
        <f t="shared" si="34"/>
        <v>varchar</v>
      </c>
      <c r="F30" s="7"/>
      <c r="G30" t="str">
        <f t="shared" si="35"/>
        <v>50</v>
      </c>
      <c r="H30" t="str">
        <f>+VLOOKUP(E30,'Data Type Mapping'!A:B,2,)</f>
        <v>string</v>
      </c>
      <c r="I30" t="str">
        <f t="shared" si="36"/>
        <v xml:space="preserve">		public const int MaxRescanModeLength = 50;
</v>
      </c>
      <c r="J30" t="str">
        <f t="shared" si="37"/>
        <v xml:space="preserve">		[StringLength(MaxRescanModeLength)]
		public virtual string RescanMode { get; set; }
</v>
      </c>
      <c r="K30" s="7"/>
      <c r="L30" t="str">
        <f t="shared" ref="L30:L31" si="40">IF(K30="","",REPT(CHAR(9),1)&amp;"[Index(nameof("&amp;IF(D30="","",""&amp;D30)&amp;")"&amp;", Name="&amp;"""IX_"&amp;$B$7&amp;"_"&amp;D30&amp;""")]")</f>
        <v/>
      </c>
      <c r="M30" t="str">
        <f t="shared" ref="M30:M31" si="41">REPT(CHAR(9),2)&amp;"public virtual "&amp;IF(OR(H30="DateTime",H30="TimeSpan"),H30&amp;"?",H30)&amp;IF(C30="?","? "," ")&amp;D30&amp;" { get; set; }" &amp; "
"</f>
        <v xml:space="preserve">		public virtual string RescanMode { get; set; }
</v>
      </c>
      <c r="N30" t="str">
        <f t="shared" ref="N30:N31" si="42"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[StringLength(FrmAdoFrameProgressConsts.MaxRescanModeLength)]
		public virtual string RescanMode { get; set; }
</v>
      </c>
      <c r="O30" t="str">
        <f t="shared" ref="O30:O31" si="43">IF(OR(H30="string",H30="DateTime",H30="int"),REPT(CHAR(9),2)&amp;"public virtual "&amp;IF(OR(H30="DateTime",H30="TimeSpan"),H30&amp;"?",H30)&amp;IF(C30="?","? "," ")&amp;D30&amp;" { get; set; }"&amp;$E$3,"")</f>
        <v xml:space="preserve">		public virtual string RescanMode { get; set; }
</v>
      </c>
      <c r="P30" t="str">
        <f t="shared" si="38"/>
        <v xml:space="preserve">							RescanMode = o.RescanMode,</v>
      </c>
      <c r="T30" s="69" t="str">
        <f t="shared" ref="T30:T31" si="44">REPT(CHAR(9),8)&amp;"("""&amp;D30&amp;"""),"</f>
        <v xml:space="preserve">								("RescanMode"),</v>
      </c>
      <c r="V30" s="70" t="str">
        <f t="shared" ref="V30:V31" si="45">REPT(CHAR(9),8)&amp;"_ =&gt; _."&amp;D30&amp;","</f>
        <v xml:space="preserve">								_ =&gt; _.RescanMode,</v>
      </c>
      <c r="W30" s="69" t="str">
        <f t="shared" ref="W30:W31" si="46"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 xml:space="preserve">				.WhereIf(!string.IsNullOrWhiteSpace(input.RescanMode), e =&gt; e.RescanMode.Contains(input.RescanMode))</v>
      </c>
    </row>
    <row r="31" spans="1:23" customFormat="1" ht="18.75" customHeight="1" x14ac:dyDescent="0.25">
      <c r="A31" t="s">
        <v>293</v>
      </c>
      <c r="B31" t="s">
        <v>278</v>
      </c>
      <c r="C31" t="s">
        <v>1</v>
      </c>
      <c r="D31" t="str">
        <f t="shared" si="39"/>
        <v>ErrorCd</v>
      </c>
      <c r="E31" t="str">
        <f t="shared" si="34"/>
        <v>varchar</v>
      </c>
      <c r="F31" s="7"/>
      <c r="G31" t="str">
        <f t="shared" si="35"/>
        <v>50</v>
      </c>
      <c r="H31" t="str">
        <f>+VLOOKUP(E31,'Data Type Mapping'!A:B,2,)</f>
        <v>string</v>
      </c>
      <c r="I31" t="str">
        <f t="shared" si="36"/>
        <v xml:space="preserve">		public const int MaxErrorCdLength = 50;
</v>
      </c>
      <c r="J31" t="str">
        <f t="shared" si="37"/>
        <v xml:space="preserve">		[StringLength(MaxErrorCdLength)]
		public virtual string ErrorCd { get; set; }
</v>
      </c>
      <c r="K31" s="7"/>
      <c r="L31" t="str">
        <f t="shared" si="40"/>
        <v/>
      </c>
      <c r="M31" t="str">
        <f t="shared" si="41"/>
        <v xml:space="preserve">		public virtual string ErrorCd { get; set; }
</v>
      </c>
      <c r="N31" t="str">
        <f t="shared" si="42"/>
        <v xml:space="preserve">		[StringLength(FrmAdoFrameProgressConsts.MaxErrorCdLength)]
		public virtual string ErrorCd { get; set; }
</v>
      </c>
      <c r="O31" t="str">
        <f t="shared" si="43"/>
        <v xml:space="preserve">		public virtual string ErrorCd { get; set; }
</v>
      </c>
      <c r="P31" t="str">
        <f t="shared" si="38"/>
        <v xml:space="preserve">							ErrorCd = o.ErrorCd,</v>
      </c>
      <c r="T31" s="69" t="str">
        <f t="shared" si="44"/>
        <v xml:space="preserve">								("ErrorCd"),</v>
      </c>
      <c r="V31" s="70" t="str">
        <f t="shared" si="45"/>
        <v xml:space="preserve">								_ =&gt; _.ErrorCd,</v>
      </c>
      <c r="W31" s="69" t="str">
        <f t="shared" si="46"/>
        <v xml:space="preserve">				.WhereIf(!string.IsNullOrWhiteSpace(input.ErrorCd), e =&gt; e.ErrorCd.Contains(input.ErrorCd))</v>
      </c>
    </row>
    <row r="32" spans="1:23" customFormat="1" ht="22.5" customHeight="1" x14ac:dyDescent="0.25">
      <c r="A32" t="s">
        <v>294</v>
      </c>
      <c r="B32" t="s">
        <v>289</v>
      </c>
      <c r="C32" t="s">
        <v>1</v>
      </c>
      <c r="D32" t="str">
        <f>SUBSTITUTE(PROPER(A32),"_","")</f>
        <v>IsRescan</v>
      </c>
      <c r="E32" t="str">
        <f t="shared" ref="E32:E33" si="47">IFERROR(LEFT(B32, FIND("(",B32)-1),B32)</f>
        <v>varchar</v>
      </c>
      <c r="F32" s="7"/>
      <c r="G32" t="str">
        <f t="shared" ref="G32:G33" si="48">IFERROR(MID(B32,FIND("(",B32) +1, FIND(")",B32) - FIND("(",B32) - 1),"")</f>
        <v>1</v>
      </c>
      <c r="H32" t="str">
        <f>+VLOOKUP(E32,'Data Type Mapping'!A:B,2,)</f>
        <v>string</v>
      </c>
      <c r="I32" t="str">
        <f t="shared" ref="I32:I33" si="49">IF(H32="string",REPT(CHAR(9),2)&amp;"public const int Max"&amp;D32&amp;"Length = "&amp;G32&amp;";"&amp;$E$3,"" )</f>
        <v xml:space="preserve">		public const int MaxIsRescanLength = 1;
</v>
      </c>
      <c r="J32" t="str">
        <f t="shared" ref="J32:J33" si="50"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[StringLength(MaxIsRescanLength)]
		public virtual string IsRescan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 t="shared" ref="M32:M33" si="51">REPT(CHAR(9),2)&amp;"public virtual "&amp;IF(OR(H32="DateTime",H32="TimeSpan"),H32&amp;"?",H32)&amp;IF(C32="?","? "," ")&amp;D32&amp;" { get; set; }" &amp; "
"</f>
        <v xml:space="preserve">		public virtual string IsRescan { get; set; }
</v>
      </c>
      <c r="N32" t="str">
        <f t="shared" ref="N32:N33" si="52"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[StringLength(FrmAdoFrameProgressConsts.MaxIsRescanLength)]
		public virtual string IsRescan { get; set; }
</v>
      </c>
      <c r="O32" t="str">
        <f t="shared" ref="O32:O33" si="53">IF(OR(H32="string",H32="DateTime",H32="int"),REPT(CHAR(9),2)&amp;"public virtual "&amp;IF(OR(H32="DateTime",H32="TimeSpan"),H32&amp;"?",H32)&amp;IF(C32="?","? "," ")&amp;D32&amp;" { get; set; }"&amp;$E$3,"")</f>
        <v xml:space="preserve">		public virtual string IsRescan { get; set; }
</v>
      </c>
      <c r="P32" t="str">
        <f t="shared" ref="P32:P33" si="54">REPT(CHAR(9),7)&amp;D32&amp;" = o." &amp;D32 &amp;","</f>
        <v xml:space="preserve">							IsRescan = o.IsRescan,</v>
      </c>
      <c r="T32" s="69" t="str">
        <f t="shared" ref="T32:T33" si="55">REPT(CHAR(9),8)&amp;"("""&amp;D32&amp;"""),"</f>
        <v xml:space="preserve">								("IsRescan"),</v>
      </c>
      <c r="V32" s="70" t="str">
        <f t="shared" ref="V32:V33" si="56">REPT(CHAR(9),8)&amp;"_ =&gt; _."&amp;D32&amp;","</f>
        <v xml:space="preserve">								_ =&gt; _.IsRescan,</v>
      </c>
      <c r="W32" s="69" t="str">
        <f t="shared" ref="W32:W33" si="57"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 xml:space="preserve">				.WhereIf(!string.IsNullOrWhiteSpace(input.IsRescan), e =&gt; e.IsRescan.Contains(input.IsRescan))</v>
      </c>
    </row>
    <row r="33" spans="1:23" customFormat="1" ht="21" customHeight="1" x14ac:dyDescent="0.25">
      <c r="A33" t="s">
        <v>295</v>
      </c>
      <c r="B33" t="s">
        <v>289</v>
      </c>
      <c r="C33" t="s">
        <v>1</v>
      </c>
      <c r="D33" t="str">
        <f t="shared" ref="D33" si="58">SUBSTITUTE(PROPER(A33),"_","")</f>
        <v>IsActive</v>
      </c>
      <c r="E33" t="str">
        <f t="shared" si="47"/>
        <v>varchar</v>
      </c>
      <c r="F33" s="7"/>
      <c r="G33" t="str">
        <f t="shared" si="48"/>
        <v>1</v>
      </c>
      <c r="H33" t="str">
        <f>+VLOOKUP(E33,'Data Type Mapping'!A:B,2,)</f>
        <v>string</v>
      </c>
      <c r="I33" t="str">
        <f t="shared" si="49"/>
        <v xml:space="preserve">		public const int MaxIsActiveLength = 1;
</v>
      </c>
      <c r="J33" t="str">
        <f t="shared" si="50"/>
        <v xml:space="preserve">		[StringLength(MaxIsActiveLength)]
		public virtual string IsActive { get; set; }
</v>
      </c>
      <c r="K33" s="7"/>
      <c r="L33" t="str">
        <f t="shared" ref="L33" si="59">IF(K33="","",REPT(CHAR(9),1)&amp;"[Index(nameof("&amp;IF(D33="","",""&amp;D33)&amp;")"&amp;", Name="&amp;"""IX_"&amp;$B$7&amp;"_"&amp;D33&amp;""")]")</f>
        <v/>
      </c>
      <c r="M33" t="str">
        <f t="shared" si="51"/>
        <v xml:space="preserve">		public virtual string IsActive { get; set; }
</v>
      </c>
      <c r="N33" t="str">
        <f t="shared" si="52"/>
        <v xml:space="preserve">		[StringLength(FrmAdoFrameProgressConsts.MaxIsActiveLength)]
		public virtual string IsActive { get; set; }
</v>
      </c>
      <c r="O33" t="str">
        <f t="shared" si="53"/>
        <v xml:space="preserve">		public virtual string IsActive { get; set; }
</v>
      </c>
      <c r="P33" t="str">
        <f t="shared" si="54"/>
        <v xml:space="preserve">							IsActive = o.IsActive,</v>
      </c>
      <c r="T33" s="69" t="str">
        <f t="shared" si="55"/>
        <v xml:space="preserve">								("IsActive"),</v>
      </c>
      <c r="V33" s="70" t="str">
        <f t="shared" si="56"/>
        <v xml:space="preserve">								_ =&gt; _.IsActive,</v>
      </c>
      <c r="W33" s="69" t="str">
        <f t="shared" si="57"/>
        <v xml:space="preserve">				.WhereIf(!string.IsNullOrWhiteSpace(input.IsActive), e =&gt; e.IsActive.Contains(input.IsActive))</v>
      </c>
    </row>
    <row r="35" spans="1:23" ht="45.75" customHeight="1" x14ac:dyDescent="0.25">
      <c r="H35" s="12"/>
      <c r="I35" s="34" t="str">
        <f ca="1">TEXTJOIN2("
", TRUE,INDIRECT( $H$1):INDIRECT( $H$3))</f>
        <v xml:space="preserve">		public const int MaxBodyNoLength = 50;
		public const int MaxColorLength = 50;
		public const int MaxScanTypeCdLength = 255;
		public const int MaxScanLocationLength = 50;
		public const int MaxScanValueLength = 255;
		public const int MaxModeLength = 50;
		public const int MaxVinNoLength = 50;
		public const int MaxFrameNoLength = 50;
		public const int MaxModelLength = 50;
		public const int MaxGradeLength = 50;
		public const int MaxLotNoLength = 50;
		public const int MaxSequenceNoLength = 50;
		public const int MaxLocationLength = 50;
		public const int MaxAndonTransferLength = 1;
		public const int MaxRescanBodyNoLength = 50;
		public const int MaxRescanLotNoLength = 50;
		public const int MaxRescanModeLength = 50;
		public const int MaxErrorCdLength = 50;
		public const int MaxIsRescanLength = 1;
		public const int MaxIsActiveLength = 1;
</v>
      </c>
      <c r="J35" s="33" t="str">
        <f ca="1">TEXTJOIN2("
", TRUE,INDIRECT( $F$1):INDIRECT( $F$3))</f>
        <v xml:space="preserve">		public virtual long ScanningId { get; set; }
		[StringLength(MaxBodyNoLength)]
		public virtual string BodyNo { get; set; }
		[StringLength(MaxColorLength)]
		public virtual string Color { get; set; }
		[StringLength(MaxScanTypeCdLength)]
		public virtual string ScanTypeCd { get; set; }
		[StringLength(MaxScanLocationLength)]
		public virtual string ScanLocation { get; set; }
		[Column(TypeName="datetime2(7)")]
		public virtual DateTime ScanTime { get; set; }
		[StringLength(MaxScanValueLength)]
		public virtual string ScanValue { get; set; }
		[StringLength(MaxModeLength)]
		public virtual string Mode { get; set; }
		public virtual int ProcessGroup { get; set; }
		public virtual int ProcessSubgroup { get; set; }
		[StringLength(MaxVinNoLength)]
		public virtual string VinNo { get; set; }
		[StringLength(MaxFrameNoLength)]
		public virtual string FrameNo { get; set; }
		[StringLength(MaxModelLength)]
		public virtual string Model { get; set; }
		[StringLength(MaxGradeLength)]
		public virtual string Grade { get; set; }
		[StringLength(MaxLotNoLength)]
		public virtual string LotNo { get; set; }
		public virtual int NoInLot { get; set; }
		[StringLength(MaxSequenceNoLength)]
		public virtual string SequenceNo { get; set; }
		[StringLength(MaxLocationLength)]
		public virtual string Location { get; set; }
		[StringLength(MaxAndonTransferLength)]
		public virtual string AndonTransfer { get; set; }
		[StringLength(MaxRescanBodyNoLength)]
		public virtual string RescanBodyNo { get; set; }
		[StringLength(MaxRescanLotNoLength)]
		public virtual string RescanLotNo { get; set; }
		[StringLength(MaxRescanModeLength)]
		public virtual string RescanMode { get; set; }
		[StringLength(MaxErrorCdLength)]
		public virtual string ErrorCd { get; set; }
		[StringLength(MaxIsRescanLength)]
		public virtual string IsRescan { get; set; }
		[StringLength(MaxIsActiveLength)]
		public virtual string IsActive { get; set; }
</v>
      </c>
      <c r="K35" s="35" t="str">
        <f ca="1">TEXTJOIN2("
", TRUE,INDIRECT( $J$1):INDIRECT( $J$3))</f>
        <v xml:space="preserve">	[Index(nameof(ScanningId), Name="IX_FrmAdoFrameProgress_ScanningId")]
	[Index(nameof(BodyNo), Name="IX_FrmAdoFrameProgress_BodyNo")]
	[Index(nameof(ProcessGroup), Name="IX_FrmAdoFrameProgress_ProcessGroup")]
	[Index(nameof(NoInLot), Name="IX_FrmAdoFrameProgress_NoInLot")]
	[Index(nameof(SequenceNo), Name="IX_FrmAdoFrameProgress_SequenceNo")]
	[Index(nameof(Location), Name="IX_FrmAdoFrameProgress_Location")]
</v>
      </c>
      <c r="L35" s="13" t="s">
        <v>60</v>
      </c>
      <c r="M35" s="36" t="str">
        <f ca="1">TEXTJOIN2("
",TRUE,INDIRECT( $L$1):INDIRECT($L$3))</f>
        <v xml:space="preserve">		public virtual long ScanningId { get; set; }
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</v>
      </c>
      <c r="N35" s="33" t="str">
        <f ca="1">TEXTJOIN2("
",TRUE,INDIRECT( $M$1):INDIRECT($M$3))</f>
        <v xml:space="preserve">		public virtual long ScanningId { get; set; }
		[StringLength(FrmAdoFrameProgressConsts.MaxBodyNoLength)]
		public virtual string BodyNo { get; set; }
		[StringLength(FrmAdoFrameProgressConsts.MaxColorLength)]
		public virtual string Color { get; set; }
		[StringLength(FrmAdoFrameProgressConsts.MaxScanTypeCdLength)]
		public virtual string ScanTypeCd { get; set; }
		[StringLength(FrmAdoFrameProgressConsts.MaxScanLocationLength)]
		public virtual string ScanLocation { get; set; }
		public virtual DateTime? ScanTime { get; set; }
		[StringLength(FrmAdoFrameProgressConsts.MaxScanValueLength)]
		public virtual string ScanValue { get; set; }
		[StringLength(FrmAdoFrameProgressConsts.MaxModeLength)]
		public virtual string Mode { get; set; }
		public virtual int ProcessGroup { get; set; }
		public virtual int ProcessSubgroup { get; set; }
		[StringLength(FrmAdoFrameProgressConsts.MaxVinNoLength)]
		public virtual string VinNo { get; set; }
		[StringLength(FrmAdoFrameProgressConsts.MaxFrameNoLength)]
		public virtual string FrameNo { get; set; }
		[StringLength(FrmAdoFrameProgressConsts.MaxModelLength)]
		public virtual string Model { get; set; }
		[StringLength(FrmAdoFrameProgressConsts.MaxGradeLength)]
		public virtual string Grade { get; set; }
		[StringLength(FrmAdoFrameProgressConsts.MaxLotNoLength)]
		public virtual string LotNo { get; set; }
		public virtual int NoInLot { get; set; }
		[StringLength(FrmAdoFrameProgressConsts.MaxSequenceNoLength)]
		public virtual string SequenceNo { get; set; }
		[StringLength(FrmAdoFrameProgressConsts.MaxLocationLength)]
		public virtual string Location { get; set; }
		[StringLength(FrmAdoFrameProgressConsts.MaxAndonTransferLength)]
		public virtual string AndonTransfer { get; set; }
		[StringLength(FrmAdoFrameProgressConsts.MaxRescanBodyNoLength)]
		public virtual string RescanBodyNo { get; set; }
		[StringLength(FrmAdoFrameProgressConsts.MaxRescanLotNoLength)]
		public virtual string RescanLotNo { get; set; }
		[StringLength(FrmAdoFrameProgressConsts.MaxRescanModeLength)]
		public virtual string RescanMode { get; set; }
		[StringLength(FrmAdoFrameProgressConsts.MaxErrorCdLength)]
		public virtual string ErrorCd { get; set; }
		[StringLength(FrmAdoFrameProgressConsts.MaxIsRescanLength)]
		public virtual string IsRescan { get; set; }
		[StringLength(FrmAdoFrameProgressConsts.MaxIsActiveLength)]
		public virtual string IsActive { get; set; }
</v>
      </c>
      <c r="O35" s="33" t="str">
        <f ca="1">TEXTJOIN2("
",TRUE,INDIRECT( $N$1):INDIRECT($N$3))</f>
        <v xml:space="preserve">		public virtual string BodyNo { get; set; }
		public virtual string Color { get; set; }
		public virtual string ScanTypeCd { get; set; }
		public virtual string ScanLocation { get; set; }
		public virtual DateTime? ScanTime { get; set; }
		public virtual string ScanValue { get; set; }
		public virtual string Mode { get; set; }
		public virtual int ProcessGroup { get; set; }
		public virtual int ProcessSubgroup { get; set; }
		public virtual string VinNo { get; set; }
		public virtual string FrameNo { get; set; }
		public virtual string Model { get; set; }
		public virtual string Grade { get; set; }
		public virtual string LotNo { get; set; }
		public virtual int NoInLot { get; set; }
		public virtual string SequenceNo { get; set; }
		public virtual string Location { get; set; }
		public virtual string AndonTransfer { get; set; }
		public virtual string RescanBodyNo { get; set; }
		public virtual string RescanLotNo { get; set; }
		public virtual string RescanMode { get; set; }
		public virtual string ErrorCd { get; set; }
		public virtual string IsRescan { get; set; }
		public virtual string IsActive { get; set; }
</v>
      </c>
      <c r="P35" s="9" t="str">
        <f ca="1">TEXTJOIN2("
",TRUE,INDIRECT( $O$1):INDIRECT($O$3))</f>
        <v xml:space="preserve">							ScanningId = o.ScanningId,
							BodyNo = o.BodyNo,
							Color = o.Color,
							ScanTypeCd = o.ScanTypeCd,
							ScanLocation = o.ScanLocation,
							ScanTime = o.ScanTime,
							ScanValue = o.ScanValue,
							Mode = o.Mode,
							ProcessGroup = o.ProcessGroup,
							ProcessSubgroup = o.ProcessSubgroup,
							VinNo = o.VinNo,
							FrameNo = o.FrameNo,
							Model = o.Model,
							Grade = o.Grade,
							LotNo = o.LotNo,
							NoInLot = o.NoInLot,
							SequenceNo = o.SequenceNo,
							Location = o.Location,
							AndonTransfer = o.AndonTransfer,
							RescanBodyNo = o.RescanBodyNo,
							RescanLotNo = o.RescanLotNo,
							RescanMode = o.RescanMode,
							ErrorCd = o.ErrorCd,
							IsRescan = o.IsRescan,
							IsActive = o.IsActive,</v>
      </c>
      <c r="T35" s="9" t="str">
        <f ca="1">TEXTJOIN2("
",TRUE,INDIRECT( $T$2):INDIRECT($T$3))</f>
        <v xml:space="preserve">								("ScanningId"),
								("BodyNo"),
								("Color"),
								("ScanTypeCd"),
								("ScanLocation"),
								("ScanTime"),
								("ScanValue"),
								("Mode"),
								("ProcessGroup"),
								("ProcessSubgroup"),
								("VinNo"),
								("FrameNo"),
								("Model"),
								("Grade"),
								("LotNo"),
								("NoInLot"),
								("SequenceNo"),
								("Location"),
								("AndonTransfer"),
								("RescanBodyNo"),
								("RescanLotNo"),
								("RescanMode"),
								("ErrorCd"),
								("IsRescan"),
								("IsActive"),</v>
      </c>
      <c r="V35" s="9" t="str">
        <f ca="1">TEXTJOIN2("
",TRUE,INDIRECT( $V$2):INDIRECT($V$3))</f>
        <v xml:space="preserve">								_ =&gt; _.ScanningId,
								_ =&gt; _.BodyNo,
								_ =&gt; _.Color,
								_ =&gt; _.ScanTypeCd,
								_ =&gt; _.ScanLocation,
								_ =&gt; _.ScanTime,
								_ =&gt; _.ScanValue,
								_ =&gt; _.Mode,
								_ =&gt; _.ProcessGroup,
								_ =&gt; _.ProcessSubgroup,
								_ =&gt; _.VinNo,
								_ =&gt; _.FrameNo,
								_ =&gt; _.Model,
								_ =&gt; _.Grade,
								_ =&gt; _.LotNo,
								_ =&gt; _.NoInLot,
								_ =&gt; _.SequenceNo,
								_ =&gt; _.Location,
								_ =&gt; _.AndonTransfer,
								_ =&gt; _.RescanBodyNo,
								_ =&gt; _.RescanLotNo,
								_ =&gt; _.RescanMode,
								_ =&gt; _.ErrorCd,
								_ =&gt; _.IsRescan,
								_ =&gt; _.IsActive,</v>
      </c>
      <c r="W35" s="9" t="str">
        <f ca="1">TEXTJOIN2("
",TRUE,INDIRECT( $W$2):INDIRECT($W$3))</f>
        <v xml:space="preserve">				.WhereIf(!string.IsNullOrWhiteSpace(input.BodyNo), e =&gt; e.BodyNo.Contains(input.BodyNo))
				.WhereIf(!string.IsNullOrWhiteSpace(input.Color), e =&gt; e.Color.Contains(input.Color))
				.WhereIf(!string.IsNullOrWhiteSpace(input.ScanTypeCd), e =&gt; e.ScanTypeCd.Contains(input.ScanTypeCd))
				.WhereIf(!string.IsNullOrWhiteSpace(input.ScanLocation), e =&gt; e.ScanLocation.Contains(input.ScanLocation))
				.WhereIf(input.ScanTime.HasValue, t =&gt; t.ScanTime == input.ScanTime.Value)
				.WhereIf(!string.IsNullOrWhiteSpace(input.ScanValue), e =&gt; e.ScanValue.Contains(input.ScanValue))
				.WhereIf(!string.IsNullOrWhiteSpace(input.Mode), e =&gt; e.Mode.Contains(input.Mode))
				.WhereIf(!string.IsNullOrWhiteSpace(input.VinNo), e =&gt; e.VinNo.Contains(input.VinNo))
				.WhereIf(!string.IsNullOrWhiteSpace(input.FrameNo), e =&gt; e.FrameNo.Contains(input.FrameNo))
				.WhereIf(!string.IsNullOrWhiteSpace(input.Model), e =&gt; e.Model.Contains(input.Model))
				.WhereIf(!string.IsNullOrWhiteSpace(input.Grade), e =&gt; e.Grade.Contains(input.Grade))
				.WhereIf(!string.IsNullOrWhiteSpace(input.LotNo), e =&gt; e.LotNo.Contains(input.LotNo))
				.WhereIf(!string.IsNullOrWhiteSpace(input.SequenceNo), e =&gt; e.SequenceNo.Contains(input.SequenceNo))
				.WhereIf(!string.IsNullOrWhiteSpace(input.Location), e =&gt; e.Location.Contains(input.Location))
				.WhereIf(!string.IsNullOrWhiteSpace(input.AndonTransfer), e =&gt; e.AndonTransfer.Contains(input.AndonTransfer))
				.WhereIf(!string.IsNullOrWhiteSpace(input.RescanBodyNo), e =&gt; e.RescanBodyNo.Contains(input.RescanBodyNo))
				.WhereIf(!string.IsNullOrWhiteSpace(input.RescanLotNo), e =&gt; e.RescanLotNo.Contains(input.RescanLotNo))
				.WhereIf(!string.IsNullOrWhiteSpace(input.RescanMode), e =&gt; e.RescanMode.Contains(input.RescanMode))
				.WhereIf(!string.IsNullOrWhiteSpace(input.ErrorCd), e =&gt; e.ErrorCd.Contains(input.ErrorCd))
				.WhereIf(!string.IsNullOrWhiteSpace(input.IsRescan), e =&gt; e.IsRescan.Contains(input.IsRescan))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2"/>
  <sheetViews>
    <sheetView topLeftCell="A11" workbookViewId="0">
      <selection activeCell="A14" sqref="A14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303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Frame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frame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FrmAdoFrameProgress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FrameProgress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frameprogress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263</v>
      </c>
      <c r="I9" s="46" t="s">
        <v>257</v>
      </c>
      <c r="J9" s="45" t="s">
        <v>219</v>
      </c>
      <c r="K9" s="47" t="s">
        <v>258</v>
      </c>
      <c r="L9" s="46" t="s">
        <v>262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FrmAdoFrameProgressDto, FrmAdoFrameProgressServiceProxy } from '@shared/service-proxies/service-proxies';
import { finalize } from 'rxjs/internal/operators/finalize';
import { CreateOrEditFrameProgressModalComponent } from './create-or-edit-frameprogress-modal.component';
import { DatePipe } from '@angular/common';
import { FileDownloadService } from '@shared/utils/file-download.service';
import ceil from 'lodash-es/ceil';
import { Paginator } from 'primeng/paginator';
@Component({
    templateUrl: './frameprogress.component.html',
    styleUrls: ['./frameprogress.component.less'],
})
export class FrameProgressComponent extends AppComponentBase implements OnInit {
    @ViewChild('createOrEditModalFrameProgress', { static: true }) createOrEditModalFrameProgress:| CreateOrEditFrameProgressModalComponent|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FrmAdoFrameProgressDto = new FrmAdoFrameProgressDto();
    saveSelectedRow: FrmAdoFrameProgressDto = new FrmAdoFrameProgressDto();
    datas: FrmAdoFrameProgressDto = new FrmAdoFrameProgressDto();
    isLoading: boolean = false;
    dataParams: GridParams | undefined;
    rowData: any[] = [];
    gridApi!: GridApi;
    rowSelection = 'multiple';
    filter: string = '';
	pipe = new DatePipe('en-US');
    scanningId
bodyNo : string = '' ; 
	color : string = '' ; 
	scanTypeCd : string = '' ; 
	scanLocation : string = '' ; 
	scanTime : any ;
scanValue : string = '' ; 
	mode : string = '' ; 
	processGroup : number = 0 ;
	processSubgroup : number = 0 ;
	vinNo : string = '' ; 
	frameNo : string = '' ; 
	model : string = '' ; 
	grade : string = '' ; 
	lotNo : string = '' ; 
	noInLot : number = 0 ;
sequenceNo : string = '' ; 
location : string = '' ; 
	andonTransfer : string = '' ; 
	rescanBodyNo : string = '' ; 
	rescanLotNo : string = '' ; 
	rescanMode : string = '' ; 
	errorCd : string = '' ; 
	isRescan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FrmAdoFrameProgressServiceProxy,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this.l('Vin No'),headerTooltip: this.l('Vin No'),field: 'vinNo',flex: 1},
			{headerName: this.l('Frame No'),headerTooltip: this.l('Frame No'),field: 'frameNo',flex: 1},
			{headerName: this.l('Model'),headerTooltip: this.l('Model'),field: 'model',flex: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this.l('Location'),headerTooltip: this.l('Location'),field: 'location',flex: 1},
			{headerName: this.l('Andon Transfer'),headerTooltip: this.l('Andon Transfer'),field: 'andonTransfer',flex: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this.l('Error Cd'),headerTooltip: this.l('Error Cd'),field: 'errorCd',flex: 1},
			{headerName: this.l('Is Rescan'),headerTooltip: this.l('Is Rescan'),field: 'isRescan',flex: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this.scanningId = '',
this.bodyNo = '',
		this.color = '',
		this.scanTypeCd = '',
		this.scanLocation = '',
		this.scanTime = '',
this.scanValue = '',
		this.mode = '',
		this.processGroup = 0,
		this.processSubgroup = 0,
		this.vinNo = '',
		this.frameNo = '',
		this.model = '',
		this.grade = '',
		this.lotNo = '',
		this.noInLot = 0,
this.sequenceNo = '',
this.location = '',
		this.andonTransfer = '',
		this.rescanBodyNo = '',
		this.rescanLotNo = '',
		this.rescanMode = '',
		this.errorCd = '',
		this.isRescan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			'',
            this.paginationParams.skipCount,
            this.paginationParams.pageSize
        );
    }
    onChangeRowSelection(params: { api: { getSelectedRows: () =&gt; FrmAdoFrameProgressDto[] } }) {
        this.saveSelectedRow = params.api.getSelectedRows()[0] ?? new FrmAdoFrameProgressDto();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FrmAdoFrameProgressDto):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this._service.getFrameProgressToExcel(
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Frame Andon Frame Progress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[(ngModel)]='frameNo' name='frameNo'
									class='form-control' [placeholder]="l('Frame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[(ngModel)]='andonTransfer' name='andonTransfer'
									class='form-control' [placeholder]="l('Andon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(click)="createOrEditModalFrameProgress.show()"&gt;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(click)="createOrEditModalFrameProgress.show(selectedRow)"&gt;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&lt;create-or-edit-frameprogress-modal
    #createOrEditModalFrameProgress
    (modalSave)="callBackDataGrid(dataParams)"
    (modalClose)="onChangeRowSelection(dataParams)"
&gt;
&lt;/create-or-edit-frameprogress-modal&gt;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#createOrEditModalFrameProgress="bs-modal"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FrameProgress')}}&lt;/h3&gt;
                    &lt;h3 *ngIf="!rowdata.id"&gt;{{('Create New FrameProgress')}}&lt;/h3&gt;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No&lt;/label&gt;
						&lt;input type='text' class='col-md-10 form-control input-text' name='FrameNo' [(ngModel)]='rowdata.frameNo'&gt;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title'&gt;Andon Transfer&lt;/label&gt;
						&lt;input class='col-md-10 form-control checkboxActive' type='checkbox' name='andonTransfer'
						[checked]='_andonTransfer' (change)='changeActive($event)'&gt;
					&lt;/div&gt;
					&lt;div class='col-md-12 form-group row'&gt;
						&lt;label class='col-md-2 form-control title'&gt;Rescan Body No&lt;/label&gt;
						&lt;input type='text' class='col-md-10 form-control input-text' name='RescanBodyNo' [(ngModel)]='rowdata.rescanBodyNo'&gt;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CreateOrEditFrmAdoFrameProgressDto, FrmAdoFrameProgressServiceProxy } from '@shared/service-proxies/service-proxies';
import { BsDatepickerDirective } from 'ngx-bootstrap/datepicker';
@Component({
    selector: 'create-or-edit-frameprogress-modal',
    templateUrl: './create-or-edit-frameprogress-modal.component.html',
    styleUrls: ['./create-or-edit-frameprogress-modal.component.less']
    })
export class CreateOrEditFrameProgressModalComponent extends AppComponentBase {
    @ViewChild('createOrEditModalFrameProgress',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CreateOrEditFrmAdoFrameProgressDto = new CreateOrEditFrmAdoFrameProgressDto();
    active: boolean = false;
    saving: boolean = false;
    _andonTransfer
isRescan
isActive: boolean;
    constructor(
        injector: Injector,
        private _mstwptFrameProgressService: FrmAdoFrameProgressServiceProxy,
    ) 
    {
        super(injector);
    }
    show(rowdata?: CreateOrEditFrmAdoFrameProgressDto): void {
        if (!rowdata) this.rowdata = new CreateOrEditFrmAdoFrameProgressDto();
        else this.rowdata = rowdata;
		const dateValue =  this.rowdata.scanTime ? new Date(this.rowdata.scanTime?.toString()) : new Date();
		this.datepicker?.bsValueChange.emit(dateValue);
        this._andonTransfer
isRescan
isActive = (this.rowdata.andonTransfer
isRescan
isActive == "N")? false: true;
        this.active = true;
        this.modal.show();
    } 
    changeActive(event){
        this._andonTransfer
isRescan
isActive = event.target.checked;
    }
    save(): void {
    this.saving = true; 
    this.rowdata.andonTransfer
isRescan
isActive = (this._andonTransfer
isRescan
isActive == true) ? 'Y' : 'N'
    this._mstwptFrameProgressService.createOrEdit(this.rowdata)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FrameProgressRoutingModule } from './frameprogress-routing.module';
import { FrameProgressComponent } from './frameprogress.component';
import { CreateOrEditFrameProgressModalComponent } from './create-or-edit-frameprogress-modal.component';
@NgModule({
    declarations: [
       FrameProgressComponent, 
        CreateOrEditFrameProgressModalComponent
    ],
    imports: [
        AppSharedModule, FrameProgressRoutingModule]
})
export class FrameProgressModule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FrameProgressComponent } from './frameprogress.component';
const routes: Routes = [{
    path: '',
    component: FrameProgressComponent,
    pathMatch: 'full'
}];
@NgModule({
    imports: [RouterModule.forChild(routes)],
    exports: [RouterModule],
})
export class FrameProgressRoutingModule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AppMenuItem("FrameProgress", "Pages.Frame.Andon.FrameProgress", "flaticon-book",   "/app/main/frame/andon/frameprogress"),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'frame/andon/frameprogress',
    loadChildren: () =&gt; import('./frame/andon/frameprogress/frameprogress.module').then(m =&gt; m.FrameProgressModule),
    data: { permission: 'Pages.Frame.Andon.FrameProgress' }
},</v>
      </c>
      <c r="R10" s="50" t="str">
        <f>SUBSTITUTE(R9,"MstWptCalendar",$B$6)</f>
        <v>ApiServiceProxies.FrmAdoFrameProgressServiceProxy,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264</v>
      </c>
      <c r="J11" s="31"/>
      <c r="K11" s="31" t="s">
        <v>261</v>
      </c>
      <c r="L11" s="31" t="s">
        <v>265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266</v>
      </c>
      <c r="V11" s="71" t="s">
        <v>268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H39</v>
      </c>
      <c r="I12" s="31" t="str">
        <f>"I"&amp;COUNTA($A:$A)</f>
        <v>I39</v>
      </c>
      <c r="J12" s="31"/>
      <c r="K12" s="31" t="str">
        <f>"K"&amp;COUNTA($A:$A)</f>
        <v>K39</v>
      </c>
      <c r="L12" s="31" t="str">
        <f>"L"&amp;COUNTA($A:$A)</f>
        <v>L39</v>
      </c>
      <c r="M12" s="31"/>
      <c r="N12" s="31"/>
      <c r="O12" s="31"/>
      <c r="P12" s="31"/>
      <c r="Q12" s="31"/>
      <c r="R12" s="31"/>
      <c r="S12" s="31" t="str">
        <f>"S"&amp;COUNTA($A:$A)</f>
        <v>S39</v>
      </c>
      <c r="T12" s="31" t="str">
        <f>"T"&amp;COUNTA($A:$A)</f>
        <v>T39</v>
      </c>
      <c r="U12" s="31" t="str">
        <f>"U"&amp;COUNTA($A:$A)</f>
        <v>U39</v>
      </c>
      <c r="V12" s="31" t="str">
        <f>"V"&amp;COUNTA($A:$A)</f>
        <v>V39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this.l('Scanning Id'),headerTooltip: this.l('Scanning Id'),field: 'scanningId',flex: 1},
			{headerName: this.l('Body No'),headerTooltip: this.l('Body No'),field: 'bodyNo',flex: 1},
			{headerName: this.l('Color'),headerTooltip: this.l('Color'),field: 'color',flex: 1},
			{headerName: this.l('Scan Type Cd'),headerTooltip: this.l('Scan Type Cd'),field: 'scanTypeCd',flex: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Value'),headerTooltip: this.l('Scan Value'),field: 'scanValue',flex: 1},
			{headerName: this.l('Mode'),headerTooltip: this.l('Mode'),field: 'mode',flex: 1},
			{headerName: this.l('Process Group'),headerTooltip: this.l('Process Group'),field: 'processGroup',flex: 1},
			{headerName: this.l('Process Subgroup'),headerTooltip: this.l('Process Subgroup'),field: 'processSubgroup',flex: 1},
			{headerName: this.l('Vin No'),headerTooltip: this.l('Vin No'),field: 'vinNo',flex: 1},
			{headerName: this.l('Frame No'),headerTooltip: this.l('Frame No'),field: 'frameNo',flex: 1},
			{headerName: this.l('Model'),headerTooltip: this.l('Model'),field: 'model',flex: 1},
			{headerName: this.l('Grade'),headerTooltip: this.l('Grade'),field: 'grade',flex: 1},
			{headerName: this.l('Lot No'),headerTooltip: this.l('Lot No'),field: 'lotNo',flex: 1},
			{headerName: this.l('No In Lot'),headerTooltip: this.l('No In Lot'),field: 'noInLot',flex: 1},
			{headerName: this.l('Sequence No'),headerTooltip: this.l('Sequence No'),field: 'sequenceNo',flex: 1},
			{headerName: this.l('Location'),headerTooltip: this.l('Location'),field: 'location',flex: 1},
			{headerName: this.l('Andon Transfer'),headerTooltip: this.l('Andon Transfer'),field: 'andonTransfer',flex: 1},
			{headerName: this.l('Rescan Body No'),headerTooltip: this.l('Rescan Body No'),field: 'rescanBodyNo',flex: 1},
			{headerName: this.l('Rescan Lot No'),headerTooltip: this.l('Rescan Lot No'),field: 'rescanLotNo',flex: 1},
			{headerName: this.l('Rescan Mode'),headerTooltip: this.l('Rescan Mode'),field: 'rescanMode',flex: 1},
			{headerName: this.l('Error Cd'),headerTooltip: this.l('Error Cd'),field: 'errorCd',flex: 1},
			{headerName: this.l('Is Rescan'),headerTooltip: this.l('Is Rescan'),field: 'isRescan',flex: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[(ngModel)]='scanTypeCd' name='scanTypeCd'
									class='form-control' [placeholder]="l('Scan Type Cd')"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[(ngModel)]='mode' name='mode'
									class='form-control' [placeholder]="l('Mode')"
									type='text' (keyup.enter)='searchDatas()'&gt;
								&lt;/div&gt;
								&lt;div class='input-search'&gt;
									&lt;input [(ngModel)]='vinNo' name='vinNo'
									class='form-control' [placeholder]="l('Vin No')"
									type='text' (keyup.enter)='searchDatas()'&gt;
								&lt;/div&gt;
								&lt;div class='input-search'&gt;
									&lt;input [(ngModel)]='frameNo' name='frameNo'
									class='form-control' [placeholder]="l('Frame No')"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[(ngModel)]='sequenceNo' name='sequenceNo'
									class='form-control' [placeholder]="l('Sequence No')"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[(ngModel)]='andonTransfer' name='andonTransfer'
									class='form-control' [placeholder]="l('Andon Transfer')"
									type='text' (keyup.enter)='searchDatas()'&gt;
								&lt;/div&gt;
								&lt;div class='input-search'&gt;
									&lt;input [(ngModel)]='rescanBodyNo' name='rescanBodyNo'
									class='form-control' [placeholder]="l('Rescan Body No')"
									type='text' (keyup.enter)='searchDatas()'&gt;
								&lt;/div&gt;
								&lt;div class='input-search'&gt;
									&lt;input [(ngModel)]='rescanLotNo' name='rescanLotNo'
									class='form-control' [placeholder]="l('Rescan Lot No')"
									type='text' (keyup.enter)='searchDatas()'&gt;
								&lt;/div&gt;
								&lt;div class='input-search'&gt;
									&lt;input [(ngModel)]='rescanMode' name='rescanMode'
									class='form-control' [placeholder]="l('Rescan Mode')"
									type='text' (keyup.enter)='searchDatas()'&gt;
								&lt;/div&gt;
								&lt;div class='input-search'&gt;
									&lt;input [(ngModel)]='errorCd' name='errorCd'
									class='form-control' [placeholder]="l('Error Cd')"
									type='text' (keyup.enter)='searchDatas()'&gt;
								&lt;/div&gt;
								&lt;div class='input-search'&gt;
									&lt;input [(ngModel)]='isRescan' name='isRescan'
									class='form-control' [placeholder]="l('Is Rescan')"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title'&gt;Scan Type Cd&lt;/label&gt;
						&lt;input type='text' class='col-md-10 form-control input-text' name='ScanTypeCd' [(ngModel)]='rowdata.scanTypeCd'&gt;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title'&gt;Mode&lt;/label&gt;
						&lt;input type='text' class='col-md-10 form-control input-text' name='Mode' [(ngModel)]='rowdata.mode'&gt;
					&lt;/div&gt;
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
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
					&lt;div class='col-md-12 form-group row'&gt;
						&lt;label class='col-md-2 form-control title'&gt;Vin No&lt;/label&gt;
						&lt;input type='text' class='col-md-10 form-control input-text' name='VinNo' [(ngModel)]='rowdata.vinNo'&gt;
					&lt;/div&gt;
					&lt;div class='col-md-12 form-group row'&gt;
						&lt;label class='col-md-2 form-control title'&gt;Frame No&lt;/label&gt;
						&lt;input type='text' class='col-md-10 form-control input-text' name='FrameNo' [(ngModel)]='rowdata.frameNo'&gt;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type='number' class='col-md-10 form-control input-text' name='NoInLot' [(ngModel)]='rowdata.noInLot'&gt;
					&lt;/div&gt;
					&lt;div class='col-md-12 form-group row'&gt;
						&lt;label class='col-md-2 form-control title'&gt;Sequence No&lt;/label&gt;
						&lt;input type='text' class='col-md-10 form-control input-text' name='SequenceNo' [(ngModel)]='rowdata.sequenceNo'&gt;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title'&gt;Andon Transfer&lt;/label&gt;
						&lt;input class='col-md-10 form-control checkboxActive' type='checkbox' name='andonTransfer'
						[checked]='_andonTransfer' (change)='changeActive($event)'&gt;
					&lt;/div&gt;
					&lt;div class='col-md-12 form-group row'&gt;
						&lt;label class='col-md-2 form-control title'&gt;Rescan Body No&lt;/label&gt;
						&lt;input type='text' class='col-md-10 form-control input-text' name='RescanBodyNo' [(ngModel)]='rowdata.rescanBodyNo'&gt;
					&lt;/div&gt;
					&lt;div class='col-md-12 form-group row'&gt;
						&lt;label class='col-md-2 form-control title'&gt;Rescan Lot No&lt;/label&gt;
						&lt;input type='text' class='col-md-10 form-control input-text' name='RescanLotNo' [(ngModel)]='rowdata.rescanLotNo'&gt;
					&lt;/div&gt;
					&lt;div class='col-md-12 form-group row'&gt;
						&lt;label class='col-md-2 form-control title'&gt;Rescan Mode&lt;/label&gt;
						&lt;input type='text' class='col-md-10 form-control input-text' name='RescanMode' [(ngModel)]='rowdata.rescanMode'&gt;
					&lt;/div&gt;
					&lt;div class='col-md-12 form-group row'&gt;
						&lt;label class='col-md-2 form-control title'&gt;Error Cd&lt;/label&gt;
						&lt;input type='text' class='col-md-10 form-control input-text' name='ErrorCd' [(ngModel)]='rowdata.errorCd'&gt;
					&lt;/div&gt;
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scanningId
bodyNo : string = '' ; 
	color : string = '' ; 
	scanTypeCd : string = '' ; 
	scanLocation : string = '' ; 
	scanTime : any ;
scanValue : string = '' ; 
	mode : string = '' ; 
	processGroup : number = 0 ;
	processSubgroup : number = 0 ;
	vinNo : string = '' ; 
	frameNo : string = '' ; 
	model : string = '' ; 
	grade : string = '' ; 
	lotNo : string = '' ; 
	noInLot : number = 0 ;
sequenceNo : string = '' ; 
location : string = '' ; 
	andonTransfer : string = '' ; 
	rescanBodyNo : string = '' ; 
	rescanLotNo : string = '' ; 
	rescanMode : string = '' ; 
	errorCd : string = '' ; 
	isRescan : string = '' ; 
	isActive : string = '' ; </v>
      </c>
      <c r="T13" s="68" t="str">
        <f ca="1">TEXTJOIN2("
",TRUE,INDIRECT(T11):INDIRECT(T12))</f>
        <v xml:space="preserve">			this.scanningId,
			this.bodyNo,
			this.color,
			this.scanTypeCd,
			this.scanLocation,
			this.scanTime,
			this.scanValue,
			this.mode,
			this.processGroup,
			this.processSubgroup,
			this.vinNo,
			this.frameNo,
			this.model,
			this.grade,
			this.lotNo,
			this.noInLot,
			this.sequenceNo,
			this.location,
			this.andonTransfer,
			this.rescanBodyNo,
			this.rescanLotNo,
			this.rescanMode,
			this.errorCd,
			this.isRescan,
			this.isActive,</v>
      </c>
      <c r="U13" s="68" t="str">
        <f ca="1">TEXTJOIN2("
",TRUE,INDIRECT(U11):INDIRECT(U12))</f>
        <v>this.scanningId = '',
this.bodyNo = '',
		this.color = '',
		this.scanTypeCd = '',
		this.scanLocation = '',
		this.scanTime = '',
this.scanValue = '',
		this.mode = '',
		this.processGroup = 0,
		this.processSubgroup = 0,
		this.vinNo = '',
		this.frameNo = '',
		this.model = '',
		this.grade = '',
		this.lotNo = '',
		this.noInLot = 0,
this.sequenceNo = '',
this.location = '',
		this.andonTransfer = '',
		this.rescanBodyNo = '',
		this.rescanLotNo = '',
		this.rescanMode = '',
		this.errorCd = '',
		this.isRescan = '',
		this.isActive = '',</v>
      </c>
      <c r="V13" s="31" t="str">
        <f ca="1">TEXTJOIN2("
",TRUE,INDIRECT(V11):INDIRECT(V12))</f>
        <v>andonTransfer
isRescan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frameprogress.component.ts</v>
      </c>
      <c r="I14" s="40" t="str">
        <f>B8&amp;".component.html"</f>
        <v>frameprogress.component.html</v>
      </c>
      <c r="J14" s="39" t="str">
        <f>B8&amp;".component.less"</f>
        <v>frameprogress.component.less</v>
      </c>
      <c r="K14" s="40" t="str">
        <f>"create-or-edit-"&amp;B8&amp;"-modal.component.html"</f>
        <v>create-or-edit-frameprogress-modal.component.html</v>
      </c>
      <c r="L14" s="40" t="str">
        <f>"create-or-edit-"&amp;B8&amp;"-modal.component.ts"</f>
        <v>create-or-edit-frameprogress-modal.component.ts</v>
      </c>
      <c r="M14" s="40" t="str">
        <f>"create-or-edit-"&amp;B8&amp;"-modal.component.less"</f>
        <v>create-or-edit-frameprogress-modal.component.less</v>
      </c>
      <c r="N14" s="40" t="str">
        <f>B8&amp;".module.ts"</f>
        <v>frameprogress.module.ts</v>
      </c>
      <c r="O14" s="40" t="str">
        <f>B8&amp;"-routing.module.ts"</f>
        <v>frameprogress-routing.module.ts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267</v>
      </c>
    </row>
    <row r="15" spans="1:22" ht="18" customHeight="1" x14ac:dyDescent="0.25">
      <c r="A15" s="44" t="s">
        <v>277</v>
      </c>
      <c r="B15" s="31" t="str">
        <f>SUBSTITUTE(PROPER(A15),"_","")</f>
        <v>ScanningId</v>
      </c>
      <c r="C15" s="31" t="str">
        <f>SUBSTITUTE(PROPER(A15),"_"," ")</f>
        <v>Scanning Id</v>
      </c>
      <c r="D15" s="31" t="str">
        <f>LOWER(LEFT(B15,1))&amp;RIGHT(B15,LEN(B15) - 1)</f>
        <v>scanningId</v>
      </c>
      <c r="E15" s="74" t="str">
        <f>A.Backend!H9</f>
        <v>long</v>
      </c>
      <c r="F15" s="74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this.l('Scanning Id'),headerTooltip: this.l('Scanning Id'),field: 'scanningId',flex: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scanningId</v>
      </c>
      <c r="T15" s="31" t="str">
        <f>REPT(CHAR(9),3)&amp;"this."&amp;D15&amp;","</f>
        <v xml:space="preserve">			this.scanningId,</v>
      </c>
      <c r="U15" s="31" t="str">
        <f>IF(E15="int","this."&amp;D15&amp;" = 0,","this."&amp;D15&amp;" = '',")</f>
        <v>this.scanningId = '',</v>
      </c>
      <c r="V15" s="31" t="str">
        <f>IF(AND(E15="string",F15="1"),D15,"")</f>
        <v/>
      </c>
    </row>
    <row r="16" spans="1:22" ht="18" customHeight="1" x14ac:dyDescent="0.25">
      <c r="A16" s="44" t="s">
        <v>275</v>
      </c>
      <c r="B16" s="31" t="str">
        <f>SUBSTITUTE(PROPER(A16),"_","")</f>
        <v>BodyNo</v>
      </c>
      <c r="C16" s="31" t="str">
        <f>SUBSTITUTE(PROPER(A16),"_"," ")</f>
        <v>Body No</v>
      </c>
      <c r="D16" s="31" t="str">
        <f>LOWER(LEFT(B16,1))&amp;RIGHT(B16,LEN(B16) - 1)</f>
        <v>bodyNo</v>
      </c>
      <c r="E16" s="74" t="str">
        <f>A.Backend!H10</f>
        <v>string</v>
      </c>
      <c r="F16" s="74" t="str">
        <f>A.Backend!G10</f>
        <v>50</v>
      </c>
      <c r="G16" s="31" t="str">
        <f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this.l('Body No'),headerTooltip: this.l('Body No'),field: 'bodyNo',flex: 1},</v>
      </c>
      <c r="I16" s="38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6" s="31"/>
      <c r="K16" s="38" t="str">
        <f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6" s="60" t="str">
        <f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D16&amp;G16</f>
        <v xml:space="preserve">bodyNo : string = '' ; </v>
      </c>
      <c r="T16" s="31" t="str">
        <f>REPT(CHAR(9),3)&amp;"this."&amp;D16&amp;","</f>
        <v xml:space="preserve">			this.bodyNo,</v>
      </c>
      <c r="U16" s="31" t="str">
        <f>IF(E16="int","this."&amp;D16&amp;" = 0,","this."&amp;D16&amp;" = '',")</f>
        <v>this.bodyNo = '',</v>
      </c>
      <c r="V16" s="31" t="str">
        <f>IF(AND(E16="string",F16="1"),D16,"")</f>
        <v/>
      </c>
    </row>
    <row r="17" spans="1:22" ht="18" customHeight="1" x14ac:dyDescent="0.25">
      <c r="A17" s="44" t="s">
        <v>276</v>
      </c>
      <c r="B17" s="31" t="str">
        <f t="shared" ref="B17" si="0">SUBSTITUTE(PROPER(A17),"_","")</f>
        <v>Color</v>
      </c>
      <c r="C17" s="31" t="str">
        <f t="shared" ref="C17" si="1">SUBSTITUTE(PROPER(A17),"_"," ")</f>
        <v>Color</v>
      </c>
      <c r="D17" s="31" t="str">
        <f t="shared" ref="D17" si="2">LOWER(LEFT(B17,1))&amp;RIGHT(B17,LEN(B17) - 1)</f>
        <v>color</v>
      </c>
      <c r="E17" s="74" t="str">
        <f>A.Backend!H11</f>
        <v>string</v>
      </c>
      <c r="F17" s="74" t="str">
        <f>A.Backend!G11</f>
        <v>50</v>
      </c>
      <c r="G17" s="31" t="str">
        <f t="shared" ref="G17:G20" si="3">IF(E17="string"," : string = '' ; ",IF(OR(E17="DateTime",E17="TimeSpan")," : any ;",IF(E17="int"," : number = 0 ;","")))</f>
        <v xml:space="preserve"> : string = '' ; </v>
      </c>
      <c r="H17" s="38" t="str">
        <f t="shared" ref="H17:H19" si="4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this.l('Color'),headerTooltip: this.l('Color'),field: 'color',flex: 1},</v>
      </c>
      <c r="I17" s="38" t="str">
        <f t="shared" ref="I17:I20" si="5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7" s="31"/>
      <c r="K17" s="38" t="str">
        <f t="shared" ref="K17:K20" si="6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7" s="60" t="str">
        <f t="shared" ref="L17:L20" si="7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:S19" si="8">REPT(CHAR(9),1)&amp;D17&amp;G17</f>
        <v xml:space="preserve">	color : string = '' ; </v>
      </c>
      <c r="T17" s="31" t="str">
        <f t="shared" ref="T17:T19" si="9">REPT(CHAR(9),3)&amp;"this."&amp;D17&amp;","</f>
        <v xml:space="preserve">			this.color,</v>
      </c>
      <c r="U17" s="31" t="str">
        <f t="shared" ref="U17:U19" si="10">IF(E17="int",REPT(CHAR(9),2)&amp;"this."&amp;D17&amp;" = 0,",REPT(CHAR(9),2)&amp;"this."&amp;D17&amp;" = '',")</f>
        <v xml:space="preserve">		this.color = '',</v>
      </c>
      <c r="V17" s="31" t="str">
        <f t="shared" ref="V17:V20" si="11">IF(AND(E17="string",F17="1"),D17,"")</f>
        <v/>
      </c>
    </row>
    <row r="18" spans="1:22" ht="18" customHeight="1" x14ac:dyDescent="0.25">
      <c r="A18" s="44" t="s">
        <v>279</v>
      </c>
      <c r="B18" s="31" t="str">
        <f>SUBSTITUTE(PROPER(A18),"_","")</f>
        <v>ScanTypeCd</v>
      </c>
      <c r="C18" s="31" t="str">
        <f>SUBSTITUTE(PROPER(A18),"_"," ")</f>
        <v>Scan Type Cd</v>
      </c>
      <c r="D18" s="31" t="str">
        <f>LOWER(LEFT(B18,1))&amp;RIGHT(B18,LEN(B18) - 1)</f>
        <v>scanTypeCd</v>
      </c>
      <c r="E18" s="74" t="str">
        <f>A.Backend!H12</f>
        <v>string</v>
      </c>
      <c r="F18" s="74" t="str">
        <f>A.Backend!G12</f>
        <v>255</v>
      </c>
      <c r="G18" s="31" t="str">
        <f t="shared" si="3"/>
        <v xml:space="preserve"> : string = '' ; </v>
      </c>
      <c r="H18" s="38" t="str">
        <f t="shared" si="4"/>
        <v xml:space="preserve">			{headerName: this.l('Scan Type Cd'),headerTooltip: this.l('Scan Type Cd'),field: 'scanTypeCd',flex: 1},</v>
      </c>
      <c r="I18" s="38" t="str">
        <f t="shared" si="5"/>
        <v xml:space="preserve">								&lt;div class='input-search'&gt;
									&lt;input [(ngModel)]='scanTypeCd' name='scanTypeCd'
									class='form-control' [placeholder]="l('Scan Type Cd')"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title'&gt;Scan Type Cd&lt;/label&gt;
						&lt;input type='text' class='col-md-10 form-control input-text' name='ScanTypeCd' [(ngModel)]='rowdata.scanTypeCd'&gt;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8"/>
        <v xml:space="preserve">	scanTypeCd : string = '' ; </v>
      </c>
      <c r="T18" s="31" t="str">
        <f t="shared" si="9"/>
        <v xml:space="preserve">			this.scanTypeCd,</v>
      </c>
      <c r="U18" s="31" t="str">
        <f t="shared" si="10"/>
        <v xml:space="preserve">		this.scanTypeCd = '',</v>
      </c>
      <c r="V18" s="31" t="str">
        <f t="shared" si="11"/>
        <v/>
      </c>
    </row>
    <row r="19" spans="1:22" ht="15" customHeight="1" x14ac:dyDescent="0.25">
      <c r="A19" s="44" t="s">
        <v>281</v>
      </c>
      <c r="B19" s="31" t="str">
        <f t="shared" ref="B19:B20" si="12">SUBSTITUTE(PROPER(A19),"_","")</f>
        <v>ScanLocation</v>
      </c>
      <c r="C19" s="31" t="str">
        <f t="shared" ref="C19:C20" si="13">SUBSTITUTE(PROPER(A19),"_"," ")</f>
        <v>Scan Location</v>
      </c>
      <c r="D19" s="31" t="str">
        <f t="shared" ref="D19:D20" si="14">LOWER(LEFT(B19,1))&amp;RIGHT(B19,LEN(B19) - 1)</f>
        <v>scanLocation</v>
      </c>
      <c r="E19" s="74" t="str">
        <f>A.Backend!H13</f>
        <v>string</v>
      </c>
      <c r="F19" s="74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this.l('Scan Location'),headerTooltip: this.l('Scan Location'),field: 'scanLocation',flex: 1},</v>
      </c>
      <c r="I19" s="38" t="str">
        <f t="shared" si="5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8"/>
        <v xml:space="preserve">	scanLocation : string = '' ; </v>
      </c>
      <c r="T19" s="31" t="str">
        <f t="shared" si="9"/>
        <v xml:space="preserve">			this.scanLocation,</v>
      </c>
      <c r="U19" s="31" t="str">
        <f t="shared" si="10"/>
        <v xml:space="preserve">		this.scanLocation = '',</v>
      </c>
      <c r="V19" s="31" t="str">
        <f t="shared" si="11"/>
        <v/>
      </c>
    </row>
    <row r="20" spans="1:22" ht="15" customHeight="1" x14ac:dyDescent="0.25">
      <c r="A20" s="44" t="s">
        <v>282</v>
      </c>
      <c r="B20" s="31" t="str">
        <f t="shared" si="12"/>
        <v>ScanTime</v>
      </c>
      <c r="C20" s="31" t="str">
        <f t="shared" si="13"/>
        <v>Scan Time</v>
      </c>
      <c r="D20" s="31" t="str">
        <f t="shared" si="14"/>
        <v>scanTime</v>
      </c>
      <c r="E20" s="74" t="str">
        <f>A.Backend!H14</f>
        <v>DateTime</v>
      </c>
      <c r="F20" s="74" t="str">
        <f>A.Backend!G14</f>
        <v>7</v>
      </c>
      <c r="G20" s="31" t="str">
        <f t="shared" si="3"/>
        <v xml:space="preserve"> : any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this.l('Scan Time'),headerTooltip: this.l('Scan Time'),field: 'scanTime',valueGetter: (params) =&gt; this.pipe.transform(params.data?.scanTime, 'dd/MM/yyyy'),flex: 1},</v>
      </c>
      <c r="I20" s="38" t="str">
        <f t="shared" si="5"/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 t="shared" si="6"/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20" s="60" t="str">
        <f t="shared" si="7"/>
        <v xml:space="preserve">		const dateValue =  this.rowdata.scanTime ? new Date(this.rowdata.scanTime?.toString())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scanTime : any ;</v>
      </c>
      <c r="T20" s="31" t="str">
        <f>REPT(CHAR(9),3)&amp;"this."&amp;D20&amp;","</f>
        <v xml:space="preserve">			this.scanTime,</v>
      </c>
      <c r="U20" s="31" t="str">
        <f>IF(E20="int",REPT(CHAR(9),2)&amp;"this."&amp;D20&amp;" = 0,",REPT(CHAR(9),2)&amp;"this."&amp;D20&amp;" = '',")</f>
        <v xml:space="preserve">		this.scanTime = '',</v>
      </c>
      <c r="V20" s="31" t="str">
        <f t="shared" si="11"/>
        <v/>
      </c>
    </row>
    <row r="21" spans="1:22" ht="18" customHeight="1" x14ac:dyDescent="0.25">
      <c r="A21" s="44" t="s">
        <v>283</v>
      </c>
      <c r="B21" s="31" t="str">
        <f>SUBSTITUTE(PROPER(A21),"_","")</f>
        <v>ScanValue</v>
      </c>
      <c r="C21" s="31" t="str">
        <f>SUBSTITUTE(PROPER(A21),"_"," ")</f>
        <v>Scan Value</v>
      </c>
      <c r="D21" s="31" t="str">
        <f>LOWER(LEFT(B21,1))&amp;RIGHT(B21,LEN(B21) - 1)</f>
        <v>scanValue</v>
      </c>
      <c r="E21" s="74" t="str">
        <f>A.Backend!H15</f>
        <v>string</v>
      </c>
      <c r="F21" s="74" t="str">
        <f>A.Backend!G15</f>
        <v>255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REPT(CHAR(9),3)&amp;"{headerName: this.l('"&amp;C21&amp;"'),headerTooltip: this.l('"&amp;C21&amp;"'),field: '"&amp;D21&amp;"',flex: 1},")</f>
        <v xml:space="preserve">			{headerName: this.l('Scan Value'),headerTooltip: this.l('Scan Value'),field: 'scanValue',flex: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scanValue : string = '' ; </v>
      </c>
      <c r="T21" s="31" t="str">
        <f>REPT(CHAR(9),3)&amp;"this."&amp;D21&amp;","</f>
        <v xml:space="preserve">			this.scanValue,</v>
      </c>
      <c r="U21" s="31" t="str">
        <f>IF(E21="int","this."&amp;D21&amp;" = 0,","this."&amp;D21&amp;" = '',")</f>
        <v>this.scanValue = '',</v>
      </c>
      <c r="V21" s="31" t="str">
        <f>IF(AND(E21="string",F21="1"),D21,"")</f>
        <v/>
      </c>
    </row>
    <row r="22" spans="1:22" ht="18" customHeight="1" x14ac:dyDescent="0.25">
      <c r="A22" s="44" t="s">
        <v>284</v>
      </c>
      <c r="B22" s="31" t="str">
        <f t="shared" ref="B22" si="15">SUBSTITUTE(PROPER(A22),"_","")</f>
        <v>Mode</v>
      </c>
      <c r="C22" s="31" t="str">
        <f t="shared" ref="C22" si="16">SUBSTITUTE(PROPER(A22),"_"," ")</f>
        <v>Mode</v>
      </c>
      <c r="D22" s="31" t="str">
        <f t="shared" ref="D22" si="17">LOWER(LEFT(B22,1))&amp;RIGHT(B22,LEN(B22) - 1)</f>
        <v>mode</v>
      </c>
      <c r="E22" s="74" t="str">
        <f>A.Backend!H16</f>
        <v>string</v>
      </c>
      <c r="F22" s="74" t="str">
        <f>A.Backend!G16</f>
        <v>50</v>
      </c>
      <c r="G22" s="31" t="str">
        <f t="shared" ref="G22:G30" si="18">IF(E22="string"," : string = '' ; ",IF(OR(E22="DateTime",E22="TimeSpan")," : any ;",IF(E22="int"," : number = 0 ;","")))</f>
        <v xml:space="preserve"> : string = '' ; </v>
      </c>
      <c r="H22" s="38" t="str">
        <f t="shared" ref="H22:H24" si="19">IF(E22="DateTime",
REPT(CHAR(9),3)&amp;"{headerName: this.l('"&amp;C22&amp;"'),headerTooltip: this.l('"&amp;C22&amp;"'),field: '"&amp;D22&amp;"',valueGetter: (params) =&gt; this.pipe.transform(params.data?."&amp;D22&amp;", 'dd/MM/yyyy'),flex: 1},",
REPT(CHAR(9),3)&amp;"{headerName: this.l('"&amp;C22&amp;"'),headerTooltip: this.l('"&amp;C22&amp;"'),field: '"&amp;D22&amp;"',flex: 1},")</f>
        <v xml:space="preserve">			{headerName: this.l('Mode'),headerTooltip: this.l('Mode'),field: 'mode',flex: 1},</v>
      </c>
      <c r="I22" s="38" t="str">
        <f t="shared" ref="I22:I30" si="20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[(ngModel)]='mode' name='mode'
									class='form-control' [placeholder]="l('Mode')"
									type='text' (keyup.enter)='searchDatas()'&gt;
								&lt;/div&gt;</v>
      </c>
      <c r="J22" s="31"/>
      <c r="K22" s="38" t="str">
        <f t="shared" ref="K22:K30" si="21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title'&gt;Mode&lt;/label&gt;
						&lt;input type='text' class='col-md-10 form-control input-text' name='Mode' [(ngModel)]='rowdata.mode'&gt;
					&lt;/div&gt;</v>
      </c>
      <c r="L22" s="60" t="str">
        <f t="shared" ref="L22:L30" si="22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3">REPT(CHAR(9),1)&amp;D22&amp;G22</f>
        <v xml:space="preserve">	mode : string = '' ; </v>
      </c>
      <c r="T22" s="31" t="str">
        <f t="shared" ref="T22:T24" si="24">REPT(CHAR(9),3)&amp;"this."&amp;D22&amp;","</f>
        <v xml:space="preserve">			this.mode,</v>
      </c>
      <c r="U22" s="31" t="str">
        <f t="shared" ref="U22:U24" si="25">IF(E22="int",REPT(CHAR(9),2)&amp;"this."&amp;D22&amp;" = 0,",REPT(CHAR(9),2)&amp;"this."&amp;D22&amp;" = '',")</f>
        <v xml:space="preserve">		this.mode = '',</v>
      </c>
      <c r="V22" s="31" t="str">
        <f t="shared" ref="V22:V30" si="26">IF(AND(E22="string",F22="1"),D22,"")</f>
        <v/>
      </c>
    </row>
    <row r="23" spans="1:22" ht="18" customHeight="1" x14ac:dyDescent="0.25">
      <c r="A23" s="44" t="s">
        <v>285</v>
      </c>
      <c r="B23" s="31" t="str">
        <f>SUBSTITUTE(PROPER(A23),"_","")</f>
        <v>ProcessGroup</v>
      </c>
      <c r="C23" s="31" t="str">
        <f>SUBSTITUTE(PROPER(A23),"_"," ")</f>
        <v>Process Group</v>
      </c>
      <c r="D23" s="31" t="str">
        <f>LOWER(LEFT(B23,1))&amp;RIGHT(B23,LEN(B23) - 1)</f>
        <v>processGroup</v>
      </c>
      <c r="E23" s="74" t="str">
        <f>A.Backend!H17</f>
        <v>int</v>
      </c>
      <c r="F23" s="74" t="str">
        <f>A.Backend!G17</f>
        <v/>
      </c>
      <c r="G23" s="31" t="str">
        <f t="shared" si="18"/>
        <v xml:space="preserve"> : number = 0 ;</v>
      </c>
      <c r="H23" s="38" t="str">
        <f t="shared" si="19"/>
        <v xml:space="preserve">			{headerName: this.l('Process Group'),headerTooltip: this.l('Process Group'),field: 'processGroup',flex: 1},</v>
      </c>
      <c r="I23" s="38" t="str">
        <f t="shared" si="20"/>
        <v/>
      </c>
      <c r="J23" s="31"/>
      <c r="K23" s="38" t="str">
        <f t="shared" si="21"/>
        <v xml:space="preserve">					&lt;div class='col-md-12 form-group row'&gt;
						&lt;label class='col-md-2 form-control title'&gt;Process Group&lt;/label&gt;
						&lt;input type='number' class='col-md-10 form-control input-text' name='ProcessGroup' [(ngModel)]='rowdata.processGroup'&gt;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3"/>
        <v xml:space="preserve">	processGroup : number = 0 ;</v>
      </c>
      <c r="T23" s="31" t="str">
        <f t="shared" si="24"/>
        <v xml:space="preserve">			this.processGroup,</v>
      </c>
      <c r="U23" s="31" t="str">
        <f t="shared" si="25"/>
        <v xml:space="preserve">		this.processGroup = 0,</v>
      </c>
      <c r="V23" s="31" t="str">
        <f t="shared" si="26"/>
        <v/>
      </c>
    </row>
    <row r="24" spans="1:22" ht="15" customHeight="1" x14ac:dyDescent="0.25">
      <c r="A24" s="44" t="s">
        <v>286</v>
      </c>
      <c r="B24" s="31" t="str">
        <f t="shared" ref="B24:B26" si="27">SUBSTITUTE(PROPER(A24),"_","")</f>
        <v>ProcessSubgroup</v>
      </c>
      <c r="C24" s="31" t="str">
        <f t="shared" ref="C24:C26" si="28">SUBSTITUTE(PROPER(A24),"_"," ")</f>
        <v>Process Subgroup</v>
      </c>
      <c r="D24" s="31" t="str">
        <f t="shared" ref="D24:D26" si="29">LOWER(LEFT(B24,1))&amp;RIGHT(B24,LEN(B24) - 1)</f>
        <v>processSubgroup</v>
      </c>
      <c r="E24" s="74" t="str">
        <f>A.Backend!H18</f>
        <v>int</v>
      </c>
      <c r="F24" s="74" t="str">
        <f>A.Backend!G18</f>
        <v/>
      </c>
      <c r="G24" s="31" t="str">
        <f t="shared" si="18"/>
        <v xml:space="preserve"> : number = 0 ;</v>
      </c>
      <c r="H24" s="38" t="str">
        <f t="shared" si="19"/>
        <v xml:space="preserve">			{headerName: this.l('Process Subgroup'),headerTooltip: this.l('Process Subgroup'),field: 'processSubgroup',flex: 1},</v>
      </c>
      <c r="I24" s="38" t="str">
        <f t="shared" si="20"/>
        <v/>
      </c>
      <c r="J24" s="31"/>
      <c r="K24" s="38" t="str">
        <f t="shared" si="21"/>
        <v xml:space="preserve">					&lt;div class='col-md-12 form-group row'&gt;
						&lt;label class='col-md-2 form-control title'&gt;Process Subgroup&lt;/label&gt;
						&lt;input type='number' class='col-md-10 form-control input-text' name='ProcessSubgroup' [(ngModel)]='rowdata.processSubgroup'&gt;
					&lt;/div&gt;</v>
      </c>
      <c r="L24" s="60" t="str">
        <f t="shared" si="22"/>
        <v/>
      </c>
      <c r="M24" s="31"/>
      <c r="N24" s="31"/>
      <c r="O24" s="31"/>
      <c r="P24" s="31"/>
      <c r="Q24" s="31"/>
      <c r="R24" s="31"/>
      <c r="S24" s="31" t="str">
        <f t="shared" si="23"/>
        <v xml:space="preserve">	processSubgroup : number = 0 ;</v>
      </c>
      <c r="T24" s="31" t="str">
        <f t="shared" si="24"/>
        <v xml:space="preserve">			this.processSubgroup,</v>
      </c>
      <c r="U24" s="31" t="str">
        <f t="shared" si="25"/>
        <v xml:space="preserve">		this.processSubgroup = 0,</v>
      </c>
      <c r="V24" s="31" t="str">
        <f t="shared" si="26"/>
        <v/>
      </c>
    </row>
    <row r="25" spans="1:22" ht="15" customHeight="1" x14ac:dyDescent="0.25">
      <c r="A25" s="44" t="s">
        <v>296</v>
      </c>
      <c r="B25" s="31" t="str">
        <f t="shared" si="27"/>
        <v>VinNo</v>
      </c>
      <c r="C25" s="31" t="str">
        <f t="shared" si="28"/>
        <v>Vin No</v>
      </c>
      <c r="D25" s="31" t="str">
        <f t="shared" si="29"/>
        <v>vinNo</v>
      </c>
      <c r="E25" s="74" t="str">
        <f>A.Backend!H19</f>
        <v>string</v>
      </c>
      <c r="F25" s="74" t="str">
        <f>A.Backend!G19</f>
        <v>50</v>
      </c>
      <c r="G25" s="31" t="str">
        <f t="shared" si="18"/>
        <v xml:space="preserve"> : string = '' ; </v>
      </c>
      <c r="H25" s="38" t="str">
        <f>IF(E25="DateTime",
REPT(CHAR(9),3)&amp;"{headerName: this.l('"&amp;C25&amp;"'),headerTooltip: this.l('"&amp;C25&amp;"'),field: '"&amp;D25&amp;"',valueGetter: (params) =&gt; this.pipe.transform(params.data?."&amp;D25&amp;", 'dd/MM/yyyy'),flex: 1},",
REPT(CHAR(9),3)&amp;"{headerName: this.l('"&amp;C25&amp;"'),headerTooltip: this.l('"&amp;C25&amp;"'),field: '"&amp;D25&amp;"',flex: 1},")</f>
        <v xml:space="preserve">			{headerName: this.l('Vin No'),headerTooltip: this.l('Vin No'),field: 'vinNo',flex: 1},</v>
      </c>
      <c r="I25" s="38" t="str">
        <f t="shared" si="20"/>
        <v xml:space="preserve">								&lt;div class='input-search'&gt;
									&lt;input [(ngModel)]='vinNo' name='vinNo'
									class='form-control' [placeholder]="l('Vin No')"
									type='text' (keyup.enter)='searchDatas()'&gt;
								&lt;/div&gt;</v>
      </c>
      <c r="J25" s="31"/>
      <c r="K25" s="38" t="str">
        <f t="shared" si="21"/>
        <v xml:space="preserve">					&lt;div class='col-md-12 form-group row'&gt;
						&lt;label class='col-md-2 form-control title'&gt;Vin No&lt;/label&gt;
						&lt;input type='text' class='col-md-10 form-control input-text' name='VinNo' [(ngModel)]='rowdata.vinNo'&gt;
					&lt;/div&gt;</v>
      </c>
      <c r="L25" s="60" t="str">
        <f t="shared" si="22"/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vinNo : string = '' ; </v>
      </c>
      <c r="T25" s="31" t="str">
        <f>REPT(CHAR(9),3)&amp;"this."&amp;D25&amp;","</f>
        <v xml:space="preserve">			this.vinNo,</v>
      </c>
      <c r="U25" s="31" t="str">
        <f>IF(E25="int",REPT(CHAR(9),2)&amp;"this."&amp;D25&amp;" = 0,",REPT(CHAR(9),2)&amp;"this."&amp;D25&amp;" = '',")</f>
        <v xml:space="preserve">		this.vinNo = '',</v>
      </c>
      <c r="V25" s="31" t="str">
        <f t="shared" si="26"/>
        <v/>
      </c>
    </row>
    <row r="26" spans="1:22" ht="18" customHeight="1" x14ac:dyDescent="0.25">
      <c r="A26" s="44" t="s">
        <v>297</v>
      </c>
      <c r="B26" s="31" t="str">
        <f t="shared" si="27"/>
        <v>FrameNo</v>
      </c>
      <c r="C26" s="31" t="str">
        <f t="shared" si="28"/>
        <v>Frame No</v>
      </c>
      <c r="D26" s="31" t="str">
        <f t="shared" si="29"/>
        <v>frameNo</v>
      </c>
      <c r="E26" s="74" t="str">
        <f>A.Backend!H20</f>
        <v>string</v>
      </c>
      <c r="F26" s="74" t="str">
        <f>A.Backend!G20</f>
        <v>50</v>
      </c>
      <c r="G26" s="31" t="str">
        <f t="shared" si="18"/>
        <v xml:space="preserve"> : string = '' ; </v>
      </c>
      <c r="H26" s="38" t="str">
        <f t="shared" ref="H26:H29" si="30">IF(E26="DateTime",
REPT(CHAR(9),3)&amp;"{headerName: this.l('"&amp;C26&amp;"'),headerTooltip: this.l('"&amp;C26&amp;"'),field: '"&amp;D26&amp;"',valueGetter: (params) =&gt; this.pipe.transform(params.data?."&amp;D26&amp;", 'dd/MM/yyyy'),flex: 1},",
REPT(CHAR(9),3)&amp;"{headerName: this.l('"&amp;C26&amp;"'),headerTooltip: this.l('"&amp;C26&amp;"'),field: '"&amp;D26&amp;"',flex: 1},")</f>
        <v xml:space="preserve">			{headerName: this.l('Frame No'),headerTooltip: this.l('Frame No'),field: 'frameNo',flex: 1},</v>
      </c>
      <c r="I26" s="38" t="str">
        <f t="shared" si="20"/>
        <v xml:space="preserve">								&lt;div class='input-search'&gt;
									&lt;input [(ngModel)]='frameNo' name='frameNo'
									class='form-control' [placeholder]="l('Frame No')"
									type='text' (keyup.enter)='searchDatas()'&gt;
								&lt;/div&gt;</v>
      </c>
      <c r="J26" s="31"/>
      <c r="K26" s="38" t="str">
        <f t="shared" si="21"/>
        <v xml:space="preserve">					&lt;div class='col-md-12 form-group row'&gt;
						&lt;label class='col-md-2 form-control title'&gt;Frame No&lt;/label&gt;
						&lt;input type='text' class='col-md-10 form-control input-text' name='FrameNo' [(ngModel)]='rowdata.frameNo'&gt;
					&lt;/div&gt;</v>
      </c>
      <c r="L26" s="60" t="str">
        <f t="shared" si="22"/>
        <v/>
      </c>
      <c r="M26" s="31"/>
      <c r="N26" s="31"/>
      <c r="O26" s="31"/>
      <c r="P26" s="31"/>
      <c r="Q26" s="31"/>
      <c r="R26" s="31"/>
      <c r="S26" s="31" t="str">
        <f t="shared" ref="S26:S30" si="31">REPT(CHAR(9),1)&amp;D26&amp;G26</f>
        <v xml:space="preserve">	frameNo : string = '' ; </v>
      </c>
      <c r="T26" s="31" t="str">
        <f t="shared" ref="T26:T30" si="32">REPT(CHAR(9),3)&amp;"this."&amp;D26&amp;","</f>
        <v xml:space="preserve">			this.frameNo,</v>
      </c>
      <c r="U26" s="31" t="str">
        <f t="shared" ref="U26:U30" si="33">IF(E26="int",REPT(CHAR(9),2)&amp;"this."&amp;D26&amp;" = 0,",REPT(CHAR(9),2)&amp;"this."&amp;D26&amp;" = '',")</f>
        <v xml:space="preserve">		this.frameNo = '',</v>
      </c>
      <c r="V26" s="31" t="str">
        <f t="shared" si="26"/>
        <v/>
      </c>
    </row>
    <row r="27" spans="1:22" ht="18" customHeight="1" x14ac:dyDescent="0.25">
      <c r="A27" s="44" t="s">
        <v>272</v>
      </c>
      <c r="B27" s="31" t="str">
        <f>SUBSTITUTE(PROPER(A27),"_","")</f>
        <v>Model</v>
      </c>
      <c r="C27" s="31" t="str">
        <f>SUBSTITUTE(PROPER(A27),"_"," ")</f>
        <v>Model</v>
      </c>
      <c r="D27" s="31" t="str">
        <f>LOWER(LEFT(B27,1))&amp;RIGHT(B27,LEN(B27) - 1)</f>
        <v>model</v>
      </c>
      <c r="E27" s="74" t="str">
        <f>A.Backend!H21</f>
        <v>string</v>
      </c>
      <c r="F27" s="74" t="str">
        <f>A.Backend!G21</f>
        <v>50</v>
      </c>
      <c r="G27" s="31" t="str">
        <f t="shared" si="18"/>
        <v xml:space="preserve"> : string = '' ; </v>
      </c>
      <c r="H27" s="38" t="str">
        <f t="shared" si="30"/>
        <v xml:space="preserve">			{headerName: this.l('Model'),headerTooltip: this.l('Model'),field: 'model',flex: 1},</v>
      </c>
      <c r="I27" s="38" t="str">
        <f t="shared" si="20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27" s="31"/>
      <c r="K27" s="38" t="str">
        <f t="shared" si="21"/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27" s="60" t="str">
        <f t="shared" si="22"/>
        <v/>
      </c>
      <c r="M27" s="31"/>
      <c r="N27" s="31"/>
      <c r="O27" s="31"/>
      <c r="P27" s="31"/>
      <c r="Q27" s="31"/>
      <c r="R27" s="31"/>
      <c r="S27" s="31" t="str">
        <f t="shared" si="31"/>
        <v xml:space="preserve">	model : string = '' ; </v>
      </c>
      <c r="T27" s="31" t="str">
        <f t="shared" si="32"/>
        <v xml:space="preserve">			this.model,</v>
      </c>
      <c r="U27" s="31" t="str">
        <f t="shared" si="33"/>
        <v xml:space="preserve">		this.model = '',</v>
      </c>
      <c r="V27" s="31" t="str">
        <f t="shared" si="26"/>
        <v/>
      </c>
    </row>
    <row r="28" spans="1:22" ht="18" customHeight="1" x14ac:dyDescent="0.25">
      <c r="A28" s="44" t="s">
        <v>298</v>
      </c>
      <c r="B28" s="31" t="str">
        <f>SUBSTITUTE(PROPER(A28),"_","")</f>
        <v>Grade</v>
      </c>
      <c r="C28" s="31" t="str">
        <f>SUBSTITUTE(PROPER(A28),"_"," ")</f>
        <v>Grade</v>
      </c>
      <c r="D28" s="31" t="str">
        <f>LOWER(LEFT(B28,1))&amp;RIGHT(B28,LEN(B28) - 1)</f>
        <v>grade</v>
      </c>
      <c r="E28" s="74" t="str">
        <f>A.Backend!H22</f>
        <v>string</v>
      </c>
      <c r="F28" s="74" t="str">
        <f>A.Backend!G22</f>
        <v>50</v>
      </c>
      <c r="G28" s="31" t="str">
        <f t="shared" si="18"/>
        <v xml:space="preserve"> : string = '' ; </v>
      </c>
      <c r="H28" s="38" t="str">
        <f t="shared" si="30"/>
        <v xml:space="preserve">			{headerName: this.l('Grade'),headerTooltip: this.l('Grade'),field: 'grade',flex: 1},</v>
      </c>
      <c r="I28" s="38" t="str">
        <f t="shared" si="20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8" s="31"/>
      <c r="K28" s="38" t="str">
        <f t="shared" si="21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8" s="60" t="str">
        <f t="shared" si="22"/>
        <v/>
      </c>
      <c r="M28" s="31"/>
      <c r="N28" s="31"/>
      <c r="O28" s="31"/>
      <c r="P28" s="31"/>
      <c r="Q28" s="31"/>
      <c r="R28" s="31"/>
      <c r="S28" s="31" t="str">
        <f t="shared" si="31"/>
        <v xml:space="preserve">	grade : string = '' ; </v>
      </c>
      <c r="T28" s="31" t="str">
        <f t="shared" si="32"/>
        <v xml:space="preserve">			this.grade,</v>
      </c>
      <c r="U28" s="31" t="str">
        <f t="shared" si="33"/>
        <v xml:space="preserve">		this.grade = '',</v>
      </c>
      <c r="V28" s="31" t="str">
        <f t="shared" si="26"/>
        <v/>
      </c>
    </row>
    <row r="29" spans="1:22" ht="15" customHeight="1" x14ac:dyDescent="0.25">
      <c r="A29" s="44" t="s">
        <v>273</v>
      </c>
      <c r="B29" s="31" t="str">
        <f t="shared" ref="B29:B30" si="34">SUBSTITUTE(PROPER(A29),"_","")</f>
        <v>LotNo</v>
      </c>
      <c r="C29" s="31" t="str">
        <f t="shared" ref="C29:C30" si="35">SUBSTITUTE(PROPER(A29),"_"," ")</f>
        <v>Lot No</v>
      </c>
      <c r="D29" s="31" t="str">
        <f t="shared" ref="D29:D30" si="36">LOWER(LEFT(B29,1))&amp;RIGHT(B29,LEN(B29) - 1)</f>
        <v>lotNo</v>
      </c>
      <c r="E29" s="74" t="str">
        <f>A.Backend!H23</f>
        <v>string</v>
      </c>
      <c r="F29" s="74" t="str">
        <f>A.Backend!G23</f>
        <v>50</v>
      </c>
      <c r="G29" s="31" t="str">
        <f t="shared" si="18"/>
        <v xml:space="preserve"> : string = '' ; </v>
      </c>
      <c r="H29" s="38" t="str">
        <f t="shared" si="30"/>
        <v xml:space="preserve">			{headerName: this.l('Lot No'),headerTooltip: this.l('Lot No'),field: 'lotNo',flex: 1},</v>
      </c>
      <c r="I29" s="38" t="str">
        <f t="shared" si="20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9" s="31"/>
      <c r="K29" s="38" t="str">
        <f t="shared" si="21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9" s="60" t="str">
        <f t="shared" si="22"/>
        <v/>
      </c>
      <c r="M29" s="31"/>
      <c r="N29" s="31"/>
      <c r="O29" s="31"/>
      <c r="P29" s="31"/>
      <c r="Q29" s="31"/>
      <c r="R29" s="31"/>
      <c r="S29" s="31" t="str">
        <f t="shared" si="31"/>
        <v xml:space="preserve">	lotNo : string = '' ; </v>
      </c>
      <c r="T29" s="31" t="str">
        <f t="shared" si="32"/>
        <v xml:space="preserve">			this.lotNo,</v>
      </c>
      <c r="U29" s="31" t="str">
        <f t="shared" si="33"/>
        <v xml:space="preserve">		this.lotNo = '',</v>
      </c>
      <c r="V29" s="31" t="str">
        <f t="shared" si="26"/>
        <v/>
      </c>
    </row>
    <row r="30" spans="1:22" ht="18" customHeight="1" x14ac:dyDescent="0.25">
      <c r="A30" s="44" t="s">
        <v>274</v>
      </c>
      <c r="B30" s="31" t="str">
        <f t="shared" si="34"/>
        <v>NoInLot</v>
      </c>
      <c r="C30" s="31" t="str">
        <f t="shared" si="35"/>
        <v>No In Lot</v>
      </c>
      <c r="D30" s="31" t="str">
        <f t="shared" si="36"/>
        <v>noInLot</v>
      </c>
      <c r="E30" s="74" t="str">
        <f>A.Backend!H24</f>
        <v>int</v>
      </c>
      <c r="F30" s="74" t="str">
        <f>A.Backend!G24</f>
        <v/>
      </c>
      <c r="G30" s="31" t="str">
        <f t="shared" si="18"/>
        <v xml:space="preserve"> : number = 0 ;</v>
      </c>
      <c r="H30" s="38" t="str">
        <f>IF(E30="DateTime",
REPT(CHAR(9),3)&amp;"{headerName: this.l('"&amp;C30&amp;"'),headerTooltip: this.l('"&amp;C30&amp;"'),field: '"&amp;D30&amp;"',valueGetter: (params) =&gt; this.pipe.transform(params.data?."&amp;D30&amp;", 'dd/MM/yyyy'),flex: 1},",
REPT(CHAR(9),3)&amp;"{headerName: this.l('"&amp;C30&amp;"'),headerTooltip: this.l('"&amp;C30&amp;"'),field: '"&amp;D30&amp;"',flex: 1},")</f>
        <v xml:space="preserve">			{headerName: this.l('No In Lot'),headerTooltip: this.l('No In Lot'),field: 'noInLot',flex: 1},</v>
      </c>
      <c r="I30" s="38" t="str">
        <f t="shared" si="20"/>
        <v/>
      </c>
      <c r="J30" s="31"/>
      <c r="K30" s="38" t="str">
        <f t="shared" si="21"/>
        <v xml:space="preserve">					&lt;div class='col-md-12 form-group row'&gt;
						&lt;label class='col-md-2 form-control title'&gt;No In Lot&lt;/label&gt;
						&lt;input type='number' class='col-md-10 form-control input-text' name='NoInLot' [(ngModel)]='rowdata.noInLot'&gt;
					&lt;/div&gt;</v>
      </c>
      <c r="L30" s="60" t="str">
        <f t="shared" si="22"/>
        <v/>
      </c>
      <c r="M30" s="31"/>
      <c r="N30" s="31"/>
      <c r="O30" s="31"/>
      <c r="P30" s="31"/>
      <c r="Q30" s="31"/>
      <c r="R30" s="31"/>
      <c r="S30" s="31" t="str">
        <f t="shared" si="31"/>
        <v xml:space="preserve">	noInLot : number = 0 ;</v>
      </c>
      <c r="T30" s="31" t="str">
        <f t="shared" si="32"/>
        <v xml:space="preserve">			this.noInLot,</v>
      </c>
      <c r="U30" s="31" t="str">
        <f t="shared" si="33"/>
        <v xml:space="preserve">		this.noInLot = 0,</v>
      </c>
      <c r="V30" s="31" t="str">
        <f t="shared" si="26"/>
        <v/>
      </c>
    </row>
    <row r="31" spans="1:22" ht="18" customHeight="1" x14ac:dyDescent="0.25">
      <c r="A31" s="44" t="s">
        <v>287</v>
      </c>
      <c r="B31" s="31" t="str">
        <f>SUBSTITUTE(PROPER(A31),"_","")</f>
        <v>SequenceNo</v>
      </c>
      <c r="C31" s="31" t="str">
        <f>SUBSTITUTE(PROPER(A31),"_"," ")</f>
        <v>Sequence No</v>
      </c>
      <c r="D31" s="31" t="str">
        <f>LOWER(LEFT(B31,1))&amp;RIGHT(B31,LEN(B31) - 1)</f>
        <v>sequenceNo</v>
      </c>
      <c r="E31" s="74" t="str">
        <f>A.Backend!H25</f>
        <v>string</v>
      </c>
      <c r="F31" s="74" t="str">
        <f>A.Backend!G25</f>
        <v>50</v>
      </c>
      <c r="G31" s="31" t="str">
        <f>IF(E31="string"," : string = '' ; ",IF(OR(E31="DateTime",E31="TimeSpan")," : any ;",IF(E31="int"," : number = 0 ;","")))</f>
        <v xml:space="preserve"> : string = '' ; </v>
      </c>
      <c r="H31" s="38" t="str">
        <f>IF(E31="DateTime",
REPT(CHAR(9),3)&amp;"{headerName: this.l('"&amp;C31&amp;"'),headerTooltip: this.l('"&amp;C31&amp;"'),field: '"&amp;D31&amp;"',valueGetter: (params) =&gt; this.pipe.transform(params.data?."&amp;D31&amp;", 'dd/MM/yyyy'),flex: 1},",
REPT(CHAR(9),3)&amp;"{headerName: this.l('"&amp;C31&amp;"'),headerTooltip: this.l('"&amp;C31&amp;"'),field: '"&amp;D31&amp;"',flex: 1},")</f>
        <v xml:space="preserve">			{headerName: this.l('Sequence No'),headerTooltip: this.l('Sequence No'),field: 'sequenceNo',flex: 1},</v>
      </c>
      <c r="I31" s="38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[(ngModel)]='sequenceNo' name='sequenceNo'
									class='form-control' [placeholder]="l('Sequence No')"
									type='text' (keyup.enter)='searchDatas()'&gt;
								&lt;/div&gt;</v>
      </c>
      <c r="J31" s="31"/>
      <c r="K31" s="38" t="str">
        <f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"&amp;REPT(CHAR(9),6)&amp;"&lt;input class='col-md-10 form-control checkboxActive' type='checkbox' name='"&amp;D31&amp;"'
"&amp;REPT(CHAR(9),6)&amp;"[checked]='_"&amp;D31&amp;"' (change)='changeActive($event)'&gt;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title'&gt;Sequence No&lt;/label&gt;
						&lt;input type='text' class='col-md-10 form-control input-text' name='SequenceNo' [(ngModel)]='rowdata.sequenceNo'&gt;
					&lt;/div&gt;</v>
      </c>
      <c r="L31" s="60" t="str">
        <f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>D31&amp;G31</f>
        <v xml:space="preserve">sequenceNo : string = '' ; </v>
      </c>
      <c r="T31" s="31" t="str">
        <f>REPT(CHAR(9),3)&amp;"this."&amp;D31&amp;","</f>
        <v xml:space="preserve">			this.sequenceNo,</v>
      </c>
      <c r="U31" s="31" t="str">
        <f>IF(E31="int","this."&amp;D31&amp;" = 0,","this."&amp;D31&amp;" = '',")</f>
        <v>this.sequenceNo = '',</v>
      </c>
      <c r="V31" s="31" t="str">
        <f>IF(AND(E31="string",F31="1"),D31,"")</f>
        <v/>
      </c>
    </row>
    <row r="32" spans="1:22" ht="18" customHeight="1" x14ac:dyDescent="0.25">
      <c r="A32" s="44" t="s">
        <v>288</v>
      </c>
      <c r="B32" s="31" t="str">
        <f>SUBSTITUTE(PROPER(A32),"_","")</f>
        <v>Location</v>
      </c>
      <c r="C32" s="31" t="str">
        <f>SUBSTITUTE(PROPER(A32),"_"," ")</f>
        <v>Location</v>
      </c>
      <c r="D32" s="31" t="str">
        <f>LOWER(LEFT(B32,1))&amp;RIGHT(B32,LEN(B32) - 1)</f>
        <v>location</v>
      </c>
      <c r="E32" s="74" t="str">
        <f>A.Backend!H26</f>
        <v>string</v>
      </c>
      <c r="F32" s="74" t="str">
        <f>A.Backend!G26</f>
        <v>50</v>
      </c>
      <c r="G32" s="31" t="str">
        <f>IF(E32="string"," : string = '' ; ",IF(OR(E32="DateTime",E32="TimeSpan")," : any ;",IF(E32="int"," : number = 0 ;","")))</f>
        <v xml:space="preserve"> : string = '' ; </v>
      </c>
      <c r="H32" s="38" t="str">
        <f>IF(E32="DateTime",
REPT(CHAR(9),3)&amp;"{headerName: this.l('"&amp;C32&amp;"'),headerTooltip: this.l('"&amp;C32&amp;"'),field: '"&amp;D32&amp;"',valueGetter: (params) =&gt; this.pipe.transform(params.data?."&amp;D32&amp;", 'dd/MM/yyyy'),flex: 1},",
REPT(CHAR(9),3)&amp;"{headerName: this.l('"&amp;C32&amp;"'),headerTooltip: this.l('"&amp;C32&amp;"'),field: '"&amp;D32&amp;"',flex: 1},")</f>
        <v xml:space="preserve">			{headerName: this.l('Location'),headerTooltip: this.l('Location'),field: 'location',flex: 1},</v>
      </c>
      <c r="I32" s="38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 xml:space="preserve">								&lt;div class='input-search'&gt;
									&lt;input [(ngModel)]='location' name='location'
									class='form-control' [placeholder]="l('Location')"
									type='text' (keyup.enter)='searchDatas()'&gt;
								&lt;/div&gt;</v>
      </c>
      <c r="J32" s="31"/>
      <c r="K32" s="38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"&amp;REPT(CHAR(9),6)&amp;"&lt;input class='col-md-10 form-control checkboxActive' type='checkbox' name='"&amp;D32&amp;"'
"&amp;REPT(CHAR(9),6)&amp;"[checked]='_"&amp;D32&amp;"' (change)='changeActive($event)'&gt;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title'&gt;Location&lt;/label&gt;
						&lt;input type='text' class='col-md-10 form-control input-text' name='Location' [(ngModel)]='rowdata.location'&gt;
					&lt;/div&gt;</v>
      </c>
      <c r="L32" s="60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31"/>
      <c r="N32" s="31"/>
      <c r="O32" s="31"/>
      <c r="P32" s="31"/>
      <c r="Q32" s="31"/>
      <c r="R32" s="31"/>
      <c r="S32" s="31" t="str">
        <f>D32&amp;G32</f>
        <v xml:space="preserve">location : string = '' ; </v>
      </c>
      <c r="T32" s="31" t="str">
        <f>REPT(CHAR(9),3)&amp;"this."&amp;D32&amp;","</f>
        <v xml:space="preserve">			this.location,</v>
      </c>
      <c r="U32" s="31" t="str">
        <f>IF(E32="int","this."&amp;D32&amp;" = 0,","this."&amp;D32&amp;" = '',")</f>
        <v>this.location = '',</v>
      </c>
      <c r="V32" s="31" t="str">
        <f>IF(AND(E32="string",F32="1"),D32,"")</f>
        <v/>
      </c>
    </row>
    <row r="33" spans="1:22" ht="18" customHeight="1" x14ac:dyDescent="0.25">
      <c r="A33" s="44" t="s">
        <v>299</v>
      </c>
      <c r="B33" s="31" t="str">
        <f>SUBSTITUTE(PROPER(A33),"_","")</f>
        <v>AndonTransfer</v>
      </c>
      <c r="C33" s="31" t="str">
        <f>SUBSTITUTE(PROPER(A33),"_"," ")</f>
        <v>Andon Transfer</v>
      </c>
      <c r="D33" s="31" t="str">
        <f>LOWER(LEFT(B33,1))&amp;RIGHT(B33,LEN(B33) - 1)</f>
        <v>andonTransfer</v>
      </c>
      <c r="E33" s="74" t="str">
        <f>A.Backend!H27</f>
        <v>string</v>
      </c>
      <c r="F33" s="74" t="str">
        <f>A.Backend!G27</f>
        <v>1</v>
      </c>
      <c r="G33" s="31" t="str">
        <f t="shared" ref="G33:G39" si="37">IF(E33="string"," : string = '' ; ",IF(OR(E33="DateTime",E33="TimeSpan")," : any ;",IF(E33="int"," : number = 0 ;","")))</f>
        <v xml:space="preserve"> : string = '' ; </v>
      </c>
      <c r="H33" s="38" t="str">
        <f t="shared" ref="H33:H34" si="38">IF(E33="DateTime",
REPT(CHAR(9),3)&amp;"{headerName: this.l('"&amp;C33&amp;"'),headerTooltip: this.l('"&amp;C33&amp;"'),field: '"&amp;D33&amp;"',valueGetter: (params) =&gt; this.pipe.transform(params.data?."&amp;D33&amp;", 'dd/MM/yyyy'),flex: 1},",
REPT(CHAR(9),3)&amp;"{headerName: this.l('"&amp;C33&amp;"'),headerTooltip: this.l('"&amp;C33&amp;"'),field: '"&amp;D33&amp;"',flex: 1},")</f>
        <v xml:space="preserve">			{headerName: this.l('Andon Transfer'),headerTooltip: this.l('Andon Transfer'),field: 'andonTransfer',flex: 1},</v>
      </c>
      <c r="I33" s="38" t="str">
        <f t="shared" ref="I33:I39" si="39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[(ngModel)]='andonTransfer' name='andonTransfer'
									class='form-control' [placeholder]="l('Andon Transfer')"
									type='text' (keyup.enter)='searchDatas()'&gt;
								&lt;/div&gt;</v>
      </c>
      <c r="J33" s="31"/>
      <c r="K33" s="38" t="str">
        <f t="shared" ref="K33:K39" si="40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"&amp;REPT(CHAR(9),6)&amp;"&lt;input class='col-md-10 form-control checkboxActive' type='checkbox' name='"&amp;D33&amp;"'
"&amp;REPT(CHAR(9),6)&amp;"[checked]='_"&amp;D33&amp;"' (change)='changeActive($event)'&gt;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title'&gt;Andon Transfer&lt;/label&gt;
						&lt;input class='col-md-10 form-control checkboxActive' type='checkbox' name='andonTransfer'
						[checked]='_andonTransfer' (change)='changeActive($event)'&gt;
					&lt;/div&gt;</v>
      </c>
      <c r="L33" s="60" t="str">
        <f t="shared" ref="L33:L39" si="41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31"/>
      <c r="N33" s="31"/>
      <c r="O33" s="31"/>
      <c r="P33" s="31"/>
      <c r="Q33" s="31"/>
      <c r="R33" s="31"/>
      <c r="S33" s="31" t="str">
        <f t="shared" ref="S33:S34" si="42">REPT(CHAR(9),1)&amp;D33&amp;G33</f>
        <v xml:space="preserve">	andonTransfer : string = '' ; </v>
      </c>
      <c r="T33" s="31" t="str">
        <f t="shared" ref="T33:T34" si="43">REPT(CHAR(9),3)&amp;"this."&amp;D33&amp;","</f>
        <v xml:space="preserve">			this.andonTransfer,</v>
      </c>
      <c r="U33" s="31" t="str">
        <f t="shared" ref="U33:U34" si="44">IF(E33="int",REPT(CHAR(9),2)&amp;"this."&amp;D33&amp;" = 0,",REPT(CHAR(9),2)&amp;"this."&amp;D33&amp;" = '',")</f>
        <v xml:space="preserve">		this.andonTransfer = '',</v>
      </c>
      <c r="V33" s="31" t="str">
        <f t="shared" ref="V33:V39" si="45">IF(AND(E33="string",F33="1"),D33,"")</f>
        <v>andonTransfer</v>
      </c>
    </row>
    <row r="34" spans="1:22" ht="15" customHeight="1" x14ac:dyDescent="0.25">
      <c r="A34" s="44" t="s">
        <v>290</v>
      </c>
      <c r="B34" s="31" t="str">
        <f t="shared" ref="B34:B36" si="46">SUBSTITUTE(PROPER(A34),"_","")</f>
        <v>RescanBodyNo</v>
      </c>
      <c r="C34" s="31" t="str">
        <f t="shared" ref="C34:C36" si="47">SUBSTITUTE(PROPER(A34),"_"," ")</f>
        <v>Rescan Body No</v>
      </c>
      <c r="D34" s="31" t="str">
        <f t="shared" ref="D34:D36" si="48">LOWER(LEFT(B34,1))&amp;RIGHT(B34,LEN(B34) - 1)</f>
        <v>rescanBodyNo</v>
      </c>
      <c r="E34" s="74" t="str">
        <f>A.Backend!H28</f>
        <v>string</v>
      </c>
      <c r="F34" s="74" t="str">
        <f>A.Backend!G28</f>
        <v>50</v>
      </c>
      <c r="G34" s="31" t="str">
        <f t="shared" si="37"/>
        <v xml:space="preserve"> : string = '' ; </v>
      </c>
      <c r="H34" s="38" t="str">
        <f t="shared" si="38"/>
        <v xml:space="preserve">			{headerName: this.l('Rescan Body No'),headerTooltip: this.l('Rescan Body No'),field: 'rescanBodyNo',flex: 1},</v>
      </c>
      <c r="I34" s="38" t="str">
        <f t="shared" si="39"/>
        <v xml:space="preserve">								&lt;div class='input-search'&gt;
									&lt;input [(ngModel)]='rescanBodyNo' name='rescanBodyNo'
									class='form-control' [placeholder]="l('Rescan Body No')"
									type='text' (keyup.enter)='searchDatas()'&gt;
								&lt;/div&gt;</v>
      </c>
      <c r="J34" s="31"/>
      <c r="K34" s="38" t="str">
        <f t="shared" si="40"/>
        <v xml:space="preserve">					&lt;div class='col-md-12 form-group row'&gt;
						&lt;label class='col-md-2 form-control title'&gt;Rescan Body No&lt;/label&gt;
						&lt;input type='text' class='col-md-10 form-control input-text' name='RescanBodyNo' [(ngModel)]='rowdata.rescanBodyNo'&gt;
					&lt;/div&gt;</v>
      </c>
      <c r="L34" s="60" t="str">
        <f t="shared" si="41"/>
        <v/>
      </c>
      <c r="M34" s="31"/>
      <c r="N34" s="31"/>
      <c r="O34" s="31"/>
      <c r="P34" s="31"/>
      <c r="Q34" s="31"/>
      <c r="R34" s="31"/>
      <c r="S34" s="31" t="str">
        <f t="shared" si="42"/>
        <v xml:space="preserve">	rescanBodyNo : string = '' ; </v>
      </c>
      <c r="T34" s="31" t="str">
        <f t="shared" si="43"/>
        <v xml:space="preserve">			this.rescanBodyNo,</v>
      </c>
      <c r="U34" s="31" t="str">
        <f t="shared" si="44"/>
        <v xml:space="preserve">		this.rescanBodyNo = '',</v>
      </c>
      <c r="V34" s="31" t="str">
        <f t="shared" si="45"/>
        <v/>
      </c>
    </row>
    <row r="35" spans="1:22" ht="15" customHeight="1" x14ac:dyDescent="0.25">
      <c r="A35" s="44" t="s">
        <v>291</v>
      </c>
      <c r="B35" s="31" t="str">
        <f t="shared" si="46"/>
        <v>RescanLotNo</v>
      </c>
      <c r="C35" s="31" t="str">
        <f t="shared" si="47"/>
        <v>Rescan Lot No</v>
      </c>
      <c r="D35" s="31" t="str">
        <f t="shared" si="48"/>
        <v>rescanLotNo</v>
      </c>
      <c r="E35" s="74" t="str">
        <f>A.Backend!H29</f>
        <v>string</v>
      </c>
      <c r="F35" s="74" t="str">
        <f>A.Backend!G29</f>
        <v>50</v>
      </c>
      <c r="G35" s="31" t="str">
        <f t="shared" si="37"/>
        <v xml:space="preserve"> : string = '' ; </v>
      </c>
      <c r="H35" s="38" t="str">
        <f>IF(E35="DateTime",
REPT(CHAR(9),3)&amp;"{headerName: this.l('"&amp;C35&amp;"'),headerTooltip: this.l('"&amp;C35&amp;"'),field: '"&amp;D35&amp;"',valueGetter: (params) =&gt; this.pipe.transform(params.data?."&amp;D35&amp;", 'dd/MM/yyyy'),flex: 1},",
REPT(CHAR(9),3)&amp;"{headerName: this.l('"&amp;C35&amp;"'),headerTooltip: this.l('"&amp;C35&amp;"'),field: '"&amp;D35&amp;"',flex: 1},")</f>
        <v xml:space="preserve">			{headerName: this.l('Rescan Lot No'),headerTooltip: this.l('Rescan Lot No'),field: 'rescanLotNo',flex: 1},</v>
      </c>
      <c r="I35" s="38" t="str">
        <f t="shared" si="39"/>
        <v xml:space="preserve">								&lt;div class='input-search'&gt;
									&lt;input [(ngModel)]='rescanLotNo' name='rescanLotNo'
									class='form-control' [placeholder]="l('Rescan Lot No')"
									type='text' (keyup.enter)='searchDatas()'&gt;
								&lt;/div&gt;</v>
      </c>
      <c r="J35" s="31"/>
      <c r="K35" s="38" t="str">
        <f t="shared" si="40"/>
        <v xml:space="preserve">					&lt;div class='col-md-12 form-group row'&gt;
						&lt;label class='col-md-2 form-control title'&gt;Rescan Lot No&lt;/label&gt;
						&lt;input type='text' class='col-md-10 form-control input-text' name='RescanLotNo' [(ngModel)]='rowdata.rescanLotNo'&gt;
					&lt;/div&gt;</v>
      </c>
      <c r="L35" s="60" t="str">
        <f t="shared" si="41"/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rescanLotNo : string = '' ; </v>
      </c>
      <c r="T35" s="31" t="str">
        <f>REPT(CHAR(9),3)&amp;"this."&amp;D35&amp;","</f>
        <v xml:space="preserve">			this.rescanLotNo,</v>
      </c>
      <c r="U35" s="31" t="str">
        <f>IF(E35="int",REPT(CHAR(9),2)&amp;"this."&amp;D35&amp;" = 0,",REPT(CHAR(9),2)&amp;"this."&amp;D35&amp;" = '',")</f>
        <v xml:space="preserve">		this.rescanLotNo = '',</v>
      </c>
      <c r="V35" s="31" t="str">
        <f t="shared" si="45"/>
        <v/>
      </c>
    </row>
    <row r="36" spans="1:22" ht="18" customHeight="1" x14ac:dyDescent="0.25">
      <c r="A36" s="44" t="s">
        <v>292</v>
      </c>
      <c r="B36" s="31" t="str">
        <f t="shared" si="46"/>
        <v>RescanMode</v>
      </c>
      <c r="C36" s="31" t="str">
        <f t="shared" si="47"/>
        <v>Rescan Mode</v>
      </c>
      <c r="D36" s="31" t="str">
        <f t="shared" si="48"/>
        <v>rescanMode</v>
      </c>
      <c r="E36" s="74" t="str">
        <f>A.Backend!H30</f>
        <v>string</v>
      </c>
      <c r="F36" s="74" t="str">
        <f>A.Backend!G30</f>
        <v>50</v>
      </c>
      <c r="G36" s="31" t="str">
        <f t="shared" si="37"/>
        <v xml:space="preserve"> : string = '' ; </v>
      </c>
      <c r="H36" s="38" t="str">
        <f t="shared" ref="H36:H39" si="49">IF(E36="DateTime",
REPT(CHAR(9),3)&amp;"{headerName: this.l('"&amp;C36&amp;"'),headerTooltip: this.l('"&amp;C36&amp;"'),field: '"&amp;D36&amp;"',valueGetter: (params) =&gt; this.pipe.transform(params.data?."&amp;D36&amp;", 'dd/MM/yyyy'),flex: 1},",
REPT(CHAR(9),3)&amp;"{headerName: this.l('"&amp;C36&amp;"'),headerTooltip: this.l('"&amp;C36&amp;"'),field: '"&amp;D36&amp;"',flex: 1},")</f>
        <v xml:space="preserve">			{headerName: this.l('Rescan Mode'),headerTooltip: this.l('Rescan Mode'),field: 'rescanMode',flex: 1},</v>
      </c>
      <c r="I36" s="38" t="str">
        <f t="shared" si="39"/>
        <v xml:space="preserve">								&lt;div class='input-search'&gt;
									&lt;input [(ngModel)]='rescanMode' name='rescanMode'
									class='form-control' [placeholder]="l('Rescan Mode')"
									type='text' (keyup.enter)='searchDatas()'&gt;
								&lt;/div&gt;</v>
      </c>
      <c r="J36" s="31"/>
      <c r="K36" s="38" t="str">
        <f t="shared" si="40"/>
        <v xml:space="preserve">					&lt;div class='col-md-12 form-group row'&gt;
						&lt;label class='col-md-2 form-control title'&gt;Rescan Mode&lt;/label&gt;
						&lt;input type='text' class='col-md-10 form-control input-text' name='RescanMode' [(ngModel)]='rowdata.rescanMode'&gt;
					&lt;/div&gt;</v>
      </c>
      <c r="L36" s="60" t="str">
        <f t="shared" si="41"/>
        <v/>
      </c>
      <c r="M36" s="31"/>
      <c r="N36" s="31"/>
      <c r="O36" s="31"/>
      <c r="P36" s="31"/>
      <c r="Q36" s="31"/>
      <c r="R36" s="31"/>
      <c r="S36" s="31" t="str">
        <f t="shared" ref="S36:S39" si="50">REPT(CHAR(9),1)&amp;D36&amp;G36</f>
        <v xml:space="preserve">	rescanMode : string = '' ; </v>
      </c>
      <c r="T36" s="31" t="str">
        <f t="shared" ref="T36:T39" si="51">REPT(CHAR(9),3)&amp;"this."&amp;D36&amp;","</f>
        <v xml:space="preserve">			this.rescanMode,</v>
      </c>
      <c r="U36" s="31" t="str">
        <f t="shared" ref="U36:U39" si="52">IF(E36="int",REPT(CHAR(9),2)&amp;"this."&amp;D36&amp;" = 0,",REPT(CHAR(9),2)&amp;"this."&amp;D36&amp;" = '',")</f>
        <v xml:space="preserve">		this.rescanMode = '',</v>
      </c>
      <c r="V36" s="31" t="str">
        <f t="shared" si="45"/>
        <v/>
      </c>
    </row>
    <row r="37" spans="1:22" ht="18" customHeight="1" x14ac:dyDescent="0.25">
      <c r="A37" s="44" t="s">
        <v>293</v>
      </c>
      <c r="B37" s="31" t="str">
        <f>SUBSTITUTE(PROPER(A37),"_","")</f>
        <v>ErrorCd</v>
      </c>
      <c r="C37" s="31" t="str">
        <f>SUBSTITUTE(PROPER(A37),"_"," ")</f>
        <v>Error Cd</v>
      </c>
      <c r="D37" s="31" t="str">
        <f>LOWER(LEFT(B37,1))&amp;RIGHT(B37,LEN(B37) - 1)</f>
        <v>errorCd</v>
      </c>
      <c r="E37" s="74" t="str">
        <f>A.Backend!H31</f>
        <v>string</v>
      </c>
      <c r="F37" s="74" t="str">
        <f>A.Backend!G31</f>
        <v>50</v>
      </c>
      <c r="G37" s="31" t="str">
        <f t="shared" si="37"/>
        <v xml:space="preserve"> : string = '' ; </v>
      </c>
      <c r="H37" s="38" t="str">
        <f t="shared" si="49"/>
        <v xml:space="preserve">			{headerName: this.l('Error Cd'),headerTooltip: this.l('Error Cd'),field: 'errorCd',flex: 1},</v>
      </c>
      <c r="I37" s="38" t="str">
        <f t="shared" si="39"/>
        <v xml:space="preserve">								&lt;div class='input-search'&gt;
									&lt;input [(ngModel)]='errorCd' name='errorCd'
									class='form-control' [placeholder]="l('Error Cd')"
									type='text' (keyup.enter)='searchDatas()'&gt;
								&lt;/div&gt;</v>
      </c>
      <c r="J37" s="31"/>
      <c r="K37" s="38" t="str">
        <f t="shared" si="40"/>
        <v xml:space="preserve">					&lt;div class='col-md-12 form-group row'&gt;
						&lt;label class='col-md-2 form-control title'&gt;Error Cd&lt;/label&gt;
						&lt;input type='text' class='col-md-10 form-control input-text' name='ErrorCd' [(ngModel)]='rowdata.errorCd'&gt;
					&lt;/div&gt;</v>
      </c>
      <c r="L37" s="60" t="str">
        <f t="shared" si="41"/>
        <v/>
      </c>
      <c r="M37" s="31"/>
      <c r="N37" s="31"/>
      <c r="O37" s="31"/>
      <c r="P37" s="31"/>
      <c r="Q37" s="31"/>
      <c r="R37" s="31"/>
      <c r="S37" s="31" t="str">
        <f t="shared" si="50"/>
        <v xml:space="preserve">	errorCd : string = '' ; </v>
      </c>
      <c r="T37" s="31" t="str">
        <f t="shared" si="51"/>
        <v xml:space="preserve">			this.errorCd,</v>
      </c>
      <c r="U37" s="31" t="str">
        <f t="shared" si="52"/>
        <v xml:space="preserve">		this.errorCd = '',</v>
      </c>
      <c r="V37" s="31" t="str">
        <f t="shared" si="45"/>
        <v/>
      </c>
    </row>
    <row r="38" spans="1:22" ht="18" customHeight="1" x14ac:dyDescent="0.25">
      <c r="A38" s="44" t="s">
        <v>294</v>
      </c>
      <c r="B38" s="31" t="str">
        <f>SUBSTITUTE(PROPER(A38),"_","")</f>
        <v>IsRescan</v>
      </c>
      <c r="C38" s="31" t="str">
        <f>SUBSTITUTE(PROPER(A38),"_"," ")</f>
        <v>Is Rescan</v>
      </c>
      <c r="D38" s="31" t="str">
        <f>LOWER(LEFT(B38,1))&amp;RIGHT(B38,LEN(B38) - 1)</f>
        <v>isRescan</v>
      </c>
      <c r="E38" s="74" t="str">
        <f>A.Backend!H32</f>
        <v>string</v>
      </c>
      <c r="F38" s="74" t="str">
        <f>A.Backend!G32</f>
        <v>1</v>
      </c>
      <c r="G38" s="31" t="str">
        <f t="shared" si="37"/>
        <v xml:space="preserve"> : string = '' ; </v>
      </c>
      <c r="H38" s="38" t="str">
        <f t="shared" si="49"/>
        <v xml:space="preserve">			{headerName: this.l('Is Rescan'),headerTooltip: this.l('Is Rescan'),field: 'isRescan',flex: 1},</v>
      </c>
      <c r="I38" s="38" t="str">
        <f t="shared" si="39"/>
        <v xml:space="preserve">								&lt;div class='input-search'&gt;
									&lt;input [(ngModel)]='isRescan' name='isRescan'
									class='form-control' [placeholder]="l('Is Rescan')"
									type='text' (keyup.enter)='searchDatas()'&gt;
								&lt;/div&gt;</v>
      </c>
      <c r="J38" s="31"/>
      <c r="K38" s="38" t="str">
        <f t="shared" si="40"/>
        <v xml:space="preserve">					&lt;div class='col-md-12 form-group row'&gt;
						&lt;label class='col-md-2 form-control title'&gt;Is Rescan&lt;/label&gt;
						&lt;input class='col-md-10 form-control checkboxActive' type='checkbox' name='isRescan'
						[checked]='_isRescan' (change)='changeActive($event)'&gt;
					&lt;/div&gt;</v>
      </c>
      <c r="L38" s="60" t="str">
        <f t="shared" si="41"/>
        <v/>
      </c>
      <c r="M38" s="31"/>
      <c r="N38" s="31"/>
      <c r="O38" s="31"/>
      <c r="P38" s="31"/>
      <c r="Q38" s="31"/>
      <c r="R38" s="31"/>
      <c r="S38" s="31" t="str">
        <f t="shared" si="50"/>
        <v xml:space="preserve">	isRescan : string = '' ; </v>
      </c>
      <c r="T38" s="31" t="str">
        <f t="shared" si="51"/>
        <v xml:space="preserve">			this.isRescan,</v>
      </c>
      <c r="U38" s="31" t="str">
        <f t="shared" si="52"/>
        <v xml:space="preserve">		this.isRescan = '',</v>
      </c>
      <c r="V38" s="31" t="str">
        <f t="shared" si="45"/>
        <v>isRescan</v>
      </c>
    </row>
    <row r="39" spans="1:22" ht="15" customHeight="1" x14ac:dyDescent="0.25">
      <c r="A39" s="44" t="s">
        <v>295</v>
      </c>
      <c r="B39" s="31" t="str">
        <f t="shared" ref="B39" si="53">SUBSTITUTE(PROPER(A39),"_","")</f>
        <v>IsActive</v>
      </c>
      <c r="C39" s="31" t="str">
        <f t="shared" ref="C39" si="54">SUBSTITUTE(PROPER(A39),"_"," ")</f>
        <v>Is Active</v>
      </c>
      <c r="D39" s="31" t="str">
        <f t="shared" ref="D39" si="55">LOWER(LEFT(B39,1))&amp;RIGHT(B39,LEN(B39) - 1)</f>
        <v>isActive</v>
      </c>
      <c r="E39" s="74" t="str">
        <f>A.Backend!H33</f>
        <v>string</v>
      </c>
      <c r="F39" s="74" t="str">
        <f>A.Backend!G33</f>
        <v>1</v>
      </c>
      <c r="G39" s="31" t="str">
        <f t="shared" si="37"/>
        <v xml:space="preserve"> : string = '' ; </v>
      </c>
      <c r="H39" s="38" t="str">
        <f t="shared" si="49"/>
        <v xml:space="preserve">			{headerName: this.l('Is Active'),headerTooltip: this.l('Is Active'),field: 'isActive',flex: 1},</v>
      </c>
      <c r="I39" s="38" t="str">
        <f t="shared" si="39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9" s="31"/>
      <c r="K39" s="38" t="str">
        <f t="shared" si="40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39" s="60" t="str">
        <f t="shared" si="41"/>
        <v/>
      </c>
      <c r="M39" s="31"/>
      <c r="N39" s="31"/>
      <c r="O39" s="31"/>
      <c r="P39" s="31"/>
      <c r="Q39" s="31"/>
      <c r="R39" s="31"/>
      <c r="S39" s="31" t="str">
        <f t="shared" si="50"/>
        <v xml:space="preserve">	isActive : string = '' ; </v>
      </c>
      <c r="T39" s="31" t="str">
        <f t="shared" si="51"/>
        <v xml:space="preserve">			this.isActive,</v>
      </c>
      <c r="U39" s="31" t="str">
        <f t="shared" si="52"/>
        <v xml:space="preserve">		this.isActive = '',</v>
      </c>
      <c r="V39" s="31" t="str">
        <f t="shared" si="45"/>
        <v>isActive</v>
      </c>
    </row>
    <row r="42" spans="1:22" ht="17.25" customHeight="1" x14ac:dyDescent="0.25"/>
  </sheetData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270</v>
      </c>
      <c r="B20" t="s">
        <v>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2022-06-13T03:50:21Z</dcterms:modified>
</cp:coreProperties>
</file>
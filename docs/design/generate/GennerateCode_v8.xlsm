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generate\"/>
    </mc:Choice>
  </mc:AlternateContent>
  <xr:revisionPtr revIDLastSave="0" documentId="13_ncr:1_{1356A35B-B780-4C67-AB8E-24278065E382}" xr6:coauthVersionLast="36" xr6:coauthVersionMax="36" xr10:uidLastSave="{00000000-0000-0000-0000-000000000000}"/>
  <bookViews>
    <workbookView xWindow="0" yWindow="0" windowWidth="28800" windowHeight="11805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5" l="1"/>
  <c r="L45" i="3"/>
  <c r="N10" i="5"/>
  <c r="B3" i="5"/>
  <c r="B2" i="5"/>
  <c r="O7" i="1"/>
  <c r="A20" i="5"/>
  <c r="B20" i="5" s="1"/>
  <c r="D20" i="5" s="1"/>
  <c r="A19" i="5"/>
  <c r="C19" i="5" s="1"/>
  <c r="A18" i="5"/>
  <c r="B18" i="5" s="1"/>
  <c r="D18" i="5" s="1"/>
  <c r="L14" i="1"/>
  <c r="G14" i="1"/>
  <c r="E14" i="1"/>
  <c r="H14" i="1" s="1"/>
  <c r="D14" i="1"/>
  <c r="V14" i="1" s="1"/>
  <c r="P13" i="1"/>
  <c r="L13" i="1"/>
  <c r="G13" i="1"/>
  <c r="E13" i="1"/>
  <c r="H13" i="1" s="1"/>
  <c r="O13" i="1" s="1"/>
  <c r="D13" i="1"/>
  <c r="V13" i="1" s="1"/>
  <c r="G12" i="1"/>
  <c r="E12" i="1"/>
  <c r="H12" i="1" s="1"/>
  <c r="D12" i="1"/>
  <c r="C18" i="5" l="1"/>
  <c r="F18" i="5" s="1"/>
  <c r="C20" i="5"/>
  <c r="B19" i="5"/>
  <c r="D19" i="5" s="1"/>
  <c r="F19" i="5" s="1"/>
  <c r="T13" i="1"/>
  <c r="J12" i="1"/>
  <c r="N12" i="1"/>
  <c r="I12" i="1"/>
  <c r="M12" i="1"/>
  <c r="O12" i="1"/>
  <c r="I14" i="1"/>
  <c r="N14" i="1"/>
  <c r="J14" i="1"/>
  <c r="O14" i="1"/>
  <c r="M14" i="1"/>
  <c r="I13" i="1"/>
  <c r="P12" i="1"/>
  <c r="J13" i="1"/>
  <c r="T12" i="1"/>
  <c r="V12" i="1"/>
  <c r="M13" i="1"/>
  <c r="P14" i="1"/>
  <c r="N13" i="1"/>
  <c r="T14" i="1"/>
  <c r="B6" i="5"/>
  <c r="E18" i="5" l="1"/>
  <c r="H18" i="5"/>
  <c r="H20" i="5"/>
  <c r="E20" i="5"/>
  <c r="E19" i="5"/>
  <c r="F20" i="5"/>
  <c r="H19" i="5"/>
  <c r="A15" i="5"/>
  <c r="U7" i="1" l="1"/>
  <c r="B7" i="5" l="1"/>
  <c r="Q3" i="1" l="1"/>
  <c r="V3" i="1"/>
  <c r="T3" i="1"/>
  <c r="F3" i="1"/>
  <c r="B4" i="5" l="1"/>
  <c r="N7" i="1"/>
  <c r="E38" i="3" s="1"/>
  <c r="K7" i="1"/>
  <c r="H6" i="1"/>
  <c r="O10" i="5" l="1"/>
  <c r="M45" i="3" s="1"/>
  <c r="N38" i="3" l="1"/>
  <c r="B8" i="5"/>
  <c r="B5" i="5"/>
  <c r="D9" i="1"/>
  <c r="K45" i="3" l="1"/>
  <c r="I10" i="5"/>
  <c r="G45" i="3" s="1"/>
  <c r="B43" i="3"/>
  <c r="C43" i="3" s="1"/>
  <c r="J14" i="5"/>
  <c r="H44" i="3" s="1"/>
  <c r="I14" i="5"/>
  <c r="G44" i="3" s="1"/>
  <c r="H14" i="5"/>
  <c r="F44" i="3" s="1"/>
  <c r="L44" i="3"/>
  <c r="K44" i="3"/>
  <c r="L14" i="5"/>
  <c r="J44" i="3" s="1"/>
  <c r="K14" i="5"/>
  <c r="I44" i="3" s="1"/>
  <c r="G14" i="5"/>
  <c r="E44" i="3" s="1"/>
  <c r="F14" i="5"/>
  <c r="D44" i="3" s="1"/>
  <c r="E14" i="5"/>
  <c r="C44" i="3" s="1"/>
  <c r="L10" i="5"/>
  <c r="J45" i="3" s="1"/>
  <c r="K10" i="5"/>
  <c r="I45" i="3" s="1"/>
  <c r="J10" i="5"/>
  <c r="H45" i="3" s="1"/>
  <c r="G10" i="5"/>
  <c r="E45" i="3" s="1"/>
  <c r="N3" i="1" l="1"/>
  <c r="M3" i="1"/>
  <c r="O3" i="1"/>
  <c r="D10" i="1"/>
  <c r="D11" i="1"/>
  <c r="C15" i="5" l="1"/>
  <c r="B15" i="5"/>
  <c r="D15" i="5" s="1"/>
  <c r="A16" i="5"/>
  <c r="A17" i="5"/>
  <c r="F15" i="5" l="1"/>
  <c r="E12" i="5"/>
  <c r="F12" i="5"/>
  <c r="H12" i="5"/>
  <c r="H15" i="5"/>
  <c r="E15" i="5"/>
  <c r="C17" i="5"/>
  <c r="B17" i="5"/>
  <c r="D17" i="5" s="1"/>
  <c r="F17" i="5" s="1"/>
  <c r="C16" i="5"/>
  <c r="B16" i="5"/>
  <c r="D16" i="5" s="1"/>
  <c r="F16" i="5" l="1"/>
  <c r="H16" i="5"/>
  <c r="H17" i="5"/>
  <c r="E16" i="5"/>
  <c r="E17" i="5"/>
  <c r="R3" i="1"/>
  <c r="D1" i="1"/>
  <c r="F6" i="1"/>
  <c r="E13" i="5"/>
  <c r="H13" i="5"/>
  <c r="F13" i="5"/>
  <c r="H10" i="5" l="1"/>
  <c r="F45" i="3" s="1"/>
  <c r="E10" i="5"/>
  <c r="C45" i="3" s="1"/>
  <c r="F10" i="5"/>
  <c r="D45" i="3" s="1"/>
  <c r="V9" i="1"/>
  <c r="T9" i="1"/>
  <c r="T11" i="1"/>
  <c r="V11" i="1"/>
  <c r="V10" i="1"/>
  <c r="T10" i="1"/>
  <c r="L11" i="1"/>
  <c r="G9" i="1"/>
  <c r="G10" i="1"/>
  <c r="G11" i="1"/>
  <c r="E9" i="1"/>
  <c r="H9" i="1" s="1"/>
  <c r="E10" i="1"/>
  <c r="H10" i="1" s="1"/>
  <c r="E11" i="1"/>
  <c r="H11" i="1" s="1"/>
  <c r="P9" i="1"/>
  <c r="P10" i="1"/>
  <c r="P11" i="1"/>
  <c r="T16" i="1"/>
  <c r="V16" i="1"/>
  <c r="T7" i="1" l="1"/>
  <c r="O11" i="1"/>
  <c r="M11" i="1"/>
  <c r="I11" i="1"/>
  <c r="O10" i="1"/>
  <c r="M10" i="1"/>
  <c r="I10" i="1"/>
  <c r="O9" i="1"/>
  <c r="M9" i="1"/>
  <c r="I9" i="1"/>
  <c r="G6" i="1" l="1"/>
  <c r="L38" i="3" l="1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12" i="1" s="1"/>
  <c r="L9" i="1" l="1"/>
  <c r="L10" i="1"/>
  <c r="N11" i="1"/>
  <c r="J11" i="1"/>
  <c r="N9" i="1"/>
  <c r="J9" i="1"/>
  <c r="N10" i="1"/>
  <c r="J10" i="1"/>
  <c r="C7" i="1"/>
  <c r="P16" i="1"/>
  <c r="O16" i="1"/>
  <c r="N16" i="1"/>
  <c r="J16" i="1"/>
  <c r="I16" i="1"/>
  <c r="Q7" i="1" l="1"/>
  <c r="M38" i="3" s="1"/>
  <c r="L7" i="1"/>
  <c r="G38" i="3" s="1"/>
  <c r="K38" i="3"/>
  <c r="J38" i="3"/>
  <c r="K16" i="1"/>
  <c r="M16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<sst xmlns="http://schemas.openxmlformats.org/spreadsheetml/2006/main" count="334" uniqueCount="273">
  <si>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</si>
  <si>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</si>
  <si>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</si>
  <si>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</si>
  <si>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</si>
  <si>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</si>
  <si>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</si>
  <si>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</si>
  <si>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</si>
  <si>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</si>
  <si>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</si>
  <si>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</si>
  <si>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</si>
  <si>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</si>
  <si>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</si>
  <si>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</si>
  <si>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</si>
  <si>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</si>
  <si>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</si>
  <si>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</si>
  <si>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</si>
  <si>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</si>
  <si>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</si>
  <si>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</si>
  <si>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</si>
  <si>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</si>
  <si>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</si>
  <si>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</si>
  <si>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</si>
  <si>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</si>
  <si>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</si>
  <si>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</si>
  <si>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</si>
  <si>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</si>
  <si>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</si>
  <si>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</si>
  <si>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</si>
  <si>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</si>
  <si>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</si>
  <si>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</si>
  <si>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</si>
  <si>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</si>
  <si>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</si>
  <si>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</si>
  <si>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</si>
  <si>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</si>
  <si>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</si>
  <si>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</si>
  <si>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</si>
  <si>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</si>
  <si>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</si>
  <si>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</si>
  <si>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</si>
  <si>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</si>
  <si>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</si>
  <si>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</si>
  <si>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</si>
  <si>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</si>
  <si>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</si>
  <si>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</si>
  <si>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</si>
  <si>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</si>
  <si>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</si>
  <si>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</si>
  <si>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</si>
  <si>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</si>
  <si>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</si>
  <si>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</si>
  <si>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</si>
  <si>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</si>
  <si>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</si>
  <si>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</si>
  <si>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</si>
  <si>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</si>
  <si>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</si>
  <si>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</si>
  <si>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</si>
  <si>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</si>
  <si>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</si>
  <si>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</si>
  <si>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</si>
  <si>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</si>
  <si>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</si>
  <si>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</si>
  <si>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</si>
  <si>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</si>
  <si>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</si>
  <si>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</si>
  <si>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</si>
  <si>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</si>
  <si>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</si>
  <si>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</si>
  <si>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</si>
  <si>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</si>
  <si>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</si>
  <si>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</si>
  <si>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</si>
  <si>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</si>
  <si>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</si>
  <si>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</si>
  <si>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</si>
  <si>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</si>
  <si>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</si>
  <si>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</si>
  <si>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</si>
  <si>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</si>
  <si>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</si>
  <si>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</si>
  <si>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</si>
  <si>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</si>
  <si>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</si>
  <si>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</si>
  <si>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</si>
  <si>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</si>
  <si>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</si>
  <si>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</si>
  <si>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</si>
  <si>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</si>
  <si>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</si>
  <si>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</si>
  <si>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</si>
  <si>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</si>
  <si>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</si>
  <si>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</si>
  <si>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</si>
  <si>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</si>
  <si>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</si>
  <si>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</si>
  <si>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</si>
  <si>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</si>
  <si>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</si>
  <si>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</si>
  <si>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</si>
  <si>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</si>
  <si>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</si>
  <si>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</si>
  <si>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</si>
  <si>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</si>
  <si>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</si>
  <si>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</si>
  <si>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</si>
  <si>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</si>
  <si>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</si>
  <si>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</si>
  <si>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</si>
  <si>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</si>
  <si>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</si>
  <si>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</si>
  <si>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</si>
  <si>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</si>
  <si>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</si>
  <si>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</si>
  <si>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</si>
  <si>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</si>
  <si>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</si>
  <si>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</si>
  <si>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</si>
  <si>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</si>
  <si>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</si>
  <si>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</si>
  <si>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</si>
  <si>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</si>
  <si>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</si>
  <si>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</si>
  <si>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</si>
  <si>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</si>
  <si>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</si>
  <si>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</si>
  <si>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</si>
  <si>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</si>
  <si>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</si>
  <si>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</si>
  <si>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</si>
  <si>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</si>
  <si>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</si>
  <si>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</si>
  <si>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</si>
  <si>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</si>
  <si>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</si>
  <si>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</si>
  <si>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</si>
  <si>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</si>
  <si>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</si>
  <si>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</si>
  <si>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</si>
  <si>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</si>
  <si>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</si>
  <si>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</si>
  <si>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</si>
  <si>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</si>
  <si>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</si>
  <si>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</si>
  <si>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</si>
  <si>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</si>
  <si>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</si>
  <si>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</si>
  <si>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</si>
  <si>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</si>
  <si>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</si>
  <si>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</si>
  <si>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</si>
  <si>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</si>
  <si>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</si>
  <si>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</si>
  <si>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</si>
  <si>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</si>
  <si>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</si>
  <si>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</si>
  <si>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</si>
  <si>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</si>
  <si>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</si>
  <si>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</si>
  <si>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</si>
  <si>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</si>
  <si>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</si>
  <si>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</si>
  <si>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</si>
  <si>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</si>
  <si>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</si>
  <si>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</si>
  <si>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</si>
  <si>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&lt;PROPERTIES&gt;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</si>
  <si>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selector: 'create-or-edit-calendar-modal',
  templateUrl: './create-or-edit-calendar-modal.component.html',
  styleUrls: ['./create-or-edit-calendar-modal.component.less']
})
export class CreateOrEditCalendarModalComponent extends AppComponentBase {
  @ViewChild('createOrEditModalCalendar',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CreateOrEditMstWptCalendarDto = new CreateOrEditMstWptCalendarDto();
  active: boolean = false;
  saving: boolean = false;
  _isActive: boolean;
  constructor(
    injector: Injector,
    private _mstwptCalendarService: MstWptCalendarServiceProxy,
    ) {
    super(injector);
  }
  show(rowdata?: CreateOrEditMstWptCalendarDto): void {
    if (!rowdata) this.rowdata = new CreateOrEditMstWptCalendarDto();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this._mstwptCalendarService.createOrEdit(this.rowdata)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t>
  </si>
  <si>
    <t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</si>
  <si>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</si>
  <si>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</si>
  <si>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</si>
  <si>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</si>
  <si>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</si>
  <si>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</si>
  <si>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{
                        path: 'master/workingpattern/calendar',
                        loadChildren: () =&gt; import('./master/workingpattern/calendar/calendar.module').then(m =&gt; m.CalendarModule),
                        data: { permission: 'Pages.Master.WorkingPattern.Calendar' }
                    },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</si>
  <si>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</si>
  <si>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</si>
  <si>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</si>
  <si>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</si>
  <si>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</si>
  <si>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</si>
  <si>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</si>
  <si>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</si>
  <si>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</si>
  <si>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                                 "MasterWorkingPatternCalendar.xlsx",
                                 excelPackage =&gt;
                                 {
                                     var sheet = excelPackage.CreateSheet("Calendar");
                                     AddHeader(
                                               sheet,
                                                      &lt;PROPERTIES&gt;
                                               );
                                     AddObjects(
                                         sheet, 1, calendar,
                                         &lt;PROPERTIES1&gt;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</si>
  <si>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</si>
  <si>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</si>
  <si>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</si>
  <si>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</si>
  <si>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</si>
  <si>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</si>
  <si>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</si>
  <si>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</si>
  <si>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</si>
  <si>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</si>
  <si>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</si>
  <si>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</si>
  <si>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</si>
  <si>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ScanType</t>
  </si>
  <si>
    <t>nvarchar(50)</t>
  </si>
  <si>
    <t>ScanValue</t>
  </si>
  <si>
    <t>ScanLocation</t>
  </si>
  <si>
    <t>ScanTime</t>
  </si>
  <si>
    <t>datetime2(7)</t>
  </si>
  <si>
    <t>ScanBy</t>
  </si>
  <si>
    <t>IsProcessed</t>
  </si>
  <si>
    <t>nvarchar(1)</t>
  </si>
  <si>
    <t>PtsAdoScanInfo</t>
  </si>
  <si>
    <t>Painting.Andon</t>
  </si>
  <si>
    <t>ScanInfo</t>
  </si>
  <si>
    <t>Painting Andon Scan Info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</si>
  <si>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MstWptCalendarDto
                         {Id = o.Id,
                              &lt;PROPERTIES&gt;
 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{Id = o.Id,
                               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</si>
  <si>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E15</t>
  </si>
  <si>
    <t>F15</t>
  </si>
  <si>
    <t>H15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</si>
  <si>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
        | CreateOrEditCalendarModalComponent
        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filter: string = '';
    workingType: string = '';
    workingStatus: string = '';
    today: Date = new Date();
    pipe = new DatePipe('en-US');
    gridApi!: GridApi;
    rowSelection = 'multiple';
    workingDate: any;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
                headerName: this.l('STT'),
                headerTooltip: this.l('STT'),
                cellRenderer: (params) =&gt;
                    params.rowIndex + 1 + this.paginationParams.pageSize * (this.paginationParams.pageNum - 1),
                cellClass: ['text-center'],
                width: 55,
            },
          &lt;PROPERTIES&gt;      	  
        ];
    }
    ngOnInit(): void {
        this.paginationParams = { pageNum: 1, pageSize: 20, totalCount: 0 };
    }
    searchDatas(): void {
        // this.paginator.changePage(this.paginator.getPage());
        this._service
            .getAll(
                this.workingDate,
                this.workingType,
                this.workingStatus,
                undefined,
                '',
                '',
                '',
                this.paginationParams.skipCount,
                this.paginationParams.pageSize
            )
            .pipe(finalize(() =&gt; this.gridTableService.selectFirstRow(this.dataParams!.api)))
            .subscribe((result) =&gt; {
                this.paginationParams.totalCount = result.totalCount;
                this.rowData = result.items;
                this.paginationParams.totalPage = ceil(result.totalCount / (this.paginationParams.pageSize ?? 0));
            });
    }
    clearTextSearch() {
        this.workingDate = '';
        this.workingType = '';
        this.workingStatus = '';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           this.workingDate,
            this.workingType,
            this.workingStatus,
            undefined,
            '',
            '',
            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this.message.confirm(this.l('AreYouSureToDelete', system.workingType),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this._service.getCalendarToExcel(undefined, '', '', undefined, '', '').subscribe((result) =&gt; {
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</si>
  <si>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
                &lt;div class="prod-cont"&gt;
                    &lt;div class="ui-g-12"&gt;
                        &lt;div class="form-group m-form__group align-items-center"&gt;
                            &lt;div class="input-group"&gt;
                              &lt;!-- 	&lt;PROPERTIES&gt;  --&gt;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</si>
</sst>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0" fillId="14" borderId="3" xfId="0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/>
    </xf>
    <xf numFmtId="0" fontId="0" fillId="14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abSelected="1" topLeftCell="A26" workbookViewId="0">
      <selection activeCell="I27" sqref="I27"/>
    </sheetView>
  </sheetViews>
  <sheetFormatPr defaultRowHeight="15" x14ac:dyDescent="0.25"/>
  <cols>
    <col min="1" max="1" width="3.5703125" customWidth="1"/>
    <col min="2" max="2" width="18.5703125" customWidth="1"/>
    <col min="3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197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88</v>
      </c>
    </row>
    <row r="7" spans="1:6" x14ac:dyDescent="0.25">
      <c r="A7" s="1"/>
      <c r="B7" s="17"/>
      <c r="C7" s="2" t="s">
        <v>98</v>
      </c>
      <c r="D7" s="2"/>
      <c r="E7" s="2"/>
      <c r="F7" s="2" t="s">
        <v>106</v>
      </c>
    </row>
    <row r="8" spans="1:6" x14ac:dyDescent="0.25">
      <c r="A8" s="1"/>
      <c r="B8" s="17"/>
      <c r="C8" t="s">
        <v>90</v>
      </c>
      <c r="F8" s="1" t="s">
        <v>239</v>
      </c>
    </row>
    <row r="9" spans="1:6" x14ac:dyDescent="0.25">
      <c r="A9" s="1"/>
      <c r="B9" s="17"/>
      <c r="C9" t="s">
        <v>89</v>
      </c>
      <c r="F9" s="1" t="s">
        <v>99</v>
      </c>
    </row>
    <row r="10" spans="1:6" x14ac:dyDescent="0.25">
      <c r="A10" s="1"/>
      <c r="B10" s="17"/>
      <c r="D10" t="s">
        <v>90</v>
      </c>
      <c r="F10" s="1" t="s">
        <v>239</v>
      </c>
    </row>
    <row r="11" spans="1:6" x14ac:dyDescent="0.25">
      <c r="A11" s="1"/>
      <c r="B11" s="17"/>
      <c r="D11" t="s">
        <v>91</v>
      </c>
      <c r="F11" s="1" t="s">
        <v>100</v>
      </c>
    </row>
    <row r="12" spans="1:6" x14ac:dyDescent="0.25">
      <c r="A12" s="1"/>
      <c r="B12" s="17"/>
      <c r="D12" t="s">
        <v>92</v>
      </c>
      <c r="F12" s="1" t="s">
        <v>101</v>
      </c>
    </row>
    <row r="13" spans="1:6" x14ac:dyDescent="0.25">
      <c r="A13" s="1"/>
      <c r="B13" s="17"/>
      <c r="D13" t="s">
        <v>93</v>
      </c>
      <c r="F13" s="1" t="s">
        <v>102</v>
      </c>
    </row>
    <row r="14" spans="1:6" x14ac:dyDescent="0.25">
      <c r="A14" s="1"/>
      <c r="B14" s="17"/>
      <c r="D14" t="s">
        <v>94</v>
      </c>
      <c r="F14" s="1" t="s">
        <v>103</v>
      </c>
    </row>
    <row r="15" spans="1:6" x14ac:dyDescent="0.25">
      <c r="A15" s="1"/>
      <c r="B15" s="17"/>
      <c r="D15" t="s">
        <v>95</v>
      </c>
      <c r="F15" s="1" t="s">
        <v>104</v>
      </c>
    </row>
    <row r="16" spans="1:6" x14ac:dyDescent="0.25">
      <c r="A16" s="1"/>
      <c r="B16" s="17"/>
      <c r="C16" t="s">
        <v>92</v>
      </c>
      <c r="F16" s="1" t="s">
        <v>101</v>
      </c>
    </row>
    <row r="17" spans="1:6" x14ac:dyDescent="0.25">
      <c r="A17" s="1"/>
      <c r="B17" s="17"/>
      <c r="D17" t="s">
        <v>96</v>
      </c>
      <c r="F17" s="1" t="s">
        <v>115</v>
      </c>
    </row>
    <row r="18" spans="1:6" x14ac:dyDescent="0.25">
      <c r="A18" s="1"/>
      <c r="B18" s="17"/>
      <c r="D18" t="s">
        <v>97</v>
      </c>
      <c r="F18" s="1" t="s">
        <v>105</v>
      </c>
    </row>
    <row r="19" spans="1:6" x14ac:dyDescent="0.25">
      <c r="A19" s="1"/>
      <c r="B19" s="17"/>
      <c r="C19" t="s">
        <v>93</v>
      </c>
      <c r="F19" s="1" t="s">
        <v>102</v>
      </c>
    </row>
    <row r="20" spans="1:6" x14ac:dyDescent="0.25">
      <c r="A20" s="1"/>
      <c r="B20" s="17"/>
      <c r="C20" t="s">
        <v>94</v>
      </c>
      <c r="F20" s="1" t="s">
        <v>103</v>
      </c>
    </row>
    <row r="21" spans="1:6" x14ac:dyDescent="0.25">
      <c r="A21" s="1"/>
      <c r="B21" s="17"/>
    </row>
    <row r="22" spans="1:6" x14ac:dyDescent="0.25">
      <c r="A22" s="1"/>
      <c r="B22" s="17" t="s">
        <v>87</v>
      </c>
    </row>
    <row r="23" spans="1:6" x14ac:dyDescent="0.25">
      <c r="A23" s="1"/>
      <c r="B23" s="17" t="s">
        <v>84</v>
      </c>
    </row>
    <row r="24" spans="1:6" x14ac:dyDescent="0.25">
      <c r="A24" s="1"/>
      <c r="B24" s="17"/>
      <c r="C24" s="19" t="s">
        <v>81</v>
      </c>
    </row>
    <row r="25" spans="1:6" x14ac:dyDescent="0.25">
      <c r="A25" s="1"/>
      <c r="B25" s="17"/>
      <c r="C25" s="18" t="s">
        <v>82</v>
      </c>
    </row>
    <row r="26" spans="1:6" x14ac:dyDescent="0.25">
      <c r="A26" s="1"/>
      <c r="B26" s="17"/>
      <c r="C26" s="18" t="s">
        <v>83</v>
      </c>
    </row>
    <row r="27" spans="1:6" x14ac:dyDescent="0.25">
      <c r="A27" s="1"/>
      <c r="B27" s="17" t="s">
        <v>107</v>
      </c>
      <c r="C27" s="18"/>
    </row>
    <row r="28" spans="1:6" x14ac:dyDescent="0.25">
      <c r="A28" s="1"/>
      <c r="B28" s="17"/>
      <c r="C28" s="18" t="s">
        <v>108</v>
      </c>
    </row>
    <row r="29" spans="1:6" x14ac:dyDescent="0.25">
      <c r="A29" s="1"/>
      <c r="B29" s="17"/>
      <c r="C29" s="18" t="s">
        <v>109</v>
      </c>
    </row>
    <row r="30" spans="1:6" x14ac:dyDescent="0.25">
      <c r="A30" s="1"/>
      <c r="B30" s="17"/>
      <c r="C30" s="18" t="s">
        <v>110</v>
      </c>
    </row>
    <row r="31" spans="1:6" x14ac:dyDescent="0.25">
      <c r="A31" s="1"/>
      <c r="B31" s="17"/>
      <c r="C31" s="18" t="s">
        <v>112</v>
      </c>
    </row>
    <row r="32" spans="1:6" x14ac:dyDescent="0.25">
      <c r="A32" s="1"/>
      <c r="B32" s="17"/>
      <c r="C32" s="18" t="s">
        <v>114</v>
      </c>
    </row>
    <row r="33" spans="1:14" x14ac:dyDescent="0.25">
      <c r="A33" s="1"/>
      <c r="B33" s="17"/>
      <c r="C33" s="18" t="s">
        <v>113</v>
      </c>
    </row>
    <row r="34" spans="1:14" x14ac:dyDescent="0.25">
      <c r="A34" s="1"/>
      <c r="B34" s="17"/>
      <c r="C34" s="18" t="s">
        <v>111</v>
      </c>
    </row>
    <row r="35" spans="1:14" ht="21" customHeight="1" x14ac:dyDescent="0.25">
      <c r="B35" s="21" t="s">
        <v>78</v>
      </c>
    </row>
    <row r="36" spans="1:14" ht="21" customHeight="1" x14ac:dyDescent="0.25">
      <c r="B36" s="61" t="s">
        <v>236</v>
      </c>
    </row>
    <row r="37" spans="1:14" ht="15.75" thickBot="1" x14ac:dyDescent="0.3">
      <c r="C37" s="1" t="s">
        <v>72</v>
      </c>
      <c r="D37" s="1" t="s">
        <v>208</v>
      </c>
      <c r="E37" s="1" t="s">
        <v>209</v>
      </c>
      <c r="F37" s="1" t="s">
        <v>199</v>
      </c>
      <c r="G37" s="1" t="s">
        <v>200</v>
      </c>
      <c r="H37" s="1" t="s">
        <v>201</v>
      </c>
      <c r="I37" s="1" t="s">
        <v>202</v>
      </c>
      <c r="J37" s="1" t="s">
        <v>206</v>
      </c>
      <c r="K37" s="1" t="s">
        <v>210</v>
      </c>
      <c r="L37" s="1" t="s">
        <v>211</v>
      </c>
      <c r="M37" s="1" t="s">
        <v>212</v>
      </c>
      <c r="N37" s="1" t="s">
        <v>232</v>
      </c>
    </row>
    <row r="38" spans="1:14" s="16" customFormat="1" ht="21.75" customHeight="1" thickBot="1" x14ac:dyDescent="0.3">
      <c r="B38" s="50" t="s">
        <v>231</v>
      </c>
      <c r="C38" s="49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[Index(nameof(Scantime), Name="IX_PtsAdoScanInfo_Scantime")]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	}
}
</v>
      </c>
      <c r="D38" s="49" t="str">
        <f>A.Backend!O7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E38" s="49" t="str">
        <f>A.Backend!N7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F38" s="49" t="str">
        <f>A.Backend!K7</f>
        <v>public virtual DbSet&lt;PtsAdoScanInfo&gt; PtsAdoScanInfos { get; set; }</v>
      </c>
      <c r="G38" s="49" t="str">
        <f ca="1">A.Backend!L7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H38" s="49" t="str">
        <f ca="1">A.Backend!M7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 Scantime { get; set; }
		[StringLength(PtsAdoScanInfoConsts.MaxScanbyLength)]
		public virtual string Scanby { get; set; }
		[StringLength(PtsAdoScanInfoConsts.MaxIsprocessedLength)]
		public virtual string Isprocessed { get; set; }
	}
	public class GetPtsAdoScanInfoInput : PagedAndSortedResultRequestDto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}
</v>
      </c>
      <c r="I38" s="49" t="str">
        <f ca="1">A.Backend!R7</f>
        <v xml:space="preserve">using Abp.Application.Services.Dto;
using System;
using System.ComponentModel.DataAnnotations;
namespace vovina.Painting.Andon.Dto
{
	public class PtsAdoScanInfoExportInput{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}
</v>
      </c>
      <c r="J38" s="49" t="str">
        <f>A.Backend!P7</f>
        <v xml:space="preserve">using Abp.Application.Services;
using Abp.Application.Services.Dto;
using System.Collections.Generic;using vovina.Dto;
using System.Threading.Tasks;
using vovina.Painting.Andon.Dto;
namespace vovina.Painting.Andon
{
	public interface IPtsAdoScanInfoAppService : IApplicationService
	{
		Task&lt;PagedResultDto&lt;PtsAdoScanInfoDto&gt;&gt; GetAll(GetPtsAdoScanInfoInput input);
		Task CreateOrEdit(CreateOrEditPtsAdoScanInfoDto input);
		Task Delete(EntityDto input);
	}
}
</v>
      </c>
      <c r="K38" s="49" t="str">
        <f>A.Backend!S7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IPtsAdoScanInfoExcelExporter : IApplicationService
	{
		FileDto ExportToFile(List&lt;PtsAdoScanInfoDto&gt; ptsadoscaninfo);
	}
}
</v>
      </c>
      <c r="L38" s="49" t="str">
        <f ca="1">A.Backend!T7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PtsAdoScanInfoExcelExporter : NpoiExcelExporterBase, IPtsAdoScanInfoExcelExporter
    {
        public PtsAdoScanInfoExcelExporter(ITempFileCacheManager tempFileCacheManager) : base(tempFileCacheManager) { }
        public FileDto ExportToFile(List&lt;PtsAdoScanInfoDto&gt; scaninfo)
        {
            return CreateExcelPackage(
                                 "PaintingAndonScanInfo.xlsx",
                                 excelPackage =&gt;
                                 {
                                     var sheet = excelPackage.CreateSheet("ScanInfo");
                                     AddHeader(
                                               sheet,
                                                      ("Scantype"),
("Scanvalue"),
("Scanlocation"),
("Scantime"),
("Scanby"),
("Isprocessed"),
                                               );
                                     AddObjects(
                                         sheet, 1, scaninfo,
                                         _ =&gt; _.Scantype,
_ =&gt; _.Scanvalue,
_ =&gt; _.Scanlocation,
_ =&gt; _.Scantime,
_ =&gt; _.Scanby,
_ =&gt; _.Isprocessed,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v>
      </c>
      <c r="M38" s="57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[AbpAuthorize(AppPermissions.Pages_Painting_Andon_ScanInfo)]
    public class PtsAdoScanInfoAppService : vovinaAppServiceBase, IPtsAdoScanInfoAppService
    {
        private readonly IDapperRepository&lt;PtsAdoScanInfo, long&gt; _dapperRepo;
        private readonly IRepository&lt;PtsAdoScanInfo, long&gt; _repo;
        private readonly IPtsAdoScanInfoExcelExporter _calendarListExcelExporter;
        public PtsAdoScanInfoAppService(IRepository&lt;PtsAdoScanInfo,long&gt; repo, 
                                         IDapperRepository&lt;PtsAdoScanInfo,long&gt; dapperRepo,
                                        IPtsAdoScanInfoExcelExporter calendarListExcelExporter
            )
        {
            _repo = repo;
            _dapperRepo = dapperRepo;
            _calendarListExcelExporter = calendarListExcelExporter;
        }
        [AbpAuthorize(AppPermissions.Pages_Painting_Andon_ScanInfo_CreateEdit)]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          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Task&lt;PagedResultDto&lt;PtsAdoScanInfoDto&gt;&gt; GetAll(GetPtsAdoScanInfoInput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PtsAdoScanInfoDto
                         {Id = o.Id,
                              							Scantype = o.Scantype,
							Scanvalue = o.Scanvalue,
							Scanlocation = o.Scanlocation,
							Scantime = o.Scantime,
							Scanby = o.Scanby,
							Isprocessed = o.Isprocessed,
                         };
            var totalCount = await filtered.CountAsync();
			var paged = system.PageBy(input);
            return new PagedResultDto&lt;PtsAdoScanInfoDto&gt;(
                totalCount,
                 await paged.ToListAsync()
            );
        }
        public async Task&lt;FileDto&gt; GetScanInfoToExcel(PtsAdoScanInfoExportInput input)
        {
            var query = from o in _repo.GetAll()
                        select new PtsAdoScanInfoDto
                        {Id = o.Id,
                               							Scantype = o.Scantype,
							Scanvalue = o.Scanvalue,
							Scanlocation = o.Scanlocation,
							Scantime = o.Scantime,
							Scanby = o.Scanby,
							Isprocessed = o.Isprocessed,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_dapperRepo.ExecuteAsync(PtsAdoScanInfoConsts.SP_MST_WPT_CALENDAR_GENERATE);
       // }
    }
}</v>
      </c>
      <c r="N38" s="60" t="str">
        <f>A.Backend!U7</f>
        <v xml:space="preserve">  configuration.CreateMap&lt;PtsAdoScanInfoDto, PtsAdoScanInfo&gt;();
  configuration.CreateMap&lt;PtsAdoScanInfo, PtsAdoScanInfoDto&gt;();
  configuration.CreateMap&lt;CreateOrEditPtsAdoScanInfoDto, PtsAdoScanInfo&gt;();</v>
      </c>
    </row>
    <row r="39" spans="1:14" s="16" customFormat="1" ht="21.75" customHeight="1" x14ac:dyDescent="0.25">
      <c r="C39" s="63"/>
      <c r="D39" s="29"/>
      <c r="E39" s="29"/>
      <c r="F39" s="29"/>
      <c r="G39" s="29"/>
      <c r="H39" s="64"/>
      <c r="I39" s="65"/>
      <c r="J39" s="29"/>
      <c r="K39" s="29"/>
      <c r="M39" s="64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scaninfo</v>
      </c>
      <c r="C43" s="66" t="str">
        <f>"create folder " &amp;B43</f>
        <v>create folder scaninfo</v>
      </c>
      <c r="D43" s="66"/>
      <c r="E43" s="66"/>
      <c r="F43" s="66"/>
      <c r="G43" s="66"/>
      <c r="H43" s="66"/>
      <c r="I43" s="66"/>
      <c r="J43" s="66"/>
      <c r="K43" s="67" t="s">
        <v>233</v>
      </c>
      <c r="L43" s="67"/>
      <c r="M43" s="31"/>
    </row>
    <row r="44" spans="1:14" s="28" customFormat="1" ht="18" customHeight="1" x14ac:dyDescent="0.25">
      <c r="B44" s="58" t="s">
        <v>234</v>
      </c>
      <c r="C44" s="31" t="str">
        <f>B.Frontend!E14</f>
        <v>scaninfo.component.ts</v>
      </c>
      <c r="D44" s="31" t="str">
        <f>B.Frontend!F14</f>
        <v>scaninfo.component.html</v>
      </c>
      <c r="E44" s="31" t="str">
        <f>B.Frontend!G14</f>
        <v>scaninfo.component.less</v>
      </c>
      <c r="F44" s="31" t="str">
        <f>B.Frontend!H14</f>
        <v>create-or-edit-scaninfo-modal.component.html</v>
      </c>
      <c r="G44" s="31" t="str">
        <f>B.Frontend!I14</f>
        <v>create-or-edit-scaninfo-modal.component.ts</v>
      </c>
      <c r="H44" s="31" t="str">
        <f>B.Frontend!J14</f>
        <v>create-or-edit-scaninfo-modal.component.less</v>
      </c>
      <c r="I44" s="31" t="str">
        <f>B.Frontend!K14</f>
        <v>scaninfo.module.ts</v>
      </c>
      <c r="J44" s="31" t="str">
        <f>B.Frontend!L14</f>
        <v>scaninfo-routing.module.ts</v>
      </c>
      <c r="K44" s="31" t="str">
        <f>B.Frontend!M14</f>
        <v>app.navigation.service.ts</v>
      </c>
      <c r="L44" s="31" t="str">
        <f>B.Frontend!N14</f>
        <v>main.routing.module.ts</v>
      </c>
      <c r="M44" s="58" t="s">
        <v>237</v>
      </c>
    </row>
    <row r="45" spans="1:14" ht="21.75" customHeight="1" x14ac:dyDescent="0.25">
      <c r="B45" s="59" t="s">
        <v>231</v>
      </c>
      <c r="C45" s="47" t="str">
        <f ca="1">B.Frontend!E10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PtsAdoScanInfoDto, PtsAdoScanInfoServiceProxy } from '@shared/service-proxies/service-proxies';
import { finalize } from 'rxjs/internal/operators/finalize';
import { CreateOrEditScanInfoModalComponent } from './create-or-edit-scaninfo-modal.component';
import { DatePipe } from '@angular/common';
import { FileDownloadService } from '@shared/utils/file-download.service';
import ceil from 'lodash-es/ceil';
import { Paginator } from 'primeng/paginator';
@Component({
    templateUrl: './scaninfo.component.html',
    styleUrls: ['./scaninfo.component.less'],
})
export class ScanInfoComponent extends AppComponentBase implements OnInit {
    @ViewChild('createOrEditModalScanInfo', { static: true }) createOrEditModalScanInfo:
        | CreateOrEditScanInfoModalComponent
        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PtsAdoScanInfoDto = new PtsAdoScanInfoDto();
    saveSelectedRow: PtsAdoScanInfoDto = new PtsAdoScanInfoDto();
    datas: PtsAdoScanInfoDto = new PtsAdoScanInfoDto();
    isLoading: boolean = false;
    dataParams: GridParams | undefined;
    rowData: any[] = [];
    filter: string = '';
    workingType: string = '';
    workingStatus: string = '';
    today: Date = new Date();
    pipe = new DatePipe('en-US');
    gridApi!: GridApi;
    rowSelection = 'multiple';
    workingDate: any;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PtsAdoScanInfoServiceProxy,
        private gridTableService: GridTableService,
        private _fileDownloadService: FileDownloadService
    ) {
        super(injector);
        this.defaultColDefs = [
            {
                headerName: this.l('STT'),
                headerTooltip: this.l('STT'),
                cellRenderer: (params) =&gt;
                    params.rowIndex + 1 + this.paginationParams.pageSize * (this.paginationParams.pageNum - 1),
                cellClass: ['text-center'],
                width: 55,
            },
          {headerName: this.l('Scantype'),headerTooltip: this.l('Scantype'),field: 'scantype',flex: 1,},
{headerName: this.l('Scanvalue'),headerTooltip: this.l('Scanvalue'),field: 'scanvalue',flex: 1,},
{headerName: this.l('Scanlocation'),headerTooltip: this.l('Scanlocation'),field: 'scanlocation',flex: 1,},
{headerName: this.l('Scantime'),headerTooltip: this.l('Scantime'),field: 'scantime',flex: 1,},
{headerName: this.l('Scanby'),headerTooltip: this.l('Scanby'),field: 'scanby',flex: 1,},
{headerName: this.l('Isprocessed'),headerTooltip: this.l('Isprocessed'),field: 'isprocessed',flex: 1,},      	  
        ];
    }
    ngOnInit(): void {
        this.paginationParams = { pageNum: 1, pageSize: 20, totalCount: 0 };
    }
    searchDatas(): void {
        // this.paginator.changePage(this.paginator.getPage());
        this._service
            .getAll(
                this.workingDate,
                this.workingType,
                this.workingStatus,
                undefined,
                '',
                '',
                '',
                this.paginationParams.skipCount,
                this.paginationParams.pageSize
            )
            .pipe(finalize(() =&gt; this.gridTableService.selectFirstRow(this.dataParams!.api)))
            .subscribe((result) =&gt; {
                this.paginationParams.totalCount = result.totalCount;
                this.rowData = result.items;
                this.paginationParams.totalPage = ceil(result.totalCount / (this.paginationParams.pageSize ?? 0));
            });
    }
    clearTextSearch() {
        this.workingDate = '';
        this.workingType = '';
        this.workingStatus = '';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           this.workingDate,
            this.workingType,
            this.workingStatus,
            undefined,
            '',
            '',
            '',
            this.paginationParams.skipCount,
            this.paginationParams.pageSize
        );
    }
    onChangeRowSelection(params: { api: { getSelectedRows: () =&gt; PtsAdoScanInfoDto[] } }) {
        this.saveSelectedRow = params.api.getSelectedRows()[0] ?? new PtsAdoScanInfoDto();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PtsAdoScanInfoDto): void {
        this.message.confirm(this.l('AreYouSureToDelete', system.workingType),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this._service.getScanInfoToExcel(undefined, '', '', undefined, '', '').subscribe((result) =&gt; {
            this._fileDownloadService.downloadTempFile(result);
        });
    }
}</v>
      </c>
      <c r="D45" s="47" t="str">
        <f ca="1">B.Frontend!F10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
                &lt;div class="prod-cont"&gt;
                    &lt;div class="ui-g-12"&gt;
                        &lt;div class="form-group m-form__group align-items-center"&gt;
                            &lt;div class="input-group"&gt;
                              &lt;!-- 	&lt;div class='input-search'&gt;&lt;input [(ngModel)]='scantype' name='scantype' class='form-control'  placeholder='Scantype' /&gt;&lt;/div&gt;
&lt;div class='input-search'&gt;&lt;input [(ngModel)]='scanvalue' name='scanvalue' class='form-control'  placeholder='Scanvalue' /&gt;&lt;/div&gt;
&lt;div class='input-search'&gt;&lt;input [(ngModel)]='scanlocation' name='scanlocation' class='form-control'  placeholder='Scanlocation' /&gt;&lt;/div&gt;
&lt;div class='input-search'&gt;&lt;input [(ngModel)]='scantime' name='scantime' class='form-control'  placeholder='Scantime' /&gt;&lt;/div&gt;
&lt;div class='input-search'&gt;&lt;input [(ngModel)]='scanby' name='scanby' class='form-control'  placeholder='Scanby' /&gt;&lt;/div&gt;
&lt;div class='input-search'&gt;&lt;input [(ngModel)]='isprocessed' name='isprocessed' class='form-control'  placeholder='Isprocessed' /&gt;&lt;/div&gt;  --&gt;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&lt;create-or-edit-scaninfo-modal
    #createOrEditModalScanInfo
    (modalSave)="callBackDataGrid(dataParams)"
    (modalClose)="onChangeRowSelection(dataParams)"
&gt;
&lt;/create-or-edit-scaninfo-modal&gt;</v>
      </c>
      <c r="E45" s="47" t="str">
        <f>B.Frontend!G10</f>
        <v>.input-search{
    width: 250px;
    border-radius: 10px;
    margin-left: 10px;
}
.btn-search{
    width: 50px;
    margin-left: 10px;
}</v>
      </c>
      <c r="F45" s="47" t="str">
        <f ca="1">B.Frontend!H10</f>
        <v>&lt;div bsModal #createOrEditModalScanInfo="bs-modal"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ScanInfo')}}&lt;/h3&gt;
                    &lt;h3 *ngIf="!rowdata.id"&gt;{{('Create New 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&lt;div class='col-md-12 form-group row'&gt;&lt;label class='col-md-2 form-control title'&gt;Scantype&lt;/label&gt;&lt;input type='text' class='col-md-10 form-control input-text' name='Scantype' [(ngModel)]='rowdata.scantype'&gt;&lt;/div&gt;
&lt;div class='col-md-12 form-group row'&gt;&lt;label class='col-md-2 form-control title'&gt;Scanvalue&lt;/label&gt;&lt;input type='text' class='col-md-10 form-control input-text' name='Scanvalue' [(ngModel)]='rowdata.scanvalue'&gt;&lt;/div&gt;
&lt;div class='col-md-12 form-group row'&gt;&lt;label class='col-md-2 form-control title'&gt;Scanlocation&lt;/label&gt;&lt;input type='text' class='col-md-10 form-control input-text' name='Scanlocation' [(ngModel)]='rowdata.scanlocation'&gt;&lt;/div&gt;
&lt;div class='col-md-12 form-group row'&gt;&lt;label class='col-md-2 form-control title'&gt;Scantime&lt;/label&gt;&lt;input type='text' class='col-md-10 form-control input-text' name='Scantime' [(ngModel)]='rowdata.scantime'&gt;&lt;/div&gt;
&lt;div class='col-md-12 form-group row'&gt;&lt;label class='col-md-2 form-control title'&gt;Scanby&lt;/label&gt;&lt;input type='text' class='col-md-10 form-control input-text' name='Scanby' [(ngModel)]='rowdata.scanby'&gt;&lt;/div&gt;
&lt;div class='col-md-12 form-group row'&gt;&lt;label class='col-md-2 form-control title'&gt;Isprocessed&lt;/label&gt;&lt;input type='text' class='col-md-10 form-control input-text' name='Isprocessed' [(ngModel)]='rowdata.isprocessed'&gt;&lt;/div&gt;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7" t="str">
        <f>B.Frontend!I10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CreateOrEditPtsAdoScanInfoDto, PtsAdoScanInfoServiceProxy } from '@shared/service-proxies/service-proxies';
import { BsDatepickerDirective } from 'ngx-bootstrap/datepicker';
@Component({
  selector: 'create-or-edit-scaninfo-modal',
  templateUrl: './create-or-edit-scaninfo-modal.component.html',
  styleUrls: ['./create-or-edit-scaninfo-modal.component.less']
})
export class CreateOrEditScanInfoModalComponent extends AppComponentBase {
  @ViewChild('createOrEditModalScanInfo',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CreateOrEditPtsAdoScanInfoDto = new CreateOrEditPtsAdoScanInfoDto();
  active: boolean = false;
  saving: boolean = false;
  _isActive: boolean;
  constructor(
    injector: Injector,
    private _mstwptScanInfoService: PtsAdoScanInfoServiceProxy,
    ) {
    super(injector);
  }
  show(rowdata?: CreateOrEditPtsAdoScanInfoDto): void {
    if (!rowdata) this.rowdata = new CreateOrEditPtsAdoScanInfoDto();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this._mstwptScanInfoService.createOrEdit(this.rowdata)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v>
      </c>
      <c r="H45" s="47" t="str">
        <f>B.Frontend!J10</f>
        <v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v>
      </c>
      <c r="I45" s="47" t="str">
        <f>B.Frontend!K10</f>
        <v>import {NgModule} from '@angular/core';
import {AppSharedModule} from '@app/shared/app-shared.module';
import { ScanInfoRoutingModule } from './scaninfo-routing.module';
import { ScanInfoComponent } from './scaninfo.component';
import { CreateOrEditScanInfoModalComponent } from './create-or-edit-scaninfo-modal.component';
@NgModule({
    declarations: [
       ScanInfoComponent, 
        CreateOrEditScanInfoModalComponent
    ],
    imports: [
        AppSharedModule, ScanInfoRoutingModule]
})
export class ScanInfoModule {}</v>
      </c>
      <c r="J45" s="47" t="str">
        <f>B.Frontend!L10</f>
        <v>import {NgModule} from '@angular/core';
import {RouterModule, Routes} from '@angular/router';
import { ScanInfoComponent } from './scaninfo.component';
const routes: Routes = [{
    path: '',
    component: ScanInfoComponent,
    pathMatch: 'full'
}];
@NgModule({
    imports: [RouterModule.forChild(routes)],
    exports: [RouterModule],
})
export class ScanInfoRoutingModule {}</v>
      </c>
      <c r="K45" s="47" t="str">
        <f>B.Frontend!M10</f>
        <v xml:space="preserve"> new AppMenuItem("ScanInfo", "Pages.Painting.Andon.ScanInfo", "flaticon-book",   "/app/main/painting/andon/scaninfo"),</v>
      </c>
      <c r="L45" s="48" t="str">
        <f>B.Frontend!N10</f>
        <v>{
                        path: 'painting/andon/scaninfo',
                        loadChildren: () =&gt; import('./painting/andon/scaninfo/scaninfo.module').then(m =&gt; m.ScanInfoModule),
                        data: { permission: 'Pages.Painting.Andon.ScanInfo' }
                    },</v>
      </c>
      <c r="M45" s="46" t="str">
        <f>B.Frontend!O10</f>
        <v>ApiServiceProxies.PtsAdoScanInfoServiceProxy,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V16"/>
  <sheetViews>
    <sheetView workbookViewId="0">
      <pane xSplit="1" topLeftCell="B1" activePane="topRight" state="frozen"/>
      <selection pane="topRight" activeCell="D21" sqref="D21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20.7109375" style="8" customWidth="1"/>
    <col min="22" max="22" width="17.85546875" style="8" customWidth="1"/>
    <col min="23" max="16384" width="9.140625" style="8"/>
  </cols>
  <sheetData>
    <row r="1" spans="1:22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vovina.Painting.Andon.Dto;</v>
      </c>
      <c r="E1" s="10" t="s">
        <v>267</v>
      </c>
      <c r="F1" s="11" t="s">
        <v>245</v>
      </c>
      <c r="H1" s="11" t="s">
        <v>246</v>
      </c>
      <c r="J1" s="11" t="s">
        <v>247</v>
      </c>
      <c r="L1" s="11" t="s">
        <v>248</v>
      </c>
      <c r="M1" s="11" t="s">
        <v>249</v>
      </c>
      <c r="N1" s="11" t="s">
        <v>250</v>
      </c>
      <c r="O1" s="11" t="s">
        <v>251</v>
      </c>
      <c r="T1" s="10" t="s">
        <v>240</v>
      </c>
      <c r="U1" s="10" t="s">
        <v>235</v>
      </c>
    </row>
    <row r="2" spans="1:22" s="11" customFormat="1" x14ac:dyDescent="0.25">
      <c r="A2" s="1" t="s">
        <v>12</v>
      </c>
      <c r="B2" s="30" t="s">
        <v>264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86</v>
      </c>
      <c r="T2" s="11" t="s">
        <v>252</v>
      </c>
      <c r="V2" s="11" t="s">
        <v>253</v>
      </c>
    </row>
    <row r="3" spans="1:22" s="11" customFormat="1" ht="33" customHeight="1" x14ac:dyDescent="0.25">
      <c r="A3" s="1" t="s">
        <v>5</v>
      </c>
      <c r="B3" s="30" t="s">
        <v>263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PtsAdoScanInfoExportInput{
</v>
      </c>
      <c r="S3" s="11" t="str">
        <f>"namespace "&amp;$B$6&amp;".Exporting
"&amp;$C$3</f>
        <v xml:space="preserve">namespace vovina.Painting.Andon.Exporting
{
</v>
      </c>
      <c r="T3" s="11" t="str">
        <f>"T"&amp;COUNTA($A:$A)</f>
        <v>T14</v>
      </c>
      <c r="V3" s="11" t="str">
        <f>"V"&amp;COUNTA($A:$A)</f>
        <v>V14</v>
      </c>
    </row>
    <row r="4" spans="1:22" s="11" customFormat="1" ht="33" customHeight="1" x14ac:dyDescent="0.25">
      <c r="A4" s="1" t="s">
        <v>243</v>
      </c>
      <c r="B4" s="62" t="s">
        <v>92</v>
      </c>
      <c r="C4" s="10"/>
      <c r="D4" s="10"/>
      <c r="E4" s="10"/>
      <c r="G4" s="4"/>
      <c r="H4" s="10"/>
      <c r="I4" s="10"/>
      <c r="K4" s="5"/>
      <c r="R4" s="32"/>
    </row>
    <row r="5" spans="1:22" s="11" customFormat="1" ht="33" customHeight="1" x14ac:dyDescent="0.25">
      <c r="A5" s="1" t="s">
        <v>244</v>
      </c>
      <c r="B5" s="62" t="s">
        <v>265</v>
      </c>
      <c r="C5" s="10"/>
      <c r="D5" s="10"/>
      <c r="E5" s="10"/>
      <c r="G5" s="4"/>
      <c r="H5" s="10"/>
      <c r="I5" s="10"/>
      <c r="K5" s="5"/>
      <c r="R5" s="32"/>
    </row>
    <row r="6" spans="1:22" customFormat="1" ht="16.5" customHeight="1" x14ac:dyDescent="0.25">
      <c r="A6" s="1" t="s">
        <v>6</v>
      </c>
      <c r="B6" s="10" t="str">
        <f>"vovina."&amp;B2</f>
        <v>vovina.Painting.Andon</v>
      </c>
      <c r="C6" s="11" t="str">
        <f>"namespace "&amp;$B$6&amp;"
"&amp;$C$3</f>
        <v xml:space="preserve">namespace vovina.Painting.Andon
{
</v>
      </c>
      <c r="D6" s="11" t="str">
        <f>REPT(CHAR(9),1)&amp;"public class "&amp;B3&amp;G3&amp;REPT(CHAR(9),1)&amp;"
"&amp;REPT(CHAR(9),1)&amp;C3</f>
        <v xml:space="preserve">	public class PtsAdoScanInfo: FullAuditedEntity&lt;long&gt;, IEntity&lt;long&gt;	
	{
</v>
      </c>
      <c r="E6" s="11" t="str">
        <f>REPT(CHAR(9),1)&amp;"public class "&amp;B3&amp;"Consts"&amp;REPT(CHAR(9),1)&amp;"
"&amp;REPT(CHAR(9),1)&amp;C3</f>
        <v xml:space="preserve">	public class PtsAdoScanInfoConsts	
	{
</v>
      </c>
      <c r="F6" s="11" t="str">
        <f>REPT(CHAR(9),1)&amp;"public class "&amp;B3&amp;"Dto"&amp;K3&amp;REPT(CHAR(9),1)&amp;"
"&amp;REPT(CHAR(9),1)&amp;C3</f>
        <v xml:space="preserve">	public class PtsAdoScanInfoDto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CreateOrEditPtsAdoScanInfoDto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GetPtsAdoScanInfoInput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242</v>
      </c>
      <c r="O6" s="1" t="s">
        <v>241</v>
      </c>
      <c r="P6" s="1" t="s">
        <v>69</v>
      </c>
      <c r="Q6" s="1" t="s">
        <v>70</v>
      </c>
      <c r="R6" s="1" t="s">
        <v>203</v>
      </c>
      <c r="S6" s="1" t="s">
        <v>205</v>
      </c>
      <c r="T6" s="1" t="s">
        <v>204</v>
      </c>
      <c r="U6" s="1" t="s">
        <v>232</v>
      </c>
    </row>
    <row r="7" spans="1:22" customFormat="1" ht="15.75" customHeight="1" x14ac:dyDescent="0.25">
      <c r="A7" s="1" t="s">
        <v>13</v>
      </c>
      <c r="B7" s="10" t="str">
        <f>B3</f>
        <v>PtsAdoScanInfo</v>
      </c>
      <c r="C7" s="11" t="str">
        <f>REPT(CHAR(9),1)&amp;"[Table("""&amp;B7&amp;""")]"&amp;"
"</f>
        <v xml:space="preserve">	[Table("PtsAdoScanInfo")]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[Index(nameof(Scantime), Name="IX_PtsAdoScanInfo_Scantime")]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	}
}
</v>
      </c>
      <c r="K7" t="str">
        <f>SUBSTITUTE(SUBSTITUTE(("public virtual DbSet&lt;"&amp;B3&amp;"&gt; "&amp;B3&amp;"s { get; set; }"),"WorkingPattern",$Q$3),"Master",$B$4)</f>
        <v>public virtual DbSet&lt;PtsAdoScanInfo&gt; PtsAdoScanInfos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 Scantime { get; set; }
		[StringLength(PtsAdoScanInfoConsts.MaxScanbyLength)]
		public virtual string Scanby { get; set; }
		[StringLength(PtsAdoScanInfoConsts.MaxIsprocessedLength)]
		public virtual string Isprocessed { get; set; }
	}
	public class GetPtsAdoScanInfoInput : PagedAndSortedResultRequestDto	
	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
{
	public interface IPtsAdoScanInfoAppService : IApplicationService
	{
		Task&lt;PagedResultDto&lt;PtsAdoScanInfoDto&gt;&gt; GetAll(GetPtsAdoScanInfoInput input);
		Task CreateOrEdit(CreateOrEditPtsAdoScanInfoDto input);
		Task Delete(EntityDto input);
	}
}
</v>
      </c>
      <c r="Q7" t="str">
        <f ca="1">SUBSTITUTE(SUBSTITUTE(SUBSTITUTE(SUBSTITUTE(SUBSTITUTE(E1,"MstWptCalendar",$B$3),"&lt;PROPERTIES&gt;",P16),"Calendar",$B$5),"WorkingPattern",$Q$3),"Master",$B$4)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[AbpAuthorize(AppPermissions.Pages_Painting_Andon_ScanInfo)]
    public class PtsAdoScanInfoAppService : vovinaAppServiceBase, IPtsAdoScanInfoAppService
    {
        private readonly IDapperRepository&lt;PtsAdoScanInfo, long&gt; _dapperRepo;
        private readonly IRepository&lt;PtsAdoScanInfo, long&gt; _repo;
        private readonly IPtsAdoScanInfoExcelExporter _calendarListExcelExporter;
        public PtsAdoScanInfoAppService(IRepository&lt;PtsAdoScanInfo,long&gt; repo, 
                                         IDapperRepository&lt;PtsAdoScanInfo,long&gt; dapperRepo,
                                        IPtsAdoScanInfoExcelExporter calendarListExcelExporter
            )
        {
            _repo = repo;
            _dapperRepo = dapperRepo;
            _calendarListExcelExporter = calendarListExcelExporter;
        }
        [AbpAuthorize(AppPermissions.Pages_Painting_Andon_ScanInfo_CreateEdit)]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          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Task&lt;PagedResultDto&lt;PtsAdoScanInfoDto&gt;&gt; GetAll(GetPtsAdoScanInfoInput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PtsAdoScanInfoDto
                         {Id = o.Id,
                              							Scantype = o.Scantype,
							Scanvalue = o.Scanvalue,
							Scanlocation = o.Scanlocation,
							Scantime = o.Scantime,
							Scanby = o.Scanby,
							Isprocessed = o.Isprocessed,
                         };
            var totalCount = await filtered.CountAsync();
			var paged = system.PageBy(input);
            return new PagedResultDto&lt;PtsAdoScanInfoDto&gt;(
                totalCount,
                 await paged.ToListAsync()
            );
        }
        public async Task&lt;FileDto&gt; GetScanInfoToExcel(PtsAdoScanInfoExportInput input)
        {
            var query = from o in _repo.GetAll()
                        select new PtsAdoScanInfoDto
                        {Id = o.Id,
                               							Scantype = o.Scantype,
							Scanvalue = o.Scanvalue,
							Scanlocation = o.Scanlocation,
							Scantime = o.Scantime,
							Scanby = o.Scanby,
							Isprocessed = o.Isprocessed,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_dapperRepo.ExecuteAsync(PtsAdoScanInfoConsts.SP_MST_WPT_CALENDAR_GENERATE);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vovina.Painting.Andon.Dto
{
	public class PtsAdoScanInfoExportInput{
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IPtsAdoScanInfoExcelExporter : IApplicationService
	{
		FileDto ExportToFile(List&lt;PtsAdoScanInfoDto&gt; ptsadoscaninfo);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PtsAdoScanInfoExcelExporter : NpoiExcelExporterBase, IPtsAdoScanInfoExcelExporter
    {
        public PtsAdoScanInfoExcelExporter(ITempFileCacheManager tempFileCacheManager) : base(tempFileCacheManager) { }
        public FileDto ExportToFile(List&lt;PtsAdoScanInfoDto&gt; scaninfo)
        {
            return CreateExcelPackage(
                                 "PaintingAndonScanInfo.xlsx",
                                 excelPackage =&gt;
                                 {
                                     var sheet = excelPackage.CreateSheet("ScanInfo");
                                     AddHeader(
                                               sheet,
                                                      ("Scantype"),
("Scanvalue"),
("Scanlocation"),
("Scantime"),
("Scanby"),
("Isprocessed"),
                                               );
                                     AddObjects(
                                         sheet, 1, scaninfo,
                                         _ =&gt; _.Scantype,
_ =&gt; _.Scanvalue,
_ =&gt; _.Scanlocation,
_ =&gt; _.Scantime,
_ =&gt; _.Scanby,
_ =&gt; _.Isprocessed,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v>
      </c>
      <c r="U7" s="28" t="str">
        <f>SUBSTITUTE(SUBSTITUTE(U1,"MstWptCalendar",$B$3),"Master",$B$4)</f>
        <v xml:space="preserve">  configuration.CreateMap&lt;PtsAdoScanInfoDto, PtsAdoScanInfo&gt;();
  configuration.CreateMap&lt;PtsAdoScanInfo, PtsAdoScanInfoDto&gt;();
  configuration.CreateMap&lt;CreateOrEditPtsAdoScanInfoDto, PtsAdoScanInfo&gt;();</v>
      </c>
      <c r="V7" s="28"/>
    </row>
    <row r="8" spans="1:22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85</v>
      </c>
    </row>
    <row r="9" spans="1:22" customFormat="1" ht="22.5" customHeight="1" x14ac:dyDescent="0.25">
      <c r="A9" t="s">
        <v>254</v>
      </c>
      <c r="B9" t="s">
        <v>255</v>
      </c>
      <c r="C9" t="s">
        <v>80</v>
      </c>
      <c r="D9" t="str">
        <f>SUBSTITUTE(PROPER(A9),"_","")</f>
        <v>Scantype</v>
      </c>
      <c r="E9" t="str">
        <f t="shared" ref="E9:E11" si="0">IFERROR(LEFT(B9, FIND("(",B9)-1),B9)</f>
        <v>nvarchar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MaxScantypeLength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[StringLength(MaxScantypeLength)]
		public virtual string Scantype { get; set; }
</v>
      </c>
      <c r="K9" s="7" t="s">
        <v>207</v>
      </c>
      <c r="L9" t="str">
        <f>IF(K9="","",REPT(CHAR(9),1)&amp;"[Index(nameof("&amp;IF(D9="","",""&amp;D9)&amp;")"&amp;", Name="&amp;"""IX_"&amp;$B$7&amp;"_"&amp;D9&amp;""")]")</f>
        <v xml:space="preserve">	[Index(nameof(Scantype), Name="IX_PtsAdoScanInfo_Scantype")]</v>
      </c>
      <c r="M9" t="str">
        <f t="shared" ref="M9:M11" si="4">REPT(CHAR(9),2)&amp;"public virtual "&amp;H9&amp;IF(C9="?","? "," ")&amp;D9&amp;" { get; set; }" &amp; "
"</f>
        <v xml:space="preserve">		public virtual string Scantype { get; set; }
</v>
      </c>
      <c r="N9" t="str">
        <f t="shared" ref="N9:N11" si="5">IF(C9="Checked","",$I$3)&amp;IF(H9="string",REPT(CHAR(9),2)&amp;"[StringLength("&amp;$B$3&amp;"Consts.Max"&amp;D9&amp;"Length"&amp;")]"&amp;$E$3,"")&amp;REPT(CHAR(9),2)&amp;"public virtual "&amp;H9&amp;IF(C9="?","? "," ")&amp;D9&amp;" { get; set; }" &amp; "
"</f>
        <v xml:space="preserve">		[Required]
		[StringLength(PtsAdoScanInfoConsts.MaxScantypeLength)]
		public virtual string Scantype { get; set; }
</v>
      </c>
      <c r="O9" t="str">
        <f t="shared" ref="O9:O11" si="6">IF(OR(H9="string",H9="DateTime"),REPT(CHAR(9),2)&amp;"public virtual "&amp;H9&amp;IF(C9="?","? "," ")&amp;D9&amp;" { get; set; }"&amp;$E$3,"")</f>
        <v xml:space="preserve">		public virtual string Scantype { get; set; }
</v>
      </c>
      <c r="P9" t="str">
        <f t="shared" ref="P9:P11" si="7">REPT(CHAR(9),7)&amp;D9&amp;" = o." &amp;D9 &amp;","</f>
        <v xml:space="preserve">							Scantype = o.Scantype,</v>
      </c>
      <c r="T9" s="28" t="str">
        <f>"("""&amp;D9&amp;"""),"</f>
        <v>("Scantype"),</v>
      </c>
      <c r="V9" t="str">
        <f t="shared" ref="V9:V14" si="8">"_ =&gt; _."&amp;D9&amp;","</f>
        <v>_ =&gt; _.Scantype,</v>
      </c>
    </row>
    <row r="10" spans="1:22" customFormat="1" ht="21" customHeight="1" x14ac:dyDescent="0.25">
      <c r="A10" t="s">
        <v>256</v>
      </c>
      <c r="B10" t="s">
        <v>255</v>
      </c>
      <c r="C10" t="s">
        <v>1</v>
      </c>
      <c r="D10" t="str">
        <f t="shared" ref="D10:D11" si="9">SUBSTITUTE(PROPER(A10),"_","")</f>
        <v>Scanvalue</v>
      </c>
      <c r="E10" t="str">
        <f t="shared" si="0"/>
        <v>nvarchar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MaxScanvalueLength = 50;
</v>
      </c>
      <c r="J10" t="str">
        <f t="shared" si="3"/>
        <v xml:space="preserve">		[StringLength(MaxScanvalueLength)]
		public virtual string Scanvalue { get; set; }
</v>
      </c>
      <c r="K10" s="7"/>
      <c r="L10" t="str">
        <f t="shared" ref="L10:L11" si="10">IF(K10="","",REPT(CHAR(9),1)&amp;"[Index(nameof("&amp;IF(D10="","",""&amp;D10)&amp;")"&amp;", Name="&amp;"""IX_"&amp;$B$7&amp;"_"&amp;D10&amp;""")]")</f>
        <v/>
      </c>
      <c r="M10" t="str">
        <f t="shared" si="4"/>
        <v xml:space="preserve">		public virtual string Scanvalue { get; set; }
</v>
      </c>
      <c r="N10" t="str">
        <f t="shared" si="5"/>
        <v xml:space="preserve">		[StringLength(PtsAdoScanInfoConsts.MaxScanvalueLength)]
		public virtual string Scanvalue { get; set; }
</v>
      </c>
      <c r="O10" t="str">
        <f t="shared" si="6"/>
        <v xml:space="preserve">		public virtual string Scanvalue { get; set; }
</v>
      </c>
      <c r="P10" t="str">
        <f t="shared" si="7"/>
        <v xml:space="preserve">							Scanvalue = o.Scanvalue,</v>
      </c>
      <c r="T10" s="28" t="str">
        <f t="shared" ref="T10:T11" si="11">"("""&amp;D10&amp;"""),"</f>
        <v>("Scanvalue"),</v>
      </c>
      <c r="V10" t="str">
        <f t="shared" si="8"/>
        <v>_ =&gt; _.Scanvalue,</v>
      </c>
    </row>
    <row r="11" spans="1:22" customFormat="1" ht="18.75" customHeight="1" x14ac:dyDescent="0.25">
      <c r="A11" t="s">
        <v>257</v>
      </c>
      <c r="B11" t="s">
        <v>255</v>
      </c>
      <c r="C11" t="s">
        <v>1</v>
      </c>
      <c r="D11" t="str">
        <f t="shared" si="9"/>
        <v>Scanlocation</v>
      </c>
      <c r="E11" t="str">
        <f t="shared" si="0"/>
        <v>nvarchar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MaxScanlocationLength = 50;
</v>
      </c>
      <c r="J11" t="str">
        <f t="shared" si="3"/>
        <v xml:space="preserve">		[StringLength(MaxScanlocationLength)]
		public virtual string Scanlocation { get; set; }
</v>
      </c>
      <c r="K11" s="7"/>
      <c r="L11" t="str">
        <f t="shared" si="10"/>
        <v/>
      </c>
      <c r="M11" t="str">
        <f t="shared" si="4"/>
        <v xml:space="preserve">		public virtual string Scanlocation { get; set; }
</v>
      </c>
      <c r="N11" t="str">
        <f t="shared" si="5"/>
        <v xml:space="preserve">		[StringLength(PtsAdoScanInfoConsts.MaxScanlocationLength)]
		public virtual string Scanlocation { get; set; }
</v>
      </c>
      <c r="O11" t="str">
        <f t="shared" si="6"/>
        <v xml:space="preserve">		public virtual string Scanlocation { get; set; }
</v>
      </c>
      <c r="P11" t="str">
        <f t="shared" si="7"/>
        <v xml:space="preserve">							Scanlocation = o.Scanlocation,</v>
      </c>
      <c r="T11" s="28" t="str">
        <f t="shared" si="11"/>
        <v>("Scanlocation"),</v>
      </c>
      <c r="V11" t="str">
        <f t="shared" si="8"/>
        <v>_ =&gt; _.Scanlocation,</v>
      </c>
    </row>
    <row r="12" spans="1:22" customFormat="1" ht="22.5" customHeight="1" x14ac:dyDescent="0.25">
      <c r="A12" t="s">
        <v>258</v>
      </c>
      <c r="B12" t="s">
        <v>259</v>
      </c>
      <c r="C12" t="s">
        <v>80</v>
      </c>
      <c r="D12" t="str">
        <f>SUBSTITUTE(PROPER(A12),"_","")</f>
        <v>Scantime</v>
      </c>
      <c r="E12" t="str">
        <f t="shared" ref="E12:E14" si="12">IFERROR(LEFT(B12, FIND("(",B12)-1),B12)</f>
        <v>datetime2</v>
      </c>
      <c r="F12" s="7"/>
      <c r="G12" t="str">
        <f t="shared" ref="G12:G14" si="13">IFERROR(MID(B12,FIND("(",B12) +1, FIND(")",B12) - FIND("(",B12) - 1),"")</f>
        <v>7</v>
      </c>
      <c r="H12" t="str">
        <f>+VLOOKUP(E12,'Data Type Mapping'!A:B,2,)</f>
        <v>DateTime</v>
      </c>
      <c r="I12" t="str">
        <f t="shared" ref="I12:I14" si="14">IF(H12="string",REPT(CHAR(9),2)&amp;"public const int Max"&amp;D12&amp;"Length = "&amp;G12&amp;";"&amp;$E$3,"" )</f>
        <v/>
      </c>
      <c r="J12" t="str">
        <f t="shared" ref="J12:J14" si="15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[Required]
		public virtual DateTime Scantime { get; set; }
</v>
      </c>
      <c r="K12" s="7" t="s">
        <v>207</v>
      </c>
      <c r="L12" t="str">
        <f>IF(K12="","",REPT(CHAR(9),1)&amp;"[Index(nameof("&amp;IF(D12="","",""&amp;D12)&amp;")"&amp;", Name="&amp;"""IX_"&amp;$B$7&amp;"_"&amp;D12&amp;""")]")</f>
        <v xml:space="preserve">	[Index(nameof(Scantime), Name="IX_PtsAdoScanInfo_Scantime")]</v>
      </c>
      <c r="M12" t="str">
        <f t="shared" ref="M12:M14" si="16">REPT(CHAR(9),2)&amp;"public virtual "&amp;H12&amp;IF(C12="?","? "," ")&amp;D12&amp;" { get; set; }" &amp; "
"</f>
        <v xml:space="preserve">		public virtual DateTime Scantime { get; set; }
</v>
      </c>
      <c r="N12" t="str">
        <f t="shared" ref="N12:N14" si="17">IF(C12="Checked","",$I$3)&amp;IF(H12="string",REPT(CHAR(9),2)&amp;"[StringLength("&amp;$B$3&amp;"Consts.Max"&amp;D12&amp;"Length"&amp;")]"&amp;$E$3,"")&amp;REPT(CHAR(9),2)&amp;"public virtual "&amp;H12&amp;IF(C12="?","? "," ")&amp;D12&amp;" { get; set; }" &amp; "
"</f>
        <v xml:space="preserve">		[Required]
		public virtual DateTime Scantime { get; set; }
</v>
      </c>
      <c r="O12" t="str">
        <f t="shared" ref="O12:O14" si="18">IF(OR(H12="string",H12="DateTime"),REPT(CHAR(9),2)&amp;"public virtual "&amp;H12&amp;IF(C12="?","? "," ")&amp;D12&amp;" { get; set; }"&amp;$E$3,"")</f>
        <v xml:space="preserve">		public virtual DateTime Scantime { get; set; }
</v>
      </c>
      <c r="P12" t="str">
        <f t="shared" ref="P12:P14" si="19">REPT(CHAR(9),7)&amp;D12&amp;" = o." &amp;D12 &amp;","</f>
        <v xml:space="preserve">							Scantime = o.Scantime,</v>
      </c>
      <c r="T12" s="28" t="str">
        <f>"("""&amp;D12&amp;"""),"</f>
        <v>("Scantime"),</v>
      </c>
      <c r="V12" t="str">
        <f t="shared" si="8"/>
        <v>_ =&gt; _.Scantime,</v>
      </c>
    </row>
    <row r="13" spans="1:22" customFormat="1" ht="21" customHeight="1" x14ac:dyDescent="0.25">
      <c r="A13" t="s">
        <v>260</v>
      </c>
      <c r="B13" t="s">
        <v>255</v>
      </c>
      <c r="C13" t="s">
        <v>1</v>
      </c>
      <c r="D13" t="str">
        <f t="shared" ref="D13:D14" si="20">SUBSTITUTE(PROPER(A13),"_","")</f>
        <v>Scanby</v>
      </c>
      <c r="E13" t="str">
        <f t="shared" si="12"/>
        <v>nvarchar</v>
      </c>
      <c r="F13" s="7"/>
      <c r="G13" t="str">
        <f t="shared" si="13"/>
        <v>50</v>
      </c>
      <c r="H13" t="str">
        <f>+VLOOKUP(E13,'Data Type Mapping'!A:B,2,)</f>
        <v>string</v>
      </c>
      <c r="I13" t="str">
        <f t="shared" si="14"/>
        <v xml:space="preserve">		public const int MaxScanbyLength = 50;
</v>
      </c>
      <c r="J13" t="str">
        <f t="shared" si="15"/>
        <v xml:space="preserve">		[StringLength(MaxScanbyLength)]
		public virtual string Scanby { get; set; }
</v>
      </c>
      <c r="K13" s="7"/>
      <c r="L13" t="str">
        <f t="shared" ref="L13:L14" si="21">IF(K13="","",REPT(CHAR(9),1)&amp;"[Index(nameof("&amp;IF(D13="","",""&amp;D13)&amp;")"&amp;", Name="&amp;"""IX_"&amp;$B$7&amp;"_"&amp;D13&amp;""")]")</f>
        <v/>
      </c>
      <c r="M13" t="str">
        <f t="shared" si="16"/>
        <v xml:space="preserve">		public virtual string Scanby { get; set; }
</v>
      </c>
      <c r="N13" t="str">
        <f t="shared" si="17"/>
        <v xml:space="preserve">		[StringLength(PtsAdoScanInfoConsts.MaxScanbyLength)]
		public virtual string Scanby { get; set; }
</v>
      </c>
      <c r="O13" t="str">
        <f t="shared" si="18"/>
        <v xml:space="preserve">		public virtual string Scanby { get; set; }
</v>
      </c>
      <c r="P13" t="str">
        <f t="shared" si="19"/>
        <v xml:space="preserve">							Scanby = o.Scanby,</v>
      </c>
      <c r="T13" s="28" t="str">
        <f t="shared" ref="T13:T14" si="22">"("""&amp;D13&amp;"""),"</f>
        <v>("Scanby"),</v>
      </c>
      <c r="V13" t="str">
        <f t="shared" si="8"/>
        <v>_ =&gt; _.Scanby,</v>
      </c>
    </row>
    <row r="14" spans="1:22" customFormat="1" ht="18.75" customHeight="1" x14ac:dyDescent="0.25">
      <c r="A14" t="s">
        <v>261</v>
      </c>
      <c r="B14" t="s">
        <v>262</v>
      </c>
      <c r="C14" t="s">
        <v>1</v>
      </c>
      <c r="D14" t="str">
        <f t="shared" si="20"/>
        <v>Isprocessed</v>
      </c>
      <c r="E14" t="str">
        <f t="shared" si="12"/>
        <v>nvarchar</v>
      </c>
      <c r="F14" s="7"/>
      <c r="G14" t="str">
        <f t="shared" si="13"/>
        <v>1</v>
      </c>
      <c r="H14" t="str">
        <f>+VLOOKUP(E14,'Data Type Mapping'!A:B,2,)</f>
        <v>string</v>
      </c>
      <c r="I14" t="str">
        <f t="shared" si="14"/>
        <v xml:space="preserve">		public const int MaxIsprocessedLength = 1;
</v>
      </c>
      <c r="J14" t="str">
        <f t="shared" si="15"/>
        <v xml:space="preserve">		[StringLength(MaxIsprocessedLength)]
		public virtual string Isprocessed { get; set; }
</v>
      </c>
      <c r="K14" s="7"/>
      <c r="L14" t="str">
        <f t="shared" si="21"/>
        <v/>
      </c>
      <c r="M14" t="str">
        <f t="shared" si="16"/>
        <v xml:space="preserve">		public virtual string Isprocessed { get; set; }
</v>
      </c>
      <c r="N14" t="str">
        <f t="shared" si="17"/>
        <v xml:space="preserve">		[StringLength(PtsAdoScanInfoConsts.MaxIsprocessedLength)]
		public virtual string Isprocessed { get; set; }
</v>
      </c>
      <c r="O14" t="str">
        <f t="shared" si="18"/>
        <v xml:space="preserve">		public virtual string Isprocessed { get; set; }
</v>
      </c>
      <c r="P14" t="str">
        <f t="shared" si="19"/>
        <v xml:space="preserve">							Isprocessed = o.Isprocessed,</v>
      </c>
      <c r="T14" s="28" t="str">
        <f t="shared" si="22"/>
        <v>("Isprocessed"),</v>
      </c>
      <c r="V14" t="str">
        <f t="shared" si="8"/>
        <v>_ =&gt; _.Isprocessed,</v>
      </c>
    </row>
    <row r="16" spans="1:22" ht="45.75" customHeight="1" x14ac:dyDescent="0.25">
      <c r="H16" s="12"/>
      <c r="I16" s="34" t="str">
        <f ca="1">TEXTJOIN2("
", TRUE,INDIRECT( $H$1):INDIRECT( $H$3))</f>
        <v xml:space="preserve">		public const int MaxScantypeLength = 50;
		public const int MaxScanvalueLength = 50;
		public const int MaxScanlocationLength = 50;
		public const int MaxScanbyLength = 50;
		public const int MaxIsprocessedLength = 1;
</v>
      </c>
      <c r="J16" s="33" t="str">
        <f ca="1">TEXTJOIN2("
", TRUE,INDIRECT( $F$1):INDIRECT( $F$3))</f>
        <v xml:space="preserve">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</v>
      </c>
      <c r="K16" s="35" t="str">
        <f ca="1">TEXTJOIN2("
", TRUE,INDIRECT( $J$1):INDIRECT( $J$3))</f>
        <v xml:space="preserve">	[Index(nameof(Scantype), Name="IX_PtsAdoScanInfo_Scantype")]
	[Index(nameof(Scantime), Name="IX_PtsAdoScanInfo_Scantime")]
</v>
      </c>
      <c r="L16" s="13" t="s">
        <v>60</v>
      </c>
      <c r="M16" s="36" t="str">
        <f ca="1">TEXTJOIN2("
",TRUE,INDIRECT( $L$1):INDIRECT($L$3))</f>
        <v xml:space="preserve">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</v>
      </c>
      <c r="N16" s="33" t="str">
        <f ca="1">TEXTJOIN2("
",TRUE,INDIRECT( $M$1):INDIRECT($M$3))</f>
        <v xml:space="preserve">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 Scantime { get; set; }
		[StringLength(PtsAdoScanInfoConsts.MaxScanbyLength)]
		public virtual string Scanby { get; set; }
		[StringLength(PtsAdoScanInfoConsts.MaxIsprocessedLength)]
		public virtual string Isprocessed { get; set; }
</v>
      </c>
      <c r="O16" s="33" t="str">
        <f ca="1">TEXTJOIN2("
",TRUE,INDIRECT( $N$1):INDIRECT($N$3))</f>
        <v xml:space="preserve">		public virtual string Scantype { get; set; }
		public virtual string Scanvalue { get; set; }
		public virtual string Scanlocation { get; set; }
		public virtual DateTime Scantime { get; set; }
		public virtual string Scanby { get; set; }
		public virtual string Isprocessed { get; set; }
</v>
      </c>
      <c r="P16" s="9" t="str">
        <f ca="1">TEXTJOIN2("
",TRUE,INDIRECT( $O$1):INDIRECT($O$3))</f>
        <v xml:space="preserve">							Scantype = o.Scantype,
							Scanvalue = o.Scanvalue,
							Scanlocation = o.Scanlocation,
							Scantime = o.Scantime,
							Scanby = o.Scanby,
							Isprocessed = o.Isprocessed,</v>
      </c>
      <c r="T16" s="9" t="str">
        <f ca="1">TEXTJOIN2("
",TRUE,INDIRECT( $T$2):INDIRECT($T$3))</f>
        <v>("Scantype"),
("Scanvalue"),
("Scanlocation"),
("Scantime"),
("Scanby"),
("Isprocessed"),</v>
      </c>
      <c r="V16" s="9" t="str">
        <f ca="1">TEXTJOIN2("
",TRUE,INDIRECT( $V$2):INDIRECT($V$3))</f>
        <v>_ =&gt; _.Scantype,
_ =&gt; _.Scanvalue,
_ =&gt; _.Scanlocation,
_ =&gt; _.Scantime,
_ =&gt; _.Scanby,
_ =&gt; _.Isprocessed,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23"/>
  <sheetViews>
    <sheetView topLeftCell="A7" workbookViewId="0">
      <selection activeCell="B26" sqref="B26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4" width="15.140625" customWidth="1"/>
    <col min="5" max="5" width="24.42578125" customWidth="1"/>
    <col min="6" max="6" width="26.140625" customWidth="1"/>
    <col min="7" max="7" width="22.28515625" customWidth="1"/>
    <col min="8" max="8" width="25.85546875" customWidth="1"/>
    <col min="9" max="9" width="23.7109375" customWidth="1"/>
    <col min="10" max="10" width="23.42578125" customWidth="1"/>
    <col min="11" max="11" width="20.42578125" customWidth="1"/>
    <col min="12" max="12" width="20.5703125" customWidth="1"/>
    <col min="13" max="13" width="25.85546875" customWidth="1"/>
    <col min="14" max="15" width="25.42578125" customWidth="1"/>
  </cols>
  <sheetData>
    <row r="1" spans="1:15" ht="30" x14ac:dyDescent="0.25">
      <c r="A1" s="41" t="s">
        <v>213</v>
      </c>
      <c r="B1" s="42" t="s">
        <v>266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1:15" x14ac:dyDescent="0.25">
      <c r="A2" s="41" t="s">
        <v>243</v>
      </c>
      <c r="B2" s="68" t="str">
        <f>A.Backend!B4</f>
        <v>Painting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</row>
    <row r="3" spans="1:15" x14ac:dyDescent="0.25">
      <c r="A3" s="41" t="s">
        <v>243</v>
      </c>
      <c r="B3" s="68" t="str">
        <f>LOWER(B2)</f>
        <v>painting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</row>
    <row r="4" spans="1:15" x14ac:dyDescent="0.25">
      <c r="A4" s="41" t="s">
        <v>215</v>
      </c>
      <c r="B4" s="69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</row>
    <row r="5" spans="1:15" x14ac:dyDescent="0.25">
      <c r="A5" s="41" t="s">
        <v>215</v>
      </c>
      <c r="B5" s="69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</row>
    <row r="6" spans="1:15" x14ac:dyDescent="0.25">
      <c r="A6" s="41" t="s">
        <v>228</v>
      </c>
      <c r="B6" s="70" t="str">
        <f>A.Backend!B3</f>
        <v>PtsAdoScanInfo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</row>
    <row r="7" spans="1:15" x14ac:dyDescent="0.25">
      <c r="A7" s="41" t="s">
        <v>216</v>
      </c>
      <c r="B7" s="69" t="str">
        <f>A.Backend!B5</f>
        <v>ScanInfo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</row>
    <row r="8" spans="1:15" x14ac:dyDescent="0.25">
      <c r="A8" s="41" t="s">
        <v>214</v>
      </c>
      <c r="B8" s="69" t="str">
        <f>LOWER(B7)</f>
        <v>scaninfo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15" ht="18.75" customHeight="1" x14ac:dyDescent="0.25">
      <c r="A9" s="51" t="s">
        <v>217</v>
      </c>
      <c r="B9" s="52"/>
      <c r="C9" s="51"/>
      <c r="D9" s="51"/>
      <c r="E9" s="43" t="s">
        <v>271</v>
      </c>
      <c r="F9" s="44" t="s">
        <v>272</v>
      </c>
      <c r="G9" s="43" t="s">
        <v>220</v>
      </c>
      <c r="H9" s="45" t="s">
        <v>221</v>
      </c>
      <c r="I9" s="44" t="s">
        <v>222</v>
      </c>
      <c r="J9" s="43" t="s">
        <v>223</v>
      </c>
      <c r="K9" s="43" t="s">
        <v>224</v>
      </c>
      <c r="L9" s="43" t="s">
        <v>225</v>
      </c>
      <c r="M9" s="44" t="s">
        <v>227</v>
      </c>
      <c r="N9" s="43" t="s">
        <v>230</v>
      </c>
      <c r="O9" s="43" t="s">
        <v>238</v>
      </c>
    </row>
    <row r="10" spans="1:15" ht="18.75" customHeight="1" x14ac:dyDescent="0.25">
      <c r="A10" s="53" t="s">
        <v>218</v>
      </c>
      <c r="B10" s="54"/>
      <c r="C10" s="55"/>
      <c r="D10" s="55"/>
      <c r="E10" s="46" t="str">
        <f ca="1">SUBSTITUTE(SUBSTITUTE(SUBSTITUTE(SUBSTITUTE(E9,"MstWptCalendar",$B$6),"Calendar",$B$7),"calendar",$B$8),"&lt;PROPERTIES&gt;",E13)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PtsAdoScanInfoDto, PtsAdoScanInfoServiceProxy } from '@shared/service-proxies/service-proxies';
import { finalize } from 'rxjs/internal/operators/finalize';
import { CreateOrEditScanInfoModalComponent } from './create-or-edit-scaninfo-modal.component';
import { DatePipe } from '@angular/common';
import { FileDownloadService } from '@shared/utils/file-download.service';
import ceil from 'lodash-es/ceil';
import { Paginator } from 'primeng/paginator';
@Component({
    templateUrl: './scaninfo.component.html',
    styleUrls: ['./scaninfo.component.less'],
})
export class ScanInfoComponent extends AppComponentBase implements OnInit {
    @ViewChild('createOrEditModalScanInfo', { static: true }) createOrEditModalScanInfo:
        | CreateOrEditScanInfoModalComponent
        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PtsAdoScanInfoDto = new PtsAdoScanInfoDto();
    saveSelectedRow: PtsAdoScanInfoDto = new PtsAdoScanInfoDto();
    datas: PtsAdoScanInfoDto = new PtsAdoScanInfoDto();
    isLoading: boolean = false;
    dataParams: GridParams | undefined;
    rowData: any[] = [];
    filter: string = '';
    workingType: string = '';
    workingStatus: string = '';
    today: Date = new Date();
    pipe = new DatePipe('en-US');
    gridApi!: GridApi;
    rowSelection = 'multiple';
    workingDate: any;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PtsAdoScanInfoServiceProxy,
        private gridTableService: GridTableService,
        private _fileDownloadService: FileDownloadService
    ) {
        super(injector);
        this.defaultColDefs = [
            {
                headerName: this.l('STT'),
                headerTooltip: this.l('STT'),
                cellRenderer: (params) =&gt;
                    params.rowIndex + 1 + this.paginationParams.pageSize * (this.paginationParams.pageNum - 1),
                cellClass: ['text-center'],
                width: 55,
            },
          {headerName: this.l('Scantype'),headerTooltip: this.l('Scantype'),field: 'scantype',flex: 1,},
{headerName: this.l('Scanvalue'),headerTooltip: this.l('Scanvalue'),field: 'scanvalue',flex: 1,},
{headerName: this.l('Scanlocation'),headerTooltip: this.l('Scanlocation'),field: 'scanlocation',flex: 1,},
{headerName: this.l('Scantime'),headerTooltip: this.l('Scantime'),field: 'scantime',flex: 1,},
{headerName: this.l('Scanby'),headerTooltip: this.l('Scanby'),field: 'scanby',flex: 1,},
{headerName: this.l('Isprocessed'),headerTooltip: this.l('Isprocessed'),field: 'isprocessed',flex: 1,},      	  
        ];
    }
    ngOnInit(): void {
        this.paginationParams = { pageNum: 1, pageSize: 20, totalCount: 0 };
    }
    searchDatas(): void {
        // this.paginator.changePage(this.paginator.getPage());
        this._service
            .getAll(
                this.workingDate,
                this.workingType,
                this.workingStatus,
                undefined,
                '',
                '',
                '',
                this.paginationParams.skipCount,
                this.paginationParams.pageSize
            )
            .pipe(finalize(() =&gt; this.gridTableService.selectFirstRow(this.dataParams!.api)))
            .subscribe((result) =&gt; {
                this.paginationParams.totalCount = result.totalCount;
                this.rowData = result.items;
                this.paginationParams.totalPage = ceil(result.totalCount / (this.paginationParams.pageSize ?? 0));
            });
    }
    clearTextSearch() {
        this.workingDate = '';
        this.workingType = '';
        this.workingStatus = '';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           this.workingDate,
            this.workingType,
            this.workingStatus,
            undefined,
            '',
            '',
            '',
            this.paginationParams.skipCount,
            this.paginationParams.pageSize
        );
    }
    onChangeRowSelection(params: { api: { getSelectedRows: () =&gt; PtsAdoScanInfoDto[] } }) {
        this.saveSelectedRow = params.api.getSelectedRows()[0] ?? new PtsAdoScanInfoDto();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PtsAdoScanInfoDto): void {
        this.message.confirm(this.l('AreYouSureToDelete', system.workingType),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this._service.getScanInfoToExcel(undefined, '', '', undefined, '', '').subscribe((result) =&gt; {
            this._fileDownloadService.downloadTempFile(result);
        });
    }
}</v>
      </c>
      <c r="F10" s="46" t="str">
        <f ca="1">SUBSTITUTE(SUBSTITUTE(SUBSTITUTE(SUBSTITUTE(SUBSTITUTE(F9,"MstWptCalendar",$B$6),"Calendar",$B$7),"calendar",$B$8),"&lt;PROPERTIES&gt;",F13),"&lt;FULL_TITLE&gt;",B1)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
                &lt;div class="prod-cont"&gt;
                    &lt;div class="ui-g-12"&gt;
                        &lt;div class="form-group m-form__group align-items-center"&gt;
                            &lt;div class="input-group"&gt;
                              &lt;!-- 	&lt;div class='input-search'&gt;&lt;input [(ngModel)]='scantype' name='scantype' class='form-control'  placeholder='Scantype' /&gt;&lt;/div&gt;
&lt;div class='input-search'&gt;&lt;input [(ngModel)]='scanvalue' name='scanvalue' class='form-control'  placeholder='Scanvalue' /&gt;&lt;/div&gt;
&lt;div class='input-search'&gt;&lt;input [(ngModel)]='scanlocation' name='scanlocation' class='form-control'  placeholder='Scanlocation' /&gt;&lt;/div&gt;
&lt;div class='input-search'&gt;&lt;input [(ngModel)]='scantime' name='scantime' class='form-control'  placeholder='Scantime' /&gt;&lt;/div&gt;
&lt;div class='input-search'&gt;&lt;input [(ngModel)]='scanby' name='scanby' class='form-control'  placeholder='Scanby' /&gt;&lt;/div&gt;
&lt;div class='input-search'&gt;&lt;input [(ngModel)]='isprocessed' name='isprocessed' class='form-control'  placeholder='Isprocessed' /&gt;&lt;/div&gt;  --&gt;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&lt;create-or-edit-scaninfo-modal
    #createOrEditModalScanInfo
    (modalSave)="callBackDataGrid(dataParams)"
    (modalClose)="onChangeRowSelection(dataParams)"
&gt;
&lt;/create-or-edit-scaninfo-modal&gt;</v>
      </c>
      <c r="G10" s="46" t="str">
        <f>G9</f>
        <v>.input-search{
    width: 250px;
    border-radius: 10px;
    margin-left: 10px;
}
.btn-search{
    width: 50px;
    margin-left: 10px;
}</v>
      </c>
      <c r="H10" s="46" t="str">
        <f ca="1">SUBSTITUTE(SUBSTITUTE(SUBSTITUTE(SUBSTITUTE(H9,"MstWptCalendar",$B$6),"Calendar",$B$7),"calendar",$B$8),"&lt;PROPERTIES&gt;",H13)</f>
        <v>&lt;div bsModal #createOrEditModalScanInfo="bs-modal"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ScanInfo')}}&lt;/h3&gt;
                    &lt;h3 *ngIf="!rowdata.id"&gt;{{('Create New 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&lt;div class='col-md-12 form-group row'&gt;&lt;label class='col-md-2 form-control title'&gt;Scantype&lt;/label&gt;&lt;input type='text' class='col-md-10 form-control input-text' name='Scantype' [(ngModel)]='rowdata.scantype'&gt;&lt;/div&gt;
&lt;div class='col-md-12 form-group row'&gt;&lt;label class='col-md-2 form-control title'&gt;Scanvalue&lt;/label&gt;&lt;input type='text' class='col-md-10 form-control input-text' name='Scanvalue' [(ngModel)]='rowdata.scanvalue'&gt;&lt;/div&gt;
&lt;div class='col-md-12 form-group row'&gt;&lt;label class='col-md-2 form-control title'&gt;Scanlocation&lt;/label&gt;&lt;input type='text' class='col-md-10 form-control input-text' name='Scanlocation' [(ngModel)]='rowdata.scanlocation'&gt;&lt;/div&gt;
&lt;div class='col-md-12 form-group row'&gt;&lt;label class='col-md-2 form-control title'&gt;Scantime&lt;/label&gt;&lt;input type='text' class='col-md-10 form-control input-text' name='Scantime' [(ngModel)]='rowdata.scantime'&gt;&lt;/div&gt;
&lt;div class='col-md-12 form-group row'&gt;&lt;label class='col-md-2 form-control title'&gt;Scanby&lt;/label&gt;&lt;input type='text' class='col-md-10 form-control input-text' name='Scanby' [(ngModel)]='rowdata.scanby'&gt;&lt;/div&gt;
&lt;div class='col-md-12 form-group row'&gt;&lt;label class='col-md-2 form-control title'&gt;Isprocessed&lt;/label&gt;&lt;input type='text' class='col-md-10 form-control input-text' name='Isprocessed' [(ngModel)]='rowdata.isprocessed'&gt;&lt;/div&gt;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I10" s="46" t="str">
        <f>SUBSTITUTE(SUBSTITUTE(SUBSTITUTE(I9,"MstWptCalendar",$B$6),"Calendar",$B$7),"calendar",$B$8)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CreateOrEditPtsAdoScanInfoDto, PtsAdoScanInfoServiceProxy } from '@shared/service-proxies/service-proxies';
import { BsDatepickerDirective } from 'ngx-bootstrap/datepicker';
@Component({
  selector: 'create-or-edit-scaninfo-modal',
  templateUrl: './create-or-edit-scaninfo-modal.component.html',
  styleUrls: ['./create-or-edit-scaninfo-modal.component.less']
})
export class CreateOrEditScanInfoModalComponent extends AppComponentBase {
  @ViewChild('createOrEditModalScanInfo',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CreateOrEditPtsAdoScanInfoDto = new CreateOrEditPtsAdoScanInfoDto();
  active: boolean = false;
  saving: boolean = false;
  _isActive: boolean;
  constructor(
    injector: Injector,
    private _mstwptScanInfoService: PtsAdoScanInfoServiceProxy,
    ) {
    super(injector);
  }
  show(rowdata?: CreateOrEditPtsAdoScanInfoDto): void {
    if (!rowdata) this.rowdata = new CreateOrEditPtsAdoScanInfoDto();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this._mstwptScanInfoService.createOrEdit(this.rowdata)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v>
      </c>
      <c r="J10" s="46" t="str">
        <f>J9</f>
        <v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v>
      </c>
      <c r="K10" s="46" t="str">
        <f>SUBSTITUTE(SUBSTITUTE(SUBSTITUTE(K9,"MstWptCalendar",$B$6),"Calendar",$B$7),"calendar",$B$8)</f>
        <v>import {NgModule} from '@angular/core';
import {AppSharedModule} from '@app/shared/app-shared.module';
import { ScanInfoRoutingModule } from './scaninfo-routing.module';
import { ScanInfoComponent } from './scaninfo.component';
import { CreateOrEditScanInfoModalComponent } from './create-or-edit-scaninfo-modal.component';
@NgModule({
    declarations: [
       ScanInfoComponent, 
        CreateOrEditScanInfoModalComponent
    ],
    imports: [
        AppSharedModule, ScanInfoRoutingModule]
})
export class ScanInfoModule {}</v>
      </c>
      <c r="L10" s="46" t="str">
        <f>SUBSTITUTE(SUBSTITUTE(SUBSTITUTE(L9,"MstWptCalendar",$B$6),"Calendar",$B$7),"calendar",$B$8)</f>
        <v>import {NgModule} from '@angular/core';
import {RouterModule, Routes} from '@angular/router';
import { ScanInfoComponent } from './scaninfo.component';
const routes: Routes = [{
    path: '',
    component: ScanInfoComponent,
    pathMatch: 'full'
}];
@NgModule({
    imports: [RouterModule.forChild(routes)],
    exports: [RouterModule],
})
export class ScanInfoRoutingModule {}</v>
      </c>
      <c r="M10" s="46" t="str">
        <f>SUBSTITUTE(SUBSTITUTE(SUBSTITUTE(SUBSTITUTE(SUBSTITUTE(SUBSTITUTE(SUBSTITUTE(M9,"MstWptCalendar",$B$6),"Calendar",$B$7),"calendar",$B$8),"WorkingPattern",$B$4),"workingpattern",$B$5),"Master",$B$2),"master",$B$3)</f>
        <v xml:space="preserve"> new AppMenuItem("ScanInfo", "Pages.Painting.Andon.ScanInfo", "flaticon-book",   "/app/main/painting/andon/scaninfo"),</v>
      </c>
      <c r="N10" s="46" t="str">
        <f>SUBSTITUTE(SUBSTITUTE(SUBSTITUTE(SUBSTITUTE(SUBSTITUTE(SUBSTITUTE(SUBSTITUTE(N9,"MstWptCalendar",$B$6),"Calendar",$B$7),"calendar",$B$8),"WorkingPattern",$B$4),"workingpattern",$B$5),"Master",$B$2),"master",$B$3)</f>
        <v>{
                        path: 'painting/andon/scaninfo',
                        loadChildren: () =&gt; import('./painting/andon/scaninfo/scaninfo.module').then(m =&gt; m.ScanInfoModule),
                        data: { permission: 'Pages.Painting.Andon.ScanInfo' }
                    },</v>
      </c>
      <c r="O10" s="48" t="str">
        <f>SUBSTITUTE(O9,"MstWptCalendar",$B$6)</f>
        <v>ApiServiceProxies.PtsAdoScanInfoServiceProxy,</v>
      </c>
    </row>
    <row r="11" spans="1:15" x14ac:dyDescent="0.25">
      <c r="A11" s="56">
        <v>1</v>
      </c>
      <c r="B11" s="37">
        <v>1</v>
      </c>
      <c r="C11" s="31"/>
      <c r="D11" s="31"/>
      <c r="E11" s="31" t="s">
        <v>268</v>
      </c>
      <c r="F11" s="31" t="s">
        <v>269</v>
      </c>
      <c r="G11" s="31"/>
      <c r="H11" s="31" t="s">
        <v>270</v>
      </c>
      <c r="I11" s="31"/>
      <c r="J11" s="38"/>
      <c r="K11" s="31"/>
      <c r="L11" s="31"/>
      <c r="M11" s="31"/>
      <c r="N11" s="31"/>
      <c r="O11" s="31"/>
    </row>
    <row r="12" spans="1:15" x14ac:dyDescent="0.25">
      <c r="A12" s="56">
        <v>2</v>
      </c>
      <c r="B12" s="37"/>
      <c r="C12" s="31"/>
      <c r="D12" s="31"/>
      <c r="E12" s="31" t="str">
        <f>"E"&amp;COUNTA($A:$A)</f>
        <v>E20</v>
      </c>
      <c r="F12" s="31" t="str">
        <f>"F"&amp;COUNTA($A:$A)</f>
        <v>F20</v>
      </c>
      <c r="G12" s="31"/>
      <c r="H12" s="31" t="str">
        <f>"H"&amp;COUNTA($A:$A)</f>
        <v>H20</v>
      </c>
      <c r="I12" s="31"/>
      <c r="J12" s="31"/>
      <c r="K12" s="31"/>
      <c r="L12" s="31"/>
      <c r="M12" s="31"/>
      <c r="N12" s="31"/>
      <c r="O12" s="31"/>
    </row>
    <row r="13" spans="1:15" ht="17.25" customHeight="1" x14ac:dyDescent="0.25">
      <c r="A13" s="56">
        <v>3</v>
      </c>
      <c r="B13" s="31"/>
      <c r="C13" s="31"/>
      <c r="D13" s="31"/>
      <c r="E13" s="38" t="str">
        <f ca="1">TEXTJOIN2("
",TRUE,INDIRECT(E11):INDIRECT(E12))</f>
        <v>{headerName: this.l('Scantype'),headerTooltip: this.l('Scantype'),field: 'scantype',flex: 1,},
{headerName: this.l('Scanvalue'),headerTooltip: this.l('Scanvalue'),field: 'scanvalue',flex: 1,},
{headerName: this.l('Scanlocation'),headerTooltip: this.l('Scanlocation'),field: 'scanlocation',flex: 1,},
{headerName: this.l('Scantime'),headerTooltip: this.l('Scantime'),field: 'scantime',flex: 1,},
{headerName: this.l('Scanby'),headerTooltip: this.l('Scanby'),field: 'scanby',flex: 1,},
{headerName: this.l('Isprocessed'),headerTooltip: this.l('Isprocessed'),field: 'isprocessed',flex: 1,},</v>
      </c>
      <c r="F13" s="38" t="str">
        <f ca="1">TEXTJOIN2("
",TRUE,INDIRECT(F11):INDIRECT(F12))</f>
        <v>&lt;div class='input-search'&gt;&lt;input [(ngModel)]='scantype' name='scantype' class='form-control'  placeholder='Scantype' /&gt;&lt;/div&gt;
&lt;div class='input-search'&gt;&lt;input [(ngModel)]='scanvalue' name='scanvalue' class='form-control'  placeholder='Scanvalue' /&gt;&lt;/div&gt;
&lt;div class='input-search'&gt;&lt;input [(ngModel)]='scanlocation' name='scanlocation' class='form-control'  placeholder='Scanlocation' /&gt;&lt;/div&gt;
&lt;div class='input-search'&gt;&lt;input [(ngModel)]='scantime' name='scantime' class='form-control'  placeholder='Scantime' /&gt;&lt;/div&gt;
&lt;div class='input-search'&gt;&lt;input [(ngModel)]='scanby' name='scanby' class='form-control'  placeholder='Scanby' /&gt;&lt;/div&gt;
&lt;div class='input-search'&gt;&lt;input [(ngModel)]='isprocessed' name='isprocessed' class='form-control'  placeholder='Isprocessed' /&gt;&lt;/div&gt;</v>
      </c>
      <c r="G13" s="31"/>
      <c r="H13" s="38" t="str">
        <f ca="1">TEXTJOIN2("
",TRUE,INDIRECT(H11):INDIRECT(H12))</f>
        <v>&lt;div class='col-md-12 form-group row'&gt;&lt;label class='col-md-2 form-control title'&gt;Scantype&lt;/label&gt;&lt;input type='text' class='col-md-10 form-control input-text' name='Scantype' [(ngModel)]='rowdata.scantype'&gt;&lt;/div&gt;
&lt;div class='col-md-12 form-group row'&gt;&lt;label class='col-md-2 form-control title'&gt;Scanvalue&lt;/label&gt;&lt;input type='text' class='col-md-10 form-control input-text' name='Scanvalue' [(ngModel)]='rowdata.scanvalue'&gt;&lt;/div&gt;
&lt;div class='col-md-12 form-group row'&gt;&lt;label class='col-md-2 form-control title'&gt;Scanlocation&lt;/label&gt;&lt;input type='text' class='col-md-10 form-control input-text' name='Scanlocation' [(ngModel)]='rowdata.scanlocation'&gt;&lt;/div&gt;
&lt;div class='col-md-12 form-group row'&gt;&lt;label class='col-md-2 form-control title'&gt;Scantime&lt;/label&gt;&lt;input type='text' class='col-md-10 form-control input-text' name='Scantime' [(ngModel)]='rowdata.scantime'&gt;&lt;/div&gt;
&lt;div class='col-md-12 form-group row'&gt;&lt;label class='col-md-2 form-control title'&gt;Scanby&lt;/label&gt;&lt;input type='text' class='col-md-10 form-control input-text' name='Scanby' [(ngModel)]='rowdata.scanby'&gt;&lt;/div&gt;
&lt;div class='col-md-12 form-group row'&gt;&lt;label class='col-md-2 form-control title'&gt;Isprocessed&lt;/label&gt;&lt;input type='text' class='col-md-10 form-control input-text' name='Isprocessed' [(ngModel)]='rowdata.isprocessed'&gt;&lt;/div&gt;</v>
      </c>
      <c r="I13" s="31"/>
      <c r="J13" s="31"/>
      <c r="K13" s="31"/>
      <c r="L13" s="31"/>
      <c r="M13" s="31"/>
      <c r="N13" s="31"/>
      <c r="O13" s="31"/>
    </row>
    <row r="14" spans="1:15" x14ac:dyDescent="0.25">
      <c r="A14" s="41" t="s">
        <v>219</v>
      </c>
      <c r="B14" s="31"/>
      <c r="C14" s="31"/>
      <c r="D14" s="31"/>
      <c r="E14" s="39" t="str">
        <f>B8&amp;".component.ts"</f>
        <v>scaninfo.component.ts</v>
      </c>
      <c r="F14" s="40" t="str">
        <f>B8&amp;".component.html"</f>
        <v>scaninfo.component.html</v>
      </c>
      <c r="G14" s="39" t="str">
        <f>B8&amp;".component.less"</f>
        <v>scaninfo.component.less</v>
      </c>
      <c r="H14" s="40" t="str">
        <f>"create-or-edit-"&amp;B8&amp;"-modal.component.html"</f>
        <v>create-or-edit-scaninfo-modal.component.html</v>
      </c>
      <c r="I14" s="40" t="str">
        <f>"create-or-edit-"&amp;B8&amp;"-modal.component.ts"</f>
        <v>create-or-edit-scaninfo-modal.component.ts</v>
      </c>
      <c r="J14" s="40" t="str">
        <f>"create-or-edit-"&amp;B8&amp;"-modal.component.less"</f>
        <v>create-or-edit-scaninfo-modal.component.less</v>
      </c>
      <c r="K14" s="40" t="str">
        <f>B8&amp;".module.ts"</f>
        <v>scaninfo.module.ts</v>
      </c>
      <c r="L14" s="40" t="str">
        <f>B8&amp;"-routing.module.ts"</f>
        <v>scaninfo-routing.module.ts</v>
      </c>
      <c r="M14" s="40" t="s">
        <v>226</v>
      </c>
      <c r="N14" s="40" t="s">
        <v>229</v>
      </c>
      <c r="O14" s="41" t="s">
        <v>237</v>
      </c>
    </row>
    <row r="15" spans="1:15" ht="18" customHeight="1" x14ac:dyDescent="0.25">
      <c r="A15" s="70" t="str">
        <f>A.Backend!A9</f>
        <v>ScanType</v>
      </c>
      <c r="B15" s="31" t="str">
        <f>SUBSTITUTE(PROPER(A15),"_","")</f>
        <v>Scantype</v>
      </c>
      <c r="C15" s="31" t="str">
        <f>SUBSTITUTE(PROPER(A15),"_"," ")</f>
        <v>Scantype</v>
      </c>
      <c r="D15" s="31" t="str">
        <f>LOWER(LEFT(B15,1))&amp;RIGHT(B15,LEN(B15) - 1)</f>
        <v>scantype</v>
      </c>
      <c r="E15" s="38" t="str">
        <f>"{headerName: this.l('"&amp;C15&amp;"'),headerTooltip: this.l('"&amp;C15&amp;"'),field: '"&amp;D15&amp;"',flex: 1,},"</f>
        <v>{headerName: this.l('Scantype'),headerTooltip: this.l('Scantype'),field: 'scantype',flex: 1,},</v>
      </c>
      <c r="F15" s="38" t="str">
        <f>"&lt;div class='input-search'&gt;&lt;input [(ngModel)]='"&amp;D15&amp;"' name='"&amp;D15&amp;"' class='form-control'  placeholder='"&amp;C15&amp;"' /&gt;&lt;/div&gt;"</f>
        <v>&lt;div class='input-search'&gt;&lt;input [(ngModel)]='scantype' name='scantype' class='form-control'  placeholder='Scantype' /&gt;&lt;/div&gt;</v>
      </c>
      <c r="G15" s="31"/>
      <c r="H15" s="38" t="str">
        <f>"&lt;div class='col-md-12 form-group row'&gt;&lt;label class='col-md-2 form-control title'&gt;"&amp;C15&amp;"&lt;/label&gt;&lt;input type='text' class='col-md-10 form-control input-text' name='"&amp;B15&amp;"' [(ngModel)]='rowdata."&amp;D15&amp;"'&gt;&lt;/div&gt;"</f>
        <v>&lt;div class='col-md-12 form-group row'&gt;&lt;label class='col-md-2 form-control title'&gt;Scantype&lt;/label&gt;&lt;input type='text' class='col-md-10 form-control input-text' name='Scantype' [(ngModel)]='rowdata.scantype'&gt;&lt;/div&gt;</v>
      </c>
      <c r="I15" s="31"/>
      <c r="J15" s="31"/>
      <c r="K15" s="31"/>
      <c r="L15" s="31"/>
      <c r="M15" s="31"/>
      <c r="N15" s="31"/>
      <c r="O15" s="31"/>
    </row>
    <row r="16" spans="1:15" ht="15" customHeight="1" x14ac:dyDescent="0.25">
      <c r="A16" s="70" t="str">
        <f>A.Backend!A10</f>
        <v>ScanValue</v>
      </c>
      <c r="B16" s="31" t="str">
        <f t="shared" ref="B16:B17" si="0">SUBSTITUTE(PROPER(A16),"_","")</f>
        <v>Scanvalue</v>
      </c>
      <c r="C16" s="31" t="str">
        <f t="shared" ref="C16:C17" si="1">SUBSTITUTE(PROPER(A16),"_"," ")</f>
        <v>Scanvalue</v>
      </c>
      <c r="D16" s="31" t="str">
        <f t="shared" ref="D16:D17" si="2">LOWER(LEFT(B16,1))&amp;RIGHT(B16,LEN(B16) - 1)</f>
        <v>scanvalue</v>
      </c>
      <c r="E16" s="38" t="str">
        <f t="shared" ref="E16:E17" si="3">"{headerName: this.l('"&amp;C16&amp;"'),headerTooltip: this.l('"&amp;C16&amp;"'),field: '"&amp;D16&amp;"',flex: 1,},"</f>
        <v>{headerName: this.l('Scanvalue'),headerTooltip: this.l('Scanvalue'),field: 'scanvalue',flex: 1,},</v>
      </c>
      <c r="F16" s="38" t="str">
        <f t="shared" ref="F16:F17" si="4">"&lt;div class='input-search'&gt;&lt;input [(ngModel)]='"&amp;D16&amp;"' name='"&amp;D16&amp;"' class='form-control'  placeholder='"&amp;C16&amp;"' /&gt;&lt;/div&gt;"</f>
        <v>&lt;div class='input-search'&gt;&lt;input [(ngModel)]='scanvalue' name='scanvalue' class='form-control'  placeholder='Scanvalue' /&gt;&lt;/div&gt;</v>
      </c>
      <c r="G16" s="31"/>
      <c r="H16" s="38" t="str">
        <f t="shared" ref="H16:H17" si="5">"&lt;div class='col-md-12 form-group row'&gt;&lt;label class='col-md-2 form-control title'&gt;"&amp;C16&amp;"&lt;/label&gt;&lt;input type='text' class='col-md-10 form-control input-text' name='"&amp;B16&amp;"' [(ngModel)]='rowdata."&amp;D16&amp;"'&gt;&lt;/div&gt;"</f>
        <v>&lt;div class='col-md-12 form-group row'&gt;&lt;label class='col-md-2 form-control title'&gt;Scanvalue&lt;/label&gt;&lt;input type='text' class='col-md-10 form-control input-text' name='Scanvalue' [(ngModel)]='rowdata.scanvalue'&gt;&lt;/div&gt;</v>
      </c>
      <c r="I16" s="31"/>
      <c r="J16" s="31"/>
      <c r="K16" s="31"/>
      <c r="L16" s="31"/>
      <c r="M16" s="31"/>
      <c r="N16" s="31"/>
      <c r="O16" s="31"/>
    </row>
    <row r="17" spans="1:15" ht="18" customHeight="1" x14ac:dyDescent="0.25">
      <c r="A17" s="70" t="str">
        <f>A.Backend!A11</f>
        <v>ScanLocation</v>
      </c>
      <c r="B17" s="31" t="str">
        <f t="shared" si="0"/>
        <v>Scanlocation</v>
      </c>
      <c r="C17" s="31" t="str">
        <f t="shared" si="1"/>
        <v>Scanlocation</v>
      </c>
      <c r="D17" s="31" t="str">
        <f t="shared" si="2"/>
        <v>scanlocation</v>
      </c>
      <c r="E17" s="38" t="str">
        <f t="shared" si="3"/>
        <v>{headerName: this.l('Scanlocation'),headerTooltip: this.l('Scanlocation'),field: 'scanlocation',flex: 1,},</v>
      </c>
      <c r="F17" s="38" t="str">
        <f t="shared" si="4"/>
        <v>&lt;div class='input-search'&gt;&lt;input [(ngModel)]='scanlocation' name='scanlocation' class='form-control'  placeholder='Scanlocation' /&gt;&lt;/div&gt;</v>
      </c>
      <c r="G17" s="31"/>
      <c r="H17" s="38" t="str">
        <f t="shared" si="5"/>
        <v>&lt;div class='col-md-12 form-group row'&gt;&lt;label class='col-md-2 form-control title'&gt;Scanlocation&lt;/label&gt;&lt;input type='text' class='col-md-10 form-control input-text' name='Scanlocation' [(ngModel)]='rowdata.scanlocation'&gt;&lt;/div&gt;</v>
      </c>
      <c r="I17" s="31"/>
      <c r="J17" s="31"/>
      <c r="K17" s="31"/>
      <c r="L17" s="31"/>
      <c r="M17" s="31"/>
      <c r="N17" s="31"/>
      <c r="O17" s="31"/>
    </row>
    <row r="18" spans="1:15" ht="18" customHeight="1" x14ac:dyDescent="0.25">
      <c r="A18" s="70" t="str">
        <f>A.Backend!A12</f>
        <v>ScanTime</v>
      </c>
      <c r="B18" s="31" t="str">
        <f>SUBSTITUTE(PROPER(A18),"_","")</f>
        <v>Scantime</v>
      </c>
      <c r="C18" s="31" t="str">
        <f>SUBSTITUTE(PROPER(A18),"_"," ")</f>
        <v>Scantime</v>
      </c>
      <c r="D18" s="31" t="str">
        <f>LOWER(LEFT(B18,1))&amp;RIGHT(B18,LEN(B18) - 1)</f>
        <v>scantime</v>
      </c>
      <c r="E18" s="38" t="str">
        <f>"{headerName: this.l('"&amp;C18&amp;"'),headerTooltip: this.l('"&amp;C18&amp;"'),field: '"&amp;D18&amp;"',flex: 1,},"</f>
        <v>{headerName: this.l('Scantime'),headerTooltip: this.l('Scantime'),field: 'scantime',flex: 1,},</v>
      </c>
      <c r="F18" s="38" t="str">
        <f>"&lt;div class='input-search'&gt;&lt;input [(ngModel)]='"&amp;D18&amp;"' name='"&amp;D18&amp;"' class='form-control'  placeholder='"&amp;C18&amp;"' /&gt;&lt;/div&gt;"</f>
        <v>&lt;div class='input-search'&gt;&lt;input [(ngModel)]='scantime' name='scantime' class='form-control'  placeholder='Scantime' /&gt;&lt;/div&gt;</v>
      </c>
      <c r="G18" s="31"/>
      <c r="H18" s="38" t="str">
        <f>"&lt;div class='col-md-12 form-group row'&gt;&lt;label class='col-md-2 form-control title'&gt;"&amp;C18&amp;"&lt;/label&gt;&lt;input type='text' class='col-md-10 form-control input-text' name='"&amp;B18&amp;"' [(ngModel)]='rowdata."&amp;D18&amp;"'&gt;&lt;/div&gt;"</f>
        <v>&lt;div class='col-md-12 form-group row'&gt;&lt;label class='col-md-2 form-control title'&gt;Scantime&lt;/label&gt;&lt;input type='text' class='col-md-10 form-control input-text' name='Scantime' [(ngModel)]='rowdata.scantime'&gt;&lt;/div&gt;</v>
      </c>
      <c r="I18" s="31"/>
      <c r="J18" s="31"/>
      <c r="K18" s="31"/>
      <c r="L18" s="31"/>
      <c r="M18" s="31"/>
      <c r="N18" s="31"/>
      <c r="O18" s="31"/>
    </row>
    <row r="19" spans="1:15" ht="15" customHeight="1" x14ac:dyDescent="0.25">
      <c r="A19" s="70" t="str">
        <f>A.Backend!A13</f>
        <v>ScanBy</v>
      </c>
      <c r="B19" s="31" t="str">
        <f t="shared" ref="B19:B20" si="6">SUBSTITUTE(PROPER(A19),"_","")</f>
        <v>Scanby</v>
      </c>
      <c r="C19" s="31" t="str">
        <f t="shared" ref="C19:C20" si="7">SUBSTITUTE(PROPER(A19),"_"," ")</f>
        <v>Scanby</v>
      </c>
      <c r="D19" s="31" t="str">
        <f t="shared" ref="D19:D20" si="8">LOWER(LEFT(B19,1))&amp;RIGHT(B19,LEN(B19) - 1)</f>
        <v>scanby</v>
      </c>
      <c r="E19" s="38" t="str">
        <f t="shared" ref="E19:E20" si="9">"{headerName: this.l('"&amp;C19&amp;"'),headerTooltip: this.l('"&amp;C19&amp;"'),field: '"&amp;D19&amp;"',flex: 1,},"</f>
        <v>{headerName: this.l('Scanby'),headerTooltip: this.l('Scanby'),field: 'scanby',flex: 1,},</v>
      </c>
      <c r="F19" s="38" t="str">
        <f t="shared" ref="F19:F20" si="10">"&lt;div class='input-search'&gt;&lt;input [(ngModel)]='"&amp;D19&amp;"' name='"&amp;D19&amp;"' class='form-control'  placeholder='"&amp;C19&amp;"' /&gt;&lt;/div&gt;"</f>
        <v>&lt;div class='input-search'&gt;&lt;input [(ngModel)]='scanby' name='scanby' class='form-control'  placeholder='Scanby' /&gt;&lt;/div&gt;</v>
      </c>
      <c r="G19" s="31"/>
      <c r="H19" s="38" t="str">
        <f t="shared" ref="H19:H20" si="11">"&lt;div class='col-md-12 form-group row'&gt;&lt;label class='col-md-2 form-control title'&gt;"&amp;C19&amp;"&lt;/label&gt;&lt;input type='text' class='col-md-10 form-control input-text' name='"&amp;B19&amp;"' [(ngModel)]='rowdata."&amp;D19&amp;"'&gt;&lt;/div&gt;"</f>
        <v>&lt;div class='col-md-12 form-group row'&gt;&lt;label class='col-md-2 form-control title'&gt;Scanby&lt;/label&gt;&lt;input type='text' class='col-md-10 form-control input-text' name='Scanby' [(ngModel)]='rowdata.scanby'&gt;&lt;/div&gt;</v>
      </c>
      <c r="I19" s="31"/>
      <c r="J19" s="31"/>
      <c r="K19" s="31"/>
      <c r="L19" s="31"/>
      <c r="M19" s="31"/>
      <c r="N19" s="31"/>
      <c r="O19" s="31"/>
    </row>
    <row r="20" spans="1:15" ht="18" customHeight="1" x14ac:dyDescent="0.25">
      <c r="A20" s="70" t="str">
        <f>A.Backend!A14</f>
        <v>IsProcessed</v>
      </c>
      <c r="B20" s="31" t="str">
        <f t="shared" si="6"/>
        <v>Isprocessed</v>
      </c>
      <c r="C20" s="31" t="str">
        <f t="shared" si="7"/>
        <v>Isprocessed</v>
      </c>
      <c r="D20" s="31" t="str">
        <f t="shared" si="8"/>
        <v>isprocessed</v>
      </c>
      <c r="E20" s="38" t="str">
        <f t="shared" si="9"/>
        <v>{headerName: this.l('Isprocessed'),headerTooltip: this.l('Isprocessed'),field: 'isprocessed',flex: 1,},</v>
      </c>
      <c r="F20" s="38" t="str">
        <f t="shared" si="10"/>
        <v>&lt;div class='input-search'&gt;&lt;input [(ngModel)]='isprocessed' name='isprocessed' class='form-control'  placeholder='Isprocessed' /&gt;&lt;/div&gt;</v>
      </c>
      <c r="G20" s="31"/>
      <c r="H20" s="38" t="str">
        <f t="shared" si="11"/>
        <v>&lt;div class='col-md-12 form-group row'&gt;&lt;label class='col-md-2 form-control title'&gt;Isprocessed&lt;/label&gt;&lt;input type='text' class='col-md-10 form-control input-text' name='Isprocessed' [(ngModel)]='rowdata.isprocessed'&gt;&lt;/div&gt;</v>
      </c>
      <c r="I20" s="31"/>
      <c r="J20" s="31"/>
      <c r="K20" s="31"/>
      <c r="L20" s="31"/>
      <c r="M20" s="31"/>
      <c r="N20" s="31"/>
      <c r="O20" s="31"/>
    </row>
    <row r="23" spans="1:15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9"/>
  <sheetViews>
    <sheetView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194</v>
      </c>
      <c r="B2" s="25" t="s">
        <v>191</v>
      </c>
    </row>
    <row r="3" spans="1:2" x14ac:dyDescent="0.25">
      <c r="B3" s="22" t="s">
        <v>116</v>
      </c>
    </row>
    <row r="4" spans="1:2" x14ac:dyDescent="0.25">
      <c r="B4" s="22" t="s">
        <v>117</v>
      </c>
    </row>
    <row r="5" spans="1:2" x14ac:dyDescent="0.25">
      <c r="B5" s="22" t="s">
        <v>118</v>
      </c>
    </row>
    <row r="6" spans="1:2" x14ac:dyDescent="0.25">
      <c r="B6" s="22" t="s">
        <v>119</v>
      </c>
    </row>
    <row r="7" spans="1:2" x14ac:dyDescent="0.25">
      <c r="B7" s="22" t="s">
        <v>120</v>
      </c>
    </row>
    <row r="8" spans="1:2" x14ac:dyDescent="0.25">
      <c r="B8" s="22" t="s">
        <v>121</v>
      </c>
    </row>
    <row r="9" spans="1:2" x14ac:dyDescent="0.25">
      <c r="B9" s="22" t="s">
        <v>122</v>
      </c>
    </row>
    <row r="10" spans="1:2" x14ac:dyDescent="0.25">
      <c r="B10" s="22" t="s">
        <v>123</v>
      </c>
    </row>
    <row r="11" spans="1:2" x14ac:dyDescent="0.25">
      <c r="B11" s="22" t="s">
        <v>124</v>
      </c>
    </row>
    <row r="12" spans="1:2" x14ac:dyDescent="0.25">
      <c r="B12" s="22" t="s">
        <v>125</v>
      </c>
    </row>
    <row r="13" spans="1:2" x14ac:dyDescent="0.25">
      <c r="B13" s="22" t="s">
        <v>126</v>
      </c>
    </row>
    <row r="14" spans="1:2" x14ac:dyDescent="0.25">
      <c r="B14" s="22" t="s">
        <v>127</v>
      </c>
    </row>
    <row r="15" spans="1:2" x14ac:dyDescent="0.25">
      <c r="B15" s="22" t="s">
        <v>128</v>
      </c>
    </row>
    <row r="16" spans="1:2" x14ac:dyDescent="0.25">
      <c r="B16" s="22" t="s">
        <v>129</v>
      </c>
    </row>
    <row r="17" spans="1:3" x14ac:dyDescent="0.25">
      <c r="B17" s="22" t="s">
        <v>130</v>
      </c>
    </row>
    <row r="18" spans="1:3" x14ac:dyDescent="0.25">
      <c r="B18" s="22" t="s">
        <v>131</v>
      </c>
      <c r="C18" t="s">
        <v>193</v>
      </c>
    </row>
    <row r="19" spans="1:3" x14ac:dyDescent="0.25">
      <c r="B19" s="22" t="s">
        <v>132</v>
      </c>
    </row>
    <row r="20" spans="1:3" x14ac:dyDescent="0.25">
      <c r="B20" s="22" t="s">
        <v>133</v>
      </c>
    </row>
    <row r="21" spans="1:3" x14ac:dyDescent="0.25">
      <c r="B21" s="22" t="s">
        <v>134</v>
      </c>
    </row>
    <row r="22" spans="1:3" x14ac:dyDescent="0.25">
      <c r="B22" s="22" t="s">
        <v>135</v>
      </c>
      <c r="C22" t="s">
        <v>198</v>
      </c>
    </row>
    <row r="23" spans="1:3" x14ac:dyDescent="0.25">
      <c r="B23" s="22" t="s">
        <v>136</v>
      </c>
    </row>
    <row r="24" spans="1:3" x14ac:dyDescent="0.25">
      <c r="B24" s="22" t="s">
        <v>137</v>
      </c>
    </row>
    <row r="25" spans="1:3" x14ac:dyDescent="0.25">
      <c r="B25" s="22" t="s">
        <v>138</v>
      </c>
    </row>
    <row r="26" spans="1:3" x14ac:dyDescent="0.25">
      <c r="A26" s="24" t="s">
        <v>195</v>
      </c>
      <c r="B26" s="25" t="s">
        <v>192</v>
      </c>
    </row>
    <row r="27" spans="1:3" x14ac:dyDescent="0.25">
      <c r="B27" s="22" t="s">
        <v>139</v>
      </c>
    </row>
    <row r="28" spans="1:3" x14ac:dyDescent="0.25">
      <c r="B28" s="23" t="s">
        <v>140</v>
      </c>
    </row>
    <row r="29" spans="1:3" x14ac:dyDescent="0.25">
      <c r="B29" s="22" t="s">
        <v>141</v>
      </c>
    </row>
    <row r="30" spans="1:3" x14ac:dyDescent="0.25">
      <c r="B30" s="22" t="s">
        <v>142</v>
      </c>
    </row>
    <row r="31" spans="1:3" x14ac:dyDescent="0.25">
      <c r="B31" s="22" t="s">
        <v>143</v>
      </c>
    </row>
    <row r="32" spans="1:3" x14ac:dyDescent="0.25">
      <c r="B32" s="22" t="s">
        <v>144</v>
      </c>
    </row>
    <row r="33" spans="2:2" x14ac:dyDescent="0.25">
      <c r="B33" s="22" t="s">
        <v>145</v>
      </c>
    </row>
    <row r="34" spans="2:2" x14ac:dyDescent="0.25">
      <c r="B34" s="22" t="s">
        <v>146</v>
      </c>
    </row>
    <row r="35" spans="2:2" x14ac:dyDescent="0.25">
      <c r="B35" s="22" t="s">
        <v>147</v>
      </c>
    </row>
    <row r="36" spans="2:2" x14ac:dyDescent="0.25">
      <c r="B36" s="22" t="s">
        <v>148</v>
      </c>
    </row>
    <row r="37" spans="2:2" x14ac:dyDescent="0.25">
      <c r="B37" s="22" t="s">
        <v>149</v>
      </c>
    </row>
    <row r="38" spans="2:2" x14ac:dyDescent="0.25">
      <c r="B38" s="22" t="s">
        <v>150</v>
      </c>
    </row>
    <row r="39" spans="2:2" x14ac:dyDescent="0.25">
      <c r="B39" s="22" t="s">
        <v>151</v>
      </c>
    </row>
    <row r="40" spans="2:2" x14ac:dyDescent="0.25">
      <c r="B40" s="22" t="s">
        <v>152</v>
      </c>
    </row>
    <row r="41" spans="2:2" x14ac:dyDescent="0.25">
      <c r="B41" s="22" t="s">
        <v>153</v>
      </c>
    </row>
    <row r="42" spans="2:2" x14ac:dyDescent="0.25">
      <c r="B42" s="22" t="s">
        <v>154</v>
      </c>
    </row>
    <row r="43" spans="2:2" x14ac:dyDescent="0.25">
      <c r="B43" s="23" t="s">
        <v>155</v>
      </c>
    </row>
    <row r="44" spans="2:2" x14ac:dyDescent="0.25">
      <c r="B44" s="22" t="s">
        <v>141</v>
      </c>
    </row>
    <row r="45" spans="2:2" x14ac:dyDescent="0.25">
      <c r="B45" s="22" t="s">
        <v>156</v>
      </c>
    </row>
    <row r="46" spans="2:2" x14ac:dyDescent="0.25">
      <c r="B46" s="22" t="s">
        <v>157</v>
      </c>
    </row>
    <row r="47" spans="2:2" x14ac:dyDescent="0.25">
      <c r="B47" s="22" t="s">
        <v>158</v>
      </c>
    </row>
    <row r="48" spans="2:2" x14ac:dyDescent="0.25">
      <c r="B48" s="22" t="s">
        <v>159</v>
      </c>
    </row>
    <row r="49" spans="2:2" x14ac:dyDescent="0.25">
      <c r="B49" s="22" t="s">
        <v>142</v>
      </c>
    </row>
    <row r="50" spans="2:2" x14ac:dyDescent="0.25">
      <c r="B50" s="22" t="s">
        <v>143</v>
      </c>
    </row>
    <row r="51" spans="2:2" x14ac:dyDescent="0.25">
      <c r="B51" s="22" t="s">
        <v>144</v>
      </c>
    </row>
    <row r="52" spans="2:2" x14ac:dyDescent="0.25">
      <c r="B52" s="22" t="s">
        <v>145</v>
      </c>
    </row>
    <row r="53" spans="2:2" x14ac:dyDescent="0.25">
      <c r="B53" s="22" t="s">
        <v>146</v>
      </c>
    </row>
    <row r="54" spans="2:2" x14ac:dyDescent="0.25">
      <c r="B54" s="22" t="s">
        <v>147</v>
      </c>
    </row>
    <row r="55" spans="2:2" x14ac:dyDescent="0.25">
      <c r="B55" s="22" t="s">
        <v>148</v>
      </c>
    </row>
    <row r="56" spans="2:2" x14ac:dyDescent="0.25">
      <c r="B56" s="22" t="s">
        <v>160</v>
      </c>
    </row>
    <row r="57" spans="2:2" x14ac:dyDescent="0.25">
      <c r="B57" s="22" t="s">
        <v>161</v>
      </c>
    </row>
    <row r="58" spans="2:2" x14ac:dyDescent="0.25">
      <c r="B58" s="22" t="s">
        <v>149</v>
      </c>
    </row>
    <row r="59" spans="2:2" x14ac:dyDescent="0.25">
      <c r="B59" s="22" t="s">
        <v>150</v>
      </c>
    </row>
    <row r="60" spans="2:2" x14ac:dyDescent="0.25">
      <c r="B60" s="22" t="s">
        <v>162</v>
      </c>
    </row>
    <row r="61" spans="2:2" x14ac:dyDescent="0.25">
      <c r="B61" s="22" t="s">
        <v>163</v>
      </c>
    </row>
    <row r="62" spans="2:2" x14ac:dyDescent="0.25">
      <c r="B62" s="22" t="s">
        <v>164</v>
      </c>
    </row>
    <row r="63" spans="2:2" x14ac:dyDescent="0.25">
      <c r="B63" s="22" t="s">
        <v>159</v>
      </c>
    </row>
    <row r="64" spans="2:2" x14ac:dyDescent="0.25">
      <c r="B64" s="22" t="s">
        <v>151</v>
      </c>
    </row>
    <row r="65" spans="2:2" x14ac:dyDescent="0.25">
      <c r="B65" s="22" t="s">
        <v>152</v>
      </c>
    </row>
    <row r="66" spans="2:2" x14ac:dyDescent="0.25">
      <c r="B66" s="22" t="s">
        <v>165</v>
      </c>
    </row>
    <row r="67" spans="2:2" x14ac:dyDescent="0.25">
      <c r="B67" s="22" t="s">
        <v>159</v>
      </c>
    </row>
    <row r="68" spans="2:2" x14ac:dyDescent="0.25">
      <c r="B68" s="22" t="s">
        <v>153</v>
      </c>
    </row>
    <row r="69" spans="2:2" x14ac:dyDescent="0.25">
      <c r="B69" s="22" t="s">
        <v>166</v>
      </c>
    </row>
    <row r="70" spans="2:2" x14ac:dyDescent="0.25">
      <c r="B70" s="23" t="s">
        <v>167</v>
      </c>
    </row>
    <row r="71" spans="2:2" x14ac:dyDescent="0.25">
      <c r="B71" s="22" t="s">
        <v>141</v>
      </c>
    </row>
    <row r="72" spans="2:2" x14ac:dyDescent="0.25">
      <c r="B72" s="22" t="s">
        <v>142</v>
      </c>
    </row>
    <row r="73" spans="2:2" x14ac:dyDescent="0.25">
      <c r="B73" s="22" t="s">
        <v>143</v>
      </c>
    </row>
    <row r="74" spans="2:2" x14ac:dyDescent="0.25">
      <c r="B74" s="22" t="s">
        <v>144</v>
      </c>
    </row>
    <row r="75" spans="2:2" x14ac:dyDescent="0.25">
      <c r="B75" s="22" t="s">
        <v>148</v>
      </c>
    </row>
    <row r="76" spans="2:2" x14ac:dyDescent="0.25">
      <c r="B76" s="22" t="s">
        <v>150</v>
      </c>
    </row>
    <row r="77" spans="2:2" x14ac:dyDescent="0.25">
      <c r="B77" s="22" t="s">
        <v>151</v>
      </c>
    </row>
    <row r="78" spans="2:2" x14ac:dyDescent="0.25">
      <c r="B78" s="22" t="s">
        <v>152</v>
      </c>
    </row>
    <row r="79" spans="2:2" x14ac:dyDescent="0.25">
      <c r="B79" s="22" t="s">
        <v>153</v>
      </c>
    </row>
    <row r="80" spans="2:2" x14ac:dyDescent="0.25">
      <c r="B80" s="22" t="s">
        <v>166</v>
      </c>
    </row>
    <row r="81" spans="1:2" x14ac:dyDescent="0.25">
      <c r="B81" s="23" t="s">
        <v>168</v>
      </c>
    </row>
    <row r="82" spans="1:2" x14ac:dyDescent="0.25">
      <c r="B82" s="23" t="s">
        <v>169</v>
      </c>
    </row>
    <row r="83" spans="1:2" x14ac:dyDescent="0.25">
      <c r="B83" s="23" t="s">
        <v>170</v>
      </c>
    </row>
    <row r="84" spans="1:2" x14ac:dyDescent="0.25">
      <c r="B84" s="23" t="s">
        <v>171</v>
      </c>
    </row>
    <row r="85" spans="1:2" x14ac:dyDescent="0.25">
      <c r="B85" s="23" t="s">
        <v>172</v>
      </c>
    </row>
    <row r="86" spans="1:2" x14ac:dyDescent="0.25">
      <c r="B86" s="23" t="s">
        <v>173</v>
      </c>
    </row>
    <row r="87" spans="1:2" x14ac:dyDescent="0.25">
      <c r="B87" s="23" t="s">
        <v>174</v>
      </c>
    </row>
    <row r="88" spans="1:2" x14ac:dyDescent="0.25">
      <c r="A88" s="24" t="s">
        <v>196</v>
      </c>
      <c r="B88" s="26" t="s">
        <v>175</v>
      </c>
    </row>
    <row r="89" spans="1:2" x14ac:dyDescent="0.25">
      <c r="B89" s="22" t="s">
        <v>176</v>
      </c>
    </row>
    <row r="90" spans="1:2" x14ac:dyDescent="0.25">
      <c r="B90" s="22" t="s">
        <v>177</v>
      </c>
    </row>
    <row r="91" spans="1:2" x14ac:dyDescent="0.25">
      <c r="B91" s="22" t="s">
        <v>178</v>
      </c>
    </row>
    <row r="92" spans="1:2" x14ac:dyDescent="0.25">
      <c r="B92" s="22" t="s">
        <v>179</v>
      </c>
    </row>
    <row r="93" spans="1:2" x14ac:dyDescent="0.25">
      <c r="B93" s="22" t="s">
        <v>180</v>
      </c>
    </row>
    <row r="94" spans="1:2" x14ac:dyDescent="0.25">
      <c r="B94" s="22" t="s">
        <v>181</v>
      </c>
    </row>
    <row r="95" spans="1:2" x14ac:dyDescent="0.25">
      <c r="B95" s="22" t="s">
        <v>182</v>
      </c>
    </row>
    <row r="96" spans="1:2" x14ac:dyDescent="0.25">
      <c r="B96" s="22" t="s">
        <v>183</v>
      </c>
    </row>
    <row r="97" spans="2:2" x14ac:dyDescent="0.25">
      <c r="B97" s="22" t="s">
        <v>184</v>
      </c>
    </row>
    <row r="98" spans="2:2" x14ac:dyDescent="0.25">
      <c r="B98" s="22" t="s">
        <v>185</v>
      </c>
    </row>
    <row r="99" spans="2:2" x14ac:dyDescent="0.25">
      <c r="B99" s="22" t="s">
        <v>186</v>
      </c>
    </row>
    <row r="100" spans="2:2" x14ac:dyDescent="0.25">
      <c r="B100" s="22" t="s">
        <v>187</v>
      </c>
    </row>
    <row r="101" spans="2:2" x14ac:dyDescent="0.25">
      <c r="B101" s="22" t="s">
        <v>188</v>
      </c>
    </row>
    <row r="102" spans="2:2" x14ac:dyDescent="0.25">
      <c r="B102" s="22" t="s">
        <v>189</v>
      </c>
    </row>
    <row r="103" spans="2:2" x14ac:dyDescent="0.25">
      <c r="B103" s="22" t="s">
        <v>190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2022-05-25T02:59:32Z</dcterms:modified>
</cp:coreProperties>
</file>
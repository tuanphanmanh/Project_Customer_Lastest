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generate\"/>
    </mc:Choice>
  </mc:AlternateContent>
  <xr:revisionPtr revIDLastSave="0" documentId="13_ncr:1_{F8FA3231-F984-4868-BBC1-EB86C32F6848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5" l="1"/>
  <c r="K17" i="5"/>
  <c r="K18" i="5"/>
  <c r="K19" i="5"/>
  <c r="K20" i="5"/>
  <c r="K15" i="5"/>
  <c r="O10" i="1" l="1"/>
  <c r="O11" i="1"/>
  <c r="O12" i="1"/>
  <c r="O13" i="1"/>
  <c r="O14" i="1"/>
  <c r="O9" i="1"/>
  <c r="N10" i="1"/>
  <c r="N11" i="1"/>
  <c r="N12" i="1"/>
  <c r="N13" i="1"/>
  <c r="N14" i="1"/>
  <c r="N9" i="1"/>
  <c r="M10" i="1"/>
  <c r="M11" i="1"/>
  <c r="M12" i="1"/>
  <c r="M13" i="1"/>
  <c r="M14" i="1"/>
  <c r="M9" i="1"/>
  <c r="T16" i="5" l="1"/>
  <c r="V12" i="5" l="1"/>
  <c r="U12" i="5"/>
  <c r="F16" i="5"/>
  <c r="F17" i="5"/>
  <c r="F18" i="5"/>
  <c r="F19" i="5"/>
  <c r="F20" i="5"/>
  <c r="F15" i="5"/>
  <c r="T12" i="5"/>
  <c r="S12" i="5"/>
  <c r="L12" i="5"/>
  <c r="K12" i="5"/>
  <c r="I12" i="5"/>
  <c r="H12" i="5"/>
  <c r="V10" i="1" l="1"/>
  <c r="V11" i="1"/>
  <c r="V12" i="1"/>
  <c r="V13" i="1"/>
  <c r="V14" i="1"/>
  <c r="V9" i="1"/>
  <c r="T10" i="1"/>
  <c r="T11" i="1"/>
  <c r="T12" i="1"/>
  <c r="T13" i="1"/>
  <c r="T14" i="1"/>
  <c r="T9" i="1"/>
  <c r="W3" i="1" l="1"/>
  <c r="V3" i="1"/>
  <c r="V16" i="1"/>
  <c r="A17" i="5" l="1"/>
  <c r="B2" i="5" l="1"/>
  <c r="B3" i="5" s="1"/>
  <c r="O7" i="1"/>
  <c r="A20" i="5"/>
  <c r="B20" i="5" s="1"/>
  <c r="D20" i="5" s="1"/>
  <c r="A19" i="5"/>
  <c r="C19" i="5" s="1"/>
  <c r="A18" i="5"/>
  <c r="B18" i="5" s="1"/>
  <c r="D18" i="5" s="1"/>
  <c r="L14" i="1"/>
  <c r="G14" i="1"/>
  <c r="E14" i="1"/>
  <c r="H14" i="1" s="1"/>
  <c r="D14" i="1"/>
  <c r="L13" i="1"/>
  <c r="G13" i="1"/>
  <c r="E13" i="1"/>
  <c r="H13" i="1" s="1"/>
  <c r="D13" i="1"/>
  <c r="G12" i="1"/>
  <c r="E12" i="1"/>
  <c r="H12" i="1" s="1"/>
  <c r="D12" i="1"/>
  <c r="W14" i="1" l="1"/>
  <c r="E20" i="5"/>
  <c r="W12" i="1"/>
  <c r="E18" i="5"/>
  <c r="W13" i="1"/>
  <c r="E19" i="5"/>
  <c r="T18" i="5"/>
  <c r="T20" i="5"/>
  <c r="P13" i="1"/>
  <c r="C18" i="5"/>
  <c r="C20" i="5"/>
  <c r="B19" i="5"/>
  <c r="D19" i="5" s="1"/>
  <c r="J12" i="1"/>
  <c r="I12" i="1"/>
  <c r="I14" i="1"/>
  <c r="J14" i="1"/>
  <c r="I13" i="1"/>
  <c r="P12" i="1"/>
  <c r="J13" i="1"/>
  <c r="P14" i="1"/>
  <c r="B6" i="5"/>
  <c r="G19" i="5" l="1"/>
  <c r="I19" i="5"/>
  <c r="L19" i="5"/>
  <c r="U19" i="5"/>
  <c r="V19" i="5"/>
  <c r="G20" i="5"/>
  <c r="S20" i="5" s="1"/>
  <c r="I20" i="5"/>
  <c r="U20" i="5"/>
  <c r="L20" i="5"/>
  <c r="V20" i="5"/>
  <c r="H20" i="5"/>
  <c r="G18" i="5"/>
  <c r="S18" i="5" s="1"/>
  <c r="I18" i="5"/>
  <c r="U18" i="5"/>
  <c r="L18" i="5"/>
  <c r="V18" i="5"/>
  <c r="T19" i="5"/>
  <c r="S19" i="5"/>
  <c r="H18" i="5"/>
  <c r="H19" i="5"/>
  <c r="A15" i="5"/>
  <c r="U7" i="1" l="1"/>
  <c r="B7" i="5" l="1"/>
  <c r="Q3" i="1" l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P10" i="5" l="1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D11" i="1"/>
  <c r="C15" i="5" l="1"/>
  <c r="B15" i="5"/>
  <c r="D15" i="5" s="1"/>
  <c r="A16" i="5"/>
  <c r="T15" i="5" l="1"/>
  <c r="C17" i="5"/>
  <c r="B17" i="5"/>
  <c r="D17" i="5" s="1"/>
  <c r="C16" i="5"/>
  <c r="B16" i="5"/>
  <c r="D16" i="5" s="1"/>
  <c r="T17" i="5" l="1"/>
  <c r="R3" i="1"/>
  <c r="D1" i="1"/>
  <c r="F6" i="1"/>
  <c r="T13" i="5"/>
  <c r="L11" i="1" l="1"/>
  <c r="G9" i="1"/>
  <c r="G10" i="1"/>
  <c r="G11" i="1"/>
  <c r="E9" i="1"/>
  <c r="H9" i="1" s="1"/>
  <c r="E10" i="1"/>
  <c r="H10" i="1" s="1"/>
  <c r="E11" i="1"/>
  <c r="H11" i="1" s="1"/>
  <c r="P9" i="1"/>
  <c r="P10" i="1"/>
  <c r="P11" i="1"/>
  <c r="T16" i="1"/>
  <c r="W11" i="1" l="1"/>
  <c r="E17" i="5"/>
  <c r="E15" i="5"/>
  <c r="W9" i="1"/>
  <c r="W10" i="1"/>
  <c r="E16" i="5"/>
  <c r="T7" i="1"/>
  <c r="I11" i="1"/>
  <c r="I10" i="1"/>
  <c r="I9" i="1"/>
  <c r="W16" i="1"/>
  <c r="G16" i="5" l="1"/>
  <c r="S16" i="5" s="1"/>
  <c r="I16" i="5"/>
  <c r="H16" i="5"/>
  <c r="L16" i="5"/>
  <c r="U16" i="5"/>
  <c r="V16" i="5"/>
  <c r="G15" i="5"/>
  <c r="S15" i="5" s="1"/>
  <c r="I15" i="5"/>
  <c r="L15" i="5"/>
  <c r="V15" i="5"/>
  <c r="H15" i="5"/>
  <c r="U15" i="5"/>
  <c r="G17" i="5"/>
  <c r="S17" i="5" s="1"/>
  <c r="I17" i="5"/>
  <c r="U17" i="5"/>
  <c r="L17" i="5"/>
  <c r="V17" i="5"/>
  <c r="H17" i="5"/>
  <c r="G6" i="1"/>
  <c r="U13" i="5"/>
  <c r="V13" i="5"/>
  <c r="I13" i="5"/>
  <c r="H13" i="5"/>
  <c r="L13" i="5"/>
  <c r="S13" i="5"/>
  <c r="K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2" i="1" s="1"/>
  <c r="L9" i="1" l="1"/>
  <c r="L10" i="1"/>
  <c r="J11" i="1"/>
  <c r="J9" i="1"/>
  <c r="J10" i="1"/>
  <c r="C7" i="1"/>
  <c r="N16" i="1"/>
  <c r="I16" i="1"/>
  <c r="O16" i="1"/>
  <c r="J16" i="1"/>
  <c r="P16" i="1"/>
  <c r="Q7" i="1" l="1"/>
  <c r="M38" i="3" s="1"/>
  <c r="L7" i="1"/>
  <c r="G38" i="3" s="1"/>
  <c r="K38" i="3"/>
  <c r="J38" i="3"/>
  <c r="M16" i="1"/>
  <c r="K1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<sst xmlns="http://schemas.openxmlformats.org/spreadsheetml/2006/main" count="346" uniqueCount="285">
  <si>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</si>
  <si>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</si>
  <si>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</si>
  <si>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</si>
  <si>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</si>
  <si>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</si>
  <si>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</si>
  <si>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</si>
  <si>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</si>
  <si>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</si>
  <si>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</si>
  <si>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</si>
  <si>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</si>
  <si>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</si>
  <si>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</si>
  <si>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</si>
  <si>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</si>
  <si>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</si>
  <si>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</si>
  <si>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</si>
  <si>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</si>
  <si>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</si>
  <si>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</si>
  <si>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</si>
  <si>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</si>
  <si>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</si>
  <si>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</si>
  <si>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</si>
  <si>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</si>
  <si>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</si>
  <si>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</si>
  <si>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</si>
  <si>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</si>
  <si>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</si>
  <si>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</si>
  <si>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</si>
  <si>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</si>
  <si>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</si>
  <si>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</si>
  <si>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</si>
  <si>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</si>
  <si>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</si>
  <si>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</si>
  <si>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</si>
  <si>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</si>
  <si>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</si>
  <si>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</si>
  <si>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</si>
  <si>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</si>
  <si>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</si>
  <si>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</si>
  <si>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</si>
  <si>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</si>
  <si>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</si>
  <si>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</si>
  <si>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</si>
  <si>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</si>
  <si>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</si>
  <si>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</si>
  <si>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</si>
  <si>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</si>
  <si>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</si>
  <si>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</si>
  <si>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</si>
  <si>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</si>
  <si>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</si>
  <si>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</si>
  <si>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</si>
  <si>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</si>
  <si>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</si>
  <si>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</si>
  <si>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</si>
  <si>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</si>
  <si>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</si>
  <si>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</si>
  <si>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</si>
  <si>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</si>
  <si>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</si>
  <si>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</si>
  <si>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</si>
  <si>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</si>
  <si>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</si>
  <si>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</si>
  <si>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</si>
  <si>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</si>
  <si>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</si>
  <si>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</si>
  <si>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</si>
  <si>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</si>
  <si>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</si>
  <si>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</si>
  <si>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</si>
  <si>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</si>
  <si>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</si>
  <si>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</si>
  <si>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</si>
  <si>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</si>
  <si>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</si>
  <si>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</si>
  <si>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</si>
  <si>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</si>
  <si>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</si>
  <si>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</si>
  <si>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</si>
  <si>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</si>
  <si>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</si>
  <si>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</si>
  <si>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</si>
  <si>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</si>
  <si>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</si>
  <si>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</si>
  <si>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</si>
  <si>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</si>
  <si>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</si>
  <si>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</si>
  <si>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</si>
  <si>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</si>
  <si>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</si>
  <si>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</si>
  <si>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</si>
  <si>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</si>
  <si>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</si>
  <si>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</si>
  <si>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</si>
  <si>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</si>
  <si>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</si>
  <si>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</si>
  <si>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</si>
  <si>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</si>
  <si>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</si>
  <si>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</si>
  <si>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</si>
  <si>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</si>
  <si>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</si>
  <si>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</si>
  <si>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</si>
  <si>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</si>
  <si>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</si>
  <si>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</si>
  <si>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</si>
  <si>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</si>
  <si>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</si>
  <si>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</si>
  <si>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</si>
  <si>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</si>
  <si>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</si>
  <si>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</si>
  <si>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</si>
  <si>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</si>
  <si>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</si>
  <si>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</si>
  <si>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</si>
  <si>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</si>
  <si>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</si>
  <si>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</si>
  <si>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</si>
  <si>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</si>
  <si>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</si>
  <si>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</si>
  <si>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</si>
  <si>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</si>
  <si>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</si>
  <si>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</si>
  <si>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</si>
  <si>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</si>
  <si>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</si>
  <si>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</si>
  <si>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</si>
  <si>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</si>
  <si>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</si>
  <si>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</si>
  <si>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</si>
  <si>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</si>
  <si>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</si>
  <si>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</si>
  <si>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</si>
  <si>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</si>
  <si>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</si>
  <si>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</si>
  <si>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</si>
  <si>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</si>
  <si>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</si>
  <si>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</si>
  <si>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</si>
  <si>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</si>
  <si>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</si>
  <si>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</si>
  <si>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</si>
  <si>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</si>
  <si>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</si>
  <si>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</si>
  <si>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</si>
  <si>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</si>
  <si>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</si>
  <si>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</si>
  <si>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</si>
  <si>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</si>
  <si>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</si>
  <si>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</si>
  <si>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</si>
  <si>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</si>
  <si>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</si>
  <si>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</si>
  <si>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</si>
  <si>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</si>
  <si>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</si>
  <si>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</si>
  <si>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</si>
  <si>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</si>
  <si>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</si>
  <si>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</si>
  <si>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</si>
  <si>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</si>
  <si>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</si>
  <si>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</si>
  <si>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</si>
  <si>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</si>
  <si>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</si>
  <si>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</si>
  <si>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</si>
  <si>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</si>
  <si>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</si>
  <si>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</si>
  <si>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</si>
  <si>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</si>
  <si>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</si>
  <si>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</si>
  <si>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</si>
  <si>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</si>
  <si>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</si>
  <si>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</si>
  <si>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</si>
  <si>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</si>
  <si>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</si>
  <si>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</si>
  <si>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</si>
  <si>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</si>
  <si>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</si>
  <si>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</si>
  <si>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</si>
  <si>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</si>
  <si>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</si>
  <si>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</si>
  <si>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</si>
  <si>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</si>
  <si>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</si>
  <si>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</si>
  <si>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</si>
  <si>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</si>
  <si>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nvarchar(50)</t>
  </si>
  <si>
    <t>datetime2(7)</t>
  </si>
  <si>
    <t>nvarchar(1)</t>
  </si>
  <si>
    <t>PtsAdoScanInfo</t>
  </si>
  <si>
    <t>Painting.Andon</t>
  </si>
  <si>
    <t>ScanInfo</t>
  </si>
  <si>
    <t>Painting Andon Scan Info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</si>
  <si>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</si>
  <si>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</si>
  <si>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</si>
  <si>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</si>
  <si>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Scan_Type</t>
  </si>
  <si>
    <t>Scan_Value</t>
  </si>
  <si>
    <t>Scan_Location</t>
  </si>
  <si>
    <t>Scan_Time</t>
  </si>
  <si>
    <t>Scan_By</t>
  </si>
  <si>
    <t>Is_Processed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</si>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</sst>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E34" workbookViewId="0">
      <selection activeCell="H49" sqref="H49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235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235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232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228</v>
      </c>
    </row>
    <row r="38" spans="1:14" s="16" customFormat="1" ht="21.75" customHeight="1" thickBot="1" x14ac:dyDescent="0.3">
      <c r="B38" s="52" t="s">
        <v>227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D38" s="51" t="str">
        <f>A.Backend!O7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E38" s="51" t="str">
        <f>A.Backend!N7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F38" s="51" t="str">
        <f>A.Backend!K7</f>
        <v>public virtual DbSet&lt;PtsAdoScanInfo&gt; PtsAdoScanInfos { get; set; }</v>
      </c>
      <c r="G38" s="51" t="str">
        <f ca="1">A.Backend!L7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N38" s="62" t="str">
        <f>A.Backend!U7</f>
        <v xml:space="preserve">  configuration.CreateMap&lt;PtsAdoScanInfoDto, PtsAdoScanInfo&gt;();
  configuration.CreateMap&lt;PtsAdoScanInfo, PtsAdoScanInfoDto&gt;();
  configuration.CreateMap&lt;CreateOrEditPtsAdoScanInfoDto, PtsAdoScanInfo&gt;();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scaninfo</v>
      </c>
      <c r="C43" s="72" t="str">
        <f>"create folder " &amp;B43</f>
        <v>create folder scaninfo</v>
      </c>
      <c r="D43" s="72"/>
      <c r="E43" s="72"/>
      <c r="F43" s="72"/>
      <c r="G43" s="72"/>
      <c r="H43" s="72"/>
      <c r="I43" s="72"/>
      <c r="J43" s="72"/>
      <c r="K43" s="73" t="s">
        <v>229</v>
      </c>
      <c r="L43" s="73"/>
      <c r="M43" s="31"/>
    </row>
    <row r="44" spans="1:14" s="28" customFormat="1" ht="18" customHeight="1" x14ac:dyDescent="0.25">
      <c r="B44" s="60" t="s">
        <v>230</v>
      </c>
      <c r="C44" s="31" t="str">
        <f>B.Frontend!H14</f>
        <v>scaninfo.component.ts</v>
      </c>
      <c r="D44" s="31" t="str">
        <f>B.Frontend!I14</f>
        <v>scaninfo.component.html</v>
      </c>
      <c r="E44" s="31" t="str">
        <f>B.Frontend!J14</f>
        <v>scaninfo.component.less</v>
      </c>
      <c r="F44" s="31" t="str">
        <f>B.Frontend!K14</f>
        <v>create-or-edit-scaninfo-modal.component.html</v>
      </c>
      <c r="G44" s="31" t="str">
        <f>B.Frontend!L14</f>
        <v>create-or-edit-scaninfo-modal.component.ts</v>
      </c>
      <c r="H44" s="31" t="str">
        <f>B.Frontend!M14</f>
        <v>create-or-edit-scaninfo-modal.component.less</v>
      </c>
      <c r="I44" s="31" t="str">
        <f>B.Frontend!N14</f>
        <v>scaninfo.module.ts</v>
      </c>
      <c r="J44" s="31" t="str">
        <f>B.Frontend!O14</f>
        <v>scaninfo-routing.module.ts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233</v>
      </c>
    </row>
    <row r="45" spans="1:14" ht="21.75" customHeight="1" x14ac:dyDescent="0.25">
      <c r="B45" s="61" t="s">
        <v>227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'isProcessed',flex: 1},      	  
        ];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J45" s="49" t="str">
        <f>B.Frontend!O10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K45" s="49" t="str">
        <f>B.Frontend!P10</f>
        <v xml:space="preserve"> new AppMenuItem("ScanInfo", "Pages.Painting.Andon.ScanInfo", "flaticon-book",   "/app/main/painting/andon/scaninfo"),</v>
      </c>
      <c r="L45" s="50" t="str">
        <f>B.Frontend!Q10</f>
        <v>{
    path: 'painting/andon/scaninfo',
    loadChildren: () =&gt; import('./painting/andon/scaninfo/scaninfo.module').then(m =&gt; m.ScanInfoModule),
    data: { permission: 'Pages.Painting.Andon.ScanInfo' }
},</v>
      </c>
      <c r="M45" s="48" t="str">
        <f>B.Frontend!R10</f>
        <v>ApiServiceProxies.PtsAdoScanInfoServiceProxy,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6"/>
  <sheetViews>
    <sheetView workbookViewId="0">
      <pane xSplit="1" topLeftCell="J1" activePane="topRight" state="frozen"/>
      <selection pane="topRight" activeCell="P7" sqref="P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282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273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272</v>
      </c>
    </row>
    <row r="3" spans="1:23" s="11" customFormat="1" ht="33" customHeight="1" x14ac:dyDescent="0.25">
      <c r="A3" s="1" t="s">
        <v>5</v>
      </c>
      <c r="B3" s="30" t="s">
        <v>252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PtsAdoScanInfoExportInput{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238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254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PtsAdoScanInfo: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PtsAdoScanInfoConsts	
	{
</v>
      </c>
      <c r="F6" s="11" t="str">
        <f>REPT(CHAR(9),1)&amp;"public class "&amp;B3&amp;"Dto"&amp;K3&amp;REPT(CHAR(9),1)&amp;"
"&amp;REPT(CHAR(9),1)&amp;C3</f>
        <v xml:space="preserve">	public class PtsAdoScanInfoDto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GetPtsAdoScanInfoInput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PtsAdoScanInfo</v>
      </c>
      <c r="C7" s="11" t="str">
        <f>REPT(CHAR(9),1)&amp;"[Table("""&amp;B7&amp;""")]"&amp;"
"</f>
        <v xml:space="preserve">	[Table("PtsAdoScanInfo")]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K7" t="str">
        <f>SUBSTITUTE(SUBSTITUTE(("public virtual DbSet&lt;"&amp;B3&amp;"&gt; "&amp;B3&amp;"s { get; set; }"),"WorkingPattern",$Q$3),"Master",$B$4)</f>
        <v>public virtual DbSet&lt;PtsAdoScanInfo&gt; PtsAdoScanInfos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configuration.CreateMap&lt;PtsAdoScanInfoDto, PtsAdoScanInfo&gt;();
  configuration.CreateMap&lt;PtsAdoScanInfo, PtsAdoScanInfoDto&gt;();
  configuration.CreateMap&lt;CreateOrEditPtsAdoScanInfoDto, PtsAdoScanInfo&gt;();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260</v>
      </c>
      <c r="B9" t="s">
        <v>249</v>
      </c>
      <c r="C9" t="s">
        <v>80</v>
      </c>
      <c r="D9" t="str">
        <f>SUBSTITUTE(PROPER(A9),"_","")</f>
        <v>ScanType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MaxScanTypeLength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[StringLength(MaxScanTypeLength)]
		public virtual string ScanType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[Index(nameof(ScanType), Name="IX_PtsAdoScanInfo_ScanType")]</v>
      </c>
      <c r="M9" t="str">
        <f>REPT(CHAR(9),2)&amp;"public virtual "&amp;IF(OR(H9="DateTime",H9="TimeSpan"),H9&amp;"?",H9)&amp;IF(C9="?","? "," ")&amp;D9&amp;" { get; set; }" &amp; "
"</f>
        <v xml:space="preserve">		public virtual string ScanType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[StringLength(PtsAdoScanInfoConsts.MaxScanTypeLength)]
		public virtual string ScanType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ScanType { get; set; }
</v>
      </c>
      <c r="P9" t="str">
        <f t="shared" ref="P9:P11" si="4">REPT(CHAR(9),7)&amp;D9&amp;" = o." &amp;D9 &amp;","</f>
        <v xml:space="preserve">							ScanType = o.ScanType,</v>
      </c>
      <c r="T9" s="69" t="str">
        <f>REPT(CHAR(9),8)&amp;"("""&amp;D9&amp;"""),"</f>
        <v xml:space="preserve">								("ScanType"),</v>
      </c>
      <c r="V9" s="70" t="str">
        <f>REPT(CHAR(9),8)&amp;"_ =&gt; _."&amp;D9&amp;","</f>
        <v xml:space="preserve">								_ =&gt; _.ScanType,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.WhereIf(!string.IsNullOrWhiteSpace(input.ScanType), e =&gt; e.ScanType.Contains(input.ScanType))</v>
      </c>
    </row>
    <row r="10" spans="1:23" customFormat="1" ht="21" customHeight="1" x14ac:dyDescent="0.25">
      <c r="A10" t="s">
        <v>261</v>
      </c>
      <c r="B10" t="s">
        <v>249</v>
      </c>
      <c r="C10" t="s">
        <v>1</v>
      </c>
      <c r="D10" t="str">
        <f t="shared" ref="D10:D11" si="5">SUBSTITUTE(PROPER(A10),"_","")</f>
        <v>ScanValue</v>
      </c>
      <c r="E10" t="str">
        <f t="shared" si="0"/>
        <v>nvarchar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MaxScanValueLength = 50;
</v>
      </c>
      <c r="J10" t="str">
        <f t="shared" si="3"/>
        <v xml:space="preserve">		[StringLength(MaxScanValueLength)]
		public virtual string ScanValue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4" si="7">REPT(CHAR(9),2)&amp;"public virtual "&amp;IF(OR(H10="DateTime",H10="TimeSpan"),H10&amp;"?",H10)&amp;IF(C10="?","? "," ")&amp;D10&amp;" { get; set; }" &amp; "
"</f>
        <v xml:space="preserve">		public virtual string ScanValue { get; set; }
</v>
      </c>
      <c r="N10" t="str">
        <f t="shared" ref="N10:N14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[StringLength(PtsAdoScanInfoConsts.MaxScanValueLength)]
		public virtual string ScanValue { get; set; }
</v>
      </c>
      <c r="O10" t="str">
        <f t="shared" ref="O10:O14" si="9">IF(OR(H10="string",H10="DateTime",H10="int"),REPT(CHAR(9),2)&amp;"public virtual "&amp;IF(OR(H10="DateTime",H10="TimeSpan"),H10&amp;"?",H10)&amp;IF(C10="?","? "," ")&amp;D10&amp;" { get; set; }"&amp;$E$3,"")</f>
        <v xml:space="preserve">		public virtual string ScanValue { get; set; }
</v>
      </c>
      <c r="P10" t="str">
        <f t="shared" si="4"/>
        <v xml:space="preserve">							ScanValue = o.ScanValue,</v>
      </c>
      <c r="T10" s="69" t="str">
        <f t="shared" ref="T10:T14" si="10">REPT(CHAR(9),8)&amp;"("""&amp;D10&amp;"""),"</f>
        <v xml:space="preserve">								("ScanValue"),</v>
      </c>
      <c r="V10" s="70" t="str">
        <f t="shared" ref="V10:V14" si="11">REPT(CHAR(9),8)&amp;"_ =&gt; _."&amp;D10&amp;","</f>
        <v xml:space="preserve">								_ =&gt; _.ScanValue,</v>
      </c>
      <c r="W10" s="69" t="str">
        <f t="shared" ref="W10:W14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.WhereIf(!string.IsNullOrWhiteSpace(input.ScanValue), e =&gt; e.ScanValue.Contains(input.ScanValue))</v>
      </c>
    </row>
    <row r="11" spans="1:23" customFormat="1" ht="18.75" customHeight="1" x14ac:dyDescent="0.25">
      <c r="A11" t="s">
        <v>262</v>
      </c>
      <c r="B11" t="s">
        <v>249</v>
      </c>
      <c r="C11" t="s">
        <v>1</v>
      </c>
      <c r="D11" t="str">
        <f t="shared" si="5"/>
        <v>ScanLocation</v>
      </c>
      <c r="E11" t="str">
        <f t="shared" si="0"/>
        <v>nvarchar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MaxScanLocationLength = 50;
</v>
      </c>
      <c r="J11" t="str">
        <f t="shared" si="3"/>
        <v xml:space="preserve">		[StringLength(MaxScanLocationLength)]
		public virtual string ScanLocation { get; set; }
</v>
      </c>
      <c r="K11" s="7"/>
      <c r="L11" t="str">
        <f t="shared" si="6"/>
        <v/>
      </c>
      <c r="M11" t="str">
        <f t="shared" si="7"/>
        <v xml:space="preserve">		public virtual string ScanLocation { get; set; }
</v>
      </c>
      <c r="N11" t="str">
        <f t="shared" si="8"/>
        <v xml:space="preserve">		[StringLength(PtsAdoScanInfoConsts.MaxScanLocationLength)]
		public virtual string ScanLocation { get; set; }
</v>
      </c>
      <c r="O11" t="str">
        <f t="shared" si="9"/>
        <v xml:space="preserve">		public virtual string ScanLocation { get; set; }
</v>
      </c>
      <c r="P11" t="str">
        <f t="shared" si="4"/>
        <v xml:space="preserve">							ScanLocation = o.ScanLocation,</v>
      </c>
      <c r="T11" s="69" t="str">
        <f t="shared" si="10"/>
        <v xml:space="preserve">								("ScanLocation"),</v>
      </c>
      <c r="V11" s="70" t="str">
        <f t="shared" si="11"/>
        <v xml:space="preserve">								_ =&gt; _.ScanLocation,</v>
      </c>
      <c r="W11" s="69" t="str">
        <f t="shared" si="12"/>
        <v xml:space="preserve">				.WhereIf(!string.IsNullOrWhiteSpace(input.ScanLocation), e =&gt; e.ScanLocation.Contains(input.ScanLocation))</v>
      </c>
    </row>
    <row r="12" spans="1:23" customFormat="1" ht="22.5" customHeight="1" x14ac:dyDescent="0.25">
      <c r="A12" t="s">
        <v>263</v>
      </c>
      <c r="B12" t="s">
        <v>250</v>
      </c>
      <c r="C12" t="s">
        <v>80</v>
      </c>
      <c r="D12" t="str">
        <f>SUBSTITUTE(PROPER(A12),"_","")</f>
        <v>ScanTime</v>
      </c>
      <c r="E12" t="str">
        <f t="shared" ref="E12:E14" si="13">IFERROR(LEFT(B12, FIND("(",B12)-1),B12)</f>
        <v>datetime2</v>
      </c>
      <c r="F12" s="7"/>
      <c r="G12" t="str">
        <f t="shared" ref="G12:G14" si="14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[Required]
		public virtual DateTime ScanTime { get; set; }
</v>
      </c>
      <c r="K12" s="7" t="s">
        <v>207</v>
      </c>
      <c r="L12" t="str">
        <f>IF(K12="","",REPT(CHAR(9),1)&amp;"[Index(nameof("&amp;IF(D12="","",""&amp;D12)&amp;")"&amp;", Name="&amp;"""IX_"&amp;$B$7&amp;"_"&amp;D12&amp;""")]")</f>
        <v xml:space="preserve">	[Index(nameof(ScanTime), Name="IX_PtsAdoScanInfo_ScanTime")]</v>
      </c>
      <c r="M12" t="str">
        <f t="shared" si="7"/>
        <v xml:space="preserve">		public virtual DateTime? ScanTime { get; set; }
</v>
      </c>
      <c r="N12" t="str">
        <f t="shared" si="8"/>
        <v xml:space="preserve">		[Required]
		public virtual DateTime? ScanTime { get; set; }
</v>
      </c>
      <c r="O12" t="str">
        <f t="shared" si="9"/>
        <v xml:space="preserve">		public virtual DateTime? ScanTime { get; set; }
</v>
      </c>
      <c r="P12" t="str">
        <f t="shared" ref="P12:P14" si="17">REPT(CHAR(9),7)&amp;D12&amp;" = o." &amp;D12 &amp;","</f>
        <v xml:space="preserve">							ScanTime = o.ScanTime,</v>
      </c>
      <c r="T12" s="69" t="str">
        <f t="shared" si="10"/>
        <v xml:space="preserve">								("ScanTime"),</v>
      </c>
      <c r="V12" s="70" t="str">
        <f t="shared" si="11"/>
        <v xml:space="preserve">								_ =&gt; _.ScanTime,</v>
      </c>
      <c r="W12" s="69" t="str">
        <f t="shared" si="12"/>
        <v xml:space="preserve">				.WhereIf(input.ScanTime.HasValue, t =&gt; t.ScanTime == input.ScanTime.Value)</v>
      </c>
    </row>
    <row r="13" spans="1:23" customFormat="1" ht="21" customHeight="1" x14ac:dyDescent="0.25">
      <c r="A13" t="s">
        <v>264</v>
      </c>
      <c r="B13" t="s">
        <v>249</v>
      </c>
      <c r="C13" t="s">
        <v>1</v>
      </c>
      <c r="D13" t="str">
        <f t="shared" ref="D13:D14" si="18">SUBSTITUTE(PROPER(A13),"_","")</f>
        <v>ScanBy</v>
      </c>
      <c r="E13" t="str">
        <f t="shared" si="13"/>
        <v>nvarchar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MaxScanByLength = 50;
</v>
      </c>
      <c r="J13" t="str">
        <f t="shared" si="16"/>
        <v xml:space="preserve">		[StringLength(MaxScanByLength)]
		public virtual string ScanBy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ScanBy { get; set; }
</v>
      </c>
      <c r="N13" t="str">
        <f t="shared" si="8"/>
        <v xml:space="preserve">		[StringLength(PtsAdoScanInfoConsts.MaxScanByLength)]
		public virtual string ScanBy { get; set; }
</v>
      </c>
      <c r="O13" t="str">
        <f t="shared" si="9"/>
        <v xml:space="preserve">		public virtual string ScanBy { get; set; }
</v>
      </c>
      <c r="P13" t="str">
        <f t="shared" si="17"/>
        <v xml:space="preserve">							ScanBy = o.ScanBy,</v>
      </c>
      <c r="T13" s="69" t="str">
        <f t="shared" si="10"/>
        <v xml:space="preserve">								("ScanBy"),</v>
      </c>
      <c r="V13" s="70" t="str">
        <f t="shared" si="11"/>
        <v xml:space="preserve">								_ =&gt; _.ScanBy,</v>
      </c>
      <c r="W13" s="69" t="str">
        <f t="shared" si="12"/>
        <v xml:space="preserve">				.WhereIf(!string.IsNullOrWhiteSpace(input.ScanBy), e =&gt; e.ScanBy.Contains(input.ScanBy))</v>
      </c>
    </row>
    <row r="14" spans="1:23" customFormat="1" ht="18.75" customHeight="1" x14ac:dyDescent="0.25">
      <c r="A14" t="s">
        <v>265</v>
      </c>
      <c r="B14" t="s">
        <v>251</v>
      </c>
      <c r="C14" t="s">
        <v>1</v>
      </c>
      <c r="D14" t="str">
        <f t="shared" si="18"/>
        <v>IsProcessed</v>
      </c>
      <c r="E14" t="str">
        <f t="shared" si="13"/>
        <v>nvarchar</v>
      </c>
      <c r="F14" s="7"/>
      <c r="G14" t="str">
        <f t="shared" si="14"/>
        <v>1</v>
      </c>
      <c r="H14" t="str">
        <f>+VLOOKUP(E14,'Data Type Mapping'!A:B,2,)</f>
        <v>string</v>
      </c>
      <c r="I14" t="str">
        <f t="shared" si="15"/>
        <v xml:space="preserve">		public const int MaxIsProcessedLength = 1;
</v>
      </c>
      <c r="J14" t="str">
        <f t="shared" si="16"/>
        <v xml:space="preserve">		[StringLength(MaxIsProcessedLength)]
		public virtual string IsProcessed { get; set; }
</v>
      </c>
      <c r="K14" s="7"/>
      <c r="L14" t="str">
        <f t="shared" si="19"/>
        <v/>
      </c>
      <c r="M14" t="str">
        <f t="shared" si="7"/>
        <v xml:space="preserve">		public virtual string IsProcessed { get; set; }
</v>
      </c>
      <c r="N14" t="str">
        <f t="shared" si="8"/>
        <v xml:space="preserve">		[StringLength(PtsAdoScanInfoConsts.MaxIsProcessedLength)]
		public virtual string IsProcessed { get; set; }
</v>
      </c>
      <c r="O14" t="str">
        <f t="shared" si="9"/>
        <v xml:space="preserve">		public virtual string IsProcessed { get; set; }
</v>
      </c>
      <c r="P14" t="str">
        <f t="shared" si="17"/>
        <v xml:space="preserve">							IsProcessed = o.IsProcessed,</v>
      </c>
      <c r="T14" s="69" t="str">
        <f t="shared" si="10"/>
        <v xml:space="preserve">								("IsProcessed"),</v>
      </c>
      <c r="V14" s="70" t="str">
        <f t="shared" si="11"/>
        <v xml:space="preserve">								_ =&gt; _.IsProcessed,</v>
      </c>
      <c r="W14" s="69" t="str">
        <f t="shared" si="12"/>
        <v xml:space="preserve">				.WhereIf(!string.IsNullOrWhiteSpace(input.IsProcessed), e =&gt; e.IsProcessed.Contains(input.IsProcessed))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6" s="33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</v>
      </c>
      <c r="K16" s="35" t="str">
        <f ca="1">TEXTJOIN2("
", TRUE,INDIRECT( $J$1):INDIRECT( $J$3))</f>
        <v xml:space="preserve">	[Index(nameof(ScanType), Name="IX_PtsAdoScanInfo_ScanType")]
	[Index(nameof(ScanTime), Name="IX_PtsAdoScanInfo_ScanTime")]
</v>
      </c>
      <c r="L16" s="13" t="s">
        <v>60</v>
      </c>
      <c r="M16" s="36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N16" s="33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</v>
      </c>
      <c r="O16" s="33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P16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  <c r="T16" s="9" t="str">
        <f ca="1">TEXTJOIN2("
",TRUE,INDIRECT( $T$2):INDIRECT($T$3))</f>
        <v xml:space="preserve">								("ScanType"),
								("ScanValue"),
								("ScanLocation"),
								("ScanTime"),
								("ScanBy"),
								("IsProcessed"),</v>
      </c>
      <c r="V16" s="9" t="str">
        <f ca="1">TEXTJOIN2("
",TRUE,INDIRECT( $V$2):INDIRECT($V$3))</f>
        <v xml:space="preserve">								_ =&gt; _.ScanType,
								_ =&gt; _.ScanValue,
								_ =&gt; _.ScanLocation,
								_ =&gt; _.ScanTime,
								_ =&gt; _.ScanBy,
								_ =&gt; _.IsProcessed,</v>
      </c>
      <c r="W16" s="9" t="str">
        <f ca="1">TEXTJOIN2("
",TRUE,INDIRECT( $W$2):INDIRECT($W$3))</f>
        <v xml:space="preserve">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3"/>
  <sheetViews>
    <sheetView tabSelected="1" topLeftCell="C7" workbookViewId="0">
      <selection activeCell="K22" sqref="K22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PtsAdoScanInfo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ScanInfo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scaninfo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276</v>
      </c>
      <c r="I9" s="46" t="s">
        <v>270</v>
      </c>
      <c r="J9" s="45" t="s">
        <v>220</v>
      </c>
      <c r="K9" s="47" t="s">
        <v>271</v>
      </c>
      <c r="L9" s="46" t="s">
        <v>275</v>
      </c>
      <c r="M9" s="45" t="s">
        <v>257</v>
      </c>
      <c r="N9" s="45" t="s">
        <v>221</v>
      </c>
      <c r="O9" s="45" t="s">
        <v>222</v>
      </c>
      <c r="P9" s="46" t="s">
        <v>224</v>
      </c>
      <c r="Q9" s="45" t="s">
        <v>258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'isProcessed',flex: 1},      	  
        ];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AppMenuItem("ScanInfo", "Pages.Painting.Andon.ScanInfo", "flaticon-book",   "/app/main/painting/andon/scaninfo"),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'painting/andon/scaninfo',
    loadChildren: () =&gt; import('./painting/andon/scaninfo/scaninfo.module').then(m =&gt; m.ScanInfoModule),
    data: { permission: 'Pages.Painting.Andon.ScanInfo' }
},</v>
      </c>
      <c r="R10" s="50" t="str">
        <f>SUBSTITUTE(R9,"MstWptCalendar",$B$6)</f>
        <v>ApiServiceProxies.PtsAdoScanInfoServiceProxy,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256</v>
      </c>
      <c r="I11" s="31" t="s">
        <v>277</v>
      </c>
      <c r="J11" s="31"/>
      <c r="K11" s="31" t="s">
        <v>274</v>
      </c>
      <c r="L11" s="31" t="s">
        <v>278</v>
      </c>
      <c r="M11" s="38"/>
      <c r="N11" s="31"/>
      <c r="O11" s="31"/>
      <c r="P11" s="31"/>
      <c r="Q11" s="31"/>
      <c r="R11" s="31"/>
      <c r="S11" s="31" t="s">
        <v>267</v>
      </c>
      <c r="T11" s="31" t="s">
        <v>268</v>
      </c>
      <c r="U11" s="31" t="s">
        <v>279</v>
      </c>
      <c r="V11" s="71" t="s">
        <v>281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'isProcessed',flex: 1},</v>
      </c>
      <c r="I13" s="38" t="str">
        <f ca="1">TEXTJOIN2("
",TRUE,INDIRECT(I11):INDIRECT(I12))</f>
        <v xml:space="preserve">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scanType : string = '' ; 
	scanValue : string = '' ; 
	scanLocation : string = '' ; 
	scanTime : any ;
	scanBy : string = '' ; 
	isProcessed : string = '' ; </v>
      </c>
      <c r="T13" s="68" t="str">
        <f ca="1">TEXTJOIN2("
",TRUE,INDIRECT(T11):INDIRECT(T12))</f>
        <v xml:space="preserve">			this.scanType,
			this.scanValue,
			this.scanLocation,
			this.scanTime,
			this.scanBy,
			this.isProcessed,</v>
      </c>
      <c r="U13" s="68" t="str">
        <f ca="1">TEXTJOIN2("
",TRUE,INDIRECT(U11):INDIRECT(U12))</f>
        <v>this.scanType = '',
		this.scanValue = '',
		this.scanLocation = '',
		this.scanTime = '',
		this.scanBy = '',
		this.isProcessed = '',</v>
      </c>
      <c r="V13" s="31" t="str">
        <f ca="1">TEXTJOIN2("
",TRUE,INDIRECT(V11):INDIRECT(V12))</f>
        <v>isProcessed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scaninfo.component.ts</v>
      </c>
      <c r="I14" s="40" t="str">
        <f>B8&amp;".component.html"</f>
        <v>scaninfo.component.html</v>
      </c>
      <c r="J14" s="39" t="str">
        <f>B8&amp;".component.less"</f>
        <v>scaninfo.component.less</v>
      </c>
      <c r="K14" s="40" t="str">
        <f>"create-or-edit-"&amp;B8&amp;"-modal.component.html"</f>
        <v>create-or-edit-scaninfo-modal.component.html</v>
      </c>
      <c r="L14" s="40" t="str">
        <f>"create-or-edit-"&amp;B8&amp;"-modal.component.ts"</f>
        <v>create-or-edit-scaninfo-modal.component.ts</v>
      </c>
      <c r="M14" s="40" t="str">
        <f>"create-or-edit-"&amp;B8&amp;"-modal.component.less"</f>
        <v>create-or-edit-scaninfo-modal.component.less</v>
      </c>
      <c r="N14" s="40" t="str">
        <f>B8&amp;".module.ts"</f>
        <v>scaninfo.module.ts</v>
      </c>
      <c r="O14" s="40" t="str">
        <f>B8&amp;"-routing.module.ts"</f>
        <v>scaninfo-routing.module.ts</v>
      </c>
      <c r="P14" s="40" t="s">
        <v>223</v>
      </c>
      <c r="Q14" s="40" t="s">
        <v>226</v>
      </c>
      <c r="R14" s="41" t="s">
        <v>233</v>
      </c>
      <c r="S14" s="40" t="s">
        <v>259</v>
      </c>
      <c r="T14" s="40" t="s">
        <v>266</v>
      </c>
      <c r="U14" s="40" t="s">
        <v>269</v>
      </c>
      <c r="V14" s="40" t="s">
        <v>280</v>
      </c>
    </row>
    <row r="15" spans="1:22" ht="18" customHeight="1" x14ac:dyDescent="0.25">
      <c r="A15" s="44" t="str">
        <f>A.Backend!A9</f>
        <v>Scan_Type</v>
      </c>
      <c r="B15" s="31" t="str">
        <f>SUBSTITUTE(PROPER(A15),"_","")</f>
        <v>ScanType</v>
      </c>
      <c r="C15" s="31" t="str">
        <f>SUBSTITUTE(PROPER(A15),"_"," ")</f>
        <v>Scan Type</v>
      </c>
      <c r="D15" s="31" t="str">
        <f>LOWER(LEFT(B15,1))&amp;RIGHT(B15,LEN(B15) - 1)</f>
        <v>scanType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this.l('Scan Type'),headerTooltip: this.l('Scan Type'),field: 'scanType',flex: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[(ngModel)]='scanType' name='scanType'
									class='form-control' [placeholder]="l('Scan Type')"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scanType : string = '' ; </v>
      </c>
      <c r="T15" s="31" t="str">
        <f>REPT(CHAR(9),3)&amp;"this."&amp;D15&amp;","</f>
        <v xml:space="preserve">			this.scanType,</v>
      </c>
      <c r="U15" s="31" t="str">
        <f>IF(E15="int","this."&amp;D15&amp;" = 0,","this."&amp;D15&amp;" = '',")</f>
        <v>this.scanType = '',</v>
      </c>
      <c r="V15" s="31" t="str">
        <f>IF(AND(E15="string",F15="1"),D15,"")</f>
        <v/>
      </c>
    </row>
    <row r="16" spans="1:22" ht="15" customHeight="1" x14ac:dyDescent="0.25">
      <c r="A16" s="44" t="str">
        <f>A.Backend!A10</f>
        <v>Scan_Value</v>
      </c>
      <c r="B16" s="31" t="str">
        <f t="shared" ref="B16:B17" si="0">SUBSTITUTE(PROPER(A16),"_","")</f>
        <v>ScanValue</v>
      </c>
      <c r="C16" s="31" t="str">
        <f t="shared" ref="C16:C17" si="1">SUBSTITUTE(PROPER(A16),"_"," ")</f>
        <v>Scan Value</v>
      </c>
      <c r="D16" s="31" t="str">
        <f t="shared" ref="D16:D17" si="2">LOWER(LEFT(B16,1))&amp;RIGHT(B16,LEN(B16) - 1)</f>
        <v>scanValue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this.l('Scan Value'),headerTooltip: this.l('Scan Value'),field: 'scanValue',flex: 1},</v>
      </c>
      <c r="I16" s="38" t="str">
        <f t="shared" ref="I16:I20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16" s="31"/>
      <c r="K16" s="38" t="str">
        <f t="shared" ref="K16:K20" si="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16" s="60" t="str">
        <f t="shared" ref="L16:L20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scanValue : string = '' ; </v>
      </c>
      <c r="T16" s="31" t="str">
        <f>REPT(CHAR(9),3)&amp;"this."&amp;D16&amp;","</f>
        <v xml:space="preserve">			this.scanValue,</v>
      </c>
      <c r="U16" s="31" t="str">
        <f>IF(E16="int",REPT(CHAR(9),2)&amp;"this."&amp;D16&amp;" = 0,",REPT(CHAR(9),2)&amp;"this."&amp;D16&amp;" = '',")</f>
        <v xml:space="preserve">		this.scanValue = '',</v>
      </c>
      <c r="V16" s="31" t="str">
        <f t="shared" ref="V16:V20" si="7">IF(AND(E16="string",F16="1"),D16,"")</f>
        <v/>
      </c>
    </row>
    <row r="17" spans="1:22" ht="18" customHeight="1" x14ac:dyDescent="0.25">
      <c r="A17" s="44" t="str">
        <f>A.Backend!A11</f>
        <v>Scan_Location</v>
      </c>
      <c r="B17" s="31" t="str">
        <f t="shared" si="0"/>
        <v>ScanLocation</v>
      </c>
      <c r="C17" s="31" t="str">
        <f t="shared" si="1"/>
        <v>Scan Location</v>
      </c>
      <c r="D17" s="31" t="str">
        <f t="shared" si="2"/>
        <v>scanLocation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ref="H17:H19" si="8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this.l('Scan Location'),headerTooltip: this.l('Scan Location'),field: 'scanLocation',flex: 1},</v>
      </c>
      <c r="I17" s="38" t="str">
        <f t="shared" si="4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17" s="31"/>
      <c r="K17" s="38" t="str">
        <f t="shared" si="5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17" s="60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scanLocation : string = '' ; </v>
      </c>
      <c r="T17" s="31" t="str">
        <f t="shared" ref="T17:T20" si="10">REPT(CHAR(9),3)&amp;"this."&amp;D17&amp;","</f>
        <v xml:space="preserve">			this.scanLocation,</v>
      </c>
      <c r="U17" s="31" t="str">
        <f t="shared" ref="U17:U20" si="11">IF(E17="int",REPT(CHAR(9),2)&amp;"this."&amp;D17&amp;" = 0,",REPT(CHAR(9),2)&amp;"this."&amp;D17&amp;" = '',")</f>
        <v xml:space="preserve">		this.scanLocation = '',</v>
      </c>
      <c r="V17" s="31" t="str">
        <f t="shared" si="7"/>
        <v/>
      </c>
    </row>
    <row r="18" spans="1:22" ht="18" customHeight="1" x14ac:dyDescent="0.25">
      <c r="A18" s="44" t="str">
        <f>A.Backend!A12</f>
        <v>Scan_Time</v>
      </c>
      <c r="B18" s="31" t="str">
        <f>SUBSTITUTE(PROPER(A18),"_","")</f>
        <v>ScanTime</v>
      </c>
      <c r="C18" s="31" t="str">
        <f>SUBSTITUTE(PROPER(A18),"_"," ")</f>
        <v>Scan Time</v>
      </c>
      <c r="D18" s="31" t="str">
        <f>LOWER(LEFT(B18,1))&amp;RIGHT(B18,LEN(B18) - 1)</f>
        <v>scanTime</v>
      </c>
      <c r="E18" s="31" t="str">
        <f>A.Backend!H12</f>
        <v>DateTime</v>
      </c>
      <c r="F18" s="31" t="str">
        <f>A.Backend!G12</f>
        <v>7</v>
      </c>
      <c r="G18" s="31" t="str">
        <f t="shared" si="3"/>
        <v xml:space="preserve"> : any ;</v>
      </c>
      <c r="H18" s="38" t="str">
        <f t="shared" si="8"/>
        <v xml:space="preserve">			{headerName: this.l('Scan Time'),headerTooltip: this.l('Scan Time'),field: 'scanTime',valueGetter: (params) =&gt; this.pipe.transform(params.data?.scanTime, 'dd/MM/yyyy'),flex: 1},</v>
      </c>
      <c r="I18" s="38" t="str">
        <f t="shared" si="4"/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si="5"/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18" s="60" t="str">
        <f t="shared" si="6"/>
        <v xml:space="preserve">		const dateValue =  this.rowdata.scanTime ? new Date(this.rowdata.scanTime?.toString())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si="9"/>
        <v xml:space="preserve">	scanTime : any ;</v>
      </c>
      <c r="T18" s="31" t="str">
        <f t="shared" si="10"/>
        <v xml:space="preserve">			this.scanTime,</v>
      </c>
      <c r="U18" s="31" t="str">
        <f t="shared" si="11"/>
        <v xml:space="preserve">		this.scanTime = '',</v>
      </c>
      <c r="V18" s="31" t="str">
        <f t="shared" si="7"/>
        <v/>
      </c>
    </row>
    <row r="19" spans="1:22" ht="15" customHeight="1" x14ac:dyDescent="0.25">
      <c r="A19" s="44" t="str">
        <f>A.Backend!A13</f>
        <v>Scan_By</v>
      </c>
      <c r="B19" s="31" t="str">
        <f t="shared" ref="B19:B20" si="12">SUBSTITUTE(PROPER(A19),"_","")</f>
        <v>ScanBy</v>
      </c>
      <c r="C19" s="31" t="str">
        <f t="shared" ref="C19:C20" si="13">SUBSTITUTE(PROPER(A19),"_"," ")</f>
        <v>Scan By</v>
      </c>
      <c r="D19" s="31" t="str">
        <f t="shared" ref="D19:D20" si="14">LOWER(LEFT(B19,1))&amp;RIGHT(B19,LEN(B19) - 1)</f>
        <v>scanBy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8"/>
        <v xml:space="preserve">			{headerName: this.l('Scan By'),headerTooltip: this.l('Scan By'),field: 'scanBy',flex: 1},</v>
      </c>
      <c r="I19" s="38" t="str">
        <f t="shared" si="4"/>
        <v xml:space="preserve">								&lt;div class='input-search'&gt;
									&lt;input [(ngModel)]='scanBy' name='scanBy'
									class='form-control' [placeholder]="l('Scan By')"
									type='text' (keyup.enter)='searchDatas()'&gt;
								&lt;/div&gt;</v>
      </c>
      <c r="J19" s="31"/>
      <c r="K19" s="38" t="str">
        <f t="shared" si="5"/>
        <v xml:space="preserve">					&lt;div class='col-md-12 form-group row'&gt;
						&lt;label class='col-md-2 form-control title'&gt;Scan By&lt;/label&gt;
						&lt;input type='text' class='col-md-10 form-control input-text' name='ScanBy' [(ngModel)]='rowdata.scanBy'&gt;
					&lt;/div&gt;</v>
      </c>
      <c r="L19" s="60" t="str">
        <f t="shared" si="6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scanBy : string = '' ; </v>
      </c>
      <c r="T19" s="31" t="str">
        <f t="shared" si="10"/>
        <v xml:space="preserve">			this.scanBy,</v>
      </c>
      <c r="U19" s="31" t="str">
        <f t="shared" si="11"/>
        <v xml:space="preserve">		this.scanBy = '',</v>
      </c>
      <c r="V19" s="31" t="str">
        <f t="shared" si="7"/>
        <v/>
      </c>
    </row>
    <row r="20" spans="1:22" ht="18" customHeight="1" x14ac:dyDescent="0.25">
      <c r="A20" s="44" t="str">
        <f>A.Backend!A14</f>
        <v>Is_Processed</v>
      </c>
      <c r="B20" s="31" t="str">
        <f t="shared" si="12"/>
        <v>IsProcessed</v>
      </c>
      <c r="C20" s="31" t="str">
        <f t="shared" si="13"/>
        <v>Is Processed</v>
      </c>
      <c r="D20" s="31" t="str">
        <f t="shared" si="14"/>
        <v>isProcessed</v>
      </c>
      <c r="E20" s="31" t="str">
        <f>A.Backend!H14</f>
        <v>string</v>
      </c>
      <c r="F20" s="31" t="str">
        <f>A.Backend!G14</f>
        <v>1</v>
      </c>
      <c r="G20" s="31" t="str">
        <f t="shared" si="3"/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this.l('Is Processed'),headerTooltip: this.l('Is Processed'),field: 'isProcessed',flex: 1},</v>
      </c>
      <c r="I20" s="38" t="str">
        <f t="shared" si="4"/>
        <v xml:space="preserve">								&lt;div class='input-search'&gt;
									&lt;input [(ngModel)]='isProcessed' name='isProcessed'
									class='form-control' [placeholder]="l('Is Processed')"
									type='text' (keyup.enter)='searchDatas()'&gt;
								&lt;/div&gt;</v>
      </c>
      <c r="J20" s="31"/>
      <c r="K20" s="38" t="str">
        <f t="shared" si="5"/>
        <v xml:space="preserve">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</v>
      </c>
      <c r="L20" s="60" t="str">
        <f t="shared" si="6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isProcessed : string = '' ; </v>
      </c>
      <c r="T20" s="31" t="str">
        <f t="shared" si="10"/>
        <v xml:space="preserve">			this.isProcessed,</v>
      </c>
      <c r="U20" s="31" t="str">
        <f t="shared" si="11"/>
        <v xml:space="preserve">		this.isProcessed = '',</v>
      </c>
      <c r="V20" s="31" t="str">
        <f t="shared" si="7"/>
        <v>isProcessed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283</v>
      </c>
      <c r="B20" t="s">
        <v>284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2022-05-25T04:18:48Z</dcterms:modified>
</cp:coreProperties>
</file>